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13_ncr:1_{54DBFB99-7C8B-4CFD-9969-01D8E1B0814A}" xr6:coauthVersionLast="47" xr6:coauthVersionMax="47" xr10:uidLastSave="{00000000-0000-0000-0000-000000000000}"/>
  <bookViews>
    <workbookView xWindow="-120" yWindow="-120" windowWidth="29040" windowHeight="15840" tabRatio="906" xr2:uid="{00000000-000D-0000-FFFF-FFFF00000000}"/>
  </bookViews>
  <sheets>
    <sheet name="POS_فاکتور" sheetId="1" r:id="rId1"/>
    <sheet name="لاگ_فاکتور" sheetId="2" r:id="rId2"/>
    <sheet name="کاتالوگ_محصولات" sheetId="3" r:id="rId3"/>
    <sheet name="KPI_روزانه" sheetId="5" r:id="rId4"/>
    <sheet name="داشبورد_مدیریتی" sheetId="8" r:id="rId5"/>
    <sheet name="انبار" sheetId="6" r:id="rId6"/>
    <sheet name="حسابداری" sheetId="7" r:id="rId7"/>
    <sheet name="تنظیمات_سیستم" sheetId="9" r:id="rId8"/>
    <sheet name="مرکز_هشدار" sheetId="10" r:id="rId9"/>
    <sheet name="اطلاعات_پرسنل" sheetId="4" r:id="rId10"/>
    <sheet name="سیستم_رشد" sheetId="13" r:id="rId11"/>
    <sheet name="کنترل_سیستم" sheetId="14" r:id="rId12"/>
    <sheet name="Lists_DropDowns" sheetId="11" r:id="rId13"/>
    <sheet name="راهنما_VBA" sheetId="12" r:id="rId14"/>
  </sheets>
  <definedNames>
    <definedName name="_xlnm.Print_Area" localSheetId="0">POS_فاکتور!$A$1:$H$30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8" l="1"/>
  <c r="H17" i="8"/>
  <c r="H18" i="8"/>
  <c r="H19" i="8"/>
  <c r="D12" i="7" a="1"/>
  <c r="D12" i="7" s="1"/>
  <c r="D13" i="7" a="1"/>
  <c r="D13" i="7" s="1"/>
  <c r="D14" i="7" a="1"/>
  <c r="D14" i="7" s="1"/>
  <c r="G14" i="7" l="1"/>
  <c r="A4" i="7"/>
  <c r="I13" i="7"/>
  <c r="G13" i="7"/>
  <c r="H13" i="7" s="1"/>
  <c r="C13" i="7" a="1"/>
  <c r="C13" i="7" s="1"/>
  <c r="F46" i="5"/>
  <c r="C13" i="8"/>
  <c r="E13" i="8"/>
  <c r="I13" i="8"/>
  <c r="A305" i="3"/>
  <c r="A304" i="3"/>
  <c r="A303" i="3"/>
  <c r="A302" i="3"/>
  <c r="A306" i="3"/>
  <c r="D17" i="8"/>
  <c r="E17" i="8"/>
  <c r="E18" i="8"/>
  <c r="D19" i="8"/>
  <c r="E19" i="8"/>
  <c r="I14" i="7"/>
  <c r="H7" i="7" l="1"/>
  <c r="F19" i="8"/>
  <c r="F18" i="8"/>
  <c r="F17" i="8"/>
  <c r="D12" i="1"/>
  <c r="D13" i="1"/>
  <c r="A308" i="3"/>
  <c r="F15" i="1" l="1"/>
  <c r="F14" i="1"/>
  <c r="F12" i="1"/>
  <c r="D15" i="1"/>
  <c r="D14" i="1"/>
  <c r="A293" i="3"/>
  <c r="J307" i="3"/>
  <c r="K307" i="3" s="1"/>
  <c r="L307" i="3" s="1"/>
  <c r="D16" i="1"/>
  <c r="F16" i="1"/>
  <c r="H16" i="1" s="1"/>
  <c r="D17" i="1"/>
  <c r="F17" i="1"/>
  <c r="H17" i="1" s="1"/>
  <c r="D18" i="1"/>
  <c r="F18" i="1"/>
  <c r="H18" i="1" s="1"/>
  <c r="D19" i="1"/>
  <c r="F19" i="1"/>
  <c r="H19" i="1" s="1"/>
  <c r="D20" i="1"/>
  <c r="F20" i="1"/>
  <c r="H20" i="1" s="1"/>
  <c r="D21" i="1"/>
  <c r="F21" i="1"/>
  <c r="H21" i="1" s="1"/>
  <c r="A333" i="3"/>
  <c r="J333" i="3" s="1"/>
  <c r="K333" i="3" s="1"/>
  <c r="L333" i="3" s="1"/>
  <c r="A332" i="3"/>
  <c r="J332" i="3" s="1"/>
  <c r="K332" i="3" s="1"/>
  <c r="L332" i="3" s="1"/>
  <c r="A331" i="3"/>
  <c r="J331" i="3" s="1"/>
  <c r="K331" i="3" s="1"/>
  <c r="L331" i="3" s="1"/>
  <c r="A330" i="3"/>
  <c r="J330" i="3" s="1"/>
  <c r="K330" i="3" s="1"/>
  <c r="L330" i="3" s="1"/>
  <c r="A329" i="3"/>
  <c r="J329" i="3" s="1"/>
  <c r="K329" i="3" s="1"/>
  <c r="L329" i="3" s="1"/>
  <c r="A328" i="3"/>
  <c r="J328" i="3" s="1"/>
  <c r="K328" i="3" s="1"/>
  <c r="L328" i="3" s="1"/>
  <c r="A327" i="3"/>
  <c r="J327" i="3" s="1"/>
  <c r="K327" i="3" s="1"/>
  <c r="L327" i="3" s="1"/>
  <c r="A326" i="3"/>
  <c r="J326" i="3" s="1"/>
  <c r="K326" i="3" s="1"/>
  <c r="L326" i="3" s="1"/>
  <c r="A325" i="3"/>
  <c r="J325" i="3" s="1"/>
  <c r="K325" i="3" s="1"/>
  <c r="L325" i="3" s="1"/>
  <c r="A324" i="3"/>
  <c r="J324" i="3" s="1"/>
  <c r="K324" i="3" s="1"/>
  <c r="L324" i="3" s="1"/>
  <c r="A323" i="3"/>
  <c r="J323" i="3" s="1"/>
  <c r="K323" i="3" s="1"/>
  <c r="L323" i="3" s="1"/>
  <c r="A322" i="3"/>
  <c r="J322" i="3" s="1"/>
  <c r="K322" i="3" s="1"/>
  <c r="L322" i="3" s="1"/>
  <c r="A321" i="3"/>
  <c r="J321" i="3" s="1"/>
  <c r="K321" i="3" s="1"/>
  <c r="L321" i="3" s="1"/>
  <c r="A320" i="3"/>
  <c r="J320" i="3" s="1"/>
  <c r="K320" i="3" s="1"/>
  <c r="L320" i="3" s="1"/>
  <c r="A319" i="3"/>
  <c r="J319" i="3" s="1"/>
  <c r="K319" i="3" s="1"/>
  <c r="L319" i="3" s="1"/>
  <c r="A318" i="3"/>
  <c r="J318" i="3" s="1"/>
  <c r="K318" i="3" s="1"/>
  <c r="L318" i="3" s="1"/>
  <c r="A317" i="3"/>
  <c r="J317" i="3" s="1"/>
  <c r="K317" i="3" s="1"/>
  <c r="L317" i="3" s="1"/>
  <c r="A316" i="3"/>
  <c r="J316" i="3" s="1"/>
  <c r="K316" i="3" s="1"/>
  <c r="L316" i="3" s="1"/>
  <c r="A315" i="3"/>
  <c r="J315" i="3" s="1"/>
  <c r="K315" i="3" s="1"/>
  <c r="L315" i="3" s="1"/>
  <c r="A314" i="3"/>
  <c r="J314" i="3" s="1"/>
  <c r="K314" i="3" s="1"/>
  <c r="L314" i="3" s="1"/>
  <c r="A313" i="3"/>
  <c r="J313" i="3" s="1"/>
  <c r="K313" i="3" s="1"/>
  <c r="L313" i="3" s="1"/>
  <c r="A312" i="3"/>
  <c r="J312" i="3" s="1"/>
  <c r="K312" i="3" s="1"/>
  <c r="L312" i="3" s="1"/>
  <c r="A311" i="3"/>
  <c r="J311" i="3" s="1"/>
  <c r="K311" i="3" s="1"/>
  <c r="L311" i="3" s="1"/>
  <c r="A310" i="3"/>
  <c r="J310" i="3" s="1"/>
  <c r="K310" i="3" s="1"/>
  <c r="L310" i="3" s="1"/>
  <c r="A309" i="3"/>
  <c r="J309" i="3" s="1"/>
  <c r="K309" i="3" s="1"/>
  <c r="L309" i="3" s="1"/>
  <c r="J306" i="3"/>
  <c r="K306" i="3" s="1"/>
  <c r="L306" i="3" s="1"/>
  <c r="J305" i="3"/>
  <c r="K305" i="3" s="1"/>
  <c r="L305" i="3" s="1"/>
  <c r="J304" i="3"/>
  <c r="K304" i="3" s="1"/>
  <c r="L304" i="3" s="1"/>
  <c r="D6" i="4"/>
  <c r="C19" i="8" s="1"/>
  <c r="C11" i="9"/>
  <c r="C9" i="13" l="1"/>
  <c r="C8" i="13"/>
  <c r="C7" i="13"/>
  <c r="C6" i="13"/>
  <c r="C5" i="13"/>
  <c r="C3" i="13"/>
  <c r="B8" i="14"/>
  <c r="C8" i="14" s="1"/>
  <c r="J28" i="8"/>
  <c r="H28" i="8"/>
  <c r="D28" i="8"/>
  <c r="B28" i="8"/>
  <c r="G9" i="8"/>
  <c r="C9" i="8"/>
  <c r="I18" i="7"/>
  <c r="G18" i="7"/>
  <c r="D18" i="7"/>
  <c r="C18" i="7"/>
  <c r="I17" i="7"/>
  <c r="G17" i="7"/>
  <c r="D17" i="7"/>
  <c r="C17" i="7"/>
  <c r="I16" i="7"/>
  <c r="G16" i="7"/>
  <c r="D16" i="7"/>
  <c r="C16" i="7"/>
  <c r="I15" i="7"/>
  <c r="G15" i="7"/>
  <c r="D15" i="7"/>
  <c r="C15" i="7"/>
  <c r="H14" i="7"/>
  <c r="C14" i="7"/>
  <c r="H24" i="8"/>
  <c r="I12" i="7"/>
  <c r="G12" i="7"/>
  <c r="G24" i="8"/>
  <c r="C12" i="7"/>
  <c r="I11" i="7"/>
  <c r="G11" i="7"/>
  <c r="D11" i="7"/>
  <c r="C11" i="7"/>
  <c r="I10" i="7"/>
  <c r="G10" i="7"/>
  <c r="D10" i="7"/>
  <c r="C10" i="7"/>
  <c r="I9" i="7"/>
  <c r="G9" i="7"/>
  <c r="D9" i="7"/>
  <c r="C9" i="7"/>
  <c r="I8" i="7"/>
  <c r="G8" i="7"/>
  <c r="D8" i="7"/>
  <c r="C8" i="7"/>
  <c r="I7" i="7"/>
  <c r="G7" i="7"/>
  <c r="D7" i="7"/>
  <c r="C7" i="7"/>
  <c r="G4" i="7"/>
  <c r="B5" i="14"/>
  <c r="C5" i="14" s="1"/>
  <c r="G303" i="6"/>
  <c r="F303" i="6"/>
  <c r="F304" i="10" s="1"/>
  <c r="E303" i="6"/>
  <c r="D303" i="6"/>
  <c r="C303" i="6"/>
  <c r="C304" i="10" s="1"/>
  <c r="B303" i="6"/>
  <c r="B304" i="10" s="1"/>
  <c r="G302" i="6"/>
  <c r="F302" i="6"/>
  <c r="F303" i="10" s="1"/>
  <c r="E302" i="6"/>
  <c r="D302" i="6"/>
  <c r="C302" i="6"/>
  <c r="C303" i="10" s="1"/>
  <c r="B302" i="6"/>
  <c r="B303" i="10" s="1"/>
  <c r="G301" i="6"/>
  <c r="F301" i="6"/>
  <c r="F302" i="10" s="1"/>
  <c r="E301" i="6"/>
  <c r="D301" i="6"/>
  <c r="C301" i="6"/>
  <c r="C302" i="10" s="1"/>
  <c r="B301" i="6"/>
  <c r="B302" i="10" s="1"/>
  <c r="G300" i="6"/>
  <c r="F300" i="6"/>
  <c r="F301" i="10" s="1"/>
  <c r="E300" i="6"/>
  <c r="D300" i="6"/>
  <c r="C300" i="6"/>
  <c r="C301" i="10" s="1"/>
  <c r="B300" i="6"/>
  <c r="B301" i="10" s="1"/>
  <c r="G299" i="6"/>
  <c r="F299" i="6"/>
  <c r="F300" i="10" s="1"/>
  <c r="E299" i="6"/>
  <c r="D299" i="6"/>
  <c r="C299" i="6"/>
  <c r="C300" i="10" s="1"/>
  <c r="B299" i="6"/>
  <c r="B300" i="10" s="1"/>
  <c r="G298" i="6"/>
  <c r="F298" i="6"/>
  <c r="F299" i="10" s="1"/>
  <c r="E298" i="6"/>
  <c r="D298" i="6"/>
  <c r="C298" i="6"/>
  <c r="C299" i="10" s="1"/>
  <c r="B298" i="6"/>
  <c r="B299" i="10" s="1"/>
  <c r="G297" i="6"/>
  <c r="F297" i="6"/>
  <c r="F298" i="10" s="1"/>
  <c r="E297" i="6"/>
  <c r="D297" i="6"/>
  <c r="C297" i="6"/>
  <c r="C298" i="10" s="1"/>
  <c r="B297" i="6"/>
  <c r="B298" i="10" s="1"/>
  <c r="G296" i="6"/>
  <c r="F296" i="6"/>
  <c r="F297" i="10" s="1"/>
  <c r="E296" i="6"/>
  <c r="D296" i="6"/>
  <c r="C296" i="6"/>
  <c r="C297" i="10" s="1"/>
  <c r="B296" i="6"/>
  <c r="B297" i="10" s="1"/>
  <c r="G295" i="6"/>
  <c r="F295" i="6"/>
  <c r="F296" i="10" s="1"/>
  <c r="E295" i="6"/>
  <c r="D295" i="6"/>
  <c r="C295" i="6"/>
  <c r="C296" i="10" s="1"/>
  <c r="B295" i="6"/>
  <c r="B296" i="10" s="1"/>
  <c r="G294" i="6"/>
  <c r="F294" i="6"/>
  <c r="F295" i="10" s="1"/>
  <c r="E294" i="6"/>
  <c r="D294" i="6"/>
  <c r="C294" i="6"/>
  <c r="C295" i="10" s="1"/>
  <c r="B294" i="6"/>
  <c r="B295" i="10" s="1"/>
  <c r="G293" i="6"/>
  <c r="F293" i="6"/>
  <c r="F294" i="10" s="1"/>
  <c r="E293" i="6"/>
  <c r="D293" i="6"/>
  <c r="C293" i="6"/>
  <c r="C294" i="10" s="1"/>
  <c r="B293" i="6"/>
  <c r="B294" i="10" s="1"/>
  <c r="G292" i="6"/>
  <c r="F292" i="6"/>
  <c r="F293" i="10" s="1"/>
  <c r="E292" i="6"/>
  <c r="D292" i="6"/>
  <c r="C292" i="6"/>
  <c r="C293" i="10" s="1"/>
  <c r="B292" i="6"/>
  <c r="B293" i="10" s="1"/>
  <c r="G291" i="6"/>
  <c r="F291" i="6"/>
  <c r="F292" i="10" s="1"/>
  <c r="E291" i="6"/>
  <c r="D291" i="6"/>
  <c r="C291" i="6"/>
  <c r="C292" i="10" s="1"/>
  <c r="B291" i="6"/>
  <c r="B292" i="10" s="1"/>
  <c r="G290" i="6"/>
  <c r="F290" i="6"/>
  <c r="F291" i="10" s="1"/>
  <c r="E290" i="6"/>
  <c r="D290" i="6"/>
  <c r="C290" i="6"/>
  <c r="C291" i="10" s="1"/>
  <c r="B290" i="6"/>
  <c r="B291" i="10" s="1"/>
  <c r="G289" i="6"/>
  <c r="F289" i="6"/>
  <c r="F290" i="10" s="1"/>
  <c r="E289" i="6"/>
  <c r="D289" i="6"/>
  <c r="C289" i="6"/>
  <c r="C290" i="10" s="1"/>
  <c r="B289" i="6"/>
  <c r="B290" i="10" s="1"/>
  <c r="G288" i="6"/>
  <c r="F288" i="6"/>
  <c r="F289" i="10" s="1"/>
  <c r="E288" i="6"/>
  <c r="D288" i="6"/>
  <c r="C288" i="6"/>
  <c r="C289" i="10" s="1"/>
  <c r="B288" i="6"/>
  <c r="B289" i="10" s="1"/>
  <c r="G287" i="6"/>
  <c r="F287" i="6"/>
  <c r="F288" i="10" s="1"/>
  <c r="E287" i="6"/>
  <c r="D287" i="6"/>
  <c r="C287" i="6"/>
  <c r="C288" i="10" s="1"/>
  <c r="B287" i="6"/>
  <c r="B288" i="10" s="1"/>
  <c r="G286" i="6"/>
  <c r="F286" i="6"/>
  <c r="F287" i="10" s="1"/>
  <c r="E286" i="6"/>
  <c r="D286" i="6"/>
  <c r="C286" i="6"/>
  <c r="C287" i="10" s="1"/>
  <c r="B286" i="6"/>
  <c r="B287" i="10" s="1"/>
  <c r="G285" i="6"/>
  <c r="F285" i="6"/>
  <c r="F286" i="10" s="1"/>
  <c r="E285" i="6"/>
  <c r="D285" i="6"/>
  <c r="C285" i="6"/>
  <c r="C286" i="10" s="1"/>
  <c r="B285" i="6"/>
  <c r="B286" i="10" s="1"/>
  <c r="G284" i="6"/>
  <c r="F284" i="6"/>
  <c r="F285" i="10" s="1"/>
  <c r="E284" i="6"/>
  <c r="D284" i="6"/>
  <c r="C284" i="6"/>
  <c r="C285" i="10" s="1"/>
  <c r="B284" i="6"/>
  <c r="B285" i="10" s="1"/>
  <c r="G283" i="6"/>
  <c r="F283" i="6"/>
  <c r="F284" i="10" s="1"/>
  <c r="E283" i="6"/>
  <c r="D283" i="6"/>
  <c r="C283" i="6"/>
  <c r="C284" i="10" s="1"/>
  <c r="B283" i="6"/>
  <c r="B284" i="10" s="1"/>
  <c r="G282" i="6"/>
  <c r="F282" i="6"/>
  <c r="F283" i="10" s="1"/>
  <c r="E282" i="6"/>
  <c r="D282" i="6"/>
  <c r="C282" i="6"/>
  <c r="C283" i="10" s="1"/>
  <c r="B282" i="6"/>
  <c r="B283" i="10" s="1"/>
  <c r="G281" i="6"/>
  <c r="F281" i="6"/>
  <c r="F282" i="10" s="1"/>
  <c r="E281" i="6"/>
  <c r="D281" i="6"/>
  <c r="C281" i="6"/>
  <c r="C282" i="10" s="1"/>
  <c r="B281" i="6"/>
  <c r="B282" i="10" s="1"/>
  <c r="G280" i="6"/>
  <c r="F280" i="6"/>
  <c r="F281" i="10" s="1"/>
  <c r="E280" i="6"/>
  <c r="D280" i="6"/>
  <c r="C280" i="6"/>
  <c r="C281" i="10" s="1"/>
  <c r="B280" i="6"/>
  <c r="B281" i="10" s="1"/>
  <c r="G279" i="6"/>
  <c r="F279" i="6"/>
  <c r="F280" i="10" s="1"/>
  <c r="E279" i="6"/>
  <c r="D279" i="6"/>
  <c r="C279" i="6"/>
  <c r="C280" i="10" s="1"/>
  <c r="B279" i="6"/>
  <c r="B280" i="10" s="1"/>
  <c r="G278" i="6"/>
  <c r="F278" i="6"/>
  <c r="F279" i="10" s="1"/>
  <c r="E278" i="6"/>
  <c r="D278" i="6"/>
  <c r="C278" i="6"/>
  <c r="C279" i="10" s="1"/>
  <c r="B278" i="6"/>
  <c r="B279" i="10" s="1"/>
  <c r="G277" i="6"/>
  <c r="F277" i="6"/>
  <c r="F278" i="10" s="1"/>
  <c r="E277" i="6"/>
  <c r="D277" i="6"/>
  <c r="C277" i="6"/>
  <c r="C278" i="10" s="1"/>
  <c r="B277" i="6"/>
  <c r="B278" i="10" s="1"/>
  <c r="G276" i="6"/>
  <c r="F276" i="6"/>
  <c r="F277" i="10" s="1"/>
  <c r="E276" i="6"/>
  <c r="D276" i="6"/>
  <c r="C276" i="6"/>
  <c r="C277" i="10" s="1"/>
  <c r="B276" i="6"/>
  <c r="B277" i="10" s="1"/>
  <c r="G275" i="6"/>
  <c r="F275" i="6"/>
  <c r="F276" i="10" s="1"/>
  <c r="E275" i="6"/>
  <c r="D275" i="6"/>
  <c r="C275" i="6"/>
  <c r="C276" i="10" s="1"/>
  <c r="B275" i="6"/>
  <c r="B276" i="10" s="1"/>
  <c r="G274" i="6"/>
  <c r="F274" i="6"/>
  <c r="F275" i="10" s="1"/>
  <c r="E274" i="6"/>
  <c r="D274" i="6"/>
  <c r="C274" i="6"/>
  <c r="C275" i="10" s="1"/>
  <c r="B274" i="6"/>
  <c r="B275" i="10" s="1"/>
  <c r="G273" i="6"/>
  <c r="F273" i="6"/>
  <c r="F274" i="10" s="1"/>
  <c r="E273" i="6"/>
  <c r="D273" i="6"/>
  <c r="C273" i="6"/>
  <c r="C274" i="10" s="1"/>
  <c r="B273" i="6"/>
  <c r="B274" i="10" s="1"/>
  <c r="G272" i="6"/>
  <c r="F272" i="6"/>
  <c r="F273" i="10" s="1"/>
  <c r="E272" i="6"/>
  <c r="D272" i="6"/>
  <c r="C272" i="6"/>
  <c r="C273" i="10" s="1"/>
  <c r="B272" i="6"/>
  <c r="B273" i="10" s="1"/>
  <c r="G271" i="6"/>
  <c r="F271" i="6"/>
  <c r="F272" i="10" s="1"/>
  <c r="E271" i="6"/>
  <c r="D271" i="6"/>
  <c r="C271" i="6"/>
  <c r="C272" i="10" s="1"/>
  <c r="B271" i="6"/>
  <c r="B272" i="10" s="1"/>
  <c r="G270" i="6"/>
  <c r="F270" i="6"/>
  <c r="F271" i="10" s="1"/>
  <c r="E270" i="6"/>
  <c r="D270" i="6"/>
  <c r="C270" i="6"/>
  <c r="C271" i="10" s="1"/>
  <c r="B270" i="6"/>
  <c r="B271" i="10" s="1"/>
  <c r="G269" i="6"/>
  <c r="F269" i="6"/>
  <c r="F270" i="10" s="1"/>
  <c r="E269" i="6"/>
  <c r="D269" i="6"/>
  <c r="C269" i="6"/>
  <c r="C270" i="10" s="1"/>
  <c r="B269" i="6"/>
  <c r="B270" i="10" s="1"/>
  <c r="G268" i="6"/>
  <c r="F268" i="6"/>
  <c r="F269" i="10" s="1"/>
  <c r="E268" i="6"/>
  <c r="D268" i="6"/>
  <c r="C268" i="6"/>
  <c r="C269" i="10" s="1"/>
  <c r="B268" i="6"/>
  <c r="B269" i="10" s="1"/>
  <c r="G267" i="6"/>
  <c r="F267" i="6"/>
  <c r="F268" i="10" s="1"/>
  <c r="E267" i="6"/>
  <c r="D267" i="6"/>
  <c r="C267" i="6"/>
  <c r="C268" i="10" s="1"/>
  <c r="B267" i="6"/>
  <c r="B268" i="10" s="1"/>
  <c r="G266" i="6"/>
  <c r="F266" i="6"/>
  <c r="F267" i="10" s="1"/>
  <c r="E266" i="6"/>
  <c r="D266" i="6"/>
  <c r="C266" i="6"/>
  <c r="C267" i="10" s="1"/>
  <c r="B266" i="6"/>
  <c r="B267" i="10" s="1"/>
  <c r="G265" i="6"/>
  <c r="F265" i="6"/>
  <c r="F266" i="10" s="1"/>
  <c r="E265" i="6"/>
  <c r="D265" i="6"/>
  <c r="C265" i="6"/>
  <c r="C266" i="10" s="1"/>
  <c r="B265" i="6"/>
  <c r="B266" i="10" s="1"/>
  <c r="G264" i="6"/>
  <c r="F264" i="6"/>
  <c r="F265" i="10" s="1"/>
  <c r="E264" i="6"/>
  <c r="D264" i="6"/>
  <c r="C264" i="6"/>
  <c r="C265" i="10" s="1"/>
  <c r="B264" i="6"/>
  <c r="B265" i="10" s="1"/>
  <c r="G263" i="6"/>
  <c r="F263" i="6"/>
  <c r="F264" i="10" s="1"/>
  <c r="E263" i="6"/>
  <c r="D263" i="6"/>
  <c r="C263" i="6"/>
  <c r="C264" i="10" s="1"/>
  <c r="B263" i="6"/>
  <c r="B264" i="10" s="1"/>
  <c r="G262" i="6"/>
  <c r="F262" i="6"/>
  <c r="F263" i="10" s="1"/>
  <c r="E262" i="6"/>
  <c r="D262" i="6"/>
  <c r="C262" i="6"/>
  <c r="C263" i="10" s="1"/>
  <c r="B262" i="6"/>
  <c r="B263" i="10" s="1"/>
  <c r="G261" i="6"/>
  <c r="F261" i="6"/>
  <c r="F262" i="10" s="1"/>
  <c r="E261" i="6"/>
  <c r="D261" i="6"/>
  <c r="C261" i="6"/>
  <c r="C262" i="10" s="1"/>
  <c r="B261" i="6"/>
  <c r="B262" i="10" s="1"/>
  <c r="G260" i="6"/>
  <c r="F260" i="6"/>
  <c r="F261" i="10" s="1"/>
  <c r="E260" i="6"/>
  <c r="D260" i="6"/>
  <c r="C260" i="6"/>
  <c r="C261" i="10" s="1"/>
  <c r="B260" i="6"/>
  <c r="B261" i="10" s="1"/>
  <c r="G259" i="6"/>
  <c r="F259" i="6"/>
  <c r="F260" i="10" s="1"/>
  <c r="E259" i="6"/>
  <c r="D259" i="6"/>
  <c r="C259" i="6"/>
  <c r="C260" i="10" s="1"/>
  <c r="B259" i="6"/>
  <c r="B260" i="10" s="1"/>
  <c r="G258" i="6"/>
  <c r="F258" i="6"/>
  <c r="F259" i="10" s="1"/>
  <c r="E258" i="6"/>
  <c r="D258" i="6"/>
  <c r="C258" i="6"/>
  <c r="C259" i="10" s="1"/>
  <c r="B258" i="6"/>
  <c r="B259" i="10" s="1"/>
  <c r="G257" i="6"/>
  <c r="F257" i="6"/>
  <c r="F258" i="10" s="1"/>
  <c r="E257" i="6"/>
  <c r="D257" i="6"/>
  <c r="C257" i="6"/>
  <c r="C258" i="10" s="1"/>
  <c r="B257" i="6"/>
  <c r="B258" i="10" s="1"/>
  <c r="G256" i="6"/>
  <c r="F256" i="6"/>
  <c r="F257" i="10" s="1"/>
  <c r="E256" i="6"/>
  <c r="D256" i="6"/>
  <c r="C256" i="6"/>
  <c r="C257" i="10" s="1"/>
  <c r="B256" i="6"/>
  <c r="B257" i="10" s="1"/>
  <c r="G255" i="6"/>
  <c r="F255" i="6"/>
  <c r="F256" i="10" s="1"/>
  <c r="E255" i="6"/>
  <c r="D255" i="6"/>
  <c r="C255" i="6"/>
  <c r="C256" i="10" s="1"/>
  <c r="B255" i="6"/>
  <c r="B256" i="10" s="1"/>
  <c r="G254" i="6"/>
  <c r="F254" i="6"/>
  <c r="F255" i="10" s="1"/>
  <c r="E254" i="6"/>
  <c r="D254" i="6"/>
  <c r="C254" i="6"/>
  <c r="C255" i="10" s="1"/>
  <c r="B254" i="6"/>
  <c r="B255" i="10" s="1"/>
  <c r="G253" i="6"/>
  <c r="F253" i="6"/>
  <c r="F254" i="10" s="1"/>
  <c r="E253" i="6"/>
  <c r="D253" i="6"/>
  <c r="C253" i="6"/>
  <c r="C254" i="10" s="1"/>
  <c r="B253" i="6"/>
  <c r="B254" i="10" s="1"/>
  <c r="G252" i="6"/>
  <c r="F252" i="6"/>
  <c r="F253" i="10" s="1"/>
  <c r="E252" i="6"/>
  <c r="D252" i="6"/>
  <c r="C252" i="6"/>
  <c r="C253" i="10" s="1"/>
  <c r="B252" i="6"/>
  <c r="B253" i="10" s="1"/>
  <c r="G251" i="6"/>
  <c r="F251" i="6"/>
  <c r="F252" i="10" s="1"/>
  <c r="E251" i="6"/>
  <c r="D251" i="6"/>
  <c r="C251" i="6"/>
  <c r="C252" i="10" s="1"/>
  <c r="B251" i="6"/>
  <c r="B252" i="10" s="1"/>
  <c r="G250" i="6"/>
  <c r="F250" i="6"/>
  <c r="F251" i="10" s="1"/>
  <c r="E250" i="6"/>
  <c r="D250" i="6"/>
  <c r="C250" i="6"/>
  <c r="C251" i="10" s="1"/>
  <c r="B250" i="6"/>
  <c r="B251" i="10" s="1"/>
  <c r="G249" i="6"/>
  <c r="F249" i="6"/>
  <c r="F250" i="10" s="1"/>
  <c r="E249" i="6"/>
  <c r="D249" i="6"/>
  <c r="C249" i="6"/>
  <c r="C250" i="10" s="1"/>
  <c r="B249" i="6"/>
  <c r="B250" i="10" s="1"/>
  <c r="G248" i="6"/>
  <c r="F248" i="6"/>
  <c r="F249" i="10" s="1"/>
  <c r="E248" i="6"/>
  <c r="D248" i="6"/>
  <c r="C248" i="6"/>
  <c r="C249" i="10" s="1"/>
  <c r="B248" i="6"/>
  <c r="B249" i="10" s="1"/>
  <c r="G247" i="6"/>
  <c r="F247" i="6"/>
  <c r="F248" i="10" s="1"/>
  <c r="E247" i="6"/>
  <c r="D247" i="6"/>
  <c r="C247" i="6"/>
  <c r="C248" i="10" s="1"/>
  <c r="B247" i="6"/>
  <c r="B248" i="10" s="1"/>
  <c r="G246" i="6"/>
  <c r="F246" i="6"/>
  <c r="F247" i="10" s="1"/>
  <c r="E246" i="6"/>
  <c r="D246" i="6"/>
  <c r="C246" i="6"/>
  <c r="C247" i="10" s="1"/>
  <c r="B246" i="6"/>
  <c r="B247" i="10" s="1"/>
  <c r="G245" i="6"/>
  <c r="F245" i="6"/>
  <c r="F246" i="10" s="1"/>
  <c r="E245" i="6"/>
  <c r="D245" i="6"/>
  <c r="C245" i="6"/>
  <c r="C246" i="10" s="1"/>
  <c r="B245" i="6"/>
  <c r="B246" i="10" s="1"/>
  <c r="G244" i="6"/>
  <c r="F244" i="6"/>
  <c r="F245" i="10" s="1"/>
  <c r="E244" i="6"/>
  <c r="D244" i="6"/>
  <c r="C244" i="6"/>
  <c r="C245" i="10" s="1"/>
  <c r="B244" i="6"/>
  <c r="B245" i="10" s="1"/>
  <c r="G243" i="6"/>
  <c r="F243" i="6"/>
  <c r="F244" i="10" s="1"/>
  <c r="E243" i="6"/>
  <c r="D243" i="6"/>
  <c r="C243" i="6"/>
  <c r="C244" i="10" s="1"/>
  <c r="B243" i="6"/>
  <c r="B244" i="10" s="1"/>
  <c r="G242" i="6"/>
  <c r="F242" i="6"/>
  <c r="F243" i="10" s="1"/>
  <c r="E242" i="6"/>
  <c r="D242" i="6"/>
  <c r="C242" i="6"/>
  <c r="C243" i="10" s="1"/>
  <c r="B242" i="6"/>
  <c r="B243" i="10" s="1"/>
  <c r="G241" i="6"/>
  <c r="F241" i="6"/>
  <c r="F242" i="10" s="1"/>
  <c r="E241" i="6"/>
  <c r="D241" i="6"/>
  <c r="C241" i="6"/>
  <c r="C242" i="10" s="1"/>
  <c r="B241" i="6"/>
  <c r="B242" i="10" s="1"/>
  <c r="G240" i="6"/>
  <c r="F240" i="6"/>
  <c r="F241" i="10" s="1"/>
  <c r="E240" i="6"/>
  <c r="D240" i="6"/>
  <c r="C240" i="6"/>
  <c r="C241" i="10" s="1"/>
  <c r="B240" i="6"/>
  <c r="B241" i="10" s="1"/>
  <c r="G239" i="6"/>
  <c r="F239" i="6"/>
  <c r="F240" i="10" s="1"/>
  <c r="E239" i="6"/>
  <c r="D239" i="6"/>
  <c r="C239" i="6"/>
  <c r="C240" i="10" s="1"/>
  <c r="B239" i="6"/>
  <c r="B240" i="10" s="1"/>
  <c r="G238" i="6"/>
  <c r="F238" i="6"/>
  <c r="F239" i="10" s="1"/>
  <c r="E238" i="6"/>
  <c r="D238" i="6"/>
  <c r="C238" i="6"/>
  <c r="C239" i="10" s="1"/>
  <c r="B238" i="6"/>
  <c r="B239" i="10" s="1"/>
  <c r="G237" i="6"/>
  <c r="F237" i="6"/>
  <c r="F238" i="10" s="1"/>
  <c r="E237" i="6"/>
  <c r="D237" i="6"/>
  <c r="C237" i="6"/>
  <c r="C238" i="10" s="1"/>
  <c r="B237" i="6"/>
  <c r="B238" i="10" s="1"/>
  <c r="G236" i="6"/>
  <c r="F236" i="6"/>
  <c r="F237" i="10" s="1"/>
  <c r="E236" i="6"/>
  <c r="D236" i="6"/>
  <c r="C236" i="6"/>
  <c r="C237" i="10" s="1"/>
  <c r="B236" i="6"/>
  <c r="B237" i="10" s="1"/>
  <c r="G235" i="6"/>
  <c r="F235" i="6"/>
  <c r="F236" i="10" s="1"/>
  <c r="E235" i="6"/>
  <c r="D235" i="6"/>
  <c r="C235" i="6"/>
  <c r="C236" i="10" s="1"/>
  <c r="B235" i="6"/>
  <c r="B236" i="10" s="1"/>
  <c r="G234" i="6"/>
  <c r="F234" i="6"/>
  <c r="F235" i="10" s="1"/>
  <c r="E234" i="6"/>
  <c r="D234" i="6"/>
  <c r="C234" i="6"/>
  <c r="C235" i="10" s="1"/>
  <c r="B234" i="6"/>
  <c r="B235" i="10" s="1"/>
  <c r="G233" i="6"/>
  <c r="F233" i="6"/>
  <c r="F234" i="10" s="1"/>
  <c r="E233" i="6"/>
  <c r="D233" i="6"/>
  <c r="C233" i="6"/>
  <c r="C234" i="10" s="1"/>
  <c r="B233" i="6"/>
  <c r="B234" i="10" s="1"/>
  <c r="G232" i="6"/>
  <c r="F232" i="6"/>
  <c r="F233" i="10" s="1"/>
  <c r="E232" i="6"/>
  <c r="D232" i="6"/>
  <c r="C232" i="6"/>
  <c r="C233" i="10" s="1"/>
  <c r="B232" i="6"/>
  <c r="B233" i="10" s="1"/>
  <c r="G231" i="6"/>
  <c r="F231" i="6"/>
  <c r="F232" i="10" s="1"/>
  <c r="E231" i="6"/>
  <c r="D231" i="6"/>
  <c r="C231" i="6"/>
  <c r="C232" i="10" s="1"/>
  <c r="B231" i="6"/>
  <c r="B232" i="10" s="1"/>
  <c r="G230" i="6"/>
  <c r="F230" i="6"/>
  <c r="F231" i="10" s="1"/>
  <c r="E230" i="6"/>
  <c r="D230" i="6"/>
  <c r="C230" i="6"/>
  <c r="C231" i="10" s="1"/>
  <c r="B230" i="6"/>
  <c r="B231" i="10" s="1"/>
  <c r="G229" i="6"/>
  <c r="F229" i="6"/>
  <c r="F230" i="10" s="1"/>
  <c r="E229" i="6"/>
  <c r="D229" i="6"/>
  <c r="C229" i="6"/>
  <c r="C230" i="10" s="1"/>
  <c r="B229" i="6"/>
  <c r="B230" i="10" s="1"/>
  <c r="G228" i="6"/>
  <c r="F228" i="6"/>
  <c r="F229" i="10" s="1"/>
  <c r="E228" i="6"/>
  <c r="D228" i="6"/>
  <c r="C228" i="6"/>
  <c r="C229" i="10" s="1"/>
  <c r="B228" i="6"/>
  <c r="B229" i="10" s="1"/>
  <c r="G227" i="6"/>
  <c r="F227" i="6"/>
  <c r="F228" i="10" s="1"/>
  <c r="E227" i="6"/>
  <c r="D227" i="6"/>
  <c r="C227" i="6"/>
  <c r="C228" i="10" s="1"/>
  <c r="B227" i="6"/>
  <c r="B228" i="10" s="1"/>
  <c r="G226" i="6"/>
  <c r="F226" i="6"/>
  <c r="F227" i="10" s="1"/>
  <c r="E226" i="6"/>
  <c r="D226" i="6"/>
  <c r="C226" i="6"/>
  <c r="C227" i="10" s="1"/>
  <c r="B226" i="6"/>
  <c r="B227" i="10" s="1"/>
  <c r="G225" i="6"/>
  <c r="F225" i="6"/>
  <c r="F226" i="10" s="1"/>
  <c r="E225" i="6"/>
  <c r="D225" i="6"/>
  <c r="C225" i="6"/>
  <c r="C226" i="10" s="1"/>
  <c r="B225" i="6"/>
  <c r="B226" i="10" s="1"/>
  <c r="G224" i="6"/>
  <c r="F224" i="6"/>
  <c r="F225" i="10" s="1"/>
  <c r="E224" i="6"/>
  <c r="D224" i="6"/>
  <c r="C224" i="6"/>
  <c r="C225" i="10" s="1"/>
  <c r="B224" i="6"/>
  <c r="B225" i="10" s="1"/>
  <c r="G223" i="6"/>
  <c r="F223" i="6"/>
  <c r="F224" i="10" s="1"/>
  <c r="E223" i="6"/>
  <c r="D223" i="6"/>
  <c r="C223" i="6"/>
  <c r="C224" i="10" s="1"/>
  <c r="B223" i="6"/>
  <c r="B224" i="10" s="1"/>
  <c r="G222" i="6"/>
  <c r="F222" i="6"/>
  <c r="F223" i="10" s="1"/>
  <c r="E222" i="6"/>
  <c r="D222" i="6"/>
  <c r="C222" i="6"/>
  <c r="C223" i="10" s="1"/>
  <c r="B222" i="6"/>
  <c r="B223" i="10" s="1"/>
  <c r="G221" i="6"/>
  <c r="F221" i="6"/>
  <c r="F222" i="10" s="1"/>
  <c r="E221" i="6"/>
  <c r="D221" i="6"/>
  <c r="C221" i="6"/>
  <c r="C222" i="10" s="1"/>
  <c r="B221" i="6"/>
  <c r="B222" i="10" s="1"/>
  <c r="G220" i="6"/>
  <c r="F220" i="6"/>
  <c r="F221" i="10" s="1"/>
  <c r="E220" i="6"/>
  <c r="D220" i="6"/>
  <c r="C220" i="6"/>
  <c r="C221" i="10" s="1"/>
  <c r="B220" i="6"/>
  <c r="B221" i="10" s="1"/>
  <c r="G219" i="6"/>
  <c r="F219" i="6"/>
  <c r="F220" i="10" s="1"/>
  <c r="E219" i="6"/>
  <c r="D219" i="6"/>
  <c r="C219" i="6"/>
  <c r="C220" i="10" s="1"/>
  <c r="B219" i="6"/>
  <c r="B220" i="10" s="1"/>
  <c r="G218" i="6"/>
  <c r="F218" i="6"/>
  <c r="F219" i="10" s="1"/>
  <c r="E218" i="6"/>
  <c r="D218" i="6"/>
  <c r="C218" i="6"/>
  <c r="C219" i="10" s="1"/>
  <c r="B218" i="6"/>
  <c r="B219" i="10" s="1"/>
  <c r="G217" i="6"/>
  <c r="F217" i="6"/>
  <c r="F218" i="10" s="1"/>
  <c r="E217" i="6"/>
  <c r="D217" i="6"/>
  <c r="C217" i="6"/>
  <c r="C218" i="10" s="1"/>
  <c r="B217" i="6"/>
  <c r="B218" i="10" s="1"/>
  <c r="G216" i="6"/>
  <c r="F216" i="6"/>
  <c r="F217" i="10" s="1"/>
  <c r="E216" i="6"/>
  <c r="D216" i="6"/>
  <c r="C216" i="6"/>
  <c r="C217" i="10" s="1"/>
  <c r="B216" i="6"/>
  <c r="B217" i="10" s="1"/>
  <c r="G215" i="6"/>
  <c r="F215" i="6"/>
  <c r="F216" i="10" s="1"/>
  <c r="E215" i="6"/>
  <c r="D215" i="6"/>
  <c r="C215" i="6"/>
  <c r="C216" i="10" s="1"/>
  <c r="B215" i="6"/>
  <c r="B216" i="10" s="1"/>
  <c r="G214" i="6"/>
  <c r="F214" i="6"/>
  <c r="F215" i="10" s="1"/>
  <c r="E214" i="6"/>
  <c r="D214" i="6"/>
  <c r="C214" i="6"/>
  <c r="C215" i="10" s="1"/>
  <c r="B214" i="6"/>
  <c r="B215" i="10" s="1"/>
  <c r="G213" i="6"/>
  <c r="F213" i="6"/>
  <c r="F214" i="10" s="1"/>
  <c r="E213" i="6"/>
  <c r="D213" i="6"/>
  <c r="C213" i="6"/>
  <c r="C214" i="10" s="1"/>
  <c r="B213" i="6"/>
  <c r="B214" i="10" s="1"/>
  <c r="G212" i="6"/>
  <c r="F212" i="6"/>
  <c r="F213" i="10" s="1"/>
  <c r="E212" i="6"/>
  <c r="D212" i="6"/>
  <c r="C212" i="6"/>
  <c r="C213" i="10" s="1"/>
  <c r="B212" i="6"/>
  <c r="B213" i="10" s="1"/>
  <c r="G211" i="6"/>
  <c r="F211" i="6"/>
  <c r="F212" i="10" s="1"/>
  <c r="E211" i="6"/>
  <c r="D211" i="6"/>
  <c r="C211" i="6"/>
  <c r="C212" i="10" s="1"/>
  <c r="B211" i="6"/>
  <c r="B212" i="10" s="1"/>
  <c r="G210" i="6"/>
  <c r="F210" i="6"/>
  <c r="F211" i="10" s="1"/>
  <c r="E210" i="6"/>
  <c r="D210" i="6"/>
  <c r="C210" i="6"/>
  <c r="C211" i="10" s="1"/>
  <c r="B210" i="6"/>
  <c r="B211" i="10" s="1"/>
  <c r="G209" i="6"/>
  <c r="F209" i="6"/>
  <c r="F210" i="10" s="1"/>
  <c r="E209" i="6"/>
  <c r="D209" i="6"/>
  <c r="C209" i="6"/>
  <c r="C210" i="10" s="1"/>
  <c r="B209" i="6"/>
  <c r="B210" i="10" s="1"/>
  <c r="G208" i="6"/>
  <c r="F208" i="6"/>
  <c r="F209" i="10" s="1"/>
  <c r="E208" i="6"/>
  <c r="D208" i="6"/>
  <c r="C208" i="6"/>
  <c r="C209" i="10" s="1"/>
  <c r="B208" i="6"/>
  <c r="B209" i="10" s="1"/>
  <c r="G207" i="6"/>
  <c r="F207" i="6"/>
  <c r="F208" i="10" s="1"/>
  <c r="E207" i="6"/>
  <c r="D207" i="6"/>
  <c r="C207" i="6"/>
  <c r="C208" i="10" s="1"/>
  <c r="B207" i="6"/>
  <c r="B208" i="10" s="1"/>
  <c r="G206" i="6"/>
  <c r="F206" i="6"/>
  <c r="F207" i="10" s="1"/>
  <c r="E206" i="6"/>
  <c r="D206" i="6"/>
  <c r="C206" i="6"/>
  <c r="C207" i="10" s="1"/>
  <c r="B206" i="6"/>
  <c r="B207" i="10" s="1"/>
  <c r="G205" i="6"/>
  <c r="F205" i="6"/>
  <c r="F206" i="10" s="1"/>
  <c r="E205" i="6"/>
  <c r="D205" i="6"/>
  <c r="C205" i="6"/>
  <c r="C206" i="10" s="1"/>
  <c r="B205" i="6"/>
  <c r="B206" i="10" s="1"/>
  <c r="G204" i="6"/>
  <c r="F204" i="6"/>
  <c r="F205" i="10" s="1"/>
  <c r="E204" i="6"/>
  <c r="D204" i="6"/>
  <c r="C204" i="6"/>
  <c r="C205" i="10" s="1"/>
  <c r="B204" i="6"/>
  <c r="B205" i="10" s="1"/>
  <c r="G203" i="6"/>
  <c r="F203" i="6"/>
  <c r="F204" i="10" s="1"/>
  <c r="E203" i="6"/>
  <c r="D203" i="6"/>
  <c r="C203" i="6"/>
  <c r="C204" i="10" s="1"/>
  <c r="B203" i="6"/>
  <c r="B204" i="10" s="1"/>
  <c r="G202" i="6"/>
  <c r="F202" i="6"/>
  <c r="F203" i="10" s="1"/>
  <c r="E202" i="6"/>
  <c r="D202" i="6"/>
  <c r="C202" i="6"/>
  <c r="C203" i="10" s="1"/>
  <c r="B202" i="6"/>
  <c r="B203" i="10" s="1"/>
  <c r="G201" i="6"/>
  <c r="F201" i="6"/>
  <c r="F202" i="10" s="1"/>
  <c r="E201" i="6"/>
  <c r="D201" i="6"/>
  <c r="C201" i="6"/>
  <c r="C202" i="10" s="1"/>
  <c r="B201" i="6"/>
  <c r="B202" i="10" s="1"/>
  <c r="G200" i="6"/>
  <c r="F200" i="6"/>
  <c r="F201" i="10" s="1"/>
  <c r="E200" i="6"/>
  <c r="D200" i="6"/>
  <c r="C200" i="6"/>
  <c r="C201" i="10" s="1"/>
  <c r="B200" i="6"/>
  <c r="B201" i="10" s="1"/>
  <c r="G199" i="6"/>
  <c r="F199" i="6"/>
  <c r="F200" i="10" s="1"/>
  <c r="E199" i="6"/>
  <c r="D199" i="6"/>
  <c r="C199" i="6"/>
  <c r="C200" i="10" s="1"/>
  <c r="B199" i="6"/>
  <c r="B200" i="10" s="1"/>
  <c r="G198" i="6"/>
  <c r="F198" i="6"/>
  <c r="F199" i="10" s="1"/>
  <c r="E198" i="6"/>
  <c r="D198" i="6"/>
  <c r="C198" i="6"/>
  <c r="C199" i="10" s="1"/>
  <c r="B198" i="6"/>
  <c r="B199" i="10" s="1"/>
  <c r="G197" i="6"/>
  <c r="F197" i="6"/>
  <c r="F198" i="10" s="1"/>
  <c r="E197" i="6"/>
  <c r="D197" i="6"/>
  <c r="C197" i="6"/>
  <c r="C198" i="10" s="1"/>
  <c r="B197" i="6"/>
  <c r="B198" i="10" s="1"/>
  <c r="G196" i="6"/>
  <c r="F196" i="6"/>
  <c r="F197" i="10" s="1"/>
  <c r="E196" i="6"/>
  <c r="D196" i="6"/>
  <c r="C196" i="6"/>
  <c r="C197" i="10" s="1"/>
  <c r="B196" i="6"/>
  <c r="B197" i="10" s="1"/>
  <c r="G195" i="6"/>
  <c r="F195" i="6"/>
  <c r="F196" i="10" s="1"/>
  <c r="E195" i="6"/>
  <c r="D195" i="6"/>
  <c r="C195" i="6"/>
  <c r="C196" i="10" s="1"/>
  <c r="B195" i="6"/>
  <c r="B196" i="10" s="1"/>
  <c r="G194" i="6"/>
  <c r="F194" i="6"/>
  <c r="F195" i="10" s="1"/>
  <c r="E194" i="6"/>
  <c r="D194" i="6"/>
  <c r="C194" i="6"/>
  <c r="C195" i="10" s="1"/>
  <c r="B194" i="6"/>
  <c r="B195" i="10" s="1"/>
  <c r="G193" i="6"/>
  <c r="F193" i="6"/>
  <c r="F194" i="10" s="1"/>
  <c r="E193" i="6"/>
  <c r="D193" i="6"/>
  <c r="C193" i="6"/>
  <c r="C194" i="10" s="1"/>
  <c r="B193" i="6"/>
  <c r="B194" i="10" s="1"/>
  <c r="G192" i="6"/>
  <c r="F192" i="6"/>
  <c r="F193" i="10" s="1"/>
  <c r="E192" i="6"/>
  <c r="D192" i="6"/>
  <c r="C192" i="6"/>
  <c r="C193" i="10" s="1"/>
  <c r="B192" i="6"/>
  <c r="B193" i="10" s="1"/>
  <c r="G191" i="6"/>
  <c r="F191" i="6"/>
  <c r="F192" i="10" s="1"/>
  <c r="E191" i="6"/>
  <c r="D191" i="6"/>
  <c r="C191" i="6"/>
  <c r="C192" i="10" s="1"/>
  <c r="B191" i="6"/>
  <c r="B192" i="10" s="1"/>
  <c r="G190" i="6"/>
  <c r="F190" i="6"/>
  <c r="F191" i="10" s="1"/>
  <c r="E190" i="6"/>
  <c r="D190" i="6"/>
  <c r="C190" i="6"/>
  <c r="C191" i="10" s="1"/>
  <c r="B190" i="6"/>
  <c r="B191" i="10" s="1"/>
  <c r="G189" i="6"/>
  <c r="F189" i="6"/>
  <c r="F190" i="10" s="1"/>
  <c r="E189" i="6"/>
  <c r="D189" i="6"/>
  <c r="C189" i="6"/>
  <c r="C190" i="10" s="1"/>
  <c r="B189" i="6"/>
  <c r="B190" i="10" s="1"/>
  <c r="G188" i="6"/>
  <c r="F188" i="6"/>
  <c r="F189" i="10" s="1"/>
  <c r="E188" i="6"/>
  <c r="D188" i="6"/>
  <c r="C188" i="6"/>
  <c r="C189" i="10" s="1"/>
  <c r="B188" i="6"/>
  <c r="B189" i="10" s="1"/>
  <c r="G187" i="6"/>
  <c r="F187" i="6"/>
  <c r="F188" i="10" s="1"/>
  <c r="E187" i="6"/>
  <c r="D187" i="6"/>
  <c r="C187" i="6"/>
  <c r="C188" i="10" s="1"/>
  <c r="B187" i="6"/>
  <c r="B188" i="10" s="1"/>
  <c r="G186" i="6"/>
  <c r="F186" i="6"/>
  <c r="F187" i="10" s="1"/>
  <c r="E186" i="6"/>
  <c r="D186" i="6"/>
  <c r="C186" i="6"/>
  <c r="C187" i="10" s="1"/>
  <c r="B186" i="6"/>
  <c r="B187" i="10" s="1"/>
  <c r="G185" i="6"/>
  <c r="F185" i="6"/>
  <c r="F186" i="10" s="1"/>
  <c r="E185" i="6"/>
  <c r="D185" i="6"/>
  <c r="C185" i="6"/>
  <c r="C186" i="10" s="1"/>
  <c r="B185" i="6"/>
  <c r="B186" i="10" s="1"/>
  <c r="G184" i="6"/>
  <c r="F184" i="6"/>
  <c r="F185" i="10" s="1"/>
  <c r="E184" i="6"/>
  <c r="D184" i="6"/>
  <c r="C184" i="6"/>
  <c r="C185" i="10" s="1"/>
  <c r="B184" i="6"/>
  <c r="B185" i="10" s="1"/>
  <c r="G183" i="6"/>
  <c r="F183" i="6"/>
  <c r="F184" i="10" s="1"/>
  <c r="E183" i="6"/>
  <c r="D183" i="6"/>
  <c r="C183" i="6"/>
  <c r="C184" i="10" s="1"/>
  <c r="B183" i="6"/>
  <c r="B184" i="10" s="1"/>
  <c r="G182" i="6"/>
  <c r="F182" i="6"/>
  <c r="F183" i="10" s="1"/>
  <c r="E182" i="6"/>
  <c r="D182" i="6"/>
  <c r="C182" i="6"/>
  <c r="C183" i="10" s="1"/>
  <c r="B182" i="6"/>
  <c r="B183" i="10" s="1"/>
  <c r="G181" i="6"/>
  <c r="F181" i="6"/>
  <c r="F182" i="10" s="1"/>
  <c r="E181" i="6"/>
  <c r="D181" i="6"/>
  <c r="C181" i="6"/>
  <c r="C182" i="10" s="1"/>
  <c r="B181" i="6"/>
  <c r="B182" i="10" s="1"/>
  <c r="G180" i="6"/>
  <c r="F180" i="6"/>
  <c r="F181" i="10" s="1"/>
  <c r="E180" i="6"/>
  <c r="D180" i="6"/>
  <c r="C180" i="6"/>
  <c r="C181" i="10" s="1"/>
  <c r="B180" i="6"/>
  <c r="B181" i="10" s="1"/>
  <c r="G179" i="6"/>
  <c r="F179" i="6"/>
  <c r="F180" i="10" s="1"/>
  <c r="E179" i="6"/>
  <c r="D179" i="6"/>
  <c r="C179" i="6"/>
  <c r="C180" i="10" s="1"/>
  <c r="B179" i="6"/>
  <c r="B180" i="10" s="1"/>
  <c r="G178" i="6"/>
  <c r="F178" i="6"/>
  <c r="F179" i="10" s="1"/>
  <c r="E178" i="6"/>
  <c r="D178" i="6"/>
  <c r="C178" i="6"/>
  <c r="C179" i="10" s="1"/>
  <c r="B178" i="6"/>
  <c r="B179" i="10" s="1"/>
  <c r="G177" i="6"/>
  <c r="F177" i="6"/>
  <c r="F178" i="10" s="1"/>
  <c r="E177" i="6"/>
  <c r="D177" i="6"/>
  <c r="C177" i="6"/>
  <c r="C178" i="10" s="1"/>
  <c r="B177" i="6"/>
  <c r="B178" i="10" s="1"/>
  <c r="G176" i="6"/>
  <c r="F176" i="6"/>
  <c r="F177" i="10" s="1"/>
  <c r="E176" i="6"/>
  <c r="D176" i="6"/>
  <c r="C176" i="6"/>
  <c r="C177" i="10" s="1"/>
  <c r="B176" i="6"/>
  <c r="B177" i="10" s="1"/>
  <c r="G175" i="6"/>
  <c r="F175" i="6"/>
  <c r="F176" i="10" s="1"/>
  <c r="E175" i="6"/>
  <c r="D175" i="6"/>
  <c r="C175" i="6"/>
  <c r="C176" i="10" s="1"/>
  <c r="B175" i="6"/>
  <c r="B176" i="10" s="1"/>
  <c r="G174" i="6"/>
  <c r="F174" i="6"/>
  <c r="F175" i="10" s="1"/>
  <c r="E174" i="6"/>
  <c r="D174" i="6"/>
  <c r="C174" i="6"/>
  <c r="C175" i="10" s="1"/>
  <c r="B174" i="6"/>
  <c r="B175" i="10" s="1"/>
  <c r="G173" i="6"/>
  <c r="F173" i="6"/>
  <c r="F174" i="10" s="1"/>
  <c r="E173" i="6"/>
  <c r="D173" i="6"/>
  <c r="C173" i="6"/>
  <c r="C174" i="10" s="1"/>
  <c r="B173" i="6"/>
  <c r="B174" i="10" s="1"/>
  <c r="G172" i="6"/>
  <c r="F172" i="6"/>
  <c r="F173" i="10" s="1"/>
  <c r="E172" i="6"/>
  <c r="D172" i="6"/>
  <c r="C172" i="6"/>
  <c r="C173" i="10" s="1"/>
  <c r="B172" i="6"/>
  <c r="B173" i="10" s="1"/>
  <c r="G171" i="6"/>
  <c r="F171" i="6"/>
  <c r="F172" i="10" s="1"/>
  <c r="E171" i="6"/>
  <c r="D171" i="6"/>
  <c r="C171" i="6"/>
  <c r="C172" i="10" s="1"/>
  <c r="B171" i="6"/>
  <c r="B172" i="10" s="1"/>
  <c r="G170" i="6"/>
  <c r="F170" i="6"/>
  <c r="F171" i="10" s="1"/>
  <c r="E170" i="6"/>
  <c r="D170" i="6"/>
  <c r="C170" i="6"/>
  <c r="C171" i="10" s="1"/>
  <c r="B170" i="6"/>
  <c r="B171" i="10" s="1"/>
  <c r="G169" i="6"/>
  <c r="F169" i="6"/>
  <c r="F170" i="10" s="1"/>
  <c r="E169" i="6"/>
  <c r="D169" i="6"/>
  <c r="C169" i="6"/>
  <c r="C170" i="10" s="1"/>
  <c r="B169" i="6"/>
  <c r="B170" i="10" s="1"/>
  <c r="G168" i="6"/>
  <c r="F168" i="6"/>
  <c r="F169" i="10" s="1"/>
  <c r="E168" i="6"/>
  <c r="D168" i="6"/>
  <c r="C168" i="6"/>
  <c r="C169" i="10" s="1"/>
  <c r="B168" i="6"/>
  <c r="B169" i="10" s="1"/>
  <c r="G167" i="6"/>
  <c r="F167" i="6"/>
  <c r="F168" i="10" s="1"/>
  <c r="E167" i="6"/>
  <c r="D167" i="6"/>
  <c r="C167" i="6"/>
  <c r="C168" i="10" s="1"/>
  <c r="B167" i="6"/>
  <c r="B168" i="10" s="1"/>
  <c r="G166" i="6"/>
  <c r="F166" i="6"/>
  <c r="F167" i="10" s="1"/>
  <c r="E166" i="6"/>
  <c r="D166" i="6"/>
  <c r="C166" i="6"/>
  <c r="C167" i="10" s="1"/>
  <c r="B166" i="6"/>
  <c r="B167" i="10" s="1"/>
  <c r="G165" i="6"/>
  <c r="F165" i="6"/>
  <c r="F166" i="10" s="1"/>
  <c r="E165" i="6"/>
  <c r="D165" i="6"/>
  <c r="C165" i="6"/>
  <c r="C166" i="10" s="1"/>
  <c r="B165" i="6"/>
  <c r="B166" i="10" s="1"/>
  <c r="G164" i="6"/>
  <c r="F164" i="6"/>
  <c r="F165" i="10" s="1"/>
  <c r="E164" i="6"/>
  <c r="D164" i="6"/>
  <c r="C164" i="6"/>
  <c r="C165" i="10" s="1"/>
  <c r="B164" i="6"/>
  <c r="B165" i="10" s="1"/>
  <c r="G163" i="6"/>
  <c r="F163" i="6"/>
  <c r="F164" i="10" s="1"/>
  <c r="E163" i="6"/>
  <c r="D163" i="6"/>
  <c r="C163" i="6"/>
  <c r="C164" i="10" s="1"/>
  <c r="B163" i="6"/>
  <c r="B164" i="10" s="1"/>
  <c r="G162" i="6"/>
  <c r="F162" i="6"/>
  <c r="F163" i="10" s="1"/>
  <c r="E162" i="6"/>
  <c r="D162" i="6"/>
  <c r="C162" i="6"/>
  <c r="C163" i="10" s="1"/>
  <c r="B162" i="6"/>
  <c r="B163" i="10" s="1"/>
  <c r="G161" i="6"/>
  <c r="F161" i="6"/>
  <c r="F162" i="10" s="1"/>
  <c r="E161" i="6"/>
  <c r="D161" i="6"/>
  <c r="C161" i="6"/>
  <c r="C162" i="10" s="1"/>
  <c r="B161" i="6"/>
  <c r="B162" i="10" s="1"/>
  <c r="G160" i="6"/>
  <c r="F160" i="6"/>
  <c r="F161" i="10" s="1"/>
  <c r="E160" i="6"/>
  <c r="D160" i="6"/>
  <c r="C160" i="6"/>
  <c r="C161" i="10" s="1"/>
  <c r="B160" i="6"/>
  <c r="B161" i="10" s="1"/>
  <c r="G159" i="6"/>
  <c r="F159" i="6"/>
  <c r="F160" i="10" s="1"/>
  <c r="E159" i="6"/>
  <c r="D159" i="6"/>
  <c r="C159" i="6"/>
  <c r="C160" i="10" s="1"/>
  <c r="B159" i="6"/>
  <c r="B160" i="10" s="1"/>
  <c r="G158" i="6"/>
  <c r="F158" i="6"/>
  <c r="F159" i="10" s="1"/>
  <c r="E158" i="6"/>
  <c r="D158" i="6"/>
  <c r="C158" i="6"/>
  <c r="C159" i="10" s="1"/>
  <c r="B158" i="6"/>
  <c r="B159" i="10" s="1"/>
  <c r="G157" i="6"/>
  <c r="F157" i="6"/>
  <c r="F158" i="10" s="1"/>
  <c r="E157" i="6"/>
  <c r="D157" i="6"/>
  <c r="C157" i="6"/>
  <c r="C158" i="10" s="1"/>
  <c r="B157" i="6"/>
  <c r="B158" i="10" s="1"/>
  <c r="G156" i="6"/>
  <c r="F156" i="6"/>
  <c r="F157" i="10" s="1"/>
  <c r="E156" i="6"/>
  <c r="D156" i="6"/>
  <c r="C156" i="6"/>
  <c r="C157" i="10" s="1"/>
  <c r="B156" i="6"/>
  <c r="B157" i="10" s="1"/>
  <c r="G155" i="6"/>
  <c r="F155" i="6"/>
  <c r="F156" i="10" s="1"/>
  <c r="E155" i="6"/>
  <c r="D155" i="6"/>
  <c r="C155" i="6"/>
  <c r="C156" i="10" s="1"/>
  <c r="B155" i="6"/>
  <c r="B156" i="10" s="1"/>
  <c r="G154" i="6"/>
  <c r="F154" i="6"/>
  <c r="F155" i="10" s="1"/>
  <c r="E154" i="6"/>
  <c r="D154" i="6"/>
  <c r="C154" i="6"/>
  <c r="C155" i="10" s="1"/>
  <c r="B154" i="6"/>
  <c r="B155" i="10" s="1"/>
  <c r="G153" i="6"/>
  <c r="F153" i="6"/>
  <c r="F154" i="10" s="1"/>
  <c r="E153" i="6"/>
  <c r="D153" i="6"/>
  <c r="C153" i="6"/>
  <c r="C154" i="10" s="1"/>
  <c r="B153" i="6"/>
  <c r="B154" i="10" s="1"/>
  <c r="G152" i="6"/>
  <c r="F152" i="6"/>
  <c r="F153" i="10" s="1"/>
  <c r="E152" i="6"/>
  <c r="D152" i="6"/>
  <c r="C152" i="6"/>
  <c r="C153" i="10" s="1"/>
  <c r="B152" i="6"/>
  <c r="B153" i="10" s="1"/>
  <c r="G151" i="6"/>
  <c r="F151" i="6"/>
  <c r="F152" i="10" s="1"/>
  <c r="E151" i="6"/>
  <c r="D151" i="6"/>
  <c r="C151" i="6"/>
  <c r="C152" i="10" s="1"/>
  <c r="B151" i="6"/>
  <c r="B152" i="10" s="1"/>
  <c r="G150" i="6"/>
  <c r="F150" i="6"/>
  <c r="F151" i="10" s="1"/>
  <c r="E150" i="6"/>
  <c r="D150" i="6"/>
  <c r="C150" i="6"/>
  <c r="C151" i="10" s="1"/>
  <c r="B150" i="6"/>
  <c r="B151" i="10" s="1"/>
  <c r="G149" i="6"/>
  <c r="F149" i="6"/>
  <c r="F150" i="10" s="1"/>
  <c r="E149" i="6"/>
  <c r="D149" i="6"/>
  <c r="C149" i="6"/>
  <c r="C150" i="10" s="1"/>
  <c r="B149" i="6"/>
  <c r="B150" i="10" s="1"/>
  <c r="G148" i="6"/>
  <c r="F148" i="6"/>
  <c r="F149" i="10" s="1"/>
  <c r="E148" i="6"/>
  <c r="D148" i="6"/>
  <c r="C148" i="6"/>
  <c r="C149" i="10" s="1"/>
  <c r="B148" i="6"/>
  <c r="B149" i="10" s="1"/>
  <c r="G147" i="6"/>
  <c r="F147" i="6"/>
  <c r="F148" i="10" s="1"/>
  <c r="E147" i="6"/>
  <c r="D147" i="6"/>
  <c r="C147" i="6"/>
  <c r="C148" i="10" s="1"/>
  <c r="B147" i="6"/>
  <c r="B148" i="10" s="1"/>
  <c r="G146" i="6"/>
  <c r="F146" i="6"/>
  <c r="F147" i="10" s="1"/>
  <c r="E146" i="6"/>
  <c r="D146" i="6"/>
  <c r="C146" i="6"/>
  <c r="C147" i="10" s="1"/>
  <c r="B146" i="6"/>
  <c r="B147" i="10" s="1"/>
  <c r="G145" i="6"/>
  <c r="F145" i="6"/>
  <c r="F146" i="10" s="1"/>
  <c r="E145" i="6"/>
  <c r="D145" i="6"/>
  <c r="C145" i="6"/>
  <c r="C146" i="10" s="1"/>
  <c r="B145" i="6"/>
  <c r="B146" i="10" s="1"/>
  <c r="G144" i="6"/>
  <c r="F144" i="6"/>
  <c r="F145" i="10" s="1"/>
  <c r="E144" i="6"/>
  <c r="D144" i="6"/>
  <c r="C144" i="6"/>
  <c r="C145" i="10" s="1"/>
  <c r="B144" i="6"/>
  <c r="B145" i="10" s="1"/>
  <c r="G143" i="6"/>
  <c r="F143" i="6"/>
  <c r="F144" i="10" s="1"/>
  <c r="E143" i="6"/>
  <c r="D143" i="6"/>
  <c r="C143" i="6"/>
  <c r="C144" i="10" s="1"/>
  <c r="B143" i="6"/>
  <c r="B144" i="10" s="1"/>
  <c r="G142" i="6"/>
  <c r="F142" i="6"/>
  <c r="F143" i="10" s="1"/>
  <c r="E142" i="6"/>
  <c r="D142" i="6"/>
  <c r="C142" i="6"/>
  <c r="C143" i="10" s="1"/>
  <c r="B142" i="6"/>
  <c r="B143" i="10" s="1"/>
  <c r="G141" i="6"/>
  <c r="F141" i="6"/>
  <c r="F142" i="10" s="1"/>
  <c r="E141" i="6"/>
  <c r="D141" i="6"/>
  <c r="C141" i="6"/>
  <c r="C142" i="10" s="1"/>
  <c r="B141" i="6"/>
  <c r="B142" i="10" s="1"/>
  <c r="G140" i="6"/>
  <c r="F140" i="6"/>
  <c r="F141" i="10" s="1"/>
  <c r="E140" i="6"/>
  <c r="D140" i="6"/>
  <c r="C140" i="6"/>
  <c r="C141" i="10" s="1"/>
  <c r="B140" i="6"/>
  <c r="B141" i="10" s="1"/>
  <c r="G139" i="6"/>
  <c r="F139" i="6"/>
  <c r="F140" i="10" s="1"/>
  <c r="E139" i="6"/>
  <c r="D139" i="6"/>
  <c r="C139" i="6"/>
  <c r="C140" i="10" s="1"/>
  <c r="B139" i="6"/>
  <c r="B140" i="10" s="1"/>
  <c r="G138" i="6"/>
  <c r="F138" i="6"/>
  <c r="F139" i="10" s="1"/>
  <c r="E138" i="6"/>
  <c r="D138" i="6"/>
  <c r="C138" i="6"/>
  <c r="C139" i="10" s="1"/>
  <c r="B138" i="6"/>
  <c r="B139" i="10" s="1"/>
  <c r="G137" i="6"/>
  <c r="F137" i="6"/>
  <c r="F138" i="10" s="1"/>
  <c r="E137" i="6"/>
  <c r="D137" i="6"/>
  <c r="C137" i="6"/>
  <c r="C138" i="10" s="1"/>
  <c r="B137" i="6"/>
  <c r="B138" i="10" s="1"/>
  <c r="G136" i="6"/>
  <c r="F136" i="6"/>
  <c r="F137" i="10" s="1"/>
  <c r="E136" i="6"/>
  <c r="D136" i="6"/>
  <c r="C136" i="6"/>
  <c r="C137" i="10" s="1"/>
  <c r="B136" i="6"/>
  <c r="B137" i="10" s="1"/>
  <c r="G135" i="6"/>
  <c r="F135" i="6"/>
  <c r="F136" i="10" s="1"/>
  <c r="E135" i="6"/>
  <c r="D135" i="6"/>
  <c r="C135" i="6"/>
  <c r="C136" i="10" s="1"/>
  <c r="B135" i="6"/>
  <c r="B136" i="10" s="1"/>
  <c r="G134" i="6"/>
  <c r="F134" i="6"/>
  <c r="F135" i="10" s="1"/>
  <c r="E134" i="6"/>
  <c r="D134" i="6"/>
  <c r="C134" i="6"/>
  <c r="C135" i="10" s="1"/>
  <c r="B134" i="6"/>
  <c r="B135" i="10" s="1"/>
  <c r="G133" i="6"/>
  <c r="F133" i="6"/>
  <c r="F134" i="10" s="1"/>
  <c r="E133" i="6"/>
  <c r="D133" i="6"/>
  <c r="C133" i="6"/>
  <c r="C134" i="10" s="1"/>
  <c r="B133" i="6"/>
  <c r="B134" i="10" s="1"/>
  <c r="G132" i="6"/>
  <c r="F132" i="6"/>
  <c r="F133" i="10" s="1"/>
  <c r="E132" i="6"/>
  <c r="D132" i="6"/>
  <c r="C132" i="6"/>
  <c r="C133" i="10" s="1"/>
  <c r="B132" i="6"/>
  <c r="B133" i="10" s="1"/>
  <c r="G131" i="6"/>
  <c r="F131" i="6"/>
  <c r="F132" i="10" s="1"/>
  <c r="E131" i="6"/>
  <c r="D131" i="6"/>
  <c r="C131" i="6"/>
  <c r="C132" i="10" s="1"/>
  <c r="B131" i="6"/>
  <c r="B132" i="10" s="1"/>
  <c r="G130" i="6"/>
  <c r="F130" i="6"/>
  <c r="F131" i="10" s="1"/>
  <c r="E130" i="6"/>
  <c r="D130" i="6"/>
  <c r="C130" i="6"/>
  <c r="C131" i="10" s="1"/>
  <c r="B130" i="6"/>
  <c r="B131" i="10" s="1"/>
  <c r="G129" i="6"/>
  <c r="F129" i="6"/>
  <c r="F130" i="10" s="1"/>
  <c r="E129" i="6"/>
  <c r="D129" i="6"/>
  <c r="C129" i="6"/>
  <c r="C130" i="10" s="1"/>
  <c r="B129" i="6"/>
  <c r="B130" i="10" s="1"/>
  <c r="G128" i="6"/>
  <c r="F128" i="6"/>
  <c r="F129" i="10" s="1"/>
  <c r="E128" i="6"/>
  <c r="D128" i="6"/>
  <c r="C128" i="6"/>
  <c r="C129" i="10" s="1"/>
  <c r="B128" i="6"/>
  <c r="B129" i="10" s="1"/>
  <c r="G127" i="6"/>
  <c r="F127" i="6"/>
  <c r="F128" i="10" s="1"/>
  <c r="E127" i="6"/>
  <c r="D127" i="6"/>
  <c r="C127" i="6"/>
  <c r="C128" i="10" s="1"/>
  <c r="B127" i="6"/>
  <c r="B128" i="10" s="1"/>
  <c r="G126" i="6"/>
  <c r="F126" i="6"/>
  <c r="F127" i="10" s="1"/>
  <c r="E126" i="6"/>
  <c r="D126" i="6"/>
  <c r="C126" i="6"/>
  <c r="C127" i="10" s="1"/>
  <c r="B126" i="6"/>
  <c r="B127" i="10" s="1"/>
  <c r="G125" i="6"/>
  <c r="F125" i="6"/>
  <c r="F126" i="10" s="1"/>
  <c r="E125" i="6"/>
  <c r="D125" i="6"/>
  <c r="C125" i="6"/>
  <c r="C126" i="10" s="1"/>
  <c r="B125" i="6"/>
  <c r="B126" i="10" s="1"/>
  <c r="G124" i="6"/>
  <c r="F124" i="6"/>
  <c r="F125" i="10" s="1"/>
  <c r="E124" i="6"/>
  <c r="D124" i="6"/>
  <c r="C124" i="6"/>
  <c r="C125" i="10" s="1"/>
  <c r="B124" i="6"/>
  <c r="B125" i="10" s="1"/>
  <c r="G123" i="6"/>
  <c r="F123" i="6"/>
  <c r="F124" i="10" s="1"/>
  <c r="E123" i="6"/>
  <c r="D123" i="6"/>
  <c r="C123" i="6"/>
  <c r="C124" i="10" s="1"/>
  <c r="B123" i="6"/>
  <c r="B124" i="10" s="1"/>
  <c r="G122" i="6"/>
  <c r="F122" i="6"/>
  <c r="F123" i="10" s="1"/>
  <c r="E122" i="6"/>
  <c r="D122" i="6"/>
  <c r="C122" i="6"/>
  <c r="C123" i="10" s="1"/>
  <c r="B122" i="6"/>
  <c r="B123" i="10" s="1"/>
  <c r="G121" i="6"/>
  <c r="F121" i="6"/>
  <c r="F122" i="10" s="1"/>
  <c r="E121" i="6"/>
  <c r="D121" i="6"/>
  <c r="C121" i="6"/>
  <c r="C122" i="10" s="1"/>
  <c r="B121" i="6"/>
  <c r="B122" i="10" s="1"/>
  <c r="G120" i="6"/>
  <c r="F120" i="6"/>
  <c r="F121" i="10" s="1"/>
  <c r="E120" i="6"/>
  <c r="D120" i="6"/>
  <c r="C120" i="6"/>
  <c r="C121" i="10" s="1"/>
  <c r="B120" i="6"/>
  <c r="B121" i="10" s="1"/>
  <c r="G119" i="6"/>
  <c r="F119" i="6"/>
  <c r="F120" i="10" s="1"/>
  <c r="E119" i="6"/>
  <c r="D119" i="6"/>
  <c r="C119" i="6"/>
  <c r="C120" i="10" s="1"/>
  <c r="B119" i="6"/>
  <c r="B120" i="10" s="1"/>
  <c r="G118" i="6"/>
  <c r="F118" i="6"/>
  <c r="F119" i="10" s="1"/>
  <c r="E118" i="6"/>
  <c r="D118" i="6"/>
  <c r="C118" i="6"/>
  <c r="C119" i="10" s="1"/>
  <c r="B118" i="6"/>
  <c r="B119" i="10" s="1"/>
  <c r="G117" i="6"/>
  <c r="F117" i="6"/>
  <c r="F118" i="10" s="1"/>
  <c r="E117" i="6"/>
  <c r="D117" i="6"/>
  <c r="C117" i="6"/>
  <c r="C118" i="10" s="1"/>
  <c r="B117" i="6"/>
  <c r="B118" i="10" s="1"/>
  <c r="G116" i="6"/>
  <c r="F116" i="6"/>
  <c r="F117" i="10" s="1"/>
  <c r="E116" i="6"/>
  <c r="D116" i="6"/>
  <c r="C116" i="6"/>
  <c r="C117" i="10" s="1"/>
  <c r="B116" i="6"/>
  <c r="B117" i="10" s="1"/>
  <c r="G115" i="6"/>
  <c r="F115" i="6"/>
  <c r="F116" i="10" s="1"/>
  <c r="E115" i="6"/>
  <c r="D115" i="6"/>
  <c r="C115" i="6"/>
  <c r="C116" i="10" s="1"/>
  <c r="B115" i="6"/>
  <c r="B116" i="10" s="1"/>
  <c r="G114" i="6"/>
  <c r="F114" i="6"/>
  <c r="F115" i="10" s="1"/>
  <c r="E114" i="6"/>
  <c r="D114" i="6"/>
  <c r="C114" i="6"/>
  <c r="C115" i="10" s="1"/>
  <c r="B114" i="6"/>
  <c r="B115" i="10" s="1"/>
  <c r="G113" i="6"/>
  <c r="F113" i="6"/>
  <c r="F114" i="10" s="1"/>
  <c r="E113" i="6"/>
  <c r="D113" i="6"/>
  <c r="C113" i="6"/>
  <c r="C114" i="10" s="1"/>
  <c r="B113" i="6"/>
  <c r="B114" i="10" s="1"/>
  <c r="G112" i="6"/>
  <c r="F112" i="6"/>
  <c r="F113" i="10" s="1"/>
  <c r="E112" i="6"/>
  <c r="D112" i="6"/>
  <c r="C112" i="6"/>
  <c r="C113" i="10" s="1"/>
  <c r="B112" i="6"/>
  <c r="B113" i="10" s="1"/>
  <c r="G111" i="6"/>
  <c r="F111" i="6"/>
  <c r="F112" i="10" s="1"/>
  <c r="E111" i="6"/>
  <c r="D111" i="6"/>
  <c r="C111" i="6"/>
  <c r="C112" i="10" s="1"/>
  <c r="B111" i="6"/>
  <c r="B112" i="10" s="1"/>
  <c r="G110" i="6"/>
  <c r="F110" i="6"/>
  <c r="F111" i="10" s="1"/>
  <c r="E110" i="6"/>
  <c r="D110" i="6"/>
  <c r="C110" i="6"/>
  <c r="C111" i="10" s="1"/>
  <c r="B110" i="6"/>
  <c r="B111" i="10" s="1"/>
  <c r="G109" i="6"/>
  <c r="F109" i="6"/>
  <c r="F110" i="10" s="1"/>
  <c r="E109" i="6"/>
  <c r="D109" i="6"/>
  <c r="C109" i="6"/>
  <c r="C110" i="10" s="1"/>
  <c r="B109" i="6"/>
  <c r="B110" i="10" s="1"/>
  <c r="G108" i="6"/>
  <c r="F108" i="6"/>
  <c r="F109" i="10" s="1"/>
  <c r="E108" i="6"/>
  <c r="D108" i="6"/>
  <c r="C108" i="6"/>
  <c r="C109" i="10" s="1"/>
  <c r="B108" i="6"/>
  <c r="B109" i="10" s="1"/>
  <c r="G107" i="6"/>
  <c r="F107" i="6"/>
  <c r="F108" i="10" s="1"/>
  <c r="E107" i="6"/>
  <c r="D107" i="6"/>
  <c r="C107" i="6"/>
  <c r="C108" i="10" s="1"/>
  <c r="B107" i="6"/>
  <c r="B108" i="10" s="1"/>
  <c r="G106" i="6"/>
  <c r="F106" i="6"/>
  <c r="F107" i="10" s="1"/>
  <c r="E106" i="6"/>
  <c r="D106" i="6"/>
  <c r="C106" i="6"/>
  <c r="C107" i="10" s="1"/>
  <c r="B106" i="6"/>
  <c r="B107" i="10" s="1"/>
  <c r="G105" i="6"/>
  <c r="F105" i="6"/>
  <c r="F106" i="10" s="1"/>
  <c r="E105" i="6"/>
  <c r="D105" i="6"/>
  <c r="C105" i="6"/>
  <c r="C106" i="10" s="1"/>
  <c r="B105" i="6"/>
  <c r="B106" i="10" s="1"/>
  <c r="G104" i="6"/>
  <c r="F104" i="6"/>
  <c r="F105" i="10" s="1"/>
  <c r="E104" i="6"/>
  <c r="D104" i="6"/>
  <c r="C104" i="6"/>
  <c r="C105" i="10" s="1"/>
  <c r="B104" i="6"/>
  <c r="B105" i="10" s="1"/>
  <c r="G103" i="6"/>
  <c r="F103" i="6"/>
  <c r="F104" i="10" s="1"/>
  <c r="E103" i="6"/>
  <c r="D103" i="6"/>
  <c r="C103" i="6"/>
  <c r="C104" i="10" s="1"/>
  <c r="B103" i="6"/>
  <c r="B104" i="10" s="1"/>
  <c r="G102" i="6"/>
  <c r="F102" i="6"/>
  <c r="F103" i="10" s="1"/>
  <c r="E102" i="6"/>
  <c r="D102" i="6"/>
  <c r="C102" i="6"/>
  <c r="C103" i="10" s="1"/>
  <c r="B102" i="6"/>
  <c r="B103" i="10" s="1"/>
  <c r="G101" i="6"/>
  <c r="F101" i="6"/>
  <c r="F102" i="10" s="1"/>
  <c r="E101" i="6"/>
  <c r="D101" i="6"/>
  <c r="C101" i="6"/>
  <c r="C102" i="10" s="1"/>
  <c r="B101" i="6"/>
  <c r="B102" i="10" s="1"/>
  <c r="G100" i="6"/>
  <c r="F100" i="6"/>
  <c r="F101" i="10" s="1"/>
  <c r="E100" i="6"/>
  <c r="D100" i="6"/>
  <c r="C100" i="6"/>
  <c r="C101" i="10" s="1"/>
  <c r="B100" i="6"/>
  <c r="B101" i="10" s="1"/>
  <c r="G99" i="6"/>
  <c r="F99" i="6"/>
  <c r="F100" i="10" s="1"/>
  <c r="E99" i="6"/>
  <c r="D99" i="6"/>
  <c r="C99" i="6"/>
  <c r="C100" i="10" s="1"/>
  <c r="B99" i="6"/>
  <c r="B100" i="10" s="1"/>
  <c r="G98" i="6"/>
  <c r="F98" i="6"/>
  <c r="F99" i="10" s="1"/>
  <c r="E98" i="6"/>
  <c r="D98" i="6"/>
  <c r="C98" i="6"/>
  <c r="C99" i="10" s="1"/>
  <c r="B98" i="6"/>
  <c r="B99" i="10" s="1"/>
  <c r="G97" i="6"/>
  <c r="F97" i="6"/>
  <c r="F98" i="10" s="1"/>
  <c r="E97" i="6"/>
  <c r="D97" i="6"/>
  <c r="C97" i="6"/>
  <c r="C98" i="10" s="1"/>
  <c r="B97" i="6"/>
  <c r="B98" i="10" s="1"/>
  <c r="G96" i="6"/>
  <c r="F96" i="6"/>
  <c r="F97" i="10" s="1"/>
  <c r="E96" i="6"/>
  <c r="D96" i="6"/>
  <c r="C96" i="6"/>
  <c r="C97" i="10" s="1"/>
  <c r="B96" i="6"/>
  <c r="B97" i="10" s="1"/>
  <c r="G95" i="6"/>
  <c r="F95" i="6"/>
  <c r="F96" i="10" s="1"/>
  <c r="E95" i="6"/>
  <c r="D95" i="6"/>
  <c r="C95" i="6"/>
  <c r="C96" i="10" s="1"/>
  <c r="B95" i="6"/>
  <c r="B96" i="10" s="1"/>
  <c r="G94" i="6"/>
  <c r="F94" i="6"/>
  <c r="F95" i="10" s="1"/>
  <c r="E94" i="6"/>
  <c r="D94" i="6"/>
  <c r="C94" i="6"/>
  <c r="C95" i="10" s="1"/>
  <c r="B94" i="6"/>
  <c r="B95" i="10" s="1"/>
  <c r="G93" i="6"/>
  <c r="F93" i="6"/>
  <c r="F94" i="10" s="1"/>
  <c r="E93" i="6"/>
  <c r="D93" i="6"/>
  <c r="C93" i="6"/>
  <c r="C94" i="10" s="1"/>
  <c r="B93" i="6"/>
  <c r="B94" i="10" s="1"/>
  <c r="G92" i="6"/>
  <c r="F92" i="6"/>
  <c r="F93" i="10" s="1"/>
  <c r="E92" i="6"/>
  <c r="D92" i="6"/>
  <c r="C92" i="6"/>
  <c r="C93" i="10" s="1"/>
  <c r="B92" i="6"/>
  <c r="B93" i="10" s="1"/>
  <c r="G91" i="6"/>
  <c r="F91" i="6"/>
  <c r="F92" i="10" s="1"/>
  <c r="E91" i="6"/>
  <c r="D91" i="6"/>
  <c r="C91" i="6"/>
  <c r="C92" i="10" s="1"/>
  <c r="B91" i="6"/>
  <c r="B92" i="10" s="1"/>
  <c r="G90" i="6"/>
  <c r="F90" i="6"/>
  <c r="F91" i="10" s="1"/>
  <c r="E90" i="6"/>
  <c r="D90" i="6"/>
  <c r="C90" i="6"/>
  <c r="C91" i="10" s="1"/>
  <c r="B90" i="6"/>
  <c r="B91" i="10" s="1"/>
  <c r="G89" i="6"/>
  <c r="F89" i="6"/>
  <c r="F90" i="10" s="1"/>
  <c r="E89" i="6"/>
  <c r="D89" i="6"/>
  <c r="C89" i="6"/>
  <c r="C90" i="10" s="1"/>
  <c r="B89" i="6"/>
  <c r="B90" i="10" s="1"/>
  <c r="G88" i="6"/>
  <c r="F88" i="6"/>
  <c r="F89" i="10" s="1"/>
  <c r="E88" i="6"/>
  <c r="D88" i="6"/>
  <c r="C88" i="6"/>
  <c r="C89" i="10" s="1"/>
  <c r="B88" i="6"/>
  <c r="B89" i="10" s="1"/>
  <c r="G87" i="6"/>
  <c r="F87" i="6"/>
  <c r="F88" i="10" s="1"/>
  <c r="E87" i="6"/>
  <c r="D87" i="6"/>
  <c r="C87" i="6"/>
  <c r="C88" i="10" s="1"/>
  <c r="B87" i="6"/>
  <c r="B88" i="10" s="1"/>
  <c r="G86" i="6"/>
  <c r="F86" i="6"/>
  <c r="F87" i="10" s="1"/>
  <c r="E86" i="6"/>
  <c r="D86" i="6"/>
  <c r="C86" i="6"/>
  <c r="C87" i="10" s="1"/>
  <c r="B86" i="6"/>
  <c r="B87" i="10" s="1"/>
  <c r="G85" i="6"/>
  <c r="F85" i="6"/>
  <c r="F86" i="10" s="1"/>
  <c r="E85" i="6"/>
  <c r="D85" i="6"/>
  <c r="C85" i="6"/>
  <c r="C86" i="10" s="1"/>
  <c r="B85" i="6"/>
  <c r="B86" i="10" s="1"/>
  <c r="G84" i="6"/>
  <c r="F84" i="6"/>
  <c r="F85" i="10" s="1"/>
  <c r="E84" i="6"/>
  <c r="D84" i="6"/>
  <c r="C84" i="6"/>
  <c r="C85" i="10" s="1"/>
  <c r="B84" i="6"/>
  <c r="B85" i="10" s="1"/>
  <c r="G83" i="6"/>
  <c r="F83" i="6"/>
  <c r="F84" i="10" s="1"/>
  <c r="E83" i="6"/>
  <c r="D83" i="6"/>
  <c r="C83" i="6"/>
  <c r="C84" i="10" s="1"/>
  <c r="B83" i="6"/>
  <c r="B84" i="10" s="1"/>
  <c r="G82" i="6"/>
  <c r="F82" i="6"/>
  <c r="F83" i="10" s="1"/>
  <c r="E82" i="6"/>
  <c r="D82" i="6"/>
  <c r="C82" i="6"/>
  <c r="C83" i="10" s="1"/>
  <c r="B82" i="6"/>
  <c r="B83" i="10" s="1"/>
  <c r="G81" i="6"/>
  <c r="F81" i="6"/>
  <c r="F82" i="10" s="1"/>
  <c r="E81" i="6"/>
  <c r="D81" i="6"/>
  <c r="C81" i="6"/>
  <c r="C82" i="10" s="1"/>
  <c r="B81" i="6"/>
  <c r="B82" i="10" s="1"/>
  <c r="G80" i="6"/>
  <c r="F80" i="6"/>
  <c r="F81" i="10" s="1"/>
  <c r="E80" i="6"/>
  <c r="D80" i="6"/>
  <c r="C80" i="6"/>
  <c r="C81" i="10" s="1"/>
  <c r="B80" i="6"/>
  <c r="B81" i="10" s="1"/>
  <c r="G79" i="6"/>
  <c r="F79" i="6"/>
  <c r="F80" i="10" s="1"/>
  <c r="E79" i="6"/>
  <c r="D79" i="6"/>
  <c r="C79" i="6"/>
  <c r="C80" i="10" s="1"/>
  <c r="B79" i="6"/>
  <c r="B80" i="10" s="1"/>
  <c r="G78" i="6"/>
  <c r="F78" i="6"/>
  <c r="F79" i="10" s="1"/>
  <c r="E78" i="6"/>
  <c r="D78" i="6"/>
  <c r="C78" i="6"/>
  <c r="C79" i="10" s="1"/>
  <c r="B78" i="6"/>
  <c r="B79" i="10" s="1"/>
  <c r="G77" i="6"/>
  <c r="F77" i="6"/>
  <c r="F78" i="10" s="1"/>
  <c r="E77" i="6"/>
  <c r="D77" i="6"/>
  <c r="C77" i="6"/>
  <c r="C78" i="10" s="1"/>
  <c r="B77" i="6"/>
  <c r="B78" i="10" s="1"/>
  <c r="G76" i="6"/>
  <c r="F76" i="6"/>
  <c r="F77" i="10" s="1"/>
  <c r="E76" i="6"/>
  <c r="D76" i="6"/>
  <c r="C76" i="6"/>
  <c r="C77" i="10" s="1"/>
  <c r="B76" i="6"/>
  <c r="B77" i="10" s="1"/>
  <c r="G75" i="6"/>
  <c r="F75" i="6"/>
  <c r="F76" i="10" s="1"/>
  <c r="E75" i="6"/>
  <c r="D75" i="6"/>
  <c r="C75" i="6"/>
  <c r="C76" i="10" s="1"/>
  <c r="B75" i="6"/>
  <c r="B76" i="10" s="1"/>
  <c r="G74" i="6"/>
  <c r="F74" i="6"/>
  <c r="F75" i="10" s="1"/>
  <c r="E74" i="6"/>
  <c r="D74" i="6"/>
  <c r="C74" i="6"/>
  <c r="C75" i="10" s="1"/>
  <c r="B74" i="6"/>
  <c r="B75" i="10" s="1"/>
  <c r="G73" i="6"/>
  <c r="F73" i="6"/>
  <c r="F74" i="10" s="1"/>
  <c r="E73" i="6"/>
  <c r="D73" i="6"/>
  <c r="C73" i="6"/>
  <c r="C74" i="10" s="1"/>
  <c r="B73" i="6"/>
  <c r="B74" i="10" s="1"/>
  <c r="G72" i="6"/>
  <c r="F72" i="6"/>
  <c r="F73" i="10" s="1"/>
  <c r="E72" i="6"/>
  <c r="D72" i="6"/>
  <c r="C72" i="6"/>
  <c r="C73" i="10" s="1"/>
  <c r="B72" i="6"/>
  <c r="B73" i="10" s="1"/>
  <c r="G71" i="6"/>
  <c r="F71" i="6"/>
  <c r="F72" i="10" s="1"/>
  <c r="E71" i="6"/>
  <c r="D71" i="6"/>
  <c r="C71" i="6"/>
  <c r="C72" i="10" s="1"/>
  <c r="B71" i="6"/>
  <c r="B72" i="10" s="1"/>
  <c r="G70" i="6"/>
  <c r="F70" i="6"/>
  <c r="F71" i="10" s="1"/>
  <c r="E70" i="6"/>
  <c r="D70" i="6"/>
  <c r="C70" i="6"/>
  <c r="C71" i="10" s="1"/>
  <c r="B70" i="6"/>
  <c r="B71" i="10" s="1"/>
  <c r="G69" i="6"/>
  <c r="F69" i="6"/>
  <c r="F70" i="10" s="1"/>
  <c r="E69" i="6"/>
  <c r="D69" i="6"/>
  <c r="C69" i="6"/>
  <c r="C70" i="10" s="1"/>
  <c r="B69" i="6"/>
  <c r="B70" i="10" s="1"/>
  <c r="G68" i="6"/>
  <c r="F68" i="6"/>
  <c r="F69" i="10" s="1"/>
  <c r="E68" i="6"/>
  <c r="D68" i="6"/>
  <c r="C68" i="6"/>
  <c r="C69" i="10" s="1"/>
  <c r="B68" i="6"/>
  <c r="B69" i="10" s="1"/>
  <c r="G67" i="6"/>
  <c r="F67" i="6"/>
  <c r="F68" i="10" s="1"/>
  <c r="E67" i="6"/>
  <c r="D67" i="6"/>
  <c r="C67" i="6"/>
  <c r="C68" i="10" s="1"/>
  <c r="B67" i="6"/>
  <c r="B68" i="10" s="1"/>
  <c r="G66" i="6"/>
  <c r="F66" i="6"/>
  <c r="F67" i="10" s="1"/>
  <c r="E66" i="6"/>
  <c r="D66" i="6"/>
  <c r="C66" i="6"/>
  <c r="C67" i="10" s="1"/>
  <c r="B66" i="6"/>
  <c r="B67" i="10" s="1"/>
  <c r="G65" i="6"/>
  <c r="F65" i="6"/>
  <c r="F66" i="10" s="1"/>
  <c r="E65" i="6"/>
  <c r="D65" i="6"/>
  <c r="C65" i="6"/>
  <c r="C66" i="10" s="1"/>
  <c r="B65" i="6"/>
  <c r="B66" i="10" s="1"/>
  <c r="G64" i="6"/>
  <c r="F64" i="6"/>
  <c r="F65" i="10" s="1"/>
  <c r="E64" i="6"/>
  <c r="D64" i="6"/>
  <c r="C64" i="6"/>
  <c r="C65" i="10" s="1"/>
  <c r="B64" i="6"/>
  <c r="B65" i="10" s="1"/>
  <c r="G63" i="6"/>
  <c r="F63" i="6"/>
  <c r="F64" i="10" s="1"/>
  <c r="E63" i="6"/>
  <c r="D63" i="6"/>
  <c r="C63" i="6"/>
  <c r="C64" i="10" s="1"/>
  <c r="B63" i="6"/>
  <c r="B64" i="10" s="1"/>
  <c r="G62" i="6"/>
  <c r="F62" i="6"/>
  <c r="F63" i="10" s="1"/>
  <c r="E62" i="6"/>
  <c r="D62" i="6"/>
  <c r="C62" i="6"/>
  <c r="C63" i="10" s="1"/>
  <c r="B62" i="6"/>
  <c r="B63" i="10" s="1"/>
  <c r="G61" i="6"/>
  <c r="F61" i="6"/>
  <c r="F62" i="10" s="1"/>
  <c r="E61" i="6"/>
  <c r="D61" i="6"/>
  <c r="C61" i="6"/>
  <c r="C62" i="10" s="1"/>
  <c r="B61" i="6"/>
  <c r="B62" i="10" s="1"/>
  <c r="G60" i="6"/>
  <c r="F60" i="6"/>
  <c r="F61" i="10" s="1"/>
  <c r="E60" i="6"/>
  <c r="D60" i="6"/>
  <c r="C60" i="6"/>
  <c r="C61" i="10" s="1"/>
  <c r="B60" i="6"/>
  <c r="B61" i="10" s="1"/>
  <c r="G59" i="6"/>
  <c r="F59" i="6"/>
  <c r="F60" i="10" s="1"/>
  <c r="E59" i="6"/>
  <c r="D59" i="6"/>
  <c r="C59" i="6"/>
  <c r="C60" i="10" s="1"/>
  <c r="B59" i="6"/>
  <c r="B60" i="10" s="1"/>
  <c r="G58" i="6"/>
  <c r="F58" i="6"/>
  <c r="F59" i="10" s="1"/>
  <c r="E58" i="6"/>
  <c r="D58" i="6"/>
  <c r="C58" i="6"/>
  <c r="C59" i="10" s="1"/>
  <c r="B58" i="6"/>
  <c r="B59" i="10" s="1"/>
  <c r="G57" i="6"/>
  <c r="F57" i="6"/>
  <c r="F58" i="10" s="1"/>
  <c r="E57" i="6"/>
  <c r="D57" i="6"/>
  <c r="C57" i="6"/>
  <c r="C58" i="10" s="1"/>
  <c r="B57" i="6"/>
  <c r="B58" i="10" s="1"/>
  <c r="G56" i="6"/>
  <c r="F56" i="6"/>
  <c r="F57" i="10" s="1"/>
  <c r="E56" i="6"/>
  <c r="D56" i="6"/>
  <c r="C56" i="6"/>
  <c r="C57" i="10" s="1"/>
  <c r="B56" i="6"/>
  <c r="B57" i="10" s="1"/>
  <c r="G55" i="6"/>
  <c r="F55" i="6"/>
  <c r="F56" i="10" s="1"/>
  <c r="E55" i="6"/>
  <c r="D55" i="6"/>
  <c r="C55" i="6"/>
  <c r="C56" i="10" s="1"/>
  <c r="B55" i="6"/>
  <c r="B56" i="10" s="1"/>
  <c r="G54" i="6"/>
  <c r="F54" i="6"/>
  <c r="F55" i="10" s="1"/>
  <c r="E54" i="6"/>
  <c r="D54" i="6"/>
  <c r="C54" i="6"/>
  <c r="C55" i="10" s="1"/>
  <c r="B54" i="6"/>
  <c r="B55" i="10" s="1"/>
  <c r="G53" i="6"/>
  <c r="F53" i="6"/>
  <c r="F54" i="10" s="1"/>
  <c r="E53" i="6"/>
  <c r="D53" i="6"/>
  <c r="C53" i="6"/>
  <c r="C54" i="10" s="1"/>
  <c r="B53" i="6"/>
  <c r="B54" i="10" s="1"/>
  <c r="G52" i="6"/>
  <c r="F52" i="6"/>
  <c r="F53" i="10" s="1"/>
  <c r="E52" i="6"/>
  <c r="D52" i="6"/>
  <c r="C52" i="6"/>
  <c r="C53" i="10" s="1"/>
  <c r="B52" i="6"/>
  <c r="B53" i="10" s="1"/>
  <c r="G51" i="6"/>
  <c r="F51" i="6"/>
  <c r="F52" i="10" s="1"/>
  <c r="E51" i="6"/>
  <c r="D51" i="6"/>
  <c r="C51" i="6"/>
  <c r="C52" i="10" s="1"/>
  <c r="B51" i="6"/>
  <c r="B52" i="10" s="1"/>
  <c r="G50" i="6"/>
  <c r="F50" i="6"/>
  <c r="F51" i="10" s="1"/>
  <c r="E50" i="6"/>
  <c r="D50" i="6"/>
  <c r="C50" i="6"/>
  <c r="C51" i="10" s="1"/>
  <c r="B50" i="6"/>
  <c r="B51" i="10" s="1"/>
  <c r="G49" i="6"/>
  <c r="F49" i="6"/>
  <c r="F50" i="10" s="1"/>
  <c r="E49" i="6"/>
  <c r="D49" i="6"/>
  <c r="C49" i="6"/>
  <c r="C50" i="10" s="1"/>
  <c r="B49" i="6"/>
  <c r="B50" i="10" s="1"/>
  <c r="G48" i="6"/>
  <c r="F48" i="6"/>
  <c r="F49" i="10" s="1"/>
  <c r="E48" i="6"/>
  <c r="D48" i="6"/>
  <c r="C48" i="6"/>
  <c r="C49" i="10" s="1"/>
  <c r="B48" i="6"/>
  <c r="B49" i="10" s="1"/>
  <c r="G47" i="6"/>
  <c r="F47" i="6"/>
  <c r="F48" i="10" s="1"/>
  <c r="E47" i="6"/>
  <c r="D47" i="6"/>
  <c r="C47" i="6"/>
  <c r="C48" i="10" s="1"/>
  <c r="B47" i="6"/>
  <c r="B48" i="10" s="1"/>
  <c r="G46" i="6"/>
  <c r="F46" i="6"/>
  <c r="F47" i="10" s="1"/>
  <c r="E46" i="6"/>
  <c r="D46" i="6"/>
  <c r="C46" i="6"/>
  <c r="C47" i="10" s="1"/>
  <c r="B46" i="6"/>
  <c r="B47" i="10" s="1"/>
  <c r="G45" i="6"/>
  <c r="F45" i="6"/>
  <c r="F46" i="10" s="1"/>
  <c r="E45" i="6"/>
  <c r="D45" i="6"/>
  <c r="C45" i="6"/>
  <c r="C46" i="10" s="1"/>
  <c r="B45" i="6"/>
  <c r="B46" i="10" s="1"/>
  <c r="G44" i="6"/>
  <c r="F44" i="6"/>
  <c r="F45" i="10" s="1"/>
  <c r="E44" i="6"/>
  <c r="D44" i="6"/>
  <c r="C44" i="6"/>
  <c r="C45" i="10" s="1"/>
  <c r="B44" i="6"/>
  <c r="B45" i="10" s="1"/>
  <c r="G43" i="6"/>
  <c r="F43" i="6"/>
  <c r="F44" i="10" s="1"/>
  <c r="E43" i="6"/>
  <c r="D43" i="6"/>
  <c r="C43" i="6"/>
  <c r="C44" i="10" s="1"/>
  <c r="B43" i="6"/>
  <c r="B44" i="10" s="1"/>
  <c r="G42" i="6"/>
  <c r="F42" i="6"/>
  <c r="F43" i="10" s="1"/>
  <c r="E42" i="6"/>
  <c r="D42" i="6"/>
  <c r="C42" i="6"/>
  <c r="C43" i="10" s="1"/>
  <c r="B42" i="6"/>
  <c r="B43" i="10" s="1"/>
  <c r="G41" i="6"/>
  <c r="F41" i="6"/>
  <c r="F42" i="10" s="1"/>
  <c r="E41" i="6"/>
  <c r="D41" i="6"/>
  <c r="C41" i="6"/>
  <c r="C42" i="10" s="1"/>
  <c r="B41" i="6"/>
  <c r="B42" i="10" s="1"/>
  <c r="G40" i="6"/>
  <c r="F40" i="6"/>
  <c r="F41" i="10" s="1"/>
  <c r="E40" i="6"/>
  <c r="D40" i="6"/>
  <c r="C40" i="6"/>
  <c r="C41" i="10" s="1"/>
  <c r="B40" i="6"/>
  <c r="B41" i="10" s="1"/>
  <c r="G39" i="6"/>
  <c r="F39" i="6"/>
  <c r="F40" i="10" s="1"/>
  <c r="E39" i="6"/>
  <c r="D39" i="6"/>
  <c r="C39" i="6"/>
  <c r="C40" i="10" s="1"/>
  <c r="B39" i="6"/>
  <c r="B40" i="10" s="1"/>
  <c r="G38" i="6"/>
  <c r="F38" i="6"/>
  <c r="F39" i="10" s="1"/>
  <c r="E38" i="6"/>
  <c r="D38" i="6"/>
  <c r="C38" i="6"/>
  <c r="C39" i="10" s="1"/>
  <c r="B38" i="6"/>
  <c r="B39" i="10" s="1"/>
  <c r="G37" i="6"/>
  <c r="F37" i="6"/>
  <c r="F38" i="10" s="1"/>
  <c r="E37" i="6"/>
  <c r="D37" i="6"/>
  <c r="C37" i="6"/>
  <c r="C38" i="10" s="1"/>
  <c r="B37" i="6"/>
  <c r="B38" i="10" s="1"/>
  <c r="G36" i="6"/>
  <c r="F36" i="6"/>
  <c r="F37" i="10" s="1"/>
  <c r="E36" i="6"/>
  <c r="D36" i="6"/>
  <c r="C36" i="6"/>
  <c r="C37" i="10" s="1"/>
  <c r="B36" i="6"/>
  <c r="B37" i="10" s="1"/>
  <c r="G35" i="6"/>
  <c r="F35" i="6"/>
  <c r="F36" i="10" s="1"/>
  <c r="E35" i="6"/>
  <c r="D35" i="6"/>
  <c r="C35" i="6"/>
  <c r="C36" i="10" s="1"/>
  <c r="B35" i="6"/>
  <c r="B36" i="10" s="1"/>
  <c r="G34" i="6"/>
  <c r="F34" i="6"/>
  <c r="F35" i="10" s="1"/>
  <c r="E34" i="6"/>
  <c r="D34" i="6"/>
  <c r="C34" i="6"/>
  <c r="C35" i="10" s="1"/>
  <c r="B34" i="6"/>
  <c r="B35" i="10" s="1"/>
  <c r="G33" i="6"/>
  <c r="F33" i="6"/>
  <c r="F34" i="10" s="1"/>
  <c r="E33" i="6"/>
  <c r="D33" i="6"/>
  <c r="C33" i="6"/>
  <c r="C34" i="10" s="1"/>
  <c r="B33" i="6"/>
  <c r="B34" i="10" s="1"/>
  <c r="G32" i="6"/>
  <c r="F32" i="6"/>
  <c r="F33" i="10" s="1"/>
  <c r="E32" i="6"/>
  <c r="D32" i="6"/>
  <c r="C32" i="6"/>
  <c r="C33" i="10" s="1"/>
  <c r="B32" i="6"/>
  <c r="B33" i="10" s="1"/>
  <c r="G31" i="6"/>
  <c r="F31" i="6"/>
  <c r="F32" i="10" s="1"/>
  <c r="E31" i="6"/>
  <c r="D31" i="6"/>
  <c r="C31" i="6"/>
  <c r="C32" i="10" s="1"/>
  <c r="B31" i="6"/>
  <c r="B32" i="10" s="1"/>
  <c r="G30" i="6"/>
  <c r="F30" i="6"/>
  <c r="F31" i="10" s="1"/>
  <c r="E30" i="6"/>
  <c r="D30" i="6"/>
  <c r="C30" i="6"/>
  <c r="C31" i="10" s="1"/>
  <c r="B30" i="6"/>
  <c r="B31" i="10" s="1"/>
  <c r="G29" i="6"/>
  <c r="F29" i="6"/>
  <c r="F30" i="10" s="1"/>
  <c r="E29" i="6"/>
  <c r="D29" i="6"/>
  <c r="C29" i="6"/>
  <c r="C30" i="10" s="1"/>
  <c r="B29" i="6"/>
  <c r="B30" i="10" s="1"/>
  <c r="G28" i="6"/>
  <c r="F28" i="6"/>
  <c r="F29" i="10" s="1"/>
  <c r="E28" i="6"/>
  <c r="D28" i="6"/>
  <c r="C28" i="6"/>
  <c r="C29" i="10" s="1"/>
  <c r="B28" i="6"/>
  <c r="B29" i="10" s="1"/>
  <c r="G27" i="6"/>
  <c r="F27" i="6"/>
  <c r="F28" i="10" s="1"/>
  <c r="E27" i="6"/>
  <c r="D27" i="6"/>
  <c r="C27" i="6"/>
  <c r="C28" i="10" s="1"/>
  <c r="B27" i="6"/>
  <c r="B28" i="10" s="1"/>
  <c r="G26" i="6"/>
  <c r="F26" i="6"/>
  <c r="F27" i="10" s="1"/>
  <c r="E26" i="6"/>
  <c r="D26" i="6"/>
  <c r="C26" i="6"/>
  <c r="C27" i="10" s="1"/>
  <c r="B26" i="6"/>
  <c r="B27" i="10" s="1"/>
  <c r="G25" i="6"/>
  <c r="F25" i="6"/>
  <c r="F26" i="10" s="1"/>
  <c r="E25" i="6"/>
  <c r="D25" i="6"/>
  <c r="C25" i="6"/>
  <c r="C26" i="10" s="1"/>
  <c r="B25" i="6"/>
  <c r="B26" i="10" s="1"/>
  <c r="G24" i="6"/>
  <c r="F24" i="6"/>
  <c r="F25" i="10" s="1"/>
  <c r="E24" i="6"/>
  <c r="D24" i="6"/>
  <c r="C24" i="6"/>
  <c r="C25" i="10" s="1"/>
  <c r="B24" i="6"/>
  <c r="B25" i="10" s="1"/>
  <c r="G23" i="6"/>
  <c r="F23" i="6"/>
  <c r="F24" i="10" s="1"/>
  <c r="E23" i="6"/>
  <c r="D23" i="6"/>
  <c r="C23" i="6"/>
  <c r="C24" i="10" s="1"/>
  <c r="B23" i="6"/>
  <c r="B24" i="10" s="1"/>
  <c r="G22" i="6"/>
  <c r="F22" i="6"/>
  <c r="F23" i="10" s="1"/>
  <c r="E22" i="6"/>
  <c r="D22" i="6"/>
  <c r="C22" i="6"/>
  <c r="C23" i="10" s="1"/>
  <c r="B22" i="6"/>
  <c r="B23" i="10" s="1"/>
  <c r="G21" i="6"/>
  <c r="F21" i="6"/>
  <c r="F22" i="10" s="1"/>
  <c r="E21" i="6"/>
  <c r="D21" i="6"/>
  <c r="C21" i="6"/>
  <c r="C22" i="10" s="1"/>
  <c r="B21" i="6"/>
  <c r="B22" i="10" s="1"/>
  <c r="G20" i="6"/>
  <c r="F20" i="6"/>
  <c r="F21" i="10" s="1"/>
  <c r="E20" i="6"/>
  <c r="D20" i="6"/>
  <c r="C20" i="6"/>
  <c r="C21" i="10" s="1"/>
  <c r="B20" i="6"/>
  <c r="B21" i="10" s="1"/>
  <c r="G19" i="6"/>
  <c r="F19" i="6"/>
  <c r="F20" i="10" s="1"/>
  <c r="E19" i="6"/>
  <c r="D19" i="6"/>
  <c r="C19" i="6"/>
  <c r="C20" i="10" s="1"/>
  <c r="B19" i="6"/>
  <c r="B20" i="10" s="1"/>
  <c r="G18" i="6"/>
  <c r="F18" i="6"/>
  <c r="F19" i="10" s="1"/>
  <c r="E18" i="6"/>
  <c r="D18" i="6"/>
  <c r="C18" i="6"/>
  <c r="C19" i="10" s="1"/>
  <c r="B18" i="6"/>
  <c r="B19" i="10" s="1"/>
  <c r="G17" i="6"/>
  <c r="F17" i="6"/>
  <c r="F18" i="10" s="1"/>
  <c r="E17" i="6"/>
  <c r="D17" i="6"/>
  <c r="C17" i="6"/>
  <c r="C18" i="10" s="1"/>
  <c r="B17" i="6"/>
  <c r="B18" i="10" s="1"/>
  <c r="G16" i="6"/>
  <c r="F16" i="6"/>
  <c r="F17" i="10" s="1"/>
  <c r="E16" i="6"/>
  <c r="D16" i="6"/>
  <c r="C16" i="6"/>
  <c r="C17" i="10" s="1"/>
  <c r="B16" i="6"/>
  <c r="B17" i="10" s="1"/>
  <c r="G15" i="6"/>
  <c r="F15" i="6"/>
  <c r="F16" i="10" s="1"/>
  <c r="E15" i="6"/>
  <c r="D15" i="6"/>
  <c r="C15" i="6"/>
  <c r="C16" i="10" s="1"/>
  <c r="B15" i="6"/>
  <c r="B16" i="10" s="1"/>
  <c r="G14" i="6"/>
  <c r="F14" i="6"/>
  <c r="F15" i="10" s="1"/>
  <c r="E14" i="6"/>
  <c r="D14" i="6"/>
  <c r="C14" i="6"/>
  <c r="C15" i="10" s="1"/>
  <c r="B14" i="6"/>
  <c r="B15" i="10" s="1"/>
  <c r="G13" i="6"/>
  <c r="F13" i="6"/>
  <c r="F14" i="10" s="1"/>
  <c r="E13" i="6"/>
  <c r="D13" i="6"/>
  <c r="C13" i="6"/>
  <c r="C14" i="10" s="1"/>
  <c r="B13" i="6"/>
  <c r="B14" i="10" s="1"/>
  <c r="G12" i="6"/>
  <c r="F12" i="6"/>
  <c r="F13" i="10" s="1"/>
  <c r="E12" i="6"/>
  <c r="D12" i="6"/>
  <c r="C12" i="6"/>
  <c r="C13" i="10" s="1"/>
  <c r="B12" i="6"/>
  <c r="B13" i="10" s="1"/>
  <c r="G11" i="6"/>
  <c r="F11" i="6"/>
  <c r="F12" i="10" s="1"/>
  <c r="E11" i="6"/>
  <c r="D11" i="6"/>
  <c r="C11" i="6"/>
  <c r="C12" i="10" s="1"/>
  <c r="B11" i="6"/>
  <c r="B12" i="10" s="1"/>
  <c r="G10" i="6"/>
  <c r="F10" i="6"/>
  <c r="F11" i="10" s="1"/>
  <c r="E10" i="6"/>
  <c r="D10" i="6"/>
  <c r="C10" i="6"/>
  <c r="C11" i="10" s="1"/>
  <c r="B10" i="6"/>
  <c r="B11" i="10" s="1"/>
  <c r="G9" i="6"/>
  <c r="F9" i="6"/>
  <c r="F10" i="10" s="1"/>
  <c r="E9" i="6"/>
  <c r="D9" i="6"/>
  <c r="C9" i="6"/>
  <c r="C10" i="10" s="1"/>
  <c r="B9" i="6"/>
  <c r="B10" i="10" s="1"/>
  <c r="G8" i="6"/>
  <c r="F8" i="6"/>
  <c r="F9" i="10" s="1"/>
  <c r="E8" i="6"/>
  <c r="D8" i="6"/>
  <c r="C8" i="6"/>
  <c r="C9" i="10" s="1"/>
  <c r="B8" i="6"/>
  <c r="B9" i="10" s="1"/>
  <c r="G7" i="6"/>
  <c r="F7" i="6"/>
  <c r="F8" i="10" s="1"/>
  <c r="E7" i="6"/>
  <c r="D7" i="6"/>
  <c r="C7" i="6"/>
  <c r="C8" i="10" s="1"/>
  <c r="B7" i="6"/>
  <c r="B8" i="10" s="1"/>
  <c r="G6" i="6"/>
  <c r="F6" i="6"/>
  <c r="F7" i="10" s="1"/>
  <c r="E6" i="6"/>
  <c r="D6" i="6"/>
  <c r="C6" i="6"/>
  <c r="C7" i="10" s="1"/>
  <c r="B6" i="6"/>
  <c r="B7" i="10" s="1"/>
  <c r="G5" i="6"/>
  <c r="F5" i="6"/>
  <c r="F6" i="10" s="1"/>
  <c r="E5" i="6"/>
  <c r="D5" i="6"/>
  <c r="C5" i="6"/>
  <c r="C6" i="10" s="1"/>
  <c r="B5" i="6"/>
  <c r="B6" i="10" s="1"/>
  <c r="G4" i="6"/>
  <c r="F4" i="6"/>
  <c r="F5" i="10" s="1"/>
  <c r="E4" i="6"/>
  <c r="D4" i="6"/>
  <c r="C4" i="6"/>
  <c r="C5" i="10" s="1"/>
  <c r="B4" i="6"/>
  <c r="B5" i="10" s="1"/>
  <c r="H104" i="5"/>
  <c r="G104" i="5"/>
  <c r="F104" i="5"/>
  <c r="M104" i="5" s="1"/>
  <c r="H103" i="5"/>
  <c r="G103" i="5"/>
  <c r="F103" i="5"/>
  <c r="H102" i="5"/>
  <c r="G102" i="5"/>
  <c r="F102" i="5"/>
  <c r="M102" i="5" s="1"/>
  <c r="H101" i="5"/>
  <c r="G101" i="5"/>
  <c r="F101" i="5"/>
  <c r="H100" i="5"/>
  <c r="G100" i="5"/>
  <c r="F100" i="5"/>
  <c r="M100" i="5" s="1"/>
  <c r="H99" i="5"/>
  <c r="G99" i="5"/>
  <c r="F99" i="5"/>
  <c r="M99" i="5" s="1"/>
  <c r="H98" i="5"/>
  <c r="G98" i="5"/>
  <c r="F98" i="5"/>
  <c r="H97" i="5"/>
  <c r="G97" i="5"/>
  <c r="F97" i="5"/>
  <c r="H96" i="5"/>
  <c r="G96" i="5"/>
  <c r="F96" i="5"/>
  <c r="M96" i="5" s="1"/>
  <c r="H95" i="5"/>
  <c r="G95" i="5"/>
  <c r="F95" i="5"/>
  <c r="M95" i="5" s="1"/>
  <c r="H94" i="5"/>
  <c r="G94" i="5"/>
  <c r="F94" i="5"/>
  <c r="H93" i="5"/>
  <c r="G93" i="5"/>
  <c r="F93" i="5"/>
  <c r="K93" i="5" s="1"/>
  <c r="H92" i="5"/>
  <c r="G92" i="5"/>
  <c r="F92" i="5"/>
  <c r="M92" i="5" s="1"/>
  <c r="H91" i="5"/>
  <c r="G91" i="5"/>
  <c r="F91" i="5"/>
  <c r="H90" i="5"/>
  <c r="G90" i="5"/>
  <c r="F90" i="5"/>
  <c r="H89" i="5"/>
  <c r="G89" i="5"/>
  <c r="F89" i="5"/>
  <c r="K89" i="5" s="1"/>
  <c r="H88" i="5"/>
  <c r="G88" i="5"/>
  <c r="F88" i="5"/>
  <c r="M88" i="5" s="1"/>
  <c r="H87" i="5"/>
  <c r="G87" i="5"/>
  <c r="F87" i="5"/>
  <c r="M87" i="5" s="1"/>
  <c r="H86" i="5"/>
  <c r="G86" i="5"/>
  <c r="F86" i="5"/>
  <c r="H85" i="5"/>
  <c r="G85" i="5"/>
  <c r="F85" i="5"/>
  <c r="H84" i="5"/>
  <c r="G84" i="5"/>
  <c r="F84" i="5"/>
  <c r="M84" i="5" s="1"/>
  <c r="H83" i="5"/>
  <c r="G83" i="5"/>
  <c r="F83" i="5"/>
  <c r="M83" i="5" s="1"/>
  <c r="H82" i="5"/>
  <c r="G82" i="5"/>
  <c r="F82" i="5"/>
  <c r="M82" i="5" s="1"/>
  <c r="H81" i="5"/>
  <c r="G81" i="5"/>
  <c r="F81" i="5"/>
  <c r="H80" i="5"/>
  <c r="G80" i="5"/>
  <c r="F80" i="5"/>
  <c r="M80" i="5" s="1"/>
  <c r="H79" i="5"/>
  <c r="G79" i="5"/>
  <c r="H78" i="5"/>
  <c r="G78" i="5"/>
  <c r="H77" i="5"/>
  <c r="G77" i="5"/>
  <c r="H76" i="5"/>
  <c r="G76" i="5"/>
  <c r="H75" i="5"/>
  <c r="G75" i="5"/>
  <c r="F75" i="5"/>
  <c r="H74" i="5"/>
  <c r="G74" i="5"/>
  <c r="F74" i="5"/>
  <c r="M74" i="5" s="1"/>
  <c r="H73" i="5"/>
  <c r="G73" i="5"/>
  <c r="H72" i="5"/>
  <c r="G72" i="5"/>
  <c r="H71" i="5"/>
  <c r="G71" i="5"/>
  <c r="F71" i="5"/>
  <c r="H70" i="5"/>
  <c r="G70" i="5"/>
  <c r="F70" i="5"/>
  <c r="H69" i="5"/>
  <c r="G69" i="5"/>
  <c r="H68" i="5"/>
  <c r="G68" i="5"/>
  <c r="H67" i="5"/>
  <c r="G67" i="5"/>
  <c r="H66" i="5"/>
  <c r="G66" i="5"/>
  <c r="H65" i="5"/>
  <c r="G65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F22" i="5"/>
  <c r="H21" i="5"/>
  <c r="G21" i="5"/>
  <c r="H20" i="5"/>
  <c r="G20" i="5"/>
  <c r="H19" i="5"/>
  <c r="G19" i="5"/>
  <c r="H18" i="5"/>
  <c r="G18" i="5"/>
  <c r="H17" i="5"/>
  <c r="G17" i="5"/>
  <c r="H16" i="5"/>
  <c r="G16" i="5"/>
  <c r="F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5" i="4"/>
  <c r="C18" i="8" s="1"/>
  <c r="D4" i="4"/>
  <c r="C17" i="8" s="1"/>
  <c r="A301" i="3"/>
  <c r="A300" i="3"/>
  <c r="A299" i="3"/>
  <c r="A299" i="6" s="1"/>
  <c r="A300" i="10" s="1"/>
  <c r="A298" i="3"/>
  <c r="A297" i="3"/>
  <c r="A297" i="6" s="1"/>
  <c r="A298" i="10" s="1"/>
  <c r="A296" i="3"/>
  <c r="A295" i="3"/>
  <c r="A294" i="3"/>
  <c r="A294" i="6" s="1"/>
  <c r="A295" i="10" s="1"/>
  <c r="A292" i="3"/>
  <c r="A291" i="3"/>
  <c r="A290" i="3"/>
  <c r="A289" i="3"/>
  <c r="A288" i="3"/>
  <c r="A287" i="3"/>
  <c r="A287" i="6" s="1"/>
  <c r="A288" i="10" s="1"/>
  <c r="A286" i="3"/>
  <c r="A285" i="3"/>
  <c r="A284" i="3"/>
  <c r="A283" i="3"/>
  <c r="A283" i="6" s="1"/>
  <c r="A284" i="10" s="1"/>
  <c r="A282" i="3"/>
  <c r="A281" i="3"/>
  <c r="A280" i="3"/>
  <c r="A279" i="3"/>
  <c r="A279" i="6" s="1"/>
  <c r="A280" i="10" s="1"/>
  <c r="A278" i="3"/>
  <c r="A277" i="3"/>
  <c r="A276" i="3"/>
  <c r="A275" i="3"/>
  <c r="A274" i="3"/>
  <c r="A273" i="3"/>
  <c r="A273" i="6" s="1"/>
  <c r="A274" i="10" s="1"/>
  <c r="A272" i="3"/>
  <c r="A271" i="3"/>
  <c r="A270" i="3"/>
  <c r="A270" i="6" s="1"/>
  <c r="A271" i="10" s="1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7" i="6" s="1"/>
  <c r="A258" i="10" s="1"/>
  <c r="A256" i="3"/>
  <c r="A255" i="3"/>
  <c r="A255" i="6" s="1"/>
  <c r="A256" i="10" s="1"/>
  <c r="A254" i="3"/>
  <c r="A254" i="6" s="1"/>
  <c r="A255" i="10" s="1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9" i="6" s="1"/>
  <c r="A240" i="10" s="1"/>
  <c r="A238" i="3"/>
  <c r="A237" i="3"/>
  <c r="A236" i="3"/>
  <c r="A235" i="3"/>
  <c r="A234" i="3"/>
  <c r="A233" i="3"/>
  <c r="A233" i="6" s="1"/>
  <c r="A234" i="10" s="1"/>
  <c r="A232" i="3"/>
  <c r="A231" i="3"/>
  <c r="A231" i="6" s="1"/>
  <c r="A232" i="10" s="1"/>
  <c r="A230" i="3"/>
  <c r="A230" i="6" s="1"/>
  <c r="A231" i="10" s="1"/>
  <c r="A229" i="3"/>
  <c r="A228" i="3"/>
  <c r="A227" i="3"/>
  <c r="A226" i="3"/>
  <c r="A225" i="3"/>
  <c r="A224" i="3"/>
  <c r="A223" i="3"/>
  <c r="A223" i="6" s="1"/>
  <c r="A224" i="10" s="1"/>
  <c r="A222" i="3"/>
  <c r="A221" i="3"/>
  <c r="A220" i="3"/>
  <c r="A219" i="3"/>
  <c r="A219" i="6" s="1"/>
  <c r="A220" i="10" s="1"/>
  <c r="A218" i="3"/>
  <c r="A218" i="6" s="1"/>
  <c r="A219" i="10" s="1"/>
  <c r="A217" i="3"/>
  <c r="A216" i="3"/>
  <c r="A216" i="6" s="1"/>
  <c r="A217" i="10" s="1"/>
  <c r="A215" i="3"/>
  <c r="A215" i="6" s="1"/>
  <c r="A216" i="10" s="1"/>
  <c r="A214" i="3"/>
  <c r="A214" i="6" s="1"/>
  <c r="A215" i="10" s="1"/>
  <c r="A213" i="3"/>
  <c r="A213" i="6" s="1"/>
  <c r="A214" i="10" s="1"/>
  <c r="A212" i="3"/>
  <c r="A212" i="6" s="1"/>
  <c r="A213" i="10" s="1"/>
  <c r="A211" i="3"/>
  <c r="A211" i="6" s="1"/>
  <c r="A212" i="10" s="1"/>
  <c r="A210" i="3"/>
  <c r="A209" i="3"/>
  <c r="A208" i="3"/>
  <c r="A208" i="6" s="1"/>
  <c r="A209" i="10" s="1"/>
  <c r="A207" i="3"/>
  <c r="A207" i="6" s="1"/>
  <c r="A208" i="10" s="1"/>
  <c r="A206" i="3"/>
  <c r="A205" i="3"/>
  <c r="A204" i="3"/>
  <c r="A203" i="3"/>
  <c r="A203" i="6" s="1"/>
  <c r="A204" i="10" s="1"/>
  <c r="A202" i="3"/>
  <c r="A201" i="3"/>
  <c r="A200" i="3"/>
  <c r="A199" i="3"/>
  <c r="A199" i="6" s="1"/>
  <c r="A200" i="10" s="1"/>
  <c r="A198" i="3"/>
  <c r="A198" i="6" s="1"/>
  <c r="A199" i="10" s="1"/>
  <c r="A197" i="3"/>
  <c r="A196" i="3"/>
  <c r="A195" i="3"/>
  <c r="A195" i="6" s="1"/>
  <c r="A196" i="10" s="1"/>
  <c r="A194" i="3"/>
  <c r="A193" i="3"/>
  <c r="A193" i="6" s="1"/>
  <c r="A194" i="10" s="1"/>
  <c r="A192" i="3"/>
  <c r="A191" i="3"/>
  <c r="A191" i="6" s="1"/>
  <c r="A192" i="10" s="1"/>
  <c r="A190" i="3"/>
  <c r="A190" i="6" s="1"/>
  <c r="A191" i="10" s="1"/>
  <c r="A189" i="3"/>
  <c r="A188" i="3"/>
  <c r="A187" i="3"/>
  <c r="A187" i="6" s="1"/>
  <c r="A188" i="10" s="1"/>
  <c r="A186" i="3"/>
  <c r="A185" i="3"/>
  <c r="A184" i="3"/>
  <c r="A183" i="3"/>
  <c r="A182" i="3"/>
  <c r="A181" i="3"/>
  <c r="A180" i="3"/>
  <c r="A179" i="3"/>
  <c r="A178" i="3"/>
  <c r="A178" i="6" s="1"/>
  <c r="A179" i="10" s="1"/>
  <c r="A177" i="3"/>
  <c r="A176" i="3"/>
  <c r="A175" i="3"/>
  <c r="A175" i="6" s="1"/>
  <c r="A176" i="10" s="1"/>
  <c r="A174" i="3"/>
  <c r="A173" i="3"/>
  <c r="A172" i="3"/>
  <c r="A172" i="6" s="1"/>
  <c r="A173" i="10" s="1"/>
  <c r="A171" i="3"/>
  <c r="A170" i="3"/>
  <c r="A169" i="3"/>
  <c r="A168" i="3"/>
  <c r="A168" i="6" s="1"/>
  <c r="A169" i="10" s="1"/>
  <c r="A167" i="3"/>
  <c r="A166" i="3"/>
  <c r="A165" i="3"/>
  <c r="A164" i="3"/>
  <c r="A163" i="3"/>
  <c r="A162" i="3"/>
  <c r="A161" i="3"/>
  <c r="A160" i="3"/>
  <c r="A160" i="6" s="1"/>
  <c r="A161" i="10" s="1"/>
  <c r="A159" i="3"/>
  <c r="A158" i="3"/>
  <c r="A157" i="3"/>
  <c r="A157" i="6" s="1"/>
  <c r="A158" i="10" s="1"/>
  <c r="A156" i="3"/>
  <c r="A156" i="6" s="1"/>
  <c r="A157" i="10" s="1"/>
  <c r="A155" i="3"/>
  <c r="A154" i="3"/>
  <c r="A154" i="6" s="1"/>
  <c r="A155" i="10" s="1"/>
  <c r="A153" i="3"/>
  <c r="A153" i="6" s="1"/>
  <c r="A154" i="10" s="1"/>
  <c r="A152" i="3"/>
  <c r="A151" i="3"/>
  <c r="A150" i="3"/>
  <c r="A150" i="6" s="1"/>
  <c r="A151" i="10" s="1"/>
  <c r="A149" i="3"/>
  <c r="A148" i="3"/>
  <c r="A148" i="6" s="1"/>
  <c r="A149" i="10" s="1"/>
  <c r="A147" i="3"/>
  <c r="A146" i="3"/>
  <c r="A146" i="6" s="1"/>
  <c r="A147" i="10" s="1"/>
  <c r="A145" i="3"/>
  <c r="A145" i="6" s="1"/>
  <c r="A146" i="10" s="1"/>
  <c r="A144" i="3"/>
  <c r="A143" i="3"/>
  <c r="A142" i="3"/>
  <c r="A142" i="6" s="1"/>
  <c r="A143" i="10" s="1"/>
  <c r="A141" i="3"/>
  <c r="A141" i="6" s="1"/>
  <c r="A142" i="10" s="1"/>
  <c r="A140" i="3"/>
  <c r="A139" i="3"/>
  <c r="A138" i="3"/>
  <c r="A138" i="6" s="1"/>
  <c r="A139" i="10" s="1"/>
  <c r="A137" i="3"/>
  <c r="A136" i="3"/>
  <c r="A135" i="3"/>
  <c r="A134" i="3"/>
  <c r="A134" i="6" s="1"/>
  <c r="A135" i="10" s="1"/>
  <c r="A133" i="3"/>
  <c r="A132" i="3"/>
  <c r="A131" i="3"/>
  <c r="A130" i="3"/>
  <c r="A130" i="6" s="1"/>
  <c r="A131" i="10" s="1"/>
  <c r="A129" i="3"/>
  <c r="A128" i="3"/>
  <c r="A127" i="3"/>
  <c r="A126" i="3"/>
  <c r="A125" i="3"/>
  <c r="A124" i="3"/>
  <c r="A124" i="6" s="1"/>
  <c r="A125" i="10" s="1"/>
  <c r="A123" i="3"/>
  <c r="A122" i="3"/>
  <c r="A122" i="6" s="1"/>
  <c r="A123" i="10" s="1"/>
  <c r="A121" i="3"/>
  <c r="A121" i="6" s="1"/>
  <c r="A122" i="10" s="1"/>
  <c r="A120" i="3"/>
  <c r="A119" i="3"/>
  <c r="A118" i="3"/>
  <c r="A117" i="3"/>
  <c r="A116" i="3"/>
  <c r="A115" i="3"/>
  <c r="A114" i="3"/>
  <c r="A113" i="3"/>
  <c r="A112" i="3"/>
  <c r="A111" i="3"/>
  <c r="A110" i="3"/>
  <c r="A110" i="6" s="1"/>
  <c r="A111" i="10" s="1"/>
  <c r="A109" i="3"/>
  <c r="A108" i="3"/>
  <c r="A107" i="3"/>
  <c r="A106" i="3"/>
  <c r="A105" i="3"/>
  <c r="A105" i="6" s="1"/>
  <c r="A106" i="10" s="1"/>
  <c r="A104" i="3"/>
  <c r="A103" i="3"/>
  <c r="A102" i="3"/>
  <c r="A101" i="3"/>
  <c r="A100" i="3"/>
  <c r="A100" i="6" s="1"/>
  <c r="A101" i="10" s="1"/>
  <c r="A99" i="3"/>
  <c r="A98" i="3"/>
  <c r="A97" i="3"/>
  <c r="A96" i="3"/>
  <c r="A95" i="3"/>
  <c r="A94" i="3"/>
  <c r="A94" i="6" s="1"/>
  <c r="A95" i="10" s="1"/>
  <c r="A93" i="3"/>
  <c r="A92" i="3"/>
  <c r="A91" i="3"/>
  <c r="A90" i="3"/>
  <c r="A89" i="3"/>
  <c r="A89" i="6" s="1"/>
  <c r="A90" i="10" s="1"/>
  <c r="A88" i="3"/>
  <c r="A87" i="3"/>
  <c r="A86" i="3"/>
  <c r="A85" i="3"/>
  <c r="A84" i="3"/>
  <c r="A84" i="6" s="1"/>
  <c r="A85" i="10" s="1"/>
  <c r="A83" i="3"/>
  <c r="A82" i="3"/>
  <c r="A81" i="3"/>
  <c r="A80" i="3"/>
  <c r="A79" i="3"/>
  <c r="A78" i="3"/>
  <c r="A78" i="6" s="1"/>
  <c r="A79" i="10" s="1"/>
  <c r="A77" i="3"/>
  <c r="A76" i="3"/>
  <c r="A75" i="3"/>
  <c r="A74" i="3"/>
  <c r="A73" i="3"/>
  <c r="A72" i="3"/>
  <c r="A71" i="3"/>
  <c r="A70" i="3"/>
  <c r="A69" i="3"/>
  <c r="A68" i="3"/>
  <c r="A68" i="6" s="1"/>
  <c r="A69" i="10" s="1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2" i="6" s="1"/>
  <c r="A53" i="10" s="1"/>
  <c r="A51" i="3"/>
  <c r="A50" i="3"/>
  <c r="A49" i="3"/>
  <c r="A48" i="3"/>
  <c r="A48" i="6" s="1"/>
  <c r="A49" i="10" s="1"/>
  <c r="A47" i="3"/>
  <c r="A46" i="3"/>
  <c r="A46" i="6" s="1"/>
  <c r="A47" i="10" s="1"/>
  <c r="A45" i="3"/>
  <c r="A45" i="6" s="1"/>
  <c r="A46" i="10" s="1"/>
  <c r="A44" i="3"/>
  <c r="A43" i="3"/>
  <c r="A42" i="3"/>
  <c r="A42" i="6" s="1"/>
  <c r="A43" i="10" s="1"/>
  <c r="A41" i="3"/>
  <c r="A40" i="3"/>
  <c r="A39" i="3"/>
  <c r="A38" i="3"/>
  <c r="A37" i="3"/>
  <c r="A36" i="3"/>
  <c r="A35" i="3"/>
  <c r="A34" i="3"/>
  <c r="A34" i="6" s="1"/>
  <c r="A35" i="10" s="1"/>
  <c r="A33" i="3"/>
  <c r="A32" i="3"/>
  <c r="A31" i="3"/>
  <c r="A30" i="3"/>
  <c r="A29" i="3"/>
  <c r="A28" i="3"/>
  <c r="A28" i="6" s="1"/>
  <c r="A29" i="10" s="1"/>
  <c r="A27" i="3"/>
  <c r="A26" i="3"/>
  <c r="A25" i="3"/>
  <c r="A25" i="6" s="1"/>
  <c r="A26" i="10" s="1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J8" i="3" s="1"/>
  <c r="A7" i="3"/>
  <c r="J7" i="3" s="1"/>
  <c r="A6" i="3"/>
  <c r="J6" i="3" s="1"/>
  <c r="A5" i="3"/>
  <c r="A4" i="3"/>
  <c r="J17" i="8" s="1"/>
  <c r="AE1622" i="2"/>
  <c r="AD1622" i="2"/>
  <c r="AC1622" i="2"/>
  <c r="X1622" i="2"/>
  <c r="Y1622" i="2" s="1"/>
  <c r="W1622" i="2"/>
  <c r="V1622" i="2"/>
  <c r="AE1621" i="2"/>
  <c r="AD1621" i="2"/>
  <c r="AC1621" i="2"/>
  <c r="X1621" i="2"/>
  <c r="Y1621" i="2" s="1"/>
  <c r="W1621" i="2"/>
  <c r="V1621" i="2"/>
  <c r="AE1620" i="2"/>
  <c r="AD1620" i="2"/>
  <c r="AC1620" i="2"/>
  <c r="X1620" i="2"/>
  <c r="Y1620" i="2" s="1"/>
  <c r="W1620" i="2"/>
  <c r="V1620" i="2"/>
  <c r="AE1619" i="2"/>
  <c r="AD1619" i="2"/>
  <c r="AC1619" i="2"/>
  <c r="X1619" i="2"/>
  <c r="Y1619" i="2" s="1"/>
  <c r="W1619" i="2"/>
  <c r="V1619" i="2"/>
  <c r="Z1619" i="2" s="1"/>
  <c r="AE1618" i="2"/>
  <c r="AD1618" i="2"/>
  <c r="AC1618" i="2"/>
  <c r="X1618" i="2"/>
  <c r="Y1618" i="2" s="1"/>
  <c r="W1618" i="2"/>
  <c r="V1618" i="2"/>
  <c r="AE1617" i="2"/>
  <c r="AD1617" i="2"/>
  <c r="AC1617" i="2"/>
  <c r="X1617" i="2"/>
  <c r="Y1617" i="2" s="1"/>
  <c r="W1617" i="2"/>
  <c r="V1617" i="2"/>
  <c r="AE1616" i="2"/>
  <c r="AD1616" i="2"/>
  <c r="AC1616" i="2"/>
  <c r="X1616" i="2"/>
  <c r="Y1616" i="2" s="1"/>
  <c r="W1616" i="2"/>
  <c r="V1616" i="2"/>
  <c r="AE1615" i="2"/>
  <c r="AD1615" i="2"/>
  <c r="AC1615" i="2"/>
  <c r="X1615" i="2"/>
  <c r="Y1615" i="2" s="1"/>
  <c r="W1615" i="2"/>
  <c r="V1615" i="2"/>
  <c r="AB1615" i="2" s="1"/>
  <c r="AE1614" i="2"/>
  <c r="AD1614" i="2"/>
  <c r="AC1614" i="2"/>
  <c r="X1614" i="2"/>
  <c r="Y1614" i="2" s="1"/>
  <c r="W1614" i="2"/>
  <c r="V1614" i="2"/>
  <c r="AE1613" i="2"/>
  <c r="AD1613" i="2"/>
  <c r="AC1613" i="2"/>
  <c r="X1613" i="2"/>
  <c r="Y1613" i="2" s="1"/>
  <c r="W1613" i="2"/>
  <c r="V1613" i="2"/>
  <c r="AE1612" i="2"/>
  <c r="AD1612" i="2"/>
  <c r="AC1612" i="2"/>
  <c r="X1612" i="2"/>
  <c r="Y1612" i="2" s="1"/>
  <c r="W1612" i="2"/>
  <c r="V1612" i="2"/>
  <c r="AE1611" i="2"/>
  <c r="AD1611" i="2"/>
  <c r="AC1611" i="2"/>
  <c r="X1611" i="2"/>
  <c r="Y1611" i="2" s="1"/>
  <c r="W1611" i="2"/>
  <c r="V1611" i="2"/>
  <c r="AE1610" i="2"/>
  <c r="AD1610" i="2"/>
  <c r="AC1610" i="2"/>
  <c r="X1610" i="2"/>
  <c r="Y1610" i="2" s="1"/>
  <c r="W1610" i="2"/>
  <c r="V1610" i="2"/>
  <c r="AE1609" i="2"/>
  <c r="AD1609" i="2"/>
  <c r="AC1609" i="2"/>
  <c r="X1609" i="2"/>
  <c r="Y1609" i="2" s="1"/>
  <c r="W1609" i="2"/>
  <c r="V1609" i="2"/>
  <c r="AE1608" i="2"/>
  <c r="AD1608" i="2"/>
  <c r="AC1608" i="2"/>
  <c r="X1608" i="2"/>
  <c r="Y1608" i="2" s="1"/>
  <c r="W1608" i="2"/>
  <c r="V1608" i="2"/>
  <c r="AE1607" i="2"/>
  <c r="AD1607" i="2"/>
  <c r="AC1607" i="2"/>
  <c r="X1607" i="2"/>
  <c r="Y1607" i="2" s="1"/>
  <c r="W1607" i="2"/>
  <c r="V1607" i="2"/>
  <c r="AE1606" i="2"/>
  <c r="AD1606" i="2"/>
  <c r="AC1606" i="2"/>
  <c r="X1606" i="2"/>
  <c r="Y1606" i="2" s="1"/>
  <c r="W1606" i="2"/>
  <c r="V1606" i="2"/>
  <c r="AE1605" i="2"/>
  <c r="AD1605" i="2"/>
  <c r="AC1605" i="2"/>
  <c r="X1605" i="2"/>
  <c r="Y1605" i="2" s="1"/>
  <c r="W1605" i="2"/>
  <c r="V1605" i="2"/>
  <c r="Z1605" i="2" s="1"/>
  <c r="AE1604" i="2"/>
  <c r="AD1604" i="2"/>
  <c r="AC1604" i="2"/>
  <c r="X1604" i="2"/>
  <c r="Y1604" i="2" s="1"/>
  <c r="W1604" i="2"/>
  <c r="V1604" i="2"/>
  <c r="AE1603" i="2"/>
  <c r="AD1603" i="2"/>
  <c r="AC1603" i="2"/>
  <c r="X1603" i="2"/>
  <c r="Y1603" i="2" s="1"/>
  <c r="W1603" i="2"/>
  <c r="V1603" i="2"/>
  <c r="AE1602" i="2"/>
  <c r="AD1602" i="2"/>
  <c r="AC1602" i="2"/>
  <c r="X1602" i="2"/>
  <c r="Y1602" i="2" s="1"/>
  <c r="W1602" i="2"/>
  <c r="V1602" i="2"/>
  <c r="AE1601" i="2"/>
  <c r="AD1601" i="2"/>
  <c r="AC1601" i="2"/>
  <c r="X1601" i="2"/>
  <c r="Y1601" i="2" s="1"/>
  <c r="W1601" i="2"/>
  <c r="V1601" i="2"/>
  <c r="AE1600" i="2"/>
  <c r="AD1600" i="2"/>
  <c r="AC1600" i="2"/>
  <c r="X1600" i="2"/>
  <c r="Y1600" i="2" s="1"/>
  <c r="W1600" i="2"/>
  <c r="V1600" i="2"/>
  <c r="AE1599" i="2"/>
  <c r="AD1599" i="2"/>
  <c r="AC1599" i="2"/>
  <c r="X1599" i="2"/>
  <c r="Y1599" i="2" s="1"/>
  <c r="W1599" i="2"/>
  <c r="V1599" i="2"/>
  <c r="AE1598" i="2"/>
  <c r="AD1598" i="2"/>
  <c r="AC1598" i="2"/>
  <c r="X1598" i="2"/>
  <c r="Y1598" i="2" s="1"/>
  <c r="W1598" i="2"/>
  <c r="V1598" i="2"/>
  <c r="AE1597" i="2"/>
  <c r="AD1597" i="2"/>
  <c r="AC1597" i="2"/>
  <c r="X1597" i="2"/>
  <c r="Y1597" i="2" s="1"/>
  <c r="W1597" i="2"/>
  <c r="V1597" i="2"/>
  <c r="AE1596" i="2"/>
  <c r="AD1596" i="2"/>
  <c r="AC1596" i="2"/>
  <c r="X1596" i="2"/>
  <c r="Y1596" i="2" s="1"/>
  <c r="W1596" i="2"/>
  <c r="V1596" i="2"/>
  <c r="AE1595" i="2"/>
  <c r="AD1595" i="2"/>
  <c r="AC1595" i="2"/>
  <c r="X1595" i="2"/>
  <c r="Y1595" i="2" s="1"/>
  <c r="W1595" i="2"/>
  <c r="V1595" i="2"/>
  <c r="AB1595" i="2" s="1"/>
  <c r="AE1594" i="2"/>
  <c r="AD1594" i="2"/>
  <c r="AC1594" i="2"/>
  <c r="X1594" i="2"/>
  <c r="Y1594" i="2" s="1"/>
  <c r="W1594" i="2"/>
  <c r="V1594" i="2"/>
  <c r="AE1593" i="2"/>
  <c r="AD1593" i="2"/>
  <c r="AC1593" i="2"/>
  <c r="X1593" i="2"/>
  <c r="Y1593" i="2" s="1"/>
  <c r="W1593" i="2"/>
  <c r="V1593" i="2"/>
  <c r="AE1592" i="2"/>
  <c r="AD1592" i="2"/>
  <c r="AC1592" i="2"/>
  <c r="X1592" i="2"/>
  <c r="Y1592" i="2" s="1"/>
  <c r="W1592" i="2"/>
  <c r="V1592" i="2"/>
  <c r="AE1591" i="2"/>
  <c r="AD1591" i="2"/>
  <c r="AC1591" i="2"/>
  <c r="X1591" i="2"/>
  <c r="Y1591" i="2" s="1"/>
  <c r="W1591" i="2"/>
  <c r="V1591" i="2"/>
  <c r="AE1590" i="2"/>
  <c r="AD1590" i="2"/>
  <c r="AC1590" i="2"/>
  <c r="X1590" i="2"/>
  <c r="Y1590" i="2" s="1"/>
  <c r="W1590" i="2"/>
  <c r="V1590" i="2"/>
  <c r="AE1589" i="2"/>
  <c r="AD1589" i="2"/>
  <c r="AC1589" i="2"/>
  <c r="X1589" i="2"/>
  <c r="Y1589" i="2" s="1"/>
  <c r="W1589" i="2"/>
  <c r="V1589" i="2"/>
  <c r="AE1588" i="2"/>
  <c r="AD1588" i="2"/>
  <c r="AC1588" i="2"/>
  <c r="X1588" i="2"/>
  <c r="Y1588" i="2" s="1"/>
  <c r="W1588" i="2"/>
  <c r="V1588" i="2"/>
  <c r="AE1587" i="2"/>
  <c r="AD1587" i="2"/>
  <c r="AC1587" i="2"/>
  <c r="X1587" i="2"/>
  <c r="Y1587" i="2" s="1"/>
  <c r="W1587" i="2"/>
  <c r="V1587" i="2"/>
  <c r="AB1587" i="2" s="1"/>
  <c r="AE1586" i="2"/>
  <c r="AD1586" i="2"/>
  <c r="AC1586" i="2"/>
  <c r="X1586" i="2"/>
  <c r="Y1586" i="2" s="1"/>
  <c r="W1586" i="2"/>
  <c r="V1586" i="2"/>
  <c r="AE1585" i="2"/>
  <c r="AD1585" i="2"/>
  <c r="AC1585" i="2"/>
  <c r="X1585" i="2"/>
  <c r="Y1585" i="2" s="1"/>
  <c r="W1585" i="2"/>
  <c r="V1585" i="2"/>
  <c r="AE1584" i="2"/>
  <c r="AD1584" i="2"/>
  <c r="AC1584" i="2"/>
  <c r="X1584" i="2"/>
  <c r="Y1584" i="2" s="1"/>
  <c r="W1584" i="2"/>
  <c r="V1584" i="2"/>
  <c r="AE1583" i="2"/>
  <c r="AD1583" i="2"/>
  <c r="AC1583" i="2"/>
  <c r="X1583" i="2"/>
  <c r="Y1583" i="2" s="1"/>
  <c r="W1583" i="2"/>
  <c r="V1583" i="2"/>
  <c r="AE1582" i="2"/>
  <c r="AD1582" i="2"/>
  <c r="AC1582" i="2"/>
  <c r="X1582" i="2"/>
  <c r="Y1582" i="2" s="1"/>
  <c r="W1582" i="2"/>
  <c r="V1582" i="2"/>
  <c r="AE1581" i="2"/>
  <c r="AD1581" i="2"/>
  <c r="AC1581" i="2"/>
  <c r="X1581" i="2"/>
  <c r="Y1581" i="2" s="1"/>
  <c r="W1581" i="2"/>
  <c r="V1581" i="2"/>
  <c r="AE1580" i="2"/>
  <c r="AD1580" i="2"/>
  <c r="AC1580" i="2"/>
  <c r="X1580" i="2"/>
  <c r="Y1580" i="2" s="1"/>
  <c r="W1580" i="2"/>
  <c r="V1580" i="2"/>
  <c r="AE1579" i="2"/>
  <c r="AD1579" i="2"/>
  <c r="AC1579" i="2"/>
  <c r="X1579" i="2"/>
  <c r="Y1579" i="2" s="1"/>
  <c r="W1579" i="2"/>
  <c r="V1579" i="2"/>
  <c r="AB1579" i="2" s="1"/>
  <c r="AE1578" i="2"/>
  <c r="AD1578" i="2"/>
  <c r="AC1578" i="2"/>
  <c r="X1578" i="2"/>
  <c r="Y1578" i="2" s="1"/>
  <c r="W1578" i="2"/>
  <c r="V1578" i="2"/>
  <c r="AE1577" i="2"/>
  <c r="AD1577" i="2"/>
  <c r="AC1577" i="2"/>
  <c r="X1577" i="2"/>
  <c r="Y1577" i="2" s="1"/>
  <c r="W1577" i="2"/>
  <c r="V1577" i="2"/>
  <c r="Z1577" i="2" s="1"/>
  <c r="AE1576" i="2"/>
  <c r="AD1576" i="2"/>
  <c r="AC1576" i="2"/>
  <c r="X1576" i="2"/>
  <c r="Y1576" i="2" s="1"/>
  <c r="W1576" i="2"/>
  <c r="V1576" i="2"/>
  <c r="AE1575" i="2"/>
  <c r="AD1575" i="2"/>
  <c r="AC1575" i="2"/>
  <c r="X1575" i="2"/>
  <c r="Y1575" i="2" s="1"/>
  <c r="W1575" i="2"/>
  <c r="V1575" i="2"/>
  <c r="AE1574" i="2"/>
  <c r="AD1574" i="2"/>
  <c r="AC1574" i="2"/>
  <c r="X1574" i="2"/>
  <c r="Y1574" i="2" s="1"/>
  <c r="W1574" i="2"/>
  <c r="V1574" i="2"/>
  <c r="AE1573" i="2"/>
  <c r="AD1573" i="2"/>
  <c r="AC1573" i="2"/>
  <c r="X1573" i="2"/>
  <c r="Y1573" i="2" s="1"/>
  <c r="W1573" i="2"/>
  <c r="V1573" i="2"/>
  <c r="AE1572" i="2"/>
  <c r="AD1572" i="2"/>
  <c r="AC1572" i="2"/>
  <c r="X1572" i="2"/>
  <c r="Y1572" i="2" s="1"/>
  <c r="W1572" i="2"/>
  <c r="V1572" i="2"/>
  <c r="AE1571" i="2"/>
  <c r="AD1571" i="2"/>
  <c r="AC1571" i="2"/>
  <c r="X1571" i="2"/>
  <c r="Y1571" i="2" s="1"/>
  <c r="W1571" i="2"/>
  <c r="V1571" i="2"/>
  <c r="AE1570" i="2"/>
  <c r="AD1570" i="2"/>
  <c r="AC1570" i="2"/>
  <c r="X1570" i="2"/>
  <c r="Y1570" i="2" s="1"/>
  <c r="W1570" i="2"/>
  <c r="V1570" i="2"/>
  <c r="AE1569" i="2"/>
  <c r="AD1569" i="2"/>
  <c r="AC1569" i="2"/>
  <c r="X1569" i="2"/>
  <c r="Y1569" i="2" s="1"/>
  <c r="W1569" i="2"/>
  <c r="V1569" i="2"/>
  <c r="AB1569" i="2" s="1"/>
  <c r="AE1568" i="2"/>
  <c r="AD1568" i="2"/>
  <c r="AC1568" i="2"/>
  <c r="X1568" i="2"/>
  <c r="Y1568" i="2" s="1"/>
  <c r="W1568" i="2"/>
  <c r="V1568" i="2"/>
  <c r="AE1567" i="2"/>
  <c r="AD1567" i="2"/>
  <c r="AC1567" i="2"/>
  <c r="X1567" i="2"/>
  <c r="Y1567" i="2" s="1"/>
  <c r="W1567" i="2"/>
  <c r="V1567" i="2"/>
  <c r="AE1566" i="2"/>
  <c r="AD1566" i="2"/>
  <c r="AC1566" i="2"/>
  <c r="X1566" i="2"/>
  <c r="Y1566" i="2" s="1"/>
  <c r="W1566" i="2"/>
  <c r="V1566" i="2"/>
  <c r="AE1565" i="2"/>
  <c r="AD1565" i="2"/>
  <c r="AC1565" i="2"/>
  <c r="X1565" i="2"/>
  <c r="Y1565" i="2" s="1"/>
  <c r="W1565" i="2"/>
  <c r="V1565" i="2"/>
  <c r="AE1564" i="2"/>
  <c r="AD1564" i="2"/>
  <c r="AC1564" i="2"/>
  <c r="X1564" i="2"/>
  <c r="Y1564" i="2" s="1"/>
  <c r="W1564" i="2"/>
  <c r="V1564" i="2"/>
  <c r="AE1563" i="2"/>
  <c r="AD1563" i="2"/>
  <c r="AC1563" i="2"/>
  <c r="X1563" i="2"/>
  <c r="Y1563" i="2" s="1"/>
  <c r="W1563" i="2"/>
  <c r="V1563" i="2"/>
  <c r="AB1563" i="2" s="1"/>
  <c r="AE1562" i="2"/>
  <c r="AD1562" i="2"/>
  <c r="AC1562" i="2"/>
  <c r="X1562" i="2"/>
  <c r="Y1562" i="2" s="1"/>
  <c r="W1562" i="2"/>
  <c r="V1562" i="2"/>
  <c r="AE1561" i="2"/>
  <c r="AD1561" i="2"/>
  <c r="AC1561" i="2"/>
  <c r="X1561" i="2"/>
  <c r="Y1561" i="2" s="1"/>
  <c r="W1561" i="2"/>
  <c r="V1561" i="2"/>
  <c r="AE1560" i="2"/>
  <c r="AD1560" i="2"/>
  <c r="AC1560" i="2"/>
  <c r="X1560" i="2"/>
  <c r="Y1560" i="2" s="1"/>
  <c r="W1560" i="2"/>
  <c r="V1560" i="2"/>
  <c r="AE1559" i="2"/>
  <c r="AD1559" i="2"/>
  <c r="AC1559" i="2"/>
  <c r="X1559" i="2"/>
  <c r="Y1559" i="2" s="1"/>
  <c r="W1559" i="2"/>
  <c r="V1559" i="2"/>
  <c r="AB1559" i="2" s="1"/>
  <c r="AE1558" i="2"/>
  <c r="AD1558" i="2"/>
  <c r="AC1558" i="2"/>
  <c r="X1558" i="2"/>
  <c r="Y1558" i="2" s="1"/>
  <c r="W1558" i="2"/>
  <c r="V1558" i="2"/>
  <c r="AE1557" i="2"/>
  <c r="AD1557" i="2"/>
  <c r="AC1557" i="2"/>
  <c r="X1557" i="2"/>
  <c r="Y1557" i="2" s="1"/>
  <c r="W1557" i="2"/>
  <c r="V1557" i="2"/>
  <c r="AE1556" i="2"/>
  <c r="AD1556" i="2"/>
  <c r="AC1556" i="2"/>
  <c r="X1556" i="2"/>
  <c r="Y1556" i="2" s="1"/>
  <c r="W1556" i="2"/>
  <c r="V1556" i="2"/>
  <c r="AE1555" i="2"/>
  <c r="AD1555" i="2"/>
  <c r="AC1555" i="2"/>
  <c r="X1555" i="2"/>
  <c r="Y1555" i="2" s="1"/>
  <c r="W1555" i="2"/>
  <c r="V1555" i="2"/>
  <c r="AB1555" i="2" s="1"/>
  <c r="AE1554" i="2"/>
  <c r="AD1554" i="2"/>
  <c r="AC1554" i="2"/>
  <c r="X1554" i="2"/>
  <c r="Y1554" i="2" s="1"/>
  <c r="W1554" i="2"/>
  <c r="V1554" i="2"/>
  <c r="AE1553" i="2"/>
  <c r="AD1553" i="2"/>
  <c r="AC1553" i="2"/>
  <c r="X1553" i="2"/>
  <c r="Y1553" i="2" s="1"/>
  <c r="W1553" i="2"/>
  <c r="V1553" i="2"/>
  <c r="AE1552" i="2"/>
  <c r="AD1552" i="2"/>
  <c r="AC1552" i="2"/>
  <c r="X1552" i="2"/>
  <c r="Y1552" i="2" s="1"/>
  <c r="W1552" i="2"/>
  <c r="V1552" i="2"/>
  <c r="AE1551" i="2"/>
  <c r="AD1551" i="2"/>
  <c r="AC1551" i="2"/>
  <c r="X1551" i="2"/>
  <c r="Y1551" i="2" s="1"/>
  <c r="W1551" i="2"/>
  <c r="V1551" i="2"/>
  <c r="AB1551" i="2" s="1"/>
  <c r="AE1550" i="2"/>
  <c r="AD1550" i="2"/>
  <c r="AC1550" i="2"/>
  <c r="X1550" i="2"/>
  <c r="Y1550" i="2" s="1"/>
  <c r="W1550" i="2"/>
  <c r="V1550" i="2"/>
  <c r="AE1549" i="2"/>
  <c r="AD1549" i="2"/>
  <c r="AC1549" i="2"/>
  <c r="X1549" i="2"/>
  <c r="Y1549" i="2" s="1"/>
  <c r="W1549" i="2"/>
  <c r="V1549" i="2"/>
  <c r="AE1548" i="2"/>
  <c r="AD1548" i="2"/>
  <c r="AC1548" i="2"/>
  <c r="X1548" i="2"/>
  <c r="Y1548" i="2" s="1"/>
  <c r="W1548" i="2"/>
  <c r="V1548" i="2"/>
  <c r="AE1547" i="2"/>
  <c r="AD1547" i="2"/>
  <c r="AC1547" i="2"/>
  <c r="X1547" i="2"/>
  <c r="Y1547" i="2" s="1"/>
  <c r="W1547" i="2"/>
  <c r="V1547" i="2"/>
  <c r="AE1546" i="2"/>
  <c r="AD1546" i="2"/>
  <c r="AC1546" i="2"/>
  <c r="X1546" i="2"/>
  <c r="Y1546" i="2" s="1"/>
  <c r="W1546" i="2"/>
  <c r="V1546" i="2"/>
  <c r="AE1545" i="2"/>
  <c r="AD1545" i="2"/>
  <c r="AC1545" i="2"/>
  <c r="X1545" i="2"/>
  <c r="Y1545" i="2" s="1"/>
  <c r="W1545" i="2"/>
  <c r="V1545" i="2"/>
  <c r="Z1545" i="2" s="1"/>
  <c r="AE1544" i="2"/>
  <c r="AD1544" i="2"/>
  <c r="AC1544" i="2"/>
  <c r="X1544" i="2"/>
  <c r="Y1544" i="2" s="1"/>
  <c r="W1544" i="2"/>
  <c r="V1544" i="2"/>
  <c r="AE1543" i="2"/>
  <c r="AD1543" i="2"/>
  <c r="AC1543" i="2"/>
  <c r="X1543" i="2"/>
  <c r="Y1543" i="2" s="1"/>
  <c r="W1543" i="2"/>
  <c r="V1543" i="2"/>
  <c r="AE1542" i="2"/>
  <c r="AD1542" i="2"/>
  <c r="AC1542" i="2"/>
  <c r="X1542" i="2"/>
  <c r="Y1542" i="2" s="1"/>
  <c r="W1542" i="2"/>
  <c r="V1542" i="2"/>
  <c r="AE1541" i="2"/>
  <c r="AD1541" i="2"/>
  <c r="AC1541" i="2"/>
  <c r="X1541" i="2"/>
  <c r="Y1541" i="2" s="1"/>
  <c r="W1541" i="2"/>
  <c r="V1541" i="2"/>
  <c r="AE1540" i="2"/>
  <c r="AD1540" i="2"/>
  <c r="AC1540" i="2"/>
  <c r="X1540" i="2"/>
  <c r="Y1540" i="2" s="1"/>
  <c r="W1540" i="2"/>
  <c r="V1540" i="2"/>
  <c r="AE1539" i="2"/>
  <c r="AD1539" i="2"/>
  <c r="AC1539" i="2"/>
  <c r="X1539" i="2"/>
  <c r="Y1539" i="2" s="1"/>
  <c r="W1539" i="2"/>
  <c r="V1539" i="2"/>
  <c r="AE1538" i="2"/>
  <c r="AD1538" i="2"/>
  <c r="AC1538" i="2"/>
  <c r="X1538" i="2"/>
  <c r="Y1538" i="2" s="1"/>
  <c r="W1538" i="2"/>
  <c r="V1538" i="2"/>
  <c r="AE1537" i="2"/>
  <c r="AD1537" i="2"/>
  <c r="AC1537" i="2"/>
  <c r="X1537" i="2"/>
  <c r="Y1537" i="2" s="1"/>
  <c r="W1537" i="2"/>
  <c r="V1537" i="2"/>
  <c r="AE1536" i="2"/>
  <c r="AD1536" i="2"/>
  <c r="AC1536" i="2"/>
  <c r="X1536" i="2"/>
  <c r="Y1536" i="2" s="1"/>
  <c r="W1536" i="2"/>
  <c r="V1536" i="2"/>
  <c r="AE1535" i="2"/>
  <c r="AD1535" i="2"/>
  <c r="AC1535" i="2"/>
  <c r="X1535" i="2"/>
  <c r="Y1535" i="2" s="1"/>
  <c r="W1535" i="2"/>
  <c r="V1535" i="2"/>
  <c r="AB1535" i="2" s="1"/>
  <c r="AE1534" i="2"/>
  <c r="AD1534" i="2"/>
  <c r="AC1534" i="2"/>
  <c r="X1534" i="2"/>
  <c r="Y1534" i="2" s="1"/>
  <c r="W1534" i="2"/>
  <c r="V1534" i="2"/>
  <c r="AE1533" i="2"/>
  <c r="AD1533" i="2"/>
  <c r="AC1533" i="2"/>
  <c r="X1533" i="2"/>
  <c r="Y1533" i="2" s="1"/>
  <c r="W1533" i="2"/>
  <c r="V1533" i="2"/>
  <c r="Z1533" i="2" s="1"/>
  <c r="AE1532" i="2"/>
  <c r="AD1532" i="2"/>
  <c r="AC1532" i="2"/>
  <c r="X1532" i="2"/>
  <c r="Y1532" i="2" s="1"/>
  <c r="W1532" i="2"/>
  <c r="V1532" i="2"/>
  <c r="AE1531" i="2"/>
  <c r="AD1531" i="2"/>
  <c r="AC1531" i="2"/>
  <c r="X1531" i="2"/>
  <c r="Y1531" i="2" s="1"/>
  <c r="W1531" i="2"/>
  <c r="V1531" i="2"/>
  <c r="AB1531" i="2" s="1"/>
  <c r="AE1530" i="2"/>
  <c r="AD1530" i="2"/>
  <c r="AC1530" i="2"/>
  <c r="X1530" i="2"/>
  <c r="Y1530" i="2" s="1"/>
  <c r="W1530" i="2"/>
  <c r="V1530" i="2"/>
  <c r="AE1529" i="2"/>
  <c r="AD1529" i="2"/>
  <c r="AC1529" i="2"/>
  <c r="X1529" i="2"/>
  <c r="Y1529" i="2" s="1"/>
  <c r="W1529" i="2"/>
  <c r="V1529" i="2"/>
  <c r="AB1529" i="2" s="1"/>
  <c r="AE1528" i="2"/>
  <c r="AD1528" i="2"/>
  <c r="AC1528" i="2"/>
  <c r="X1528" i="2"/>
  <c r="Y1528" i="2" s="1"/>
  <c r="W1528" i="2"/>
  <c r="V1528" i="2"/>
  <c r="AE1527" i="2"/>
  <c r="AD1527" i="2"/>
  <c r="AC1527" i="2"/>
  <c r="X1527" i="2"/>
  <c r="Y1527" i="2" s="1"/>
  <c r="W1527" i="2"/>
  <c r="V1527" i="2"/>
  <c r="AE1526" i="2"/>
  <c r="AD1526" i="2"/>
  <c r="AC1526" i="2"/>
  <c r="X1526" i="2"/>
  <c r="Y1526" i="2" s="1"/>
  <c r="W1526" i="2"/>
  <c r="V1526" i="2"/>
  <c r="AE1525" i="2"/>
  <c r="AD1525" i="2"/>
  <c r="AC1525" i="2"/>
  <c r="X1525" i="2"/>
  <c r="Y1525" i="2" s="1"/>
  <c r="W1525" i="2"/>
  <c r="V1525" i="2"/>
  <c r="AE1524" i="2"/>
  <c r="AD1524" i="2"/>
  <c r="AC1524" i="2"/>
  <c r="X1524" i="2"/>
  <c r="Y1524" i="2" s="1"/>
  <c r="W1524" i="2"/>
  <c r="V1524" i="2"/>
  <c r="AE1523" i="2"/>
  <c r="AD1523" i="2"/>
  <c r="AC1523" i="2"/>
  <c r="X1523" i="2"/>
  <c r="Y1523" i="2" s="1"/>
  <c r="W1523" i="2"/>
  <c r="V1523" i="2"/>
  <c r="AE1522" i="2"/>
  <c r="AD1522" i="2"/>
  <c r="AC1522" i="2"/>
  <c r="X1522" i="2"/>
  <c r="Y1522" i="2" s="1"/>
  <c r="W1522" i="2"/>
  <c r="V1522" i="2"/>
  <c r="AE1521" i="2"/>
  <c r="AD1521" i="2"/>
  <c r="AC1521" i="2"/>
  <c r="X1521" i="2"/>
  <c r="Y1521" i="2" s="1"/>
  <c r="W1521" i="2"/>
  <c r="V1521" i="2"/>
  <c r="AE1520" i="2"/>
  <c r="AD1520" i="2"/>
  <c r="AC1520" i="2"/>
  <c r="X1520" i="2"/>
  <c r="Y1520" i="2" s="1"/>
  <c r="W1520" i="2"/>
  <c r="V1520" i="2"/>
  <c r="AE1519" i="2"/>
  <c r="AD1519" i="2"/>
  <c r="AC1519" i="2"/>
  <c r="X1519" i="2"/>
  <c r="Y1519" i="2" s="1"/>
  <c r="W1519" i="2"/>
  <c r="V1519" i="2"/>
  <c r="AB1519" i="2" s="1"/>
  <c r="AE1518" i="2"/>
  <c r="AD1518" i="2"/>
  <c r="AC1518" i="2"/>
  <c r="X1518" i="2"/>
  <c r="Y1518" i="2" s="1"/>
  <c r="W1518" i="2"/>
  <c r="V1518" i="2"/>
  <c r="AE1517" i="2"/>
  <c r="AD1517" i="2"/>
  <c r="AC1517" i="2"/>
  <c r="X1517" i="2"/>
  <c r="Y1517" i="2" s="1"/>
  <c r="W1517" i="2"/>
  <c r="V1517" i="2"/>
  <c r="Z1517" i="2" s="1"/>
  <c r="AE1516" i="2"/>
  <c r="AD1516" i="2"/>
  <c r="AC1516" i="2"/>
  <c r="X1516" i="2"/>
  <c r="Y1516" i="2" s="1"/>
  <c r="W1516" i="2"/>
  <c r="V1516" i="2"/>
  <c r="AE1515" i="2"/>
  <c r="AD1515" i="2"/>
  <c r="AC1515" i="2"/>
  <c r="X1515" i="2"/>
  <c r="Y1515" i="2" s="1"/>
  <c r="W1515" i="2"/>
  <c r="V1515" i="2"/>
  <c r="AB1515" i="2" s="1"/>
  <c r="AE1514" i="2"/>
  <c r="AD1514" i="2"/>
  <c r="AC1514" i="2"/>
  <c r="X1514" i="2"/>
  <c r="Y1514" i="2" s="1"/>
  <c r="W1514" i="2"/>
  <c r="V1514" i="2"/>
  <c r="AE1513" i="2"/>
  <c r="AD1513" i="2"/>
  <c r="AC1513" i="2"/>
  <c r="X1513" i="2"/>
  <c r="Y1513" i="2" s="1"/>
  <c r="W1513" i="2"/>
  <c r="V1513" i="2"/>
  <c r="AE1512" i="2"/>
  <c r="AD1512" i="2"/>
  <c r="AC1512" i="2"/>
  <c r="X1512" i="2"/>
  <c r="Y1512" i="2" s="1"/>
  <c r="W1512" i="2"/>
  <c r="V1512" i="2"/>
  <c r="AE1511" i="2"/>
  <c r="AD1511" i="2"/>
  <c r="AC1511" i="2"/>
  <c r="X1511" i="2"/>
  <c r="Y1511" i="2" s="1"/>
  <c r="W1511" i="2"/>
  <c r="V1511" i="2"/>
  <c r="Z1511" i="2" s="1"/>
  <c r="AE1510" i="2"/>
  <c r="AD1510" i="2"/>
  <c r="AC1510" i="2"/>
  <c r="X1510" i="2"/>
  <c r="Y1510" i="2" s="1"/>
  <c r="W1510" i="2"/>
  <c r="V1510" i="2"/>
  <c r="AE1509" i="2"/>
  <c r="AD1509" i="2"/>
  <c r="AC1509" i="2"/>
  <c r="X1509" i="2"/>
  <c r="Y1509" i="2" s="1"/>
  <c r="W1509" i="2"/>
  <c r="V1509" i="2"/>
  <c r="AE1508" i="2"/>
  <c r="AD1508" i="2"/>
  <c r="AC1508" i="2"/>
  <c r="X1508" i="2"/>
  <c r="Y1508" i="2" s="1"/>
  <c r="W1508" i="2"/>
  <c r="V1508" i="2"/>
  <c r="AE1507" i="2"/>
  <c r="AD1507" i="2"/>
  <c r="AC1507" i="2"/>
  <c r="X1507" i="2"/>
  <c r="Y1507" i="2" s="1"/>
  <c r="W1507" i="2"/>
  <c r="V1507" i="2"/>
  <c r="AE1506" i="2"/>
  <c r="AD1506" i="2"/>
  <c r="AC1506" i="2"/>
  <c r="X1506" i="2"/>
  <c r="Y1506" i="2" s="1"/>
  <c r="W1506" i="2"/>
  <c r="V1506" i="2"/>
  <c r="AE1505" i="2"/>
  <c r="AD1505" i="2"/>
  <c r="AC1505" i="2"/>
  <c r="X1505" i="2"/>
  <c r="Y1505" i="2" s="1"/>
  <c r="W1505" i="2"/>
  <c r="V1505" i="2"/>
  <c r="AE1504" i="2"/>
  <c r="AD1504" i="2"/>
  <c r="AC1504" i="2"/>
  <c r="X1504" i="2"/>
  <c r="Y1504" i="2" s="1"/>
  <c r="W1504" i="2"/>
  <c r="V1504" i="2"/>
  <c r="AE1503" i="2"/>
  <c r="AD1503" i="2"/>
  <c r="AC1503" i="2"/>
  <c r="X1503" i="2"/>
  <c r="Y1503" i="2" s="1"/>
  <c r="W1503" i="2"/>
  <c r="V1503" i="2"/>
  <c r="Z1503" i="2" s="1"/>
  <c r="AE1502" i="2"/>
  <c r="AD1502" i="2"/>
  <c r="AC1502" i="2"/>
  <c r="X1502" i="2"/>
  <c r="Y1502" i="2" s="1"/>
  <c r="W1502" i="2"/>
  <c r="V1502" i="2"/>
  <c r="AE1501" i="2"/>
  <c r="AD1501" i="2"/>
  <c r="AC1501" i="2"/>
  <c r="X1501" i="2"/>
  <c r="Y1501" i="2" s="1"/>
  <c r="W1501" i="2"/>
  <c r="V1501" i="2"/>
  <c r="Z1501" i="2" s="1"/>
  <c r="AE1500" i="2"/>
  <c r="AD1500" i="2"/>
  <c r="AC1500" i="2"/>
  <c r="X1500" i="2"/>
  <c r="Y1500" i="2" s="1"/>
  <c r="W1500" i="2"/>
  <c r="V1500" i="2"/>
  <c r="AE1499" i="2"/>
  <c r="AD1499" i="2"/>
  <c r="AC1499" i="2"/>
  <c r="X1499" i="2"/>
  <c r="Y1499" i="2" s="1"/>
  <c r="W1499" i="2"/>
  <c r="V1499" i="2"/>
  <c r="AB1499" i="2" s="1"/>
  <c r="AE1498" i="2"/>
  <c r="AD1498" i="2"/>
  <c r="AC1498" i="2"/>
  <c r="X1498" i="2"/>
  <c r="Y1498" i="2" s="1"/>
  <c r="W1498" i="2"/>
  <c r="V1498" i="2"/>
  <c r="AE1497" i="2"/>
  <c r="AD1497" i="2"/>
  <c r="AC1497" i="2"/>
  <c r="X1497" i="2"/>
  <c r="Y1497" i="2" s="1"/>
  <c r="W1497" i="2"/>
  <c r="V1497" i="2"/>
  <c r="AB1497" i="2" s="1"/>
  <c r="AE1496" i="2"/>
  <c r="AD1496" i="2"/>
  <c r="AC1496" i="2"/>
  <c r="X1496" i="2"/>
  <c r="Y1496" i="2" s="1"/>
  <c r="W1496" i="2"/>
  <c r="V1496" i="2"/>
  <c r="AE1495" i="2"/>
  <c r="AD1495" i="2"/>
  <c r="AC1495" i="2"/>
  <c r="X1495" i="2"/>
  <c r="Y1495" i="2" s="1"/>
  <c r="W1495" i="2"/>
  <c r="V1495" i="2"/>
  <c r="AE1494" i="2"/>
  <c r="AD1494" i="2"/>
  <c r="AC1494" i="2"/>
  <c r="X1494" i="2"/>
  <c r="Y1494" i="2" s="1"/>
  <c r="W1494" i="2"/>
  <c r="V1494" i="2"/>
  <c r="AE1493" i="2"/>
  <c r="AD1493" i="2"/>
  <c r="AC1493" i="2"/>
  <c r="X1493" i="2"/>
  <c r="Y1493" i="2" s="1"/>
  <c r="W1493" i="2"/>
  <c r="V1493" i="2"/>
  <c r="AE1492" i="2"/>
  <c r="AD1492" i="2"/>
  <c r="AC1492" i="2"/>
  <c r="X1492" i="2"/>
  <c r="Y1492" i="2" s="1"/>
  <c r="W1492" i="2"/>
  <c r="V1492" i="2"/>
  <c r="AE1491" i="2"/>
  <c r="AD1491" i="2"/>
  <c r="AC1491" i="2"/>
  <c r="X1491" i="2"/>
  <c r="Y1491" i="2" s="1"/>
  <c r="W1491" i="2"/>
  <c r="V1491" i="2"/>
  <c r="AE1490" i="2"/>
  <c r="AD1490" i="2"/>
  <c r="AC1490" i="2"/>
  <c r="X1490" i="2"/>
  <c r="Y1490" i="2" s="1"/>
  <c r="W1490" i="2"/>
  <c r="V1490" i="2"/>
  <c r="AE1489" i="2"/>
  <c r="AD1489" i="2"/>
  <c r="AC1489" i="2"/>
  <c r="X1489" i="2"/>
  <c r="Y1489" i="2" s="1"/>
  <c r="W1489" i="2"/>
  <c r="V1489" i="2"/>
  <c r="Z1489" i="2" s="1"/>
  <c r="AE1488" i="2"/>
  <c r="AD1488" i="2"/>
  <c r="AC1488" i="2"/>
  <c r="X1488" i="2"/>
  <c r="Y1488" i="2" s="1"/>
  <c r="W1488" i="2"/>
  <c r="V1488" i="2"/>
  <c r="AE1487" i="2"/>
  <c r="AD1487" i="2"/>
  <c r="AC1487" i="2"/>
  <c r="X1487" i="2"/>
  <c r="Y1487" i="2" s="1"/>
  <c r="W1487" i="2"/>
  <c r="V1487" i="2"/>
  <c r="AB1487" i="2" s="1"/>
  <c r="AE1486" i="2"/>
  <c r="AD1486" i="2"/>
  <c r="AC1486" i="2"/>
  <c r="X1486" i="2"/>
  <c r="Y1486" i="2" s="1"/>
  <c r="W1486" i="2"/>
  <c r="V1486" i="2"/>
  <c r="AE1485" i="2"/>
  <c r="AD1485" i="2"/>
  <c r="AC1485" i="2"/>
  <c r="X1485" i="2"/>
  <c r="Y1485" i="2" s="1"/>
  <c r="W1485" i="2"/>
  <c r="V1485" i="2"/>
  <c r="Z1485" i="2" s="1"/>
  <c r="AE1484" i="2"/>
  <c r="AD1484" i="2"/>
  <c r="AC1484" i="2"/>
  <c r="X1484" i="2"/>
  <c r="Y1484" i="2" s="1"/>
  <c r="W1484" i="2"/>
  <c r="V1484" i="2"/>
  <c r="AE1483" i="2"/>
  <c r="AD1483" i="2"/>
  <c r="AC1483" i="2"/>
  <c r="X1483" i="2"/>
  <c r="Y1483" i="2" s="1"/>
  <c r="W1483" i="2"/>
  <c r="V1483" i="2"/>
  <c r="AE1482" i="2"/>
  <c r="AD1482" i="2"/>
  <c r="AC1482" i="2"/>
  <c r="X1482" i="2"/>
  <c r="Y1482" i="2" s="1"/>
  <c r="W1482" i="2"/>
  <c r="V1482" i="2"/>
  <c r="AE1481" i="2"/>
  <c r="AD1481" i="2"/>
  <c r="AC1481" i="2"/>
  <c r="X1481" i="2"/>
  <c r="Y1481" i="2" s="1"/>
  <c r="W1481" i="2"/>
  <c r="V1481" i="2"/>
  <c r="AE1480" i="2"/>
  <c r="AD1480" i="2"/>
  <c r="AC1480" i="2"/>
  <c r="X1480" i="2"/>
  <c r="Y1480" i="2" s="1"/>
  <c r="W1480" i="2"/>
  <c r="V1480" i="2"/>
  <c r="AE1479" i="2"/>
  <c r="AD1479" i="2"/>
  <c r="AC1479" i="2"/>
  <c r="X1479" i="2"/>
  <c r="Y1479" i="2" s="1"/>
  <c r="W1479" i="2"/>
  <c r="V1479" i="2"/>
  <c r="AE1478" i="2"/>
  <c r="AD1478" i="2"/>
  <c r="AC1478" i="2"/>
  <c r="X1478" i="2"/>
  <c r="Y1478" i="2" s="1"/>
  <c r="W1478" i="2"/>
  <c r="V1478" i="2"/>
  <c r="AE1477" i="2"/>
  <c r="AD1477" i="2"/>
  <c r="AC1477" i="2"/>
  <c r="X1477" i="2"/>
  <c r="Y1477" i="2" s="1"/>
  <c r="W1477" i="2"/>
  <c r="V1477" i="2"/>
  <c r="Z1477" i="2" s="1"/>
  <c r="AE1476" i="2"/>
  <c r="AD1476" i="2"/>
  <c r="AC1476" i="2"/>
  <c r="X1476" i="2"/>
  <c r="Y1476" i="2" s="1"/>
  <c r="W1476" i="2"/>
  <c r="V1476" i="2"/>
  <c r="AE1475" i="2"/>
  <c r="AD1475" i="2"/>
  <c r="AC1475" i="2"/>
  <c r="X1475" i="2"/>
  <c r="Y1475" i="2" s="1"/>
  <c r="W1475" i="2"/>
  <c r="V1475" i="2"/>
  <c r="AE1474" i="2"/>
  <c r="AD1474" i="2"/>
  <c r="AC1474" i="2"/>
  <c r="X1474" i="2"/>
  <c r="Y1474" i="2" s="1"/>
  <c r="W1474" i="2"/>
  <c r="V1474" i="2"/>
  <c r="AE1473" i="2"/>
  <c r="AD1473" i="2"/>
  <c r="AC1473" i="2"/>
  <c r="X1473" i="2"/>
  <c r="Y1473" i="2" s="1"/>
  <c r="W1473" i="2"/>
  <c r="V1473" i="2"/>
  <c r="AE1472" i="2"/>
  <c r="AD1472" i="2"/>
  <c r="AC1472" i="2"/>
  <c r="X1472" i="2"/>
  <c r="Y1472" i="2" s="1"/>
  <c r="W1472" i="2"/>
  <c r="V1472" i="2"/>
  <c r="AE1471" i="2"/>
  <c r="AD1471" i="2"/>
  <c r="AC1471" i="2"/>
  <c r="X1471" i="2"/>
  <c r="Y1471" i="2" s="1"/>
  <c r="W1471" i="2"/>
  <c r="V1471" i="2"/>
  <c r="AE1470" i="2"/>
  <c r="AD1470" i="2"/>
  <c r="AC1470" i="2"/>
  <c r="X1470" i="2"/>
  <c r="Y1470" i="2" s="1"/>
  <c r="W1470" i="2"/>
  <c r="V1470" i="2"/>
  <c r="AE1469" i="2"/>
  <c r="AD1469" i="2"/>
  <c r="AC1469" i="2"/>
  <c r="X1469" i="2"/>
  <c r="Y1469" i="2" s="1"/>
  <c r="W1469" i="2"/>
  <c r="V1469" i="2"/>
  <c r="AE1468" i="2"/>
  <c r="AD1468" i="2"/>
  <c r="AC1468" i="2"/>
  <c r="X1468" i="2"/>
  <c r="Y1468" i="2" s="1"/>
  <c r="W1468" i="2"/>
  <c r="V1468" i="2"/>
  <c r="AE1467" i="2"/>
  <c r="AD1467" i="2"/>
  <c r="AC1467" i="2"/>
  <c r="X1467" i="2"/>
  <c r="Y1467" i="2" s="1"/>
  <c r="W1467" i="2"/>
  <c r="V1467" i="2"/>
  <c r="AB1467" i="2" s="1"/>
  <c r="AE1466" i="2"/>
  <c r="AD1466" i="2"/>
  <c r="AC1466" i="2"/>
  <c r="X1466" i="2"/>
  <c r="Y1466" i="2" s="1"/>
  <c r="W1466" i="2"/>
  <c r="V1466" i="2"/>
  <c r="AE1465" i="2"/>
  <c r="AD1465" i="2"/>
  <c r="AC1465" i="2"/>
  <c r="X1465" i="2"/>
  <c r="Y1465" i="2" s="1"/>
  <c r="W1465" i="2"/>
  <c r="V1465" i="2"/>
  <c r="AB1465" i="2" s="1"/>
  <c r="AE1464" i="2"/>
  <c r="AD1464" i="2"/>
  <c r="AC1464" i="2"/>
  <c r="X1464" i="2"/>
  <c r="Y1464" i="2" s="1"/>
  <c r="W1464" i="2"/>
  <c r="V1464" i="2"/>
  <c r="AE1463" i="2"/>
  <c r="AD1463" i="2"/>
  <c r="AC1463" i="2"/>
  <c r="X1463" i="2"/>
  <c r="Y1463" i="2" s="1"/>
  <c r="W1463" i="2"/>
  <c r="V1463" i="2"/>
  <c r="AE1462" i="2"/>
  <c r="AD1462" i="2"/>
  <c r="AC1462" i="2"/>
  <c r="X1462" i="2"/>
  <c r="Y1462" i="2" s="1"/>
  <c r="W1462" i="2"/>
  <c r="V1462" i="2"/>
  <c r="AE1461" i="2"/>
  <c r="AD1461" i="2"/>
  <c r="AC1461" i="2"/>
  <c r="X1461" i="2"/>
  <c r="Y1461" i="2" s="1"/>
  <c r="W1461" i="2"/>
  <c r="V1461" i="2"/>
  <c r="Z1461" i="2" s="1"/>
  <c r="AE1460" i="2"/>
  <c r="AD1460" i="2"/>
  <c r="AC1460" i="2"/>
  <c r="X1460" i="2"/>
  <c r="Y1460" i="2" s="1"/>
  <c r="W1460" i="2"/>
  <c r="V1460" i="2"/>
  <c r="AE1459" i="2"/>
  <c r="AD1459" i="2"/>
  <c r="AC1459" i="2"/>
  <c r="X1459" i="2"/>
  <c r="Y1459" i="2" s="1"/>
  <c r="W1459" i="2"/>
  <c r="V1459" i="2"/>
  <c r="AB1459" i="2" s="1"/>
  <c r="AE1458" i="2"/>
  <c r="AD1458" i="2"/>
  <c r="AC1458" i="2"/>
  <c r="X1458" i="2"/>
  <c r="Y1458" i="2" s="1"/>
  <c r="W1458" i="2"/>
  <c r="V1458" i="2"/>
  <c r="AE1457" i="2"/>
  <c r="AD1457" i="2"/>
  <c r="AC1457" i="2"/>
  <c r="X1457" i="2"/>
  <c r="Y1457" i="2" s="1"/>
  <c r="W1457" i="2"/>
  <c r="V1457" i="2"/>
  <c r="AE1456" i="2"/>
  <c r="AD1456" i="2"/>
  <c r="AC1456" i="2"/>
  <c r="X1456" i="2"/>
  <c r="Y1456" i="2" s="1"/>
  <c r="W1456" i="2"/>
  <c r="V1456" i="2"/>
  <c r="AE1455" i="2"/>
  <c r="AD1455" i="2"/>
  <c r="AC1455" i="2"/>
  <c r="X1455" i="2"/>
  <c r="Y1455" i="2" s="1"/>
  <c r="W1455" i="2"/>
  <c r="V1455" i="2"/>
  <c r="AE1454" i="2"/>
  <c r="AD1454" i="2"/>
  <c r="AC1454" i="2"/>
  <c r="X1454" i="2"/>
  <c r="Y1454" i="2" s="1"/>
  <c r="W1454" i="2"/>
  <c r="V1454" i="2"/>
  <c r="AE1453" i="2"/>
  <c r="AD1453" i="2"/>
  <c r="AC1453" i="2"/>
  <c r="X1453" i="2"/>
  <c r="Y1453" i="2" s="1"/>
  <c r="W1453" i="2"/>
  <c r="V1453" i="2"/>
  <c r="AE1452" i="2"/>
  <c r="AD1452" i="2"/>
  <c r="AC1452" i="2"/>
  <c r="X1452" i="2"/>
  <c r="Y1452" i="2" s="1"/>
  <c r="W1452" i="2"/>
  <c r="V1452" i="2"/>
  <c r="AE1451" i="2"/>
  <c r="AD1451" i="2"/>
  <c r="AC1451" i="2"/>
  <c r="X1451" i="2"/>
  <c r="Y1451" i="2" s="1"/>
  <c r="W1451" i="2"/>
  <c r="V1451" i="2"/>
  <c r="AB1451" i="2" s="1"/>
  <c r="AE1450" i="2"/>
  <c r="AD1450" i="2"/>
  <c r="AC1450" i="2"/>
  <c r="X1450" i="2"/>
  <c r="Y1450" i="2" s="1"/>
  <c r="W1450" i="2"/>
  <c r="V1450" i="2"/>
  <c r="AE1449" i="2"/>
  <c r="AD1449" i="2"/>
  <c r="AC1449" i="2"/>
  <c r="X1449" i="2"/>
  <c r="Y1449" i="2" s="1"/>
  <c r="W1449" i="2"/>
  <c r="V1449" i="2"/>
  <c r="Z1449" i="2" s="1"/>
  <c r="AE1448" i="2"/>
  <c r="AD1448" i="2"/>
  <c r="AC1448" i="2"/>
  <c r="X1448" i="2"/>
  <c r="Y1448" i="2" s="1"/>
  <c r="W1448" i="2"/>
  <c r="V1448" i="2"/>
  <c r="AE1447" i="2"/>
  <c r="AD1447" i="2"/>
  <c r="AC1447" i="2"/>
  <c r="X1447" i="2"/>
  <c r="Y1447" i="2" s="1"/>
  <c r="W1447" i="2"/>
  <c r="V1447" i="2"/>
  <c r="AE1446" i="2"/>
  <c r="AD1446" i="2"/>
  <c r="AC1446" i="2"/>
  <c r="X1446" i="2"/>
  <c r="Y1446" i="2" s="1"/>
  <c r="W1446" i="2"/>
  <c r="V1446" i="2"/>
  <c r="AE1445" i="2"/>
  <c r="AD1445" i="2"/>
  <c r="AC1445" i="2"/>
  <c r="X1445" i="2"/>
  <c r="Y1445" i="2" s="1"/>
  <c r="W1445" i="2"/>
  <c r="V1445" i="2"/>
  <c r="Z1445" i="2" s="1"/>
  <c r="AE1444" i="2"/>
  <c r="AD1444" i="2"/>
  <c r="AC1444" i="2"/>
  <c r="X1444" i="2"/>
  <c r="Y1444" i="2" s="1"/>
  <c r="W1444" i="2"/>
  <c r="V1444" i="2"/>
  <c r="AE1443" i="2"/>
  <c r="AD1443" i="2"/>
  <c r="AC1443" i="2"/>
  <c r="X1443" i="2"/>
  <c r="Y1443" i="2" s="1"/>
  <c r="W1443" i="2"/>
  <c r="V1443" i="2"/>
  <c r="AE1442" i="2"/>
  <c r="AD1442" i="2"/>
  <c r="AC1442" i="2"/>
  <c r="X1442" i="2"/>
  <c r="Y1442" i="2" s="1"/>
  <c r="W1442" i="2"/>
  <c r="V1442" i="2"/>
  <c r="AE1441" i="2"/>
  <c r="AD1441" i="2"/>
  <c r="AC1441" i="2"/>
  <c r="X1441" i="2"/>
  <c r="Y1441" i="2" s="1"/>
  <c r="W1441" i="2"/>
  <c r="V1441" i="2"/>
  <c r="AB1441" i="2" s="1"/>
  <c r="AE1440" i="2"/>
  <c r="AD1440" i="2"/>
  <c r="AC1440" i="2"/>
  <c r="X1440" i="2"/>
  <c r="Y1440" i="2" s="1"/>
  <c r="W1440" i="2"/>
  <c r="V1440" i="2"/>
  <c r="AE1439" i="2"/>
  <c r="AD1439" i="2"/>
  <c r="AC1439" i="2"/>
  <c r="X1439" i="2"/>
  <c r="Y1439" i="2" s="1"/>
  <c r="W1439" i="2"/>
  <c r="V1439" i="2"/>
  <c r="Z1439" i="2" s="1"/>
  <c r="AE1438" i="2"/>
  <c r="AD1438" i="2"/>
  <c r="AC1438" i="2"/>
  <c r="X1438" i="2"/>
  <c r="Y1438" i="2" s="1"/>
  <c r="W1438" i="2"/>
  <c r="V1438" i="2"/>
  <c r="AE1437" i="2"/>
  <c r="AD1437" i="2"/>
  <c r="AC1437" i="2"/>
  <c r="X1437" i="2"/>
  <c r="Y1437" i="2" s="1"/>
  <c r="W1437" i="2"/>
  <c r="V1437" i="2"/>
  <c r="Z1437" i="2" s="1"/>
  <c r="AE1436" i="2"/>
  <c r="AD1436" i="2"/>
  <c r="AC1436" i="2"/>
  <c r="X1436" i="2"/>
  <c r="Y1436" i="2" s="1"/>
  <c r="W1436" i="2"/>
  <c r="V1436" i="2"/>
  <c r="AE1435" i="2"/>
  <c r="AD1435" i="2"/>
  <c r="AC1435" i="2"/>
  <c r="X1435" i="2"/>
  <c r="Y1435" i="2" s="1"/>
  <c r="W1435" i="2"/>
  <c r="V1435" i="2"/>
  <c r="AB1435" i="2" s="1"/>
  <c r="AE1434" i="2"/>
  <c r="AD1434" i="2"/>
  <c r="AC1434" i="2"/>
  <c r="X1434" i="2"/>
  <c r="Y1434" i="2" s="1"/>
  <c r="W1434" i="2"/>
  <c r="V1434" i="2"/>
  <c r="AE1433" i="2"/>
  <c r="AD1433" i="2"/>
  <c r="AC1433" i="2"/>
  <c r="X1433" i="2"/>
  <c r="Y1433" i="2" s="1"/>
  <c r="W1433" i="2"/>
  <c r="V1433" i="2"/>
  <c r="AE1432" i="2"/>
  <c r="AD1432" i="2"/>
  <c r="AC1432" i="2"/>
  <c r="X1432" i="2"/>
  <c r="Y1432" i="2" s="1"/>
  <c r="W1432" i="2"/>
  <c r="V1432" i="2"/>
  <c r="AE1431" i="2"/>
  <c r="AD1431" i="2"/>
  <c r="AC1431" i="2"/>
  <c r="X1431" i="2"/>
  <c r="Y1431" i="2" s="1"/>
  <c r="W1431" i="2"/>
  <c r="V1431" i="2"/>
  <c r="AB1431" i="2" s="1"/>
  <c r="AE1430" i="2"/>
  <c r="AD1430" i="2"/>
  <c r="AC1430" i="2"/>
  <c r="X1430" i="2"/>
  <c r="Y1430" i="2" s="1"/>
  <c r="W1430" i="2"/>
  <c r="V1430" i="2"/>
  <c r="AE1429" i="2"/>
  <c r="AD1429" i="2"/>
  <c r="AC1429" i="2"/>
  <c r="X1429" i="2"/>
  <c r="Y1429" i="2" s="1"/>
  <c r="W1429" i="2"/>
  <c r="V1429" i="2"/>
  <c r="AE1428" i="2"/>
  <c r="AD1428" i="2"/>
  <c r="AC1428" i="2"/>
  <c r="X1428" i="2"/>
  <c r="Y1428" i="2" s="1"/>
  <c r="W1428" i="2"/>
  <c r="V1428" i="2"/>
  <c r="AE1427" i="2"/>
  <c r="AD1427" i="2"/>
  <c r="AC1427" i="2"/>
  <c r="X1427" i="2"/>
  <c r="Y1427" i="2" s="1"/>
  <c r="W1427" i="2"/>
  <c r="V1427" i="2"/>
  <c r="AE1426" i="2"/>
  <c r="AD1426" i="2"/>
  <c r="AC1426" i="2"/>
  <c r="X1426" i="2"/>
  <c r="Y1426" i="2" s="1"/>
  <c r="W1426" i="2"/>
  <c r="V1426" i="2"/>
  <c r="AE1425" i="2"/>
  <c r="AD1425" i="2"/>
  <c r="AC1425" i="2"/>
  <c r="X1425" i="2"/>
  <c r="Y1425" i="2" s="1"/>
  <c r="W1425" i="2"/>
  <c r="V1425" i="2"/>
  <c r="Z1425" i="2" s="1"/>
  <c r="AE1424" i="2"/>
  <c r="AD1424" i="2"/>
  <c r="AC1424" i="2"/>
  <c r="X1424" i="2"/>
  <c r="Y1424" i="2" s="1"/>
  <c r="W1424" i="2"/>
  <c r="V1424" i="2"/>
  <c r="AE1423" i="2"/>
  <c r="AD1423" i="2"/>
  <c r="AC1423" i="2"/>
  <c r="X1423" i="2"/>
  <c r="Y1423" i="2" s="1"/>
  <c r="W1423" i="2"/>
  <c r="V1423" i="2"/>
  <c r="AB1423" i="2" s="1"/>
  <c r="AE1422" i="2"/>
  <c r="AD1422" i="2"/>
  <c r="AC1422" i="2"/>
  <c r="X1422" i="2"/>
  <c r="Y1422" i="2" s="1"/>
  <c r="W1422" i="2"/>
  <c r="V1422" i="2"/>
  <c r="AE1421" i="2"/>
  <c r="AD1421" i="2"/>
  <c r="AC1421" i="2"/>
  <c r="X1421" i="2"/>
  <c r="Y1421" i="2" s="1"/>
  <c r="W1421" i="2"/>
  <c r="V1421" i="2"/>
  <c r="AE1420" i="2"/>
  <c r="AD1420" i="2"/>
  <c r="AC1420" i="2"/>
  <c r="X1420" i="2"/>
  <c r="Y1420" i="2" s="1"/>
  <c r="W1420" i="2"/>
  <c r="V1420" i="2"/>
  <c r="AE1419" i="2"/>
  <c r="AD1419" i="2"/>
  <c r="AC1419" i="2"/>
  <c r="X1419" i="2"/>
  <c r="Y1419" i="2" s="1"/>
  <c r="W1419" i="2"/>
  <c r="V1419" i="2"/>
  <c r="AE1418" i="2"/>
  <c r="AD1418" i="2"/>
  <c r="AC1418" i="2"/>
  <c r="X1418" i="2"/>
  <c r="Y1418" i="2" s="1"/>
  <c r="W1418" i="2"/>
  <c r="V1418" i="2"/>
  <c r="AE1417" i="2"/>
  <c r="AD1417" i="2"/>
  <c r="AC1417" i="2"/>
  <c r="X1417" i="2"/>
  <c r="Y1417" i="2" s="1"/>
  <c r="W1417" i="2"/>
  <c r="V1417" i="2"/>
  <c r="Z1417" i="2" s="1"/>
  <c r="AE1416" i="2"/>
  <c r="AD1416" i="2"/>
  <c r="AC1416" i="2"/>
  <c r="X1416" i="2"/>
  <c r="Y1416" i="2" s="1"/>
  <c r="W1416" i="2"/>
  <c r="V1416" i="2"/>
  <c r="AE1415" i="2"/>
  <c r="AD1415" i="2"/>
  <c r="AC1415" i="2"/>
  <c r="X1415" i="2"/>
  <c r="Y1415" i="2" s="1"/>
  <c r="W1415" i="2"/>
  <c r="V1415" i="2"/>
  <c r="AE1414" i="2"/>
  <c r="AD1414" i="2"/>
  <c r="AC1414" i="2"/>
  <c r="X1414" i="2"/>
  <c r="Y1414" i="2" s="1"/>
  <c r="W1414" i="2"/>
  <c r="V1414" i="2"/>
  <c r="AE1413" i="2"/>
  <c r="AD1413" i="2"/>
  <c r="AC1413" i="2"/>
  <c r="X1413" i="2"/>
  <c r="Y1413" i="2" s="1"/>
  <c r="W1413" i="2"/>
  <c r="V1413" i="2"/>
  <c r="Z1413" i="2" s="1"/>
  <c r="AE1412" i="2"/>
  <c r="AD1412" i="2"/>
  <c r="AC1412" i="2"/>
  <c r="X1412" i="2"/>
  <c r="Y1412" i="2" s="1"/>
  <c r="W1412" i="2"/>
  <c r="V1412" i="2"/>
  <c r="AE1411" i="2"/>
  <c r="AD1411" i="2"/>
  <c r="AC1411" i="2"/>
  <c r="X1411" i="2"/>
  <c r="Y1411" i="2" s="1"/>
  <c r="W1411" i="2"/>
  <c r="V1411" i="2"/>
  <c r="AE1410" i="2"/>
  <c r="AD1410" i="2"/>
  <c r="AC1410" i="2"/>
  <c r="X1410" i="2"/>
  <c r="Y1410" i="2" s="1"/>
  <c r="W1410" i="2"/>
  <c r="V1410" i="2"/>
  <c r="AE1409" i="2"/>
  <c r="AD1409" i="2"/>
  <c r="AC1409" i="2"/>
  <c r="X1409" i="2"/>
  <c r="Y1409" i="2" s="1"/>
  <c r="W1409" i="2"/>
  <c r="V1409" i="2"/>
  <c r="AE1408" i="2"/>
  <c r="AD1408" i="2"/>
  <c r="AC1408" i="2"/>
  <c r="X1408" i="2"/>
  <c r="Y1408" i="2" s="1"/>
  <c r="W1408" i="2"/>
  <c r="V1408" i="2"/>
  <c r="AE1407" i="2"/>
  <c r="AD1407" i="2"/>
  <c r="AC1407" i="2"/>
  <c r="X1407" i="2"/>
  <c r="Y1407" i="2" s="1"/>
  <c r="W1407" i="2"/>
  <c r="V1407" i="2"/>
  <c r="AB1407" i="2" s="1"/>
  <c r="AE1406" i="2"/>
  <c r="AD1406" i="2"/>
  <c r="AC1406" i="2"/>
  <c r="X1406" i="2"/>
  <c r="Y1406" i="2" s="1"/>
  <c r="W1406" i="2"/>
  <c r="V1406" i="2"/>
  <c r="AE1405" i="2"/>
  <c r="AD1405" i="2"/>
  <c r="AC1405" i="2"/>
  <c r="X1405" i="2"/>
  <c r="Y1405" i="2" s="1"/>
  <c r="W1405" i="2"/>
  <c r="V1405" i="2"/>
  <c r="Z1405" i="2" s="1"/>
  <c r="AE1404" i="2"/>
  <c r="AD1404" i="2"/>
  <c r="AC1404" i="2"/>
  <c r="X1404" i="2"/>
  <c r="Y1404" i="2" s="1"/>
  <c r="W1404" i="2"/>
  <c r="V1404" i="2"/>
  <c r="AE1403" i="2"/>
  <c r="AD1403" i="2"/>
  <c r="AC1403" i="2"/>
  <c r="X1403" i="2"/>
  <c r="Y1403" i="2" s="1"/>
  <c r="W1403" i="2"/>
  <c r="V1403" i="2"/>
  <c r="AB1403" i="2" s="1"/>
  <c r="AE1402" i="2"/>
  <c r="AD1402" i="2"/>
  <c r="AC1402" i="2"/>
  <c r="X1402" i="2"/>
  <c r="Y1402" i="2" s="1"/>
  <c r="W1402" i="2"/>
  <c r="V1402" i="2"/>
  <c r="AE1401" i="2"/>
  <c r="AD1401" i="2"/>
  <c r="AC1401" i="2"/>
  <c r="X1401" i="2"/>
  <c r="Y1401" i="2" s="1"/>
  <c r="W1401" i="2"/>
  <c r="V1401" i="2"/>
  <c r="AB1401" i="2" s="1"/>
  <c r="AE1400" i="2"/>
  <c r="AD1400" i="2"/>
  <c r="AC1400" i="2"/>
  <c r="X1400" i="2"/>
  <c r="Y1400" i="2" s="1"/>
  <c r="W1400" i="2"/>
  <c r="V1400" i="2"/>
  <c r="AE1399" i="2"/>
  <c r="AD1399" i="2"/>
  <c r="AC1399" i="2"/>
  <c r="X1399" i="2"/>
  <c r="Y1399" i="2" s="1"/>
  <c r="W1399" i="2"/>
  <c r="V1399" i="2"/>
  <c r="AE1398" i="2"/>
  <c r="AD1398" i="2"/>
  <c r="AC1398" i="2"/>
  <c r="X1398" i="2"/>
  <c r="Y1398" i="2" s="1"/>
  <c r="W1398" i="2"/>
  <c r="V1398" i="2"/>
  <c r="AE1397" i="2"/>
  <c r="AD1397" i="2"/>
  <c r="AC1397" i="2"/>
  <c r="X1397" i="2"/>
  <c r="Y1397" i="2" s="1"/>
  <c r="W1397" i="2"/>
  <c r="V1397" i="2"/>
  <c r="Z1397" i="2" s="1"/>
  <c r="AE1396" i="2"/>
  <c r="AD1396" i="2"/>
  <c r="AC1396" i="2"/>
  <c r="X1396" i="2"/>
  <c r="Y1396" i="2" s="1"/>
  <c r="W1396" i="2"/>
  <c r="V1396" i="2"/>
  <c r="AE1395" i="2"/>
  <c r="AD1395" i="2"/>
  <c r="AC1395" i="2"/>
  <c r="X1395" i="2"/>
  <c r="Y1395" i="2" s="1"/>
  <c r="W1395" i="2"/>
  <c r="V1395" i="2"/>
  <c r="AB1395" i="2" s="1"/>
  <c r="AE1394" i="2"/>
  <c r="AD1394" i="2"/>
  <c r="AC1394" i="2"/>
  <c r="X1394" i="2"/>
  <c r="Y1394" i="2" s="1"/>
  <c r="W1394" i="2"/>
  <c r="V1394" i="2"/>
  <c r="AE1393" i="2"/>
  <c r="AD1393" i="2"/>
  <c r="AC1393" i="2"/>
  <c r="X1393" i="2"/>
  <c r="Y1393" i="2" s="1"/>
  <c r="W1393" i="2"/>
  <c r="V1393" i="2"/>
  <c r="Z1393" i="2" s="1"/>
  <c r="AE1392" i="2"/>
  <c r="AD1392" i="2"/>
  <c r="AC1392" i="2"/>
  <c r="X1392" i="2"/>
  <c r="Y1392" i="2" s="1"/>
  <c r="W1392" i="2"/>
  <c r="V1392" i="2"/>
  <c r="AE1391" i="2"/>
  <c r="AD1391" i="2"/>
  <c r="AC1391" i="2"/>
  <c r="X1391" i="2"/>
  <c r="Y1391" i="2" s="1"/>
  <c r="W1391" i="2"/>
  <c r="V1391" i="2"/>
  <c r="AB1391" i="2" s="1"/>
  <c r="AE1390" i="2"/>
  <c r="AD1390" i="2"/>
  <c r="AC1390" i="2"/>
  <c r="X1390" i="2"/>
  <c r="Y1390" i="2" s="1"/>
  <c r="W1390" i="2"/>
  <c r="V1390" i="2"/>
  <c r="AE1389" i="2"/>
  <c r="AD1389" i="2"/>
  <c r="AC1389" i="2"/>
  <c r="X1389" i="2"/>
  <c r="Y1389" i="2" s="1"/>
  <c r="W1389" i="2"/>
  <c r="V1389" i="2"/>
  <c r="AE1388" i="2"/>
  <c r="AD1388" i="2"/>
  <c r="AC1388" i="2"/>
  <c r="X1388" i="2"/>
  <c r="Y1388" i="2" s="1"/>
  <c r="W1388" i="2"/>
  <c r="V1388" i="2"/>
  <c r="AE1387" i="2"/>
  <c r="AD1387" i="2"/>
  <c r="AC1387" i="2"/>
  <c r="X1387" i="2"/>
  <c r="Y1387" i="2" s="1"/>
  <c r="W1387" i="2"/>
  <c r="V1387" i="2"/>
  <c r="AB1387" i="2" s="1"/>
  <c r="AE1386" i="2"/>
  <c r="AD1386" i="2"/>
  <c r="AC1386" i="2"/>
  <c r="X1386" i="2"/>
  <c r="Y1386" i="2" s="1"/>
  <c r="W1386" i="2"/>
  <c r="V1386" i="2"/>
  <c r="AE1385" i="2"/>
  <c r="AD1385" i="2"/>
  <c r="AC1385" i="2"/>
  <c r="X1385" i="2"/>
  <c r="Y1385" i="2" s="1"/>
  <c r="W1385" i="2"/>
  <c r="V1385" i="2"/>
  <c r="AB1385" i="2" s="1"/>
  <c r="AE1384" i="2"/>
  <c r="AD1384" i="2"/>
  <c r="AC1384" i="2"/>
  <c r="X1384" i="2"/>
  <c r="Y1384" i="2" s="1"/>
  <c r="W1384" i="2"/>
  <c r="V1384" i="2"/>
  <c r="AE1383" i="2"/>
  <c r="AD1383" i="2"/>
  <c r="AC1383" i="2"/>
  <c r="X1383" i="2"/>
  <c r="Y1383" i="2" s="1"/>
  <c r="W1383" i="2"/>
  <c r="V1383" i="2"/>
  <c r="Z1383" i="2" s="1"/>
  <c r="AE1382" i="2"/>
  <c r="AD1382" i="2"/>
  <c r="AC1382" i="2"/>
  <c r="X1382" i="2"/>
  <c r="Y1382" i="2" s="1"/>
  <c r="W1382" i="2"/>
  <c r="V1382" i="2"/>
  <c r="AE1381" i="2"/>
  <c r="AD1381" i="2"/>
  <c r="AC1381" i="2"/>
  <c r="X1381" i="2"/>
  <c r="Y1381" i="2" s="1"/>
  <c r="W1381" i="2"/>
  <c r="V1381" i="2"/>
  <c r="AE1380" i="2"/>
  <c r="AD1380" i="2"/>
  <c r="AC1380" i="2"/>
  <c r="X1380" i="2"/>
  <c r="Y1380" i="2" s="1"/>
  <c r="W1380" i="2"/>
  <c r="V1380" i="2"/>
  <c r="AE1379" i="2"/>
  <c r="AD1379" i="2"/>
  <c r="AC1379" i="2"/>
  <c r="X1379" i="2"/>
  <c r="Y1379" i="2" s="1"/>
  <c r="W1379" i="2"/>
  <c r="V1379" i="2"/>
  <c r="AE1378" i="2"/>
  <c r="AD1378" i="2"/>
  <c r="AC1378" i="2"/>
  <c r="X1378" i="2"/>
  <c r="Y1378" i="2" s="1"/>
  <c r="W1378" i="2"/>
  <c r="V1378" i="2"/>
  <c r="AE1377" i="2"/>
  <c r="AD1377" i="2"/>
  <c r="AC1377" i="2"/>
  <c r="X1377" i="2"/>
  <c r="Y1377" i="2" s="1"/>
  <c r="W1377" i="2"/>
  <c r="V1377" i="2"/>
  <c r="Z1377" i="2" s="1"/>
  <c r="AE1376" i="2"/>
  <c r="AD1376" i="2"/>
  <c r="AC1376" i="2"/>
  <c r="X1376" i="2"/>
  <c r="Y1376" i="2" s="1"/>
  <c r="W1376" i="2"/>
  <c r="V1376" i="2"/>
  <c r="AE1375" i="2"/>
  <c r="AD1375" i="2"/>
  <c r="AC1375" i="2"/>
  <c r="X1375" i="2"/>
  <c r="Y1375" i="2" s="1"/>
  <c r="W1375" i="2"/>
  <c r="V1375" i="2"/>
  <c r="AE1374" i="2"/>
  <c r="AD1374" i="2"/>
  <c r="AC1374" i="2"/>
  <c r="X1374" i="2"/>
  <c r="Y1374" i="2" s="1"/>
  <c r="W1374" i="2"/>
  <c r="V1374" i="2"/>
  <c r="AE1373" i="2"/>
  <c r="AD1373" i="2"/>
  <c r="AC1373" i="2"/>
  <c r="X1373" i="2"/>
  <c r="Y1373" i="2" s="1"/>
  <c r="W1373" i="2"/>
  <c r="V1373" i="2"/>
  <c r="AE1372" i="2"/>
  <c r="AD1372" i="2"/>
  <c r="AC1372" i="2"/>
  <c r="X1372" i="2"/>
  <c r="Y1372" i="2" s="1"/>
  <c r="W1372" i="2"/>
  <c r="V1372" i="2"/>
  <c r="AE1371" i="2"/>
  <c r="AD1371" i="2"/>
  <c r="AC1371" i="2"/>
  <c r="X1371" i="2"/>
  <c r="Y1371" i="2" s="1"/>
  <c r="W1371" i="2"/>
  <c r="V1371" i="2"/>
  <c r="AB1371" i="2" s="1"/>
  <c r="AE1370" i="2"/>
  <c r="AD1370" i="2"/>
  <c r="AC1370" i="2"/>
  <c r="X1370" i="2"/>
  <c r="Y1370" i="2" s="1"/>
  <c r="W1370" i="2"/>
  <c r="V1370" i="2"/>
  <c r="AE1369" i="2"/>
  <c r="AD1369" i="2"/>
  <c r="AC1369" i="2"/>
  <c r="X1369" i="2"/>
  <c r="Y1369" i="2" s="1"/>
  <c r="W1369" i="2"/>
  <c r="V1369" i="2"/>
  <c r="AB1369" i="2" s="1"/>
  <c r="AE1368" i="2"/>
  <c r="AD1368" i="2"/>
  <c r="AC1368" i="2"/>
  <c r="X1368" i="2"/>
  <c r="Y1368" i="2" s="1"/>
  <c r="W1368" i="2"/>
  <c r="V1368" i="2"/>
  <c r="AE1367" i="2"/>
  <c r="AD1367" i="2"/>
  <c r="AC1367" i="2"/>
  <c r="X1367" i="2"/>
  <c r="Y1367" i="2" s="1"/>
  <c r="W1367" i="2"/>
  <c r="V1367" i="2"/>
  <c r="AE1366" i="2"/>
  <c r="AD1366" i="2"/>
  <c r="AC1366" i="2"/>
  <c r="X1366" i="2"/>
  <c r="Y1366" i="2" s="1"/>
  <c r="W1366" i="2"/>
  <c r="V1366" i="2"/>
  <c r="AE1365" i="2"/>
  <c r="AD1365" i="2"/>
  <c r="AC1365" i="2"/>
  <c r="X1365" i="2"/>
  <c r="Y1365" i="2" s="1"/>
  <c r="W1365" i="2"/>
  <c r="V1365" i="2"/>
  <c r="Z1365" i="2" s="1"/>
  <c r="AE1364" i="2"/>
  <c r="AD1364" i="2"/>
  <c r="AC1364" i="2"/>
  <c r="X1364" i="2"/>
  <c r="Y1364" i="2" s="1"/>
  <c r="W1364" i="2"/>
  <c r="V1364" i="2"/>
  <c r="AE1363" i="2"/>
  <c r="AD1363" i="2"/>
  <c r="AC1363" i="2"/>
  <c r="X1363" i="2"/>
  <c r="Y1363" i="2" s="1"/>
  <c r="W1363" i="2"/>
  <c r="V1363" i="2"/>
  <c r="AE1362" i="2"/>
  <c r="AD1362" i="2"/>
  <c r="AC1362" i="2"/>
  <c r="X1362" i="2"/>
  <c r="Y1362" i="2" s="1"/>
  <c r="W1362" i="2"/>
  <c r="V1362" i="2"/>
  <c r="AE1361" i="2"/>
  <c r="AD1361" i="2"/>
  <c r="AC1361" i="2"/>
  <c r="X1361" i="2"/>
  <c r="Y1361" i="2" s="1"/>
  <c r="W1361" i="2"/>
  <c r="V1361" i="2"/>
  <c r="AE1360" i="2"/>
  <c r="AD1360" i="2"/>
  <c r="AC1360" i="2"/>
  <c r="X1360" i="2"/>
  <c r="Y1360" i="2" s="1"/>
  <c r="W1360" i="2"/>
  <c r="V1360" i="2"/>
  <c r="AE1359" i="2"/>
  <c r="AD1359" i="2"/>
  <c r="AC1359" i="2"/>
  <c r="X1359" i="2"/>
  <c r="Y1359" i="2" s="1"/>
  <c r="W1359" i="2"/>
  <c r="V1359" i="2"/>
  <c r="AB1359" i="2" s="1"/>
  <c r="AE1358" i="2"/>
  <c r="AD1358" i="2"/>
  <c r="AC1358" i="2"/>
  <c r="X1358" i="2"/>
  <c r="Y1358" i="2" s="1"/>
  <c r="W1358" i="2"/>
  <c r="V1358" i="2"/>
  <c r="AE1357" i="2"/>
  <c r="AD1357" i="2"/>
  <c r="AC1357" i="2"/>
  <c r="X1357" i="2"/>
  <c r="Y1357" i="2" s="1"/>
  <c r="W1357" i="2"/>
  <c r="V1357" i="2"/>
  <c r="AE1356" i="2"/>
  <c r="AD1356" i="2"/>
  <c r="AC1356" i="2"/>
  <c r="X1356" i="2"/>
  <c r="Y1356" i="2" s="1"/>
  <c r="W1356" i="2"/>
  <c r="V1356" i="2"/>
  <c r="AE1355" i="2"/>
  <c r="AD1355" i="2"/>
  <c r="AC1355" i="2"/>
  <c r="X1355" i="2"/>
  <c r="Y1355" i="2" s="1"/>
  <c r="W1355" i="2"/>
  <c r="V1355" i="2"/>
  <c r="AE1354" i="2"/>
  <c r="AD1354" i="2"/>
  <c r="AC1354" i="2"/>
  <c r="X1354" i="2"/>
  <c r="Y1354" i="2" s="1"/>
  <c r="W1354" i="2"/>
  <c r="V1354" i="2"/>
  <c r="AE1353" i="2"/>
  <c r="AD1353" i="2"/>
  <c r="AC1353" i="2"/>
  <c r="X1353" i="2"/>
  <c r="Y1353" i="2" s="1"/>
  <c r="W1353" i="2"/>
  <c r="V1353" i="2"/>
  <c r="AE1352" i="2"/>
  <c r="AD1352" i="2"/>
  <c r="AC1352" i="2"/>
  <c r="X1352" i="2"/>
  <c r="Y1352" i="2" s="1"/>
  <c r="W1352" i="2"/>
  <c r="V1352" i="2"/>
  <c r="AE1351" i="2"/>
  <c r="AD1351" i="2"/>
  <c r="AC1351" i="2"/>
  <c r="X1351" i="2"/>
  <c r="Y1351" i="2" s="1"/>
  <c r="W1351" i="2"/>
  <c r="V1351" i="2"/>
  <c r="AE1350" i="2"/>
  <c r="AD1350" i="2"/>
  <c r="AC1350" i="2"/>
  <c r="X1350" i="2"/>
  <c r="Y1350" i="2" s="1"/>
  <c r="W1350" i="2"/>
  <c r="V1350" i="2"/>
  <c r="AE1349" i="2"/>
  <c r="AD1349" i="2"/>
  <c r="AC1349" i="2"/>
  <c r="X1349" i="2"/>
  <c r="Y1349" i="2" s="1"/>
  <c r="W1349" i="2"/>
  <c r="V1349" i="2"/>
  <c r="Z1349" i="2" s="1"/>
  <c r="AE1348" i="2"/>
  <c r="AD1348" i="2"/>
  <c r="AC1348" i="2"/>
  <c r="X1348" i="2"/>
  <c r="Y1348" i="2" s="1"/>
  <c r="W1348" i="2"/>
  <c r="V1348" i="2"/>
  <c r="AE1347" i="2"/>
  <c r="AD1347" i="2"/>
  <c r="AC1347" i="2"/>
  <c r="X1347" i="2"/>
  <c r="Y1347" i="2" s="1"/>
  <c r="W1347" i="2"/>
  <c r="V1347" i="2"/>
  <c r="AE1346" i="2"/>
  <c r="AD1346" i="2"/>
  <c r="AC1346" i="2"/>
  <c r="X1346" i="2"/>
  <c r="Y1346" i="2" s="1"/>
  <c r="W1346" i="2"/>
  <c r="V1346" i="2"/>
  <c r="AE1345" i="2"/>
  <c r="AD1345" i="2"/>
  <c r="AC1345" i="2"/>
  <c r="X1345" i="2"/>
  <c r="Y1345" i="2" s="1"/>
  <c r="W1345" i="2"/>
  <c r="V1345" i="2"/>
  <c r="Z1345" i="2" s="1"/>
  <c r="AE1344" i="2"/>
  <c r="AD1344" i="2"/>
  <c r="AC1344" i="2"/>
  <c r="X1344" i="2"/>
  <c r="Y1344" i="2" s="1"/>
  <c r="W1344" i="2"/>
  <c r="V1344" i="2"/>
  <c r="AE1343" i="2"/>
  <c r="AD1343" i="2"/>
  <c r="AC1343" i="2"/>
  <c r="X1343" i="2"/>
  <c r="Y1343" i="2" s="1"/>
  <c r="W1343" i="2"/>
  <c r="V1343" i="2"/>
  <c r="Z1343" i="2" s="1"/>
  <c r="AE1342" i="2"/>
  <c r="AD1342" i="2"/>
  <c r="AC1342" i="2"/>
  <c r="X1342" i="2"/>
  <c r="Y1342" i="2" s="1"/>
  <c r="W1342" i="2"/>
  <c r="V1342" i="2"/>
  <c r="AE1341" i="2"/>
  <c r="AD1341" i="2"/>
  <c r="AC1341" i="2"/>
  <c r="X1341" i="2"/>
  <c r="Y1341" i="2" s="1"/>
  <c r="W1341" i="2"/>
  <c r="V1341" i="2"/>
  <c r="Z1341" i="2" s="1"/>
  <c r="AE1340" i="2"/>
  <c r="AD1340" i="2"/>
  <c r="AC1340" i="2"/>
  <c r="X1340" i="2"/>
  <c r="Y1340" i="2" s="1"/>
  <c r="W1340" i="2"/>
  <c r="V1340" i="2"/>
  <c r="AE1339" i="2"/>
  <c r="AD1339" i="2"/>
  <c r="AC1339" i="2"/>
  <c r="X1339" i="2"/>
  <c r="Y1339" i="2" s="1"/>
  <c r="W1339" i="2"/>
  <c r="V1339" i="2"/>
  <c r="AB1339" i="2" s="1"/>
  <c r="AE1338" i="2"/>
  <c r="AD1338" i="2"/>
  <c r="AC1338" i="2"/>
  <c r="X1338" i="2"/>
  <c r="Y1338" i="2" s="1"/>
  <c r="W1338" i="2"/>
  <c r="V1338" i="2"/>
  <c r="AE1337" i="2"/>
  <c r="AD1337" i="2"/>
  <c r="AC1337" i="2"/>
  <c r="X1337" i="2"/>
  <c r="Y1337" i="2" s="1"/>
  <c r="W1337" i="2"/>
  <c r="V1337" i="2"/>
  <c r="AB1337" i="2" s="1"/>
  <c r="AE1336" i="2"/>
  <c r="AD1336" i="2"/>
  <c r="AC1336" i="2"/>
  <c r="X1336" i="2"/>
  <c r="Y1336" i="2" s="1"/>
  <c r="W1336" i="2"/>
  <c r="V1336" i="2"/>
  <c r="AE1335" i="2"/>
  <c r="AD1335" i="2"/>
  <c r="AC1335" i="2"/>
  <c r="X1335" i="2"/>
  <c r="Y1335" i="2" s="1"/>
  <c r="W1335" i="2"/>
  <c r="V1335" i="2"/>
  <c r="Z1335" i="2" s="1"/>
  <c r="AE1334" i="2"/>
  <c r="AD1334" i="2"/>
  <c r="AC1334" i="2"/>
  <c r="X1334" i="2"/>
  <c r="Y1334" i="2" s="1"/>
  <c r="W1334" i="2"/>
  <c r="V1334" i="2"/>
  <c r="AE1333" i="2"/>
  <c r="AD1333" i="2"/>
  <c r="AC1333" i="2"/>
  <c r="X1333" i="2"/>
  <c r="Y1333" i="2" s="1"/>
  <c r="W1333" i="2"/>
  <c r="V1333" i="2"/>
  <c r="AE1332" i="2"/>
  <c r="AD1332" i="2"/>
  <c r="AC1332" i="2"/>
  <c r="X1332" i="2"/>
  <c r="Y1332" i="2" s="1"/>
  <c r="W1332" i="2"/>
  <c r="V1332" i="2"/>
  <c r="AE1331" i="2"/>
  <c r="AD1331" i="2"/>
  <c r="AC1331" i="2"/>
  <c r="X1331" i="2"/>
  <c r="Y1331" i="2" s="1"/>
  <c r="W1331" i="2"/>
  <c r="V1331" i="2"/>
  <c r="AB1331" i="2" s="1"/>
  <c r="AE1330" i="2"/>
  <c r="AD1330" i="2"/>
  <c r="AC1330" i="2"/>
  <c r="X1330" i="2"/>
  <c r="Y1330" i="2" s="1"/>
  <c r="W1330" i="2"/>
  <c r="V1330" i="2"/>
  <c r="AE1329" i="2"/>
  <c r="AD1329" i="2"/>
  <c r="AC1329" i="2"/>
  <c r="X1329" i="2"/>
  <c r="Y1329" i="2" s="1"/>
  <c r="W1329" i="2"/>
  <c r="V1329" i="2"/>
  <c r="Z1329" i="2" s="1"/>
  <c r="AE1328" i="2"/>
  <c r="AD1328" i="2"/>
  <c r="AC1328" i="2"/>
  <c r="X1328" i="2"/>
  <c r="Y1328" i="2" s="1"/>
  <c r="W1328" i="2"/>
  <c r="V1328" i="2"/>
  <c r="AE1327" i="2"/>
  <c r="AD1327" i="2"/>
  <c r="AC1327" i="2"/>
  <c r="X1327" i="2"/>
  <c r="Y1327" i="2" s="1"/>
  <c r="W1327" i="2"/>
  <c r="V1327" i="2"/>
  <c r="AE1326" i="2"/>
  <c r="AD1326" i="2"/>
  <c r="AC1326" i="2"/>
  <c r="X1326" i="2"/>
  <c r="Y1326" i="2" s="1"/>
  <c r="W1326" i="2"/>
  <c r="V1326" i="2"/>
  <c r="AE1325" i="2"/>
  <c r="AD1325" i="2"/>
  <c r="AC1325" i="2"/>
  <c r="X1325" i="2"/>
  <c r="Y1325" i="2" s="1"/>
  <c r="W1325" i="2"/>
  <c r="V1325" i="2"/>
  <c r="AE1324" i="2"/>
  <c r="AD1324" i="2"/>
  <c r="AC1324" i="2"/>
  <c r="X1324" i="2"/>
  <c r="Y1324" i="2" s="1"/>
  <c r="W1324" i="2"/>
  <c r="V1324" i="2"/>
  <c r="AE1323" i="2"/>
  <c r="AD1323" i="2"/>
  <c r="AC1323" i="2"/>
  <c r="X1323" i="2"/>
  <c r="Y1323" i="2" s="1"/>
  <c r="W1323" i="2"/>
  <c r="V1323" i="2"/>
  <c r="AB1323" i="2" s="1"/>
  <c r="AE1322" i="2"/>
  <c r="AD1322" i="2"/>
  <c r="AC1322" i="2"/>
  <c r="X1322" i="2"/>
  <c r="Y1322" i="2" s="1"/>
  <c r="W1322" i="2"/>
  <c r="V1322" i="2"/>
  <c r="AE1321" i="2"/>
  <c r="AD1321" i="2"/>
  <c r="AC1321" i="2"/>
  <c r="X1321" i="2"/>
  <c r="Y1321" i="2" s="1"/>
  <c r="W1321" i="2"/>
  <c r="V1321" i="2"/>
  <c r="AE1320" i="2"/>
  <c r="AD1320" i="2"/>
  <c r="AC1320" i="2"/>
  <c r="X1320" i="2"/>
  <c r="Y1320" i="2" s="1"/>
  <c r="W1320" i="2"/>
  <c r="V1320" i="2"/>
  <c r="AE1319" i="2"/>
  <c r="AD1319" i="2"/>
  <c r="AC1319" i="2"/>
  <c r="X1319" i="2"/>
  <c r="Y1319" i="2" s="1"/>
  <c r="W1319" i="2"/>
  <c r="V1319" i="2"/>
  <c r="Z1319" i="2" s="1"/>
  <c r="AE1318" i="2"/>
  <c r="AD1318" i="2"/>
  <c r="AC1318" i="2"/>
  <c r="X1318" i="2"/>
  <c r="Y1318" i="2" s="1"/>
  <c r="W1318" i="2"/>
  <c r="V1318" i="2"/>
  <c r="AE1317" i="2"/>
  <c r="AD1317" i="2"/>
  <c r="AC1317" i="2"/>
  <c r="X1317" i="2"/>
  <c r="Y1317" i="2" s="1"/>
  <c r="W1317" i="2"/>
  <c r="V1317" i="2"/>
  <c r="Z1317" i="2" s="1"/>
  <c r="AE1316" i="2"/>
  <c r="AD1316" i="2"/>
  <c r="AC1316" i="2"/>
  <c r="X1316" i="2"/>
  <c r="Y1316" i="2" s="1"/>
  <c r="W1316" i="2"/>
  <c r="V1316" i="2"/>
  <c r="AE1315" i="2"/>
  <c r="AD1315" i="2"/>
  <c r="AC1315" i="2"/>
  <c r="X1315" i="2"/>
  <c r="Y1315" i="2" s="1"/>
  <c r="W1315" i="2"/>
  <c r="V1315" i="2"/>
  <c r="AE1314" i="2"/>
  <c r="AD1314" i="2"/>
  <c r="AC1314" i="2"/>
  <c r="X1314" i="2"/>
  <c r="Y1314" i="2" s="1"/>
  <c r="W1314" i="2"/>
  <c r="V1314" i="2"/>
  <c r="AE1313" i="2"/>
  <c r="AD1313" i="2"/>
  <c r="AC1313" i="2"/>
  <c r="X1313" i="2"/>
  <c r="Y1313" i="2" s="1"/>
  <c r="W1313" i="2"/>
  <c r="V1313" i="2"/>
  <c r="AB1313" i="2" s="1"/>
  <c r="AE1312" i="2"/>
  <c r="AD1312" i="2"/>
  <c r="AC1312" i="2"/>
  <c r="X1312" i="2"/>
  <c r="Y1312" i="2" s="1"/>
  <c r="W1312" i="2"/>
  <c r="V1312" i="2"/>
  <c r="AE1311" i="2"/>
  <c r="AD1311" i="2"/>
  <c r="AC1311" i="2"/>
  <c r="X1311" i="2"/>
  <c r="Y1311" i="2" s="1"/>
  <c r="W1311" i="2"/>
  <c r="V1311" i="2"/>
  <c r="AE1310" i="2"/>
  <c r="AD1310" i="2"/>
  <c r="AC1310" i="2"/>
  <c r="X1310" i="2"/>
  <c r="Y1310" i="2" s="1"/>
  <c r="W1310" i="2"/>
  <c r="V1310" i="2"/>
  <c r="AE1309" i="2"/>
  <c r="AD1309" i="2"/>
  <c r="AC1309" i="2"/>
  <c r="X1309" i="2"/>
  <c r="Y1309" i="2" s="1"/>
  <c r="W1309" i="2"/>
  <c r="V1309" i="2"/>
  <c r="Z1309" i="2" s="1"/>
  <c r="AE1308" i="2"/>
  <c r="AD1308" i="2"/>
  <c r="AC1308" i="2"/>
  <c r="X1308" i="2"/>
  <c r="Y1308" i="2" s="1"/>
  <c r="W1308" i="2"/>
  <c r="V1308" i="2"/>
  <c r="AE1307" i="2"/>
  <c r="AD1307" i="2"/>
  <c r="AC1307" i="2"/>
  <c r="X1307" i="2"/>
  <c r="Y1307" i="2" s="1"/>
  <c r="W1307" i="2"/>
  <c r="V1307" i="2"/>
  <c r="AB1307" i="2" s="1"/>
  <c r="AE1306" i="2"/>
  <c r="AD1306" i="2"/>
  <c r="AC1306" i="2"/>
  <c r="X1306" i="2"/>
  <c r="Y1306" i="2" s="1"/>
  <c r="W1306" i="2"/>
  <c r="V1306" i="2"/>
  <c r="AE1305" i="2"/>
  <c r="AD1305" i="2"/>
  <c r="AC1305" i="2"/>
  <c r="X1305" i="2"/>
  <c r="Y1305" i="2" s="1"/>
  <c r="W1305" i="2"/>
  <c r="V1305" i="2"/>
  <c r="AE1304" i="2"/>
  <c r="AD1304" i="2"/>
  <c r="AC1304" i="2"/>
  <c r="X1304" i="2"/>
  <c r="Y1304" i="2" s="1"/>
  <c r="W1304" i="2"/>
  <c r="V1304" i="2"/>
  <c r="AE1303" i="2"/>
  <c r="AD1303" i="2"/>
  <c r="AC1303" i="2"/>
  <c r="X1303" i="2"/>
  <c r="Y1303" i="2" s="1"/>
  <c r="W1303" i="2"/>
  <c r="V1303" i="2"/>
  <c r="AE1302" i="2"/>
  <c r="AD1302" i="2"/>
  <c r="AC1302" i="2"/>
  <c r="X1302" i="2"/>
  <c r="Y1302" i="2" s="1"/>
  <c r="W1302" i="2"/>
  <c r="V1302" i="2"/>
  <c r="AE1301" i="2"/>
  <c r="AD1301" i="2"/>
  <c r="AC1301" i="2"/>
  <c r="X1301" i="2"/>
  <c r="Y1301" i="2" s="1"/>
  <c r="W1301" i="2"/>
  <c r="V1301" i="2"/>
  <c r="AE1300" i="2"/>
  <c r="AD1300" i="2"/>
  <c r="AC1300" i="2"/>
  <c r="X1300" i="2"/>
  <c r="Y1300" i="2" s="1"/>
  <c r="W1300" i="2"/>
  <c r="V1300" i="2"/>
  <c r="AE1299" i="2"/>
  <c r="AD1299" i="2"/>
  <c r="AC1299" i="2"/>
  <c r="X1299" i="2"/>
  <c r="Y1299" i="2" s="1"/>
  <c r="W1299" i="2"/>
  <c r="V1299" i="2"/>
  <c r="AB1299" i="2" s="1"/>
  <c r="AE1298" i="2"/>
  <c r="AD1298" i="2"/>
  <c r="AC1298" i="2"/>
  <c r="X1298" i="2"/>
  <c r="Y1298" i="2" s="1"/>
  <c r="W1298" i="2"/>
  <c r="V1298" i="2"/>
  <c r="AE1297" i="2"/>
  <c r="AD1297" i="2"/>
  <c r="AC1297" i="2"/>
  <c r="X1297" i="2"/>
  <c r="Y1297" i="2" s="1"/>
  <c r="W1297" i="2"/>
  <c r="V1297" i="2"/>
  <c r="Z1297" i="2" s="1"/>
  <c r="AE1296" i="2"/>
  <c r="AD1296" i="2"/>
  <c r="AC1296" i="2"/>
  <c r="X1296" i="2"/>
  <c r="Y1296" i="2" s="1"/>
  <c r="W1296" i="2"/>
  <c r="V1296" i="2"/>
  <c r="AE1295" i="2"/>
  <c r="AD1295" i="2"/>
  <c r="AC1295" i="2"/>
  <c r="X1295" i="2"/>
  <c r="Y1295" i="2" s="1"/>
  <c r="W1295" i="2"/>
  <c r="V1295" i="2"/>
  <c r="AB1295" i="2" s="1"/>
  <c r="AE1294" i="2"/>
  <c r="AD1294" i="2"/>
  <c r="AC1294" i="2"/>
  <c r="X1294" i="2"/>
  <c r="Y1294" i="2" s="1"/>
  <c r="W1294" i="2"/>
  <c r="V1294" i="2"/>
  <c r="AE1293" i="2"/>
  <c r="AD1293" i="2"/>
  <c r="AC1293" i="2"/>
  <c r="X1293" i="2"/>
  <c r="Y1293" i="2" s="1"/>
  <c r="W1293" i="2"/>
  <c r="V1293" i="2"/>
  <c r="Z1293" i="2" s="1"/>
  <c r="AE1292" i="2"/>
  <c r="AD1292" i="2"/>
  <c r="AC1292" i="2"/>
  <c r="X1292" i="2"/>
  <c r="Y1292" i="2" s="1"/>
  <c r="W1292" i="2"/>
  <c r="V1292" i="2"/>
  <c r="AE1291" i="2"/>
  <c r="AD1291" i="2"/>
  <c r="AC1291" i="2"/>
  <c r="X1291" i="2"/>
  <c r="Y1291" i="2" s="1"/>
  <c r="W1291" i="2"/>
  <c r="V1291" i="2"/>
  <c r="AE1290" i="2"/>
  <c r="AD1290" i="2"/>
  <c r="AC1290" i="2"/>
  <c r="X1290" i="2"/>
  <c r="Y1290" i="2" s="1"/>
  <c r="W1290" i="2"/>
  <c r="V1290" i="2"/>
  <c r="AE1289" i="2"/>
  <c r="AD1289" i="2"/>
  <c r="AC1289" i="2"/>
  <c r="X1289" i="2"/>
  <c r="Y1289" i="2" s="1"/>
  <c r="W1289" i="2"/>
  <c r="V1289" i="2"/>
  <c r="AE1288" i="2"/>
  <c r="AD1288" i="2"/>
  <c r="AC1288" i="2"/>
  <c r="X1288" i="2"/>
  <c r="Y1288" i="2" s="1"/>
  <c r="W1288" i="2"/>
  <c r="V1288" i="2"/>
  <c r="AE1287" i="2"/>
  <c r="AD1287" i="2"/>
  <c r="AC1287" i="2"/>
  <c r="X1287" i="2"/>
  <c r="Y1287" i="2" s="1"/>
  <c r="W1287" i="2"/>
  <c r="V1287" i="2"/>
  <c r="Z1287" i="2" s="1"/>
  <c r="AE1286" i="2"/>
  <c r="AD1286" i="2"/>
  <c r="AC1286" i="2"/>
  <c r="X1286" i="2"/>
  <c r="Y1286" i="2" s="1"/>
  <c r="W1286" i="2"/>
  <c r="V1286" i="2"/>
  <c r="AE1285" i="2"/>
  <c r="AD1285" i="2"/>
  <c r="AC1285" i="2"/>
  <c r="X1285" i="2"/>
  <c r="Y1285" i="2" s="1"/>
  <c r="W1285" i="2"/>
  <c r="V1285" i="2"/>
  <c r="Z1285" i="2" s="1"/>
  <c r="AE1284" i="2"/>
  <c r="AD1284" i="2"/>
  <c r="AC1284" i="2"/>
  <c r="X1284" i="2"/>
  <c r="Y1284" i="2" s="1"/>
  <c r="W1284" i="2"/>
  <c r="V1284" i="2"/>
  <c r="AE1283" i="2"/>
  <c r="AD1283" i="2"/>
  <c r="AC1283" i="2"/>
  <c r="X1283" i="2"/>
  <c r="Y1283" i="2" s="1"/>
  <c r="W1283" i="2"/>
  <c r="V1283" i="2"/>
  <c r="AE1282" i="2"/>
  <c r="AD1282" i="2"/>
  <c r="AC1282" i="2"/>
  <c r="X1282" i="2"/>
  <c r="Y1282" i="2" s="1"/>
  <c r="W1282" i="2"/>
  <c r="V1282" i="2"/>
  <c r="AE1281" i="2"/>
  <c r="AD1281" i="2"/>
  <c r="AC1281" i="2"/>
  <c r="X1281" i="2"/>
  <c r="Y1281" i="2" s="1"/>
  <c r="W1281" i="2"/>
  <c r="V1281" i="2"/>
  <c r="AE1280" i="2"/>
  <c r="AD1280" i="2"/>
  <c r="AC1280" i="2"/>
  <c r="X1280" i="2"/>
  <c r="Y1280" i="2" s="1"/>
  <c r="W1280" i="2"/>
  <c r="V1280" i="2"/>
  <c r="AE1279" i="2"/>
  <c r="AD1279" i="2"/>
  <c r="AC1279" i="2"/>
  <c r="X1279" i="2"/>
  <c r="Y1279" i="2" s="1"/>
  <c r="W1279" i="2"/>
  <c r="V1279" i="2"/>
  <c r="AB1279" i="2" s="1"/>
  <c r="AE1278" i="2"/>
  <c r="AD1278" i="2"/>
  <c r="AC1278" i="2"/>
  <c r="X1278" i="2"/>
  <c r="Y1278" i="2" s="1"/>
  <c r="W1278" i="2"/>
  <c r="V1278" i="2"/>
  <c r="AE1277" i="2"/>
  <c r="AD1277" i="2"/>
  <c r="AC1277" i="2"/>
  <c r="X1277" i="2"/>
  <c r="Y1277" i="2" s="1"/>
  <c r="W1277" i="2"/>
  <c r="V1277" i="2"/>
  <c r="AE1276" i="2"/>
  <c r="AD1276" i="2"/>
  <c r="AC1276" i="2"/>
  <c r="X1276" i="2"/>
  <c r="Y1276" i="2" s="1"/>
  <c r="W1276" i="2"/>
  <c r="V1276" i="2"/>
  <c r="AE1275" i="2"/>
  <c r="AD1275" i="2"/>
  <c r="AC1275" i="2"/>
  <c r="X1275" i="2"/>
  <c r="Y1275" i="2" s="1"/>
  <c r="W1275" i="2"/>
  <c r="V1275" i="2"/>
  <c r="AE1274" i="2"/>
  <c r="AD1274" i="2"/>
  <c r="AC1274" i="2"/>
  <c r="X1274" i="2"/>
  <c r="Y1274" i="2" s="1"/>
  <c r="W1274" i="2"/>
  <c r="V1274" i="2"/>
  <c r="AE1273" i="2"/>
  <c r="AD1273" i="2"/>
  <c r="AC1273" i="2"/>
  <c r="X1273" i="2"/>
  <c r="Y1273" i="2" s="1"/>
  <c r="W1273" i="2"/>
  <c r="V1273" i="2"/>
  <c r="AE1272" i="2"/>
  <c r="AD1272" i="2"/>
  <c r="AC1272" i="2"/>
  <c r="X1272" i="2"/>
  <c r="Y1272" i="2" s="1"/>
  <c r="W1272" i="2"/>
  <c r="V1272" i="2"/>
  <c r="AE1271" i="2"/>
  <c r="AD1271" i="2"/>
  <c r="AC1271" i="2"/>
  <c r="X1271" i="2"/>
  <c r="Y1271" i="2" s="1"/>
  <c r="W1271" i="2"/>
  <c r="V1271" i="2"/>
  <c r="AE1270" i="2"/>
  <c r="AD1270" i="2"/>
  <c r="AC1270" i="2"/>
  <c r="X1270" i="2"/>
  <c r="Y1270" i="2" s="1"/>
  <c r="W1270" i="2"/>
  <c r="V1270" i="2"/>
  <c r="AE1269" i="2"/>
  <c r="AD1269" i="2"/>
  <c r="AC1269" i="2"/>
  <c r="X1269" i="2"/>
  <c r="Y1269" i="2" s="1"/>
  <c r="W1269" i="2"/>
  <c r="V1269" i="2"/>
  <c r="AB1269" i="2" s="1"/>
  <c r="AE1268" i="2"/>
  <c r="AD1268" i="2"/>
  <c r="AC1268" i="2"/>
  <c r="X1268" i="2"/>
  <c r="Y1268" i="2" s="1"/>
  <c r="W1268" i="2"/>
  <c r="V1268" i="2"/>
  <c r="AE1267" i="2"/>
  <c r="AD1267" i="2"/>
  <c r="AC1267" i="2"/>
  <c r="X1267" i="2"/>
  <c r="Y1267" i="2" s="1"/>
  <c r="W1267" i="2"/>
  <c r="V1267" i="2"/>
  <c r="AE1266" i="2"/>
  <c r="AD1266" i="2"/>
  <c r="AC1266" i="2"/>
  <c r="X1266" i="2"/>
  <c r="Y1266" i="2" s="1"/>
  <c r="W1266" i="2"/>
  <c r="V1266" i="2"/>
  <c r="AE1265" i="2"/>
  <c r="AD1265" i="2"/>
  <c r="AC1265" i="2"/>
  <c r="X1265" i="2"/>
  <c r="Y1265" i="2" s="1"/>
  <c r="W1265" i="2"/>
  <c r="V1265" i="2"/>
  <c r="AB1265" i="2" s="1"/>
  <c r="AE1264" i="2"/>
  <c r="AD1264" i="2"/>
  <c r="AC1264" i="2"/>
  <c r="X1264" i="2"/>
  <c r="Y1264" i="2" s="1"/>
  <c r="W1264" i="2"/>
  <c r="V1264" i="2"/>
  <c r="AE1263" i="2"/>
  <c r="AD1263" i="2"/>
  <c r="AC1263" i="2"/>
  <c r="X1263" i="2"/>
  <c r="Y1263" i="2" s="1"/>
  <c r="W1263" i="2"/>
  <c r="V1263" i="2"/>
  <c r="AE1262" i="2"/>
  <c r="AD1262" i="2"/>
  <c r="AC1262" i="2"/>
  <c r="X1262" i="2"/>
  <c r="Y1262" i="2" s="1"/>
  <c r="W1262" i="2"/>
  <c r="V1262" i="2"/>
  <c r="AE1261" i="2"/>
  <c r="AD1261" i="2"/>
  <c r="AC1261" i="2"/>
  <c r="X1261" i="2"/>
  <c r="Y1261" i="2" s="1"/>
  <c r="W1261" i="2"/>
  <c r="V1261" i="2"/>
  <c r="AE1260" i="2"/>
  <c r="AD1260" i="2"/>
  <c r="AC1260" i="2"/>
  <c r="X1260" i="2"/>
  <c r="Y1260" i="2" s="1"/>
  <c r="W1260" i="2"/>
  <c r="V1260" i="2"/>
  <c r="AE1259" i="2"/>
  <c r="AD1259" i="2"/>
  <c r="AC1259" i="2"/>
  <c r="X1259" i="2"/>
  <c r="Y1259" i="2" s="1"/>
  <c r="W1259" i="2"/>
  <c r="V1259" i="2"/>
  <c r="Z1259" i="2" s="1"/>
  <c r="AE1258" i="2"/>
  <c r="AD1258" i="2"/>
  <c r="AC1258" i="2"/>
  <c r="X1258" i="2"/>
  <c r="Y1258" i="2" s="1"/>
  <c r="W1258" i="2"/>
  <c r="V1258" i="2"/>
  <c r="AE1257" i="2"/>
  <c r="AD1257" i="2"/>
  <c r="AC1257" i="2"/>
  <c r="X1257" i="2"/>
  <c r="Y1257" i="2" s="1"/>
  <c r="W1257" i="2"/>
  <c r="V1257" i="2"/>
  <c r="AE1256" i="2"/>
  <c r="AD1256" i="2"/>
  <c r="AC1256" i="2"/>
  <c r="X1256" i="2"/>
  <c r="Y1256" i="2" s="1"/>
  <c r="W1256" i="2"/>
  <c r="V1256" i="2"/>
  <c r="AE1255" i="2"/>
  <c r="AD1255" i="2"/>
  <c r="AC1255" i="2"/>
  <c r="X1255" i="2"/>
  <c r="Y1255" i="2" s="1"/>
  <c r="W1255" i="2"/>
  <c r="V1255" i="2"/>
  <c r="AE1254" i="2"/>
  <c r="AD1254" i="2"/>
  <c r="AC1254" i="2"/>
  <c r="X1254" i="2"/>
  <c r="Y1254" i="2" s="1"/>
  <c r="W1254" i="2"/>
  <c r="V1254" i="2"/>
  <c r="AE1253" i="2"/>
  <c r="AD1253" i="2"/>
  <c r="AC1253" i="2"/>
  <c r="X1253" i="2"/>
  <c r="Y1253" i="2" s="1"/>
  <c r="W1253" i="2"/>
  <c r="V1253" i="2"/>
  <c r="AE1252" i="2"/>
  <c r="AD1252" i="2"/>
  <c r="AC1252" i="2"/>
  <c r="X1252" i="2"/>
  <c r="Y1252" i="2" s="1"/>
  <c r="W1252" i="2"/>
  <c r="V1252" i="2"/>
  <c r="AE1251" i="2"/>
  <c r="AD1251" i="2"/>
  <c r="AC1251" i="2"/>
  <c r="X1251" i="2"/>
  <c r="Y1251" i="2" s="1"/>
  <c r="W1251" i="2"/>
  <c r="V1251" i="2"/>
  <c r="AE1250" i="2"/>
  <c r="AD1250" i="2"/>
  <c r="AC1250" i="2"/>
  <c r="X1250" i="2"/>
  <c r="Y1250" i="2" s="1"/>
  <c r="W1250" i="2"/>
  <c r="V1250" i="2"/>
  <c r="AE1249" i="2"/>
  <c r="AD1249" i="2"/>
  <c r="AC1249" i="2"/>
  <c r="X1249" i="2"/>
  <c r="Y1249" i="2" s="1"/>
  <c r="W1249" i="2"/>
  <c r="V1249" i="2"/>
  <c r="AB1249" i="2" s="1"/>
  <c r="AE1248" i="2"/>
  <c r="AD1248" i="2"/>
  <c r="AC1248" i="2"/>
  <c r="X1248" i="2"/>
  <c r="Y1248" i="2" s="1"/>
  <c r="W1248" i="2"/>
  <c r="V1248" i="2"/>
  <c r="AE1247" i="2"/>
  <c r="AD1247" i="2"/>
  <c r="AC1247" i="2"/>
  <c r="X1247" i="2"/>
  <c r="Y1247" i="2" s="1"/>
  <c r="W1247" i="2"/>
  <c r="V1247" i="2"/>
  <c r="AE1246" i="2"/>
  <c r="AD1246" i="2"/>
  <c r="AC1246" i="2"/>
  <c r="X1246" i="2"/>
  <c r="Y1246" i="2" s="1"/>
  <c r="W1246" i="2"/>
  <c r="V1246" i="2"/>
  <c r="AE1245" i="2"/>
  <c r="AD1245" i="2"/>
  <c r="AC1245" i="2"/>
  <c r="X1245" i="2"/>
  <c r="Y1245" i="2" s="1"/>
  <c r="W1245" i="2"/>
  <c r="V1245" i="2"/>
  <c r="AB1245" i="2" s="1"/>
  <c r="AE1244" i="2"/>
  <c r="AD1244" i="2"/>
  <c r="AC1244" i="2"/>
  <c r="X1244" i="2"/>
  <c r="Y1244" i="2" s="1"/>
  <c r="W1244" i="2"/>
  <c r="V1244" i="2"/>
  <c r="AE1243" i="2"/>
  <c r="AD1243" i="2"/>
  <c r="AC1243" i="2"/>
  <c r="X1243" i="2"/>
  <c r="Y1243" i="2" s="1"/>
  <c r="W1243" i="2"/>
  <c r="V1243" i="2"/>
  <c r="AB1243" i="2" s="1"/>
  <c r="AE1242" i="2"/>
  <c r="AD1242" i="2"/>
  <c r="AC1242" i="2"/>
  <c r="X1242" i="2"/>
  <c r="Y1242" i="2" s="1"/>
  <c r="W1242" i="2"/>
  <c r="V1242" i="2"/>
  <c r="AE1241" i="2"/>
  <c r="AD1241" i="2"/>
  <c r="AC1241" i="2"/>
  <c r="X1241" i="2"/>
  <c r="Y1241" i="2" s="1"/>
  <c r="W1241" i="2"/>
  <c r="V1241" i="2"/>
  <c r="AB1241" i="2" s="1"/>
  <c r="AE1240" i="2"/>
  <c r="AD1240" i="2"/>
  <c r="AC1240" i="2"/>
  <c r="X1240" i="2"/>
  <c r="Y1240" i="2" s="1"/>
  <c r="W1240" i="2"/>
  <c r="V1240" i="2"/>
  <c r="AE1239" i="2"/>
  <c r="AD1239" i="2"/>
  <c r="AC1239" i="2"/>
  <c r="X1239" i="2"/>
  <c r="Y1239" i="2" s="1"/>
  <c r="W1239" i="2"/>
  <c r="V1239" i="2"/>
  <c r="AE1238" i="2"/>
  <c r="AD1238" i="2"/>
  <c r="AC1238" i="2"/>
  <c r="X1238" i="2"/>
  <c r="Y1238" i="2" s="1"/>
  <c r="W1238" i="2"/>
  <c r="V1238" i="2"/>
  <c r="AE1237" i="2"/>
  <c r="AD1237" i="2"/>
  <c r="AC1237" i="2"/>
  <c r="X1237" i="2"/>
  <c r="Y1237" i="2" s="1"/>
  <c r="W1237" i="2"/>
  <c r="V1237" i="2"/>
  <c r="AB1237" i="2" s="1"/>
  <c r="AE1236" i="2"/>
  <c r="AD1236" i="2"/>
  <c r="AC1236" i="2"/>
  <c r="X1236" i="2"/>
  <c r="Y1236" i="2" s="1"/>
  <c r="W1236" i="2"/>
  <c r="V1236" i="2"/>
  <c r="AE1235" i="2"/>
  <c r="AD1235" i="2"/>
  <c r="AC1235" i="2"/>
  <c r="X1235" i="2"/>
  <c r="Y1235" i="2" s="1"/>
  <c r="W1235" i="2"/>
  <c r="V1235" i="2"/>
  <c r="AE1234" i="2"/>
  <c r="AD1234" i="2"/>
  <c r="AC1234" i="2"/>
  <c r="X1234" i="2"/>
  <c r="Y1234" i="2" s="1"/>
  <c r="W1234" i="2"/>
  <c r="V1234" i="2"/>
  <c r="AE1233" i="2"/>
  <c r="AD1233" i="2"/>
  <c r="AC1233" i="2"/>
  <c r="X1233" i="2"/>
  <c r="Y1233" i="2" s="1"/>
  <c r="W1233" i="2"/>
  <c r="V1233" i="2"/>
  <c r="AB1233" i="2" s="1"/>
  <c r="AE1232" i="2"/>
  <c r="AD1232" i="2"/>
  <c r="AC1232" i="2"/>
  <c r="X1232" i="2"/>
  <c r="Y1232" i="2" s="1"/>
  <c r="W1232" i="2"/>
  <c r="V1232" i="2"/>
  <c r="AE1231" i="2"/>
  <c r="AD1231" i="2"/>
  <c r="AC1231" i="2"/>
  <c r="X1231" i="2"/>
  <c r="Y1231" i="2" s="1"/>
  <c r="W1231" i="2"/>
  <c r="V1231" i="2"/>
  <c r="AE1230" i="2"/>
  <c r="AD1230" i="2"/>
  <c r="AC1230" i="2"/>
  <c r="X1230" i="2"/>
  <c r="Y1230" i="2" s="1"/>
  <c r="W1230" i="2"/>
  <c r="V1230" i="2"/>
  <c r="AE1229" i="2"/>
  <c r="AD1229" i="2"/>
  <c r="AC1229" i="2"/>
  <c r="X1229" i="2"/>
  <c r="Y1229" i="2" s="1"/>
  <c r="W1229" i="2"/>
  <c r="V1229" i="2"/>
  <c r="AB1229" i="2" s="1"/>
  <c r="AE1228" i="2"/>
  <c r="AD1228" i="2"/>
  <c r="AC1228" i="2"/>
  <c r="X1228" i="2"/>
  <c r="Y1228" i="2" s="1"/>
  <c r="W1228" i="2"/>
  <c r="V1228" i="2"/>
  <c r="AE1227" i="2"/>
  <c r="AD1227" i="2"/>
  <c r="AC1227" i="2"/>
  <c r="X1227" i="2"/>
  <c r="Y1227" i="2" s="1"/>
  <c r="W1227" i="2"/>
  <c r="V1227" i="2"/>
  <c r="AB1227" i="2" s="1"/>
  <c r="AE1226" i="2"/>
  <c r="AD1226" i="2"/>
  <c r="AC1226" i="2"/>
  <c r="X1226" i="2"/>
  <c r="Y1226" i="2" s="1"/>
  <c r="W1226" i="2"/>
  <c r="V1226" i="2"/>
  <c r="AE1225" i="2"/>
  <c r="AD1225" i="2"/>
  <c r="AC1225" i="2"/>
  <c r="X1225" i="2"/>
  <c r="Y1225" i="2" s="1"/>
  <c r="W1225" i="2"/>
  <c r="V1225" i="2"/>
  <c r="AE1224" i="2"/>
  <c r="AD1224" i="2"/>
  <c r="AC1224" i="2"/>
  <c r="X1224" i="2"/>
  <c r="Y1224" i="2" s="1"/>
  <c r="W1224" i="2"/>
  <c r="V1224" i="2"/>
  <c r="AE1223" i="2"/>
  <c r="AD1223" i="2"/>
  <c r="AC1223" i="2"/>
  <c r="X1223" i="2"/>
  <c r="Y1223" i="2" s="1"/>
  <c r="W1223" i="2"/>
  <c r="V1223" i="2"/>
  <c r="AE1222" i="2"/>
  <c r="AD1222" i="2"/>
  <c r="AC1222" i="2"/>
  <c r="X1222" i="2"/>
  <c r="Y1222" i="2" s="1"/>
  <c r="W1222" i="2"/>
  <c r="V1222" i="2"/>
  <c r="AE1221" i="2"/>
  <c r="AD1221" i="2"/>
  <c r="AC1221" i="2"/>
  <c r="X1221" i="2"/>
  <c r="Y1221" i="2" s="1"/>
  <c r="W1221" i="2"/>
  <c r="V1221" i="2"/>
  <c r="AE1220" i="2"/>
  <c r="AD1220" i="2"/>
  <c r="AC1220" i="2"/>
  <c r="X1220" i="2"/>
  <c r="Y1220" i="2" s="1"/>
  <c r="W1220" i="2"/>
  <c r="V1220" i="2"/>
  <c r="AE1219" i="2"/>
  <c r="AD1219" i="2"/>
  <c r="AC1219" i="2"/>
  <c r="X1219" i="2"/>
  <c r="Y1219" i="2" s="1"/>
  <c r="W1219" i="2"/>
  <c r="V1219" i="2"/>
  <c r="AE1218" i="2"/>
  <c r="AD1218" i="2"/>
  <c r="AC1218" i="2"/>
  <c r="X1218" i="2"/>
  <c r="Y1218" i="2" s="1"/>
  <c r="W1218" i="2"/>
  <c r="V1218" i="2"/>
  <c r="AE1217" i="2"/>
  <c r="AD1217" i="2"/>
  <c r="AC1217" i="2"/>
  <c r="X1217" i="2"/>
  <c r="Y1217" i="2" s="1"/>
  <c r="W1217" i="2"/>
  <c r="V1217" i="2"/>
  <c r="Z1217" i="2" s="1"/>
  <c r="AE1216" i="2"/>
  <c r="AD1216" i="2"/>
  <c r="AC1216" i="2"/>
  <c r="X1216" i="2"/>
  <c r="Y1216" i="2" s="1"/>
  <c r="W1216" i="2"/>
  <c r="V1216" i="2"/>
  <c r="AE1215" i="2"/>
  <c r="AD1215" i="2"/>
  <c r="AC1215" i="2"/>
  <c r="X1215" i="2"/>
  <c r="Y1215" i="2" s="1"/>
  <c r="W1215" i="2"/>
  <c r="V1215" i="2"/>
  <c r="AE1214" i="2"/>
  <c r="AD1214" i="2"/>
  <c r="AC1214" i="2"/>
  <c r="X1214" i="2"/>
  <c r="Y1214" i="2" s="1"/>
  <c r="W1214" i="2"/>
  <c r="V1214" i="2"/>
  <c r="AE1213" i="2"/>
  <c r="AD1213" i="2"/>
  <c r="AC1213" i="2"/>
  <c r="X1213" i="2"/>
  <c r="Y1213" i="2" s="1"/>
  <c r="W1213" i="2"/>
  <c r="V1213" i="2"/>
  <c r="AB1213" i="2" s="1"/>
  <c r="AE1212" i="2"/>
  <c r="AD1212" i="2"/>
  <c r="AC1212" i="2"/>
  <c r="X1212" i="2"/>
  <c r="Y1212" i="2" s="1"/>
  <c r="W1212" i="2"/>
  <c r="V1212" i="2"/>
  <c r="AE1211" i="2"/>
  <c r="AD1211" i="2"/>
  <c r="AC1211" i="2"/>
  <c r="X1211" i="2"/>
  <c r="Y1211" i="2" s="1"/>
  <c r="W1211" i="2"/>
  <c r="V1211" i="2"/>
  <c r="AB1211" i="2" s="1"/>
  <c r="AE1210" i="2"/>
  <c r="AD1210" i="2"/>
  <c r="AC1210" i="2"/>
  <c r="X1210" i="2"/>
  <c r="Y1210" i="2" s="1"/>
  <c r="W1210" i="2"/>
  <c r="V1210" i="2"/>
  <c r="AE1209" i="2"/>
  <c r="AD1209" i="2"/>
  <c r="AC1209" i="2"/>
  <c r="X1209" i="2"/>
  <c r="Y1209" i="2" s="1"/>
  <c r="W1209" i="2"/>
  <c r="V1209" i="2"/>
  <c r="AE1208" i="2"/>
  <c r="AD1208" i="2"/>
  <c r="AC1208" i="2"/>
  <c r="X1208" i="2"/>
  <c r="Y1208" i="2" s="1"/>
  <c r="W1208" i="2"/>
  <c r="V1208" i="2"/>
  <c r="AE1207" i="2"/>
  <c r="AD1207" i="2"/>
  <c r="AC1207" i="2"/>
  <c r="X1207" i="2"/>
  <c r="Y1207" i="2" s="1"/>
  <c r="W1207" i="2"/>
  <c r="V1207" i="2"/>
  <c r="AE1206" i="2"/>
  <c r="AD1206" i="2"/>
  <c r="AC1206" i="2"/>
  <c r="X1206" i="2"/>
  <c r="Y1206" i="2" s="1"/>
  <c r="W1206" i="2"/>
  <c r="V1206" i="2"/>
  <c r="AE1205" i="2"/>
  <c r="AD1205" i="2"/>
  <c r="AC1205" i="2"/>
  <c r="X1205" i="2"/>
  <c r="Y1205" i="2" s="1"/>
  <c r="W1205" i="2"/>
  <c r="V1205" i="2"/>
  <c r="AE1204" i="2"/>
  <c r="AD1204" i="2"/>
  <c r="AC1204" i="2"/>
  <c r="X1204" i="2"/>
  <c r="Y1204" i="2" s="1"/>
  <c r="W1204" i="2"/>
  <c r="V1204" i="2"/>
  <c r="AE1203" i="2"/>
  <c r="AD1203" i="2"/>
  <c r="AC1203" i="2"/>
  <c r="X1203" i="2"/>
  <c r="Y1203" i="2" s="1"/>
  <c r="W1203" i="2"/>
  <c r="V1203" i="2"/>
  <c r="AE1202" i="2"/>
  <c r="AD1202" i="2"/>
  <c r="AC1202" i="2"/>
  <c r="X1202" i="2"/>
  <c r="Y1202" i="2" s="1"/>
  <c r="W1202" i="2"/>
  <c r="V1202" i="2"/>
  <c r="AE1201" i="2"/>
  <c r="AD1201" i="2"/>
  <c r="AC1201" i="2"/>
  <c r="X1201" i="2"/>
  <c r="Y1201" i="2" s="1"/>
  <c r="W1201" i="2"/>
  <c r="V1201" i="2"/>
  <c r="AB1201" i="2" s="1"/>
  <c r="AE1200" i="2"/>
  <c r="AD1200" i="2"/>
  <c r="AC1200" i="2"/>
  <c r="X1200" i="2"/>
  <c r="Y1200" i="2" s="1"/>
  <c r="W1200" i="2"/>
  <c r="V1200" i="2"/>
  <c r="AE1199" i="2"/>
  <c r="AD1199" i="2"/>
  <c r="AC1199" i="2"/>
  <c r="X1199" i="2"/>
  <c r="Y1199" i="2" s="1"/>
  <c r="W1199" i="2"/>
  <c r="V1199" i="2"/>
  <c r="Z1199" i="2" s="1"/>
  <c r="AE1198" i="2"/>
  <c r="AD1198" i="2"/>
  <c r="AC1198" i="2"/>
  <c r="X1198" i="2"/>
  <c r="Y1198" i="2" s="1"/>
  <c r="W1198" i="2"/>
  <c r="V1198" i="2"/>
  <c r="AE1197" i="2"/>
  <c r="AD1197" i="2"/>
  <c r="AC1197" i="2"/>
  <c r="X1197" i="2"/>
  <c r="Y1197" i="2" s="1"/>
  <c r="W1197" i="2"/>
  <c r="V1197" i="2"/>
  <c r="AB1197" i="2" s="1"/>
  <c r="AE1196" i="2"/>
  <c r="AD1196" i="2"/>
  <c r="AC1196" i="2"/>
  <c r="X1196" i="2"/>
  <c r="Y1196" i="2" s="1"/>
  <c r="W1196" i="2"/>
  <c r="V1196" i="2"/>
  <c r="AE1195" i="2"/>
  <c r="AD1195" i="2"/>
  <c r="AC1195" i="2"/>
  <c r="X1195" i="2"/>
  <c r="Y1195" i="2" s="1"/>
  <c r="W1195" i="2"/>
  <c r="V1195" i="2"/>
  <c r="Z1195" i="2" s="1"/>
  <c r="AE1194" i="2"/>
  <c r="AD1194" i="2"/>
  <c r="AC1194" i="2"/>
  <c r="X1194" i="2"/>
  <c r="Y1194" i="2" s="1"/>
  <c r="W1194" i="2"/>
  <c r="V1194" i="2"/>
  <c r="AE1193" i="2"/>
  <c r="AD1193" i="2"/>
  <c r="AC1193" i="2"/>
  <c r="X1193" i="2"/>
  <c r="Y1193" i="2" s="1"/>
  <c r="W1193" i="2"/>
  <c r="V1193" i="2"/>
  <c r="AE1192" i="2"/>
  <c r="AD1192" i="2"/>
  <c r="AC1192" i="2"/>
  <c r="X1192" i="2"/>
  <c r="Y1192" i="2" s="1"/>
  <c r="W1192" i="2"/>
  <c r="V1192" i="2"/>
  <c r="AE1191" i="2"/>
  <c r="AD1191" i="2"/>
  <c r="AC1191" i="2"/>
  <c r="X1191" i="2"/>
  <c r="Y1191" i="2" s="1"/>
  <c r="W1191" i="2"/>
  <c r="V1191" i="2"/>
  <c r="Z1191" i="2" s="1"/>
  <c r="AE1190" i="2"/>
  <c r="AD1190" i="2"/>
  <c r="AC1190" i="2"/>
  <c r="X1190" i="2"/>
  <c r="Y1190" i="2" s="1"/>
  <c r="W1190" i="2"/>
  <c r="V1190" i="2"/>
  <c r="AE1189" i="2"/>
  <c r="AD1189" i="2"/>
  <c r="AC1189" i="2"/>
  <c r="X1189" i="2"/>
  <c r="Y1189" i="2" s="1"/>
  <c r="W1189" i="2"/>
  <c r="V1189" i="2"/>
  <c r="AE1188" i="2"/>
  <c r="AD1188" i="2"/>
  <c r="AC1188" i="2"/>
  <c r="X1188" i="2"/>
  <c r="Y1188" i="2" s="1"/>
  <c r="W1188" i="2"/>
  <c r="V1188" i="2"/>
  <c r="AE1187" i="2"/>
  <c r="AD1187" i="2"/>
  <c r="AC1187" i="2"/>
  <c r="X1187" i="2"/>
  <c r="Y1187" i="2" s="1"/>
  <c r="W1187" i="2"/>
  <c r="V1187" i="2"/>
  <c r="AE1186" i="2"/>
  <c r="AD1186" i="2"/>
  <c r="AC1186" i="2"/>
  <c r="X1186" i="2"/>
  <c r="Y1186" i="2" s="1"/>
  <c r="W1186" i="2"/>
  <c r="V1186" i="2"/>
  <c r="AE1185" i="2"/>
  <c r="AD1185" i="2"/>
  <c r="AC1185" i="2"/>
  <c r="X1185" i="2"/>
  <c r="Y1185" i="2" s="1"/>
  <c r="W1185" i="2"/>
  <c r="V1185" i="2"/>
  <c r="AE1184" i="2"/>
  <c r="AD1184" i="2"/>
  <c r="AC1184" i="2"/>
  <c r="X1184" i="2"/>
  <c r="Y1184" i="2" s="1"/>
  <c r="W1184" i="2"/>
  <c r="V1184" i="2"/>
  <c r="AE1183" i="2"/>
  <c r="AD1183" i="2"/>
  <c r="AC1183" i="2"/>
  <c r="X1183" i="2"/>
  <c r="Y1183" i="2" s="1"/>
  <c r="W1183" i="2"/>
  <c r="V1183" i="2"/>
  <c r="Z1183" i="2" s="1"/>
  <c r="AE1182" i="2"/>
  <c r="AD1182" i="2"/>
  <c r="AC1182" i="2"/>
  <c r="X1182" i="2"/>
  <c r="Y1182" i="2" s="1"/>
  <c r="W1182" i="2"/>
  <c r="V1182" i="2"/>
  <c r="AE1181" i="2"/>
  <c r="AD1181" i="2"/>
  <c r="AC1181" i="2"/>
  <c r="X1181" i="2"/>
  <c r="Y1181" i="2" s="1"/>
  <c r="W1181" i="2"/>
  <c r="V1181" i="2"/>
  <c r="AB1181" i="2" s="1"/>
  <c r="AE1180" i="2"/>
  <c r="AD1180" i="2"/>
  <c r="AC1180" i="2"/>
  <c r="X1180" i="2"/>
  <c r="Y1180" i="2" s="1"/>
  <c r="W1180" i="2"/>
  <c r="V1180" i="2"/>
  <c r="AE1179" i="2"/>
  <c r="AD1179" i="2"/>
  <c r="AC1179" i="2"/>
  <c r="X1179" i="2"/>
  <c r="Y1179" i="2" s="1"/>
  <c r="W1179" i="2"/>
  <c r="V1179" i="2"/>
  <c r="AB1179" i="2" s="1"/>
  <c r="AE1178" i="2"/>
  <c r="AD1178" i="2"/>
  <c r="AC1178" i="2"/>
  <c r="X1178" i="2"/>
  <c r="Y1178" i="2" s="1"/>
  <c r="W1178" i="2"/>
  <c r="V1178" i="2"/>
  <c r="AE1177" i="2"/>
  <c r="AD1177" i="2"/>
  <c r="AC1177" i="2"/>
  <c r="X1177" i="2"/>
  <c r="Y1177" i="2" s="1"/>
  <c r="W1177" i="2"/>
  <c r="V1177" i="2"/>
  <c r="AE1176" i="2"/>
  <c r="AD1176" i="2"/>
  <c r="AC1176" i="2"/>
  <c r="X1176" i="2"/>
  <c r="Y1176" i="2" s="1"/>
  <c r="W1176" i="2"/>
  <c r="V1176" i="2"/>
  <c r="AE1175" i="2"/>
  <c r="AD1175" i="2"/>
  <c r="AC1175" i="2"/>
  <c r="X1175" i="2"/>
  <c r="Y1175" i="2" s="1"/>
  <c r="W1175" i="2"/>
  <c r="V1175" i="2"/>
  <c r="AE1174" i="2"/>
  <c r="AD1174" i="2"/>
  <c r="AC1174" i="2"/>
  <c r="X1174" i="2"/>
  <c r="Y1174" i="2" s="1"/>
  <c r="W1174" i="2"/>
  <c r="V1174" i="2"/>
  <c r="AE1173" i="2"/>
  <c r="AD1173" i="2"/>
  <c r="AC1173" i="2"/>
  <c r="X1173" i="2"/>
  <c r="Y1173" i="2" s="1"/>
  <c r="W1173" i="2"/>
  <c r="V1173" i="2"/>
  <c r="AB1173" i="2" s="1"/>
  <c r="AE1172" i="2"/>
  <c r="AD1172" i="2"/>
  <c r="AC1172" i="2"/>
  <c r="X1172" i="2"/>
  <c r="Y1172" i="2" s="1"/>
  <c r="W1172" i="2"/>
  <c r="V1172" i="2"/>
  <c r="AE1171" i="2"/>
  <c r="AD1171" i="2"/>
  <c r="AC1171" i="2"/>
  <c r="X1171" i="2"/>
  <c r="Y1171" i="2" s="1"/>
  <c r="W1171" i="2"/>
  <c r="V1171" i="2"/>
  <c r="Z1171" i="2" s="1"/>
  <c r="AE1170" i="2"/>
  <c r="AD1170" i="2"/>
  <c r="AC1170" i="2"/>
  <c r="X1170" i="2"/>
  <c r="Y1170" i="2" s="1"/>
  <c r="W1170" i="2"/>
  <c r="V1170" i="2"/>
  <c r="AE1169" i="2"/>
  <c r="AD1169" i="2"/>
  <c r="AC1169" i="2"/>
  <c r="X1169" i="2"/>
  <c r="Y1169" i="2" s="1"/>
  <c r="W1169" i="2"/>
  <c r="V1169" i="2"/>
  <c r="AE1168" i="2"/>
  <c r="AD1168" i="2"/>
  <c r="AC1168" i="2"/>
  <c r="X1168" i="2"/>
  <c r="Y1168" i="2" s="1"/>
  <c r="W1168" i="2"/>
  <c r="V1168" i="2"/>
  <c r="AE1167" i="2"/>
  <c r="AD1167" i="2"/>
  <c r="AC1167" i="2"/>
  <c r="X1167" i="2"/>
  <c r="Y1167" i="2" s="1"/>
  <c r="W1167" i="2"/>
  <c r="V1167" i="2"/>
  <c r="AE1166" i="2"/>
  <c r="AD1166" i="2"/>
  <c r="AC1166" i="2"/>
  <c r="X1166" i="2"/>
  <c r="Y1166" i="2" s="1"/>
  <c r="W1166" i="2"/>
  <c r="V1166" i="2"/>
  <c r="AE1165" i="2"/>
  <c r="AD1165" i="2"/>
  <c r="AC1165" i="2"/>
  <c r="X1165" i="2"/>
  <c r="Y1165" i="2" s="1"/>
  <c r="W1165" i="2"/>
  <c r="V1165" i="2"/>
  <c r="AB1165" i="2" s="1"/>
  <c r="AE1164" i="2"/>
  <c r="AD1164" i="2"/>
  <c r="AC1164" i="2"/>
  <c r="X1164" i="2"/>
  <c r="Y1164" i="2" s="1"/>
  <c r="W1164" i="2"/>
  <c r="V1164" i="2"/>
  <c r="AE1163" i="2"/>
  <c r="AD1163" i="2"/>
  <c r="AC1163" i="2"/>
  <c r="X1163" i="2"/>
  <c r="Y1163" i="2" s="1"/>
  <c r="W1163" i="2"/>
  <c r="V1163" i="2"/>
  <c r="AE1162" i="2"/>
  <c r="AD1162" i="2"/>
  <c r="AC1162" i="2"/>
  <c r="X1162" i="2"/>
  <c r="Y1162" i="2" s="1"/>
  <c r="W1162" i="2"/>
  <c r="V1162" i="2"/>
  <c r="AE1161" i="2"/>
  <c r="AD1161" i="2"/>
  <c r="AC1161" i="2"/>
  <c r="X1161" i="2"/>
  <c r="Y1161" i="2" s="1"/>
  <c r="W1161" i="2"/>
  <c r="V1161" i="2"/>
  <c r="AE1160" i="2"/>
  <c r="AD1160" i="2"/>
  <c r="AC1160" i="2"/>
  <c r="X1160" i="2"/>
  <c r="Y1160" i="2" s="1"/>
  <c r="W1160" i="2"/>
  <c r="V1160" i="2"/>
  <c r="AE1159" i="2"/>
  <c r="AD1159" i="2"/>
  <c r="AC1159" i="2"/>
  <c r="X1159" i="2"/>
  <c r="Y1159" i="2" s="1"/>
  <c r="W1159" i="2"/>
  <c r="V1159" i="2"/>
  <c r="Z1159" i="2" s="1"/>
  <c r="AE1158" i="2"/>
  <c r="AD1158" i="2"/>
  <c r="AC1158" i="2"/>
  <c r="X1158" i="2"/>
  <c r="Y1158" i="2" s="1"/>
  <c r="W1158" i="2"/>
  <c r="V1158" i="2"/>
  <c r="AE1157" i="2"/>
  <c r="AD1157" i="2"/>
  <c r="AC1157" i="2"/>
  <c r="X1157" i="2"/>
  <c r="Y1157" i="2" s="1"/>
  <c r="W1157" i="2"/>
  <c r="V1157" i="2"/>
  <c r="AE1156" i="2"/>
  <c r="AD1156" i="2"/>
  <c r="AC1156" i="2"/>
  <c r="X1156" i="2"/>
  <c r="Y1156" i="2" s="1"/>
  <c r="W1156" i="2"/>
  <c r="V1156" i="2"/>
  <c r="AE1155" i="2"/>
  <c r="AD1155" i="2"/>
  <c r="AC1155" i="2"/>
  <c r="X1155" i="2"/>
  <c r="Y1155" i="2" s="1"/>
  <c r="W1155" i="2"/>
  <c r="V1155" i="2"/>
  <c r="AE1154" i="2"/>
  <c r="AD1154" i="2"/>
  <c r="AC1154" i="2"/>
  <c r="X1154" i="2"/>
  <c r="Y1154" i="2" s="1"/>
  <c r="W1154" i="2"/>
  <c r="V1154" i="2"/>
  <c r="AE1153" i="2"/>
  <c r="AD1153" i="2"/>
  <c r="AC1153" i="2"/>
  <c r="X1153" i="2"/>
  <c r="Y1153" i="2" s="1"/>
  <c r="W1153" i="2"/>
  <c r="V1153" i="2"/>
  <c r="Z1153" i="2" s="1"/>
  <c r="AE1152" i="2"/>
  <c r="AD1152" i="2"/>
  <c r="AC1152" i="2"/>
  <c r="X1152" i="2"/>
  <c r="Y1152" i="2" s="1"/>
  <c r="W1152" i="2"/>
  <c r="V1152" i="2"/>
  <c r="AE1151" i="2"/>
  <c r="AD1151" i="2"/>
  <c r="AC1151" i="2"/>
  <c r="X1151" i="2"/>
  <c r="Y1151" i="2" s="1"/>
  <c r="W1151" i="2"/>
  <c r="V1151" i="2"/>
  <c r="Z1151" i="2" s="1"/>
  <c r="AE1150" i="2"/>
  <c r="AD1150" i="2"/>
  <c r="AC1150" i="2"/>
  <c r="X1150" i="2"/>
  <c r="Y1150" i="2" s="1"/>
  <c r="W1150" i="2"/>
  <c r="V1150" i="2"/>
  <c r="AE1149" i="2"/>
  <c r="AD1149" i="2"/>
  <c r="AC1149" i="2"/>
  <c r="X1149" i="2"/>
  <c r="Y1149" i="2" s="1"/>
  <c r="W1149" i="2"/>
  <c r="V1149" i="2"/>
  <c r="AB1149" i="2" s="1"/>
  <c r="AE1148" i="2"/>
  <c r="AD1148" i="2"/>
  <c r="AC1148" i="2"/>
  <c r="X1148" i="2"/>
  <c r="Y1148" i="2" s="1"/>
  <c r="W1148" i="2"/>
  <c r="V1148" i="2"/>
  <c r="AE1147" i="2"/>
  <c r="AD1147" i="2"/>
  <c r="AC1147" i="2"/>
  <c r="X1147" i="2"/>
  <c r="Y1147" i="2" s="1"/>
  <c r="W1147" i="2"/>
  <c r="V1147" i="2"/>
  <c r="AE1146" i="2"/>
  <c r="AD1146" i="2"/>
  <c r="AC1146" i="2"/>
  <c r="X1146" i="2"/>
  <c r="Y1146" i="2" s="1"/>
  <c r="W1146" i="2"/>
  <c r="V1146" i="2"/>
  <c r="AE1145" i="2"/>
  <c r="AD1145" i="2"/>
  <c r="AC1145" i="2"/>
  <c r="X1145" i="2"/>
  <c r="Y1145" i="2" s="1"/>
  <c r="W1145" i="2"/>
  <c r="V1145" i="2"/>
  <c r="Z1145" i="2" s="1"/>
  <c r="AE1144" i="2"/>
  <c r="AD1144" i="2"/>
  <c r="AC1144" i="2"/>
  <c r="X1144" i="2"/>
  <c r="Y1144" i="2" s="1"/>
  <c r="W1144" i="2"/>
  <c r="V1144" i="2"/>
  <c r="AE1143" i="2"/>
  <c r="AD1143" i="2"/>
  <c r="AC1143" i="2"/>
  <c r="X1143" i="2"/>
  <c r="Y1143" i="2" s="1"/>
  <c r="W1143" i="2"/>
  <c r="V1143" i="2"/>
  <c r="Z1143" i="2" s="1"/>
  <c r="AE1142" i="2"/>
  <c r="AD1142" i="2"/>
  <c r="AC1142" i="2"/>
  <c r="X1142" i="2"/>
  <c r="Y1142" i="2" s="1"/>
  <c r="W1142" i="2"/>
  <c r="V1142" i="2"/>
  <c r="AE1141" i="2"/>
  <c r="AD1141" i="2"/>
  <c r="AC1141" i="2"/>
  <c r="X1141" i="2"/>
  <c r="Y1141" i="2" s="1"/>
  <c r="W1141" i="2"/>
  <c r="V1141" i="2"/>
  <c r="AB1141" i="2" s="1"/>
  <c r="AE1140" i="2"/>
  <c r="AD1140" i="2"/>
  <c r="AC1140" i="2"/>
  <c r="X1140" i="2"/>
  <c r="Y1140" i="2" s="1"/>
  <c r="W1140" i="2"/>
  <c r="V1140" i="2"/>
  <c r="AE1139" i="2"/>
  <c r="AD1139" i="2"/>
  <c r="AC1139" i="2"/>
  <c r="X1139" i="2"/>
  <c r="Y1139" i="2" s="1"/>
  <c r="W1139" i="2"/>
  <c r="V1139" i="2"/>
  <c r="Z1139" i="2" s="1"/>
  <c r="AE1138" i="2"/>
  <c r="AD1138" i="2"/>
  <c r="AC1138" i="2"/>
  <c r="X1138" i="2"/>
  <c r="Y1138" i="2" s="1"/>
  <c r="W1138" i="2"/>
  <c r="V1138" i="2"/>
  <c r="AE1137" i="2"/>
  <c r="AD1137" i="2"/>
  <c r="AC1137" i="2"/>
  <c r="X1137" i="2"/>
  <c r="Y1137" i="2" s="1"/>
  <c r="W1137" i="2"/>
  <c r="V1137" i="2"/>
  <c r="AB1137" i="2" s="1"/>
  <c r="AE1136" i="2"/>
  <c r="AD1136" i="2"/>
  <c r="AC1136" i="2"/>
  <c r="X1136" i="2"/>
  <c r="Y1136" i="2" s="1"/>
  <c r="W1136" i="2"/>
  <c r="V1136" i="2"/>
  <c r="AE1135" i="2"/>
  <c r="AD1135" i="2"/>
  <c r="AC1135" i="2"/>
  <c r="X1135" i="2"/>
  <c r="Y1135" i="2" s="1"/>
  <c r="W1135" i="2"/>
  <c r="V1135" i="2"/>
  <c r="Z1135" i="2" s="1"/>
  <c r="AE1134" i="2"/>
  <c r="AD1134" i="2"/>
  <c r="AC1134" i="2"/>
  <c r="X1134" i="2"/>
  <c r="Y1134" i="2" s="1"/>
  <c r="W1134" i="2"/>
  <c r="V1134" i="2"/>
  <c r="AE1133" i="2"/>
  <c r="AD1133" i="2"/>
  <c r="AC1133" i="2"/>
  <c r="X1133" i="2"/>
  <c r="Y1133" i="2" s="1"/>
  <c r="W1133" i="2"/>
  <c r="V1133" i="2"/>
  <c r="AE1132" i="2"/>
  <c r="AD1132" i="2"/>
  <c r="AC1132" i="2"/>
  <c r="X1132" i="2"/>
  <c r="Y1132" i="2" s="1"/>
  <c r="W1132" i="2"/>
  <c r="V1132" i="2"/>
  <c r="AE1131" i="2"/>
  <c r="AD1131" i="2"/>
  <c r="AC1131" i="2"/>
  <c r="X1131" i="2"/>
  <c r="Y1131" i="2" s="1"/>
  <c r="W1131" i="2"/>
  <c r="V1131" i="2"/>
  <c r="AE1130" i="2"/>
  <c r="AD1130" i="2"/>
  <c r="AC1130" i="2"/>
  <c r="X1130" i="2"/>
  <c r="Y1130" i="2" s="1"/>
  <c r="W1130" i="2"/>
  <c r="V1130" i="2"/>
  <c r="AE1129" i="2"/>
  <c r="AD1129" i="2"/>
  <c r="AC1129" i="2"/>
  <c r="X1129" i="2"/>
  <c r="Y1129" i="2" s="1"/>
  <c r="W1129" i="2"/>
  <c r="V1129" i="2"/>
  <c r="AE1128" i="2"/>
  <c r="AD1128" i="2"/>
  <c r="AC1128" i="2"/>
  <c r="X1128" i="2"/>
  <c r="Y1128" i="2" s="1"/>
  <c r="W1128" i="2"/>
  <c r="V1128" i="2"/>
  <c r="AE1127" i="2"/>
  <c r="AD1127" i="2"/>
  <c r="AC1127" i="2"/>
  <c r="X1127" i="2"/>
  <c r="Y1127" i="2" s="1"/>
  <c r="W1127" i="2"/>
  <c r="V1127" i="2"/>
  <c r="Z1127" i="2" s="1"/>
  <c r="AE1126" i="2"/>
  <c r="AD1126" i="2"/>
  <c r="AC1126" i="2"/>
  <c r="X1126" i="2"/>
  <c r="Y1126" i="2" s="1"/>
  <c r="W1126" i="2"/>
  <c r="V1126" i="2"/>
  <c r="AE1125" i="2"/>
  <c r="AD1125" i="2"/>
  <c r="AC1125" i="2"/>
  <c r="X1125" i="2"/>
  <c r="Y1125" i="2" s="1"/>
  <c r="W1125" i="2"/>
  <c r="V1125" i="2"/>
  <c r="AE1124" i="2"/>
  <c r="AD1124" i="2"/>
  <c r="AC1124" i="2"/>
  <c r="X1124" i="2"/>
  <c r="Y1124" i="2" s="1"/>
  <c r="W1124" i="2"/>
  <c r="V1124" i="2"/>
  <c r="AE1123" i="2"/>
  <c r="AD1123" i="2"/>
  <c r="AC1123" i="2"/>
  <c r="X1123" i="2"/>
  <c r="Y1123" i="2" s="1"/>
  <c r="W1123" i="2"/>
  <c r="V1123" i="2"/>
  <c r="Z1123" i="2" s="1"/>
  <c r="AE1122" i="2"/>
  <c r="AD1122" i="2"/>
  <c r="AC1122" i="2"/>
  <c r="X1122" i="2"/>
  <c r="Y1122" i="2" s="1"/>
  <c r="W1122" i="2"/>
  <c r="V1122" i="2"/>
  <c r="AE1121" i="2"/>
  <c r="AD1121" i="2"/>
  <c r="AC1121" i="2"/>
  <c r="X1121" i="2"/>
  <c r="Y1121" i="2" s="1"/>
  <c r="W1121" i="2"/>
  <c r="V1121" i="2"/>
  <c r="AB1121" i="2" s="1"/>
  <c r="AE1120" i="2"/>
  <c r="AD1120" i="2"/>
  <c r="AC1120" i="2"/>
  <c r="X1120" i="2"/>
  <c r="Y1120" i="2" s="1"/>
  <c r="W1120" i="2"/>
  <c r="V1120" i="2"/>
  <c r="AE1119" i="2"/>
  <c r="AD1119" i="2"/>
  <c r="AC1119" i="2"/>
  <c r="X1119" i="2"/>
  <c r="Y1119" i="2" s="1"/>
  <c r="W1119" i="2"/>
  <c r="V1119" i="2"/>
  <c r="Z1119" i="2" s="1"/>
  <c r="AE1118" i="2"/>
  <c r="AD1118" i="2"/>
  <c r="AC1118" i="2"/>
  <c r="X1118" i="2"/>
  <c r="Y1118" i="2" s="1"/>
  <c r="W1118" i="2"/>
  <c r="V1118" i="2"/>
  <c r="AE1117" i="2"/>
  <c r="AD1117" i="2"/>
  <c r="AC1117" i="2"/>
  <c r="X1117" i="2"/>
  <c r="Y1117" i="2" s="1"/>
  <c r="W1117" i="2"/>
  <c r="V1117" i="2"/>
  <c r="AB1117" i="2" s="1"/>
  <c r="AE1116" i="2"/>
  <c r="AD1116" i="2"/>
  <c r="AC1116" i="2"/>
  <c r="X1116" i="2"/>
  <c r="Y1116" i="2" s="1"/>
  <c r="W1116" i="2"/>
  <c r="V1116" i="2"/>
  <c r="AE1115" i="2"/>
  <c r="AD1115" i="2"/>
  <c r="AC1115" i="2"/>
  <c r="X1115" i="2"/>
  <c r="Y1115" i="2" s="1"/>
  <c r="W1115" i="2"/>
  <c r="V1115" i="2"/>
  <c r="AB1115" i="2" s="1"/>
  <c r="AE1114" i="2"/>
  <c r="AD1114" i="2"/>
  <c r="AC1114" i="2"/>
  <c r="X1114" i="2"/>
  <c r="Y1114" i="2" s="1"/>
  <c r="W1114" i="2"/>
  <c r="V1114" i="2"/>
  <c r="AE1113" i="2"/>
  <c r="AD1113" i="2"/>
  <c r="AC1113" i="2"/>
  <c r="X1113" i="2"/>
  <c r="Y1113" i="2" s="1"/>
  <c r="W1113" i="2"/>
  <c r="V1113" i="2"/>
  <c r="AB1113" i="2" s="1"/>
  <c r="AE1112" i="2"/>
  <c r="AD1112" i="2"/>
  <c r="AC1112" i="2"/>
  <c r="X1112" i="2"/>
  <c r="Y1112" i="2" s="1"/>
  <c r="W1112" i="2"/>
  <c r="V1112" i="2"/>
  <c r="AE1111" i="2"/>
  <c r="AD1111" i="2"/>
  <c r="AC1111" i="2"/>
  <c r="X1111" i="2"/>
  <c r="Y1111" i="2" s="1"/>
  <c r="W1111" i="2"/>
  <c r="V1111" i="2"/>
  <c r="Z1111" i="2" s="1"/>
  <c r="AE1110" i="2"/>
  <c r="AD1110" i="2"/>
  <c r="AC1110" i="2"/>
  <c r="X1110" i="2"/>
  <c r="Y1110" i="2" s="1"/>
  <c r="W1110" i="2"/>
  <c r="V1110" i="2"/>
  <c r="AE1109" i="2"/>
  <c r="AD1109" i="2"/>
  <c r="AC1109" i="2"/>
  <c r="X1109" i="2"/>
  <c r="Y1109" i="2" s="1"/>
  <c r="W1109" i="2"/>
  <c r="V1109" i="2"/>
  <c r="AB1109" i="2" s="1"/>
  <c r="AE1108" i="2"/>
  <c r="AD1108" i="2"/>
  <c r="AC1108" i="2"/>
  <c r="X1108" i="2"/>
  <c r="Y1108" i="2" s="1"/>
  <c r="W1108" i="2"/>
  <c r="V1108" i="2"/>
  <c r="AE1107" i="2"/>
  <c r="AD1107" i="2"/>
  <c r="AC1107" i="2"/>
  <c r="X1107" i="2"/>
  <c r="Y1107" i="2" s="1"/>
  <c r="W1107" i="2"/>
  <c r="V1107" i="2"/>
  <c r="AE1106" i="2"/>
  <c r="AD1106" i="2"/>
  <c r="AC1106" i="2"/>
  <c r="X1106" i="2"/>
  <c r="Y1106" i="2" s="1"/>
  <c r="W1106" i="2"/>
  <c r="V1106" i="2"/>
  <c r="AE1105" i="2"/>
  <c r="AD1105" i="2"/>
  <c r="AC1105" i="2"/>
  <c r="X1105" i="2"/>
  <c r="Y1105" i="2" s="1"/>
  <c r="W1105" i="2"/>
  <c r="V1105" i="2"/>
  <c r="AB1105" i="2" s="1"/>
  <c r="AE1104" i="2"/>
  <c r="AD1104" i="2"/>
  <c r="AC1104" i="2"/>
  <c r="X1104" i="2"/>
  <c r="Y1104" i="2" s="1"/>
  <c r="W1104" i="2"/>
  <c r="V1104" i="2"/>
  <c r="AE1103" i="2"/>
  <c r="AD1103" i="2"/>
  <c r="AC1103" i="2"/>
  <c r="X1103" i="2"/>
  <c r="Y1103" i="2" s="1"/>
  <c r="W1103" i="2"/>
  <c r="V1103" i="2"/>
  <c r="Z1103" i="2" s="1"/>
  <c r="AE1102" i="2"/>
  <c r="AD1102" i="2"/>
  <c r="AC1102" i="2"/>
  <c r="X1102" i="2"/>
  <c r="Y1102" i="2" s="1"/>
  <c r="W1102" i="2"/>
  <c r="V1102" i="2"/>
  <c r="AE1101" i="2"/>
  <c r="AD1101" i="2"/>
  <c r="AC1101" i="2"/>
  <c r="X1101" i="2"/>
  <c r="Y1101" i="2" s="1"/>
  <c r="W1101" i="2"/>
  <c r="V1101" i="2"/>
  <c r="AB1101" i="2" s="1"/>
  <c r="AE1100" i="2"/>
  <c r="AD1100" i="2"/>
  <c r="AC1100" i="2"/>
  <c r="X1100" i="2"/>
  <c r="Y1100" i="2" s="1"/>
  <c r="W1100" i="2"/>
  <c r="V1100" i="2"/>
  <c r="AE1099" i="2"/>
  <c r="AD1099" i="2"/>
  <c r="AC1099" i="2"/>
  <c r="X1099" i="2"/>
  <c r="Y1099" i="2" s="1"/>
  <c r="W1099" i="2"/>
  <c r="V1099" i="2"/>
  <c r="AB1099" i="2" s="1"/>
  <c r="AE1098" i="2"/>
  <c r="AD1098" i="2"/>
  <c r="AC1098" i="2"/>
  <c r="X1098" i="2"/>
  <c r="Y1098" i="2" s="1"/>
  <c r="W1098" i="2"/>
  <c r="V1098" i="2"/>
  <c r="AE1097" i="2"/>
  <c r="AD1097" i="2"/>
  <c r="AC1097" i="2"/>
  <c r="X1097" i="2"/>
  <c r="Y1097" i="2" s="1"/>
  <c r="W1097" i="2"/>
  <c r="V1097" i="2"/>
  <c r="AE1096" i="2"/>
  <c r="AD1096" i="2"/>
  <c r="AC1096" i="2"/>
  <c r="X1096" i="2"/>
  <c r="Y1096" i="2" s="1"/>
  <c r="W1096" i="2"/>
  <c r="V1096" i="2"/>
  <c r="AE1095" i="2"/>
  <c r="AD1095" i="2"/>
  <c r="AC1095" i="2"/>
  <c r="X1095" i="2"/>
  <c r="Y1095" i="2" s="1"/>
  <c r="W1095" i="2"/>
  <c r="V1095" i="2"/>
  <c r="Z1095" i="2" s="1"/>
  <c r="AE1094" i="2"/>
  <c r="AD1094" i="2"/>
  <c r="AC1094" i="2"/>
  <c r="X1094" i="2"/>
  <c r="Y1094" i="2" s="1"/>
  <c r="W1094" i="2"/>
  <c r="V1094" i="2"/>
  <c r="AE1093" i="2"/>
  <c r="AD1093" i="2"/>
  <c r="AC1093" i="2"/>
  <c r="X1093" i="2"/>
  <c r="Y1093" i="2" s="1"/>
  <c r="W1093" i="2"/>
  <c r="V1093" i="2"/>
  <c r="AE1092" i="2"/>
  <c r="AD1092" i="2"/>
  <c r="AC1092" i="2"/>
  <c r="X1092" i="2"/>
  <c r="Y1092" i="2" s="1"/>
  <c r="W1092" i="2"/>
  <c r="V1092" i="2"/>
  <c r="AE1091" i="2"/>
  <c r="AD1091" i="2"/>
  <c r="AC1091" i="2"/>
  <c r="X1091" i="2"/>
  <c r="Y1091" i="2" s="1"/>
  <c r="W1091" i="2"/>
  <c r="V1091" i="2"/>
  <c r="Z1091" i="2" s="1"/>
  <c r="AE1090" i="2"/>
  <c r="AD1090" i="2"/>
  <c r="AC1090" i="2"/>
  <c r="X1090" i="2"/>
  <c r="Y1090" i="2" s="1"/>
  <c r="W1090" i="2"/>
  <c r="V1090" i="2"/>
  <c r="AE1089" i="2"/>
  <c r="AD1089" i="2"/>
  <c r="AC1089" i="2"/>
  <c r="X1089" i="2"/>
  <c r="Y1089" i="2" s="1"/>
  <c r="W1089" i="2"/>
  <c r="V1089" i="2"/>
  <c r="AE1088" i="2"/>
  <c r="AD1088" i="2"/>
  <c r="AC1088" i="2"/>
  <c r="X1088" i="2"/>
  <c r="Y1088" i="2" s="1"/>
  <c r="W1088" i="2"/>
  <c r="V1088" i="2"/>
  <c r="AE1087" i="2"/>
  <c r="AD1087" i="2"/>
  <c r="AC1087" i="2"/>
  <c r="X1087" i="2"/>
  <c r="Y1087" i="2" s="1"/>
  <c r="W1087" i="2"/>
  <c r="V1087" i="2"/>
  <c r="Z1087" i="2" s="1"/>
  <c r="AE1086" i="2"/>
  <c r="AD1086" i="2"/>
  <c r="AC1086" i="2"/>
  <c r="X1086" i="2"/>
  <c r="Y1086" i="2" s="1"/>
  <c r="W1086" i="2"/>
  <c r="V1086" i="2"/>
  <c r="AE1085" i="2"/>
  <c r="AD1085" i="2"/>
  <c r="AC1085" i="2"/>
  <c r="X1085" i="2"/>
  <c r="Y1085" i="2" s="1"/>
  <c r="W1085" i="2"/>
  <c r="V1085" i="2"/>
  <c r="AB1085" i="2" s="1"/>
  <c r="AE1084" i="2"/>
  <c r="AD1084" i="2"/>
  <c r="AC1084" i="2"/>
  <c r="X1084" i="2"/>
  <c r="Y1084" i="2" s="1"/>
  <c r="W1084" i="2"/>
  <c r="V1084" i="2"/>
  <c r="AE1083" i="2"/>
  <c r="AD1083" i="2"/>
  <c r="AC1083" i="2"/>
  <c r="X1083" i="2"/>
  <c r="Y1083" i="2" s="1"/>
  <c r="W1083" i="2"/>
  <c r="V1083" i="2"/>
  <c r="AB1083" i="2" s="1"/>
  <c r="AE1082" i="2"/>
  <c r="AD1082" i="2"/>
  <c r="AC1082" i="2"/>
  <c r="X1082" i="2"/>
  <c r="Y1082" i="2" s="1"/>
  <c r="W1082" i="2"/>
  <c r="V1082" i="2"/>
  <c r="AE1081" i="2"/>
  <c r="AD1081" i="2"/>
  <c r="AC1081" i="2"/>
  <c r="X1081" i="2"/>
  <c r="Y1081" i="2" s="1"/>
  <c r="W1081" i="2"/>
  <c r="V1081" i="2"/>
  <c r="AE1080" i="2"/>
  <c r="AD1080" i="2"/>
  <c r="AC1080" i="2"/>
  <c r="X1080" i="2"/>
  <c r="Y1080" i="2" s="1"/>
  <c r="W1080" i="2"/>
  <c r="V1080" i="2"/>
  <c r="AE1079" i="2"/>
  <c r="AD1079" i="2"/>
  <c r="AC1079" i="2"/>
  <c r="X1079" i="2"/>
  <c r="Y1079" i="2" s="1"/>
  <c r="W1079" i="2"/>
  <c r="V1079" i="2"/>
  <c r="Z1079" i="2" s="1"/>
  <c r="AE1078" i="2"/>
  <c r="AD1078" i="2"/>
  <c r="AC1078" i="2"/>
  <c r="X1078" i="2"/>
  <c r="Y1078" i="2" s="1"/>
  <c r="W1078" i="2"/>
  <c r="V1078" i="2"/>
  <c r="AE1077" i="2"/>
  <c r="AD1077" i="2"/>
  <c r="AC1077" i="2"/>
  <c r="X1077" i="2"/>
  <c r="Y1077" i="2" s="1"/>
  <c r="W1077" i="2"/>
  <c r="V1077" i="2"/>
  <c r="Z1077" i="2" s="1"/>
  <c r="AE1076" i="2"/>
  <c r="AD1076" i="2"/>
  <c r="AC1076" i="2"/>
  <c r="X1076" i="2"/>
  <c r="Y1076" i="2" s="1"/>
  <c r="W1076" i="2"/>
  <c r="V1076" i="2"/>
  <c r="AE1075" i="2"/>
  <c r="AD1075" i="2"/>
  <c r="AC1075" i="2"/>
  <c r="X1075" i="2"/>
  <c r="Y1075" i="2" s="1"/>
  <c r="W1075" i="2"/>
  <c r="V1075" i="2"/>
  <c r="AB1075" i="2" s="1"/>
  <c r="AE1074" i="2"/>
  <c r="AD1074" i="2"/>
  <c r="AC1074" i="2"/>
  <c r="X1074" i="2"/>
  <c r="Y1074" i="2" s="1"/>
  <c r="W1074" i="2"/>
  <c r="V1074" i="2"/>
  <c r="AE1073" i="2"/>
  <c r="AD1073" i="2"/>
  <c r="AC1073" i="2"/>
  <c r="X1073" i="2"/>
  <c r="Y1073" i="2" s="1"/>
  <c r="W1073" i="2"/>
  <c r="V1073" i="2"/>
  <c r="Z1073" i="2" s="1"/>
  <c r="AE1072" i="2"/>
  <c r="AD1072" i="2"/>
  <c r="AC1072" i="2"/>
  <c r="X1072" i="2"/>
  <c r="Y1072" i="2" s="1"/>
  <c r="W1072" i="2"/>
  <c r="V1072" i="2"/>
  <c r="AE1071" i="2"/>
  <c r="AD1071" i="2"/>
  <c r="AC1071" i="2"/>
  <c r="X1071" i="2"/>
  <c r="Y1071" i="2" s="1"/>
  <c r="W1071" i="2"/>
  <c r="V1071" i="2"/>
  <c r="AB1071" i="2" s="1"/>
  <c r="AE1070" i="2"/>
  <c r="AD1070" i="2"/>
  <c r="AC1070" i="2"/>
  <c r="X1070" i="2"/>
  <c r="Y1070" i="2" s="1"/>
  <c r="W1070" i="2"/>
  <c r="V1070" i="2"/>
  <c r="AE1069" i="2"/>
  <c r="AD1069" i="2"/>
  <c r="AC1069" i="2"/>
  <c r="X1069" i="2"/>
  <c r="Y1069" i="2" s="1"/>
  <c r="W1069" i="2"/>
  <c r="V1069" i="2"/>
  <c r="Z1069" i="2" s="1"/>
  <c r="AE1068" i="2"/>
  <c r="AD1068" i="2"/>
  <c r="AC1068" i="2"/>
  <c r="X1068" i="2"/>
  <c r="Y1068" i="2" s="1"/>
  <c r="W1068" i="2"/>
  <c r="V1068" i="2"/>
  <c r="AE1067" i="2"/>
  <c r="AD1067" i="2"/>
  <c r="AC1067" i="2"/>
  <c r="X1067" i="2"/>
  <c r="Y1067" i="2" s="1"/>
  <c r="W1067" i="2"/>
  <c r="V1067" i="2"/>
  <c r="AE1066" i="2"/>
  <c r="AD1066" i="2"/>
  <c r="AC1066" i="2"/>
  <c r="X1066" i="2"/>
  <c r="Y1066" i="2" s="1"/>
  <c r="W1066" i="2"/>
  <c r="V1066" i="2"/>
  <c r="AE1065" i="2"/>
  <c r="AD1065" i="2"/>
  <c r="AC1065" i="2"/>
  <c r="X1065" i="2"/>
  <c r="Y1065" i="2" s="1"/>
  <c r="W1065" i="2"/>
  <c r="V1065" i="2"/>
  <c r="AE1064" i="2"/>
  <c r="AD1064" i="2"/>
  <c r="AC1064" i="2"/>
  <c r="X1064" i="2"/>
  <c r="Y1064" i="2" s="1"/>
  <c r="W1064" i="2"/>
  <c r="V1064" i="2"/>
  <c r="AE1063" i="2"/>
  <c r="AD1063" i="2"/>
  <c r="AC1063" i="2"/>
  <c r="X1063" i="2"/>
  <c r="Y1063" i="2" s="1"/>
  <c r="W1063" i="2"/>
  <c r="V1063" i="2"/>
  <c r="AE1062" i="2"/>
  <c r="AD1062" i="2"/>
  <c r="AC1062" i="2"/>
  <c r="X1062" i="2"/>
  <c r="Y1062" i="2" s="1"/>
  <c r="W1062" i="2"/>
  <c r="V1062" i="2"/>
  <c r="AE1061" i="2"/>
  <c r="AD1061" i="2"/>
  <c r="AC1061" i="2"/>
  <c r="X1061" i="2"/>
  <c r="Y1061" i="2" s="1"/>
  <c r="W1061" i="2"/>
  <c r="V1061" i="2"/>
  <c r="Z1061" i="2" s="1"/>
  <c r="AE1060" i="2"/>
  <c r="AD1060" i="2"/>
  <c r="AC1060" i="2"/>
  <c r="X1060" i="2"/>
  <c r="Y1060" i="2" s="1"/>
  <c r="W1060" i="2"/>
  <c r="V1060" i="2"/>
  <c r="AE1059" i="2"/>
  <c r="AD1059" i="2"/>
  <c r="AC1059" i="2"/>
  <c r="X1059" i="2"/>
  <c r="Y1059" i="2" s="1"/>
  <c r="W1059" i="2"/>
  <c r="V1059" i="2"/>
  <c r="AE1058" i="2"/>
  <c r="AD1058" i="2"/>
  <c r="AC1058" i="2"/>
  <c r="X1058" i="2"/>
  <c r="Y1058" i="2" s="1"/>
  <c r="W1058" i="2"/>
  <c r="V1058" i="2"/>
  <c r="AE1057" i="2"/>
  <c r="AD1057" i="2"/>
  <c r="AC1057" i="2"/>
  <c r="X1057" i="2"/>
  <c r="Y1057" i="2" s="1"/>
  <c r="W1057" i="2"/>
  <c r="V1057" i="2"/>
  <c r="Z1057" i="2" s="1"/>
  <c r="AE1056" i="2"/>
  <c r="AD1056" i="2"/>
  <c r="AC1056" i="2"/>
  <c r="X1056" i="2"/>
  <c r="Y1056" i="2" s="1"/>
  <c r="W1056" i="2"/>
  <c r="V1056" i="2"/>
  <c r="AE1055" i="2"/>
  <c r="AD1055" i="2"/>
  <c r="AC1055" i="2"/>
  <c r="X1055" i="2"/>
  <c r="Y1055" i="2" s="1"/>
  <c r="W1055" i="2"/>
  <c r="V1055" i="2"/>
  <c r="AE1054" i="2"/>
  <c r="AD1054" i="2"/>
  <c r="AC1054" i="2"/>
  <c r="X1054" i="2"/>
  <c r="Y1054" i="2" s="1"/>
  <c r="W1054" i="2"/>
  <c r="V1054" i="2"/>
  <c r="AE1053" i="2"/>
  <c r="AD1053" i="2"/>
  <c r="AC1053" i="2"/>
  <c r="X1053" i="2"/>
  <c r="Y1053" i="2" s="1"/>
  <c r="W1053" i="2"/>
  <c r="V1053" i="2"/>
  <c r="Z1053" i="2" s="1"/>
  <c r="AE1052" i="2"/>
  <c r="AD1052" i="2"/>
  <c r="AC1052" i="2"/>
  <c r="X1052" i="2"/>
  <c r="Y1052" i="2" s="1"/>
  <c r="W1052" i="2"/>
  <c r="V1052" i="2"/>
  <c r="AE1051" i="2"/>
  <c r="AD1051" i="2"/>
  <c r="AC1051" i="2"/>
  <c r="X1051" i="2"/>
  <c r="Y1051" i="2" s="1"/>
  <c r="W1051" i="2"/>
  <c r="V1051" i="2"/>
  <c r="AB1051" i="2" s="1"/>
  <c r="AE1050" i="2"/>
  <c r="AD1050" i="2"/>
  <c r="AC1050" i="2"/>
  <c r="X1050" i="2"/>
  <c r="Y1050" i="2" s="1"/>
  <c r="W1050" i="2"/>
  <c r="V1050" i="2"/>
  <c r="AE1049" i="2"/>
  <c r="AD1049" i="2"/>
  <c r="AC1049" i="2"/>
  <c r="X1049" i="2"/>
  <c r="Y1049" i="2" s="1"/>
  <c r="W1049" i="2"/>
  <c r="V1049" i="2"/>
  <c r="AB1049" i="2" s="1"/>
  <c r="AE1048" i="2"/>
  <c r="AD1048" i="2"/>
  <c r="AC1048" i="2"/>
  <c r="X1048" i="2"/>
  <c r="Y1048" i="2" s="1"/>
  <c r="W1048" i="2"/>
  <c r="V1048" i="2"/>
  <c r="AE1047" i="2"/>
  <c r="AD1047" i="2"/>
  <c r="AC1047" i="2"/>
  <c r="X1047" i="2"/>
  <c r="Y1047" i="2" s="1"/>
  <c r="W1047" i="2"/>
  <c r="V1047" i="2"/>
  <c r="AE1046" i="2"/>
  <c r="AD1046" i="2"/>
  <c r="AC1046" i="2"/>
  <c r="X1046" i="2"/>
  <c r="Y1046" i="2" s="1"/>
  <c r="W1046" i="2"/>
  <c r="V1046" i="2"/>
  <c r="AE1045" i="2"/>
  <c r="AD1045" i="2"/>
  <c r="AC1045" i="2"/>
  <c r="X1045" i="2"/>
  <c r="Y1045" i="2" s="1"/>
  <c r="W1045" i="2"/>
  <c r="V1045" i="2"/>
  <c r="AE1044" i="2"/>
  <c r="AD1044" i="2"/>
  <c r="AC1044" i="2"/>
  <c r="X1044" i="2"/>
  <c r="Y1044" i="2" s="1"/>
  <c r="W1044" i="2"/>
  <c r="V1044" i="2"/>
  <c r="AE1043" i="2"/>
  <c r="AD1043" i="2"/>
  <c r="AC1043" i="2"/>
  <c r="X1043" i="2"/>
  <c r="Y1043" i="2" s="1"/>
  <c r="W1043" i="2"/>
  <c r="V1043" i="2"/>
  <c r="AB1043" i="2" s="1"/>
  <c r="AE1042" i="2"/>
  <c r="AD1042" i="2"/>
  <c r="AC1042" i="2"/>
  <c r="X1042" i="2"/>
  <c r="Y1042" i="2" s="1"/>
  <c r="W1042" i="2"/>
  <c r="V1042" i="2"/>
  <c r="AE1041" i="2"/>
  <c r="AD1041" i="2"/>
  <c r="AC1041" i="2"/>
  <c r="X1041" i="2"/>
  <c r="Y1041" i="2" s="1"/>
  <c r="W1041" i="2"/>
  <c r="V1041" i="2"/>
  <c r="Z1041" i="2" s="1"/>
  <c r="AE1040" i="2"/>
  <c r="AD1040" i="2"/>
  <c r="AC1040" i="2"/>
  <c r="X1040" i="2"/>
  <c r="Y1040" i="2" s="1"/>
  <c r="W1040" i="2"/>
  <c r="V1040" i="2"/>
  <c r="AE1039" i="2"/>
  <c r="AD1039" i="2"/>
  <c r="AC1039" i="2"/>
  <c r="X1039" i="2"/>
  <c r="Y1039" i="2" s="1"/>
  <c r="W1039" i="2"/>
  <c r="V1039" i="2"/>
  <c r="AB1039" i="2" s="1"/>
  <c r="AE1038" i="2"/>
  <c r="AD1038" i="2"/>
  <c r="AC1038" i="2"/>
  <c r="X1038" i="2"/>
  <c r="Y1038" i="2" s="1"/>
  <c r="W1038" i="2"/>
  <c r="V1038" i="2"/>
  <c r="AE1037" i="2"/>
  <c r="AD1037" i="2"/>
  <c r="AC1037" i="2"/>
  <c r="X1037" i="2"/>
  <c r="Y1037" i="2" s="1"/>
  <c r="W1037" i="2"/>
  <c r="V1037" i="2"/>
  <c r="AE1036" i="2"/>
  <c r="AD1036" i="2"/>
  <c r="AC1036" i="2"/>
  <c r="X1036" i="2"/>
  <c r="Y1036" i="2" s="1"/>
  <c r="W1036" i="2"/>
  <c r="V1036" i="2"/>
  <c r="AE1035" i="2"/>
  <c r="AD1035" i="2"/>
  <c r="AC1035" i="2"/>
  <c r="X1035" i="2"/>
  <c r="Y1035" i="2" s="1"/>
  <c r="W1035" i="2"/>
  <c r="V1035" i="2"/>
  <c r="AB1035" i="2" s="1"/>
  <c r="AE1034" i="2"/>
  <c r="AD1034" i="2"/>
  <c r="AC1034" i="2"/>
  <c r="X1034" i="2"/>
  <c r="Y1034" i="2" s="1"/>
  <c r="W1034" i="2"/>
  <c r="V1034" i="2"/>
  <c r="AE1033" i="2"/>
  <c r="AD1033" i="2"/>
  <c r="AC1033" i="2"/>
  <c r="X1033" i="2"/>
  <c r="Y1033" i="2" s="1"/>
  <c r="W1033" i="2"/>
  <c r="V1033" i="2"/>
  <c r="Z1033" i="2" s="1"/>
  <c r="AE1032" i="2"/>
  <c r="AD1032" i="2"/>
  <c r="AC1032" i="2"/>
  <c r="X1032" i="2"/>
  <c r="Y1032" i="2" s="1"/>
  <c r="W1032" i="2"/>
  <c r="V1032" i="2"/>
  <c r="AE1031" i="2"/>
  <c r="AD1031" i="2"/>
  <c r="AC1031" i="2"/>
  <c r="X1031" i="2"/>
  <c r="Y1031" i="2" s="1"/>
  <c r="W1031" i="2"/>
  <c r="V1031" i="2"/>
  <c r="Z1031" i="2" s="1"/>
  <c r="AE1030" i="2"/>
  <c r="AD1030" i="2"/>
  <c r="AC1030" i="2"/>
  <c r="X1030" i="2"/>
  <c r="Y1030" i="2" s="1"/>
  <c r="W1030" i="2"/>
  <c r="V1030" i="2"/>
  <c r="AE1029" i="2"/>
  <c r="AD1029" i="2"/>
  <c r="AC1029" i="2"/>
  <c r="X1029" i="2"/>
  <c r="Y1029" i="2" s="1"/>
  <c r="W1029" i="2"/>
  <c r="V1029" i="2"/>
  <c r="Z1029" i="2" s="1"/>
  <c r="AE1028" i="2"/>
  <c r="AD1028" i="2"/>
  <c r="AC1028" i="2"/>
  <c r="X1028" i="2"/>
  <c r="Y1028" i="2" s="1"/>
  <c r="W1028" i="2"/>
  <c r="V1028" i="2"/>
  <c r="AE1027" i="2"/>
  <c r="AD1027" i="2"/>
  <c r="AC1027" i="2"/>
  <c r="X1027" i="2"/>
  <c r="Y1027" i="2" s="1"/>
  <c r="W1027" i="2"/>
  <c r="V1027" i="2"/>
  <c r="AE1026" i="2"/>
  <c r="AD1026" i="2"/>
  <c r="AC1026" i="2"/>
  <c r="X1026" i="2"/>
  <c r="Y1026" i="2" s="1"/>
  <c r="W1026" i="2"/>
  <c r="V1026" i="2"/>
  <c r="AE1025" i="2"/>
  <c r="AD1025" i="2"/>
  <c r="AC1025" i="2"/>
  <c r="X1025" i="2"/>
  <c r="Y1025" i="2" s="1"/>
  <c r="W1025" i="2"/>
  <c r="V1025" i="2"/>
  <c r="Z1025" i="2" s="1"/>
  <c r="AE1024" i="2"/>
  <c r="AD1024" i="2"/>
  <c r="AC1024" i="2"/>
  <c r="X1024" i="2"/>
  <c r="Y1024" i="2" s="1"/>
  <c r="W1024" i="2"/>
  <c r="V1024" i="2"/>
  <c r="AE1023" i="2"/>
  <c r="AD1023" i="2"/>
  <c r="AC1023" i="2"/>
  <c r="X1023" i="2"/>
  <c r="Y1023" i="2" s="1"/>
  <c r="W1023" i="2"/>
  <c r="V1023" i="2"/>
  <c r="Z1023" i="2" s="1"/>
  <c r="AE1022" i="2"/>
  <c r="AD1022" i="2"/>
  <c r="AC1022" i="2"/>
  <c r="X1022" i="2"/>
  <c r="Y1022" i="2" s="1"/>
  <c r="W1022" i="2"/>
  <c r="V1022" i="2"/>
  <c r="AE1021" i="2"/>
  <c r="AD1021" i="2"/>
  <c r="AC1021" i="2"/>
  <c r="X1021" i="2"/>
  <c r="Y1021" i="2" s="1"/>
  <c r="W1021" i="2"/>
  <c r="V1021" i="2"/>
  <c r="Z1021" i="2" s="1"/>
  <c r="AE1020" i="2"/>
  <c r="AD1020" i="2"/>
  <c r="AC1020" i="2"/>
  <c r="X1020" i="2"/>
  <c r="Y1020" i="2" s="1"/>
  <c r="W1020" i="2"/>
  <c r="V1020" i="2"/>
  <c r="AE1019" i="2"/>
  <c r="AD1019" i="2"/>
  <c r="AC1019" i="2"/>
  <c r="X1019" i="2"/>
  <c r="Y1019" i="2" s="1"/>
  <c r="W1019" i="2"/>
  <c r="V1019" i="2"/>
  <c r="AB1019" i="2" s="1"/>
  <c r="AE1018" i="2"/>
  <c r="AD1018" i="2"/>
  <c r="AC1018" i="2"/>
  <c r="X1018" i="2"/>
  <c r="Y1018" i="2" s="1"/>
  <c r="W1018" i="2"/>
  <c r="V1018" i="2"/>
  <c r="AE1017" i="2"/>
  <c r="AD1017" i="2"/>
  <c r="AC1017" i="2"/>
  <c r="X1017" i="2"/>
  <c r="Y1017" i="2" s="1"/>
  <c r="W1017" i="2"/>
  <c r="V1017" i="2"/>
  <c r="AB1017" i="2" s="1"/>
  <c r="AE1016" i="2"/>
  <c r="AD1016" i="2"/>
  <c r="AC1016" i="2"/>
  <c r="X1016" i="2"/>
  <c r="Y1016" i="2" s="1"/>
  <c r="W1016" i="2"/>
  <c r="V1016" i="2"/>
  <c r="AE1015" i="2"/>
  <c r="AD1015" i="2"/>
  <c r="AC1015" i="2"/>
  <c r="X1015" i="2"/>
  <c r="Y1015" i="2" s="1"/>
  <c r="W1015" i="2"/>
  <c r="V1015" i="2"/>
  <c r="AE1014" i="2"/>
  <c r="AD1014" i="2"/>
  <c r="AC1014" i="2"/>
  <c r="X1014" i="2"/>
  <c r="Y1014" i="2" s="1"/>
  <c r="W1014" i="2"/>
  <c r="V1014" i="2"/>
  <c r="AE1013" i="2"/>
  <c r="AD1013" i="2"/>
  <c r="AC1013" i="2"/>
  <c r="X1013" i="2"/>
  <c r="Y1013" i="2" s="1"/>
  <c r="W1013" i="2"/>
  <c r="V1013" i="2"/>
  <c r="Z1013" i="2" s="1"/>
  <c r="AE1012" i="2"/>
  <c r="AD1012" i="2"/>
  <c r="AC1012" i="2"/>
  <c r="X1012" i="2"/>
  <c r="Y1012" i="2" s="1"/>
  <c r="W1012" i="2"/>
  <c r="V1012" i="2"/>
  <c r="AE1011" i="2"/>
  <c r="AD1011" i="2"/>
  <c r="AC1011" i="2"/>
  <c r="X1011" i="2"/>
  <c r="Y1011" i="2" s="1"/>
  <c r="W1011" i="2"/>
  <c r="V1011" i="2"/>
  <c r="AB1011" i="2" s="1"/>
  <c r="AE1010" i="2"/>
  <c r="AD1010" i="2"/>
  <c r="AC1010" i="2"/>
  <c r="X1010" i="2"/>
  <c r="Y1010" i="2" s="1"/>
  <c r="W1010" i="2"/>
  <c r="V1010" i="2"/>
  <c r="AE1009" i="2"/>
  <c r="AD1009" i="2"/>
  <c r="AC1009" i="2"/>
  <c r="X1009" i="2"/>
  <c r="Y1009" i="2" s="1"/>
  <c r="W1009" i="2"/>
  <c r="V1009" i="2"/>
  <c r="AE1008" i="2"/>
  <c r="AD1008" i="2"/>
  <c r="AC1008" i="2"/>
  <c r="X1008" i="2"/>
  <c r="Y1008" i="2" s="1"/>
  <c r="W1008" i="2"/>
  <c r="V1008" i="2"/>
  <c r="AE1007" i="2"/>
  <c r="AD1007" i="2"/>
  <c r="AC1007" i="2"/>
  <c r="X1007" i="2"/>
  <c r="Y1007" i="2" s="1"/>
  <c r="W1007" i="2"/>
  <c r="V1007" i="2"/>
  <c r="AB1007" i="2" s="1"/>
  <c r="AE1006" i="2"/>
  <c r="AD1006" i="2"/>
  <c r="AC1006" i="2"/>
  <c r="X1006" i="2"/>
  <c r="Y1006" i="2" s="1"/>
  <c r="W1006" i="2"/>
  <c r="V1006" i="2"/>
  <c r="AE1005" i="2"/>
  <c r="AD1005" i="2"/>
  <c r="AC1005" i="2"/>
  <c r="X1005" i="2"/>
  <c r="Y1005" i="2" s="1"/>
  <c r="W1005" i="2"/>
  <c r="V1005" i="2"/>
  <c r="Z1005" i="2" s="1"/>
  <c r="AE1004" i="2"/>
  <c r="AD1004" i="2"/>
  <c r="AC1004" i="2"/>
  <c r="X1004" i="2"/>
  <c r="Y1004" i="2" s="1"/>
  <c r="W1004" i="2"/>
  <c r="V1004" i="2"/>
  <c r="AE1003" i="2"/>
  <c r="AD1003" i="2"/>
  <c r="AC1003" i="2"/>
  <c r="X1003" i="2"/>
  <c r="Y1003" i="2" s="1"/>
  <c r="W1003" i="2"/>
  <c r="V1003" i="2"/>
  <c r="AB1003" i="2" s="1"/>
  <c r="AE1002" i="2"/>
  <c r="AD1002" i="2"/>
  <c r="AC1002" i="2"/>
  <c r="X1002" i="2"/>
  <c r="Y1002" i="2" s="1"/>
  <c r="W1002" i="2"/>
  <c r="V1002" i="2"/>
  <c r="AE1001" i="2"/>
  <c r="AD1001" i="2"/>
  <c r="AC1001" i="2"/>
  <c r="X1001" i="2"/>
  <c r="Y1001" i="2" s="1"/>
  <c r="W1001" i="2"/>
  <c r="V1001" i="2"/>
  <c r="AE1000" i="2"/>
  <c r="AD1000" i="2"/>
  <c r="AC1000" i="2"/>
  <c r="X1000" i="2"/>
  <c r="Y1000" i="2" s="1"/>
  <c r="W1000" i="2"/>
  <c r="V1000" i="2"/>
  <c r="AE999" i="2"/>
  <c r="AD999" i="2"/>
  <c r="AC999" i="2"/>
  <c r="X999" i="2"/>
  <c r="Y999" i="2" s="1"/>
  <c r="W999" i="2"/>
  <c r="V999" i="2"/>
  <c r="Z999" i="2" s="1"/>
  <c r="AE998" i="2"/>
  <c r="AD998" i="2"/>
  <c r="AC998" i="2"/>
  <c r="X998" i="2"/>
  <c r="Y998" i="2" s="1"/>
  <c r="W998" i="2"/>
  <c r="V998" i="2"/>
  <c r="AE997" i="2"/>
  <c r="AD997" i="2"/>
  <c r="AC997" i="2"/>
  <c r="X997" i="2"/>
  <c r="Y997" i="2" s="1"/>
  <c r="W997" i="2"/>
  <c r="V997" i="2"/>
  <c r="AE996" i="2"/>
  <c r="AD996" i="2"/>
  <c r="AC996" i="2"/>
  <c r="X996" i="2"/>
  <c r="Y996" i="2" s="1"/>
  <c r="W996" i="2"/>
  <c r="V996" i="2"/>
  <c r="AE995" i="2"/>
  <c r="AD995" i="2"/>
  <c r="AC995" i="2"/>
  <c r="X995" i="2"/>
  <c r="Y995" i="2" s="1"/>
  <c r="W995" i="2"/>
  <c r="V995" i="2"/>
  <c r="AE994" i="2"/>
  <c r="AD994" i="2"/>
  <c r="AC994" i="2"/>
  <c r="X994" i="2"/>
  <c r="Y994" i="2" s="1"/>
  <c r="W994" i="2"/>
  <c r="V994" i="2"/>
  <c r="AE993" i="2"/>
  <c r="AD993" i="2"/>
  <c r="AC993" i="2"/>
  <c r="X993" i="2"/>
  <c r="Y993" i="2" s="1"/>
  <c r="W993" i="2"/>
  <c r="V993" i="2"/>
  <c r="Z993" i="2" s="1"/>
  <c r="AE992" i="2"/>
  <c r="AD992" i="2"/>
  <c r="AC992" i="2"/>
  <c r="X992" i="2"/>
  <c r="Y992" i="2" s="1"/>
  <c r="W992" i="2"/>
  <c r="V992" i="2"/>
  <c r="AB992" i="2" s="1"/>
  <c r="AE991" i="2"/>
  <c r="AD991" i="2"/>
  <c r="AC991" i="2"/>
  <c r="X991" i="2"/>
  <c r="Y991" i="2" s="1"/>
  <c r="W991" i="2"/>
  <c r="V991" i="2"/>
  <c r="AE990" i="2"/>
  <c r="AD990" i="2"/>
  <c r="AC990" i="2"/>
  <c r="X990" i="2"/>
  <c r="Y990" i="2" s="1"/>
  <c r="W990" i="2"/>
  <c r="V990" i="2"/>
  <c r="AB990" i="2" s="1"/>
  <c r="AE989" i="2"/>
  <c r="AD989" i="2"/>
  <c r="AC989" i="2"/>
  <c r="X989" i="2"/>
  <c r="Y989" i="2" s="1"/>
  <c r="W989" i="2"/>
  <c r="V989" i="2"/>
  <c r="AE988" i="2"/>
  <c r="AD988" i="2"/>
  <c r="AC988" i="2"/>
  <c r="X988" i="2"/>
  <c r="Y988" i="2" s="1"/>
  <c r="W988" i="2"/>
  <c r="V988" i="2"/>
  <c r="AB988" i="2" s="1"/>
  <c r="AE987" i="2"/>
  <c r="AD987" i="2"/>
  <c r="AC987" i="2"/>
  <c r="X987" i="2"/>
  <c r="Y987" i="2" s="1"/>
  <c r="W987" i="2"/>
  <c r="V987" i="2"/>
  <c r="AE986" i="2"/>
  <c r="AD986" i="2"/>
  <c r="AC986" i="2"/>
  <c r="X986" i="2"/>
  <c r="Y986" i="2" s="1"/>
  <c r="W986" i="2"/>
  <c r="V986" i="2"/>
  <c r="AB986" i="2" s="1"/>
  <c r="AE985" i="2"/>
  <c r="AD985" i="2"/>
  <c r="AC985" i="2"/>
  <c r="X985" i="2"/>
  <c r="Y985" i="2" s="1"/>
  <c r="W985" i="2"/>
  <c r="V985" i="2"/>
  <c r="Z985" i="2" s="1"/>
  <c r="AE984" i="2"/>
  <c r="AD984" i="2"/>
  <c r="AC984" i="2"/>
  <c r="X984" i="2"/>
  <c r="Y984" i="2" s="1"/>
  <c r="W984" i="2"/>
  <c r="V984" i="2"/>
  <c r="AB984" i="2" s="1"/>
  <c r="AE983" i="2"/>
  <c r="AD983" i="2"/>
  <c r="AC983" i="2"/>
  <c r="X983" i="2"/>
  <c r="Y983" i="2" s="1"/>
  <c r="W983" i="2"/>
  <c r="V983" i="2"/>
  <c r="AE982" i="2"/>
  <c r="AD982" i="2"/>
  <c r="AC982" i="2"/>
  <c r="X982" i="2"/>
  <c r="Y982" i="2" s="1"/>
  <c r="W982" i="2"/>
  <c r="V982" i="2"/>
  <c r="AB982" i="2" s="1"/>
  <c r="AE981" i="2"/>
  <c r="AD981" i="2"/>
  <c r="AC981" i="2"/>
  <c r="X981" i="2"/>
  <c r="Y981" i="2" s="1"/>
  <c r="W981" i="2"/>
  <c r="V981" i="2"/>
  <c r="Z981" i="2" s="1"/>
  <c r="AE980" i="2"/>
  <c r="AD980" i="2"/>
  <c r="AC980" i="2"/>
  <c r="X980" i="2"/>
  <c r="Y980" i="2" s="1"/>
  <c r="W980" i="2"/>
  <c r="V980" i="2"/>
  <c r="AB980" i="2" s="1"/>
  <c r="AE979" i="2"/>
  <c r="AD979" i="2"/>
  <c r="AC979" i="2"/>
  <c r="X979" i="2"/>
  <c r="Y979" i="2" s="1"/>
  <c r="W979" i="2"/>
  <c r="V979" i="2"/>
  <c r="AE978" i="2"/>
  <c r="AD978" i="2"/>
  <c r="AC978" i="2"/>
  <c r="X978" i="2"/>
  <c r="Y978" i="2" s="1"/>
  <c r="W978" i="2"/>
  <c r="V978" i="2"/>
  <c r="AB978" i="2" s="1"/>
  <c r="AE977" i="2"/>
  <c r="AD977" i="2"/>
  <c r="AC977" i="2"/>
  <c r="X977" i="2"/>
  <c r="Y977" i="2" s="1"/>
  <c r="W977" i="2"/>
  <c r="V977" i="2"/>
  <c r="Z977" i="2" s="1"/>
  <c r="AE976" i="2"/>
  <c r="AD976" i="2"/>
  <c r="AC976" i="2"/>
  <c r="X976" i="2"/>
  <c r="Y976" i="2" s="1"/>
  <c r="W976" i="2"/>
  <c r="V976" i="2"/>
  <c r="AB976" i="2" s="1"/>
  <c r="AE975" i="2"/>
  <c r="AD975" i="2"/>
  <c r="AC975" i="2"/>
  <c r="X975" i="2"/>
  <c r="Y975" i="2" s="1"/>
  <c r="W975" i="2"/>
  <c r="V975" i="2"/>
  <c r="AE974" i="2"/>
  <c r="AD974" i="2"/>
  <c r="AC974" i="2"/>
  <c r="X974" i="2"/>
  <c r="Y974" i="2" s="1"/>
  <c r="W974" i="2"/>
  <c r="V974" i="2"/>
  <c r="AB974" i="2" s="1"/>
  <c r="AE973" i="2"/>
  <c r="AD973" i="2"/>
  <c r="AC973" i="2"/>
  <c r="X973" i="2"/>
  <c r="Y973" i="2" s="1"/>
  <c r="W973" i="2"/>
  <c r="V973" i="2"/>
  <c r="Z973" i="2" s="1"/>
  <c r="AE972" i="2"/>
  <c r="AD972" i="2"/>
  <c r="AC972" i="2"/>
  <c r="X972" i="2"/>
  <c r="Y972" i="2" s="1"/>
  <c r="W972" i="2"/>
  <c r="V972" i="2"/>
  <c r="AB972" i="2" s="1"/>
  <c r="AE971" i="2"/>
  <c r="AD971" i="2"/>
  <c r="AC971" i="2"/>
  <c r="X971" i="2"/>
  <c r="Y971" i="2" s="1"/>
  <c r="W971" i="2"/>
  <c r="V971" i="2"/>
  <c r="AE970" i="2"/>
  <c r="AD970" i="2"/>
  <c r="AC970" i="2"/>
  <c r="X970" i="2"/>
  <c r="Y970" i="2" s="1"/>
  <c r="W970" i="2"/>
  <c r="V970" i="2"/>
  <c r="AB970" i="2" s="1"/>
  <c r="AE969" i="2"/>
  <c r="AD969" i="2"/>
  <c r="AC969" i="2"/>
  <c r="X969" i="2"/>
  <c r="Y969" i="2" s="1"/>
  <c r="W969" i="2"/>
  <c r="V969" i="2"/>
  <c r="Z969" i="2" s="1"/>
  <c r="AE968" i="2"/>
  <c r="AD968" i="2"/>
  <c r="AC968" i="2"/>
  <c r="X968" i="2"/>
  <c r="Y968" i="2" s="1"/>
  <c r="W968" i="2"/>
  <c r="V968" i="2"/>
  <c r="AB968" i="2" s="1"/>
  <c r="AE967" i="2"/>
  <c r="AD967" i="2"/>
  <c r="AC967" i="2"/>
  <c r="X967" i="2"/>
  <c r="Y967" i="2" s="1"/>
  <c r="W967" i="2"/>
  <c r="V967" i="2"/>
  <c r="AE966" i="2"/>
  <c r="AD966" i="2"/>
  <c r="AC966" i="2"/>
  <c r="X966" i="2"/>
  <c r="Y966" i="2" s="1"/>
  <c r="W966" i="2"/>
  <c r="V966" i="2"/>
  <c r="AB966" i="2" s="1"/>
  <c r="AE965" i="2"/>
  <c r="AD965" i="2"/>
  <c r="AC965" i="2"/>
  <c r="X965" i="2"/>
  <c r="Y965" i="2" s="1"/>
  <c r="W965" i="2"/>
  <c r="V965" i="2"/>
  <c r="AE964" i="2"/>
  <c r="AD964" i="2"/>
  <c r="AC964" i="2"/>
  <c r="X964" i="2"/>
  <c r="Y964" i="2" s="1"/>
  <c r="W964" i="2"/>
  <c r="V964" i="2"/>
  <c r="AB964" i="2" s="1"/>
  <c r="AE963" i="2"/>
  <c r="AD963" i="2"/>
  <c r="AC963" i="2"/>
  <c r="X963" i="2"/>
  <c r="Y963" i="2" s="1"/>
  <c r="W963" i="2"/>
  <c r="V963" i="2"/>
  <c r="AE962" i="2"/>
  <c r="AD962" i="2"/>
  <c r="AC962" i="2"/>
  <c r="X962" i="2"/>
  <c r="Y962" i="2" s="1"/>
  <c r="W962" i="2"/>
  <c r="V962" i="2"/>
  <c r="AB962" i="2" s="1"/>
  <c r="AE961" i="2"/>
  <c r="AD961" i="2"/>
  <c r="AC961" i="2"/>
  <c r="X961" i="2"/>
  <c r="Y961" i="2" s="1"/>
  <c r="W961" i="2"/>
  <c r="V961" i="2"/>
  <c r="Z961" i="2" s="1"/>
  <c r="AE960" i="2"/>
  <c r="AD960" i="2"/>
  <c r="AC960" i="2"/>
  <c r="X960" i="2"/>
  <c r="Y960" i="2" s="1"/>
  <c r="W960" i="2"/>
  <c r="V960" i="2"/>
  <c r="AB960" i="2" s="1"/>
  <c r="AE959" i="2"/>
  <c r="AD959" i="2"/>
  <c r="AC959" i="2"/>
  <c r="X959" i="2"/>
  <c r="Y959" i="2" s="1"/>
  <c r="W959" i="2"/>
  <c r="V959" i="2"/>
  <c r="AE958" i="2"/>
  <c r="AD958" i="2"/>
  <c r="AC958" i="2"/>
  <c r="X958" i="2"/>
  <c r="Y958" i="2" s="1"/>
  <c r="W958" i="2"/>
  <c r="V958" i="2"/>
  <c r="Z958" i="2" s="1"/>
  <c r="AE957" i="2"/>
  <c r="AD957" i="2"/>
  <c r="AC957" i="2"/>
  <c r="X957" i="2"/>
  <c r="Y957" i="2" s="1"/>
  <c r="W957" i="2"/>
  <c r="V957" i="2"/>
  <c r="Z957" i="2" s="1"/>
  <c r="AE956" i="2"/>
  <c r="AD956" i="2"/>
  <c r="AC956" i="2"/>
  <c r="X956" i="2"/>
  <c r="Y956" i="2" s="1"/>
  <c r="W956" i="2"/>
  <c r="V956" i="2"/>
  <c r="Z956" i="2" s="1"/>
  <c r="AE955" i="2"/>
  <c r="AD955" i="2"/>
  <c r="AC955" i="2"/>
  <c r="X955" i="2"/>
  <c r="Y955" i="2" s="1"/>
  <c r="W955" i="2"/>
  <c r="V955" i="2"/>
  <c r="AE954" i="2"/>
  <c r="AD954" i="2"/>
  <c r="AC954" i="2"/>
  <c r="X954" i="2"/>
  <c r="Y954" i="2" s="1"/>
  <c r="W954" i="2"/>
  <c r="V954" i="2"/>
  <c r="Z954" i="2" s="1"/>
  <c r="AE953" i="2"/>
  <c r="AD953" i="2"/>
  <c r="AC953" i="2"/>
  <c r="X953" i="2"/>
  <c r="Y953" i="2" s="1"/>
  <c r="W953" i="2"/>
  <c r="V953" i="2"/>
  <c r="Z953" i="2" s="1"/>
  <c r="AE952" i="2"/>
  <c r="AD952" i="2"/>
  <c r="AC952" i="2"/>
  <c r="X952" i="2"/>
  <c r="Y952" i="2" s="1"/>
  <c r="W952" i="2"/>
  <c r="V952" i="2"/>
  <c r="Z952" i="2" s="1"/>
  <c r="AE951" i="2"/>
  <c r="AD951" i="2"/>
  <c r="AC951" i="2"/>
  <c r="X951" i="2"/>
  <c r="Y951" i="2" s="1"/>
  <c r="W951" i="2"/>
  <c r="V951" i="2"/>
  <c r="Z951" i="2" s="1"/>
  <c r="AE950" i="2"/>
  <c r="AD950" i="2"/>
  <c r="AC950" i="2"/>
  <c r="X950" i="2"/>
  <c r="Y950" i="2" s="1"/>
  <c r="W950" i="2"/>
  <c r="V950" i="2"/>
  <c r="AE949" i="2"/>
  <c r="AD949" i="2"/>
  <c r="AC949" i="2"/>
  <c r="X949" i="2"/>
  <c r="Y949" i="2" s="1"/>
  <c r="W949" i="2"/>
  <c r="V949" i="2"/>
  <c r="Z949" i="2" s="1"/>
  <c r="AE948" i="2"/>
  <c r="AD948" i="2"/>
  <c r="AC948" i="2"/>
  <c r="X948" i="2"/>
  <c r="Y948" i="2" s="1"/>
  <c r="W948" i="2"/>
  <c r="V948" i="2"/>
  <c r="Z948" i="2" s="1"/>
  <c r="AE947" i="2"/>
  <c r="AD947" i="2"/>
  <c r="AC947" i="2"/>
  <c r="X947" i="2"/>
  <c r="Y947" i="2" s="1"/>
  <c r="W947" i="2"/>
  <c r="V947" i="2"/>
  <c r="AA947" i="2" s="1"/>
  <c r="AE946" i="2"/>
  <c r="AD946" i="2"/>
  <c r="AC946" i="2"/>
  <c r="X946" i="2"/>
  <c r="Y946" i="2" s="1"/>
  <c r="W946" i="2"/>
  <c r="V946" i="2"/>
  <c r="AE945" i="2"/>
  <c r="AD945" i="2"/>
  <c r="AC945" i="2"/>
  <c r="X945" i="2"/>
  <c r="Y945" i="2" s="1"/>
  <c r="W945" i="2"/>
  <c r="V945" i="2"/>
  <c r="Z945" i="2" s="1"/>
  <c r="AE944" i="2"/>
  <c r="AD944" i="2"/>
  <c r="AC944" i="2"/>
  <c r="X944" i="2"/>
  <c r="Y944" i="2" s="1"/>
  <c r="W944" i="2"/>
  <c r="V944" i="2"/>
  <c r="Z944" i="2" s="1"/>
  <c r="AE943" i="2"/>
  <c r="AD943" i="2"/>
  <c r="AC943" i="2"/>
  <c r="X943" i="2"/>
  <c r="Y943" i="2" s="1"/>
  <c r="W943" i="2"/>
  <c r="V943" i="2"/>
  <c r="Z943" i="2" s="1"/>
  <c r="AE942" i="2"/>
  <c r="AD942" i="2"/>
  <c r="AC942" i="2"/>
  <c r="X942" i="2"/>
  <c r="Y942" i="2" s="1"/>
  <c r="W942" i="2"/>
  <c r="V942" i="2"/>
  <c r="AE941" i="2"/>
  <c r="AD941" i="2"/>
  <c r="AC941" i="2"/>
  <c r="X941" i="2"/>
  <c r="Y941" i="2" s="1"/>
  <c r="W941" i="2"/>
  <c r="V941" i="2"/>
  <c r="AE940" i="2"/>
  <c r="AD940" i="2"/>
  <c r="AC940" i="2"/>
  <c r="X940" i="2"/>
  <c r="Y940" i="2" s="1"/>
  <c r="W940" i="2"/>
  <c r="V940" i="2"/>
  <c r="Z940" i="2" s="1"/>
  <c r="AE939" i="2"/>
  <c r="AD939" i="2"/>
  <c r="AC939" i="2"/>
  <c r="X939" i="2"/>
  <c r="Y939" i="2" s="1"/>
  <c r="W939" i="2"/>
  <c r="V939" i="2"/>
  <c r="AA939" i="2" s="1"/>
  <c r="AE938" i="2"/>
  <c r="AD938" i="2"/>
  <c r="AC938" i="2"/>
  <c r="X938" i="2"/>
  <c r="Y938" i="2" s="1"/>
  <c r="W938" i="2"/>
  <c r="V938" i="2"/>
  <c r="Z938" i="2" s="1"/>
  <c r="AE937" i="2"/>
  <c r="AD937" i="2"/>
  <c r="AC937" i="2"/>
  <c r="X937" i="2"/>
  <c r="Y937" i="2" s="1"/>
  <c r="W937" i="2"/>
  <c r="V937" i="2"/>
  <c r="Z937" i="2" s="1"/>
  <c r="AE936" i="2"/>
  <c r="AD936" i="2"/>
  <c r="AC936" i="2"/>
  <c r="X936" i="2"/>
  <c r="Y936" i="2" s="1"/>
  <c r="W936" i="2"/>
  <c r="V936" i="2"/>
  <c r="Z936" i="2" s="1"/>
  <c r="AE935" i="2"/>
  <c r="AD935" i="2"/>
  <c r="AC935" i="2"/>
  <c r="X935" i="2"/>
  <c r="Y935" i="2" s="1"/>
  <c r="W935" i="2"/>
  <c r="V935" i="2"/>
  <c r="AB935" i="2" s="1"/>
  <c r="AE934" i="2"/>
  <c r="AD934" i="2"/>
  <c r="AC934" i="2"/>
  <c r="X934" i="2"/>
  <c r="Y934" i="2" s="1"/>
  <c r="W934" i="2"/>
  <c r="V934" i="2"/>
  <c r="AE933" i="2"/>
  <c r="AD933" i="2"/>
  <c r="AC933" i="2"/>
  <c r="X933" i="2"/>
  <c r="Y933" i="2" s="1"/>
  <c r="W933" i="2"/>
  <c r="V933" i="2"/>
  <c r="Z933" i="2" s="1"/>
  <c r="AE932" i="2"/>
  <c r="AD932" i="2"/>
  <c r="AC932" i="2"/>
  <c r="X932" i="2"/>
  <c r="Y932" i="2" s="1"/>
  <c r="W932" i="2"/>
  <c r="V932" i="2"/>
  <c r="Z932" i="2" s="1"/>
  <c r="AE931" i="2"/>
  <c r="AD931" i="2"/>
  <c r="AC931" i="2"/>
  <c r="X931" i="2"/>
  <c r="Y931" i="2" s="1"/>
  <c r="W931" i="2"/>
  <c r="V931" i="2"/>
  <c r="AE930" i="2"/>
  <c r="AD930" i="2"/>
  <c r="AC930" i="2"/>
  <c r="X930" i="2"/>
  <c r="Y930" i="2" s="1"/>
  <c r="W930" i="2"/>
  <c r="V930" i="2"/>
  <c r="Z930" i="2" s="1"/>
  <c r="AE929" i="2"/>
  <c r="AD929" i="2"/>
  <c r="AC929" i="2"/>
  <c r="X929" i="2"/>
  <c r="Y929" i="2" s="1"/>
  <c r="W929" i="2"/>
  <c r="V929" i="2"/>
  <c r="AE928" i="2"/>
  <c r="AD928" i="2"/>
  <c r="AC928" i="2"/>
  <c r="X928" i="2"/>
  <c r="Y928" i="2" s="1"/>
  <c r="W928" i="2"/>
  <c r="V928" i="2"/>
  <c r="Z928" i="2" s="1"/>
  <c r="AE927" i="2"/>
  <c r="AD927" i="2"/>
  <c r="AC927" i="2"/>
  <c r="X927" i="2"/>
  <c r="Y927" i="2" s="1"/>
  <c r="W927" i="2"/>
  <c r="V927" i="2"/>
  <c r="Z927" i="2" s="1"/>
  <c r="AE926" i="2"/>
  <c r="AD926" i="2"/>
  <c r="AC926" i="2"/>
  <c r="X926" i="2"/>
  <c r="Y926" i="2" s="1"/>
  <c r="W926" i="2"/>
  <c r="V926" i="2"/>
  <c r="Z926" i="2" s="1"/>
  <c r="AE925" i="2"/>
  <c r="AD925" i="2"/>
  <c r="AC925" i="2"/>
  <c r="X925" i="2"/>
  <c r="Y925" i="2" s="1"/>
  <c r="W925" i="2"/>
  <c r="V925" i="2"/>
  <c r="Z925" i="2" s="1"/>
  <c r="AE924" i="2"/>
  <c r="AD924" i="2"/>
  <c r="AC924" i="2"/>
  <c r="X924" i="2"/>
  <c r="Y924" i="2" s="1"/>
  <c r="W924" i="2"/>
  <c r="V924" i="2"/>
  <c r="Z924" i="2" s="1"/>
  <c r="AE923" i="2"/>
  <c r="AD923" i="2"/>
  <c r="AC923" i="2"/>
  <c r="X923" i="2"/>
  <c r="Y923" i="2" s="1"/>
  <c r="W923" i="2"/>
  <c r="V923" i="2"/>
  <c r="AE922" i="2"/>
  <c r="AD922" i="2"/>
  <c r="AC922" i="2"/>
  <c r="X922" i="2"/>
  <c r="Y922" i="2" s="1"/>
  <c r="W922" i="2"/>
  <c r="V922" i="2"/>
  <c r="Z922" i="2" s="1"/>
  <c r="AE921" i="2"/>
  <c r="AD921" i="2"/>
  <c r="AC921" i="2"/>
  <c r="X921" i="2"/>
  <c r="Y921" i="2" s="1"/>
  <c r="W921" i="2"/>
  <c r="V921" i="2"/>
  <c r="Z921" i="2" s="1"/>
  <c r="AE920" i="2"/>
  <c r="AD920" i="2"/>
  <c r="AC920" i="2"/>
  <c r="X920" i="2"/>
  <c r="Y920" i="2" s="1"/>
  <c r="W920" i="2"/>
  <c r="V920" i="2"/>
  <c r="Z920" i="2" s="1"/>
  <c r="AE919" i="2"/>
  <c r="AD919" i="2"/>
  <c r="AC919" i="2"/>
  <c r="X919" i="2"/>
  <c r="Y919" i="2" s="1"/>
  <c r="W919" i="2"/>
  <c r="V919" i="2"/>
  <c r="AE918" i="2"/>
  <c r="AD918" i="2"/>
  <c r="AC918" i="2"/>
  <c r="X918" i="2"/>
  <c r="Y918" i="2" s="1"/>
  <c r="W918" i="2"/>
  <c r="V918" i="2"/>
  <c r="Z918" i="2" s="1"/>
  <c r="AE917" i="2"/>
  <c r="AD917" i="2"/>
  <c r="AC917" i="2"/>
  <c r="X917" i="2"/>
  <c r="Y917" i="2" s="1"/>
  <c r="W917" i="2"/>
  <c r="V917" i="2"/>
  <c r="Z917" i="2" s="1"/>
  <c r="AE916" i="2"/>
  <c r="AD916" i="2"/>
  <c r="AC916" i="2"/>
  <c r="X916" i="2"/>
  <c r="Y916" i="2" s="1"/>
  <c r="W916" i="2"/>
  <c r="V916" i="2"/>
  <c r="Z916" i="2" s="1"/>
  <c r="AE915" i="2"/>
  <c r="AD915" i="2"/>
  <c r="AC915" i="2"/>
  <c r="X915" i="2"/>
  <c r="Y915" i="2" s="1"/>
  <c r="W915" i="2"/>
  <c r="V915" i="2"/>
  <c r="AE914" i="2"/>
  <c r="AD914" i="2"/>
  <c r="AC914" i="2"/>
  <c r="X914" i="2"/>
  <c r="Y914" i="2" s="1"/>
  <c r="W914" i="2"/>
  <c r="V914" i="2"/>
  <c r="Z914" i="2" s="1"/>
  <c r="AE913" i="2"/>
  <c r="AD913" i="2"/>
  <c r="AC913" i="2"/>
  <c r="X913" i="2"/>
  <c r="Y913" i="2" s="1"/>
  <c r="W913" i="2"/>
  <c r="V913" i="2"/>
  <c r="Z913" i="2" s="1"/>
  <c r="AE912" i="2"/>
  <c r="AD912" i="2"/>
  <c r="AC912" i="2"/>
  <c r="X912" i="2"/>
  <c r="Y912" i="2" s="1"/>
  <c r="W912" i="2"/>
  <c r="V912" i="2"/>
  <c r="Z912" i="2" s="1"/>
  <c r="AE911" i="2"/>
  <c r="AD911" i="2"/>
  <c r="AC911" i="2"/>
  <c r="X911" i="2"/>
  <c r="Y911" i="2" s="1"/>
  <c r="W911" i="2"/>
  <c r="V911" i="2"/>
  <c r="AE910" i="2"/>
  <c r="AD910" i="2"/>
  <c r="AC910" i="2"/>
  <c r="X910" i="2"/>
  <c r="Y910" i="2" s="1"/>
  <c r="W910" i="2"/>
  <c r="V910" i="2"/>
  <c r="AE909" i="2"/>
  <c r="AD909" i="2"/>
  <c r="AC909" i="2"/>
  <c r="X909" i="2"/>
  <c r="Y909" i="2" s="1"/>
  <c r="W909" i="2"/>
  <c r="V909" i="2"/>
  <c r="Z909" i="2" s="1"/>
  <c r="AE908" i="2"/>
  <c r="AD908" i="2"/>
  <c r="AC908" i="2"/>
  <c r="X908" i="2"/>
  <c r="Y908" i="2" s="1"/>
  <c r="W908" i="2"/>
  <c r="V908" i="2"/>
  <c r="Z908" i="2" s="1"/>
  <c r="AE907" i="2"/>
  <c r="AD907" i="2"/>
  <c r="AC907" i="2"/>
  <c r="X907" i="2"/>
  <c r="Y907" i="2" s="1"/>
  <c r="W907" i="2"/>
  <c r="V907" i="2"/>
  <c r="AE906" i="2"/>
  <c r="AD906" i="2"/>
  <c r="AC906" i="2"/>
  <c r="X906" i="2"/>
  <c r="Y906" i="2" s="1"/>
  <c r="W906" i="2"/>
  <c r="V906" i="2"/>
  <c r="Z906" i="2" s="1"/>
  <c r="AE905" i="2"/>
  <c r="AD905" i="2"/>
  <c r="AC905" i="2"/>
  <c r="X905" i="2"/>
  <c r="Y905" i="2" s="1"/>
  <c r="W905" i="2"/>
  <c r="V905" i="2"/>
  <c r="Z905" i="2" s="1"/>
  <c r="AE904" i="2"/>
  <c r="AD904" i="2"/>
  <c r="AC904" i="2"/>
  <c r="X904" i="2"/>
  <c r="Y904" i="2" s="1"/>
  <c r="W904" i="2"/>
  <c r="V904" i="2"/>
  <c r="Z904" i="2" s="1"/>
  <c r="AE903" i="2"/>
  <c r="AD903" i="2"/>
  <c r="AC903" i="2"/>
  <c r="X903" i="2"/>
  <c r="Y903" i="2" s="1"/>
  <c r="W903" i="2"/>
  <c r="V903" i="2"/>
  <c r="AB903" i="2" s="1"/>
  <c r="AE902" i="2"/>
  <c r="AD902" i="2"/>
  <c r="AC902" i="2"/>
  <c r="X902" i="2"/>
  <c r="Y902" i="2" s="1"/>
  <c r="W902" i="2"/>
  <c r="V902" i="2"/>
  <c r="Z902" i="2" s="1"/>
  <c r="AE901" i="2"/>
  <c r="AD901" i="2"/>
  <c r="AC901" i="2"/>
  <c r="X901" i="2"/>
  <c r="Y901" i="2" s="1"/>
  <c r="W901" i="2"/>
  <c r="V901" i="2"/>
  <c r="Z901" i="2" s="1"/>
  <c r="AE900" i="2"/>
  <c r="AD900" i="2"/>
  <c r="AC900" i="2"/>
  <c r="X900" i="2"/>
  <c r="Y900" i="2" s="1"/>
  <c r="W900" i="2"/>
  <c r="V900" i="2"/>
  <c r="Z900" i="2" s="1"/>
  <c r="AE899" i="2"/>
  <c r="AD899" i="2"/>
  <c r="AC899" i="2"/>
  <c r="X899" i="2"/>
  <c r="Y899" i="2" s="1"/>
  <c r="W899" i="2"/>
  <c r="V899" i="2"/>
  <c r="AE898" i="2"/>
  <c r="AD898" i="2"/>
  <c r="AC898" i="2"/>
  <c r="X898" i="2"/>
  <c r="Y898" i="2" s="1"/>
  <c r="W898" i="2"/>
  <c r="V898" i="2"/>
  <c r="Z898" i="2" s="1"/>
  <c r="AE897" i="2"/>
  <c r="AD897" i="2"/>
  <c r="AC897" i="2"/>
  <c r="X897" i="2"/>
  <c r="Y897" i="2" s="1"/>
  <c r="W897" i="2"/>
  <c r="V897" i="2"/>
  <c r="AE896" i="2"/>
  <c r="AD896" i="2"/>
  <c r="AC896" i="2"/>
  <c r="X896" i="2"/>
  <c r="Y896" i="2" s="1"/>
  <c r="W896" i="2"/>
  <c r="V896" i="2"/>
  <c r="Z896" i="2" s="1"/>
  <c r="AE895" i="2"/>
  <c r="AD895" i="2"/>
  <c r="AC895" i="2"/>
  <c r="X895" i="2"/>
  <c r="Y895" i="2" s="1"/>
  <c r="W895" i="2"/>
  <c r="V895" i="2"/>
  <c r="AE894" i="2"/>
  <c r="AD894" i="2"/>
  <c r="AC894" i="2"/>
  <c r="X894" i="2"/>
  <c r="Y894" i="2" s="1"/>
  <c r="W894" i="2"/>
  <c r="V894" i="2"/>
  <c r="Z894" i="2" s="1"/>
  <c r="AE893" i="2"/>
  <c r="AD893" i="2"/>
  <c r="AC893" i="2"/>
  <c r="X893" i="2"/>
  <c r="Y893" i="2" s="1"/>
  <c r="W893" i="2"/>
  <c r="V893" i="2"/>
  <c r="AE892" i="2"/>
  <c r="AD892" i="2"/>
  <c r="AC892" i="2"/>
  <c r="X892" i="2"/>
  <c r="Y892" i="2" s="1"/>
  <c r="W892" i="2"/>
  <c r="V892" i="2"/>
  <c r="Z892" i="2" s="1"/>
  <c r="AE891" i="2"/>
  <c r="AD891" i="2"/>
  <c r="AC891" i="2"/>
  <c r="X891" i="2"/>
  <c r="Y891" i="2" s="1"/>
  <c r="W891" i="2"/>
  <c r="V891" i="2"/>
  <c r="AE890" i="2"/>
  <c r="AD890" i="2"/>
  <c r="AC890" i="2"/>
  <c r="X890" i="2"/>
  <c r="Y890" i="2" s="1"/>
  <c r="W890" i="2"/>
  <c r="V890" i="2"/>
  <c r="Z890" i="2" s="1"/>
  <c r="AE889" i="2"/>
  <c r="AD889" i="2"/>
  <c r="AC889" i="2"/>
  <c r="X889" i="2"/>
  <c r="Y889" i="2" s="1"/>
  <c r="W889" i="2"/>
  <c r="V889" i="2"/>
  <c r="Z889" i="2" s="1"/>
  <c r="AE888" i="2"/>
  <c r="AD888" i="2"/>
  <c r="AC888" i="2"/>
  <c r="X888" i="2"/>
  <c r="Y888" i="2" s="1"/>
  <c r="W888" i="2"/>
  <c r="V888" i="2"/>
  <c r="Z888" i="2" s="1"/>
  <c r="AE887" i="2"/>
  <c r="AD887" i="2"/>
  <c r="AC887" i="2"/>
  <c r="X887" i="2"/>
  <c r="Y887" i="2" s="1"/>
  <c r="W887" i="2"/>
  <c r="V887" i="2"/>
  <c r="AE886" i="2"/>
  <c r="AD886" i="2"/>
  <c r="AC886" i="2"/>
  <c r="X886" i="2"/>
  <c r="Y886" i="2" s="1"/>
  <c r="W886" i="2"/>
  <c r="V886" i="2"/>
  <c r="Z886" i="2" s="1"/>
  <c r="AE885" i="2"/>
  <c r="AD885" i="2"/>
  <c r="AC885" i="2"/>
  <c r="X885" i="2"/>
  <c r="Y885" i="2" s="1"/>
  <c r="W885" i="2"/>
  <c r="V885" i="2"/>
  <c r="Z885" i="2" s="1"/>
  <c r="AE884" i="2"/>
  <c r="AD884" i="2"/>
  <c r="AC884" i="2"/>
  <c r="X884" i="2"/>
  <c r="Y884" i="2" s="1"/>
  <c r="W884" i="2"/>
  <c r="V884" i="2"/>
  <c r="Z884" i="2" s="1"/>
  <c r="AE883" i="2"/>
  <c r="AD883" i="2"/>
  <c r="AC883" i="2"/>
  <c r="X883" i="2"/>
  <c r="Y883" i="2" s="1"/>
  <c r="W883" i="2"/>
  <c r="V883" i="2"/>
  <c r="AA883" i="2" s="1"/>
  <c r="AE882" i="2"/>
  <c r="AD882" i="2"/>
  <c r="AC882" i="2"/>
  <c r="X882" i="2"/>
  <c r="Y882" i="2" s="1"/>
  <c r="W882" i="2"/>
  <c r="V882" i="2"/>
  <c r="Z882" i="2" s="1"/>
  <c r="AE881" i="2"/>
  <c r="AD881" i="2"/>
  <c r="AC881" i="2"/>
  <c r="X881" i="2"/>
  <c r="Y881" i="2" s="1"/>
  <c r="W881" i="2"/>
  <c r="V881" i="2"/>
  <c r="Z881" i="2" s="1"/>
  <c r="AE880" i="2"/>
  <c r="AD880" i="2"/>
  <c r="AC880" i="2"/>
  <c r="X880" i="2"/>
  <c r="Y880" i="2" s="1"/>
  <c r="W880" i="2"/>
  <c r="V880" i="2"/>
  <c r="Z880" i="2" s="1"/>
  <c r="AE879" i="2"/>
  <c r="AD879" i="2"/>
  <c r="AC879" i="2"/>
  <c r="X879" i="2"/>
  <c r="Y879" i="2" s="1"/>
  <c r="W879" i="2"/>
  <c r="V879" i="2"/>
  <c r="AE878" i="2"/>
  <c r="AD878" i="2"/>
  <c r="AC878" i="2"/>
  <c r="X878" i="2"/>
  <c r="Y878" i="2" s="1"/>
  <c r="W878" i="2"/>
  <c r="V878" i="2"/>
  <c r="AE877" i="2"/>
  <c r="AD877" i="2"/>
  <c r="AC877" i="2"/>
  <c r="X877" i="2"/>
  <c r="Y877" i="2" s="1"/>
  <c r="W877" i="2"/>
  <c r="V877" i="2"/>
  <c r="Z877" i="2" s="1"/>
  <c r="AE876" i="2"/>
  <c r="AD876" i="2"/>
  <c r="AC876" i="2"/>
  <c r="X876" i="2"/>
  <c r="Y876" i="2" s="1"/>
  <c r="W876" i="2"/>
  <c r="V876" i="2"/>
  <c r="Z876" i="2" s="1"/>
  <c r="AE875" i="2"/>
  <c r="AD875" i="2"/>
  <c r="AC875" i="2"/>
  <c r="X875" i="2"/>
  <c r="Y875" i="2" s="1"/>
  <c r="W875" i="2"/>
  <c r="V875" i="2"/>
  <c r="AE874" i="2"/>
  <c r="AD874" i="2"/>
  <c r="AC874" i="2"/>
  <c r="X874" i="2"/>
  <c r="Y874" i="2" s="1"/>
  <c r="W874" i="2"/>
  <c r="V874" i="2"/>
  <c r="Z874" i="2" s="1"/>
  <c r="AE873" i="2"/>
  <c r="AD873" i="2"/>
  <c r="AC873" i="2"/>
  <c r="X873" i="2"/>
  <c r="Y873" i="2" s="1"/>
  <c r="W873" i="2"/>
  <c r="V873" i="2"/>
  <c r="Z873" i="2" s="1"/>
  <c r="AE872" i="2"/>
  <c r="AD872" i="2"/>
  <c r="AC872" i="2"/>
  <c r="X872" i="2"/>
  <c r="Y872" i="2" s="1"/>
  <c r="W872" i="2"/>
  <c r="V872" i="2"/>
  <c r="Z872" i="2" s="1"/>
  <c r="AE871" i="2"/>
  <c r="AD871" i="2"/>
  <c r="AC871" i="2"/>
  <c r="X871" i="2"/>
  <c r="Y871" i="2" s="1"/>
  <c r="W871" i="2"/>
  <c r="V871" i="2"/>
  <c r="AB871" i="2" s="1"/>
  <c r="AE870" i="2"/>
  <c r="AD870" i="2"/>
  <c r="AC870" i="2"/>
  <c r="X870" i="2"/>
  <c r="Y870" i="2" s="1"/>
  <c r="W870" i="2"/>
  <c r="V870" i="2"/>
  <c r="AE869" i="2"/>
  <c r="AD869" i="2"/>
  <c r="AC869" i="2"/>
  <c r="X869" i="2"/>
  <c r="Y869" i="2" s="1"/>
  <c r="W869" i="2"/>
  <c r="V869" i="2"/>
  <c r="Z869" i="2" s="1"/>
  <c r="AE868" i="2"/>
  <c r="AD868" i="2"/>
  <c r="AC868" i="2"/>
  <c r="X868" i="2"/>
  <c r="Y868" i="2" s="1"/>
  <c r="W868" i="2"/>
  <c r="V868" i="2"/>
  <c r="Z868" i="2" s="1"/>
  <c r="AE867" i="2"/>
  <c r="AD867" i="2"/>
  <c r="AC867" i="2"/>
  <c r="X867" i="2"/>
  <c r="Y867" i="2" s="1"/>
  <c r="W867" i="2"/>
  <c r="V867" i="2"/>
  <c r="AE866" i="2"/>
  <c r="AD866" i="2"/>
  <c r="AC866" i="2"/>
  <c r="X866" i="2"/>
  <c r="Y866" i="2" s="1"/>
  <c r="W866" i="2"/>
  <c r="V866" i="2"/>
  <c r="Z866" i="2" s="1"/>
  <c r="AE865" i="2"/>
  <c r="AD865" i="2"/>
  <c r="AC865" i="2"/>
  <c r="X865" i="2"/>
  <c r="Y865" i="2" s="1"/>
  <c r="W865" i="2"/>
  <c r="V865" i="2"/>
  <c r="AA865" i="2" s="1"/>
  <c r="AE864" i="2"/>
  <c r="AD864" i="2"/>
  <c r="AC864" i="2"/>
  <c r="X864" i="2"/>
  <c r="Y864" i="2" s="1"/>
  <c r="W864" i="2"/>
  <c r="V864" i="2"/>
  <c r="Z864" i="2" s="1"/>
  <c r="AE863" i="2"/>
  <c r="AD863" i="2"/>
  <c r="AC863" i="2"/>
  <c r="X863" i="2"/>
  <c r="Y863" i="2" s="1"/>
  <c r="W863" i="2"/>
  <c r="V863" i="2"/>
  <c r="Z863" i="2" s="1"/>
  <c r="AE862" i="2"/>
  <c r="AD862" i="2"/>
  <c r="AC862" i="2"/>
  <c r="X862" i="2"/>
  <c r="Y862" i="2" s="1"/>
  <c r="W862" i="2"/>
  <c r="V862" i="2"/>
  <c r="Z862" i="2" s="1"/>
  <c r="AE861" i="2"/>
  <c r="AD861" i="2"/>
  <c r="AC861" i="2"/>
  <c r="X861" i="2"/>
  <c r="Y861" i="2" s="1"/>
  <c r="W861" i="2"/>
  <c r="V861" i="2"/>
  <c r="AE860" i="2"/>
  <c r="AD860" i="2"/>
  <c r="AC860" i="2"/>
  <c r="X860" i="2"/>
  <c r="Y860" i="2" s="1"/>
  <c r="W860" i="2"/>
  <c r="V860" i="2"/>
  <c r="Z860" i="2" s="1"/>
  <c r="AE859" i="2"/>
  <c r="AD859" i="2"/>
  <c r="AC859" i="2"/>
  <c r="X859" i="2"/>
  <c r="Y859" i="2" s="1"/>
  <c r="W859" i="2"/>
  <c r="V859" i="2"/>
  <c r="AE858" i="2"/>
  <c r="AD858" i="2"/>
  <c r="AC858" i="2"/>
  <c r="X858" i="2"/>
  <c r="Y858" i="2" s="1"/>
  <c r="W858" i="2"/>
  <c r="V858" i="2"/>
  <c r="Z858" i="2" s="1"/>
  <c r="AE857" i="2"/>
  <c r="AD857" i="2"/>
  <c r="AC857" i="2"/>
  <c r="X857" i="2"/>
  <c r="Y857" i="2" s="1"/>
  <c r="W857" i="2"/>
  <c r="V857" i="2"/>
  <c r="Z857" i="2" s="1"/>
  <c r="AE856" i="2"/>
  <c r="AD856" i="2"/>
  <c r="AC856" i="2"/>
  <c r="X856" i="2"/>
  <c r="Y856" i="2" s="1"/>
  <c r="W856" i="2"/>
  <c r="V856" i="2"/>
  <c r="Z856" i="2" s="1"/>
  <c r="AE855" i="2"/>
  <c r="AD855" i="2"/>
  <c r="AC855" i="2"/>
  <c r="X855" i="2"/>
  <c r="Y855" i="2" s="1"/>
  <c r="W855" i="2"/>
  <c r="V855" i="2"/>
  <c r="AE854" i="2"/>
  <c r="AD854" i="2"/>
  <c r="AC854" i="2"/>
  <c r="X854" i="2"/>
  <c r="Y854" i="2" s="1"/>
  <c r="W854" i="2"/>
  <c r="V854" i="2"/>
  <c r="Z854" i="2" s="1"/>
  <c r="AE853" i="2"/>
  <c r="AD853" i="2"/>
  <c r="AC853" i="2"/>
  <c r="X853" i="2"/>
  <c r="Y853" i="2" s="1"/>
  <c r="W853" i="2"/>
  <c r="V853" i="2"/>
  <c r="Z853" i="2" s="1"/>
  <c r="AE852" i="2"/>
  <c r="AD852" i="2"/>
  <c r="AC852" i="2"/>
  <c r="X852" i="2"/>
  <c r="Y852" i="2" s="1"/>
  <c r="W852" i="2"/>
  <c r="V852" i="2"/>
  <c r="Z852" i="2" s="1"/>
  <c r="AE851" i="2"/>
  <c r="AD851" i="2"/>
  <c r="AC851" i="2"/>
  <c r="X851" i="2"/>
  <c r="Y851" i="2" s="1"/>
  <c r="W851" i="2"/>
  <c r="V851" i="2"/>
  <c r="AE850" i="2"/>
  <c r="AD850" i="2"/>
  <c r="AC850" i="2"/>
  <c r="X850" i="2"/>
  <c r="Y850" i="2" s="1"/>
  <c r="W850" i="2"/>
  <c r="V850" i="2"/>
  <c r="Z850" i="2" s="1"/>
  <c r="AE849" i="2"/>
  <c r="AD849" i="2"/>
  <c r="AC849" i="2"/>
  <c r="X849" i="2"/>
  <c r="Y849" i="2" s="1"/>
  <c r="W849" i="2"/>
  <c r="V849" i="2"/>
  <c r="Z849" i="2" s="1"/>
  <c r="AE848" i="2"/>
  <c r="AD848" i="2"/>
  <c r="AC848" i="2"/>
  <c r="X848" i="2"/>
  <c r="Y848" i="2" s="1"/>
  <c r="W848" i="2"/>
  <c r="V848" i="2"/>
  <c r="Z848" i="2" s="1"/>
  <c r="AE847" i="2"/>
  <c r="AD847" i="2"/>
  <c r="AC847" i="2"/>
  <c r="X847" i="2"/>
  <c r="Y847" i="2" s="1"/>
  <c r="W847" i="2"/>
  <c r="V847" i="2"/>
  <c r="AE846" i="2"/>
  <c r="AD846" i="2"/>
  <c r="AC846" i="2"/>
  <c r="X846" i="2"/>
  <c r="Y846" i="2" s="1"/>
  <c r="W846" i="2"/>
  <c r="V846" i="2"/>
  <c r="AE845" i="2"/>
  <c r="AD845" i="2"/>
  <c r="AC845" i="2"/>
  <c r="X845" i="2"/>
  <c r="Y845" i="2" s="1"/>
  <c r="W845" i="2"/>
  <c r="V845" i="2"/>
  <c r="AE844" i="2"/>
  <c r="AD844" i="2"/>
  <c r="AC844" i="2"/>
  <c r="X844" i="2"/>
  <c r="Y844" i="2" s="1"/>
  <c r="W844" i="2"/>
  <c r="V844" i="2"/>
  <c r="Z844" i="2" s="1"/>
  <c r="AE843" i="2"/>
  <c r="AD843" i="2"/>
  <c r="AC843" i="2"/>
  <c r="X843" i="2"/>
  <c r="Y843" i="2" s="1"/>
  <c r="W843" i="2"/>
  <c r="V843" i="2"/>
  <c r="AE842" i="2"/>
  <c r="AD842" i="2"/>
  <c r="AC842" i="2"/>
  <c r="X842" i="2"/>
  <c r="Y842" i="2" s="1"/>
  <c r="W842" i="2"/>
  <c r="V842" i="2"/>
  <c r="Z842" i="2" s="1"/>
  <c r="AE841" i="2"/>
  <c r="AD841" i="2"/>
  <c r="AC841" i="2"/>
  <c r="X841" i="2"/>
  <c r="Y841" i="2" s="1"/>
  <c r="W841" i="2"/>
  <c r="V841" i="2"/>
  <c r="Z841" i="2" s="1"/>
  <c r="AE840" i="2"/>
  <c r="AD840" i="2"/>
  <c r="AC840" i="2"/>
  <c r="X840" i="2"/>
  <c r="Y840" i="2" s="1"/>
  <c r="W840" i="2"/>
  <c r="V840" i="2"/>
  <c r="Z840" i="2" s="1"/>
  <c r="AE839" i="2"/>
  <c r="AD839" i="2"/>
  <c r="AC839" i="2"/>
  <c r="X839" i="2"/>
  <c r="Y839" i="2" s="1"/>
  <c r="W839" i="2"/>
  <c r="V839" i="2"/>
  <c r="AB839" i="2" s="1"/>
  <c r="AE838" i="2"/>
  <c r="AD838" i="2"/>
  <c r="AC838" i="2"/>
  <c r="X838" i="2"/>
  <c r="Y838" i="2" s="1"/>
  <c r="W838" i="2"/>
  <c r="V838" i="2"/>
  <c r="Z838" i="2" s="1"/>
  <c r="AE837" i="2"/>
  <c r="AD837" i="2"/>
  <c r="AC837" i="2"/>
  <c r="X837" i="2"/>
  <c r="Y837" i="2" s="1"/>
  <c r="W837" i="2"/>
  <c r="V837" i="2"/>
  <c r="Z837" i="2" s="1"/>
  <c r="AE836" i="2"/>
  <c r="AD836" i="2"/>
  <c r="AC836" i="2"/>
  <c r="X836" i="2"/>
  <c r="Y836" i="2" s="1"/>
  <c r="W836" i="2"/>
  <c r="V836" i="2"/>
  <c r="Z836" i="2" s="1"/>
  <c r="AE835" i="2"/>
  <c r="AD835" i="2"/>
  <c r="AC835" i="2"/>
  <c r="X835" i="2"/>
  <c r="Y835" i="2" s="1"/>
  <c r="W835" i="2"/>
  <c r="V835" i="2"/>
  <c r="AE834" i="2"/>
  <c r="AD834" i="2"/>
  <c r="AC834" i="2"/>
  <c r="X834" i="2"/>
  <c r="Y834" i="2" s="1"/>
  <c r="W834" i="2"/>
  <c r="V834" i="2"/>
  <c r="Z834" i="2" s="1"/>
  <c r="AE833" i="2"/>
  <c r="AD833" i="2"/>
  <c r="AC833" i="2"/>
  <c r="X833" i="2"/>
  <c r="Y833" i="2" s="1"/>
  <c r="W833" i="2"/>
  <c r="V833" i="2"/>
  <c r="AE832" i="2"/>
  <c r="AD832" i="2"/>
  <c r="AC832" i="2"/>
  <c r="X832" i="2"/>
  <c r="Y832" i="2" s="1"/>
  <c r="W832" i="2"/>
  <c r="V832" i="2"/>
  <c r="Z832" i="2" s="1"/>
  <c r="AE831" i="2"/>
  <c r="AD831" i="2"/>
  <c r="AC831" i="2"/>
  <c r="X831" i="2"/>
  <c r="Y831" i="2" s="1"/>
  <c r="W831" i="2"/>
  <c r="V831" i="2"/>
  <c r="AE830" i="2"/>
  <c r="AD830" i="2"/>
  <c r="AC830" i="2"/>
  <c r="X830" i="2"/>
  <c r="Y830" i="2" s="1"/>
  <c r="W830" i="2"/>
  <c r="V830" i="2"/>
  <c r="Z830" i="2" s="1"/>
  <c r="AE829" i="2"/>
  <c r="AD829" i="2"/>
  <c r="AC829" i="2"/>
  <c r="X829" i="2"/>
  <c r="Y829" i="2" s="1"/>
  <c r="W829" i="2"/>
  <c r="V829" i="2"/>
  <c r="Z829" i="2" s="1"/>
  <c r="AE828" i="2"/>
  <c r="AD828" i="2"/>
  <c r="AC828" i="2"/>
  <c r="X828" i="2"/>
  <c r="Y828" i="2" s="1"/>
  <c r="W828" i="2"/>
  <c r="V828" i="2"/>
  <c r="Z828" i="2" s="1"/>
  <c r="AE827" i="2"/>
  <c r="AD827" i="2"/>
  <c r="AC827" i="2"/>
  <c r="X827" i="2"/>
  <c r="Y827" i="2" s="1"/>
  <c r="W827" i="2"/>
  <c r="V827" i="2"/>
  <c r="AE826" i="2"/>
  <c r="AD826" i="2"/>
  <c r="AC826" i="2"/>
  <c r="X826" i="2"/>
  <c r="Y826" i="2" s="1"/>
  <c r="W826" i="2"/>
  <c r="V826" i="2"/>
  <c r="AB826" i="2" s="1"/>
  <c r="AE825" i="2"/>
  <c r="AD825" i="2"/>
  <c r="AC825" i="2"/>
  <c r="X825" i="2"/>
  <c r="Y825" i="2" s="1"/>
  <c r="W825" i="2"/>
  <c r="V825" i="2"/>
  <c r="Z825" i="2" s="1"/>
  <c r="AE824" i="2"/>
  <c r="AD824" i="2"/>
  <c r="AC824" i="2"/>
  <c r="X824" i="2"/>
  <c r="Y824" i="2" s="1"/>
  <c r="W824" i="2"/>
  <c r="V824" i="2"/>
  <c r="AB824" i="2" s="1"/>
  <c r="AE823" i="2"/>
  <c r="AD823" i="2"/>
  <c r="AC823" i="2"/>
  <c r="X823" i="2"/>
  <c r="Y823" i="2" s="1"/>
  <c r="W823" i="2"/>
  <c r="V823" i="2"/>
  <c r="AE822" i="2"/>
  <c r="AD822" i="2"/>
  <c r="AC822" i="2"/>
  <c r="X822" i="2"/>
  <c r="Y822" i="2" s="1"/>
  <c r="W822" i="2"/>
  <c r="V822" i="2"/>
  <c r="AB822" i="2" s="1"/>
  <c r="AE821" i="2"/>
  <c r="AD821" i="2"/>
  <c r="AC821" i="2"/>
  <c r="X821" i="2"/>
  <c r="Y821" i="2" s="1"/>
  <c r="W821" i="2"/>
  <c r="V821" i="2"/>
  <c r="Z821" i="2" s="1"/>
  <c r="AE820" i="2"/>
  <c r="AD820" i="2"/>
  <c r="AC820" i="2"/>
  <c r="X820" i="2"/>
  <c r="Y820" i="2" s="1"/>
  <c r="W820" i="2"/>
  <c r="V820" i="2"/>
  <c r="AB820" i="2" s="1"/>
  <c r="AE819" i="2"/>
  <c r="AD819" i="2"/>
  <c r="AC819" i="2"/>
  <c r="X819" i="2"/>
  <c r="Y819" i="2" s="1"/>
  <c r="W819" i="2"/>
  <c r="V819" i="2"/>
  <c r="Z819" i="2" s="1"/>
  <c r="AE818" i="2"/>
  <c r="AD818" i="2"/>
  <c r="AC818" i="2"/>
  <c r="X818" i="2"/>
  <c r="Y818" i="2" s="1"/>
  <c r="W818" i="2"/>
  <c r="V818" i="2"/>
  <c r="AB818" i="2" s="1"/>
  <c r="AE817" i="2"/>
  <c r="AD817" i="2"/>
  <c r="AC817" i="2"/>
  <c r="X817" i="2"/>
  <c r="Y817" i="2" s="1"/>
  <c r="W817" i="2"/>
  <c r="V817" i="2"/>
  <c r="Z817" i="2" s="1"/>
  <c r="AE816" i="2"/>
  <c r="AD816" i="2"/>
  <c r="AC816" i="2"/>
  <c r="X816" i="2"/>
  <c r="Y816" i="2" s="1"/>
  <c r="W816" i="2"/>
  <c r="V816" i="2"/>
  <c r="AB816" i="2" s="1"/>
  <c r="AE815" i="2"/>
  <c r="AD815" i="2"/>
  <c r="AC815" i="2"/>
  <c r="X815" i="2"/>
  <c r="Y815" i="2" s="1"/>
  <c r="W815" i="2"/>
  <c r="V815" i="2"/>
  <c r="AE814" i="2"/>
  <c r="AD814" i="2"/>
  <c r="AC814" i="2"/>
  <c r="X814" i="2"/>
  <c r="Y814" i="2" s="1"/>
  <c r="W814" i="2"/>
  <c r="V814" i="2"/>
  <c r="AB814" i="2" s="1"/>
  <c r="AE813" i="2"/>
  <c r="AD813" i="2"/>
  <c r="AC813" i="2"/>
  <c r="X813" i="2"/>
  <c r="Y813" i="2" s="1"/>
  <c r="W813" i="2"/>
  <c r="V813" i="2"/>
  <c r="Z813" i="2" s="1"/>
  <c r="AE812" i="2"/>
  <c r="AD812" i="2"/>
  <c r="AC812" i="2"/>
  <c r="X812" i="2"/>
  <c r="Y812" i="2" s="1"/>
  <c r="W812" i="2"/>
  <c r="V812" i="2"/>
  <c r="AB812" i="2" s="1"/>
  <c r="AE811" i="2"/>
  <c r="AD811" i="2"/>
  <c r="AC811" i="2"/>
  <c r="X811" i="2"/>
  <c r="Y811" i="2" s="1"/>
  <c r="W811" i="2"/>
  <c r="V811" i="2"/>
  <c r="Z811" i="2" s="1"/>
  <c r="AE810" i="2"/>
  <c r="AD810" i="2"/>
  <c r="AC810" i="2"/>
  <c r="X810" i="2"/>
  <c r="Y810" i="2" s="1"/>
  <c r="W810" i="2"/>
  <c r="V810" i="2"/>
  <c r="AB810" i="2" s="1"/>
  <c r="AE809" i="2"/>
  <c r="AD809" i="2"/>
  <c r="AC809" i="2"/>
  <c r="X809" i="2"/>
  <c r="Y809" i="2" s="1"/>
  <c r="W809" i="2"/>
  <c r="V809" i="2"/>
  <c r="Z809" i="2" s="1"/>
  <c r="AE808" i="2"/>
  <c r="AD808" i="2"/>
  <c r="AC808" i="2"/>
  <c r="X808" i="2"/>
  <c r="Y808" i="2" s="1"/>
  <c r="W808" i="2"/>
  <c r="V808" i="2"/>
  <c r="AB808" i="2" s="1"/>
  <c r="AE807" i="2"/>
  <c r="AD807" i="2"/>
  <c r="AC807" i="2"/>
  <c r="X807" i="2"/>
  <c r="Y807" i="2" s="1"/>
  <c r="W807" i="2"/>
  <c r="V807" i="2"/>
  <c r="AE806" i="2"/>
  <c r="AD806" i="2"/>
  <c r="AC806" i="2"/>
  <c r="X806" i="2"/>
  <c r="Y806" i="2" s="1"/>
  <c r="W806" i="2"/>
  <c r="V806" i="2"/>
  <c r="AB806" i="2" s="1"/>
  <c r="AE805" i="2"/>
  <c r="AD805" i="2"/>
  <c r="AC805" i="2"/>
  <c r="X805" i="2"/>
  <c r="Y805" i="2" s="1"/>
  <c r="W805" i="2"/>
  <c r="V805" i="2"/>
  <c r="Z805" i="2" s="1"/>
  <c r="AE804" i="2"/>
  <c r="AD804" i="2"/>
  <c r="AC804" i="2"/>
  <c r="X804" i="2"/>
  <c r="Y804" i="2" s="1"/>
  <c r="W804" i="2"/>
  <c r="V804" i="2"/>
  <c r="AB804" i="2" s="1"/>
  <c r="AE803" i="2"/>
  <c r="AD803" i="2"/>
  <c r="AC803" i="2"/>
  <c r="X803" i="2"/>
  <c r="Y803" i="2" s="1"/>
  <c r="W803" i="2"/>
  <c r="V803" i="2"/>
  <c r="Z803" i="2" s="1"/>
  <c r="AE802" i="2"/>
  <c r="AD802" i="2"/>
  <c r="AC802" i="2"/>
  <c r="X802" i="2"/>
  <c r="Y802" i="2" s="1"/>
  <c r="W802" i="2"/>
  <c r="V802" i="2"/>
  <c r="AB802" i="2" s="1"/>
  <c r="AE801" i="2"/>
  <c r="AD801" i="2"/>
  <c r="AC801" i="2"/>
  <c r="X801" i="2"/>
  <c r="Y801" i="2" s="1"/>
  <c r="W801" i="2"/>
  <c r="V801" i="2"/>
  <c r="Z801" i="2" s="1"/>
  <c r="AE800" i="2"/>
  <c r="AD800" i="2"/>
  <c r="AC800" i="2"/>
  <c r="X800" i="2"/>
  <c r="Y800" i="2" s="1"/>
  <c r="W800" i="2"/>
  <c r="V800" i="2"/>
  <c r="AB800" i="2" s="1"/>
  <c r="AE799" i="2"/>
  <c r="AD799" i="2"/>
  <c r="AC799" i="2"/>
  <c r="X799" i="2"/>
  <c r="Y799" i="2" s="1"/>
  <c r="W799" i="2"/>
  <c r="V799" i="2"/>
  <c r="AE798" i="2"/>
  <c r="AD798" i="2"/>
  <c r="AC798" i="2"/>
  <c r="X798" i="2"/>
  <c r="Y798" i="2" s="1"/>
  <c r="W798" i="2"/>
  <c r="V798" i="2"/>
  <c r="AB798" i="2" s="1"/>
  <c r="AE797" i="2"/>
  <c r="AD797" i="2"/>
  <c r="AC797" i="2"/>
  <c r="X797" i="2"/>
  <c r="Y797" i="2" s="1"/>
  <c r="W797" i="2"/>
  <c r="V797" i="2"/>
  <c r="Z797" i="2" s="1"/>
  <c r="AE796" i="2"/>
  <c r="AD796" i="2"/>
  <c r="AC796" i="2"/>
  <c r="X796" i="2"/>
  <c r="Y796" i="2" s="1"/>
  <c r="W796" i="2"/>
  <c r="V796" i="2"/>
  <c r="AB796" i="2" s="1"/>
  <c r="AE795" i="2"/>
  <c r="AD795" i="2"/>
  <c r="AC795" i="2"/>
  <c r="X795" i="2"/>
  <c r="Y795" i="2" s="1"/>
  <c r="W795" i="2"/>
  <c r="V795" i="2"/>
  <c r="Z795" i="2" s="1"/>
  <c r="AE794" i="2"/>
  <c r="AD794" i="2"/>
  <c r="AC794" i="2"/>
  <c r="X794" i="2"/>
  <c r="Y794" i="2" s="1"/>
  <c r="W794" i="2"/>
  <c r="V794" i="2"/>
  <c r="AB794" i="2" s="1"/>
  <c r="AE793" i="2"/>
  <c r="AD793" i="2"/>
  <c r="AC793" i="2"/>
  <c r="X793" i="2"/>
  <c r="Y793" i="2" s="1"/>
  <c r="W793" i="2"/>
  <c r="V793" i="2"/>
  <c r="Z793" i="2" s="1"/>
  <c r="AE792" i="2"/>
  <c r="AD792" i="2"/>
  <c r="AC792" i="2"/>
  <c r="X792" i="2"/>
  <c r="Y792" i="2" s="1"/>
  <c r="W792" i="2"/>
  <c r="V792" i="2"/>
  <c r="AB792" i="2" s="1"/>
  <c r="AE791" i="2"/>
  <c r="AD791" i="2"/>
  <c r="AC791" i="2"/>
  <c r="X791" i="2"/>
  <c r="Y791" i="2" s="1"/>
  <c r="W791" i="2"/>
  <c r="V791" i="2"/>
  <c r="AE790" i="2"/>
  <c r="AD790" i="2"/>
  <c r="AC790" i="2"/>
  <c r="X790" i="2"/>
  <c r="Y790" i="2" s="1"/>
  <c r="W790" i="2"/>
  <c r="V790" i="2"/>
  <c r="AB790" i="2" s="1"/>
  <c r="AE789" i="2"/>
  <c r="AD789" i="2"/>
  <c r="AC789" i="2"/>
  <c r="X789" i="2"/>
  <c r="Y789" i="2" s="1"/>
  <c r="W789" i="2"/>
  <c r="V789" i="2"/>
  <c r="Z789" i="2" s="1"/>
  <c r="AE788" i="2"/>
  <c r="AD788" i="2"/>
  <c r="AC788" i="2"/>
  <c r="X788" i="2"/>
  <c r="Y788" i="2" s="1"/>
  <c r="W788" i="2"/>
  <c r="V788" i="2"/>
  <c r="AB788" i="2" s="1"/>
  <c r="AE787" i="2"/>
  <c r="AD787" i="2"/>
  <c r="AC787" i="2"/>
  <c r="X787" i="2"/>
  <c r="Y787" i="2" s="1"/>
  <c r="W787" i="2"/>
  <c r="V787" i="2"/>
  <c r="Z787" i="2" s="1"/>
  <c r="AE786" i="2"/>
  <c r="AD786" i="2"/>
  <c r="AC786" i="2"/>
  <c r="X786" i="2"/>
  <c r="Y786" i="2" s="1"/>
  <c r="W786" i="2"/>
  <c r="V786" i="2"/>
  <c r="AB786" i="2" s="1"/>
  <c r="AE785" i="2"/>
  <c r="AD785" i="2"/>
  <c r="AC785" i="2"/>
  <c r="X785" i="2"/>
  <c r="Y785" i="2" s="1"/>
  <c r="W785" i="2"/>
  <c r="V785" i="2"/>
  <c r="Z785" i="2" s="1"/>
  <c r="AE784" i="2"/>
  <c r="AD784" i="2"/>
  <c r="AC784" i="2"/>
  <c r="X784" i="2"/>
  <c r="Y784" i="2" s="1"/>
  <c r="W784" i="2"/>
  <c r="V784" i="2"/>
  <c r="AB784" i="2" s="1"/>
  <c r="AE783" i="2"/>
  <c r="AD783" i="2"/>
  <c r="AC783" i="2"/>
  <c r="X783" i="2"/>
  <c r="Y783" i="2" s="1"/>
  <c r="W783" i="2"/>
  <c r="V783" i="2"/>
  <c r="AE782" i="2"/>
  <c r="AD782" i="2"/>
  <c r="AC782" i="2"/>
  <c r="X782" i="2"/>
  <c r="Y782" i="2" s="1"/>
  <c r="W782" i="2"/>
  <c r="V782" i="2"/>
  <c r="AB782" i="2" s="1"/>
  <c r="AE781" i="2"/>
  <c r="AD781" i="2"/>
  <c r="AC781" i="2"/>
  <c r="X781" i="2"/>
  <c r="Y781" i="2" s="1"/>
  <c r="W781" i="2"/>
  <c r="V781" i="2"/>
  <c r="Z781" i="2" s="1"/>
  <c r="AE780" i="2"/>
  <c r="AD780" i="2"/>
  <c r="AC780" i="2"/>
  <c r="X780" i="2"/>
  <c r="Y780" i="2" s="1"/>
  <c r="W780" i="2"/>
  <c r="V780" i="2"/>
  <c r="AB780" i="2" s="1"/>
  <c r="AE779" i="2"/>
  <c r="AD779" i="2"/>
  <c r="AC779" i="2"/>
  <c r="X779" i="2"/>
  <c r="Y779" i="2" s="1"/>
  <c r="W779" i="2"/>
  <c r="V779" i="2"/>
  <c r="AE778" i="2"/>
  <c r="AD778" i="2"/>
  <c r="AC778" i="2"/>
  <c r="X778" i="2"/>
  <c r="Y778" i="2" s="1"/>
  <c r="W778" i="2"/>
  <c r="V778" i="2"/>
  <c r="AB778" i="2" s="1"/>
  <c r="AE777" i="2"/>
  <c r="AD777" i="2"/>
  <c r="AC777" i="2"/>
  <c r="X777" i="2"/>
  <c r="Y777" i="2" s="1"/>
  <c r="W777" i="2"/>
  <c r="V777" i="2"/>
  <c r="Z777" i="2" s="1"/>
  <c r="AE776" i="2"/>
  <c r="AD776" i="2"/>
  <c r="AC776" i="2"/>
  <c r="X776" i="2"/>
  <c r="Y776" i="2" s="1"/>
  <c r="W776" i="2"/>
  <c r="V776" i="2"/>
  <c r="AB776" i="2" s="1"/>
  <c r="AE775" i="2"/>
  <c r="AD775" i="2"/>
  <c r="AC775" i="2"/>
  <c r="X775" i="2"/>
  <c r="Y775" i="2" s="1"/>
  <c r="W775" i="2"/>
  <c r="V775" i="2"/>
  <c r="AE774" i="2"/>
  <c r="AD774" i="2"/>
  <c r="AC774" i="2"/>
  <c r="X774" i="2"/>
  <c r="Y774" i="2" s="1"/>
  <c r="W774" i="2"/>
  <c r="V774" i="2"/>
  <c r="AB774" i="2" s="1"/>
  <c r="AE773" i="2"/>
  <c r="AD773" i="2"/>
  <c r="AC773" i="2"/>
  <c r="X773" i="2"/>
  <c r="Y773" i="2" s="1"/>
  <c r="W773" i="2"/>
  <c r="V773" i="2"/>
  <c r="Z773" i="2" s="1"/>
  <c r="AE772" i="2"/>
  <c r="AD772" i="2"/>
  <c r="AC772" i="2"/>
  <c r="X772" i="2"/>
  <c r="Y772" i="2" s="1"/>
  <c r="W772" i="2"/>
  <c r="V772" i="2"/>
  <c r="AB772" i="2" s="1"/>
  <c r="AE771" i="2"/>
  <c r="AD771" i="2"/>
  <c r="AC771" i="2"/>
  <c r="X771" i="2"/>
  <c r="Y771" i="2" s="1"/>
  <c r="W771" i="2"/>
  <c r="V771" i="2"/>
  <c r="Z771" i="2" s="1"/>
  <c r="AE770" i="2"/>
  <c r="AD770" i="2"/>
  <c r="AC770" i="2"/>
  <c r="X770" i="2"/>
  <c r="Y770" i="2" s="1"/>
  <c r="W770" i="2"/>
  <c r="V770" i="2"/>
  <c r="AB770" i="2" s="1"/>
  <c r="AE769" i="2"/>
  <c r="AD769" i="2"/>
  <c r="AC769" i="2"/>
  <c r="X769" i="2"/>
  <c r="Y769" i="2" s="1"/>
  <c r="W769" i="2"/>
  <c r="V769" i="2"/>
  <c r="Z769" i="2" s="1"/>
  <c r="AE768" i="2"/>
  <c r="AD768" i="2"/>
  <c r="AC768" i="2"/>
  <c r="X768" i="2"/>
  <c r="Y768" i="2" s="1"/>
  <c r="W768" i="2"/>
  <c r="V768" i="2"/>
  <c r="AB768" i="2" s="1"/>
  <c r="AE767" i="2"/>
  <c r="AD767" i="2"/>
  <c r="AC767" i="2"/>
  <c r="X767" i="2"/>
  <c r="Y767" i="2" s="1"/>
  <c r="W767" i="2"/>
  <c r="V767" i="2"/>
  <c r="AE766" i="2"/>
  <c r="AD766" i="2"/>
  <c r="AC766" i="2"/>
  <c r="X766" i="2"/>
  <c r="Y766" i="2" s="1"/>
  <c r="W766" i="2"/>
  <c r="V766" i="2"/>
  <c r="AB766" i="2" s="1"/>
  <c r="AE765" i="2"/>
  <c r="AD765" i="2"/>
  <c r="AC765" i="2"/>
  <c r="X765" i="2"/>
  <c r="Y765" i="2" s="1"/>
  <c r="W765" i="2"/>
  <c r="V765" i="2"/>
  <c r="Z765" i="2" s="1"/>
  <c r="AE764" i="2"/>
  <c r="AD764" i="2"/>
  <c r="AC764" i="2"/>
  <c r="X764" i="2"/>
  <c r="Y764" i="2" s="1"/>
  <c r="W764" i="2"/>
  <c r="V764" i="2"/>
  <c r="AB764" i="2" s="1"/>
  <c r="AE763" i="2"/>
  <c r="AD763" i="2"/>
  <c r="AC763" i="2"/>
  <c r="X763" i="2"/>
  <c r="Y763" i="2" s="1"/>
  <c r="W763" i="2"/>
  <c r="V763" i="2"/>
  <c r="Z763" i="2" s="1"/>
  <c r="AE762" i="2"/>
  <c r="AD762" i="2"/>
  <c r="AC762" i="2"/>
  <c r="X762" i="2"/>
  <c r="Y762" i="2" s="1"/>
  <c r="W762" i="2"/>
  <c r="V762" i="2"/>
  <c r="AB762" i="2" s="1"/>
  <c r="AE761" i="2"/>
  <c r="AD761" i="2"/>
  <c r="AC761" i="2"/>
  <c r="X761" i="2"/>
  <c r="Y761" i="2" s="1"/>
  <c r="W761" i="2"/>
  <c r="V761" i="2"/>
  <c r="Z761" i="2" s="1"/>
  <c r="AE760" i="2"/>
  <c r="AD760" i="2"/>
  <c r="AC760" i="2"/>
  <c r="X760" i="2"/>
  <c r="Y760" i="2" s="1"/>
  <c r="W760" i="2"/>
  <c r="V760" i="2"/>
  <c r="AB760" i="2" s="1"/>
  <c r="AE759" i="2"/>
  <c r="AD759" i="2"/>
  <c r="AC759" i="2"/>
  <c r="X759" i="2"/>
  <c r="Y759" i="2" s="1"/>
  <c r="W759" i="2"/>
  <c r="V759" i="2"/>
  <c r="AE758" i="2"/>
  <c r="AD758" i="2"/>
  <c r="AC758" i="2"/>
  <c r="X758" i="2"/>
  <c r="Y758" i="2" s="1"/>
  <c r="W758" i="2"/>
  <c r="V758" i="2"/>
  <c r="AB758" i="2" s="1"/>
  <c r="AE757" i="2"/>
  <c r="AD757" i="2"/>
  <c r="AC757" i="2"/>
  <c r="X757" i="2"/>
  <c r="Y757" i="2" s="1"/>
  <c r="W757" i="2"/>
  <c r="V757" i="2"/>
  <c r="Z757" i="2" s="1"/>
  <c r="AE756" i="2"/>
  <c r="AD756" i="2"/>
  <c r="AC756" i="2"/>
  <c r="X756" i="2"/>
  <c r="Y756" i="2" s="1"/>
  <c r="W756" i="2"/>
  <c r="V756" i="2"/>
  <c r="AB756" i="2" s="1"/>
  <c r="AE755" i="2"/>
  <c r="AD755" i="2"/>
  <c r="AC755" i="2"/>
  <c r="X755" i="2"/>
  <c r="Y755" i="2" s="1"/>
  <c r="W755" i="2"/>
  <c r="V755" i="2"/>
  <c r="Z755" i="2" s="1"/>
  <c r="AE754" i="2"/>
  <c r="AD754" i="2"/>
  <c r="AC754" i="2"/>
  <c r="X754" i="2"/>
  <c r="Y754" i="2" s="1"/>
  <c r="W754" i="2"/>
  <c r="V754" i="2"/>
  <c r="AB754" i="2" s="1"/>
  <c r="AE753" i="2"/>
  <c r="AD753" i="2"/>
  <c r="AC753" i="2"/>
  <c r="X753" i="2"/>
  <c r="Y753" i="2" s="1"/>
  <c r="W753" i="2"/>
  <c r="V753" i="2"/>
  <c r="Z753" i="2" s="1"/>
  <c r="AE752" i="2"/>
  <c r="AD752" i="2"/>
  <c r="AC752" i="2"/>
  <c r="X752" i="2"/>
  <c r="Y752" i="2" s="1"/>
  <c r="W752" i="2"/>
  <c r="V752" i="2"/>
  <c r="AB752" i="2" s="1"/>
  <c r="AE751" i="2"/>
  <c r="AD751" i="2"/>
  <c r="AC751" i="2"/>
  <c r="X751" i="2"/>
  <c r="Y751" i="2" s="1"/>
  <c r="W751" i="2"/>
  <c r="V751" i="2"/>
  <c r="AE750" i="2"/>
  <c r="AD750" i="2"/>
  <c r="AC750" i="2"/>
  <c r="X750" i="2"/>
  <c r="Y750" i="2" s="1"/>
  <c r="W750" i="2"/>
  <c r="V750" i="2"/>
  <c r="AB750" i="2" s="1"/>
  <c r="AE749" i="2"/>
  <c r="AD749" i="2"/>
  <c r="AC749" i="2"/>
  <c r="X749" i="2"/>
  <c r="Y749" i="2" s="1"/>
  <c r="W749" i="2"/>
  <c r="V749" i="2"/>
  <c r="Z749" i="2" s="1"/>
  <c r="AE748" i="2"/>
  <c r="AD748" i="2"/>
  <c r="AC748" i="2"/>
  <c r="X748" i="2"/>
  <c r="Y748" i="2" s="1"/>
  <c r="W748" i="2"/>
  <c r="V748" i="2"/>
  <c r="AB748" i="2" s="1"/>
  <c r="AE747" i="2"/>
  <c r="AD747" i="2"/>
  <c r="AC747" i="2"/>
  <c r="X747" i="2"/>
  <c r="Y747" i="2" s="1"/>
  <c r="W747" i="2"/>
  <c r="V747" i="2"/>
  <c r="Z747" i="2" s="1"/>
  <c r="AE746" i="2"/>
  <c r="AD746" i="2"/>
  <c r="AC746" i="2"/>
  <c r="X746" i="2"/>
  <c r="Y746" i="2" s="1"/>
  <c r="W746" i="2"/>
  <c r="V746" i="2"/>
  <c r="AB746" i="2" s="1"/>
  <c r="AE745" i="2"/>
  <c r="AD745" i="2"/>
  <c r="AC745" i="2"/>
  <c r="X745" i="2"/>
  <c r="Y745" i="2" s="1"/>
  <c r="W745" i="2"/>
  <c r="V745" i="2"/>
  <c r="Z745" i="2" s="1"/>
  <c r="AE744" i="2"/>
  <c r="AD744" i="2"/>
  <c r="AC744" i="2"/>
  <c r="X744" i="2"/>
  <c r="Y744" i="2" s="1"/>
  <c r="W744" i="2"/>
  <c r="V744" i="2"/>
  <c r="AB744" i="2" s="1"/>
  <c r="AE743" i="2"/>
  <c r="AD743" i="2"/>
  <c r="AC743" i="2"/>
  <c r="X743" i="2"/>
  <c r="Y743" i="2" s="1"/>
  <c r="W743" i="2"/>
  <c r="V743" i="2"/>
  <c r="AE742" i="2"/>
  <c r="AD742" i="2"/>
  <c r="AC742" i="2"/>
  <c r="X742" i="2"/>
  <c r="Y742" i="2" s="1"/>
  <c r="W742" i="2"/>
  <c r="V742" i="2"/>
  <c r="AB742" i="2" s="1"/>
  <c r="AE741" i="2"/>
  <c r="AD741" i="2"/>
  <c r="AC741" i="2"/>
  <c r="X741" i="2"/>
  <c r="Y741" i="2" s="1"/>
  <c r="W741" i="2"/>
  <c r="V741" i="2"/>
  <c r="Z741" i="2" s="1"/>
  <c r="AE740" i="2"/>
  <c r="AD740" i="2"/>
  <c r="AC740" i="2"/>
  <c r="X740" i="2"/>
  <c r="Y740" i="2" s="1"/>
  <c r="W740" i="2"/>
  <c r="V740" i="2"/>
  <c r="AB740" i="2" s="1"/>
  <c r="AE739" i="2"/>
  <c r="AD739" i="2"/>
  <c r="AC739" i="2"/>
  <c r="X739" i="2"/>
  <c r="Y739" i="2" s="1"/>
  <c r="W739" i="2"/>
  <c r="V739" i="2"/>
  <c r="Z739" i="2" s="1"/>
  <c r="AE738" i="2"/>
  <c r="AD738" i="2"/>
  <c r="AC738" i="2"/>
  <c r="X738" i="2"/>
  <c r="Y738" i="2" s="1"/>
  <c r="W738" i="2"/>
  <c r="V738" i="2"/>
  <c r="AB738" i="2" s="1"/>
  <c r="AE737" i="2"/>
  <c r="AD737" i="2"/>
  <c r="AC737" i="2"/>
  <c r="X737" i="2"/>
  <c r="Y737" i="2" s="1"/>
  <c r="W737" i="2"/>
  <c r="V737" i="2"/>
  <c r="Z737" i="2" s="1"/>
  <c r="AE736" i="2"/>
  <c r="AD736" i="2"/>
  <c r="AC736" i="2"/>
  <c r="X736" i="2"/>
  <c r="Y736" i="2" s="1"/>
  <c r="W736" i="2"/>
  <c r="V736" i="2"/>
  <c r="AB736" i="2" s="1"/>
  <c r="AE735" i="2"/>
  <c r="AD735" i="2"/>
  <c r="AC735" i="2"/>
  <c r="X735" i="2"/>
  <c r="Y735" i="2" s="1"/>
  <c r="W735" i="2"/>
  <c r="V735" i="2"/>
  <c r="AE734" i="2"/>
  <c r="AD734" i="2"/>
  <c r="AC734" i="2"/>
  <c r="X734" i="2"/>
  <c r="Y734" i="2" s="1"/>
  <c r="W734" i="2"/>
  <c r="V734" i="2"/>
  <c r="AB734" i="2" s="1"/>
  <c r="AE733" i="2"/>
  <c r="AD733" i="2"/>
  <c r="AC733" i="2"/>
  <c r="X733" i="2"/>
  <c r="Y733" i="2" s="1"/>
  <c r="W733" i="2"/>
  <c r="V733" i="2"/>
  <c r="Z733" i="2" s="1"/>
  <c r="AE732" i="2"/>
  <c r="AD732" i="2"/>
  <c r="AC732" i="2"/>
  <c r="X732" i="2"/>
  <c r="Y732" i="2" s="1"/>
  <c r="W732" i="2"/>
  <c r="V732" i="2"/>
  <c r="AB732" i="2" s="1"/>
  <c r="AE731" i="2"/>
  <c r="AD731" i="2"/>
  <c r="AC731" i="2"/>
  <c r="X731" i="2"/>
  <c r="Y731" i="2" s="1"/>
  <c r="W731" i="2"/>
  <c r="V731" i="2"/>
  <c r="Z731" i="2" s="1"/>
  <c r="AE730" i="2"/>
  <c r="AD730" i="2"/>
  <c r="AC730" i="2"/>
  <c r="X730" i="2"/>
  <c r="Y730" i="2" s="1"/>
  <c r="W730" i="2"/>
  <c r="V730" i="2"/>
  <c r="AB730" i="2" s="1"/>
  <c r="AE729" i="2"/>
  <c r="AD729" i="2"/>
  <c r="AC729" i="2"/>
  <c r="X729" i="2"/>
  <c r="Y729" i="2" s="1"/>
  <c r="W729" i="2"/>
  <c r="V729" i="2"/>
  <c r="Z729" i="2" s="1"/>
  <c r="AE728" i="2"/>
  <c r="AD728" i="2"/>
  <c r="AC728" i="2"/>
  <c r="X728" i="2"/>
  <c r="Y728" i="2" s="1"/>
  <c r="W728" i="2"/>
  <c r="V728" i="2"/>
  <c r="AB728" i="2" s="1"/>
  <c r="AE727" i="2"/>
  <c r="AD727" i="2"/>
  <c r="AC727" i="2"/>
  <c r="X727" i="2"/>
  <c r="Y727" i="2" s="1"/>
  <c r="W727" i="2"/>
  <c r="V727" i="2"/>
  <c r="AE726" i="2"/>
  <c r="AD726" i="2"/>
  <c r="AC726" i="2"/>
  <c r="X726" i="2"/>
  <c r="Y726" i="2" s="1"/>
  <c r="W726" i="2"/>
  <c r="V726" i="2"/>
  <c r="AB726" i="2" s="1"/>
  <c r="AE725" i="2"/>
  <c r="AD725" i="2"/>
  <c r="AC725" i="2"/>
  <c r="X725" i="2"/>
  <c r="Y725" i="2" s="1"/>
  <c r="W725" i="2"/>
  <c r="V725" i="2"/>
  <c r="Z725" i="2" s="1"/>
  <c r="AE724" i="2"/>
  <c r="AD724" i="2"/>
  <c r="AC724" i="2"/>
  <c r="X724" i="2"/>
  <c r="Y724" i="2" s="1"/>
  <c r="W724" i="2"/>
  <c r="V724" i="2"/>
  <c r="AB724" i="2" s="1"/>
  <c r="AE723" i="2"/>
  <c r="AD723" i="2"/>
  <c r="AC723" i="2"/>
  <c r="X723" i="2"/>
  <c r="Y723" i="2" s="1"/>
  <c r="W723" i="2"/>
  <c r="V723" i="2"/>
  <c r="Z723" i="2" s="1"/>
  <c r="AE722" i="2"/>
  <c r="AD722" i="2"/>
  <c r="AC722" i="2"/>
  <c r="X722" i="2"/>
  <c r="Y722" i="2" s="1"/>
  <c r="W722" i="2"/>
  <c r="V722" i="2"/>
  <c r="AB722" i="2" s="1"/>
  <c r="AE721" i="2"/>
  <c r="AD721" i="2"/>
  <c r="AC721" i="2"/>
  <c r="X721" i="2"/>
  <c r="Y721" i="2" s="1"/>
  <c r="W721" i="2"/>
  <c r="V721" i="2"/>
  <c r="Z721" i="2" s="1"/>
  <c r="AE720" i="2"/>
  <c r="AD720" i="2"/>
  <c r="AC720" i="2"/>
  <c r="X720" i="2"/>
  <c r="Y720" i="2" s="1"/>
  <c r="W720" i="2"/>
  <c r="V720" i="2"/>
  <c r="AB720" i="2" s="1"/>
  <c r="AE719" i="2"/>
  <c r="AD719" i="2"/>
  <c r="AC719" i="2"/>
  <c r="X719" i="2"/>
  <c r="Y719" i="2" s="1"/>
  <c r="W719" i="2"/>
  <c r="V719" i="2"/>
  <c r="AE718" i="2"/>
  <c r="AD718" i="2"/>
  <c r="AC718" i="2"/>
  <c r="X718" i="2"/>
  <c r="Y718" i="2" s="1"/>
  <c r="W718" i="2"/>
  <c r="V718" i="2"/>
  <c r="AB718" i="2" s="1"/>
  <c r="AE717" i="2"/>
  <c r="AD717" i="2"/>
  <c r="AC717" i="2"/>
  <c r="X717" i="2"/>
  <c r="Y717" i="2" s="1"/>
  <c r="W717" i="2"/>
  <c r="V717" i="2"/>
  <c r="Z717" i="2" s="1"/>
  <c r="AE716" i="2"/>
  <c r="AD716" i="2"/>
  <c r="AC716" i="2"/>
  <c r="X716" i="2"/>
  <c r="Y716" i="2" s="1"/>
  <c r="W716" i="2"/>
  <c r="V716" i="2"/>
  <c r="AB716" i="2" s="1"/>
  <c r="AE715" i="2"/>
  <c r="AD715" i="2"/>
  <c r="AC715" i="2"/>
  <c r="X715" i="2"/>
  <c r="Y715" i="2" s="1"/>
  <c r="W715" i="2"/>
  <c r="V715" i="2"/>
  <c r="Z715" i="2" s="1"/>
  <c r="AE714" i="2"/>
  <c r="AD714" i="2"/>
  <c r="AC714" i="2"/>
  <c r="X714" i="2"/>
  <c r="Y714" i="2" s="1"/>
  <c r="W714" i="2"/>
  <c r="V714" i="2"/>
  <c r="AE713" i="2"/>
  <c r="AD713" i="2"/>
  <c r="AC713" i="2"/>
  <c r="X713" i="2"/>
  <c r="Y713" i="2" s="1"/>
  <c r="W713" i="2"/>
  <c r="V713" i="2"/>
  <c r="AB713" i="2" s="1"/>
  <c r="AE712" i="2"/>
  <c r="AD712" i="2"/>
  <c r="AC712" i="2"/>
  <c r="X712" i="2"/>
  <c r="Y712" i="2" s="1"/>
  <c r="W712" i="2"/>
  <c r="V712" i="2"/>
  <c r="AB712" i="2" s="1"/>
  <c r="AE711" i="2"/>
  <c r="AD711" i="2"/>
  <c r="AC711" i="2"/>
  <c r="X711" i="2"/>
  <c r="Y711" i="2" s="1"/>
  <c r="W711" i="2"/>
  <c r="V711" i="2"/>
  <c r="AB711" i="2" s="1"/>
  <c r="AE710" i="2"/>
  <c r="AD710" i="2"/>
  <c r="AC710" i="2"/>
  <c r="X710" i="2"/>
  <c r="Y710" i="2" s="1"/>
  <c r="W710" i="2"/>
  <c r="V710" i="2"/>
  <c r="AB710" i="2" s="1"/>
  <c r="AE709" i="2"/>
  <c r="AD709" i="2"/>
  <c r="AC709" i="2"/>
  <c r="X709" i="2"/>
  <c r="Y709" i="2" s="1"/>
  <c r="W709" i="2"/>
  <c r="V709" i="2"/>
  <c r="AB709" i="2" s="1"/>
  <c r="AE708" i="2"/>
  <c r="AD708" i="2"/>
  <c r="AC708" i="2"/>
  <c r="X708" i="2"/>
  <c r="Y708" i="2" s="1"/>
  <c r="W708" i="2"/>
  <c r="V708" i="2"/>
  <c r="Z708" i="2" s="1"/>
  <c r="AE707" i="2"/>
  <c r="AD707" i="2"/>
  <c r="AC707" i="2"/>
  <c r="X707" i="2"/>
  <c r="Y707" i="2" s="1"/>
  <c r="W707" i="2"/>
  <c r="V707" i="2"/>
  <c r="AB707" i="2" s="1"/>
  <c r="AE706" i="2"/>
  <c r="AD706" i="2"/>
  <c r="AC706" i="2"/>
  <c r="X706" i="2"/>
  <c r="Y706" i="2" s="1"/>
  <c r="W706" i="2"/>
  <c r="V706" i="2"/>
  <c r="Z706" i="2" s="1"/>
  <c r="AE705" i="2"/>
  <c r="AD705" i="2"/>
  <c r="AC705" i="2"/>
  <c r="X705" i="2"/>
  <c r="Y705" i="2" s="1"/>
  <c r="W705" i="2"/>
  <c r="V705" i="2"/>
  <c r="AB705" i="2" s="1"/>
  <c r="AE704" i="2"/>
  <c r="AD704" i="2"/>
  <c r="AC704" i="2"/>
  <c r="X704" i="2"/>
  <c r="Y704" i="2" s="1"/>
  <c r="W704" i="2"/>
  <c r="V704" i="2"/>
  <c r="AB704" i="2" s="1"/>
  <c r="AE703" i="2"/>
  <c r="AD703" i="2"/>
  <c r="AC703" i="2"/>
  <c r="X703" i="2"/>
  <c r="Y703" i="2" s="1"/>
  <c r="W703" i="2"/>
  <c r="V703" i="2"/>
  <c r="AB703" i="2" s="1"/>
  <c r="AE702" i="2"/>
  <c r="AD702" i="2"/>
  <c r="AC702" i="2"/>
  <c r="X702" i="2"/>
  <c r="Y702" i="2" s="1"/>
  <c r="W702" i="2"/>
  <c r="V702" i="2"/>
  <c r="Z702" i="2" s="1"/>
  <c r="AE701" i="2"/>
  <c r="AD701" i="2"/>
  <c r="AC701" i="2"/>
  <c r="X701" i="2"/>
  <c r="Y701" i="2" s="1"/>
  <c r="W701" i="2"/>
  <c r="V701" i="2"/>
  <c r="AB701" i="2" s="1"/>
  <c r="AE700" i="2"/>
  <c r="AD700" i="2"/>
  <c r="AC700" i="2"/>
  <c r="X700" i="2"/>
  <c r="Y700" i="2" s="1"/>
  <c r="W700" i="2"/>
  <c r="V700" i="2"/>
  <c r="AB700" i="2" s="1"/>
  <c r="AE699" i="2"/>
  <c r="AD699" i="2"/>
  <c r="AC699" i="2"/>
  <c r="X699" i="2"/>
  <c r="Y699" i="2" s="1"/>
  <c r="W699" i="2"/>
  <c r="V699" i="2"/>
  <c r="AB699" i="2" s="1"/>
  <c r="AE698" i="2"/>
  <c r="AD698" i="2"/>
  <c r="AC698" i="2"/>
  <c r="X698" i="2"/>
  <c r="Y698" i="2" s="1"/>
  <c r="W698" i="2"/>
  <c r="V698" i="2"/>
  <c r="Z698" i="2" s="1"/>
  <c r="AE697" i="2"/>
  <c r="AD697" i="2"/>
  <c r="AC697" i="2"/>
  <c r="X697" i="2"/>
  <c r="Y697" i="2" s="1"/>
  <c r="W697" i="2"/>
  <c r="V697" i="2"/>
  <c r="AB697" i="2" s="1"/>
  <c r="AE696" i="2"/>
  <c r="AD696" i="2"/>
  <c r="AC696" i="2"/>
  <c r="X696" i="2"/>
  <c r="Y696" i="2" s="1"/>
  <c r="W696" i="2"/>
  <c r="V696" i="2"/>
  <c r="AB696" i="2" s="1"/>
  <c r="AE695" i="2"/>
  <c r="AD695" i="2"/>
  <c r="AC695" i="2"/>
  <c r="X695" i="2"/>
  <c r="Y695" i="2" s="1"/>
  <c r="W695" i="2"/>
  <c r="V695" i="2"/>
  <c r="AB695" i="2" s="1"/>
  <c r="AE694" i="2"/>
  <c r="AD694" i="2"/>
  <c r="AC694" i="2"/>
  <c r="X694" i="2"/>
  <c r="Y694" i="2" s="1"/>
  <c r="W694" i="2"/>
  <c r="V694" i="2"/>
  <c r="AE693" i="2"/>
  <c r="AD693" i="2"/>
  <c r="AC693" i="2"/>
  <c r="X693" i="2"/>
  <c r="Y693" i="2" s="1"/>
  <c r="W693" i="2"/>
  <c r="V693" i="2"/>
  <c r="AB693" i="2" s="1"/>
  <c r="AE692" i="2"/>
  <c r="AD692" i="2"/>
  <c r="AC692" i="2"/>
  <c r="X692" i="2"/>
  <c r="Y692" i="2" s="1"/>
  <c r="W692" i="2"/>
  <c r="V692" i="2"/>
  <c r="AE691" i="2"/>
  <c r="AD691" i="2"/>
  <c r="AC691" i="2"/>
  <c r="X691" i="2"/>
  <c r="Y691" i="2" s="1"/>
  <c r="W691" i="2"/>
  <c r="V691" i="2"/>
  <c r="AB691" i="2" s="1"/>
  <c r="AE690" i="2"/>
  <c r="AD690" i="2"/>
  <c r="AC690" i="2"/>
  <c r="X690" i="2"/>
  <c r="Y690" i="2" s="1"/>
  <c r="W690" i="2"/>
  <c r="V690" i="2"/>
  <c r="Z690" i="2" s="1"/>
  <c r="AE689" i="2"/>
  <c r="AD689" i="2"/>
  <c r="AC689" i="2"/>
  <c r="X689" i="2"/>
  <c r="Y689" i="2" s="1"/>
  <c r="W689" i="2"/>
  <c r="V689" i="2"/>
  <c r="AB689" i="2" s="1"/>
  <c r="AE688" i="2"/>
  <c r="AD688" i="2"/>
  <c r="AC688" i="2"/>
  <c r="X688" i="2"/>
  <c r="Y688" i="2" s="1"/>
  <c r="W688" i="2"/>
  <c r="V688" i="2"/>
  <c r="AE687" i="2"/>
  <c r="AD687" i="2"/>
  <c r="AC687" i="2"/>
  <c r="X687" i="2"/>
  <c r="Y687" i="2" s="1"/>
  <c r="W687" i="2"/>
  <c r="V687" i="2"/>
  <c r="AB687" i="2" s="1"/>
  <c r="AE686" i="2"/>
  <c r="AD686" i="2"/>
  <c r="AC686" i="2"/>
  <c r="X686" i="2"/>
  <c r="Y686" i="2" s="1"/>
  <c r="W686" i="2"/>
  <c r="V686" i="2"/>
  <c r="AE685" i="2"/>
  <c r="AD685" i="2"/>
  <c r="AC685" i="2"/>
  <c r="X685" i="2"/>
  <c r="Y685" i="2" s="1"/>
  <c r="W685" i="2"/>
  <c r="V685" i="2"/>
  <c r="AB685" i="2" s="1"/>
  <c r="AE684" i="2"/>
  <c r="AD684" i="2"/>
  <c r="AC684" i="2"/>
  <c r="X684" i="2"/>
  <c r="Y684" i="2" s="1"/>
  <c r="W684" i="2"/>
  <c r="V684" i="2"/>
  <c r="Z684" i="2" s="1"/>
  <c r="AE683" i="2"/>
  <c r="AD683" i="2"/>
  <c r="AC683" i="2"/>
  <c r="X683" i="2"/>
  <c r="Y683" i="2" s="1"/>
  <c r="W683" i="2"/>
  <c r="V683" i="2"/>
  <c r="AB683" i="2" s="1"/>
  <c r="AE682" i="2"/>
  <c r="AD682" i="2"/>
  <c r="AC682" i="2"/>
  <c r="X682" i="2"/>
  <c r="Y682" i="2" s="1"/>
  <c r="W682" i="2"/>
  <c r="V682" i="2"/>
  <c r="Z682" i="2" s="1"/>
  <c r="AE681" i="2"/>
  <c r="AD681" i="2"/>
  <c r="AC681" i="2"/>
  <c r="X681" i="2"/>
  <c r="Y681" i="2" s="1"/>
  <c r="W681" i="2"/>
  <c r="V681" i="2"/>
  <c r="AB681" i="2" s="1"/>
  <c r="AE680" i="2"/>
  <c r="AD680" i="2"/>
  <c r="AC680" i="2"/>
  <c r="X680" i="2"/>
  <c r="Y680" i="2" s="1"/>
  <c r="W680" i="2"/>
  <c r="V680" i="2"/>
  <c r="AB680" i="2" s="1"/>
  <c r="AE679" i="2"/>
  <c r="AD679" i="2"/>
  <c r="AC679" i="2"/>
  <c r="X679" i="2"/>
  <c r="Y679" i="2" s="1"/>
  <c r="W679" i="2"/>
  <c r="V679" i="2"/>
  <c r="AB679" i="2" s="1"/>
  <c r="AE678" i="2"/>
  <c r="AD678" i="2"/>
  <c r="AC678" i="2"/>
  <c r="X678" i="2"/>
  <c r="Y678" i="2" s="1"/>
  <c r="W678" i="2"/>
  <c r="V678" i="2"/>
  <c r="AB678" i="2" s="1"/>
  <c r="AE677" i="2"/>
  <c r="AD677" i="2"/>
  <c r="AC677" i="2"/>
  <c r="X677" i="2"/>
  <c r="Y677" i="2" s="1"/>
  <c r="W677" i="2"/>
  <c r="V677" i="2"/>
  <c r="AB677" i="2" s="1"/>
  <c r="AE676" i="2"/>
  <c r="AD676" i="2"/>
  <c r="AC676" i="2"/>
  <c r="X676" i="2"/>
  <c r="Y676" i="2" s="1"/>
  <c r="W676" i="2"/>
  <c r="V676" i="2"/>
  <c r="Z676" i="2" s="1"/>
  <c r="AE675" i="2"/>
  <c r="AD675" i="2"/>
  <c r="AC675" i="2"/>
  <c r="X675" i="2"/>
  <c r="Y675" i="2" s="1"/>
  <c r="W675" i="2"/>
  <c r="V675" i="2"/>
  <c r="AB675" i="2" s="1"/>
  <c r="AE674" i="2"/>
  <c r="AD674" i="2"/>
  <c r="AC674" i="2"/>
  <c r="X674" i="2"/>
  <c r="Y674" i="2" s="1"/>
  <c r="W674" i="2"/>
  <c r="V674" i="2"/>
  <c r="AE673" i="2"/>
  <c r="AD673" i="2"/>
  <c r="AC673" i="2"/>
  <c r="X673" i="2"/>
  <c r="Y673" i="2" s="1"/>
  <c r="W673" i="2"/>
  <c r="V673" i="2"/>
  <c r="AB673" i="2" s="1"/>
  <c r="AE672" i="2"/>
  <c r="AD672" i="2"/>
  <c r="AC672" i="2"/>
  <c r="X672" i="2"/>
  <c r="Y672" i="2" s="1"/>
  <c r="W672" i="2"/>
  <c r="V672" i="2"/>
  <c r="AB672" i="2" s="1"/>
  <c r="AE671" i="2"/>
  <c r="AD671" i="2"/>
  <c r="AC671" i="2"/>
  <c r="X671" i="2"/>
  <c r="Y671" i="2" s="1"/>
  <c r="W671" i="2"/>
  <c r="V671" i="2"/>
  <c r="AB671" i="2" s="1"/>
  <c r="AE670" i="2"/>
  <c r="AD670" i="2"/>
  <c r="AC670" i="2"/>
  <c r="X670" i="2"/>
  <c r="Y670" i="2" s="1"/>
  <c r="W670" i="2"/>
  <c r="V670" i="2"/>
  <c r="Z670" i="2" s="1"/>
  <c r="AE669" i="2"/>
  <c r="AD669" i="2"/>
  <c r="AC669" i="2"/>
  <c r="X669" i="2"/>
  <c r="Y669" i="2" s="1"/>
  <c r="W669" i="2"/>
  <c r="V669" i="2"/>
  <c r="AB669" i="2" s="1"/>
  <c r="AE668" i="2"/>
  <c r="AD668" i="2"/>
  <c r="AC668" i="2"/>
  <c r="X668" i="2"/>
  <c r="Y668" i="2" s="1"/>
  <c r="W668" i="2"/>
  <c r="V668" i="2"/>
  <c r="AE667" i="2"/>
  <c r="AD667" i="2"/>
  <c r="AC667" i="2"/>
  <c r="X667" i="2"/>
  <c r="Y667" i="2" s="1"/>
  <c r="W667" i="2"/>
  <c r="V667" i="2"/>
  <c r="AB667" i="2" s="1"/>
  <c r="AE666" i="2"/>
  <c r="AD666" i="2"/>
  <c r="AC666" i="2"/>
  <c r="X666" i="2"/>
  <c r="Y666" i="2" s="1"/>
  <c r="W666" i="2"/>
  <c r="V666" i="2"/>
  <c r="AE665" i="2"/>
  <c r="AD665" i="2"/>
  <c r="AC665" i="2"/>
  <c r="X665" i="2"/>
  <c r="Y665" i="2" s="1"/>
  <c r="W665" i="2"/>
  <c r="V665" i="2"/>
  <c r="AB665" i="2" s="1"/>
  <c r="AE664" i="2"/>
  <c r="AD664" i="2"/>
  <c r="AC664" i="2"/>
  <c r="X664" i="2"/>
  <c r="Y664" i="2" s="1"/>
  <c r="W664" i="2"/>
  <c r="V664" i="2"/>
  <c r="AB664" i="2" s="1"/>
  <c r="AE663" i="2"/>
  <c r="AD663" i="2"/>
  <c r="AC663" i="2"/>
  <c r="X663" i="2"/>
  <c r="Y663" i="2" s="1"/>
  <c r="W663" i="2"/>
  <c r="V663" i="2"/>
  <c r="AB663" i="2" s="1"/>
  <c r="AE662" i="2"/>
  <c r="AD662" i="2"/>
  <c r="AC662" i="2"/>
  <c r="X662" i="2"/>
  <c r="Y662" i="2" s="1"/>
  <c r="W662" i="2"/>
  <c r="V662" i="2"/>
  <c r="AE661" i="2"/>
  <c r="AD661" i="2"/>
  <c r="AC661" i="2"/>
  <c r="X661" i="2"/>
  <c r="Y661" i="2" s="1"/>
  <c r="W661" i="2"/>
  <c r="V661" i="2"/>
  <c r="AB661" i="2" s="1"/>
  <c r="AE660" i="2"/>
  <c r="AD660" i="2"/>
  <c r="AC660" i="2"/>
  <c r="X660" i="2"/>
  <c r="Y660" i="2" s="1"/>
  <c r="W660" i="2"/>
  <c r="V660" i="2"/>
  <c r="AE659" i="2"/>
  <c r="AD659" i="2"/>
  <c r="AC659" i="2"/>
  <c r="X659" i="2"/>
  <c r="Y659" i="2" s="1"/>
  <c r="W659" i="2"/>
  <c r="V659" i="2"/>
  <c r="AB659" i="2" s="1"/>
  <c r="AE658" i="2"/>
  <c r="AD658" i="2"/>
  <c r="AC658" i="2"/>
  <c r="X658" i="2"/>
  <c r="Y658" i="2" s="1"/>
  <c r="W658" i="2"/>
  <c r="V658" i="2"/>
  <c r="Z658" i="2" s="1"/>
  <c r="AE657" i="2"/>
  <c r="AD657" i="2"/>
  <c r="AC657" i="2"/>
  <c r="X657" i="2"/>
  <c r="Y657" i="2" s="1"/>
  <c r="W657" i="2"/>
  <c r="V657" i="2"/>
  <c r="AB657" i="2" s="1"/>
  <c r="AE656" i="2"/>
  <c r="AD656" i="2"/>
  <c r="AC656" i="2"/>
  <c r="X656" i="2"/>
  <c r="Y656" i="2" s="1"/>
  <c r="W656" i="2"/>
  <c r="V656" i="2"/>
  <c r="AE655" i="2"/>
  <c r="AD655" i="2"/>
  <c r="AC655" i="2"/>
  <c r="X655" i="2"/>
  <c r="Y655" i="2" s="1"/>
  <c r="W655" i="2"/>
  <c r="V655" i="2"/>
  <c r="AB655" i="2" s="1"/>
  <c r="AE654" i="2"/>
  <c r="AD654" i="2"/>
  <c r="AC654" i="2"/>
  <c r="X654" i="2"/>
  <c r="Y654" i="2" s="1"/>
  <c r="W654" i="2"/>
  <c r="V654" i="2"/>
  <c r="AE653" i="2"/>
  <c r="AD653" i="2"/>
  <c r="AC653" i="2"/>
  <c r="X653" i="2"/>
  <c r="Y653" i="2" s="1"/>
  <c r="W653" i="2"/>
  <c r="V653" i="2"/>
  <c r="AB653" i="2" s="1"/>
  <c r="AE652" i="2"/>
  <c r="AD652" i="2"/>
  <c r="AC652" i="2"/>
  <c r="X652" i="2"/>
  <c r="Y652" i="2" s="1"/>
  <c r="W652" i="2"/>
  <c r="V652" i="2"/>
  <c r="AE651" i="2"/>
  <c r="AD651" i="2"/>
  <c r="AC651" i="2"/>
  <c r="X651" i="2"/>
  <c r="Y651" i="2" s="1"/>
  <c r="W651" i="2"/>
  <c r="V651" i="2"/>
  <c r="AB651" i="2" s="1"/>
  <c r="AE650" i="2"/>
  <c r="AD650" i="2"/>
  <c r="AC650" i="2"/>
  <c r="X650" i="2"/>
  <c r="Y650" i="2" s="1"/>
  <c r="W650" i="2"/>
  <c r="V650" i="2"/>
  <c r="Z650" i="2" s="1"/>
  <c r="AE649" i="2"/>
  <c r="AD649" i="2"/>
  <c r="AC649" i="2"/>
  <c r="X649" i="2"/>
  <c r="Y649" i="2" s="1"/>
  <c r="W649" i="2"/>
  <c r="V649" i="2"/>
  <c r="AB649" i="2" s="1"/>
  <c r="AE648" i="2"/>
  <c r="AD648" i="2"/>
  <c r="AC648" i="2"/>
  <c r="X648" i="2"/>
  <c r="Y648" i="2" s="1"/>
  <c r="W648" i="2"/>
  <c r="V648" i="2"/>
  <c r="AB648" i="2" s="1"/>
  <c r="AE647" i="2"/>
  <c r="AD647" i="2"/>
  <c r="AC647" i="2"/>
  <c r="X647" i="2"/>
  <c r="Y647" i="2" s="1"/>
  <c r="W647" i="2"/>
  <c r="V647" i="2"/>
  <c r="AB647" i="2" s="1"/>
  <c r="AE646" i="2"/>
  <c r="AD646" i="2"/>
  <c r="AC646" i="2"/>
  <c r="X646" i="2"/>
  <c r="Y646" i="2" s="1"/>
  <c r="W646" i="2"/>
  <c r="V646" i="2"/>
  <c r="AE645" i="2"/>
  <c r="AD645" i="2"/>
  <c r="AC645" i="2"/>
  <c r="X645" i="2"/>
  <c r="Y645" i="2" s="1"/>
  <c r="W645" i="2"/>
  <c r="V645" i="2"/>
  <c r="AB645" i="2" s="1"/>
  <c r="AE644" i="2"/>
  <c r="AD644" i="2"/>
  <c r="AC644" i="2"/>
  <c r="X644" i="2"/>
  <c r="Y644" i="2" s="1"/>
  <c r="W644" i="2"/>
  <c r="V644" i="2"/>
  <c r="AE643" i="2"/>
  <c r="AD643" i="2"/>
  <c r="AC643" i="2"/>
  <c r="X643" i="2"/>
  <c r="Y643" i="2" s="1"/>
  <c r="W643" i="2"/>
  <c r="V643" i="2"/>
  <c r="AB643" i="2" s="1"/>
  <c r="AE642" i="2"/>
  <c r="AD642" i="2"/>
  <c r="AC642" i="2"/>
  <c r="X642" i="2"/>
  <c r="Y642" i="2" s="1"/>
  <c r="W642" i="2"/>
  <c r="V642" i="2"/>
  <c r="Z642" i="2" s="1"/>
  <c r="AE641" i="2"/>
  <c r="AD641" i="2"/>
  <c r="AC641" i="2"/>
  <c r="X641" i="2"/>
  <c r="Y641" i="2" s="1"/>
  <c r="W641" i="2"/>
  <c r="V641" i="2"/>
  <c r="AB641" i="2" s="1"/>
  <c r="AE640" i="2"/>
  <c r="AD640" i="2"/>
  <c r="AC640" i="2"/>
  <c r="X640" i="2"/>
  <c r="Y640" i="2" s="1"/>
  <c r="W640" i="2"/>
  <c r="V640" i="2"/>
  <c r="AB640" i="2" s="1"/>
  <c r="AE639" i="2"/>
  <c r="AD639" i="2"/>
  <c r="AC639" i="2"/>
  <c r="X639" i="2"/>
  <c r="Y639" i="2" s="1"/>
  <c r="W639" i="2"/>
  <c r="V639" i="2"/>
  <c r="AB639" i="2" s="1"/>
  <c r="AE638" i="2"/>
  <c r="AD638" i="2"/>
  <c r="AC638" i="2"/>
  <c r="X638" i="2"/>
  <c r="Y638" i="2" s="1"/>
  <c r="W638" i="2"/>
  <c r="V638" i="2"/>
  <c r="Z638" i="2" s="1"/>
  <c r="AE637" i="2"/>
  <c r="AD637" i="2"/>
  <c r="AC637" i="2"/>
  <c r="X637" i="2"/>
  <c r="Y637" i="2" s="1"/>
  <c r="W637" i="2"/>
  <c r="V637" i="2"/>
  <c r="AB637" i="2" s="1"/>
  <c r="AE636" i="2"/>
  <c r="AD636" i="2"/>
  <c r="AC636" i="2"/>
  <c r="X636" i="2"/>
  <c r="Y636" i="2" s="1"/>
  <c r="W636" i="2"/>
  <c r="V636" i="2"/>
  <c r="AB636" i="2" s="1"/>
  <c r="AE635" i="2"/>
  <c r="AD635" i="2"/>
  <c r="AC635" i="2"/>
  <c r="X635" i="2"/>
  <c r="Y635" i="2" s="1"/>
  <c r="W635" i="2"/>
  <c r="V635" i="2"/>
  <c r="AB635" i="2" s="1"/>
  <c r="AE634" i="2"/>
  <c r="AD634" i="2"/>
  <c r="AC634" i="2"/>
  <c r="X634" i="2"/>
  <c r="Y634" i="2" s="1"/>
  <c r="W634" i="2"/>
  <c r="V634" i="2"/>
  <c r="AE633" i="2"/>
  <c r="AD633" i="2"/>
  <c r="AC633" i="2"/>
  <c r="X633" i="2"/>
  <c r="Y633" i="2" s="1"/>
  <c r="W633" i="2"/>
  <c r="V633" i="2"/>
  <c r="AB633" i="2" s="1"/>
  <c r="AE632" i="2"/>
  <c r="AD632" i="2"/>
  <c r="AC632" i="2"/>
  <c r="X632" i="2"/>
  <c r="Y632" i="2" s="1"/>
  <c r="W632" i="2"/>
  <c r="V632" i="2"/>
  <c r="AE631" i="2"/>
  <c r="AD631" i="2"/>
  <c r="AC631" i="2"/>
  <c r="X631" i="2"/>
  <c r="Y631" i="2" s="1"/>
  <c r="W631" i="2"/>
  <c r="V631" i="2"/>
  <c r="AB631" i="2" s="1"/>
  <c r="AE630" i="2"/>
  <c r="AD630" i="2"/>
  <c r="AC630" i="2"/>
  <c r="X630" i="2"/>
  <c r="Y630" i="2" s="1"/>
  <c r="W630" i="2"/>
  <c r="V630" i="2"/>
  <c r="Z630" i="2" s="1"/>
  <c r="AE629" i="2"/>
  <c r="AD629" i="2"/>
  <c r="AC629" i="2"/>
  <c r="X629" i="2"/>
  <c r="Y629" i="2" s="1"/>
  <c r="W629" i="2"/>
  <c r="V629" i="2"/>
  <c r="AB629" i="2" s="1"/>
  <c r="AE628" i="2"/>
  <c r="AD628" i="2"/>
  <c r="AC628" i="2"/>
  <c r="X628" i="2"/>
  <c r="Y628" i="2" s="1"/>
  <c r="W628" i="2"/>
  <c r="V628" i="2"/>
  <c r="AE627" i="2"/>
  <c r="AD627" i="2"/>
  <c r="AC627" i="2"/>
  <c r="X627" i="2"/>
  <c r="Y627" i="2" s="1"/>
  <c r="W627" i="2"/>
  <c r="V627" i="2"/>
  <c r="AB627" i="2" s="1"/>
  <c r="AE626" i="2"/>
  <c r="AD626" i="2"/>
  <c r="AC626" i="2"/>
  <c r="X626" i="2"/>
  <c r="Y626" i="2" s="1"/>
  <c r="W626" i="2"/>
  <c r="V626" i="2"/>
  <c r="Z626" i="2" s="1"/>
  <c r="AE625" i="2"/>
  <c r="AD625" i="2"/>
  <c r="AC625" i="2"/>
  <c r="X625" i="2"/>
  <c r="Y625" i="2" s="1"/>
  <c r="W625" i="2"/>
  <c r="V625" i="2"/>
  <c r="AB625" i="2" s="1"/>
  <c r="AE624" i="2"/>
  <c r="AD624" i="2"/>
  <c r="AC624" i="2"/>
  <c r="X624" i="2"/>
  <c r="Y624" i="2" s="1"/>
  <c r="W624" i="2"/>
  <c r="V624" i="2"/>
  <c r="AE623" i="2"/>
  <c r="AD623" i="2"/>
  <c r="AC623" i="2"/>
  <c r="X623" i="2"/>
  <c r="Y623" i="2" s="1"/>
  <c r="W623" i="2"/>
  <c r="V623" i="2"/>
  <c r="AB623" i="2" s="1"/>
  <c r="AE622" i="2"/>
  <c r="AD622" i="2"/>
  <c r="AC622" i="2"/>
  <c r="X622" i="2"/>
  <c r="Y622" i="2" s="1"/>
  <c r="W622" i="2"/>
  <c r="V622" i="2"/>
  <c r="AE621" i="2"/>
  <c r="AD621" i="2"/>
  <c r="AC621" i="2"/>
  <c r="X621" i="2"/>
  <c r="Y621" i="2" s="1"/>
  <c r="W621" i="2"/>
  <c r="V621" i="2"/>
  <c r="AB621" i="2" s="1"/>
  <c r="AE620" i="2"/>
  <c r="AD620" i="2"/>
  <c r="AC620" i="2"/>
  <c r="X620" i="2"/>
  <c r="Y620" i="2" s="1"/>
  <c r="W620" i="2"/>
  <c r="V620" i="2"/>
  <c r="AE619" i="2"/>
  <c r="AD619" i="2"/>
  <c r="AC619" i="2"/>
  <c r="X619" i="2"/>
  <c r="Y619" i="2" s="1"/>
  <c r="W619" i="2"/>
  <c r="V619" i="2"/>
  <c r="AB619" i="2" s="1"/>
  <c r="AE618" i="2"/>
  <c r="AD618" i="2"/>
  <c r="AC618" i="2"/>
  <c r="X618" i="2"/>
  <c r="Y618" i="2" s="1"/>
  <c r="W618" i="2"/>
  <c r="V618" i="2"/>
  <c r="Z618" i="2" s="1"/>
  <c r="AE617" i="2"/>
  <c r="AD617" i="2"/>
  <c r="AC617" i="2"/>
  <c r="X617" i="2"/>
  <c r="Y617" i="2" s="1"/>
  <c r="W617" i="2"/>
  <c r="V617" i="2"/>
  <c r="AB617" i="2" s="1"/>
  <c r="AE616" i="2"/>
  <c r="AD616" i="2"/>
  <c r="AC616" i="2"/>
  <c r="X616" i="2"/>
  <c r="Y616" i="2" s="1"/>
  <c r="W616" i="2"/>
  <c r="V616" i="2"/>
  <c r="AB616" i="2" s="1"/>
  <c r="AE615" i="2"/>
  <c r="AD615" i="2"/>
  <c r="AC615" i="2"/>
  <c r="X615" i="2"/>
  <c r="Y615" i="2" s="1"/>
  <c r="W615" i="2"/>
  <c r="V615" i="2"/>
  <c r="AB615" i="2" s="1"/>
  <c r="AE614" i="2"/>
  <c r="AD614" i="2"/>
  <c r="AC614" i="2"/>
  <c r="X614" i="2"/>
  <c r="Y614" i="2" s="1"/>
  <c r="W614" i="2"/>
  <c r="V614" i="2"/>
  <c r="AB614" i="2" s="1"/>
  <c r="AE613" i="2"/>
  <c r="AD613" i="2"/>
  <c r="AC613" i="2"/>
  <c r="X613" i="2"/>
  <c r="Y613" i="2" s="1"/>
  <c r="W613" i="2"/>
  <c r="V613" i="2"/>
  <c r="AB613" i="2" s="1"/>
  <c r="AE612" i="2"/>
  <c r="AD612" i="2"/>
  <c r="AC612" i="2"/>
  <c r="X612" i="2"/>
  <c r="Y612" i="2" s="1"/>
  <c r="W612" i="2"/>
  <c r="V612" i="2"/>
  <c r="Z612" i="2" s="1"/>
  <c r="AE611" i="2"/>
  <c r="AD611" i="2"/>
  <c r="AC611" i="2"/>
  <c r="X611" i="2"/>
  <c r="Y611" i="2" s="1"/>
  <c r="W611" i="2"/>
  <c r="V611" i="2"/>
  <c r="AB611" i="2" s="1"/>
  <c r="AE610" i="2"/>
  <c r="AD610" i="2"/>
  <c r="AC610" i="2"/>
  <c r="X610" i="2"/>
  <c r="Y610" i="2" s="1"/>
  <c r="W610" i="2"/>
  <c r="V610" i="2"/>
  <c r="Z610" i="2" s="1"/>
  <c r="AE609" i="2"/>
  <c r="AD609" i="2"/>
  <c r="AC609" i="2"/>
  <c r="X609" i="2"/>
  <c r="Y609" i="2" s="1"/>
  <c r="W609" i="2"/>
  <c r="V609" i="2"/>
  <c r="AB609" i="2" s="1"/>
  <c r="AE608" i="2"/>
  <c r="AD608" i="2"/>
  <c r="AC608" i="2"/>
  <c r="X608" i="2"/>
  <c r="Y608" i="2" s="1"/>
  <c r="W608" i="2"/>
  <c r="V608" i="2"/>
  <c r="AB608" i="2" s="1"/>
  <c r="AE607" i="2"/>
  <c r="AD607" i="2"/>
  <c r="AC607" i="2"/>
  <c r="X607" i="2"/>
  <c r="Y607" i="2" s="1"/>
  <c r="W607" i="2"/>
  <c r="V607" i="2"/>
  <c r="AB607" i="2" s="1"/>
  <c r="AE606" i="2"/>
  <c r="AD606" i="2"/>
  <c r="AC606" i="2"/>
  <c r="X606" i="2"/>
  <c r="Y606" i="2" s="1"/>
  <c r="W606" i="2"/>
  <c r="V606" i="2"/>
  <c r="Z606" i="2" s="1"/>
  <c r="AE605" i="2"/>
  <c r="AD605" i="2"/>
  <c r="AC605" i="2"/>
  <c r="X605" i="2"/>
  <c r="Y605" i="2" s="1"/>
  <c r="W605" i="2"/>
  <c r="V605" i="2"/>
  <c r="AB605" i="2" s="1"/>
  <c r="AE604" i="2"/>
  <c r="AD604" i="2"/>
  <c r="AC604" i="2"/>
  <c r="X604" i="2"/>
  <c r="Y604" i="2" s="1"/>
  <c r="W604" i="2"/>
  <c r="V604" i="2"/>
  <c r="AB604" i="2" s="1"/>
  <c r="AE603" i="2"/>
  <c r="AD603" i="2"/>
  <c r="AC603" i="2"/>
  <c r="X603" i="2"/>
  <c r="Y603" i="2" s="1"/>
  <c r="W603" i="2"/>
  <c r="V603" i="2"/>
  <c r="AB603" i="2" s="1"/>
  <c r="AE602" i="2"/>
  <c r="AD602" i="2"/>
  <c r="AC602" i="2"/>
  <c r="X602" i="2"/>
  <c r="Y602" i="2" s="1"/>
  <c r="W602" i="2"/>
  <c r="V602" i="2"/>
  <c r="Z602" i="2" s="1"/>
  <c r="AE601" i="2"/>
  <c r="AD601" i="2"/>
  <c r="AC601" i="2"/>
  <c r="X601" i="2"/>
  <c r="Y601" i="2" s="1"/>
  <c r="W601" i="2"/>
  <c r="V601" i="2"/>
  <c r="AB601" i="2" s="1"/>
  <c r="AE600" i="2"/>
  <c r="AD600" i="2"/>
  <c r="AC600" i="2"/>
  <c r="X600" i="2"/>
  <c r="Y600" i="2" s="1"/>
  <c r="W600" i="2"/>
  <c r="V600" i="2"/>
  <c r="AB600" i="2" s="1"/>
  <c r="AE599" i="2"/>
  <c r="AD599" i="2"/>
  <c r="AC599" i="2"/>
  <c r="X599" i="2"/>
  <c r="Y599" i="2" s="1"/>
  <c r="W599" i="2"/>
  <c r="V599" i="2"/>
  <c r="AB599" i="2" s="1"/>
  <c r="AE598" i="2"/>
  <c r="AD598" i="2"/>
  <c r="AC598" i="2"/>
  <c r="X598" i="2"/>
  <c r="Y598" i="2" s="1"/>
  <c r="W598" i="2"/>
  <c r="V598" i="2"/>
  <c r="AE597" i="2"/>
  <c r="AD597" i="2"/>
  <c r="AC597" i="2"/>
  <c r="X597" i="2"/>
  <c r="Y597" i="2" s="1"/>
  <c r="W597" i="2"/>
  <c r="V597" i="2"/>
  <c r="AB597" i="2" s="1"/>
  <c r="AE596" i="2"/>
  <c r="AD596" i="2"/>
  <c r="AC596" i="2"/>
  <c r="X596" i="2"/>
  <c r="Y596" i="2" s="1"/>
  <c r="W596" i="2"/>
  <c r="V596" i="2"/>
  <c r="Z596" i="2" s="1"/>
  <c r="AE595" i="2"/>
  <c r="AD595" i="2"/>
  <c r="AC595" i="2"/>
  <c r="X595" i="2"/>
  <c r="Y595" i="2" s="1"/>
  <c r="W595" i="2"/>
  <c r="V595" i="2"/>
  <c r="AB595" i="2" s="1"/>
  <c r="AE594" i="2"/>
  <c r="AD594" i="2"/>
  <c r="AC594" i="2"/>
  <c r="X594" i="2"/>
  <c r="Y594" i="2" s="1"/>
  <c r="W594" i="2"/>
  <c r="V594" i="2"/>
  <c r="Z594" i="2" s="1"/>
  <c r="AE593" i="2"/>
  <c r="AD593" i="2"/>
  <c r="AC593" i="2"/>
  <c r="X593" i="2"/>
  <c r="Y593" i="2" s="1"/>
  <c r="W593" i="2"/>
  <c r="V593" i="2"/>
  <c r="AB593" i="2" s="1"/>
  <c r="AE592" i="2"/>
  <c r="AD592" i="2"/>
  <c r="AC592" i="2"/>
  <c r="X592" i="2"/>
  <c r="Y592" i="2" s="1"/>
  <c r="W592" i="2"/>
  <c r="V592" i="2"/>
  <c r="AE591" i="2"/>
  <c r="AD591" i="2"/>
  <c r="AC591" i="2"/>
  <c r="X591" i="2"/>
  <c r="Y591" i="2" s="1"/>
  <c r="W591" i="2"/>
  <c r="V591" i="2"/>
  <c r="AB591" i="2" s="1"/>
  <c r="AE590" i="2"/>
  <c r="AD590" i="2"/>
  <c r="AC590" i="2"/>
  <c r="X590" i="2"/>
  <c r="Y590" i="2" s="1"/>
  <c r="W590" i="2"/>
  <c r="V590" i="2"/>
  <c r="Z590" i="2" s="1"/>
  <c r="AE589" i="2"/>
  <c r="AD589" i="2"/>
  <c r="AC589" i="2"/>
  <c r="X589" i="2"/>
  <c r="Y589" i="2" s="1"/>
  <c r="W589" i="2"/>
  <c r="V589" i="2"/>
  <c r="AB589" i="2" s="1"/>
  <c r="AE588" i="2"/>
  <c r="AD588" i="2"/>
  <c r="AC588" i="2"/>
  <c r="X588" i="2"/>
  <c r="Y588" i="2" s="1"/>
  <c r="W588" i="2"/>
  <c r="V588" i="2"/>
  <c r="Z588" i="2" s="1"/>
  <c r="AE587" i="2"/>
  <c r="AD587" i="2"/>
  <c r="AC587" i="2"/>
  <c r="X587" i="2"/>
  <c r="Y587" i="2" s="1"/>
  <c r="W587" i="2"/>
  <c r="V587" i="2"/>
  <c r="AB587" i="2" s="1"/>
  <c r="AE586" i="2"/>
  <c r="AD586" i="2"/>
  <c r="AC586" i="2"/>
  <c r="X586" i="2"/>
  <c r="Y586" i="2" s="1"/>
  <c r="W586" i="2"/>
  <c r="V586" i="2"/>
  <c r="Z586" i="2" s="1"/>
  <c r="AE585" i="2"/>
  <c r="AD585" i="2"/>
  <c r="AC585" i="2"/>
  <c r="X585" i="2"/>
  <c r="Y585" i="2" s="1"/>
  <c r="W585" i="2"/>
  <c r="V585" i="2"/>
  <c r="AB585" i="2" s="1"/>
  <c r="AE584" i="2"/>
  <c r="AD584" i="2"/>
  <c r="AC584" i="2"/>
  <c r="X584" i="2"/>
  <c r="Y584" i="2" s="1"/>
  <c r="W584" i="2"/>
  <c r="V584" i="2"/>
  <c r="AB584" i="2" s="1"/>
  <c r="AE583" i="2"/>
  <c r="AD583" i="2"/>
  <c r="AC583" i="2"/>
  <c r="X583" i="2"/>
  <c r="Y583" i="2" s="1"/>
  <c r="W583" i="2"/>
  <c r="V583" i="2"/>
  <c r="AB583" i="2" s="1"/>
  <c r="AE582" i="2"/>
  <c r="AD582" i="2"/>
  <c r="AC582" i="2"/>
  <c r="X582" i="2"/>
  <c r="Y582" i="2" s="1"/>
  <c r="W582" i="2"/>
  <c r="V582" i="2"/>
  <c r="AB582" i="2" s="1"/>
  <c r="AE581" i="2"/>
  <c r="AD581" i="2"/>
  <c r="AC581" i="2"/>
  <c r="X581" i="2"/>
  <c r="Y581" i="2" s="1"/>
  <c r="W581" i="2"/>
  <c r="V581" i="2"/>
  <c r="AB581" i="2" s="1"/>
  <c r="AE580" i="2"/>
  <c r="AD580" i="2"/>
  <c r="AC580" i="2"/>
  <c r="X580" i="2"/>
  <c r="Y580" i="2" s="1"/>
  <c r="W580" i="2"/>
  <c r="V580" i="2"/>
  <c r="Z580" i="2" s="1"/>
  <c r="AE579" i="2"/>
  <c r="AD579" i="2"/>
  <c r="AC579" i="2"/>
  <c r="X579" i="2"/>
  <c r="Y579" i="2" s="1"/>
  <c r="W579" i="2"/>
  <c r="V579" i="2"/>
  <c r="AB579" i="2" s="1"/>
  <c r="AE578" i="2"/>
  <c r="AD578" i="2"/>
  <c r="AC578" i="2"/>
  <c r="X578" i="2"/>
  <c r="Y578" i="2" s="1"/>
  <c r="W578" i="2"/>
  <c r="V578" i="2"/>
  <c r="AE577" i="2"/>
  <c r="AD577" i="2"/>
  <c r="AC577" i="2"/>
  <c r="X577" i="2"/>
  <c r="Y577" i="2" s="1"/>
  <c r="W577" i="2"/>
  <c r="V577" i="2"/>
  <c r="AB577" i="2" s="1"/>
  <c r="AE576" i="2"/>
  <c r="AD576" i="2"/>
  <c r="AC576" i="2"/>
  <c r="X576" i="2"/>
  <c r="Y576" i="2" s="1"/>
  <c r="W576" i="2"/>
  <c r="V576" i="2"/>
  <c r="AB576" i="2" s="1"/>
  <c r="AE575" i="2"/>
  <c r="AD575" i="2"/>
  <c r="AC575" i="2"/>
  <c r="X575" i="2"/>
  <c r="Y575" i="2" s="1"/>
  <c r="W575" i="2"/>
  <c r="V575" i="2"/>
  <c r="AB575" i="2" s="1"/>
  <c r="AE574" i="2"/>
  <c r="AD574" i="2"/>
  <c r="AC574" i="2"/>
  <c r="X574" i="2"/>
  <c r="Y574" i="2" s="1"/>
  <c r="W574" i="2"/>
  <c r="V574" i="2"/>
  <c r="Z574" i="2" s="1"/>
  <c r="AE573" i="2"/>
  <c r="AD573" i="2"/>
  <c r="AC573" i="2"/>
  <c r="X573" i="2"/>
  <c r="Y573" i="2" s="1"/>
  <c r="W573" i="2"/>
  <c r="V573" i="2"/>
  <c r="AB573" i="2" s="1"/>
  <c r="AE572" i="2"/>
  <c r="AD572" i="2"/>
  <c r="AC572" i="2"/>
  <c r="X572" i="2"/>
  <c r="Y572" i="2" s="1"/>
  <c r="W572" i="2"/>
  <c r="V572" i="2"/>
  <c r="AB572" i="2" s="1"/>
  <c r="AE571" i="2"/>
  <c r="AD571" i="2"/>
  <c r="AC571" i="2"/>
  <c r="X571" i="2"/>
  <c r="Y571" i="2" s="1"/>
  <c r="W571" i="2"/>
  <c r="V571" i="2"/>
  <c r="AB571" i="2" s="1"/>
  <c r="AE570" i="2"/>
  <c r="AD570" i="2"/>
  <c r="AC570" i="2"/>
  <c r="X570" i="2"/>
  <c r="Y570" i="2" s="1"/>
  <c r="W570" i="2"/>
  <c r="V570" i="2"/>
  <c r="Z570" i="2" s="1"/>
  <c r="AE569" i="2"/>
  <c r="AD569" i="2"/>
  <c r="AC569" i="2"/>
  <c r="X569" i="2"/>
  <c r="Y569" i="2" s="1"/>
  <c r="W569" i="2"/>
  <c r="V569" i="2"/>
  <c r="AB569" i="2" s="1"/>
  <c r="AE568" i="2"/>
  <c r="AD568" i="2"/>
  <c r="AC568" i="2"/>
  <c r="X568" i="2"/>
  <c r="Y568" i="2" s="1"/>
  <c r="W568" i="2"/>
  <c r="V568" i="2"/>
  <c r="AB568" i="2" s="1"/>
  <c r="AE567" i="2"/>
  <c r="AD567" i="2"/>
  <c r="AC567" i="2"/>
  <c r="X567" i="2"/>
  <c r="Y567" i="2" s="1"/>
  <c r="W567" i="2"/>
  <c r="V567" i="2"/>
  <c r="AB567" i="2" s="1"/>
  <c r="AE566" i="2"/>
  <c r="AD566" i="2"/>
  <c r="AC566" i="2"/>
  <c r="X566" i="2"/>
  <c r="Y566" i="2" s="1"/>
  <c r="W566" i="2"/>
  <c r="V566" i="2"/>
  <c r="AE565" i="2"/>
  <c r="AD565" i="2"/>
  <c r="AC565" i="2"/>
  <c r="X565" i="2"/>
  <c r="Y565" i="2" s="1"/>
  <c r="W565" i="2"/>
  <c r="V565" i="2"/>
  <c r="AB565" i="2" s="1"/>
  <c r="AE564" i="2"/>
  <c r="AD564" i="2"/>
  <c r="AC564" i="2"/>
  <c r="X564" i="2"/>
  <c r="Y564" i="2" s="1"/>
  <c r="W564" i="2"/>
  <c r="V564" i="2"/>
  <c r="Z564" i="2" s="1"/>
  <c r="AE563" i="2"/>
  <c r="AD563" i="2"/>
  <c r="AC563" i="2"/>
  <c r="X563" i="2"/>
  <c r="Y563" i="2" s="1"/>
  <c r="W563" i="2"/>
  <c r="V563" i="2"/>
  <c r="AB563" i="2" s="1"/>
  <c r="AE562" i="2"/>
  <c r="AD562" i="2"/>
  <c r="AC562" i="2"/>
  <c r="X562" i="2"/>
  <c r="Y562" i="2" s="1"/>
  <c r="W562" i="2"/>
  <c r="V562" i="2"/>
  <c r="Z562" i="2" s="1"/>
  <c r="AE561" i="2"/>
  <c r="AD561" i="2"/>
  <c r="AC561" i="2"/>
  <c r="X561" i="2"/>
  <c r="Y561" i="2" s="1"/>
  <c r="W561" i="2"/>
  <c r="V561" i="2"/>
  <c r="AB561" i="2" s="1"/>
  <c r="AE560" i="2"/>
  <c r="AD560" i="2"/>
  <c r="AC560" i="2"/>
  <c r="X560" i="2"/>
  <c r="Y560" i="2" s="1"/>
  <c r="W560" i="2"/>
  <c r="V560" i="2"/>
  <c r="AE559" i="2"/>
  <c r="AD559" i="2"/>
  <c r="AC559" i="2"/>
  <c r="X559" i="2"/>
  <c r="Y559" i="2" s="1"/>
  <c r="W559" i="2"/>
  <c r="V559" i="2"/>
  <c r="AB559" i="2" s="1"/>
  <c r="AE558" i="2"/>
  <c r="AD558" i="2"/>
  <c r="AC558" i="2"/>
  <c r="X558" i="2"/>
  <c r="Y558" i="2" s="1"/>
  <c r="W558" i="2"/>
  <c r="V558" i="2"/>
  <c r="Z558" i="2" s="1"/>
  <c r="AE557" i="2"/>
  <c r="AD557" i="2"/>
  <c r="AC557" i="2"/>
  <c r="X557" i="2"/>
  <c r="Y557" i="2" s="1"/>
  <c r="W557" i="2"/>
  <c r="V557" i="2"/>
  <c r="AB557" i="2" s="1"/>
  <c r="AE556" i="2"/>
  <c r="AD556" i="2"/>
  <c r="AC556" i="2"/>
  <c r="X556" i="2"/>
  <c r="Y556" i="2" s="1"/>
  <c r="W556" i="2"/>
  <c r="V556" i="2"/>
  <c r="Z556" i="2" s="1"/>
  <c r="AE555" i="2"/>
  <c r="AD555" i="2"/>
  <c r="AC555" i="2"/>
  <c r="X555" i="2"/>
  <c r="Y555" i="2" s="1"/>
  <c r="W555" i="2"/>
  <c r="V555" i="2"/>
  <c r="AB555" i="2" s="1"/>
  <c r="AE554" i="2"/>
  <c r="AD554" i="2"/>
  <c r="AC554" i="2"/>
  <c r="X554" i="2"/>
  <c r="Y554" i="2" s="1"/>
  <c r="W554" i="2"/>
  <c r="V554" i="2"/>
  <c r="Z554" i="2" s="1"/>
  <c r="AE553" i="2"/>
  <c r="AD553" i="2"/>
  <c r="AC553" i="2"/>
  <c r="X553" i="2"/>
  <c r="Y553" i="2" s="1"/>
  <c r="W553" i="2"/>
  <c r="V553" i="2"/>
  <c r="AB553" i="2" s="1"/>
  <c r="AE552" i="2"/>
  <c r="AD552" i="2"/>
  <c r="AC552" i="2"/>
  <c r="X552" i="2"/>
  <c r="Y552" i="2" s="1"/>
  <c r="W552" i="2"/>
  <c r="V552" i="2"/>
  <c r="AB552" i="2" s="1"/>
  <c r="AE551" i="2"/>
  <c r="AD551" i="2"/>
  <c r="AC551" i="2"/>
  <c r="X551" i="2"/>
  <c r="Y551" i="2" s="1"/>
  <c r="W551" i="2"/>
  <c r="V551" i="2"/>
  <c r="AB551" i="2" s="1"/>
  <c r="AE550" i="2"/>
  <c r="AD550" i="2"/>
  <c r="AC550" i="2"/>
  <c r="X550" i="2"/>
  <c r="Y550" i="2" s="1"/>
  <c r="W550" i="2"/>
  <c r="V550" i="2"/>
  <c r="AB550" i="2" s="1"/>
  <c r="AE549" i="2"/>
  <c r="AD549" i="2"/>
  <c r="AC549" i="2"/>
  <c r="X549" i="2"/>
  <c r="Y549" i="2" s="1"/>
  <c r="W549" i="2"/>
  <c r="V549" i="2"/>
  <c r="AB549" i="2" s="1"/>
  <c r="AE548" i="2"/>
  <c r="AD548" i="2"/>
  <c r="AC548" i="2"/>
  <c r="X548" i="2"/>
  <c r="Y548" i="2" s="1"/>
  <c r="W548" i="2"/>
  <c r="V548" i="2"/>
  <c r="AE547" i="2"/>
  <c r="AD547" i="2"/>
  <c r="AC547" i="2"/>
  <c r="X547" i="2"/>
  <c r="Y547" i="2" s="1"/>
  <c r="W547" i="2"/>
  <c r="V547" i="2"/>
  <c r="AB547" i="2" s="1"/>
  <c r="AE546" i="2"/>
  <c r="AD546" i="2"/>
  <c r="AC546" i="2"/>
  <c r="X546" i="2"/>
  <c r="Y546" i="2" s="1"/>
  <c r="W546" i="2"/>
  <c r="V546" i="2"/>
  <c r="AE545" i="2"/>
  <c r="AD545" i="2"/>
  <c r="AC545" i="2"/>
  <c r="X545" i="2"/>
  <c r="Y545" i="2" s="1"/>
  <c r="W545" i="2"/>
  <c r="V545" i="2"/>
  <c r="AB545" i="2" s="1"/>
  <c r="AE544" i="2"/>
  <c r="AD544" i="2"/>
  <c r="AC544" i="2"/>
  <c r="X544" i="2"/>
  <c r="Y544" i="2" s="1"/>
  <c r="W544" i="2"/>
  <c r="V544" i="2"/>
  <c r="AB544" i="2" s="1"/>
  <c r="AE543" i="2"/>
  <c r="AD543" i="2"/>
  <c r="AC543" i="2"/>
  <c r="X543" i="2"/>
  <c r="Y543" i="2" s="1"/>
  <c r="W543" i="2"/>
  <c r="V543" i="2"/>
  <c r="AB543" i="2" s="1"/>
  <c r="AE542" i="2"/>
  <c r="AD542" i="2"/>
  <c r="AC542" i="2"/>
  <c r="X542" i="2"/>
  <c r="Y542" i="2" s="1"/>
  <c r="W542" i="2"/>
  <c r="V542" i="2"/>
  <c r="AE541" i="2"/>
  <c r="AD541" i="2"/>
  <c r="AC541" i="2"/>
  <c r="X541" i="2"/>
  <c r="Y541" i="2" s="1"/>
  <c r="W541" i="2"/>
  <c r="V541" i="2"/>
  <c r="AB541" i="2" s="1"/>
  <c r="AE540" i="2"/>
  <c r="AD540" i="2"/>
  <c r="AC540" i="2"/>
  <c r="X540" i="2"/>
  <c r="Y540" i="2" s="1"/>
  <c r="W540" i="2"/>
  <c r="V540" i="2"/>
  <c r="AE539" i="2"/>
  <c r="AD539" i="2"/>
  <c r="AC539" i="2"/>
  <c r="X539" i="2"/>
  <c r="Y539" i="2" s="1"/>
  <c r="W539" i="2"/>
  <c r="V539" i="2"/>
  <c r="AB539" i="2" s="1"/>
  <c r="AE538" i="2"/>
  <c r="AD538" i="2"/>
  <c r="AC538" i="2"/>
  <c r="X538" i="2"/>
  <c r="Y538" i="2" s="1"/>
  <c r="W538" i="2"/>
  <c r="V538" i="2"/>
  <c r="Z538" i="2" s="1"/>
  <c r="AE537" i="2"/>
  <c r="AD537" i="2"/>
  <c r="AC537" i="2"/>
  <c r="X537" i="2"/>
  <c r="Y537" i="2" s="1"/>
  <c r="W537" i="2"/>
  <c r="V537" i="2"/>
  <c r="AB537" i="2" s="1"/>
  <c r="AE536" i="2"/>
  <c r="AD536" i="2"/>
  <c r="AC536" i="2"/>
  <c r="X536" i="2"/>
  <c r="Y536" i="2" s="1"/>
  <c r="W536" i="2"/>
  <c r="V536" i="2"/>
  <c r="AB536" i="2" s="1"/>
  <c r="AE535" i="2"/>
  <c r="AD535" i="2"/>
  <c r="AC535" i="2"/>
  <c r="X535" i="2"/>
  <c r="Y535" i="2" s="1"/>
  <c r="W535" i="2"/>
  <c r="V535" i="2"/>
  <c r="AB535" i="2" s="1"/>
  <c r="AE534" i="2"/>
  <c r="AD534" i="2"/>
  <c r="AC534" i="2"/>
  <c r="X534" i="2"/>
  <c r="Y534" i="2" s="1"/>
  <c r="W534" i="2"/>
  <c r="V534" i="2"/>
  <c r="Z534" i="2" s="1"/>
  <c r="AE533" i="2"/>
  <c r="AD533" i="2"/>
  <c r="AC533" i="2"/>
  <c r="X533" i="2"/>
  <c r="Y533" i="2" s="1"/>
  <c r="W533" i="2"/>
  <c r="V533" i="2"/>
  <c r="AB533" i="2" s="1"/>
  <c r="AE532" i="2"/>
  <c r="AD532" i="2"/>
  <c r="AC532" i="2"/>
  <c r="X532" i="2"/>
  <c r="Y532" i="2" s="1"/>
  <c r="W532" i="2"/>
  <c r="V532" i="2"/>
  <c r="AE531" i="2"/>
  <c r="AD531" i="2"/>
  <c r="AC531" i="2"/>
  <c r="X531" i="2"/>
  <c r="Y531" i="2" s="1"/>
  <c r="W531" i="2"/>
  <c r="V531" i="2"/>
  <c r="AB531" i="2" s="1"/>
  <c r="AE530" i="2"/>
  <c r="AD530" i="2"/>
  <c r="AC530" i="2"/>
  <c r="X530" i="2"/>
  <c r="Y530" i="2" s="1"/>
  <c r="W530" i="2"/>
  <c r="V530" i="2"/>
  <c r="Z530" i="2" s="1"/>
  <c r="AE529" i="2"/>
  <c r="AD529" i="2"/>
  <c r="AC529" i="2"/>
  <c r="X529" i="2"/>
  <c r="Y529" i="2" s="1"/>
  <c r="W529" i="2"/>
  <c r="V529" i="2"/>
  <c r="AB529" i="2" s="1"/>
  <c r="AE528" i="2"/>
  <c r="AD528" i="2"/>
  <c r="AC528" i="2"/>
  <c r="X528" i="2"/>
  <c r="Y528" i="2" s="1"/>
  <c r="W528" i="2"/>
  <c r="V528" i="2"/>
  <c r="AE527" i="2"/>
  <c r="AD527" i="2"/>
  <c r="AC527" i="2"/>
  <c r="X527" i="2"/>
  <c r="Y527" i="2" s="1"/>
  <c r="W527" i="2"/>
  <c r="V527" i="2"/>
  <c r="AB527" i="2" s="1"/>
  <c r="AE526" i="2"/>
  <c r="AD526" i="2"/>
  <c r="AC526" i="2"/>
  <c r="X526" i="2"/>
  <c r="Y526" i="2" s="1"/>
  <c r="W526" i="2"/>
  <c r="V526" i="2"/>
  <c r="Z526" i="2" s="1"/>
  <c r="AE525" i="2"/>
  <c r="AD525" i="2"/>
  <c r="AC525" i="2"/>
  <c r="X525" i="2"/>
  <c r="Y525" i="2" s="1"/>
  <c r="W525" i="2"/>
  <c r="V525" i="2"/>
  <c r="AB525" i="2" s="1"/>
  <c r="AE524" i="2"/>
  <c r="AD524" i="2"/>
  <c r="AC524" i="2"/>
  <c r="X524" i="2"/>
  <c r="Y524" i="2" s="1"/>
  <c r="W524" i="2"/>
  <c r="V524" i="2"/>
  <c r="AE523" i="2"/>
  <c r="AD523" i="2"/>
  <c r="AC523" i="2"/>
  <c r="X523" i="2"/>
  <c r="Y523" i="2" s="1"/>
  <c r="W523" i="2"/>
  <c r="V523" i="2"/>
  <c r="AB523" i="2" s="1"/>
  <c r="AE522" i="2"/>
  <c r="AD522" i="2"/>
  <c r="AC522" i="2"/>
  <c r="X522" i="2"/>
  <c r="Y522" i="2" s="1"/>
  <c r="W522" i="2"/>
  <c r="V522" i="2"/>
  <c r="AE521" i="2"/>
  <c r="AD521" i="2"/>
  <c r="AC521" i="2"/>
  <c r="X521" i="2"/>
  <c r="Y521" i="2" s="1"/>
  <c r="W521" i="2"/>
  <c r="V521" i="2"/>
  <c r="AB521" i="2" s="1"/>
  <c r="AE520" i="2"/>
  <c r="AD520" i="2"/>
  <c r="AC520" i="2"/>
  <c r="X520" i="2"/>
  <c r="Y520" i="2" s="1"/>
  <c r="W520" i="2"/>
  <c r="V520" i="2"/>
  <c r="AB520" i="2" s="1"/>
  <c r="AE519" i="2"/>
  <c r="AD519" i="2"/>
  <c r="AC519" i="2"/>
  <c r="X519" i="2"/>
  <c r="Y519" i="2" s="1"/>
  <c r="W519" i="2"/>
  <c r="V519" i="2"/>
  <c r="AB519" i="2" s="1"/>
  <c r="AE518" i="2"/>
  <c r="AD518" i="2"/>
  <c r="AC518" i="2"/>
  <c r="X518" i="2"/>
  <c r="Y518" i="2" s="1"/>
  <c r="W518" i="2"/>
  <c r="V518" i="2"/>
  <c r="AE517" i="2"/>
  <c r="AD517" i="2"/>
  <c r="AC517" i="2"/>
  <c r="X517" i="2"/>
  <c r="Y517" i="2" s="1"/>
  <c r="W517" i="2"/>
  <c r="V517" i="2"/>
  <c r="AB517" i="2" s="1"/>
  <c r="AE516" i="2"/>
  <c r="AD516" i="2"/>
  <c r="AC516" i="2"/>
  <c r="X516" i="2"/>
  <c r="Y516" i="2" s="1"/>
  <c r="W516" i="2"/>
  <c r="V516" i="2"/>
  <c r="Z516" i="2" s="1"/>
  <c r="AE515" i="2"/>
  <c r="AD515" i="2"/>
  <c r="AC515" i="2"/>
  <c r="X515" i="2"/>
  <c r="Y515" i="2" s="1"/>
  <c r="W515" i="2"/>
  <c r="V515" i="2"/>
  <c r="AB515" i="2" s="1"/>
  <c r="AE514" i="2"/>
  <c r="AD514" i="2"/>
  <c r="AC514" i="2"/>
  <c r="X514" i="2"/>
  <c r="Y514" i="2" s="1"/>
  <c r="W514" i="2"/>
  <c r="V514" i="2"/>
  <c r="AE513" i="2"/>
  <c r="AD513" i="2"/>
  <c r="AC513" i="2"/>
  <c r="X513" i="2"/>
  <c r="Y513" i="2" s="1"/>
  <c r="W513" i="2"/>
  <c r="V513" i="2"/>
  <c r="AB513" i="2" s="1"/>
  <c r="AE512" i="2"/>
  <c r="AD512" i="2"/>
  <c r="AC512" i="2"/>
  <c r="X512" i="2"/>
  <c r="Y512" i="2" s="1"/>
  <c r="W512" i="2"/>
  <c r="V512" i="2"/>
  <c r="AB512" i="2" s="1"/>
  <c r="AE511" i="2"/>
  <c r="AD511" i="2"/>
  <c r="AC511" i="2"/>
  <c r="X511" i="2"/>
  <c r="Y511" i="2" s="1"/>
  <c r="W511" i="2"/>
  <c r="V511" i="2"/>
  <c r="AB511" i="2" s="1"/>
  <c r="AE510" i="2"/>
  <c r="AD510" i="2"/>
  <c r="AC510" i="2"/>
  <c r="X510" i="2"/>
  <c r="Y510" i="2" s="1"/>
  <c r="W510" i="2"/>
  <c r="V510" i="2"/>
  <c r="Z510" i="2" s="1"/>
  <c r="AE509" i="2"/>
  <c r="AD509" i="2"/>
  <c r="AC509" i="2"/>
  <c r="X509" i="2"/>
  <c r="Y509" i="2" s="1"/>
  <c r="W509" i="2"/>
  <c r="V509" i="2"/>
  <c r="AB509" i="2" s="1"/>
  <c r="AE508" i="2"/>
  <c r="AD508" i="2"/>
  <c r="AC508" i="2"/>
  <c r="X508" i="2"/>
  <c r="Y508" i="2" s="1"/>
  <c r="W508" i="2"/>
  <c r="V508" i="2"/>
  <c r="AB508" i="2" s="1"/>
  <c r="AE507" i="2"/>
  <c r="AD507" i="2"/>
  <c r="AC507" i="2"/>
  <c r="X507" i="2"/>
  <c r="Y507" i="2" s="1"/>
  <c r="W507" i="2"/>
  <c r="V507" i="2"/>
  <c r="AB507" i="2" s="1"/>
  <c r="AE506" i="2"/>
  <c r="AD506" i="2"/>
  <c r="AC506" i="2"/>
  <c r="X506" i="2"/>
  <c r="Y506" i="2" s="1"/>
  <c r="W506" i="2"/>
  <c r="V506" i="2"/>
  <c r="Z506" i="2" s="1"/>
  <c r="AE505" i="2"/>
  <c r="AD505" i="2"/>
  <c r="AC505" i="2"/>
  <c r="X505" i="2"/>
  <c r="Y505" i="2" s="1"/>
  <c r="W505" i="2"/>
  <c r="V505" i="2"/>
  <c r="AB505" i="2" s="1"/>
  <c r="AE504" i="2"/>
  <c r="AD504" i="2"/>
  <c r="AC504" i="2"/>
  <c r="X504" i="2"/>
  <c r="Y504" i="2" s="1"/>
  <c r="W504" i="2"/>
  <c r="V504" i="2"/>
  <c r="AE503" i="2"/>
  <c r="AD503" i="2"/>
  <c r="AC503" i="2"/>
  <c r="X503" i="2"/>
  <c r="Y503" i="2" s="1"/>
  <c r="W503" i="2"/>
  <c r="V503" i="2"/>
  <c r="AB503" i="2" s="1"/>
  <c r="AE502" i="2"/>
  <c r="AD502" i="2"/>
  <c r="AC502" i="2"/>
  <c r="X502" i="2"/>
  <c r="Y502" i="2" s="1"/>
  <c r="W502" i="2"/>
  <c r="V502" i="2"/>
  <c r="AE501" i="2"/>
  <c r="AD501" i="2"/>
  <c r="AC501" i="2"/>
  <c r="X501" i="2"/>
  <c r="Y501" i="2" s="1"/>
  <c r="W501" i="2"/>
  <c r="V501" i="2"/>
  <c r="AB501" i="2" s="1"/>
  <c r="AE500" i="2"/>
  <c r="AD500" i="2"/>
  <c r="AC500" i="2"/>
  <c r="X500" i="2"/>
  <c r="Y500" i="2" s="1"/>
  <c r="W500" i="2"/>
  <c r="V500" i="2"/>
  <c r="Z500" i="2" s="1"/>
  <c r="AE499" i="2"/>
  <c r="AD499" i="2"/>
  <c r="AC499" i="2"/>
  <c r="X499" i="2"/>
  <c r="Y499" i="2" s="1"/>
  <c r="W499" i="2"/>
  <c r="V499" i="2"/>
  <c r="AB499" i="2" s="1"/>
  <c r="AE498" i="2"/>
  <c r="AD498" i="2"/>
  <c r="AC498" i="2"/>
  <c r="X498" i="2"/>
  <c r="Y498" i="2" s="1"/>
  <c r="W498" i="2"/>
  <c r="V498" i="2"/>
  <c r="Z498" i="2" s="1"/>
  <c r="AE497" i="2"/>
  <c r="AD497" i="2"/>
  <c r="AC497" i="2"/>
  <c r="X497" i="2"/>
  <c r="Y497" i="2" s="1"/>
  <c r="W497" i="2"/>
  <c r="V497" i="2"/>
  <c r="AB497" i="2" s="1"/>
  <c r="AE496" i="2"/>
  <c r="AD496" i="2"/>
  <c r="AC496" i="2"/>
  <c r="X496" i="2"/>
  <c r="Y496" i="2" s="1"/>
  <c r="W496" i="2"/>
  <c r="V496" i="2"/>
  <c r="AE495" i="2"/>
  <c r="AD495" i="2"/>
  <c r="AC495" i="2"/>
  <c r="X495" i="2"/>
  <c r="Y495" i="2" s="1"/>
  <c r="W495" i="2"/>
  <c r="V495" i="2"/>
  <c r="AB495" i="2" s="1"/>
  <c r="AE494" i="2"/>
  <c r="AD494" i="2"/>
  <c r="AC494" i="2"/>
  <c r="X494" i="2"/>
  <c r="Y494" i="2" s="1"/>
  <c r="W494" i="2"/>
  <c r="V494" i="2"/>
  <c r="AE493" i="2"/>
  <c r="AD493" i="2"/>
  <c r="AC493" i="2"/>
  <c r="X493" i="2"/>
  <c r="Y493" i="2" s="1"/>
  <c r="W493" i="2"/>
  <c r="V493" i="2"/>
  <c r="AB493" i="2" s="1"/>
  <c r="AE492" i="2"/>
  <c r="AD492" i="2"/>
  <c r="AC492" i="2"/>
  <c r="X492" i="2"/>
  <c r="Y492" i="2" s="1"/>
  <c r="W492" i="2"/>
  <c r="V492" i="2"/>
  <c r="AE491" i="2"/>
  <c r="AD491" i="2"/>
  <c r="AC491" i="2"/>
  <c r="X491" i="2"/>
  <c r="Y491" i="2" s="1"/>
  <c r="W491" i="2"/>
  <c r="V491" i="2"/>
  <c r="AB491" i="2" s="1"/>
  <c r="AE490" i="2"/>
  <c r="AD490" i="2"/>
  <c r="AC490" i="2"/>
  <c r="X490" i="2"/>
  <c r="Y490" i="2" s="1"/>
  <c r="W490" i="2"/>
  <c r="V490" i="2"/>
  <c r="Z490" i="2" s="1"/>
  <c r="AE489" i="2"/>
  <c r="AD489" i="2"/>
  <c r="AC489" i="2"/>
  <c r="X489" i="2"/>
  <c r="Y489" i="2" s="1"/>
  <c r="W489" i="2"/>
  <c r="V489" i="2"/>
  <c r="AB489" i="2" s="1"/>
  <c r="AE488" i="2"/>
  <c r="AD488" i="2"/>
  <c r="AC488" i="2"/>
  <c r="X488" i="2"/>
  <c r="Y488" i="2" s="1"/>
  <c r="W488" i="2"/>
  <c r="V488" i="2"/>
  <c r="AB488" i="2" s="1"/>
  <c r="AE487" i="2"/>
  <c r="AD487" i="2"/>
  <c r="AC487" i="2"/>
  <c r="X487" i="2"/>
  <c r="Y487" i="2" s="1"/>
  <c r="W487" i="2"/>
  <c r="V487" i="2"/>
  <c r="AB487" i="2" s="1"/>
  <c r="AE486" i="2"/>
  <c r="AD486" i="2"/>
  <c r="AC486" i="2"/>
  <c r="X486" i="2"/>
  <c r="Y486" i="2" s="1"/>
  <c r="W486" i="2"/>
  <c r="V486" i="2"/>
  <c r="AB486" i="2" s="1"/>
  <c r="AE485" i="2"/>
  <c r="AD485" i="2"/>
  <c r="AC485" i="2"/>
  <c r="X485" i="2"/>
  <c r="Y485" i="2" s="1"/>
  <c r="W485" i="2"/>
  <c r="V485" i="2"/>
  <c r="AB485" i="2" s="1"/>
  <c r="AE484" i="2"/>
  <c r="AD484" i="2"/>
  <c r="AC484" i="2"/>
  <c r="X484" i="2"/>
  <c r="Y484" i="2" s="1"/>
  <c r="W484" i="2"/>
  <c r="V484" i="2"/>
  <c r="Z484" i="2" s="1"/>
  <c r="AE483" i="2"/>
  <c r="AD483" i="2"/>
  <c r="AC483" i="2"/>
  <c r="X483" i="2"/>
  <c r="Y483" i="2" s="1"/>
  <c r="W483" i="2"/>
  <c r="V483" i="2"/>
  <c r="AB483" i="2" s="1"/>
  <c r="AE482" i="2"/>
  <c r="AD482" i="2"/>
  <c r="AC482" i="2"/>
  <c r="X482" i="2"/>
  <c r="Y482" i="2" s="1"/>
  <c r="W482" i="2"/>
  <c r="V482" i="2"/>
  <c r="AE481" i="2"/>
  <c r="AD481" i="2"/>
  <c r="AC481" i="2"/>
  <c r="X481" i="2"/>
  <c r="Y481" i="2" s="1"/>
  <c r="W481" i="2"/>
  <c r="V481" i="2"/>
  <c r="AB481" i="2" s="1"/>
  <c r="AE480" i="2"/>
  <c r="AD480" i="2"/>
  <c r="AC480" i="2"/>
  <c r="X480" i="2"/>
  <c r="Y480" i="2" s="1"/>
  <c r="W480" i="2"/>
  <c r="V480" i="2"/>
  <c r="AB480" i="2" s="1"/>
  <c r="AE479" i="2"/>
  <c r="AD479" i="2"/>
  <c r="AC479" i="2"/>
  <c r="X479" i="2"/>
  <c r="Y479" i="2" s="1"/>
  <c r="W479" i="2"/>
  <c r="V479" i="2"/>
  <c r="AB479" i="2" s="1"/>
  <c r="AE478" i="2"/>
  <c r="AD478" i="2"/>
  <c r="AC478" i="2"/>
  <c r="X478" i="2"/>
  <c r="Y478" i="2" s="1"/>
  <c r="W478" i="2"/>
  <c r="V478" i="2"/>
  <c r="Z478" i="2" s="1"/>
  <c r="AE477" i="2"/>
  <c r="AD477" i="2"/>
  <c r="AC477" i="2"/>
  <c r="X477" i="2"/>
  <c r="Y477" i="2" s="1"/>
  <c r="W477" i="2"/>
  <c r="V477" i="2"/>
  <c r="AB477" i="2" s="1"/>
  <c r="AE476" i="2"/>
  <c r="AD476" i="2"/>
  <c r="AC476" i="2"/>
  <c r="X476" i="2"/>
  <c r="Y476" i="2" s="1"/>
  <c r="W476" i="2"/>
  <c r="V476" i="2"/>
  <c r="AB476" i="2" s="1"/>
  <c r="AE475" i="2"/>
  <c r="AD475" i="2"/>
  <c r="AC475" i="2"/>
  <c r="X475" i="2"/>
  <c r="Y475" i="2" s="1"/>
  <c r="W475" i="2"/>
  <c r="V475" i="2"/>
  <c r="AB475" i="2" s="1"/>
  <c r="AE474" i="2"/>
  <c r="AD474" i="2"/>
  <c r="AC474" i="2"/>
  <c r="X474" i="2"/>
  <c r="Y474" i="2" s="1"/>
  <c r="W474" i="2"/>
  <c r="V474" i="2"/>
  <c r="Z474" i="2" s="1"/>
  <c r="AE473" i="2"/>
  <c r="AD473" i="2"/>
  <c r="AC473" i="2"/>
  <c r="X473" i="2"/>
  <c r="Y473" i="2" s="1"/>
  <c r="W473" i="2"/>
  <c r="V473" i="2"/>
  <c r="AB473" i="2" s="1"/>
  <c r="AE472" i="2"/>
  <c r="AD472" i="2"/>
  <c r="AC472" i="2"/>
  <c r="X472" i="2"/>
  <c r="Y472" i="2" s="1"/>
  <c r="W472" i="2"/>
  <c r="V472" i="2"/>
  <c r="AB472" i="2" s="1"/>
  <c r="AE471" i="2"/>
  <c r="AD471" i="2"/>
  <c r="AC471" i="2"/>
  <c r="X471" i="2"/>
  <c r="Y471" i="2" s="1"/>
  <c r="W471" i="2"/>
  <c r="V471" i="2"/>
  <c r="AB471" i="2" s="1"/>
  <c r="AE470" i="2"/>
  <c r="AD470" i="2"/>
  <c r="AC470" i="2"/>
  <c r="X470" i="2"/>
  <c r="Y470" i="2" s="1"/>
  <c r="W470" i="2"/>
  <c r="V470" i="2"/>
  <c r="AE469" i="2"/>
  <c r="AD469" i="2"/>
  <c r="AC469" i="2"/>
  <c r="X469" i="2"/>
  <c r="Y469" i="2" s="1"/>
  <c r="W469" i="2"/>
  <c r="V469" i="2"/>
  <c r="AB469" i="2" s="1"/>
  <c r="AE468" i="2"/>
  <c r="AD468" i="2"/>
  <c r="AC468" i="2"/>
  <c r="X468" i="2"/>
  <c r="Y468" i="2" s="1"/>
  <c r="W468" i="2"/>
  <c r="V468" i="2"/>
  <c r="Z468" i="2" s="1"/>
  <c r="AE467" i="2"/>
  <c r="AD467" i="2"/>
  <c r="AC467" i="2"/>
  <c r="X467" i="2"/>
  <c r="Y467" i="2" s="1"/>
  <c r="W467" i="2"/>
  <c r="V467" i="2"/>
  <c r="AB467" i="2" s="1"/>
  <c r="AE466" i="2"/>
  <c r="AD466" i="2"/>
  <c r="AC466" i="2"/>
  <c r="X466" i="2"/>
  <c r="Y466" i="2" s="1"/>
  <c r="W466" i="2"/>
  <c r="V466" i="2"/>
  <c r="Z466" i="2" s="1"/>
  <c r="AE465" i="2"/>
  <c r="AD465" i="2"/>
  <c r="AC465" i="2"/>
  <c r="X465" i="2"/>
  <c r="Y465" i="2" s="1"/>
  <c r="W465" i="2"/>
  <c r="V465" i="2"/>
  <c r="AB465" i="2" s="1"/>
  <c r="AE464" i="2"/>
  <c r="AD464" i="2"/>
  <c r="AC464" i="2"/>
  <c r="X464" i="2"/>
  <c r="Y464" i="2" s="1"/>
  <c r="W464" i="2"/>
  <c r="V464" i="2"/>
  <c r="AE463" i="2"/>
  <c r="AD463" i="2"/>
  <c r="AC463" i="2"/>
  <c r="X463" i="2"/>
  <c r="Y463" i="2" s="1"/>
  <c r="W463" i="2"/>
  <c r="V463" i="2"/>
  <c r="AB463" i="2" s="1"/>
  <c r="AE462" i="2"/>
  <c r="AD462" i="2"/>
  <c r="AC462" i="2"/>
  <c r="X462" i="2"/>
  <c r="Y462" i="2" s="1"/>
  <c r="W462" i="2"/>
  <c r="V462" i="2"/>
  <c r="Z462" i="2" s="1"/>
  <c r="AE461" i="2"/>
  <c r="AD461" i="2"/>
  <c r="AC461" i="2"/>
  <c r="X461" i="2"/>
  <c r="Y461" i="2" s="1"/>
  <c r="W461" i="2"/>
  <c r="V461" i="2"/>
  <c r="AB461" i="2" s="1"/>
  <c r="AE460" i="2"/>
  <c r="AD460" i="2"/>
  <c r="AC460" i="2"/>
  <c r="X460" i="2"/>
  <c r="Y460" i="2" s="1"/>
  <c r="W460" i="2"/>
  <c r="V460" i="2"/>
  <c r="AE459" i="2"/>
  <c r="AD459" i="2"/>
  <c r="AC459" i="2"/>
  <c r="X459" i="2"/>
  <c r="Y459" i="2" s="1"/>
  <c r="W459" i="2"/>
  <c r="V459" i="2"/>
  <c r="AB459" i="2" s="1"/>
  <c r="AE458" i="2"/>
  <c r="AD458" i="2"/>
  <c r="AC458" i="2"/>
  <c r="X458" i="2"/>
  <c r="Y458" i="2" s="1"/>
  <c r="W458" i="2"/>
  <c r="V458" i="2"/>
  <c r="Z458" i="2" s="1"/>
  <c r="AE457" i="2"/>
  <c r="AD457" i="2"/>
  <c r="AC457" i="2"/>
  <c r="X457" i="2"/>
  <c r="Y457" i="2" s="1"/>
  <c r="W457" i="2"/>
  <c r="V457" i="2"/>
  <c r="AB457" i="2" s="1"/>
  <c r="AE456" i="2"/>
  <c r="AD456" i="2"/>
  <c r="AC456" i="2"/>
  <c r="X456" i="2"/>
  <c r="Y456" i="2" s="1"/>
  <c r="W456" i="2"/>
  <c r="V456" i="2"/>
  <c r="AB456" i="2" s="1"/>
  <c r="AE455" i="2"/>
  <c r="AD455" i="2"/>
  <c r="AC455" i="2"/>
  <c r="X455" i="2"/>
  <c r="Y455" i="2" s="1"/>
  <c r="W455" i="2"/>
  <c r="V455" i="2"/>
  <c r="AB455" i="2" s="1"/>
  <c r="AE454" i="2"/>
  <c r="AD454" i="2"/>
  <c r="AC454" i="2"/>
  <c r="X454" i="2"/>
  <c r="Y454" i="2" s="1"/>
  <c r="W454" i="2"/>
  <c r="V454" i="2"/>
  <c r="AB454" i="2" s="1"/>
  <c r="AE453" i="2"/>
  <c r="AD453" i="2"/>
  <c r="AC453" i="2"/>
  <c r="X453" i="2"/>
  <c r="Y453" i="2" s="1"/>
  <c r="W453" i="2"/>
  <c r="V453" i="2"/>
  <c r="AB453" i="2" s="1"/>
  <c r="AE452" i="2"/>
  <c r="AD452" i="2"/>
  <c r="AC452" i="2"/>
  <c r="X452" i="2"/>
  <c r="Y452" i="2" s="1"/>
  <c r="W452" i="2"/>
  <c r="V452" i="2"/>
  <c r="AE451" i="2"/>
  <c r="AD451" i="2"/>
  <c r="AC451" i="2"/>
  <c r="X451" i="2"/>
  <c r="Y451" i="2" s="1"/>
  <c r="W451" i="2"/>
  <c r="V451" i="2"/>
  <c r="AB451" i="2" s="1"/>
  <c r="AE450" i="2"/>
  <c r="AD450" i="2"/>
  <c r="AC450" i="2"/>
  <c r="X450" i="2"/>
  <c r="Y450" i="2" s="1"/>
  <c r="W450" i="2"/>
  <c r="V450" i="2"/>
  <c r="Z450" i="2" s="1"/>
  <c r="AE449" i="2"/>
  <c r="AD449" i="2"/>
  <c r="AC449" i="2"/>
  <c r="X449" i="2"/>
  <c r="Y449" i="2" s="1"/>
  <c r="W449" i="2"/>
  <c r="V449" i="2"/>
  <c r="AB449" i="2" s="1"/>
  <c r="AE448" i="2"/>
  <c r="AD448" i="2"/>
  <c r="AC448" i="2"/>
  <c r="X448" i="2"/>
  <c r="Y448" i="2" s="1"/>
  <c r="W448" i="2"/>
  <c r="V448" i="2"/>
  <c r="AB448" i="2" s="1"/>
  <c r="AE447" i="2"/>
  <c r="AD447" i="2"/>
  <c r="AC447" i="2"/>
  <c r="X447" i="2"/>
  <c r="Y447" i="2" s="1"/>
  <c r="W447" i="2"/>
  <c r="V447" i="2"/>
  <c r="AB447" i="2" s="1"/>
  <c r="AE446" i="2"/>
  <c r="AD446" i="2"/>
  <c r="AC446" i="2"/>
  <c r="X446" i="2"/>
  <c r="Y446" i="2" s="1"/>
  <c r="W446" i="2"/>
  <c r="V446" i="2"/>
  <c r="AE445" i="2"/>
  <c r="AD445" i="2"/>
  <c r="AC445" i="2"/>
  <c r="X445" i="2"/>
  <c r="Y445" i="2" s="1"/>
  <c r="W445" i="2"/>
  <c r="V445" i="2"/>
  <c r="AB445" i="2" s="1"/>
  <c r="AE444" i="2"/>
  <c r="AD444" i="2"/>
  <c r="AC444" i="2"/>
  <c r="X444" i="2"/>
  <c r="Y444" i="2" s="1"/>
  <c r="W444" i="2"/>
  <c r="V444" i="2"/>
  <c r="AB444" i="2" s="1"/>
  <c r="AE443" i="2"/>
  <c r="AD443" i="2"/>
  <c r="AC443" i="2"/>
  <c r="X443" i="2"/>
  <c r="Y443" i="2" s="1"/>
  <c r="W443" i="2"/>
  <c r="V443" i="2"/>
  <c r="AB443" i="2" s="1"/>
  <c r="AE442" i="2"/>
  <c r="AD442" i="2"/>
  <c r="AC442" i="2"/>
  <c r="X442" i="2"/>
  <c r="Y442" i="2" s="1"/>
  <c r="W442" i="2"/>
  <c r="V442" i="2"/>
  <c r="Z442" i="2" s="1"/>
  <c r="AE441" i="2"/>
  <c r="AD441" i="2"/>
  <c r="AC441" i="2"/>
  <c r="X441" i="2"/>
  <c r="Y441" i="2" s="1"/>
  <c r="W441" i="2"/>
  <c r="V441" i="2"/>
  <c r="AB441" i="2" s="1"/>
  <c r="AE440" i="2"/>
  <c r="AD440" i="2"/>
  <c r="AC440" i="2"/>
  <c r="X440" i="2"/>
  <c r="Y440" i="2" s="1"/>
  <c r="W440" i="2"/>
  <c r="V440" i="2"/>
  <c r="AB440" i="2" s="1"/>
  <c r="AE439" i="2"/>
  <c r="AD439" i="2"/>
  <c r="AC439" i="2"/>
  <c r="X439" i="2"/>
  <c r="Y439" i="2" s="1"/>
  <c r="W439" i="2"/>
  <c r="V439" i="2"/>
  <c r="AB439" i="2" s="1"/>
  <c r="AE438" i="2"/>
  <c r="AD438" i="2"/>
  <c r="AC438" i="2"/>
  <c r="X438" i="2"/>
  <c r="Y438" i="2" s="1"/>
  <c r="W438" i="2"/>
  <c r="V438" i="2"/>
  <c r="Z438" i="2" s="1"/>
  <c r="AE437" i="2"/>
  <c r="AD437" i="2"/>
  <c r="AC437" i="2"/>
  <c r="X437" i="2"/>
  <c r="Y437" i="2" s="1"/>
  <c r="W437" i="2"/>
  <c r="V437" i="2"/>
  <c r="AB437" i="2" s="1"/>
  <c r="AE436" i="2"/>
  <c r="AD436" i="2"/>
  <c r="AC436" i="2"/>
  <c r="X436" i="2"/>
  <c r="Y436" i="2" s="1"/>
  <c r="W436" i="2"/>
  <c r="V436" i="2"/>
  <c r="AE435" i="2"/>
  <c r="AD435" i="2"/>
  <c r="AC435" i="2"/>
  <c r="X435" i="2"/>
  <c r="Y435" i="2" s="1"/>
  <c r="W435" i="2"/>
  <c r="V435" i="2"/>
  <c r="AB435" i="2" s="1"/>
  <c r="AE434" i="2"/>
  <c r="AD434" i="2"/>
  <c r="AC434" i="2"/>
  <c r="X434" i="2"/>
  <c r="Y434" i="2" s="1"/>
  <c r="W434" i="2"/>
  <c r="V434" i="2"/>
  <c r="AE433" i="2"/>
  <c r="AD433" i="2"/>
  <c r="AC433" i="2"/>
  <c r="X433" i="2"/>
  <c r="Y433" i="2" s="1"/>
  <c r="W433" i="2"/>
  <c r="V433" i="2"/>
  <c r="AB433" i="2" s="1"/>
  <c r="AE432" i="2"/>
  <c r="AD432" i="2"/>
  <c r="AC432" i="2"/>
  <c r="X432" i="2"/>
  <c r="Y432" i="2" s="1"/>
  <c r="W432" i="2"/>
  <c r="V432" i="2"/>
  <c r="AE431" i="2"/>
  <c r="AD431" i="2"/>
  <c r="AC431" i="2"/>
  <c r="X431" i="2"/>
  <c r="Y431" i="2" s="1"/>
  <c r="W431" i="2"/>
  <c r="V431" i="2"/>
  <c r="AB431" i="2" s="1"/>
  <c r="AE430" i="2"/>
  <c r="AD430" i="2"/>
  <c r="AC430" i="2"/>
  <c r="X430" i="2"/>
  <c r="Y430" i="2" s="1"/>
  <c r="W430" i="2"/>
  <c r="V430" i="2"/>
  <c r="Z430" i="2" s="1"/>
  <c r="AE429" i="2"/>
  <c r="AD429" i="2"/>
  <c r="AC429" i="2"/>
  <c r="X429" i="2"/>
  <c r="Y429" i="2" s="1"/>
  <c r="W429" i="2"/>
  <c r="V429" i="2"/>
  <c r="AB429" i="2" s="1"/>
  <c r="AE428" i="2"/>
  <c r="AD428" i="2"/>
  <c r="AC428" i="2"/>
  <c r="X428" i="2"/>
  <c r="Y428" i="2" s="1"/>
  <c r="W428" i="2"/>
  <c r="V428" i="2"/>
  <c r="AE427" i="2"/>
  <c r="AD427" i="2"/>
  <c r="AC427" i="2"/>
  <c r="X427" i="2"/>
  <c r="Y427" i="2" s="1"/>
  <c r="W427" i="2"/>
  <c r="V427" i="2"/>
  <c r="AB427" i="2" s="1"/>
  <c r="AE426" i="2"/>
  <c r="AD426" i="2"/>
  <c r="AC426" i="2"/>
  <c r="X426" i="2"/>
  <c r="Y426" i="2" s="1"/>
  <c r="W426" i="2"/>
  <c r="V426" i="2"/>
  <c r="AE425" i="2"/>
  <c r="AD425" i="2"/>
  <c r="AC425" i="2"/>
  <c r="X425" i="2"/>
  <c r="Y425" i="2" s="1"/>
  <c r="W425" i="2"/>
  <c r="V425" i="2"/>
  <c r="AB425" i="2" s="1"/>
  <c r="AE424" i="2"/>
  <c r="AD424" i="2"/>
  <c r="AC424" i="2"/>
  <c r="X424" i="2"/>
  <c r="Y424" i="2" s="1"/>
  <c r="W424" i="2"/>
  <c r="V424" i="2"/>
  <c r="AB424" i="2" s="1"/>
  <c r="AE423" i="2"/>
  <c r="AD423" i="2"/>
  <c r="AC423" i="2"/>
  <c r="X423" i="2"/>
  <c r="Y423" i="2" s="1"/>
  <c r="W423" i="2"/>
  <c r="V423" i="2"/>
  <c r="AB423" i="2" s="1"/>
  <c r="AE422" i="2"/>
  <c r="AD422" i="2"/>
  <c r="AC422" i="2"/>
  <c r="X422" i="2"/>
  <c r="Y422" i="2" s="1"/>
  <c r="W422" i="2"/>
  <c r="V422" i="2"/>
  <c r="AB422" i="2" s="1"/>
  <c r="AE421" i="2"/>
  <c r="AD421" i="2"/>
  <c r="AC421" i="2"/>
  <c r="X421" i="2"/>
  <c r="Y421" i="2" s="1"/>
  <c r="W421" i="2"/>
  <c r="V421" i="2"/>
  <c r="AB421" i="2" s="1"/>
  <c r="AE420" i="2"/>
  <c r="AD420" i="2"/>
  <c r="AC420" i="2"/>
  <c r="X420" i="2"/>
  <c r="Y420" i="2" s="1"/>
  <c r="W420" i="2"/>
  <c r="V420" i="2"/>
  <c r="Z420" i="2" s="1"/>
  <c r="AE419" i="2"/>
  <c r="AD419" i="2"/>
  <c r="AC419" i="2"/>
  <c r="X419" i="2"/>
  <c r="Y419" i="2" s="1"/>
  <c r="W419" i="2"/>
  <c r="V419" i="2"/>
  <c r="AB419" i="2" s="1"/>
  <c r="AE418" i="2"/>
  <c r="AD418" i="2"/>
  <c r="AC418" i="2"/>
  <c r="X418" i="2"/>
  <c r="Y418" i="2" s="1"/>
  <c r="W418" i="2"/>
  <c r="V418" i="2"/>
  <c r="Z418" i="2" s="1"/>
  <c r="AE417" i="2"/>
  <c r="AD417" i="2"/>
  <c r="AC417" i="2"/>
  <c r="X417" i="2"/>
  <c r="Y417" i="2" s="1"/>
  <c r="W417" i="2"/>
  <c r="V417" i="2"/>
  <c r="AB417" i="2" s="1"/>
  <c r="AE416" i="2"/>
  <c r="AD416" i="2"/>
  <c r="AC416" i="2"/>
  <c r="X416" i="2"/>
  <c r="Y416" i="2" s="1"/>
  <c r="W416" i="2"/>
  <c r="V416" i="2"/>
  <c r="AB416" i="2" s="1"/>
  <c r="AE415" i="2"/>
  <c r="AD415" i="2"/>
  <c r="AC415" i="2"/>
  <c r="X415" i="2"/>
  <c r="Y415" i="2" s="1"/>
  <c r="W415" i="2"/>
  <c r="V415" i="2"/>
  <c r="AB415" i="2" s="1"/>
  <c r="AE414" i="2"/>
  <c r="AD414" i="2"/>
  <c r="AC414" i="2"/>
  <c r="X414" i="2"/>
  <c r="Y414" i="2" s="1"/>
  <c r="W414" i="2"/>
  <c r="V414" i="2"/>
  <c r="AE413" i="2"/>
  <c r="AD413" i="2"/>
  <c r="AC413" i="2"/>
  <c r="X413" i="2"/>
  <c r="Y413" i="2" s="1"/>
  <c r="W413" i="2"/>
  <c r="V413" i="2"/>
  <c r="AB413" i="2" s="1"/>
  <c r="AE412" i="2"/>
  <c r="AD412" i="2"/>
  <c r="AC412" i="2"/>
  <c r="X412" i="2"/>
  <c r="Y412" i="2" s="1"/>
  <c r="W412" i="2"/>
  <c r="V412" i="2"/>
  <c r="AE411" i="2"/>
  <c r="AD411" i="2"/>
  <c r="AC411" i="2"/>
  <c r="X411" i="2"/>
  <c r="Y411" i="2" s="1"/>
  <c r="W411" i="2"/>
  <c r="V411" i="2"/>
  <c r="AB411" i="2" s="1"/>
  <c r="AE410" i="2"/>
  <c r="AD410" i="2"/>
  <c r="AC410" i="2"/>
  <c r="X410" i="2"/>
  <c r="Y410" i="2" s="1"/>
  <c r="W410" i="2"/>
  <c r="V410" i="2"/>
  <c r="Z410" i="2" s="1"/>
  <c r="AE409" i="2"/>
  <c r="AD409" i="2"/>
  <c r="AC409" i="2"/>
  <c r="X409" i="2"/>
  <c r="Y409" i="2" s="1"/>
  <c r="W409" i="2"/>
  <c r="V409" i="2"/>
  <c r="AB409" i="2" s="1"/>
  <c r="AE408" i="2"/>
  <c r="AD408" i="2"/>
  <c r="AC408" i="2"/>
  <c r="X408" i="2"/>
  <c r="Y408" i="2" s="1"/>
  <c r="W408" i="2"/>
  <c r="V408" i="2"/>
  <c r="AB408" i="2" s="1"/>
  <c r="AE407" i="2"/>
  <c r="AD407" i="2"/>
  <c r="AC407" i="2"/>
  <c r="X407" i="2"/>
  <c r="Y407" i="2" s="1"/>
  <c r="W407" i="2"/>
  <c r="V407" i="2"/>
  <c r="AB407" i="2" s="1"/>
  <c r="AE406" i="2"/>
  <c r="AD406" i="2"/>
  <c r="AC406" i="2"/>
  <c r="X406" i="2"/>
  <c r="Y406" i="2" s="1"/>
  <c r="W406" i="2"/>
  <c r="V406" i="2"/>
  <c r="Z406" i="2" s="1"/>
  <c r="AE405" i="2"/>
  <c r="AD405" i="2"/>
  <c r="AC405" i="2"/>
  <c r="X405" i="2"/>
  <c r="Y405" i="2" s="1"/>
  <c r="W405" i="2"/>
  <c r="V405" i="2"/>
  <c r="AB405" i="2" s="1"/>
  <c r="AE404" i="2"/>
  <c r="AD404" i="2"/>
  <c r="AC404" i="2"/>
  <c r="X404" i="2"/>
  <c r="Y404" i="2" s="1"/>
  <c r="W404" i="2"/>
  <c r="V404" i="2"/>
  <c r="AE403" i="2"/>
  <c r="AD403" i="2"/>
  <c r="AC403" i="2"/>
  <c r="X403" i="2"/>
  <c r="Y403" i="2" s="1"/>
  <c r="W403" i="2"/>
  <c r="V403" i="2"/>
  <c r="AB403" i="2" s="1"/>
  <c r="AE402" i="2"/>
  <c r="AD402" i="2"/>
  <c r="AC402" i="2"/>
  <c r="X402" i="2"/>
  <c r="Y402" i="2" s="1"/>
  <c r="W402" i="2"/>
  <c r="V402" i="2"/>
  <c r="AE401" i="2"/>
  <c r="AD401" i="2"/>
  <c r="AC401" i="2"/>
  <c r="X401" i="2"/>
  <c r="Y401" i="2" s="1"/>
  <c r="W401" i="2"/>
  <c r="V401" i="2"/>
  <c r="AB401" i="2" s="1"/>
  <c r="AE400" i="2"/>
  <c r="AD400" i="2"/>
  <c r="AC400" i="2"/>
  <c r="X400" i="2"/>
  <c r="Y400" i="2" s="1"/>
  <c r="W400" i="2"/>
  <c r="V400" i="2"/>
  <c r="AE399" i="2"/>
  <c r="AD399" i="2"/>
  <c r="AC399" i="2"/>
  <c r="X399" i="2"/>
  <c r="Y399" i="2" s="1"/>
  <c r="W399" i="2"/>
  <c r="V399" i="2"/>
  <c r="AB399" i="2" s="1"/>
  <c r="AE398" i="2"/>
  <c r="AD398" i="2"/>
  <c r="AC398" i="2"/>
  <c r="X398" i="2"/>
  <c r="Y398" i="2" s="1"/>
  <c r="W398" i="2"/>
  <c r="V398" i="2"/>
  <c r="Z398" i="2" s="1"/>
  <c r="AE397" i="2"/>
  <c r="AD397" i="2"/>
  <c r="AC397" i="2"/>
  <c r="X397" i="2"/>
  <c r="Y397" i="2" s="1"/>
  <c r="W397" i="2"/>
  <c r="V397" i="2"/>
  <c r="AB397" i="2" s="1"/>
  <c r="AE396" i="2"/>
  <c r="AD396" i="2"/>
  <c r="AC396" i="2"/>
  <c r="X396" i="2"/>
  <c r="Y396" i="2" s="1"/>
  <c r="W396" i="2"/>
  <c r="V396" i="2"/>
  <c r="Z396" i="2" s="1"/>
  <c r="AE395" i="2"/>
  <c r="AD395" i="2"/>
  <c r="AC395" i="2"/>
  <c r="X395" i="2"/>
  <c r="Y395" i="2" s="1"/>
  <c r="W395" i="2"/>
  <c r="V395" i="2"/>
  <c r="AB395" i="2" s="1"/>
  <c r="AE394" i="2"/>
  <c r="AD394" i="2"/>
  <c r="AC394" i="2"/>
  <c r="X394" i="2"/>
  <c r="Y394" i="2" s="1"/>
  <c r="W394" i="2"/>
  <c r="V394" i="2"/>
  <c r="AE393" i="2"/>
  <c r="AD393" i="2"/>
  <c r="AC393" i="2"/>
  <c r="X393" i="2"/>
  <c r="Y393" i="2" s="1"/>
  <c r="W393" i="2"/>
  <c r="V393" i="2"/>
  <c r="AB393" i="2" s="1"/>
  <c r="AE392" i="2"/>
  <c r="AD392" i="2"/>
  <c r="AC392" i="2"/>
  <c r="X392" i="2"/>
  <c r="Y392" i="2" s="1"/>
  <c r="W392" i="2"/>
  <c r="V392" i="2"/>
  <c r="Z392" i="2" s="1"/>
  <c r="AE391" i="2"/>
  <c r="AD391" i="2"/>
  <c r="AC391" i="2"/>
  <c r="X391" i="2"/>
  <c r="Y391" i="2" s="1"/>
  <c r="W391" i="2"/>
  <c r="V391" i="2"/>
  <c r="AB391" i="2" s="1"/>
  <c r="AE390" i="2"/>
  <c r="AD390" i="2"/>
  <c r="AC390" i="2"/>
  <c r="X390" i="2"/>
  <c r="Y390" i="2" s="1"/>
  <c r="W390" i="2"/>
  <c r="V390" i="2"/>
  <c r="Z390" i="2" s="1"/>
  <c r="AE389" i="2"/>
  <c r="AD389" i="2"/>
  <c r="AC389" i="2"/>
  <c r="X389" i="2"/>
  <c r="Y389" i="2" s="1"/>
  <c r="W389" i="2"/>
  <c r="V389" i="2"/>
  <c r="AB389" i="2" s="1"/>
  <c r="AE388" i="2"/>
  <c r="AD388" i="2"/>
  <c r="AC388" i="2"/>
  <c r="X388" i="2"/>
  <c r="Y388" i="2" s="1"/>
  <c r="W388" i="2"/>
  <c r="V388" i="2"/>
  <c r="AE387" i="2"/>
  <c r="AD387" i="2"/>
  <c r="AC387" i="2"/>
  <c r="X387" i="2"/>
  <c r="Y387" i="2" s="1"/>
  <c r="W387" i="2"/>
  <c r="V387" i="2"/>
  <c r="AB387" i="2" s="1"/>
  <c r="AE386" i="2"/>
  <c r="AD386" i="2"/>
  <c r="AC386" i="2"/>
  <c r="X386" i="2"/>
  <c r="Y386" i="2" s="1"/>
  <c r="W386" i="2"/>
  <c r="V386" i="2"/>
  <c r="AE385" i="2"/>
  <c r="AD385" i="2"/>
  <c r="AC385" i="2"/>
  <c r="X385" i="2"/>
  <c r="Y385" i="2" s="1"/>
  <c r="W385" i="2"/>
  <c r="V385" i="2"/>
  <c r="AB385" i="2" s="1"/>
  <c r="AE384" i="2"/>
  <c r="AD384" i="2"/>
  <c r="AC384" i="2"/>
  <c r="X384" i="2"/>
  <c r="Y384" i="2" s="1"/>
  <c r="W384" i="2"/>
  <c r="V384" i="2"/>
  <c r="Z384" i="2" s="1"/>
  <c r="AE383" i="2"/>
  <c r="AD383" i="2"/>
  <c r="AC383" i="2"/>
  <c r="X383" i="2"/>
  <c r="Y383" i="2" s="1"/>
  <c r="W383" i="2"/>
  <c r="V383" i="2"/>
  <c r="AB383" i="2" s="1"/>
  <c r="AE382" i="2"/>
  <c r="AD382" i="2"/>
  <c r="AC382" i="2"/>
  <c r="X382" i="2"/>
  <c r="Y382" i="2" s="1"/>
  <c r="W382" i="2"/>
  <c r="V382" i="2"/>
  <c r="AE381" i="2"/>
  <c r="AD381" i="2"/>
  <c r="AC381" i="2"/>
  <c r="X381" i="2"/>
  <c r="Y381" i="2" s="1"/>
  <c r="W381" i="2"/>
  <c r="V381" i="2"/>
  <c r="AB381" i="2" s="1"/>
  <c r="AE380" i="2"/>
  <c r="AD380" i="2"/>
  <c r="AC380" i="2"/>
  <c r="X380" i="2"/>
  <c r="Y380" i="2" s="1"/>
  <c r="W380" i="2"/>
  <c r="V380" i="2"/>
  <c r="AB380" i="2" s="1"/>
  <c r="AE379" i="2"/>
  <c r="AD379" i="2"/>
  <c r="AC379" i="2"/>
  <c r="X379" i="2"/>
  <c r="Y379" i="2" s="1"/>
  <c r="W379" i="2"/>
  <c r="V379" i="2"/>
  <c r="AB379" i="2" s="1"/>
  <c r="AE378" i="2"/>
  <c r="AD378" i="2"/>
  <c r="AC378" i="2"/>
  <c r="X378" i="2"/>
  <c r="Y378" i="2" s="1"/>
  <c r="W378" i="2"/>
  <c r="V378" i="2"/>
  <c r="Z378" i="2" s="1"/>
  <c r="AE377" i="2"/>
  <c r="AD377" i="2"/>
  <c r="AC377" i="2"/>
  <c r="X377" i="2"/>
  <c r="Y377" i="2" s="1"/>
  <c r="W377" i="2"/>
  <c r="V377" i="2"/>
  <c r="AB377" i="2" s="1"/>
  <c r="AE376" i="2"/>
  <c r="AD376" i="2"/>
  <c r="AC376" i="2"/>
  <c r="X376" i="2"/>
  <c r="Y376" i="2" s="1"/>
  <c r="W376" i="2"/>
  <c r="V376" i="2"/>
  <c r="Z376" i="2" s="1"/>
  <c r="AE375" i="2"/>
  <c r="AD375" i="2"/>
  <c r="AC375" i="2"/>
  <c r="X375" i="2"/>
  <c r="Y375" i="2" s="1"/>
  <c r="W375" i="2"/>
  <c r="V375" i="2"/>
  <c r="AB375" i="2" s="1"/>
  <c r="AE374" i="2"/>
  <c r="AD374" i="2"/>
  <c r="AC374" i="2"/>
  <c r="X374" i="2"/>
  <c r="Y374" i="2" s="1"/>
  <c r="W374" i="2"/>
  <c r="V374" i="2"/>
  <c r="AE373" i="2"/>
  <c r="AD373" i="2"/>
  <c r="AC373" i="2"/>
  <c r="X373" i="2"/>
  <c r="Y373" i="2" s="1"/>
  <c r="W373" i="2"/>
  <c r="V373" i="2"/>
  <c r="AB373" i="2" s="1"/>
  <c r="AE372" i="2"/>
  <c r="AD372" i="2"/>
  <c r="AC372" i="2"/>
  <c r="X372" i="2"/>
  <c r="Y372" i="2" s="1"/>
  <c r="W372" i="2"/>
  <c r="V372" i="2"/>
  <c r="AB372" i="2" s="1"/>
  <c r="AE371" i="2"/>
  <c r="AD371" i="2"/>
  <c r="AC371" i="2"/>
  <c r="X371" i="2"/>
  <c r="Y371" i="2" s="1"/>
  <c r="W371" i="2"/>
  <c r="V371" i="2"/>
  <c r="AB371" i="2" s="1"/>
  <c r="AE370" i="2"/>
  <c r="AD370" i="2"/>
  <c r="AC370" i="2"/>
  <c r="X370" i="2"/>
  <c r="Y370" i="2" s="1"/>
  <c r="W370" i="2"/>
  <c r="V370" i="2"/>
  <c r="Z370" i="2" s="1"/>
  <c r="AE369" i="2"/>
  <c r="AD369" i="2"/>
  <c r="AC369" i="2"/>
  <c r="X369" i="2"/>
  <c r="Y369" i="2" s="1"/>
  <c r="W369" i="2"/>
  <c r="V369" i="2"/>
  <c r="AB369" i="2" s="1"/>
  <c r="AE368" i="2"/>
  <c r="AD368" i="2"/>
  <c r="AC368" i="2"/>
  <c r="X368" i="2"/>
  <c r="Y368" i="2" s="1"/>
  <c r="W368" i="2"/>
  <c r="V368" i="2"/>
  <c r="Z368" i="2" s="1"/>
  <c r="AE367" i="2"/>
  <c r="AD367" i="2"/>
  <c r="AC367" i="2"/>
  <c r="X367" i="2"/>
  <c r="Y367" i="2" s="1"/>
  <c r="W367" i="2"/>
  <c r="V367" i="2"/>
  <c r="AB367" i="2" s="1"/>
  <c r="AE366" i="2"/>
  <c r="AD366" i="2"/>
  <c r="AC366" i="2"/>
  <c r="X366" i="2"/>
  <c r="Y366" i="2" s="1"/>
  <c r="W366" i="2"/>
  <c r="V366" i="2"/>
  <c r="AE365" i="2"/>
  <c r="AD365" i="2"/>
  <c r="AC365" i="2"/>
  <c r="X365" i="2"/>
  <c r="Y365" i="2" s="1"/>
  <c r="W365" i="2"/>
  <c r="V365" i="2"/>
  <c r="AB365" i="2" s="1"/>
  <c r="AE364" i="2"/>
  <c r="AD364" i="2"/>
  <c r="AC364" i="2"/>
  <c r="X364" i="2"/>
  <c r="Y364" i="2" s="1"/>
  <c r="W364" i="2"/>
  <c r="V364" i="2"/>
  <c r="AB364" i="2" s="1"/>
  <c r="AE363" i="2"/>
  <c r="AD363" i="2"/>
  <c r="AC363" i="2"/>
  <c r="X363" i="2"/>
  <c r="Y363" i="2" s="1"/>
  <c r="W363" i="2"/>
  <c r="V363" i="2"/>
  <c r="AB363" i="2" s="1"/>
  <c r="AE362" i="2"/>
  <c r="AD362" i="2"/>
  <c r="AC362" i="2"/>
  <c r="X362" i="2"/>
  <c r="Y362" i="2" s="1"/>
  <c r="W362" i="2"/>
  <c r="V362" i="2"/>
  <c r="Z362" i="2" s="1"/>
  <c r="AE361" i="2"/>
  <c r="AD361" i="2"/>
  <c r="AC361" i="2"/>
  <c r="X361" i="2"/>
  <c r="Y361" i="2" s="1"/>
  <c r="W361" i="2"/>
  <c r="V361" i="2"/>
  <c r="AB361" i="2" s="1"/>
  <c r="AE360" i="2"/>
  <c r="AD360" i="2"/>
  <c r="AC360" i="2"/>
  <c r="X360" i="2"/>
  <c r="Y360" i="2" s="1"/>
  <c r="W360" i="2"/>
  <c r="V360" i="2"/>
  <c r="AE359" i="2"/>
  <c r="AD359" i="2"/>
  <c r="AC359" i="2"/>
  <c r="X359" i="2"/>
  <c r="Y359" i="2" s="1"/>
  <c r="W359" i="2"/>
  <c r="V359" i="2"/>
  <c r="AB359" i="2" s="1"/>
  <c r="AE358" i="2"/>
  <c r="AD358" i="2"/>
  <c r="AC358" i="2"/>
  <c r="X358" i="2"/>
  <c r="Y358" i="2" s="1"/>
  <c r="W358" i="2"/>
  <c r="V358" i="2"/>
  <c r="AE357" i="2"/>
  <c r="AD357" i="2"/>
  <c r="AC357" i="2"/>
  <c r="X357" i="2"/>
  <c r="Y357" i="2" s="1"/>
  <c r="W357" i="2"/>
  <c r="V357" i="2"/>
  <c r="AB357" i="2" s="1"/>
  <c r="AE356" i="2"/>
  <c r="AD356" i="2"/>
  <c r="AC356" i="2"/>
  <c r="X356" i="2"/>
  <c r="Y356" i="2" s="1"/>
  <c r="W356" i="2"/>
  <c r="V356" i="2"/>
  <c r="AE355" i="2"/>
  <c r="AD355" i="2"/>
  <c r="AC355" i="2"/>
  <c r="X355" i="2"/>
  <c r="Y355" i="2" s="1"/>
  <c r="W355" i="2"/>
  <c r="V355" i="2"/>
  <c r="AB355" i="2" s="1"/>
  <c r="AE354" i="2"/>
  <c r="AD354" i="2"/>
  <c r="AC354" i="2"/>
  <c r="X354" i="2"/>
  <c r="Y354" i="2" s="1"/>
  <c r="W354" i="2"/>
  <c r="V354" i="2"/>
  <c r="Z354" i="2" s="1"/>
  <c r="AE353" i="2"/>
  <c r="AD353" i="2"/>
  <c r="AC353" i="2"/>
  <c r="X353" i="2"/>
  <c r="Y353" i="2" s="1"/>
  <c r="W353" i="2"/>
  <c r="V353" i="2"/>
  <c r="AB353" i="2" s="1"/>
  <c r="AE352" i="2"/>
  <c r="AD352" i="2"/>
  <c r="AC352" i="2"/>
  <c r="X352" i="2"/>
  <c r="Y352" i="2" s="1"/>
  <c r="W352" i="2"/>
  <c r="V352" i="2"/>
  <c r="AE351" i="2"/>
  <c r="AD351" i="2"/>
  <c r="AC351" i="2"/>
  <c r="X351" i="2"/>
  <c r="Y351" i="2" s="1"/>
  <c r="W351" i="2"/>
  <c r="V351" i="2"/>
  <c r="AB351" i="2" s="1"/>
  <c r="AE350" i="2"/>
  <c r="AD350" i="2"/>
  <c r="AC350" i="2"/>
  <c r="X350" i="2"/>
  <c r="Y350" i="2" s="1"/>
  <c r="W350" i="2"/>
  <c r="V350" i="2"/>
  <c r="Z350" i="2" s="1"/>
  <c r="AE349" i="2"/>
  <c r="AD349" i="2"/>
  <c r="AC349" i="2"/>
  <c r="X349" i="2"/>
  <c r="Y349" i="2" s="1"/>
  <c r="W349" i="2"/>
  <c r="V349" i="2"/>
  <c r="AB349" i="2" s="1"/>
  <c r="AE348" i="2"/>
  <c r="AD348" i="2"/>
  <c r="AC348" i="2"/>
  <c r="X348" i="2"/>
  <c r="Y348" i="2" s="1"/>
  <c r="W348" i="2"/>
  <c r="V348" i="2"/>
  <c r="AB348" i="2" s="1"/>
  <c r="AE347" i="2"/>
  <c r="AD347" i="2"/>
  <c r="AC347" i="2"/>
  <c r="X347" i="2"/>
  <c r="Y347" i="2" s="1"/>
  <c r="W347" i="2"/>
  <c r="V347" i="2"/>
  <c r="AB347" i="2" s="1"/>
  <c r="AE346" i="2"/>
  <c r="AD346" i="2"/>
  <c r="AC346" i="2"/>
  <c r="X346" i="2"/>
  <c r="Y346" i="2" s="1"/>
  <c r="W346" i="2"/>
  <c r="V346" i="2"/>
  <c r="AE345" i="2"/>
  <c r="AD345" i="2"/>
  <c r="AC345" i="2"/>
  <c r="X345" i="2"/>
  <c r="Y345" i="2" s="1"/>
  <c r="W345" i="2"/>
  <c r="V345" i="2"/>
  <c r="AB345" i="2" s="1"/>
  <c r="AE344" i="2"/>
  <c r="AD344" i="2"/>
  <c r="AC344" i="2"/>
  <c r="X344" i="2"/>
  <c r="Y344" i="2" s="1"/>
  <c r="W344" i="2"/>
  <c r="V344" i="2"/>
  <c r="AE343" i="2"/>
  <c r="AD343" i="2"/>
  <c r="AC343" i="2"/>
  <c r="X343" i="2"/>
  <c r="Y343" i="2" s="1"/>
  <c r="W343" i="2"/>
  <c r="V343" i="2"/>
  <c r="AB343" i="2" s="1"/>
  <c r="AE342" i="2"/>
  <c r="AD342" i="2"/>
  <c r="AC342" i="2"/>
  <c r="X342" i="2"/>
  <c r="Y342" i="2" s="1"/>
  <c r="W342" i="2"/>
  <c r="V342" i="2"/>
  <c r="Z342" i="2" s="1"/>
  <c r="AE341" i="2"/>
  <c r="AD341" i="2"/>
  <c r="AC341" i="2"/>
  <c r="X341" i="2"/>
  <c r="Y341" i="2" s="1"/>
  <c r="W341" i="2"/>
  <c r="V341" i="2"/>
  <c r="AB341" i="2" s="1"/>
  <c r="AE340" i="2"/>
  <c r="AD340" i="2"/>
  <c r="AC340" i="2"/>
  <c r="X340" i="2"/>
  <c r="Y340" i="2" s="1"/>
  <c r="W340" i="2"/>
  <c r="V340" i="2"/>
  <c r="AB340" i="2" s="1"/>
  <c r="AE339" i="2"/>
  <c r="AD339" i="2"/>
  <c r="AC339" i="2"/>
  <c r="X339" i="2"/>
  <c r="Y339" i="2" s="1"/>
  <c r="W339" i="2"/>
  <c r="V339" i="2"/>
  <c r="AB339" i="2" s="1"/>
  <c r="AE338" i="2"/>
  <c r="AD338" i="2"/>
  <c r="AC338" i="2"/>
  <c r="X338" i="2"/>
  <c r="Y338" i="2" s="1"/>
  <c r="W338" i="2"/>
  <c r="V338" i="2"/>
  <c r="Z338" i="2" s="1"/>
  <c r="AE337" i="2"/>
  <c r="AD337" i="2"/>
  <c r="AC337" i="2"/>
  <c r="X337" i="2"/>
  <c r="Y337" i="2" s="1"/>
  <c r="W337" i="2"/>
  <c r="V337" i="2"/>
  <c r="AB337" i="2" s="1"/>
  <c r="AE336" i="2"/>
  <c r="AD336" i="2"/>
  <c r="AC336" i="2"/>
  <c r="X336" i="2"/>
  <c r="Y336" i="2" s="1"/>
  <c r="W336" i="2"/>
  <c r="V336" i="2"/>
  <c r="AE335" i="2"/>
  <c r="AD335" i="2"/>
  <c r="AC335" i="2"/>
  <c r="X335" i="2"/>
  <c r="Y335" i="2" s="1"/>
  <c r="W335" i="2"/>
  <c r="V335" i="2"/>
  <c r="AB335" i="2" s="1"/>
  <c r="AE334" i="2"/>
  <c r="AD334" i="2"/>
  <c r="AC334" i="2"/>
  <c r="X334" i="2"/>
  <c r="Y334" i="2" s="1"/>
  <c r="W334" i="2"/>
  <c r="V334" i="2"/>
  <c r="Z334" i="2" s="1"/>
  <c r="AE333" i="2"/>
  <c r="AD333" i="2"/>
  <c r="AC333" i="2"/>
  <c r="X333" i="2"/>
  <c r="Y333" i="2" s="1"/>
  <c r="W333" i="2"/>
  <c r="V333" i="2"/>
  <c r="AB333" i="2" s="1"/>
  <c r="AE332" i="2"/>
  <c r="AD332" i="2"/>
  <c r="AC332" i="2"/>
  <c r="X332" i="2"/>
  <c r="Y332" i="2" s="1"/>
  <c r="W332" i="2"/>
  <c r="V332" i="2"/>
  <c r="AB332" i="2" s="1"/>
  <c r="AE331" i="2"/>
  <c r="AD331" i="2"/>
  <c r="AC331" i="2"/>
  <c r="X331" i="2"/>
  <c r="Y331" i="2" s="1"/>
  <c r="W331" i="2"/>
  <c r="V331" i="2"/>
  <c r="AB331" i="2" s="1"/>
  <c r="AE330" i="2"/>
  <c r="AD330" i="2"/>
  <c r="AC330" i="2"/>
  <c r="X330" i="2"/>
  <c r="Y330" i="2" s="1"/>
  <c r="W330" i="2"/>
  <c r="V330" i="2"/>
  <c r="Z330" i="2" s="1"/>
  <c r="AE329" i="2"/>
  <c r="AD329" i="2"/>
  <c r="AC329" i="2"/>
  <c r="X329" i="2"/>
  <c r="Y329" i="2" s="1"/>
  <c r="W329" i="2"/>
  <c r="V329" i="2"/>
  <c r="AB329" i="2" s="1"/>
  <c r="AE328" i="2"/>
  <c r="AD328" i="2"/>
  <c r="AC328" i="2"/>
  <c r="X328" i="2"/>
  <c r="Y328" i="2" s="1"/>
  <c r="W328" i="2"/>
  <c r="V328" i="2"/>
  <c r="Z328" i="2" s="1"/>
  <c r="AE327" i="2"/>
  <c r="AD327" i="2"/>
  <c r="AC327" i="2"/>
  <c r="X327" i="2"/>
  <c r="Y327" i="2" s="1"/>
  <c r="W327" i="2"/>
  <c r="V327" i="2"/>
  <c r="AB327" i="2" s="1"/>
  <c r="AE326" i="2"/>
  <c r="AD326" i="2"/>
  <c r="AC326" i="2"/>
  <c r="X326" i="2"/>
  <c r="Y326" i="2" s="1"/>
  <c r="W326" i="2"/>
  <c r="V326" i="2"/>
  <c r="Z326" i="2" s="1"/>
  <c r="AE325" i="2"/>
  <c r="AD325" i="2"/>
  <c r="AC325" i="2"/>
  <c r="X325" i="2"/>
  <c r="Y325" i="2" s="1"/>
  <c r="W325" i="2"/>
  <c r="V325" i="2"/>
  <c r="AB325" i="2" s="1"/>
  <c r="AE324" i="2"/>
  <c r="AD324" i="2"/>
  <c r="AC324" i="2"/>
  <c r="X324" i="2"/>
  <c r="Y324" i="2" s="1"/>
  <c r="W324" i="2"/>
  <c r="V324" i="2"/>
  <c r="AE323" i="2"/>
  <c r="AD323" i="2"/>
  <c r="AC323" i="2"/>
  <c r="X323" i="2"/>
  <c r="Y323" i="2" s="1"/>
  <c r="W323" i="2"/>
  <c r="V323" i="2"/>
  <c r="AB323" i="2" s="1"/>
  <c r="AE322" i="2"/>
  <c r="AD322" i="2"/>
  <c r="AC322" i="2"/>
  <c r="X322" i="2"/>
  <c r="Y322" i="2" s="1"/>
  <c r="W322" i="2"/>
  <c r="V322" i="2"/>
  <c r="Z322" i="2" s="1"/>
  <c r="AE321" i="2"/>
  <c r="AD321" i="2"/>
  <c r="AC321" i="2"/>
  <c r="X321" i="2"/>
  <c r="Y321" i="2" s="1"/>
  <c r="W321" i="2"/>
  <c r="V321" i="2"/>
  <c r="AB321" i="2" s="1"/>
  <c r="AE320" i="2"/>
  <c r="AD320" i="2"/>
  <c r="AC320" i="2"/>
  <c r="X320" i="2"/>
  <c r="Y320" i="2" s="1"/>
  <c r="W320" i="2"/>
  <c r="V320" i="2"/>
  <c r="AE319" i="2"/>
  <c r="AD319" i="2"/>
  <c r="AC319" i="2"/>
  <c r="X319" i="2"/>
  <c r="Y319" i="2" s="1"/>
  <c r="W319" i="2"/>
  <c r="V319" i="2"/>
  <c r="AB319" i="2" s="1"/>
  <c r="AE318" i="2"/>
  <c r="AD318" i="2"/>
  <c r="AC318" i="2"/>
  <c r="X318" i="2"/>
  <c r="Y318" i="2" s="1"/>
  <c r="W318" i="2"/>
  <c r="V318" i="2"/>
  <c r="Z318" i="2" s="1"/>
  <c r="AE317" i="2"/>
  <c r="AD317" i="2"/>
  <c r="AC317" i="2"/>
  <c r="X317" i="2"/>
  <c r="Y317" i="2" s="1"/>
  <c r="W317" i="2"/>
  <c r="V317" i="2"/>
  <c r="AB317" i="2" s="1"/>
  <c r="AE316" i="2"/>
  <c r="AD316" i="2"/>
  <c r="AC316" i="2"/>
  <c r="X316" i="2"/>
  <c r="Y316" i="2" s="1"/>
  <c r="W316" i="2"/>
  <c r="V316" i="2"/>
  <c r="AB316" i="2" s="1"/>
  <c r="AE315" i="2"/>
  <c r="AD315" i="2"/>
  <c r="AC315" i="2"/>
  <c r="X315" i="2"/>
  <c r="Y315" i="2" s="1"/>
  <c r="W315" i="2"/>
  <c r="V315" i="2"/>
  <c r="AB315" i="2" s="1"/>
  <c r="AE314" i="2"/>
  <c r="AD314" i="2"/>
  <c r="AC314" i="2"/>
  <c r="X314" i="2"/>
  <c r="Y314" i="2" s="1"/>
  <c r="W314" i="2"/>
  <c r="V314" i="2"/>
  <c r="Z314" i="2" s="1"/>
  <c r="AE313" i="2"/>
  <c r="AD313" i="2"/>
  <c r="AC313" i="2"/>
  <c r="X313" i="2"/>
  <c r="Y313" i="2" s="1"/>
  <c r="W313" i="2"/>
  <c r="V313" i="2"/>
  <c r="AB313" i="2" s="1"/>
  <c r="AE312" i="2"/>
  <c r="AD312" i="2"/>
  <c r="AC312" i="2"/>
  <c r="X312" i="2"/>
  <c r="Y312" i="2" s="1"/>
  <c r="W312" i="2"/>
  <c r="V312" i="2"/>
  <c r="AE311" i="2"/>
  <c r="AD311" i="2"/>
  <c r="AC311" i="2"/>
  <c r="X311" i="2"/>
  <c r="Y311" i="2" s="1"/>
  <c r="W311" i="2"/>
  <c r="V311" i="2"/>
  <c r="AB311" i="2" s="1"/>
  <c r="AE310" i="2"/>
  <c r="AD310" i="2"/>
  <c r="AC310" i="2"/>
  <c r="X310" i="2"/>
  <c r="Y310" i="2" s="1"/>
  <c r="W310" i="2"/>
  <c r="V310" i="2"/>
  <c r="Z310" i="2" s="1"/>
  <c r="AE309" i="2"/>
  <c r="AD309" i="2"/>
  <c r="AC309" i="2"/>
  <c r="X309" i="2"/>
  <c r="Y309" i="2" s="1"/>
  <c r="W309" i="2"/>
  <c r="V309" i="2"/>
  <c r="AB309" i="2" s="1"/>
  <c r="AE308" i="2"/>
  <c r="AD308" i="2"/>
  <c r="AC308" i="2"/>
  <c r="X308" i="2"/>
  <c r="Y308" i="2" s="1"/>
  <c r="W308" i="2"/>
  <c r="V308" i="2"/>
  <c r="AB308" i="2" s="1"/>
  <c r="AE307" i="2"/>
  <c r="AD307" i="2"/>
  <c r="AC307" i="2"/>
  <c r="X307" i="2"/>
  <c r="Y307" i="2" s="1"/>
  <c r="W307" i="2"/>
  <c r="V307" i="2"/>
  <c r="AB307" i="2" s="1"/>
  <c r="AE306" i="2"/>
  <c r="AD306" i="2"/>
  <c r="AC306" i="2"/>
  <c r="X306" i="2"/>
  <c r="Y306" i="2" s="1"/>
  <c r="W306" i="2"/>
  <c r="V306" i="2"/>
  <c r="Z306" i="2" s="1"/>
  <c r="AE305" i="2"/>
  <c r="AD305" i="2"/>
  <c r="AC305" i="2"/>
  <c r="X305" i="2"/>
  <c r="Y305" i="2" s="1"/>
  <c r="W305" i="2"/>
  <c r="V305" i="2"/>
  <c r="AB305" i="2" s="1"/>
  <c r="AE304" i="2"/>
  <c r="AD304" i="2"/>
  <c r="AC304" i="2"/>
  <c r="X304" i="2"/>
  <c r="Y304" i="2" s="1"/>
  <c r="W304" i="2"/>
  <c r="V304" i="2"/>
  <c r="Z304" i="2" s="1"/>
  <c r="AE303" i="2"/>
  <c r="AD303" i="2"/>
  <c r="AC303" i="2"/>
  <c r="X303" i="2"/>
  <c r="Y303" i="2" s="1"/>
  <c r="W303" i="2"/>
  <c r="V303" i="2"/>
  <c r="AB303" i="2" s="1"/>
  <c r="AE302" i="2"/>
  <c r="AD302" i="2"/>
  <c r="AC302" i="2"/>
  <c r="X302" i="2"/>
  <c r="Y302" i="2" s="1"/>
  <c r="W302" i="2"/>
  <c r="V302" i="2"/>
  <c r="Z302" i="2" s="1"/>
  <c r="AE301" i="2"/>
  <c r="AD301" i="2"/>
  <c r="AC301" i="2"/>
  <c r="X301" i="2"/>
  <c r="Y301" i="2" s="1"/>
  <c r="W301" i="2"/>
  <c r="V301" i="2"/>
  <c r="AB301" i="2" s="1"/>
  <c r="AE300" i="2"/>
  <c r="AD300" i="2"/>
  <c r="AC300" i="2"/>
  <c r="X300" i="2"/>
  <c r="Y300" i="2" s="1"/>
  <c r="W300" i="2"/>
  <c r="V300" i="2"/>
  <c r="AB300" i="2" s="1"/>
  <c r="AE299" i="2"/>
  <c r="AD299" i="2"/>
  <c r="AC299" i="2"/>
  <c r="X299" i="2"/>
  <c r="Y299" i="2" s="1"/>
  <c r="W299" i="2"/>
  <c r="V299" i="2"/>
  <c r="AB299" i="2" s="1"/>
  <c r="AE298" i="2"/>
  <c r="AD298" i="2"/>
  <c r="AC298" i="2"/>
  <c r="X298" i="2"/>
  <c r="Y298" i="2" s="1"/>
  <c r="W298" i="2"/>
  <c r="V298" i="2"/>
  <c r="Z298" i="2" s="1"/>
  <c r="AE297" i="2"/>
  <c r="AD297" i="2"/>
  <c r="AC297" i="2"/>
  <c r="X297" i="2"/>
  <c r="Y297" i="2" s="1"/>
  <c r="W297" i="2"/>
  <c r="V297" i="2"/>
  <c r="AB297" i="2" s="1"/>
  <c r="AE296" i="2"/>
  <c r="AD296" i="2"/>
  <c r="AC296" i="2"/>
  <c r="X296" i="2"/>
  <c r="Y296" i="2" s="1"/>
  <c r="W296" i="2"/>
  <c r="V296" i="2"/>
  <c r="Z296" i="2" s="1"/>
  <c r="AE295" i="2"/>
  <c r="AD295" i="2"/>
  <c r="AC295" i="2"/>
  <c r="X295" i="2"/>
  <c r="Y295" i="2" s="1"/>
  <c r="W295" i="2"/>
  <c r="V295" i="2"/>
  <c r="AB295" i="2" s="1"/>
  <c r="AE294" i="2"/>
  <c r="AD294" i="2"/>
  <c r="AC294" i="2"/>
  <c r="X294" i="2"/>
  <c r="Y294" i="2" s="1"/>
  <c r="W294" i="2"/>
  <c r="V294" i="2"/>
  <c r="AE293" i="2"/>
  <c r="AD293" i="2"/>
  <c r="AC293" i="2"/>
  <c r="X293" i="2"/>
  <c r="Y293" i="2" s="1"/>
  <c r="W293" i="2"/>
  <c r="V293" i="2"/>
  <c r="AB293" i="2" s="1"/>
  <c r="AE292" i="2"/>
  <c r="AD292" i="2"/>
  <c r="AC292" i="2"/>
  <c r="X292" i="2"/>
  <c r="Y292" i="2" s="1"/>
  <c r="W292" i="2"/>
  <c r="V292" i="2"/>
  <c r="AE291" i="2"/>
  <c r="AD291" i="2"/>
  <c r="AC291" i="2"/>
  <c r="X291" i="2"/>
  <c r="Y291" i="2" s="1"/>
  <c r="W291" i="2"/>
  <c r="V291" i="2"/>
  <c r="AB291" i="2" s="1"/>
  <c r="AE290" i="2"/>
  <c r="AD290" i="2"/>
  <c r="AC290" i="2"/>
  <c r="X290" i="2"/>
  <c r="Y290" i="2" s="1"/>
  <c r="W290" i="2"/>
  <c r="V290" i="2"/>
  <c r="Z290" i="2" s="1"/>
  <c r="AE289" i="2"/>
  <c r="AD289" i="2"/>
  <c r="AC289" i="2"/>
  <c r="X289" i="2"/>
  <c r="Y289" i="2" s="1"/>
  <c r="W289" i="2"/>
  <c r="V289" i="2"/>
  <c r="AB289" i="2" s="1"/>
  <c r="AE288" i="2"/>
  <c r="AD288" i="2"/>
  <c r="AC288" i="2"/>
  <c r="X288" i="2"/>
  <c r="Y288" i="2" s="1"/>
  <c r="W288" i="2"/>
  <c r="V288" i="2"/>
  <c r="Z288" i="2" s="1"/>
  <c r="AE287" i="2"/>
  <c r="AD287" i="2"/>
  <c r="AC287" i="2"/>
  <c r="X287" i="2"/>
  <c r="Y287" i="2" s="1"/>
  <c r="W287" i="2"/>
  <c r="V287" i="2"/>
  <c r="AB287" i="2" s="1"/>
  <c r="AE286" i="2"/>
  <c r="AD286" i="2"/>
  <c r="AC286" i="2"/>
  <c r="X286" i="2"/>
  <c r="Y286" i="2" s="1"/>
  <c r="W286" i="2"/>
  <c r="V286" i="2"/>
  <c r="Z286" i="2" s="1"/>
  <c r="AE285" i="2"/>
  <c r="AD285" i="2"/>
  <c r="AC285" i="2"/>
  <c r="X285" i="2"/>
  <c r="Y285" i="2" s="1"/>
  <c r="W285" i="2"/>
  <c r="V285" i="2"/>
  <c r="AB285" i="2" s="1"/>
  <c r="AE284" i="2"/>
  <c r="AD284" i="2"/>
  <c r="AC284" i="2"/>
  <c r="X284" i="2"/>
  <c r="Y284" i="2" s="1"/>
  <c r="W284" i="2"/>
  <c r="V284" i="2"/>
  <c r="AB284" i="2" s="1"/>
  <c r="AE283" i="2"/>
  <c r="AD283" i="2"/>
  <c r="AC283" i="2"/>
  <c r="X283" i="2"/>
  <c r="Y283" i="2" s="1"/>
  <c r="W283" i="2"/>
  <c r="V283" i="2"/>
  <c r="AB283" i="2" s="1"/>
  <c r="AE282" i="2"/>
  <c r="AD282" i="2"/>
  <c r="AC282" i="2"/>
  <c r="X282" i="2"/>
  <c r="Y282" i="2" s="1"/>
  <c r="W282" i="2"/>
  <c r="V282" i="2"/>
  <c r="Z282" i="2" s="1"/>
  <c r="AE281" i="2"/>
  <c r="AD281" i="2"/>
  <c r="AC281" i="2"/>
  <c r="X281" i="2"/>
  <c r="Y281" i="2" s="1"/>
  <c r="W281" i="2"/>
  <c r="V281" i="2"/>
  <c r="AB281" i="2" s="1"/>
  <c r="AE280" i="2"/>
  <c r="AD280" i="2"/>
  <c r="AC280" i="2"/>
  <c r="X280" i="2"/>
  <c r="Y280" i="2" s="1"/>
  <c r="W280" i="2"/>
  <c r="V280" i="2"/>
  <c r="AE279" i="2"/>
  <c r="AD279" i="2"/>
  <c r="AC279" i="2"/>
  <c r="X279" i="2"/>
  <c r="Y279" i="2" s="1"/>
  <c r="W279" i="2"/>
  <c r="V279" i="2"/>
  <c r="AB279" i="2" s="1"/>
  <c r="AE278" i="2"/>
  <c r="AD278" i="2"/>
  <c r="AC278" i="2"/>
  <c r="X278" i="2"/>
  <c r="Y278" i="2" s="1"/>
  <c r="W278" i="2"/>
  <c r="V278" i="2"/>
  <c r="Z278" i="2" s="1"/>
  <c r="AE277" i="2"/>
  <c r="AD277" i="2"/>
  <c r="AC277" i="2"/>
  <c r="X277" i="2"/>
  <c r="Y277" i="2" s="1"/>
  <c r="W277" i="2"/>
  <c r="V277" i="2"/>
  <c r="AB277" i="2" s="1"/>
  <c r="AE276" i="2"/>
  <c r="AD276" i="2"/>
  <c r="AC276" i="2"/>
  <c r="X276" i="2"/>
  <c r="Y276" i="2" s="1"/>
  <c r="W276" i="2"/>
  <c r="V276" i="2"/>
  <c r="AB276" i="2" s="1"/>
  <c r="AE275" i="2"/>
  <c r="AD275" i="2"/>
  <c r="AC275" i="2"/>
  <c r="X275" i="2"/>
  <c r="Y275" i="2" s="1"/>
  <c r="W275" i="2"/>
  <c r="V275" i="2"/>
  <c r="AB275" i="2" s="1"/>
  <c r="AE274" i="2"/>
  <c r="AD274" i="2"/>
  <c r="AC274" i="2"/>
  <c r="X274" i="2"/>
  <c r="Y274" i="2" s="1"/>
  <c r="W274" i="2"/>
  <c r="V274" i="2"/>
  <c r="Z274" i="2" s="1"/>
  <c r="AE273" i="2"/>
  <c r="AD273" i="2"/>
  <c r="AC273" i="2"/>
  <c r="X273" i="2"/>
  <c r="Y273" i="2" s="1"/>
  <c r="W273" i="2"/>
  <c r="V273" i="2"/>
  <c r="AB273" i="2" s="1"/>
  <c r="AE272" i="2"/>
  <c r="AD272" i="2"/>
  <c r="AC272" i="2"/>
  <c r="X272" i="2"/>
  <c r="Y272" i="2" s="1"/>
  <c r="W272" i="2"/>
  <c r="V272" i="2"/>
  <c r="Z272" i="2" s="1"/>
  <c r="AE271" i="2"/>
  <c r="AD271" i="2"/>
  <c r="AC271" i="2"/>
  <c r="X271" i="2"/>
  <c r="Y271" i="2" s="1"/>
  <c r="W271" i="2"/>
  <c r="V271" i="2"/>
  <c r="AB271" i="2" s="1"/>
  <c r="AE270" i="2"/>
  <c r="AD270" i="2"/>
  <c r="AC270" i="2"/>
  <c r="X270" i="2"/>
  <c r="Y270" i="2" s="1"/>
  <c r="W270" i="2"/>
  <c r="V270" i="2"/>
  <c r="Z270" i="2" s="1"/>
  <c r="AE269" i="2"/>
  <c r="AD269" i="2"/>
  <c r="AC269" i="2"/>
  <c r="X269" i="2"/>
  <c r="Y269" i="2" s="1"/>
  <c r="W269" i="2"/>
  <c r="V269" i="2"/>
  <c r="AB269" i="2" s="1"/>
  <c r="AE268" i="2"/>
  <c r="AD268" i="2"/>
  <c r="AC268" i="2"/>
  <c r="X268" i="2"/>
  <c r="Y268" i="2" s="1"/>
  <c r="W268" i="2"/>
  <c r="V268" i="2"/>
  <c r="AB268" i="2" s="1"/>
  <c r="AE267" i="2"/>
  <c r="AD267" i="2"/>
  <c r="AC267" i="2"/>
  <c r="X267" i="2"/>
  <c r="Y267" i="2" s="1"/>
  <c r="W267" i="2"/>
  <c r="V267" i="2"/>
  <c r="AB267" i="2" s="1"/>
  <c r="AE266" i="2"/>
  <c r="AD266" i="2"/>
  <c r="AC266" i="2"/>
  <c r="X266" i="2"/>
  <c r="Y266" i="2" s="1"/>
  <c r="W266" i="2"/>
  <c r="V266" i="2"/>
  <c r="Z266" i="2" s="1"/>
  <c r="AE265" i="2"/>
  <c r="AD265" i="2"/>
  <c r="AC265" i="2"/>
  <c r="X265" i="2"/>
  <c r="Y265" i="2" s="1"/>
  <c r="W265" i="2"/>
  <c r="V265" i="2"/>
  <c r="AB265" i="2" s="1"/>
  <c r="AE264" i="2"/>
  <c r="AD264" i="2"/>
  <c r="AC264" i="2"/>
  <c r="X264" i="2"/>
  <c r="Y264" i="2" s="1"/>
  <c r="W264" i="2"/>
  <c r="V264" i="2"/>
  <c r="Z264" i="2" s="1"/>
  <c r="AE263" i="2"/>
  <c r="AD263" i="2"/>
  <c r="AC263" i="2"/>
  <c r="X263" i="2"/>
  <c r="Y263" i="2" s="1"/>
  <c r="W263" i="2"/>
  <c r="V263" i="2"/>
  <c r="AB263" i="2" s="1"/>
  <c r="AE262" i="2"/>
  <c r="AD262" i="2"/>
  <c r="AC262" i="2"/>
  <c r="X262" i="2"/>
  <c r="Y262" i="2" s="1"/>
  <c r="W262" i="2"/>
  <c r="V262" i="2"/>
  <c r="Z262" i="2" s="1"/>
  <c r="AE261" i="2"/>
  <c r="AD261" i="2"/>
  <c r="AC261" i="2"/>
  <c r="X261" i="2"/>
  <c r="Y261" i="2" s="1"/>
  <c r="W261" i="2"/>
  <c r="V261" i="2"/>
  <c r="AB261" i="2" s="1"/>
  <c r="AE260" i="2"/>
  <c r="AD260" i="2"/>
  <c r="AC260" i="2"/>
  <c r="X260" i="2"/>
  <c r="Y260" i="2" s="1"/>
  <c r="W260" i="2"/>
  <c r="V260" i="2"/>
  <c r="AE259" i="2"/>
  <c r="AD259" i="2"/>
  <c r="AC259" i="2"/>
  <c r="X259" i="2"/>
  <c r="Y259" i="2" s="1"/>
  <c r="W259" i="2"/>
  <c r="V259" i="2"/>
  <c r="AB259" i="2" s="1"/>
  <c r="AE258" i="2"/>
  <c r="AD258" i="2"/>
  <c r="AC258" i="2"/>
  <c r="X258" i="2"/>
  <c r="Y258" i="2" s="1"/>
  <c r="W258" i="2"/>
  <c r="V258" i="2"/>
  <c r="Z258" i="2" s="1"/>
  <c r="AE257" i="2"/>
  <c r="AD257" i="2"/>
  <c r="AC257" i="2"/>
  <c r="X257" i="2"/>
  <c r="Y257" i="2" s="1"/>
  <c r="W257" i="2"/>
  <c r="V257" i="2"/>
  <c r="AB257" i="2" s="1"/>
  <c r="AE256" i="2"/>
  <c r="AD256" i="2"/>
  <c r="AC256" i="2"/>
  <c r="X256" i="2"/>
  <c r="Y256" i="2" s="1"/>
  <c r="W256" i="2"/>
  <c r="V256" i="2"/>
  <c r="Z256" i="2" s="1"/>
  <c r="AE255" i="2"/>
  <c r="AD255" i="2"/>
  <c r="AC255" i="2"/>
  <c r="X255" i="2"/>
  <c r="Y255" i="2" s="1"/>
  <c r="W255" i="2"/>
  <c r="V255" i="2"/>
  <c r="AB255" i="2" s="1"/>
  <c r="AE254" i="2"/>
  <c r="AD254" i="2"/>
  <c r="AC254" i="2"/>
  <c r="X254" i="2"/>
  <c r="Y254" i="2" s="1"/>
  <c r="W254" i="2"/>
  <c r="V254" i="2"/>
  <c r="Z254" i="2" s="1"/>
  <c r="AE253" i="2"/>
  <c r="AD253" i="2"/>
  <c r="AC253" i="2"/>
  <c r="X253" i="2"/>
  <c r="Y253" i="2" s="1"/>
  <c r="W253" i="2"/>
  <c r="V253" i="2"/>
  <c r="AB253" i="2" s="1"/>
  <c r="AE252" i="2"/>
  <c r="AD252" i="2"/>
  <c r="AC252" i="2"/>
  <c r="X252" i="2"/>
  <c r="Y252" i="2" s="1"/>
  <c r="W252" i="2"/>
  <c r="V252" i="2"/>
  <c r="AE251" i="2"/>
  <c r="AD251" i="2"/>
  <c r="AC251" i="2"/>
  <c r="X251" i="2"/>
  <c r="Y251" i="2" s="1"/>
  <c r="W251" i="2"/>
  <c r="V251" i="2"/>
  <c r="AB251" i="2" s="1"/>
  <c r="AE250" i="2"/>
  <c r="AD250" i="2"/>
  <c r="AC250" i="2"/>
  <c r="X250" i="2"/>
  <c r="Y250" i="2" s="1"/>
  <c r="W250" i="2"/>
  <c r="V250" i="2"/>
  <c r="Z250" i="2" s="1"/>
  <c r="AE249" i="2"/>
  <c r="AD249" i="2"/>
  <c r="AC249" i="2"/>
  <c r="X249" i="2"/>
  <c r="Y249" i="2" s="1"/>
  <c r="W249" i="2"/>
  <c r="V249" i="2"/>
  <c r="AB249" i="2" s="1"/>
  <c r="AE248" i="2"/>
  <c r="AD248" i="2"/>
  <c r="AC248" i="2"/>
  <c r="X248" i="2"/>
  <c r="Y248" i="2" s="1"/>
  <c r="W248" i="2"/>
  <c r="V248" i="2"/>
  <c r="Z248" i="2" s="1"/>
  <c r="AE247" i="2"/>
  <c r="AD247" i="2"/>
  <c r="AC247" i="2"/>
  <c r="X247" i="2"/>
  <c r="Y247" i="2" s="1"/>
  <c r="W247" i="2"/>
  <c r="V247" i="2"/>
  <c r="AB247" i="2" s="1"/>
  <c r="AE246" i="2"/>
  <c r="AD246" i="2"/>
  <c r="AC246" i="2"/>
  <c r="X246" i="2"/>
  <c r="Y246" i="2" s="1"/>
  <c r="W246" i="2"/>
  <c r="V246" i="2"/>
  <c r="Z246" i="2" s="1"/>
  <c r="AE245" i="2"/>
  <c r="AD245" i="2"/>
  <c r="AC245" i="2"/>
  <c r="X245" i="2"/>
  <c r="Y245" i="2" s="1"/>
  <c r="W245" i="2"/>
  <c r="V245" i="2"/>
  <c r="AB245" i="2" s="1"/>
  <c r="AE244" i="2"/>
  <c r="AD244" i="2"/>
  <c r="AC244" i="2"/>
  <c r="X244" i="2"/>
  <c r="Y244" i="2" s="1"/>
  <c r="W244" i="2"/>
  <c r="V244" i="2"/>
  <c r="Z244" i="2" s="1"/>
  <c r="AE243" i="2"/>
  <c r="AD243" i="2"/>
  <c r="AC243" i="2"/>
  <c r="X243" i="2"/>
  <c r="Y243" i="2" s="1"/>
  <c r="W243" i="2"/>
  <c r="V243" i="2"/>
  <c r="AB243" i="2" s="1"/>
  <c r="AE242" i="2"/>
  <c r="AD242" i="2"/>
  <c r="AC242" i="2"/>
  <c r="X242" i="2"/>
  <c r="Y242" i="2" s="1"/>
  <c r="W242" i="2"/>
  <c r="V242" i="2"/>
  <c r="Z242" i="2" s="1"/>
  <c r="AE241" i="2"/>
  <c r="AD241" i="2"/>
  <c r="AC241" i="2"/>
  <c r="X241" i="2"/>
  <c r="Y241" i="2" s="1"/>
  <c r="W241" i="2"/>
  <c r="V241" i="2"/>
  <c r="AB241" i="2" s="1"/>
  <c r="AE240" i="2"/>
  <c r="AD240" i="2"/>
  <c r="AC240" i="2"/>
  <c r="X240" i="2"/>
  <c r="Y240" i="2" s="1"/>
  <c r="W240" i="2"/>
  <c r="V240" i="2"/>
  <c r="Z240" i="2" s="1"/>
  <c r="AE239" i="2"/>
  <c r="AD239" i="2"/>
  <c r="AC239" i="2"/>
  <c r="X239" i="2"/>
  <c r="Y239" i="2" s="1"/>
  <c r="W239" i="2"/>
  <c r="V239" i="2"/>
  <c r="AB239" i="2" s="1"/>
  <c r="AE238" i="2"/>
  <c r="AD238" i="2"/>
  <c r="AC238" i="2"/>
  <c r="X238" i="2"/>
  <c r="Y238" i="2" s="1"/>
  <c r="W238" i="2"/>
  <c r="V238" i="2"/>
  <c r="Z238" i="2" s="1"/>
  <c r="AE237" i="2"/>
  <c r="AD237" i="2"/>
  <c r="AC237" i="2"/>
  <c r="X237" i="2"/>
  <c r="Y237" i="2" s="1"/>
  <c r="W237" i="2"/>
  <c r="V237" i="2"/>
  <c r="AB237" i="2" s="1"/>
  <c r="AE236" i="2"/>
  <c r="AD236" i="2"/>
  <c r="AC236" i="2"/>
  <c r="X236" i="2"/>
  <c r="Y236" i="2" s="1"/>
  <c r="W236" i="2"/>
  <c r="V236" i="2"/>
  <c r="AE235" i="2"/>
  <c r="AD235" i="2"/>
  <c r="AC235" i="2"/>
  <c r="X235" i="2"/>
  <c r="Y235" i="2" s="1"/>
  <c r="W235" i="2"/>
  <c r="V235" i="2"/>
  <c r="AB235" i="2" s="1"/>
  <c r="AE234" i="2"/>
  <c r="AD234" i="2"/>
  <c r="AC234" i="2"/>
  <c r="X234" i="2"/>
  <c r="Y234" i="2" s="1"/>
  <c r="W234" i="2"/>
  <c r="V234" i="2"/>
  <c r="Z234" i="2" s="1"/>
  <c r="AE233" i="2"/>
  <c r="AD233" i="2"/>
  <c r="AC233" i="2"/>
  <c r="X233" i="2"/>
  <c r="Y233" i="2" s="1"/>
  <c r="W233" i="2"/>
  <c r="V233" i="2"/>
  <c r="AB233" i="2" s="1"/>
  <c r="AE232" i="2"/>
  <c r="AD232" i="2"/>
  <c r="AC232" i="2"/>
  <c r="X232" i="2"/>
  <c r="Y232" i="2" s="1"/>
  <c r="W232" i="2"/>
  <c r="V232" i="2"/>
  <c r="Z232" i="2" s="1"/>
  <c r="AE231" i="2"/>
  <c r="AD231" i="2"/>
  <c r="AC231" i="2"/>
  <c r="X231" i="2"/>
  <c r="Y231" i="2" s="1"/>
  <c r="W231" i="2"/>
  <c r="V231" i="2"/>
  <c r="AB231" i="2" s="1"/>
  <c r="AE230" i="2"/>
  <c r="AD230" i="2"/>
  <c r="AC230" i="2"/>
  <c r="X230" i="2"/>
  <c r="Y230" i="2" s="1"/>
  <c r="W230" i="2"/>
  <c r="V230" i="2"/>
  <c r="Z230" i="2" s="1"/>
  <c r="AE229" i="2"/>
  <c r="AD229" i="2"/>
  <c r="AC229" i="2"/>
  <c r="X229" i="2"/>
  <c r="Y229" i="2" s="1"/>
  <c r="W229" i="2"/>
  <c r="V229" i="2"/>
  <c r="AB229" i="2" s="1"/>
  <c r="AE228" i="2"/>
  <c r="AD228" i="2"/>
  <c r="AC228" i="2"/>
  <c r="X228" i="2"/>
  <c r="Y228" i="2" s="1"/>
  <c r="W228" i="2"/>
  <c r="V228" i="2"/>
  <c r="Z228" i="2" s="1"/>
  <c r="AE227" i="2"/>
  <c r="AD227" i="2"/>
  <c r="AC227" i="2"/>
  <c r="X227" i="2"/>
  <c r="Y227" i="2" s="1"/>
  <c r="W227" i="2"/>
  <c r="V227" i="2"/>
  <c r="AB227" i="2" s="1"/>
  <c r="AE226" i="2"/>
  <c r="AD226" i="2"/>
  <c r="AC226" i="2"/>
  <c r="X226" i="2"/>
  <c r="Y226" i="2" s="1"/>
  <c r="W226" i="2"/>
  <c r="V226" i="2"/>
  <c r="Z226" i="2" s="1"/>
  <c r="AE225" i="2"/>
  <c r="AD225" i="2"/>
  <c r="AC225" i="2"/>
  <c r="X225" i="2"/>
  <c r="Y225" i="2" s="1"/>
  <c r="W225" i="2"/>
  <c r="V225" i="2"/>
  <c r="AB225" i="2" s="1"/>
  <c r="AE224" i="2"/>
  <c r="AD224" i="2"/>
  <c r="AC224" i="2"/>
  <c r="X224" i="2"/>
  <c r="Y224" i="2" s="1"/>
  <c r="W224" i="2"/>
  <c r="V224" i="2"/>
  <c r="Z224" i="2" s="1"/>
  <c r="AE223" i="2"/>
  <c r="AD223" i="2"/>
  <c r="AC223" i="2"/>
  <c r="X223" i="2"/>
  <c r="Y223" i="2" s="1"/>
  <c r="W223" i="2"/>
  <c r="V223" i="2"/>
  <c r="AB223" i="2" s="1"/>
  <c r="AE222" i="2"/>
  <c r="AD222" i="2"/>
  <c r="AC222" i="2"/>
  <c r="X222" i="2"/>
  <c r="Y222" i="2" s="1"/>
  <c r="W222" i="2"/>
  <c r="V222" i="2"/>
  <c r="Z222" i="2" s="1"/>
  <c r="AE221" i="2"/>
  <c r="AD221" i="2"/>
  <c r="AC221" i="2"/>
  <c r="X221" i="2"/>
  <c r="Y221" i="2" s="1"/>
  <c r="W221" i="2"/>
  <c r="V221" i="2"/>
  <c r="AB221" i="2" s="1"/>
  <c r="AE220" i="2"/>
  <c r="AD220" i="2"/>
  <c r="AC220" i="2"/>
  <c r="X220" i="2"/>
  <c r="Y220" i="2" s="1"/>
  <c r="W220" i="2"/>
  <c r="V220" i="2"/>
  <c r="AE219" i="2"/>
  <c r="AD219" i="2"/>
  <c r="AC219" i="2"/>
  <c r="X219" i="2"/>
  <c r="Y219" i="2" s="1"/>
  <c r="W219" i="2"/>
  <c r="V219" i="2"/>
  <c r="AB219" i="2" s="1"/>
  <c r="AE218" i="2"/>
  <c r="AD218" i="2"/>
  <c r="AC218" i="2"/>
  <c r="X218" i="2"/>
  <c r="Y218" i="2" s="1"/>
  <c r="W218" i="2"/>
  <c r="V218" i="2"/>
  <c r="Z218" i="2" s="1"/>
  <c r="AE217" i="2"/>
  <c r="AD217" i="2"/>
  <c r="AC217" i="2"/>
  <c r="X217" i="2"/>
  <c r="Y217" i="2" s="1"/>
  <c r="W217" i="2"/>
  <c r="V217" i="2"/>
  <c r="AB217" i="2" s="1"/>
  <c r="AE216" i="2"/>
  <c r="AD216" i="2"/>
  <c r="AC216" i="2"/>
  <c r="X216" i="2"/>
  <c r="Y216" i="2" s="1"/>
  <c r="W216" i="2"/>
  <c r="V216" i="2"/>
  <c r="Z216" i="2" s="1"/>
  <c r="AE215" i="2"/>
  <c r="AD215" i="2"/>
  <c r="AC215" i="2"/>
  <c r="X215" i="2"/>
  <c r="Y215" i="2" s="1"/>
  <c r="W215" i="2"/>
  <c r="V215" i="2"/>
  <c r="AB215" i="2" s="1"/>
  <c r="AE214" i="2"/>
  <c r="AD214" i="2"/>
  <c r="AC214" i="2"/>
  <c r="X214" i="2"/>
  <c r="Y214" i="2" s="1"/>
  <c r="W214" i="2"/>
  <c r="V214" i="2"/>
  <c r="Z214" i="2" s="1"/>
  <c r="AE213" i="2"/>
  <c r="AD213" i="2"/>
  <c r="AC213" i="2"/>
  <c r="X213" i="2"/>
  <c r="Y213" i="2" s="1"/>
  <c r="W213" i="2"/>
  <c r="V213" i="2"/>
  <c r="AB213" i="2" s="1"/>
  <c r="AE212" i="2"/>
  <c r="AD212" i="2"/>
  <c r="AC212" i="2"/>
  <c r="X212" i="2"/>
  <c r="Y212" i="2" s="1"/>
  <c r="W212" i="2"/>
  <c r="V212" i="2"/>
  <c r="AE211" i="2"/>
  <c r="AD211" i="2"/>
  <c r="AC211" i="2"/>
  <c r="X211" i="2"/>
  <c r="Y211" i="2" s="1"/>
  <c r="W211" i="2"/>
  <c r="V211" i="2"/>
  <c r="AB211" i="2" s="1"/>
  <c r="AE210" i="2"/>
  <c r="AD210" i="2"/>
  <c r="AC210" i="2"/>
  <c r="X210" i="2"/>
  <c r="Y210" i="2" s="1"/>
  <c r="W210" i="2"/>
  <c r="V210" i="2"/>
  <c r="Z210" i="2" s="1"/>
  <c r="AE209" i="2"/>
  <c r="AD209" i="2"/>
  <c r="AC209" i="2"/>
  <c r="X209" i="2"/>
  <c r="Y209" i="2" s="1"/>
  <c r="W209" i="2"/>
  <c r="V209" i="2"/>
  <c r="AB209" i="2" s="1"/>
  <c r="AE208" i="2"/>
  <c r="AD208" i="2"/>
  <c r="AC208" i="2"/>
  <c r="X208" i="2"/>
  <c r="Y208" i="2" s="1"/>
  <c r="W208" i="2"/>
  <c r="V208" i="2"/>
  <c r="Z208" i="2" s="1"/>
  <c r="AE207" i="2"/>
  <c r="AD207" i="2"/>
  <c r="AC207" i="2"/>
  <c r="X207" i="2"/>
  <c r="Y207" i="2" s="1"/>
  <c r="W207" i="2"/>
  <c r="V207" i="2"/>
  <c r="AB207" i="2" s="1"/>
  <c r="AE206" i="2"/>
  <c r="AD206" i="2"/>
  <c r="AC206" i="2"/>
  <c r="X206" i="2"/>
  <c r="Y206" i="2" s="1"/>
  <c r="W206" i="2"/>
  <c r="V206" i="2"/>
  <c r="Z206" i="2" s="1"/>
  <c r="AE205" i="2"/>
  <c r="AD205" i="2"/>
  <c r="AC205" i="2"/>
  <c r="X205" i="2"/>
  <c r="Y205" i="2" s="1"/>
  <c r="W205" i="2"/>
  <c r="V205" i="2"/>
  <c r="AB205" i="2" s="1"/>
  <c r="AE204" i="2"/>
  <c r="AD204" i="2"/>
  <c r="AC204" i="2"/>
  <c r="X204" i="2"/>
  <c r="Y204" i="2" s="1"/>
  <c r="W204" i="2"/>
  <c r="V204" i="2"/>
  <c r="AE203" i="2"/>
  <c r="AD203" i="2"/>
  <c r="AC203" i="2"/>
  <c r="X203" i="2"/>
  <c r="Y203" i="2" s="1"/>
  <c r="W203" i="2"/>
  <c r="V203" i="2"/>
  <c r="AB203" i="2" s="1"/>
  <c r="AE202" i="2"/>
  <c r="AD202" i="2"/>
  <c r="AC202" i="2"/>
  <c r="X202" i="2"/>
  <c r="Y202" i="2" s="1"/>
  <c r="W202" i="2"/>
  <c r="V202" i="2"/>
  <c r="Z202" i="2" s="1"/>
  <c r="AE201" i="2"/>
  <c r="AD201" i="2"/>
  <c r="AC201" i="2"/>
  <c r="X201" i="2"/>
  <c r="Y201" i="2" s="1"/>
  <c r="W201" i="2"/>
  <c r="V201" i="2"/>
  <c r="AB201" i="2" s="1"/>
  <c r="AE200" i="2"/>
  <c r="AD200" i="2"/>
  <c r="AC200" i="2"/>
  <c r="X200" i="2"/>
  <c r="Y200" i="2" s="1"/>
  <c r="W200" i="2"/>
  <c r="V200" i="2"/>
  <c r="Z200" i="2" s="1"/>
  <c r="AE199" i="2"/>
  <c r="AD199" i="2"/>
  <c r="AC199" i="2"/>
  <c r="X199" i="2"/>
  <c r="Y199" i="2" s="1"/>
  <c r="W199" i="2"/>
  <c r="V199" i="2"/>
  <c r="AB199" i="2" s="1"/>
  <c r="AE198" i="2"/>
  <c r="AD198" i="2"/>
  <c r="AC198" i="2"/>
  <c r="X198" i="2"/>
  <c r="Y198" i="2" s="1"/>
  <c r="W198" i="2"/>
  <c r="V198" i="2"/>
  <c r="Z198" i="2" s="1"/>
  <c r="AE197" i="2"/>
  <c r="AD197" i="2"/>
  <c r="AC197" i="2"/>
  <c r="X197" i="2"/>
  <c r="Y197" i="2" s="1"/>
  <c r="W197" i="2"/>
  <c r="V197" i="2"/>
  <c r="AB197" i="2" s="1"/>
  <c r="AE196" i="2"/>
  <c r="AD196" i="2"/>
  <c r="AC196" i="2"/>
  <c r="X196" i="2"/>
  <c r="Y196" i="2" s="1"/>
  <c r="W196" i="2"/>
  <c r="V196" i="2"/>
  <c r="Z196" i="2" s="1"/>
  <c r="AE195" i="2"/>
  <c r="AD195" i="2"/>
  <c r="AC195" i="2"/>
  <c r="X195" i="2"/>
  <c r="Y195" i="2" s="1"/>
  <c r="W195" i="2"/>
  <c r="V195" i="2"/>
  <c r="AB195" i="2" s="1"/>
  <c r="AE194" i="2"/>
  <c r="AD194" i="2"/>
  <c r="AC194" i="2"/>
  <c r="X194" i="2"/>
  <c r="Y194" i="2" s="1"/>
  <c r="W194" i="2"/>
  <c r="V194" i="2"/>
  <c r="Z194" i="2" s="1"/>
  <c r="AE193" i="2"/>
  <c r="AD193" i="2"/>
  <c r="AC193" i="2"/>
  <c r="X193" i="2"/>
  <c r="Y193" i="2" s="1"/>
  <c r="W193" i="2"/>
  <c r="V193" i="2"/>
  <c r="AB193" i="2" s="1"/>
  <c r="AE192" i="2"/>
  <c r="AD192" i="2"/>
  <c r="AC192" i="2"/>
  <c r="X192" i="2"/>
  <c r="Y192" i="2" s="1"/>
  <c r="W192" i="2"/>
  <c r="V192" i="2"/>
  <c r="Z192" i="2" s="1"/>
  <c r="AE191" i="2"/>
  <c r="AD191" i="2"/>
  <c r="AC191" i="2"/>
  <c r="X191" i="2"/>
  <c r="Y191" i="2" s="1"/>
  <c r="W191" i="2"/>
  <c r="V191" i="2"/>
  <c r="AB191" i="2" s="1"/>
  <c r="AE190" i="2"/>
  <c r="AD190" i="2"/>
  <c r="AC190" i="2"/>
  <c r="X190" i="2"/>
  <c r="Y190" i="2" s="1"/>
  <c r="W190" i="2"/>
  <c r="V190" i="2"/>
  <c r="Z190" i="2" s="1"/>
  <c r="AE189" i="2"/>
  <c r="AD189" i="2"/>
  <c r="AC189" i="2"/>
  <c r="X189" i="2"/>
  <c r="Y189" i="2" s="1"/>
  <c r="W189" i="2"/>
  <c r="V189" i="2"/>
  <c r="AB189" i="2" s="1"/>
  <c r="AE188" i="2"/>
  <c r="AD188" i="2"/>
  <c r="AC188" i="2"/>
  <c r="X188" i="2"/>
  <c r="Y188" i="2" s="1"/>
  <c r="W188" i="2"/>
  <c r="V188" i="2"/>
  <c r="AE187" i="2"/>
  <c r="AD187" i="2"/>
  <c r="AC187" i="2"/>
  <c r="X187" i="2"/>
  <c r="Y187" i="2" s="1"/>
  <c r="W187" i="2"/>
  <c r="V187" i="2"/>
  <c r="AB187" i="2" s="1"/>
  <c r="AE186" i="2"/>
  <c r="AD186" i="2"/>
  <c r="AC186" i="2"/>
  <c r="X186" i="2"/>
  <c r="Y186" i="2" s="1"/>
  <c r="W186" i="2"/>
  <c r="V186" i="2"/>
  <c r="Z186" i="2" s="1"/>
  <c r="AE185" i="2"/>
  <c r="AD185" i="2"/>
  <c r="AC185" i="2"/>
  <c r="X185" i="2"/>
  <c r="Y185" i="2" s="1"/>
  <c r="W185" i="2"/>
  <c r="V185" i="2"/>
  <c r="AB185" i="2" s="1"/>
  <c r="AE184" i="2"/>
  <c r="AD184" i="2"/>
  <c r="AC184" i="2"/>
  <c r="X184" i="2"/>
  <c r="Y184" i="2" s="1"/>
  <c r="W184" i="2"/>
  <c r="V184" i="2"/>
  <c r="Z184" i="2" s="1"/>
  <c r="AE183" i="2"/>
  <c r="AD183" i="2"/>
  <c r="AC183" i="2"/>
  <c r="X183" i="2"/>
  <c r="Y183" i="2" s="1"/>
  <c r="W183" i="2"/>
  <c r="V183" i="2"/>
  <c r="AB183" i="2" s="1"/>
  <c r="AE182" i="2"/>
  <c r="AD182" i="2"/>
  <c r="AC182" i="2"/>
  <c r="X182" i="2"/>
  <c r="Y182" i="2" s="1"/>
  <c r="W182" i="2"/>
  <c r="V182" i="2"/>
  <c r="Z182" i="2" s="1"/>
  <c r="AE181" i="2"/>
  <c r="AD181" i="2"/>
  <c r="AC181" i="2"/>
  <c r="X181" i="2"/>
  <c r="Y181" i="2" s="1"/>
  <c r="W181" i="2"/>
  <c r="V181" i="2"/>
  <c r="AB181" i="2" s="1"/>
  <c r="AE180" i="2"/>
  <c r="AD180" i="2"/>
  <c r="AC180" i="2"/>
  <c r="X180" i="2"/>
  <c r="Y180" i="2" s="1"/>
  <c r="W180" i="2"/>
  <c r="V180" i="2"/>
  <c r="Z180" i="2" s="1"/>
  <c r="AE179" i="2"/>
  <c r="AD179" i="2"/>
  <c r="AC179" i="2"/>
  <c r="X179" i="2"/>
  <c r="Y179" i="2" s="1"/>
  <c r="W179" i="2"/>
  <c r="V179" i="2"/>
  <c r="AB179" i="2" s="1"/>
  <c r="AE178" i="2"/>
  <c r="AD178" i="2"/>
  <c r="AC178" i="2"/>
  <c r="X178" i="2"/>
  <c r="Y178" i="2" s="1"/>
  <c r="W178" i="2"/>
  <c r="V178" i="2"/>
  <c r="AE177" i="2"/>
  <c r="AD177" i="2"/>
  <c r="AC177" i="2"/>
  <c r="X177" i="2"/>
  <c r="Y177" i="2" s="1"/>
  <c r="W177" i="2"/>
  <c r="V177" i="2"/>
  <c r="AB177" i="2" s="1"/>
  <c r="AE176" i="2"/>
  <c r="AD176" i="2"/>
  <c r="AC176" i="2"/>
  <c r="X176" i="2"/>
  <c r="Y176" i="2" s="1"/>
  <c r="W176" i="2"/>
  <c r="V176" i="2"/>
  <c r="Z176" i="2" s="1"/>
  <c r="AE175" i="2"/>
  <c r="AD175" i="2"/>
  <c r="AC175" i="2"/>
  <c r="X175" i="2"/>
  <c r="Y175" i="2" s="1"/>
  <c r="W175" i="2"/>
  <c r="V175" i="2"/>
  <c r="AB175" i="2" s="1"/>
  <c r="AE174" i="2"/>
  <c r="AD174" i="2"/>
  <c r="AC174" i="2"/>
  <c r="X174" i="2"/>
  <c r="Y174" i="2" s="1"/>
  <c r="W174" i="2"/>
  <c r="V174" i="2"/>
  <c r="Z174" i="2" s="1"/>
  <c r="AE173" i="2"/>
  <c r="AD173" i="2"/>
  <c r="AC173" i="2"/>
  <c r="X173" i="2"/>
  <c r="Y173" i="2" s="1"/>
  <c r="W173" i="2"/>
  <c r="V173" i="2"/>
  <c r="AB173" i="2" s="1"/>
  <c r="AE172" i="2"/>
  <c r="AD172" i="2"/>
  <c r="AC172" i="2"/>
  <c r="X172" i="2"/>
  <c r="Y172" i="2" s="1"/>
  <c r="W172" i="2"/>
  <c r="V172" i="2"/>
  <c r="AE171" i="2"/>
  <c r="AD171" i="2"/>
  <c r="AC171" i="2"/>
  <c r="X171" i="2"/>
  <c r="Y171" i="2" s="1"/>
  <c r="W171" i="2"/>
  <c r="V171" i="2"/>
  <c r="AB171" i="2" s="1"/>
  <c r="AE170" i="2"/>
  <c r="AD170" i="2"/>
  <c r="AC170" i="2"/>
  <c r="X170" i="2"/>
  <c r="Y170" i="2" s="1"/>
  <c r="W170" i="2"/>
  <c r="V170" i="2"/>
  <c r="Z170" i="2" s="1"/>
  <c r="AE169" i="2"/>
  <c r="AD169" i="2"/>
  <c r="AC169" i="2"/>
  <c r="X169" i="2"/>
  <c r="Y169" i="2" s="1"/>
  <c r="W169" i="2"/>
  <c r="V169" i="2"/>
  <c r="AB169" i="2" s="1"/>
  <c r="AE168" i="2"/>
  <c r="AD168" i="2"/>
  <c r="AC168" i="2"/>
  <c r="X168" i="2"/>
  <c r="Y168" i="2" s="1"/>
  <c r="W168" i="2"/>
  <c r="V168" i="2"/>
  <c r="Z168" i="2" s="1"/>
  <c r="AE167" i="2"/>
  <c r="AD167" i="2"/>
  <c r="AC167" i="2"/>
  <c r="X167" i="2"/>
  <c r="Y167" i="2" s="1"/>
  <c r="W167" i="2"/>
  <c r="V167" i="2"/>
  <c r="AB167" i="2" s="1"/>
  <c r="AE166" i="2"/>
  <c r="AD166" i="2"/>
  <c r="AC166" i="2"/>
  <c r="X166" i="2"/>
  <c r="Y166" i="2" s="1"/>
  <c r="W166" i="2"/>
  <c r="V166" i="2"/>
  <c r="Z166" i="2" s="1"/>
  <c r="AE165" i="2"/>
  <c r="AD165" i="2"/>
  <c r="AC165" i="2"/>
  <c r="X165" i="2"/>
  <c r="Y165" i="2" s="1"/>
  <c r="W165" i="2"/>
  <c r="V165" i="2"/>
  <c r="AB165" i="2" s="1"/>
  <c r="AE164" i="2"/>
  <c r="AD164" i="2"/>
  <c r="AC164" i="2"/>
  <c r="X164" i="2"/>
  <c r="Y164" i="2" s="1"/>
  <c r="W164" i="2"/>
  <c r="V164" i="2"/>
  <c r="Z164" i="2" s="1"/>
  <c r="AE163" i="2"/>
  <c r="AD163" i="2"/>
  <c r="AC163" i="2"/>
  <c r="X163" i="2"/>
  <c r="Y163" i="2" s="1"/>
  <c r="W163" i="2"/>
  <c r="V163" i="2"/>
  <c r="AB163" i="2" s="1"/>
  <c r="AE162" i="2"/>
  <c r="AD162" i="2"/>
  <c r="AC162" i="2"/>
  <c r="X162" i="2"/>
  <c r="Y162" i="2" s="1"/>
  <c r="W162" i="2"/>
  <c r="V162" i="2"/>
  <c r="Z162" i="2" s="1"/>
  <c r="AE161" i="2"/>
  <c r="AD161" i="2"/>
  <c r="AC161" i="2"/>
  <c r="X161" i="2"/>
  <c r="Y161" i="2" s="1"/>
  <c r="W161" i="2"/>
  <c r="V161" i="2"/>
  <c r="AB161" i="2" s="1"/>
  <c r="AE160" i="2"/>
  <c r="AD160" i="2"/>
  <c r="AC160" i="2"/>
  <c r="X160" i="2"/>
  <c r="Y160" i="2" s="1"/>
  <c r="W160" i="2"/>
  <c r="V160" i="2"/>
  <c r="Z160" i="2" s="1"/>
  <c r="AE159" i="2"/>
  <c r="AD159" i="2"/>
  <c r="AC159" i="2"/>
  <c r="X159" i="2"/>
  <c r="Y159" i="2" s="1"/>
  <c r="W159" i="2"/>
  <c r="V159" i="2"/>
  <c r="AB159" i="2" s="1"/>
  <c r="AE158" i="2"/>
  <c r="AD158" i="2"/>
  <c r="AC158" i="2"/>
  <c r="X158" i="2"/>
  <c r="Y158" i="2" s="1"/>
  <c r="W158" i="2"/>
  <c r="V158" i="2"/>
  <c r="Z158" i="2" s="1"/>
  <c r="AE157" i="2"/>
  <c r="AD157" i="2"/>
  <c r="AC157" i="2"/>
  <c r="X157" i="2"/>
  <c r="Y157" i="2" s="1"/>
  <c r="W157" i="2"/>
  <c r="V157" i="2"/>
  <c r="AB157" i="2" s="1"/>
  <c r="AE156" i="2"/>
  <c r="AD156" i="2"/>
  <c r="AC156" i="2"/>
  <c r="X156" i="2"/>
  <c r="Y156" i="2" s="1"/>
  <c r="W156" i="2"/>
  <c r="V156" i="2"/>
  <c r="AE155" i="2"/>
  <c r="AD155" i="2"/>
  <c r="AC155" i="2"/>
  <c r="X155" i="2"/>
  <c r="Y155" i="2" s="1"/>
  <c r="W155" i="2"/>
  <c r="V155" i="2"/>
  <c r="AB155" i="2" s="1"/>
  <c r="AE154" i="2"/>
  <c r="AD154" i="2"/>
  <c r="AC154" i="2"/>
  <c r="X154" i="2"/>
  <c r="Y154" i="2" s="1"/>
  <c r="W154" i="2"/>
  <c r="V154" i="2"/>
  <c r="Z154" i="2" s="1"/>
  <c r="AE153" i="2"/>
  <c r="AD153" i="2"/>
  <c r="AC153" i="2"/>
  <c r="X153" i="2"/>
  <c r="Y153" i="2" s="1"/>
  <c r="W153" i="2"/>
  <c r="V153" i="2"/>
  <c r="AB153" i="2" s="1"/>
  <c r="AE152" i="2"/>
  <c r="AD152" i="2"/>
  <c r="AC152" i="2"/>
  <c r="X152" i="2"/>
  <c r="Y152" i="2" s="1"/>
  <c r="W152" i="2"/>
  <c r="V152" i="2"/>
  <c r="Z152" i="2" s="1"/>
  <c r="AE151" i="2"/>
  <c r="AD151" i="2"/>
  <c r="AC151" i="2"/>
  <c r="X151" i="2"/>
  <c r="Y151" i="2" s="1"/>
  <c r="W151" i="2"/>
  <c r="V151" i="2"/>
  <c r="AB151" i="2" s="1"/>
  <c r="AE150" i="2"/>
  <c r="AD150" i="2"/>
  <c r="AC150" i="2"/>
  <c r="X150" i="2"/>
  <c r="Y150" i="2" s="1"/>
  <c r="W150" i="2"/>
  <c r="V150" i="2"/>
  <c r="Z150" i="2" s="1"/>
  <c r="AE149" i="2"/>
  <c r="AD149" i="2"/>
  <c r="AC149" i="2"/>
  <c r="X149" i="2"/>
  <c r="Y149" i="2" s="1"/>
  <c r="W149" i="2"/>
  <c r="V149" i="2"/>
  <c r="AB149" i="2" s="1"/>
  <c r="AE148" i="2"/>
  <c r="AD148" i="2"/>
  <c r="AC148" i="2"/>
  <c r="X148" i="2"/>
  <c r="Y148" i="2" s="1"/>
  <c r="W148" i="2"/>
  <c r="V148" i="2"/>
  <c r="Z148" i="2" s="1"/>
  <c r="AE147" i="2"/>
  <c r="AD147" i="2"/>
  <c r="AC147" i="2"/>
  <c r="X147" i="2"/>
  <c r="Y147" i="2" s="1"/>
  <c r="W147" i="2"/>
  <c r="V147" i="2"/>
  <c r="AB147" i="2" s="1"/>
  <c r="AE146" i="2"/>
  <c r="AD146" i="2"/>
  <c r="AC146" i="2"/>
  <c r="X146" i="2"/>
  <c r="Y146" i="2" s="1"/>
  <c r="W146" i="2"/>
  <c r="V146" i="2"/>
  <c r="Z146" i="2" s="1"/>
  <c r="AE145" i="2"/>
  <c r="AD145" i="2"/>
  <c r="AC145" i="2"/>
  <c r="X145" i="2"/>
  <c r="Y145" i="2" s="1"/>
  <c r="W145" i="2"/>
  <c r="V145" i="2"/>
  <c r="AB145" i="2" s="1"/>
  <c r="AE144" i="2"/>
  <c r="AD144" i="2"/>
  <c r="AC144" i="2"/>
  <c r="X144" i="2"/>
  <c r="Y144" i="2" s="1"/>
  <c r="W144" i="2"/>
  <c r="V144" i="2"/>
  <c r="Z144" i="2" s="1"/>
  <c r="AE143" i="2"/>
  <c r="AD143" i="2"/>
  <c r="AC143" i="2"/>
  <c r="X143" i="2"/>
  <c r="Y143" i="2" s="1"/>
  <c r="W143" i="2"/>
  <c r="V143" i="2"/>
  <c r="AB143" i="2" s="1"/>
  <c r="AE142" i="2"/>
  <c r="AD142" i="2"/>
  <c r="AC142" i="2"/>
  <c r="X142" i="2"/>
  <c r="Y142" i="2" s="1"/>
  <c r="W142" i="2"/>
  <c r="V142" i="2"/>
  <c r="Z142" i="2" s="1"/>
  <c r="AE141" i="2"/>
  <c r="AD141" i="2"/>
  <c r="AC141" i="2"/>
  <c r="X141" i="2"/>
  <c r="Y141" i="2" s="1"/>
  <c r="W141" i="2"/>
  <c r="V141" i="2"/>
  <c r="AB141" i="2" s="1"/>
  <c r="AE140" i="2"/>
  <c r="AD140" i="2"/>
  <c r="AC140" i="2"/>
  <c r="X140" i="2"/>
  <c r="Y140" i="2" s="1"/>
  <c r="W140" i="2"/>
  <c r="V140" i="2"/>
  <c r="AE139" i="2"/>
  <c r="AD139" i="2"/>
  <c r="AC139" i="2"/>
  <c r="X139" i="2"/>
  <c r="Y139" i="2" s="1"/>
  <c r="W139" i="2"/>
  <c r="V139" i="2"/>
  <c r="AB139" i="2" s="1"/>
  <c r="AE138" i="2"/>
  <c r="AD138" i="2"/>
  <c r="AC138" i="2"/>
  <c r="X138" i="2"/>
  <c r="Y138" i="2" s="1"/>
  <c r="W138" i="2"/>
  <c r="V138" i="2"/>
  <c r="Z138" i="2" s="1"/>
  <c r="AE137" i="2"/>
  <c r="AD137" i="2"/>
  <c r="AC137" i="2"/>
  <c r="X137" i="2"/>
  <c r="Y137" i="2" s="1"/>
  <c r="W137" i="2"/>
  <c r="V137" i="2"/>
  <c r="AB137" i="2" s="1"/>
  <c r="AE136" i="2"/>
  <c r="AD136" i="2"/>
  <c r="AC136" i="2"/>
  <c r="X136" i="2"/>
  <c r="Y136" i="2" s="1"/>
  <c r="W136" i="2"/>
  <c r="V136" i="2"/>
  <c r="Z136" i="2" s="1"/>
  <c r="AE135" i="2"/>
  <c r="AD135" i="2"/>
  <c r="AC135" i="2"/>
  <c r="X135" i="2"/>
  <c r="Y135" i="2" s="1"/>
  <c r="W135" i="2"/>
  <c r="V135" i="2"/>
  <c r="AB135" i="2" s="1"/>
  <c r="AE134" i="2"/>
  <c r="AC134" i="2"/>
  <c r="AD134" i="2" s="1"/>
  <c r="X134" i="2"/>
  <c r="Y134" i="2" s="1"/>
  <c r="W134" i="2"/>
  <c r="V134" i="2"/>
  <c r="AE133" i="2"/>
  <c r="AC133" i="2"/>
  <c r="AD133" i="2" s="1"/>
  <c r="X133" i="2"/>
  <c r="Y133" i="2" s="1"/>
  <c r="W133" i="2"/>
  <c r="V133" i="2"/>
  <c r="AB133" i="2" s="1"/>
  <c r="AE132" i="2"/>
  <c r="AC132" i="2"/>
  <c r="AD132" i="2" s="1"/>
  <c r="X132" i="2"/>
  <c r="W132" i="2"/>
  <c r="V132" i="2"/>
  <c r="AE131" i="2"/>
  <c r="AC131" i="2"/>
  <c r="AD131" i="2" s="1"/>
  <c r="X131" i="2"/>
  <c r="Y131" i="2" s="1"/>
  <c r="W131" i="2"/>
  <c r="V131" i="2"/>
  <c r="AB131" i="2" s="1"/>
  <c r="AE130" i="2"/>
  <c r="AC130" i="2"/>
  <c r="AD130" i="2" s="1"/>
  <c r="X130" i="2"/>
  <c r="W130" i="2"/>
  <c r="V130" i="2"/>
  <c r="AE129" i="2"/>
  <c r="AC129" i="2"/>
  <c r="AD129" i="2" s="1"/>
  <c r="X129" i="2"/>
  <c r="W129" i="2"/>
  <c r="V129" i="2"/>
  <c r="AB129" i="2" s="1"/>
  <c r="AE128" i="2"/>
  <c r="AC128" i="2"/>
  <c r="AD128" i="2" s="1"/>
  <c r="X128" i="2"/>
  <c r="W128" i="2"/>
  <c r="V128" i="2"/>
  <c r="AE127" i="2"/>
  <c r="AC127" i="2"/>
  <c r="AD127" i="2" s="1"/>
  <c r="X127" i="2"/>
  <c r="W127" i="2"/>
  <c r="V127" i="2"/>
  <c r="AB127" i="2" s="1"/>
  <c r="AE126" i="2"/>
  <c r="AC126" i="2"/>
  <c r="AD126" i="2" s="1"/>
  <c r="X126" i="2"/>
  <c r="W126" i="2"/>
  <c r="V126" i="2"/>
  <c r="AE125" i="2"/>
  <c r="AC125" i="2"/>
  <c r="AD125" i="2" s="1"/>
  <c r="X125" i="2"/>
  <c r="W125" i="2"/>
  <c r="V125" i="2"/>
  <c r="AB125" i="2" s="1"/>
  <c r="AE124" i="2"/>
  <c r="AC124" i="2"/>
  <c r="AD124" i="2" s="1"/>
  <c r="X124" i="2"/>
  <c r="W124" i="2"/>
  <c r="V124" i="2"/>
  <c r="AE123" i="2"/>
  <c r="AC123" i="2"/>
  <c r="AD123" i="2" s="1"/>
  <c r="X123" i="2"/>
  <c r="W123" i="2"/>
  <c r="V123" i="2"/>
  <c r="AB123" i="2" s="1"/>
  <c r="AE122" i="2"/>
  <c r="AC122" i="2"/>
  <c r="AD122" i="2" s="1"/>
  <c r="X122" i="2"/>
  <c r="W122" i="2"/>
  <c r="V122" i="2"/>
  <c r="AE121" i="2"/>
  <c r="AC121" i="2"/>
  <c r="AD121" i="2" s="1"/>
  <c r="X121" i="2"/>
  <c r="W121" i="2"/>
  <c r="V121" i="2"/>
  <c r="AB121" i="2" s="1"/>
  <c r="AE120" i="2"/>
  <c r="AC120" i="2"/>
  <c r="AD120" i="2" s="1"/>
  <c r="X120" i="2"/>
  <c r="W120" i="2"/>
  <c r="V120" i="2"/>
  <c r="Z120" i="2" s="1"/>
  <c r="AE119" i="2"/>
  <c r="AC119" i="2"/>
  <c r="AD119" i="2" s="1"/>
  <c r="X119" i="2"/>
  <c r="W119" i="2"/>
  <c r="V119" i="2"/>
  <c r="AE118" i="2"/>
  <c r="AC118" i="2"/>
  <c r="AD118" i="2" s="1"/>
  <c r="X118" i="2"/>
  <c r="W118" i="2"/>
  <c r="V118" i="2"/>
  <c r="AE117" i="2"/>
  <c r="AC117" i="2"/>
  <c r="AD117" i="2" s="1"/>
  <c r="X117" i="2"/>
  <c r="W117" i="2"/>
  <c r="V117" i="2"/>
  <c r="AE116" i="2"/>
  <c r="AC116" i="2"/>
  <c r="AD116" i="2" s="1"/>
  <c r="X116" i="2"/>
  <c r="W116" i="2"/>
  <c r="V116" i="2"/>
  <c r="AE115" i="2"/>
  <c r="AC115" i="2"/>
  <c r="AD115" i="2" s="1"/>
  <c r="X115" i="2"/>
  <c r="Y115" i="2" s="1"/>
  <c r="W115" i="2"/>
  <c r="V115" i="2"/>
  <c r="AE114" i="2"/>
  <c r="AC114" i="2"/>
  <c r="AD114" i="2" s="1"/>
  <c r="X114" i="2"/>
  <c r="W114" i="2"/>
  <c r="V114" i="2"/>
  <c r="AE113" i="2"/>
  <c r="AC113" i="2"/>
  <c r="AD113" i="2" s="1"/>
  <c r="X113" i="2"/>
  <c r="W113" i="2"/>
  <c r="V113" i="2"/>
  <c r="AE112" i="2"/>
  <c r="AC112" i="2"/>
  <c r="AD112" i="2" s="1"/>
  <c r="X112" i="2"/>
  <c r="W112" i="2"/>
  <c r="V112" i="2"/>
  <c r="AE111" i="2"/>
  <c r="AC111" i="2"/>
  <c r="AD111" i="2" s="1"/>
  <c r="X111" i="2"/>
  <c r="Y111" i="2" s="1"/>
  <c r="W111" i="2"/>
  <c r="V111" i="2"/>
  <c r="AE110" i="2"/>
  <c r="AC110" i="2"/>
  <c r="AD110" i="2" s="1"/>
  <c r="X110" i="2"/>
  <c r="Y110" i="2" s="1"/>
  <c r="W110" i="2"/>
  <c r="V110" i="2"/>
  <c r="AE109" i="2"/>
  <c r="AC109" i="2"/>
  <c r="AD109" i="2" s="1"/>
  <c r="X109" i="2"/>
  <c r="W109" i="2"/>
  <c r="V109" i="2"/>
  <c r="AE108" i="2"/>
  <c r="AC108" i="2"/>
  <c r="AD108" i="2" s="1"/>
  <c r="X108" i="2"/>
  <c r="W108" i="2"/>
  <c r="V108" i="2"/>
  <c r="AE107" i="2"/>
  <c r="AC107" i="2"/>
  <c r="AD107" i="2" s="1"/>
  <c r="X107" i="2"/>
  <c r="W107" i="2"/>
  <c r="V107" i="2"/>
  <c r="AE106" i="2"/>
  <c r="AC106" i="2"/>
  <c r="AD106" i="2" s="1"/>
  <c r="X106" i="2"/>
  <c r="W106" i="2"/>
  <c r="V106" i="2"/>
  <c r="AE105" i="2"/>
  <c r="AC105" i="2"/>
  <c r="AD105" i="2" s="1"/>
  <c r="X105" i="2"/>
  <c r="W105" i="2"/>
  <c r="V105" i="2"/>
  <c r="AE104" i="2"/>
  <c r="AC104" i="2"/>
  <c r="AD104" i="2" s="1"/>
  <c r="X104" i="2"/>
  <c r="W104" i="2"/>
  <c r="V104" i="2"/>
  <c r="AE103" i="2"/>
  <c r="AC103" i="2"/>
  <c r="AD103" i="2" s="1"/>
  <c r="X103" i="2"/>
  <c r="W103" i="2"/>
  <c r="V103" i="2"/>
  <c r="AE102" i="2"/>
  <c r="AC102" i="2"/>
  <c r="AD102" i="2" s="1"/>
  <c r="X102" i="2"/>
  <c r="W102" i="2"/>
  <c r="V102" i="2"/>
  <c r="AE101" i="2"/>
  <c r="AC101" i="2"/>
  <c r="AD101" i="2" s="1"/>
  <c r="X101" i="2"/>
  <c r="W101" i="2"/>
  <c r="V101" i="2"/>
  <c r="AE100" i="2"/>
  <c r="AC100" i="2"/>
  <c r="AD100" i="2" s="1"/>
  <c r="X100" i="2"/>
  <c r="W100" i="2"/>
  <c r="V100" i="2"/>
  <c r="Z100" i="2" s="1"/>
  <c r="AE99" i="2"/>
  <c r="AC99" i="2"/>
  <c r="AD99" i="2" s="1"/>
  <c r="X99" i="2"/>
  <c r="W99" i="2"/>
  <c r="V99" i="2"/>
  <c r="AE98" i="2"/>
  <c r="AC98" i="2"/>
  <c r="AD98" i="2" s="1"/>
  <c r="X98" i="2"/>
  <c r="W98" i="2"/>
  <c r="V98" i="2"/>
  <c r="Z98" i="2" s="1"/>
  <c r="AE97" i="2"/>
  <c r="AC97" i="2"/>
  <c r="AD97" i="2" s="1"/>
  <c r="X97" i="2"/>
  <c r="W97" i="2"/>
  <c r="V97" i="2"/>
  <c r="AE96" i="2"/>
  <c r="AC96" i="2"/>
  <c r="AD96" i="2" s="1"/>
  <c r="X96" i="2"/>
  <c r="W96" i="2"/>
  <c r="V96" i="2"/>
  <c r="AE95" i="2"/>
  <c r="AC95" i="2"/>
  <c r="AD95" i="2" s="1"/>
  <c r="X95" i="2"/>
  <c r="W95" i="2"/>
  <c r="V95" i="2"/>
  <c r="AE94" i="2"/>
  <c r="AC94" i="2"/>
  <c r="AD94" i="2" s="1"/>
  <c r="X94" i="2"/>
  <c r="W94" i="2"/>
  <c r="V94" i="2"/>
  <c r="AE93" i="2"/>
  <c r="AC93" i="2"/>
  <c r="AD93" i="2" s="1"/>
  <c r="X93" i="2"/>
  <c r="W93" i="2"/>
  <c r="V93" i="2"/>
  <c r="AE92" i="2"/>
  <c r="AC92" i="2"/>
  <c r="AD92" i="2" s="1"/>
  <c r="X92" i="2"/>
  <c r="W92" i="2"/>
  <c r="V92" i="2"/>
  <c r="AE91" i="2"/>
  <c r="AC91" i="2"/>
  <c r="AD91" i="2" s="1"/>
  <c r="X91" i="2"/>
  <c r="W91" i="2"/>
  <c r="V91" i="2"/>
  <c r="AE90" i="2"/>
  <c r="AC90" i="2"/>
  <c r="AD90" i="2" s="1"/>
  <c r="X90" i="2"/>
  <c r="W90" i="2"/>
  <c r="V90" i="2"/>
  <c r="AE89" i="2"/>
  <c r="AC89" i="2"/>
  <c r="AD89" i="2" s="1"/>
  <c r="X89" i="2"/>
  <c r="W89" i="2"/>
  <c r="V89" i="2"/>
  <c r="AE88" i="2"/>
  <c r="AC88" i="2"/>
  <c r="AD88" i="2" s="1"/>
  <c r="X88" i="2"/>
  <c r="Y88" i="2" s="1"/>
  <c r="W88" i="2"/>
  <c r="V88" i="2"/>
  <c r="AE87" i="2"/>
  <c r="AC87" i="2"/>
  <c r="AD87" i="2" s="1"/>
  <c r="X87" i="2"/>
  <c r="W87" i="2"/>
  <c r="V87" i="2"/>
  <c r="AE86" i="2"/>
  <c r="AC86" i="2"/>
  <c r="AD86" i="2" s="1"/>
  <c r="X86" i="2"/>
  <c r="W86" i="2"/>
  <c r="V86" i="2"/>
  <c r="AE85" i="2"/>
  <c r="AC85" i="2"/>
  <c r="AD85" i="2" s="1"/>
  <c r="X85" i="2"/>
  <c r="W85" i="2"/>
  <c r="V85" i="2"/>
  <c r="AE84" i="2"/>
  <c r="AC84" i="2"/>
  <c r="AD84" i="2" s="1"/>
  <c r="X84" i="2"/>
  <c r="W84" i="2"/>
  <c r="V84" i="2"/>
  <c r="Z84" i="2" s="1"/>
  <c r="AE83" i="2"/>
  <c r="AC83" i="2"/>
  <c r="AD83" i="2" s="1"/>
  <c r="X83" i="2"/>
  <c r="W83" i="2"/>
  <c r="V83" i="2"/>
  <c r="AE82" i="2"/>
  <c r="AC82" i="2"/>
  <c r="AD82" i="2" s="1"/>
  <c r="X82" i="2"/>
  <c r="W82" i="2"/>
  <c r="V82" i="2"/>
  <c r="AE81" i="2"/>
  <c r="AC81" i="2"/>
  <c r="AD81" i="2" s="1"/>
  <c r="X81" i="2"/>
  <c r="Y81" i="2" s="1"/>
  <c r="W81" i="2"/>
  <c r="V81" i="2"/>
  <c r="AE80" i="2"/>
  <c r="AC80" i="2"/>
  <c r="AD80" i="2" s="1"/>
  <c r="X80" i="2"/>
  <c r="W80" i="2"/>
  <c r="V80" i="2"/>
  <c r="Z80" i="2" s="1"/>
  <c r="AE79" i="2"/>
  <c r="AC79" i="2"/>
  <c r="AD79" i="2" s="1"/>
  <c r="X79" i="2"/>
  <c r="W79" i="2"/>
  <c r="V79" i="2"/>
  <c r="AE78" i="2"/>
  <c r="AC78" i="2"/>
  <c r="AD78" i="2" s="1"/>
  <c r="X78" i="2"/>
  <c r="Y78" i="2" s="1"/>
  <c r="W78" i="2"/>
  <c r="V78" i="2"/>
  <c r="AE77" i="2"/>
  <c r="AC77" i="2"/>
  <c r="AD77" i="2" s="1"/>
  <c r="X77" i="2"/>
  <c r="Y77" i="2" s="1"/>
  <c r="W77" i="2"/>
  <c r="V77" i="2"/>
  <c r="AE76" i="2"/>
  <c r="AC76" i="2"/>
  <c r="AD76" i="2" s="1"/>
  <c r="X76" i="2"/>
  <c r="W76" i="2"/>
  <c r="V76" i="2"/>
  <c r="Z76" i="2" s="1"/>
  <c r="AE75" i="2"/>
  <c r="AC75" i="2"/>
  <c r="AD75" i="2" s="1"/>
  <c r="X75" i="2"/>
  <c r="W75" i="2"/>
  <c r="V75" i="2"/>
  <c r="AE74" i="2"/>
  <c r="AC74" i="2"/>
  <c r="AD74" i="2" s="1"/>
  <c r="X74" i="2"/>
  <c r="W74" i="2"/>
  <c r="V74" i="2"/>
  <c r="AE73" i="2"/>
  <c r="AC73" i="2"/>
  <c r="AD73" i="2" s="1"/>
  <c r="X73" i="2"/>
  <c r="W73" i="2"/>
  <c r="V73" i="2"/>
  <c r="AE72" i="2"/>
  <c r="AC72" i="2"/>
  <c r="AD72" i="2" s="1"/>
  <c r="X72" i="2"/>
  <c r="W72" i="2"/>
  <c r="V72" i="2"/>
  <c r="Z72" i="2" s="1"/>
  <c r="AE71" i="2"/>
  <c r="AC71" i="2"/>
  <c r="AD71" i="2" s="1"/>
  <c r="X71" i="2"/>
  <c r="W71" i="2"/>
  <c r="V71" i="2"/>
  <c r="AE70" i="2"/>
  <c r="AC70" i="2"/>
  <c r="AD70" i="2" s="1"/>
  <c r="X70" i="2"/>
  <c r="W70" i="2"/>
  <c r="V70" i="2"/>
  <c r="AE69" i="2"/>
  <c r="AC69" i="2"/>
  <c r="AD69" i="2" s="1"/>
  <c r="X69" i="2"/>
  <c r="W69" i="2"/>
  <c r="V69" i="2"/>
  <c r="AE68" i="2"/>
  <c r="AC68" i="2"/>
  <c r="AD68" i="2" s="1"/>
  <c r="X68" i="2"/>
  <c r="W68" i="2"/>
  <c r="V68" i="2"/>
  <c r="Z68" i="2" s="1"/>
  <c r="AE67" i="2"/>
  <c r="AC67" i="2"/>
  <c r="AD67" i="2" s="1"/>
  <c r="X67" i="2"/>
  <c r="W67" i="2"/>
  <c r="V67" i="2"/>
  <c r="AE66" i="2"/>
  <c r="AC66" i="2"/>
  <c r="AD66" i="2" s="1"/>
  <c r="X66" i="2"/>
  <c r="W66" i="2"/>
  <c r="V66" i="2"/>
  <c r="Z66" i="2" s="1"/>
  <c r="AE65" i="2"/>
  <c r="AC65" i="2"/>
  <c r="AD65" i="2" s="1"/>
  <c r="X65" i="2"/>
  <c r="W65" i="2"/>
  <c r="V65" i="2"/>
  <c r="AE64" i="2"/>
  <c r="AC64" i="2"/>
  <c r="AD64" i="2" s="1"/>
  <c r="X64" i="2"/>
  <c r="W64" i="2"/>
  <c r="V64" i="2"/>
  <c r="Z64" i="2" s="1"/>
  <c r="AE63" i="2"/>
  <c r="AC63" i="2"/>
  <c r="AD63" i="2" s="1"/>
  <c r="X63" i="2"/>
  <c r="W63" i="2"/>
  <c r="V63" i="2"/>
  <c r="AE62" i="2"/>
  <c r="AC62" i="2"/>
  <c r="AD62" i="2" s="1"/>
  <c r="X62" i="2"/>
  <c r="W62" i="2"/>
  <c r="V62" i="2"/>
  <c r="AE61" i="2"/>
  <c r="AC61" i="2"/>
  <c r="AD61" i="2" s="1"/>
  <c r="X61" i="2"/>
  <c r="W61" i="2"/>
  <c r="V61" i="2"/>
  <c r="AE60" i="2"/>
  <c r="AC60" i="2"/>
  <c r="AD60" i="2" s="1"/>
  <c r="X60" i="2"/>
  <c r="W60" i="2"/>
  <c r="V60" i="2"/>
  <c r="AE59" i="2"/>
  <c r="AC59" i="2"/>
  <c r="AD59" i="2" s="1"/>
  <c r="X59" i="2"/>
  <c r="W59" i="2"/>
  <c r="V59" i="2"/>
  <c r="AE58" i="2"/>
  <c r="AC58" i="2"/>
  <c r="AD58" i="2" s="1"/>
  <c r="X58" i="2"/>
  <c r="W58" i="2"/>
  <c r="V58" i="2"/>
  <c r="AE57" i="2"/>
  <c r="AC57" i="2"/>
  <c r="AD57" i="2" s="1"/>
  <c r="X57" i="2"/>
  <c r="Y57" i="2" s="1"/>
  <c r="W57" i="2"/>
  <c r="V57" i="2"/>
  <c r="AE56" i="2"/>
  <c r="AC56" i="2"/>
  <c r="AD56" i="2" s="1"/>
  <c r="X56" i="2"/>
  <c r="Y56" i="2" s="1"/>
  <c r="W56" i="2"/>
  <c r="V56" i="2"/>
  <c r="AE55" i="2"/>
  <c r="AC55" i="2"/>
  <c r="AD55" i="2" s="1"/>
  <c r="X55" i="2"/>
  <c r="W55" i="2"/>
  <c r="V55" i="2"/>
  <c r="AE54" i="2"/>
  <c r="AC54" i="2"/>
  <c r="AD54" i="2" s="1"/>
  <c r="X54" i="2"/>
  <c r="W54" i="2"/>
  <c r="V54" i="2"/>
  <c r="AE53" i="2"/>
  <c r="AC53" i="2"/>
  <c r="AD53" i="2" s="1"/>
  <c r="X53" i="2"/>
  <c r="W53" i="2"/>
  <c r="V53" i="2"/>
  <c r="AE52" i="2"/>
  <c r="AC52" i="2"/>
  <c r="AD52" i="2" s="1"/>
  <c r="X52" i="2"/>
  <c r="W52" i="2"/>
  <c r="V52" i="2"/>
  <c r="Z52" i="2" s="1"/>
  <c r="AE51" i="2"/>
  <c r="AC51" i="2"/>
  <c r="AD51" i="2" s="1"/>
  <c r="X51" i="2"/>
  <c r="W51" i="2"/>
  <c r="V51" i="2"/>
  <c r="AE50" i="2"/>
  <c r="AC50" i="2"/>
  <c r="AD50" i="2" s="1"/>
  <c r="X50" i="2"/>
  <c r="W50" i="2"/>
  <c r="V50" i="2"/>
  <c r="AE49" i="2"/>
  <c r="AC49" i="2"/>
  <c r="AD49" i="2" s="1"/>
  <c r="X49" i="2"/>
  <c r="Y49" i="2" s="1"/>
  <c r="W49" i="2"/>
  <c r="V49" i="2"/>
  <c r="AE48" i="2"/>
  <c r="AC48" i="2"/>
  <c r="AD48" i="2" s="1"/>
  <c r="X48" i="2"/>
  <c r="W48" i="2"/>
  <c r="V48" i="2"/>
  <c r="F18" i="5" s="1"/>
  <c r="AE47" i="2"/>
  <c r="AC47" i="2"/>
  <c r="AD47" i="2" s="1"/>
  <c r="X47" i="2"/>
  <c r="W47" i="2"/>
  <c r="V47" i="2"/>
  <c r="AE46" i="2"/>
  <c r="AC46" i="2"/>
  <c r="AD46" i="2" s="1"/>
  <c r="X46" i="2"/>
  <c r="W46" i="2"/>
  <c r="V46" i="2"/>
  <c r="AE45" i="2"/>
  <c r="AC45" i="2"/>
  <c r="AD45" i="2" s="1"/>
  <c r="X45" i="2"/>
  <c r="W45" i="2"/>
  <c r="V45" i="2"/>
  <c r="AE44" i="2"/>
  <c r="AC44" i="2"/>
  <c r="AD44" i="2" s="1"/>
  <c r="X44" i="2"/>
  <c r="W44" i="2"/>
  <c r="V44" i="2"/>
  <c r="AE43" i="2"/>
  <c r="AC43" i="2"/>
  <c r="AD43" i="2" s="1"/>
  <c r="X43" i="2"/>
  <c r="Y43" i="2" s="1"/>
  <c r="W43" i="2"/>
  <c r="V43" i="2"/>
  <c r="AE42" i="2"/>
  <c r="AC42" i="2"/>
  <c r="AD42" i="2" s="1"/>
  <c r="X42" i="2"/>
  <c r="Y42" i="2" s="1"/>
  <c r="W42" i="2"/>
  <c r="V42" i="2"/>
  <c r="AE41" i="2"/>
  <c r="AC41" i="2"/>
  <c r="AD41" i="2" s="1"/>
  <c r="X41" i="2"/>
  <c r="W41" i="2"/>
  <c r="V41" i="2"/>
  <c r="AE40" i="2"/>
  <c r="AC40" i="2"/>
  <c r="AD40" i="2" s="1"/>
  <c r="X40" i="2"/>
  <c r="W40" i="2"/>
  <c r="V40" i="2"/>
  <c r="Z40" i="2" s="1"/>
  <c r="AE39" i="2"/>
  <c r="AC39" i="2"/>
  <c r="AD39" i="2" s="1"/>
  <c r="X39" i="2"/>
  <c r="W39" i="2"/>
  <c r="V39" i="2"/>
  <c r="AE38" i="2"/>
  <c r="AC38" i="2"/>
  <c r="AD38" i="2" s="1"/>
  <c r="X38" i="2"/>
  <c r="W38" i="2"/>
  <c r="V38" i="2"/>
  <c r="AE37" i="2"/>
  <c r="AC37" i="2"/>
  <c r="AD37" i="2" s="1"/>
  <c r="X37" i="2"/>
  <c r="Y37" i="2" s="1"/>
  <c r="W37" i="2"/>
  <c r="V37" i="2"/>
  <c r="AE36" i="2"/>
  <c r="AC36" i="2"/>
  <c r="AD36" i="2" s="1"/>
  <c r="X36" i="2"/>
  <c r="W36" i="2"/>
  <c r="V36" i="2"/>
  <c r="Z36" i="2" s="1"/>
  <c r="AE35" i="2"/>
  <c r="AC35" i="2"/>
  <c r="AD35" i="2" s="1"/>
  <c r="X35" i="2"/>
  <c r="W35" i="2"/>
  <c r="V35" i="2"/>
  <c r="AE34" i="2"/>
  <c r="AC34" i="2"/>
  <c r="AD34" i="2" s="1"/>
  <c r="X34" i="2"/>
  <c r="W34" i="2"/>
  <c r="V34" i="2"/>
  <c r="AE33" i="2"/>
  <c r="AC33" i="2"/>
  <c r="AD33" i="2" s="1"/>
  <c r="X33" i="2"/>
  <c r="W33" i="2"/>
  <c r="V33" i="2"/>
  <c r="AE32" i="2"/>
  <c r="AC32" i="2"/>
  <c r="AD32" i="2" s="1"/>
  <c r="X32" i="2"/>
  <c r="W32" i="2"/>
  <c r="V32" i="2"/>
  <c r="Z32" i="2" s="1"/>
  <c r="AE31" i="2"/>
  <c r="AC31" i="2"/>
  <c r="AD31" i="2" s="1"/>
  <c r="X31" i="2"/>
  <c r="W31" i="2"/>
  <c r="V31" i="2"/>
  <c r="AE30" i="2"/>
  <c r="AC30" i="2"/>
  <c r="AD30" i="2" s="1"/>
  <c r="X30" i="2"/>
  <c r="W30" i="2"/>
  <c r="V30" i="2"/>
  <c r="Z30" i="2" s="1"/>
  <c r="AE29" i="2"/>
  <c r="AC29" i="2"/>
  <c r="AD29" i="2" s="1"/>
  <c r="X29" i="2"/>
  <c r="W29" i="2"/>
  <c r="V29" i="2"/>
  <c r="AE28" i="2"/>
  <c r="AC28" i="2"/>
  <c r="AD28" i="2" s="1"/>
  <c r="X28" i="2"/>
  <c r="W28" i="2"/>
  <c r="V28" i="2"/>
  <c r="AE27" i="2"/>
  <c r="AC27" i="2"/>
  <c r="AD27" i="2" s="1"/>
  <c r="X27" i="2"/>
  <c r="W27" i="2"/>
  <c r="V27" i="2"/>
  <c r="AE26" i="2"/>
  <c r="AC26" i="2"/>
  <c r="AD26" i="2" s="1"/>
  <c r="X26" i="2"/>
  <c r="W26" i="2"/>
  <c r="V26" i="2"/>
  <c r="AE25" i="2"/>
  <c r="AC25" i="2"/>
  <c r="AD25" i="2" s="1"/>
  <c r="X25" i="2"/>
  <c r="W25" i="2"/>
  <c r="V25" i="2"/>
  <c r="AE24" i="2"/>
  <c r="AC24" i="2"/>
  <c r="AD24" i="2" s="1"/>
  <c r="X24" i="2"/>
  <c r="W24" i="2"/>
  <c r="V24" i="2"/>
  <c r="Z24" i="2" s="1"/>
  <c r="AE23" i="2"/>
  <c r="AC23" i="2"/>
  <c r="AD23" i="2" s="1"/>
  <c r="X23" i="2"/>
  <c r="W23" i="2"/>
  <c r="V23" i="2"/>
  <c r="AE22" i="2"/>
  <c r="AC22" i="2"/>
  <c r="AD22" i="2" s="1"/>
  <c r="X22" i="2"/>
  <c r="W22" i="2"/>
  <c r="V22" i="2"/>
  <c r="AE21" i="2"/>
  <c r="AC21" i="2"/>
  <c r="AD21" i="2" s="1"/>
  <c r="X21" i="2"/>
  <c r="W21" i="2"/>
  <c r="V21" i="2"/>
  <c r="AE20" i="2"/>
  <c r="AC20" i="2"/>
  <c r="AD20" i="2" s="1"/>
  <c r="X20" i="2"/>
  <c r="W20" i="2"/>
  <c r="V20" i="2"/>
  <c r="Z20" i="2" s="1"/>
  <c r="AE19" i="2"/>
  <c r="AC19" i="2"/>
  <c r="AD19" i="2" s="1"/>
  <c r="X19" i="2"/>
  <c r="W19" i="2"/>
  <c r="V19" i="2"/>
  <c r="AE18" i="2"/>
  <c r="AC18" i="2"/>
  <c r="AD18" i="2" s="1"/>
  <c r="X18" i="2"/>
  <c r="W18" i="2"/>
  <c r="V18" i="2"/>
  <c r="Z18" i="2" s="1"/>
  <c r="AE17" i="2"/>
  <c r="AC17" i="2"/>
  <c r="AD17" i="2" s="1"/>
  <c r="X17" i="2"/>
  <c r="W17" i="2"/>
  <c r="V17" i="2"/>
  <c r="AE16" i="2"/>
  <c r="AC16" i="2"/>
  <c r="AD16" i="2" s="1"/>
  <c r="X16" i="2"/>
  <c r="W16" i="2"/>
  <c r="V16" i="2"/>
  <c r="AE15" i="2"/>
  <c r="AC15" i="2"/>
  <c r="AD15" i="2" s="1"/>
  <c r="X15" i="2"/>
  <c r="W15" i="2"/>
  <c r="V15" i="2"/>
  <c r="AE14" i="2"/>
  <c r="AC14" i="2"/>
  <c r="AD14" i="2" s="1"/>
  <c r="X14" i="2"/>
  <c r="W14" i="2"/>
  <c r="V14" i="2"/>
  <c r="Z14" i="2" s="1"/>
  <c r="AE13" i="2"/>
  <c r="AC13" i="2"/>
  <c r="AD13" i="2" s="1"/>
  <c r="X13" i="2"/>
  <c r="W13" i="2"/>
  <c r="V13" i="2"/>
  <c r="AE12" i="2"/>
  <c r="AC12" i="2"/>
  <c r="AD12" i="2" s="1"/>
  <c r="X12" i="2"/>
  <c r="W12" i="2"/>
  <c r="V12" i="2"/>
  <c r="Z12" i="2" s="1"/>
  <c r="AE11" i="2"/>
  <c r="AC11" i="2"/>
  <c r="AD11" i="2" s="1"/>
  <c r="X11" i="2"/>
  <c r="W11" i="2"/>
  <c r="V11" i="2"/>
  <c r="AE10" i="2"/>
  <c r="AC10" i="2"/>
  <c r="AD10" i="2" s="1"/>
  <c r="X10" i="2"/>
  <c r="W10" i="2"/>
  <c r="V10" i="2"/>
  <c r="Z10" i="2" s="1"/>
  <c r="AE9" i="2"/>
  <c r="AC9" i="2"/>
  <c r="AD9" i="2" s="1"/>
  <c r="X9" i="2"/>
  <c r="W9" i="2"/>
  <c r="V9" i="2"/>
  <c r="AE8" i="2"/>
  <c r="AC8" i="2"/>
  <c r="AD8" i="2" s="1"/>
  <c r="X8" i="2"/>
  <c r="W8" i="2"/>
  <c r="V8" i="2"/>
  <c r="AE7" i="2"/>
  <c r="AC7" i="2"/>
  <c r="AD7" i="2" s="1"/>
  <c r="X7" i="2"/>
  <c r="W7" i="2"/>
  <c r="V7" i="2"/>
  <c r="AE6" i="2"/>
  <c r="AC6" i="2"/>
  <c r="AD6" i="2" s="1"/>
  <c r="X6" i="2"/>
  <c r="W6" i="2"/>
  <c r="V6" i="2"/>
  <c r="Z6" i="2" s="1"/>
  <c r="AE5" i="2"/>
  <c r="AC5" i="2"/>
  <c r="AD5" i="2" s="1"/>
  <c r="X5" i="2"/>
  <c r="W5" i="2"/>
  <c r="V5" i="2"/>
  <c r="AE4" i="2"/>
  <c r="AC4" i="2"/>
  <c r="AD4" i="2" s="1"/>
  <c r="X4" i="2"/>
  <c r="W4" i="2"/>
  <c r="V4" i="2"/>
  <c r="AE3" i="2"/>
  <c r="AC3" i="2"/>
  <c r="AD3" i="2" s="1"/>
  <c r="X3" i="2"/>
  <c r="Y3" i="2" s="1"/>
  <c r="W3" i="2"/>
  <c r="V3" i="2"/>
  <c r="F68" i="5"/>
  <c r="M68" i="5" s="1"/>
  <c r="F55" i="5"/>
  <c r="M55" i="5" s="1"/>
  <c r="E26" i="1"/>
  <c r="B4" i="14" s="1"/>
  <c r="C4" i="14" s="1"/>
  <c r="E24" i="1"/>
  <c r="Z134" i="2" l="1"/>
  <c r="F51" i="5"/>
  <c r="Y132" i="2"/>
  <c r="Y130" i="2"/>
  <c r="Z130" i="2"/>
  <c r="Y128" i="2"/>
  <c r="Z128" i="2"/>
  <c r="Y129" i="2"/>
  <c r="Y126" i="2"/>
  <c r="Z126" i="2"/>
  <c r="Y127" i="2"/>
  <c r="Y124" i="2"/>
  <c r="Y123" i="2"/>
  <c r="Y125" i="2"/>
  <c r="Y122" i="2"/>
  <c r="Z122" i="2"/>
  <c r="Y121" i="2"/>
  <c r="F48" i="5"/>
  <c r="M48" i="5" s="1"/>
  <c r="Y119" i="2"/>
  <c r="Y120" i="2"/>
  <c r="Y118" i="2"/>
  <c r="Z118" i="2"/>
  <c r="Y117" i="2"/>
  <c r="F47" i="5"/>
  <c r="K47" i="5" s="1"/>
  <c r="Y116" i="2"/>
  <c r="Z116" i="2"/>
  <c r="Y114" i="2"/>
  <c r="Z114" i="2"/>
  <c r="Y113" i="2"/>
  <c r="Y112" i="2"/>
  <c r="Z112" i="2"/>
  <c r="Z110" i="2"/>
  <c r="Y108" i="2"/>
  <c r="Y109" i="2"/>
  <c r="Z106" i="2"/>
  <c r="Y107" i="2"/>
  <c r="Y106" i="2"/>
  <c r="Y105" i="2"/>
  <c r="Y104" i="2"/>
  <c r="Z104" i="2"/>
  <c r="Y103" i="2"/>
  <c r="Y102" i="2"/>
  <c r="Y101" i="2"/>
  <c r="Y100" i="2"/>
  <c r="Y96" i="2"/>
  <c r="Y98" i="2"/>
  <c r="Z96" i="2"/>
  <c r="Y97" i="2"/>
  <c r="Y99" i="2"/>
  <c r="Y94" i="2"/>
  <c r="Y93" i="2"/>
  <c r="Y95" i="2"/>
  <c r="Z92" i="2"/>
  <c r="Y92" i="2"/>
  <c r="Z90" i="2"/>
  <c r="Y91" i="2"/>
  <c r="Y90" i="2"/>
  <c r="Y89" i="2"/>
  <c r="Z88" i="2"/>
  <c r="Y87" i="2"/>
  <c r="Y86" i="2"/>
  <c r="Z86" i="2"/>
  <c r="Y85" i="2"/>
  <c r="F30" i="5"/>
  <c r="K30" i="5" s="1"/>
  <c r="Z82" i="2"/>
  <c r="Y83" i="2"/>
  <c r="Y82" i="2"/>
  <c r="Y84" i="2"/>
  <c r="Y79" i="2"/>
  <c r="Y80" i="2"/>
  <c r="Y75" i="2"/>
  <c r="Y76" i="2"/>
  <c r="Z74" i="2"/>
  <c r="Y74" i="2"/>
  <c r="Y73" i="2"/>
  <c r="Y71" i="2"/>
  <c r="Y72" i="2"/>
  <c r="Y69" i="2"/>
  <c r="Y70" i="2"/>
  <c r="Y65" i="2"/>
  <c r="Y67" i="2"/>
  <c r="Y66" i="2"/>
  <c r="Y68" i="2"/>
  <c r="Y64" i="2"/>
  <c r="Y63" i="2"/>
  <c r="Y62" i="2"/>
  <c r="Y61" i="2"/>
  <c r="Z60" i="2"/>
  <c r="Y60" i="2"/>
  <c r="Y59" i="2"/>
  <c r="Z58" i="2"/>
  <c r="Y58" i="2"/>
  <c r="Z56" i="2"/>
  <c r="Z54" i="2"/>
  <c r="Y55" i="2"/>
  <c r="Y54" i="2"/>
  <c r="Z50" i="2"/>
  <c r="Y51" i="2"/>
  <c r="Y53" i="2"/>
  <c r="Y50" i="2"/>
  <c r="Y52" i="2"/>
  <c r="Z48" i="2"/>
  <c r="Y48" i="2"/>
  <c r="Y45" i="2"/>
  <c r="Y47" i="2"/>
  <c r="Y46" i="2"/>
  <c r="Z44" i="2"/>
  <c r="Y44" i="2"/>
  <c r="Z42" i="2"/>
  <c r="Y41" i="2"/>
  <c r="F14" i="5"/>
  <c r="K14" i="5" s="1"/>
  <c r="Y40" i="2"/>
  <c r="Y39" i="2"/>
  <c r="Y38" i="2"/>
  <c r="Z38" i="2"/>
  <c r="F15" i="5"/>
  <c r="L15" i="5" s="1"/>
  <c r="Y36" i="2"/>
  <c r="Y35" i="2"/>
  <c r="Y34" i="2"/>
  <c r="Z34" i="2"/>
  <c r="Y33" i="2"/>
  <c r="C24" i="8"/>
  <c r="H8" i="7" a="1"/>
  <c r="H8" i="7" s="1"/>
  <c r="Y32" i="2"/>
  <c r="Y28" i="2"/>
  <c r="Y30" i="2"/>
  <c r="Y27" i="2"/>
  <c r="Y29" i="2"/>
  <c r="Y31" i="2"/>
  <c r="Y26" i="2"/>
  <c r="Z26" i="2"/>
  <c r="Y24" i="2"/>
  <c r="Y23" i="2"/>
  <c r="Y25" i="2"/>
  <c r="Y22" i="2"/>
  <c r="Z22" i="2"/>
  <c r="Y20" i="2"/>
  <c r="Y19" i="2"/>
  <c r="Y21" i="2"/>
  <c r="B13" i="7" a="1"/>
  <c r="B13" i="7" s="1"/>
  <c r="J13" i="7" a="1"/>
  <c r="J13" i="7" s="1"/>
  <c r="E13" i="7" a="1"/>
  <c r="E13" i="7" s="1"/>
  <c r="F13" i="7" s="1"/>
  <c r="Y16" i="2"/>
  <c r="Y18" i="2"/>
  <c r="Z16" i="2"/>
  <c r="Y17" i="2"/>
  <c r="Y14" i="2"/>
  <c r="Y13" i="2"/>
  <c r="Y15" i="2"/>
  <c r="Y10" i="2"/>
  <c r="Y12" i="2"/>
  <c r="Y9" i="2"/>
  <c r="Y11" i="2"/>
  <c r="Y8" i="2"/>
  <c r="Z8" i="2"/>
  <c r="Y7" i="2"/>
  <c r="Y6" i="2"/>
  <c r="Y5" i="2"/>
  <c r="Y4" i="2"/>
  <c r="Z3" i="2"/>
  <c r="F79" i="5"/>
  <c r="M79" i="5" s="1"/>
  <c r="F78" i="5"/>
  <c r="M78" i="5" s="1"/>
  <c r="F77" i="5"/>
  <c r="L77" i="5" s="1"/>
  <c r="F76" i="5"/>
  <c r="M76" i="5" s="1"/>
  <c r="F73" i="5"/>
  <c r="K73" i="5" s="1"/>
  <c r="F72" i="5"/>
  <c r="M72" i="5" s="1"/>
  <c r="F69" i="5"/>
  <c r="K69" i="5" s="1"/>
  <c r="F66" i="5"/>
  <c r="M66" i="5" s="1"/>
  <c r="F67" i="5"/>
  <c r="M67" i="5" s="1"/>
  <c r="F65" i="5"/>
  <c r="K65" i="5" s="1"/>
  <c r="F63" i="5"/>
  <c r="K63" i="5" s="1"/>
  <c r="F64" i="5"/>
  <c r="M64" i="5" s="1"/>
  <c r="F62" i="5"/>
  <c r="M62" i="5" s="1"/>
  <c r="F61" i="5"/>
  <c r="M61" i="5" s="1"/>
  <c r="I19" i="7"/>
  <c r="F60" i="5"/>
  <c r="M60" i="5" s="1"/>
  <c r="F59" i="5"/>
  <c r="M59" i="5" s="1"/>
  <c r="F57" i="5"/>
  <c r="K57" i="5" s="1"/>
  <c r="F58" i="5"/>
  <c r="L58" i="5" s="1"/>
  <c r="F13" i="1"/>
  <c r="H13" i="1" s="1"/>
  <c r="F56" i="5"/>
  <c r="M56" i="5" s="1"/>
  <c r="F54" i="5"/>
  <c r="L54" i="5" s="1"/>
  <c r="F53" i="5"/>
  <c r="K53" i="5" s="1"/>
  <c r="F52" i="5"/>
  <c r="L52" i="5" s="1"/>
  <c r="F50" i="5"/>
  <c r="K50" i="5" s="1"/>
  <c r="F49" i="5"/>
  <c r="K49" i="5" s="1"/>
  <c r="J5" i="3"/>
  <c r="H5" i="6" s="1"/>
  <c r="J18" i="8"/>
  <c r="M46" i="5"/>
  <c r="C5" i="1"/>
  <c r="F45" i="5"/>
  <c r="K45" i="5" s="1"/>
  <c r="F44" i="5"/>
  <c r="M44" i="5" s="1"/>
  <c r="F43" i="5"/>
  <c r="M43" i="5" s="1"/>
  <c r="F41" i="5"/>
  <c r="M41" i="5" s="1"/>
  <c r="F42" i="5"/>
  <c r="L42" i="5" s="1"/>
  <c r="F40" i="5"/>
  <c r="M40" i="5" s="1"/>
  <c r="F39" i="5"/>
  <c r="M39" i="5" s="1"/>
  <c r="F36" i="5"/>
  <c r="M36" i="5" s="1"/>
  <c r="F38" i="5"/>
  <c r="K38" i="5" s="1"/>
  <c r="F37" i="5"/>
  <c r="L37" i="5" s="1"/>
  <c r="F34" i="5"/>
  <c r="L34" i="5" s="1"/>
  <c r="F35" i="5"/>
  <c r="M35" i="5" s="1"/>
  <c r="F33" i="5"/>
  <c r="K33" i="5" s="1"/>
  <c r="K104" i="5"/>
  <c r="F32" i="5"/>
  <c r="M32" i="5" s="1"/>
  <c r="F31" i="5"/>
  <c r="M31" i="5" s="1"/>
  <c r="F29" i="5"/>
  <c r="L29" i="5" s="1"/>
  <c r="F27" i="5"/>
  <c r="K27" i="5" s="1"/>
  <c r="F28" i="5"/>
  <c r="M28" i="5" s="1"/>
  <c r="H9" i="7"/>
  <c r="F26" i="5"/>
  <c r="L26" i="5" s="1"/>
  <c r="F25" i="5"/>
  <c r="L25" i="5" s="1"/>
  <c r="F24" i="5"/>
  <c r="M24" i="5" s="1"/>
  <c r="F23" i="5"/>
  <c r="M23" i="5" s="1"/>
  <c r="F20" i="5"/>
  <c r="M20" i="5" s="1"/>
  <c r="F21" i="5"/>
  <c r="L21" i="5" s="1"/>
  <c r="F19" i="5"/>
  <c r="M19" i="5" s="1"/>
  <c r="F17" i="5"/>
  <c r="L17" i="5" s="1"/>
  <c r="F13" i="5"/>
  <c r="L13" i="5" s="1"/>
  <c r="H15" i="1"/>
  <c r="H14" i="1"/>
  <c r="J4" i="3"/>
  <c r="K4" i="3" s="1"/>
  <c r="H12" i="1"/>
  <c r="F12" i="5"/>
  <c r="K12" i="5" s="1"/>
  <c r="F11" i="5"/>
  <c r="K11" i="5" s="1"/>
  <c r="F10" i="5"/>
  <c r="M10" i="5" s="1"/>
  <c r="F9" i="5"/>
  <c r="L9" i="5" s="1"/>
  <c r="F8" i="5"/>
  <c r="M8" i="5" s="1"/>
  <c r="F7" i="5"/>
  <c r="M7" i="5" s="1"/>
  <c r="F6" i="5"/>
  <c r="L6" i="5" s="1"/>
  <c r="K24" i="8"/>
  <c r="F5" i="5"/>
  <c r="K5" i="5" s="1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K102" i="5"/>
  <c r="E9" i="8"/>
  <c r="G13" i="8" s="1"/>
  <c r="AA1365" i="2"/>
  <c r="AA1485" i="2"/>
  <c r="AA1503" i="2"/>
  <c r="AA244" i="2"/>
  <c r="AA977" i="2"/>
  <c r="AA12" i="2"/>
  <c r="AA1031" i="2"/>
  <c r="AA338" i="2"/>
  <c r="AA146" i="2"/>
  <c r="AA148" i="2"/>
  <c r="AA350" i="2"/>
  <c r="AA510" i="2"/>
  <c r="AB853" i="2"/>
  <c r="AA1073" i="2"/>
  <c r="AA1413" i="2"/>
  <c r="AA1605" i="2"/>
  <c r="J138" i="3"/>
  <c r="H138" i="6" s="1"/>
  <c r="AA86" i="2"/>
  <c r="AA228" i="2"/>
  <c r="AA418" i="2"/>
  <c r="AA1145" i="2"/>
  <c r="AA1619" i="2"/>
  <c r="AA196" i="2"/>
  <c r="AA368" i="2"/>
  <c r="AA918" i="2"/>
  <c r="AA981" i="2"/>
  <c r="AA1103" i="2"/>
  <c r="AA1377" i="2"/>
  <c r="AA1511" i="2"/>
  <c r="AA6" i="2"/>
  <c r="AA116" i="2"/>
  <c r="AA210" i="2"/>
  <c r="AA314" i="2"/>
  <c r="AA384" i="2"/>
  <c r="AA500" i="2"/>
  <c r="AA558" i="2"/>
  <c r="AA706" i="2"/>
  <c r="AA715" i="2"/>
  <c r="AB917" i="2"/>
  <c r="AA926" i="2"/>
  <c r="AB949" i="2"/>
  <c r="AA985" i="2"/>
  <c r="AA1393" i="2"/>
  <c r="J34" i="3"/>
  <c r="H34" i="6" s="1"/>
  <c r="J154" i="3"/>
  <c r="H154" i="6" s="1"/>
  <c r="J239" i="3"/>
  <c r="K239" i="3" s="1"/>
  <c r="J52" i="3"/>
  <c r="H52" i="6" s="1"/>
  <c r="J172" i="3"/>
  <c r="K172" i="3" s="1"/>
  <c r="K82" i="5"/>
  <c r="AA54" i="2"/>
  <c r="AA114" i="2"/>
  <c r="AA164" i="2"/>
  <c r="AA242" i="2"/>
  <c r="AA328" i="2"/>
  <c r="AA390" i="2"/>
  <c r="AA474" i="2"/>
  <c r="AA554" i="2"/>
  <c r="AA596" i="2"/>
  <c r="AA682" i="2"/>
  <c r="AA969" i="2"/>
  <c r="AA1079" i="2"/>
  <c r="AA1171" i="2"/>
  <c r="AA1287" i="2"/>
  <c r="AA1343" i="2"/>
  <c r="AA1439" i="2"/>
  <c r="J84" i="3"/>
  <c r="H84" i="6" s="1"/>
  <c r="K55" i="5"/>
  <c r="K87" i="5"/>
  <c r="Z524" i="2"/>
  <c r="AA524" i="2"/>
  <c r="AB714" i="2"/>
  <c r="AA714" i="2"/>
  <c r="Z895" i="2"/>
  <c r="AA895" i="2"/>
  <c r="A73" i="6"/>
  <c r="A74" i="10" s="1"/>
  <c r="J73" i="3"/>
  <c r="H73" i="6" s="1"/>
  <c r="Z178" i="2"/>
  <c r="AA178" i="2"/>
  <c r="Z70" i="2"/>
  <c r="AA70" i="2"/>
  <c r="Z132" i="2"/>
  <c r="AA132" i="2"/>
  <c r="AA378" i="2"/>
  <c r="Z404" i="2"/>
  <c r="AA404" i="2"/>
  <c r="AA993" i="2"/>
  <c r="Z1351" i="2"/>
  <c r="AA1351" i="2"/>
  <c r="A36" i="6"/>
  <c r="A37" i="10" s="1"/>
  <c r="J36" i="3"/>
  <c r="K36" i="3" s="1"/>
  <c r="A263" i="6"/>
  <c r="A264" i="10" s="1"/>
  <c r="J263" i="3"/>
  <c r="K263" i="3" s="1"/>
  <c r="M90" i="5"/>
  <c r="K90" i="5"/>
  <c r="Z660" i="2"/>
  <c r="AA660" i="2"/>
  <c r="Z1273" i="2"/>
  <c r="AA1273" i="2"/>
  <c r="A26" i="6"/>
  <c r="A27" i="10" s="1"/>
  <c r="J26" i="3"/>
  <c r="H26" i="6" s="1"/>
  <c r="Z622" i="2"/>
  <c r="AA622" i="2"/>
  <c r="Z692" i="2"/>
  <c r="AA692" i="2"/>
  <c r="Z989" i="2"/>
  <c r="AA989" i="2"/>
  <c r="Z1457" i="2"/>
  <c r="AA1457" i="2"/>
  <c r="A9" i="6"/>
  <c r="A10" i="10" s="1"/>
  <c r="J9" i="3"/>
  <c r="H9" i="6" s="1"/>
  <c r="A33" i="6"/>
  <c r="A34" i="10" s="1"/>
  <c r="J33" i="3"/>
  <c r="K33" i="3" s="1"/>
  <c r="A60" i="6"/>
  <c r="A61" i="10" s="1"/>
  <c r="J60" i="3"/>
  <c r="K60" i="3" s="1"/>
  <c r="Z102" i="2"/>
  <c r="AA102" i="2"/>
  <c r="AA180" i="2"/>
  <c r="Z212" i="2"/>
  <c r="AA212" i="2"/>
  <c r="AA306" i="2"/>
  <c r="Z428" i="2"/>
  <c r="AA428" i="2"/>
  <c r="AA526" i="2"/>
  <c r="Z546" i="2"/>
  <c r="AA546" i="2"/>
  <c r="Z779" i="2"/>
  <c r="AA779" i="2"/>
  <c r="AA961" i="2"/>
  <c r="AA1023" i="2"/>
  <c r="AA1119" i="2"/>
  <c r="Z1375" i="2"/>
  <c r="AA1375" i="2"/>
  <c r="A49" i="6"/>
  <c r="A50" i="10" s="1"/>
  <c r="J49" i="3"/>
  <c r="K49" i="3" s="1"/>
  <c r="A108" i="6"/>
  <c r="A109" i="10" s="1"/>
  <c r="J108" i="3"/>
  <c r="H108" i="6" s="1"/>
  <c r="J25" i="3"/>
  <c r="K25" i="3" s="1"/>
  <c r="J28" i="3"/>
  <c r="H28" i="6" s="1"/>
  <c r="J42" i="3"/>
  <c r="H42" i="6" s="1"/>
  <c r="J68" i="3"/>
  <c r="K68" i="3" s="1"/>
  <c r="J94" i="3"/>
  <c r="H94" i="6" s="1"/>
  <c r="J105" i="3"/>
  <c r="H105" i="6" s="1"/>
  <c r="J122" i="3"/>
  <c r="H122" i="6" s="1"/>
  <c r="J146" i="3"/>
  <c r="H146" i="6" s="1"/>
  <c r="J160" i="3"/>
  <c r="K160" i="3" s="1"/>
  <c r="J198" i="3"/>
  <c r="H198" i="6" s="1"/>
  <c r="J223" i="3"/>
  <c r="K223" i="3" s="1"/>
  <c r="J279" i="3"/>
  <c r="K279" i="3" s="1"/>
  <c r="L70" i="5"/>
  <c r="L94" i="5"/>
  <c r="J89" i="3"/>
  <c r="H89" i="6" s="1"/>
  <c r="J100" i="3"/>
  <c r="H100" i="6" s="1"/>
  <c r="J134" i="3"/>
  <c r="K134" i="3" s="1"/>
  <c r="J141" i="3"/>
  <c r="K141" i="3" s="1"/>
  <c r="J150" i="3"/>
  <c r="H150" i="6" s="1"/>
  <c r="J157" i="3"/>
  <c r="H157" i="6" s="1"/>
  <c r="J168" i="3"/>
  <c r="H168" i="6" s="1"/>
  <c r="J191" i="3"/>
  <c r="K191" i="3" s="1"/>
  <c r="J214" i="3"/>
  <c r="H214" i="6" s="1"/>
  <c r="J231" i="3"/>
  <c r="H231" i="6" s="1"/>
  <c r="Z312" i="2"/>
  <c r="AA312" i="2"/>
  <c r="Z1357" i="2"/>
  <c r="AA1357" i="2"/>
  <c r="Z1373" i="2"/>
  <c r="AA1373" i="2"/>
  <c r="Z1549" i="2"/>
  <c r="AA1549" i="2"/>
  <c r="Z1613" i="2"/>
  <c r="AA1613" i="2"/>
  <c r="Z62" i="2"/>
  <c r="AA62" i="2"/>
  <c r="Z94" i="2"/>
  <c r="AA94" i="2"/>
  <c r="Z188" i="2"/>
  <c r="AA188" i="2"/>
  <c r="Z252" i="2"/>
  <c r="AA252" i="2"/>
  <c r="Z344" i="2"/>
  <c r="AA344" i="2"/>
  <c r="Z374" i="2"/>
  <c r="AA374" i="2"/>
  <c r="Z436" i="2"/>
  <c r="AA436" i="2"/>
  <c r="Z566" i="2"/>
  <c r="AA566" i="2"/>
  <c r="Z861" i="2"/>
  <c r="AB861" i="2"/>
  <c r="Z934" i="2"/>
  <c r="AA934" i="2"/>
  <c r="Z1267" i="2"/>
  <c r="AA1267" i="2"/>
  <c r="Z1389" i="2"/>
  <c r="AA1389" i="2"/>
  <c r="Z1565" i="2"/>
  <c r="AA1565" i="2"/>
  <c r="Z280" i="2"/>
  <c r="AA280" i="2"/>
  <c r="Z358" i="2"/>
  <c r="AA358" i="2"/>
  <c r="Z634" i="2"/>
  <c r="AA634" i="2"/>
  <c r="Z1247" i="2"/>
  <c r="AA1247" i="2"/>
  <c r="A57" i="6"/>
  <c r="A58" i="10" s="1"/>
  <c r="J57" i="3"/>
  <c r="H57" i="6" s="1"/>
  <c r="A70" i="6"/>
  <c r="A71" i="10" s="1"/>
  <c r="J70" i="3"/>
  <c r="H70" i="6" s="1"/>
  <c r="K51" i="5"/>
  <c r="M51" i="5"/>
  <c r="M98" i="5"/>
  <c r="K98" i="5"/>
  <c r="Z46" i="2"/>
  <c r="AA46" i="2"/>
  <c r="Z78" i="2"/>
  <c r="AA78" i="2"/>
  <c r="Z108" i="2"/>
  <c r="AA108" i="2"/>
  <c r="Z140" i="2"/>
  <c r="AA140" i="2"/>
  <c r="Z172" i="2"/>
  <c r="AA172" i="2"/>
  <c r="Z204" i="2"/>
  <c r="AA204" i="2"/>
  <c r="Z236" i="2"/>
  <c r="AA236" i="2"/>
  <c r="AA274" i="2"/>
  <c r="Z294" i="2"/>
  <c r="AA294" i="2"/>
  <c r="AA326" i="2"/>
  <c r="Z336" i="2"/>
  <c r="AA336" i="2"/>
  <c r="Z382" i="2"/>
  <c r="AA382" i="2"/>
  <c r="AA450" i="2"/>
  <c r="Z460" i="2"/>
  <c r="AA460" i="2"/>
  <c r="AA534" i="2"/>
  <c r="AA606" i="2"/>
  <c r="AA618" i="2"/>
  <c r="Z911" i="2"/>
  <c r="AA911" i="2"/>
  <c r="Z1037" i="2"/>
  <c r="AA1037" i="2"/>
  <c r="AA1041" i="2"/>
  <c r="Z1175" i="2"/>
  <c r="AA1175" i="2"/>
  <c r="Z1177" i="2"/>
  <c r="AA1177" i="2"/>
  <c r="Z1481" i="2"/>
  <c r="AA1481" i="2"/>
  <c r="AA1533" i="2"/>
  <c r="Z1591" i="2"/>
  <c r="AA1591" i="2"/>
  <c r="A12" i="6"/>
  <c r="A13" i="10" s="1"/>
  <c r="J12" i="3"/>
  <c r="H12" i="6" s="1"/>
  <c r="A65" i="6"/>
  <c r="A66" i="10" s="1"/>
  <c r="J65" i="3"/>
  <c r="H65" i="6" s="1"/>
  <c r="A102" i="6"/>
  <c r="A103" i="10" s="1"/>
  <c r="J102" i="3"/>
  <c r="K102" i="3" s="1"/>
  <c r="A222" i="6"/>
  <c r="A223" i="10" s="1"/>
  <c r="J222" i="3"/>
  <c r="K222" i="3" s="1"/>
  <c r="J287" i="3"/>
  <c r="K287" i="3" s="1"/>
  <c r="A295" i="6"/>
  <c r="A296" i="10" s="1"/>
  <c r="J295" i="3"/>
  <c r="K295" i="3" s="1"/>
  <c r="Z28" i="2"/>
  <c r="AA28" i="2"/>
  <c r="Z124" i="2"/>
  <c r="AA124" i="2"/>
  <c r="Z156" i="2"/>
  <c r="AA156" i="2"/>
  <c r="Z220" i="2"/>
  <c r="AA220" i="2"/>
  <c r="Z652" i="2"/>
  <c r="AA652" i="2"/>
  <c r="Z870" i="2"/>
  <c r="AA870" i="2"/>
  <c r="Z941" i="2"/>
  <c r="AB941" i="2"/>
  <c r="Z1001" i="2"/>
  <c r="AA1001" i="2"/>
  <c r="Z1163" i="2"/>
  <c r="AA1163" i="2"/>
  <c r="Z1225" i="2"/>
  <c r="AA1225" i="2"/>
  <c r="A81" i="6"/>
  <c r="A82" i="10" s="1"/>
  <c r="J81" i="3"/>
  <c r="H81" i="6" s="1"/>
  <c r="Z522" i="2"/>
  <c r="AA522" i="2"/>
  <c r="Z1207" i="2"/>
  <c r="AA1207" i="2"/>
  <c r="Z1209" i="2"/>
  <c r="AA1209" i="2"/>
  <c r="AA130" i="2"/>
  <c r="AA162" i="2"/>
  <c r="AA194" i="2"/>
  <c r="AA226" i="2"/>
  <c r="AA258" i="2"/>
  <c r="Z320" i="2"/>
  <c r="AA320" i="2"/>
  <c r="AA376" i="2"/>
  <c r="Z414" i="2"/>
  <c r="AA414" i="2"/>
  <c r="AA438" i="2"/>
  <c r="Z470" i="2"/>
  <c r="AA470" i="2"/>
  <c r="Z492" i="2"/>
  <c r="AA492" i="2"/>
  <c r="Z532" i="2"/>
  <c r="AA532" i="2"/>
  <c r="Z644" i="2"/>
  <c r="AA644" i="2"/>
  <c r="AA658" i="2"/>
  <c r="Z666" i="2"/>
  <c r="AA666" i="2"/>
  <c r="AA747" i="2"/>
  <c r="AA811" i="2"/>
  <c r="Z847" i="2"/>
  <c r="AA847" i="2"/>
  <c r="AB877" i="2"/>
  <c r="Z893" i="2"/>
  <c r="AB893" i="2"/>
  <c r="Z946" i="2"/>
  <c r="AA946" i="2"/>
  <c r="AB957" i="2"/>
  <c r="Z965" i="2"/>
  <c r="AA965" i="2"/>
  <c r="Z1131" i="2"/>
  <c r="AA1131" i="2"/>
  <c r="AA1285" i="2"/>
  <c r="AA1319" i="2"/>
  <c r="AA1445" i="2"/>
  <c r="AA1461" i="2"/>
  <c r="AA1517" i="2"/>
  <c r="A97" i="6"/>
  <c r="A98" i="10" s="1"/>
  <c r="J97" i="3"/>
  <c r="H97" i="6" s="1"/>
  <c r="A188" i="6"/>
  <c r="A189" i="10" s="1"/>
  <c r="J188" i="3"/>
  <c r="H188" i="6" s="1"/>
  <c r="A247" i="6"/>
  <c r="A248" i="10" s="1"/>
  <c r="J247" i="3"/>
  <c r="K247" i="3" s="1"/>
  <c r="AA20" i="2"/>
  <c r="AA122" i="2"/>
  <c r="AA138" i="2"/>
  <c r="AA154" i="2"/>
  <c r="AA170" i="2"/>
  <c r="AA186" i="2"/>
  <c r="AA202" i="2"/>
  <c r="AA218" i="2"/>
  <c r="AA234" i="2"/>
  <c r="AA250" i="2"/>
  <c r="AA266" i="2"/>
  <c r="AA278" i="2"/>
  <c r="AA286" i="2"/>
  <c r="AA318" i="2"/>
  <c r="AA342" i="2"/>
  <c r="AA354" i="2"/>
  <c r="AA392" i="2"/>
  <c r="AA410" i="2"/>
  <c r="AA420" i="2"/>
  <c r="AA468" i="2"/>
  <c r="AA490" i="2"/>
  <c r="AA530" i="2"/>
  <c r="AA538" i="2"/>
  <c r="AA562" i="2"/>
  <c r="AA574" i="2"/>
  <c r="AA588" i="2"/>
  <c r="AA602" i="2"/>
  <c r="AA626" i="2"/>
  <c r="AA642" i="2"/>
  <c r="AA650" i="2"/>
  <c r="AA676" i="2"/>
  <c r="AA684" i="2"/>
  <c r="AA698" i="2"/>
  <c r="AA708" i="2"/>
  <c r="AA739" i="2"/>
  <c r="AA771" i="2"/>
  <c r="AA803" i="2"/>
  <c r="AA830" i="2"/>
  <c r="AA850" i="2"/>
  <c r="AA973" i="2"/>
  <c r="Z1065" i="2"/>
  <c r="AA1065" i="2"/>
  <c r="AA1091" i="2"/>
  <c r="AA1139" i="2"/>
  <c r="AA1151" i="2"/>
  <c r="Z1187" i="2"/>
  <c r="AA1187" i="2"/>
  <c r="Z1251" i="2"/>
  <c r="AA1251" i="2"/>
  <c r="AA1329" i="2"/>
  <c r="AA1383" i="2"/>
  <c r="Z1421" i="2"/>
  <c r="AA1421" i="2"/>
  <c r="AA1425" i="2"/>
  <c r="AA1477" i="2"/>
  <c r="AA1489" i="2"/>
  <c r="AA1545" i="2"/>
  <c r="Z1553" i="2"/>
  <c r="AA1553" i="2"/>
  <c r="Z1597" i="2"/>
  <c r="AA1597" i="2"/>
  <c r="A92" i="6"/>
  <c r="A93" i="10" s="1"/>
  <c r="J92" i="3"/>
  <c r="K92" i="3" s="1"/>
  <c r="A144" i="6"/>
  <c r="A145" i="10" s="1"/>
  <c r="J144" i="3"/>
  <c r="H144" i="6" s="1"/>
  <c r="A251" i="6"/>
  <c r="A252" i="10" s="1"/>
  <c r="J251" i="3"/>
  <c r="H251" i="6" s="1"/>
  <c r="L98" i="5"/>
  <c r="Z1047" i="2"/>
  <c r="AB1047" i="2"/>
  <c r="Z1231" i="2"/>
  <c r="AA1231" i="2"/>
  <c r="Z1325" i="2"/>
  <c r="AA1325" i="2"/>
  <c r="Z1381" i="2"/>
  <c r="AA1381" i="2"/>
  <c r="Z1469" i="2"/>
  <c r="AA1469" i="2"/>
  <c r="Z1541" i="2"/>
  <c r="AA1541" i="2"/>
  <c r="Z1585" i="2"/>
  <c r="AA1585" i="2"/>
  <c r="A76" i="6"/>
  <c r="A77" i="10" s="1"/>
  <c r="J76" i="3"/>
  <c r="K76" i="3" s="1"/>
  <c r="A128" i="6"/>
  <c r="A129" i="10" s="1"/>
  <c r="J128" i="3"/>
  <c r="H128" i="6" s="1"/>
  <c r="A225" i="6"/>
  <c r="A226" i="10" s="1"/>
  <c r="J225" i="3"/>
  <c r="H225" i="6" s="1"/>
  <c r="A271" i="6"/>
  <c r="A272" i="10" s="1"/>
  <c r="J271" i="3"/>
  <c r="H271" i="6" s="1"/>
  <c r="A302" i="6"/>
  <c r="A303" i="10" s="1"/>
  <c r="J302" i="3"/>
  <c r="H302" i="6" s="1"/>
  <c r="K85" i="5"/>
  <c r="M85" i="5"/>
  <c r="K74" i="5"/>
  <c r="K83" i="5"/>
  <c r="K95" i="5"/>
  <c r="J255" i="3"/>
  <c r="H255" i="6" s="1"/>
  <c r="J270" i="3"/>
  <c r="K270" i="3" s="1"/>
  <c r="J273" i="3"/>
  <c r="K273" i="3" s="1"/>
  <c r="J299" i="3"/>
  <c r="H299" i="6" s="1"/>
  <c r="Z807" i="2"/>
  <c r="AA807" i="2"/>
  <c r="Z971" i="2"/>
  <c r="AA971" i="2"/>
  <c r="Z979" i="2"/>
  <c r="AA979" i="2"/>
  <c r="Z1193" i="2"/>
  <c r="AA1193" i="2"/>
  <c r="Z1471" i="2"/>
  <c r="AA1471" i="2"/>
  <c r="Z1473" i="2"/>
  <c r="AA1473" i="2"/>
  <c r="Z1573" i="2"/>
  <c r="AA1573" i="2"/>
  <c r="Z1575" i="2"/>
  <c r="AA1575" i="2"/>
  <c r="Z1589" i="2"/>
  <c r="AA1589" i="2"/>
  <c r="A10" i="6"/>
  <c r="A11" i="10" s="1"/>
  <c r="J10" i="3"/>
  <c r="H10" i="6" s="1"/>
  <c r="A62" i="6"/>
  <c r="A63" i="10" s="1"/>
  <c r="J62" i="3"/>
  <c r="H62" i="6" s="1"/>
  <c r="A202" i="6"/>
  <c r="A203" i="10" s="1"/>
  <c r="J202" i="3"/>
  <c r="H202" i="6" s="1"/>
  <c r="A241" i="6"/>
  <c r="A242" i="10" s="1"/>
  <c r="J241" i="3"/>
  <c r="H241" i="6" s="1"/>
  <c r="A265" i="6"/>
  <c r="A266" i="10" s="1"/>
  <c r="J265" i="3"/>
  <c r="H265" i="6" s="1"/>
  <c r="A303" i="6"/>
  <c r="A304" i="10" s="1"/>
  <c r="J303" i="3"/>
  <c r="H303" i="6" s="1"/>
  <c r="Z360" i="2"/>
  <c r="AA360" i="2"/>
  <c r="Z386" i="2"/>
  <c r="AA386" i="2"/>
  <c r="Z654" i="2"/>
  <c r="AA654" i="2"/>
  <c r="Z743" i="2"/>
  <c r="AA743" i="2"/>
  <c r="Z775" i="2"/>
  <c r="AA775" i="2"/>
  <c r="AB881" i="2"/>
  <c r="AB32" i="2"/>
  <c r="AB100" i="2"/>
  <c r="Z987" i="2"/>
  <c r="AA987" i="2"/>
  <c r="Z1045" i="2"/>
  <c r="AA1045" i="2"/>
  <c r="Z1167" i="2"/>
  <c r="AA1167" i="2"/>
  <c r="Z1219" i="2"/>
  <c r="AA1219" i="2"/>
  <c r="Z1257" i="2"/>
  <c r="AA1257" i="2"/>
  <c r="Z1311" i="2"/>
  <c r="AA1311" i="2"/>
  <c r="A30" i="6"/>
  <c r="A31" i="10" s="1"/>
  <c r="J30" i="3"/>
  <c r="K30" i="3" s="1"/>
  <c r="Z434" i="2"/>
  <c r="AA434" i="2"/>
  <c r="Z452" i="2"/>
  <c r="AA452" i="2"/>
  <c r="Z598" i="2"/>
  <c r="AA598" i="2"/>
  <c r="Z735" i="2"/>
  <c r="AA735" i="2"/>
  <c r="AA874" i="2"/>
  <c r="AB901" i="2"/>
  <c r="Z1009" i="2"/>
  <c r="AA1009" i="2"/>
  <c r="Z1463" i="2"/>
  <c r="AA1463" i="2"/>
  <c r="Z1537" i="2"/>
  <c r="AA1537" i="2"/>
  <c r="A129" i="6"/>
  <c r="A130" i="10" s="1"/>
  <c r="J129" i="3"/>
  <c r="H129" i="6" s="1"/>
  <c r="J187" i="3"/>
  <c r="H187" i="6" s="1"/>
  <c r="J190" i="3"/>
  <c r="H190" i="6" s="1"/>
  <c r="J193" i="3"/>
  <c r="K193" i="3" s="1"/>
  <c r="A197" i="6"/>
  <c r="A198" i="10" s="1"/>
  <c r="J197" i="3"/>
  <c r="H197" i="6" s="1"/>
  <c r="A238" i="6"/>
  <c r="A239" i="10" s="1"/>
  <c r="J238" i="3"/>
  <c r="K238" i="3" s="1"/>
  <c r="A262" i="6"/>
  <c r="A263" i="10" s="1"/>
  <c r="J262" i="3"/>
  <c r="K262" i="3" s="1"/>
  <c r="A289" i="6"/>
  <c r="A290" i="10" s="1"/>
  <c r="J289" i="3"/>
  <c r="H289" i="6" s="1"/>
  <c r="M86" i="5"/>
  <c r="K86" i="5"/>
  <c r="AB6" i="2"/>
  <c r="AA14" i="2"/>
  <c r="AA22" i="2"/>
  <c r="AA30" i="2"/>
  <c r="AA36" i="2"/>
  <c r="AA42" i="2"/>
  <c r="AA50" i="2"/>
  <c r="AA58" i="2"/>
  <c r="AA66" i="2"/>
  <c r="AA74" i="2"/>
  <c r="AA82" i="2"/>
  <c r="AA90" i="2"/>
  <c r="AA98" i="2"/>
  <c r="AA110" i="2"/>
  <c r="AA118" i="2"/>
  <c r="AA126" i="2"/>
  <c r="AA134" i="2"/>
  <c r="AA142" i="2"/>
  <c r="AA150" i="2"/>
  <c r="AA158" i="2"/>
  <c r="AA166" i="2"/>
  <c r="AA174" i="2"/>
  <c r="AA182" i="2"/>
  <c r="AA190" i="2"/>
  <c r="AA198" i="2"/>
  <c r="AA206" i="2"/>
  <c r="AA214" i="2"/>
  <c r="AA222" i="2"/>
  <c r="AA230" i="2"/>
  <c r="AA238" i="2"/>
  <c r="AA246" i="2"/>
  <c r="AA254" i="2"/>
  <c r="AA262" i="2"/>
  <c r="AA288" i="2"/>
  <c r="AA296" i="2"/>
  <c r="AA302" i="2"/>
  <c r="AA322" i="2"/>
  <c r="Z352" i="2"/>
  <c r="AA352" i="2"/>
  <c r="Z366" i="2"/>
  <c r="AA366" i="2"/>
  <c r="AA370" i="2"/>
  <c r="AA396" i="2"/>
  <c r="Z402" i="2"/>
  <c r="AA402" i="2"/>
  <c r="AA406" i="2"/>
  <c r="Z426" i="2"/>
  <c r="AA426" i="2"/>
  <c r="AA430" i="2"/>
  <c r="Z446" i="2"/>
  <c r="AA446" i="2"/>
  <c r="AA478" i="2"/>
  <c r="Z502" i="2"/>
  <c r="AA502" i="2"/>
  <c r="AA506" i="2"/>
  <c r="AA516" i="2"/>
  <c r="AA556" i="2"/>
  <c r="AA564" i="2"/>
  <c r="AA570" i="2"/>
  <c r="AA580" i="2"/>
  <c r="AA586" i="2"/>
  <c r="AA594" i="2"/>
  <c r="AA630" i="2"/>
  <c r="AA638" i="2"/>
  <c r="AA670" i="2"/>
  <c r="Z694" i="2"/>
  <c r="AA694" i="2"/>
  <c r="AA702" i="2"/>
  <c r="Z727" i="2"/>
  <c r="AA727" i="2"/>
  <c r="AA731" i="2"/>
  <c r="Z759" i="2"/>
  <c r="AA759" i="2"/>
  <c r="AA763" i="2"/>
  <c r="Z791" i="2"/>
  <c r="AA791" i="2"/>
  <c r="AA795" i="2"/>
  <c r="Z823" i="2"/>
  <c r="AA823" i="2"/>
  <c r="AB829" i="2"/>
  <c r="Z845" i="2"/>
  <c r="AB845" i="2"/>
  <c r="AA863" i="2"/>
  <c r="AB869" i="2"/>
  <c r="AA886" i="2"/>
  <c r="Z887" i="2"/>
  <c r="AA887" i="2"/>
  <c r="AA894" i="2"/>
  <c r="AA927" i="2"/>
  <c r="AB933" i="2"/>
  <c r="AB945" i="2"/>
  <c r="AA958" i="2"/>
  <c r="Z959" i="2"/>
  <c r="AA959" i="2"/>
  <c r="Z967" i="2"/>
  <c r="AA967" i="2"/>
  <c r="Z975" i="2"/>
  <c r="AA975" i="2"/>
  <c r="Z983" i="2"/>
  <c r="AA983" i="2"/>
  <c r="Z991" i="2"/>
  <c r="AA991" i="2"/>
  <c r="AA1005" i="2"/>
  <c r="Z1015" i="2"/>
  <c r="AA1015" i="2"/>
  <c r="AA1057" i="2"/>
  <c r="AA1077" i="2"/>
  <c r="AA1123" i="2"/>
  <c r="AA1143" i="2"/>
  <c r="Z1161" i="2"/>
  <c r="AA1161" i="2"/>
  <c r="Z1185" i="2"/>
  <c r="AA1185" i="2"/>
  <c r="Z1409" i="2"/>
  <c r="AA1409" i="2"/>
  <c r="Z1453" i="2"/>
  <c r="AA1453" i="2"/>
  <c r="Z1543" i="2"/>
  <c r="AA1543" i="2"/>
  <c r="Z1611" i="2"/>
  <c r="AA1611" i="2"/>
  <c r="A82" i="6"/>
  <c r="A83" i="10" s="1"/>
  <c r="J82" i="3"/>
  <c r="H82" i="6" s="1"/>
  <c r="A106" i="6"/>
  <c r="A107" i="10" s="1"/>
  <c r="J106" i="3"/>
  <c r="H106" i="6" s="1"/>
  <c r="J121" i="3"/>
  <c r="H121" i="6" s="1"/>
  <c r="J124" i="3"/>
  <c r="K124" i="3" s="1"/>
  <c r="A126" i="6"/>
  <c r="A127" i="10" s="1"/>
  <c r="J126" i="3"/>
  <c r="K126" i="3" s="1"/>
  <c r="A174" i="6"/>
  <c r="A175" i="10" s="1"/>
  <c r="J174" i="3"/>
  <c r="K174" i="3" s="1"/>
  <c r="A176" i="6"/>
  <c r="A177" i="10" s="1"/>
  <c r="J176" i="3"/>
  <c r="K176" i="3" s="1"/>
  <c r="A184" i="6"/>
  <c r="A185" i="10" s="1"/>
  <c r="J184" i="3"/>
  <c r="H184" i="6" s="1"/>
  <c r="Z542" i="2"/>
  <c r="AA542" i="2"/>
  <c r="Z950" i="2"/>
  <c r="AA950" i="2"/>
  <c r="Z963" i="2"/>
  <c r="AA963" i="2"/>
  <c r="Z997" i="2"/>
  <c r="AA997" i="2"/>
  <c r="Z1255" i="2"/>
  <c r="AA1255" i="2"/>
  <c r="AB108" i="2"/>
  <c r="Z482" i="2"/>
  <c r="AA482" i="2"/>
  <c r="Z620" i="2"/>
  <c r="AA620" i="2"/>
  <c r="Z674" i="2"/>
  <c r="AA674" i="2"/>
  <c r="Z767" i="2"/>
  <c r="AA767" i="2"/>
  <c r="Z799" i="2"/>
  <c r="AA799" i="2"/>
  <c r="Z831" i="2"/>
  <c r="AA831" i="2"/>
  <c r="Z919" i="2"/>
  <c r="AA919" i="2"/>
  <c r="Z1063" i="2"/>
  <c r="AA1063" i="2"/>
  <c r="Z1089" i="2"/>
  <c r="AA1089" i="2"/>
  <c r="Z1129" i="2"/>
  <c r="AA1129" i="2"/>
  <c r="Z1271" i="2"/>
  <c r="AA1271" i="2"/>
  <c r="Z1281" i="2"/>
  <c r="AA1281" i="2"/>
  <c r="Z1353" i="2"/>
  <c r="AA1353" i="2"/>
  <c r="A14" i="6"/>
  <c r="A15" i="10" s="1"/>
  <c r="J14" i="3"/>
  <c r="H14" i="6" s="1"/>
  <c r="A18" i="6"/>
  <c r="A19" i="10" s="1"/>
  <c r="J18" i="3"/>
  <c r="H18" i="6" s="1"/>
  <c r="A140" i="6"/>
  <c r="A141" i="10" s="1"/>
  <c r="J140" i="3"/>
  <c r="K140" i="3" s="1"/>
  <c r="K101" i="5"/>
  <c r="M101" i="5"/>
  <c r="AA8" i="2"/>
  <c r="AA16" i="2"/>
  <c r="AA24" i="2"/>
  <c r="AA32" i="2"/>
  <c r="AA38" i="2"/>
  <c r="AA44" i="2"/>
  <c r="AA52" i="2"/>
  <c r="AA60" i="2"/>
  <c r="AA68" i="2"/>
  <c r="AA76" i="2"/>
  <c r="AA84" i="2"/>
  <c r="AA92" i="2"/>
  <c r="AA100" i="2"/>
  <c r="AA106" i="2"/>
  <c r="AA256" i="2"/>
  <c r="AA264" i="2"/>
  <c r="AA270" i="2"/>
  <c r="AA290" i="2"/>
  <c r="AA298" i="2"/>
  <c r="AA310" i="2"/>
  <c r="AA334" i="2"/>
  <c r="Z346" i="2"/>
  <c r="AA346" i="2"/>
  <c r="Z394" i="2"/>
  <c r="AA394" i="2"/>
  <c r="AA398" i="2"/>
  <c r="AA442" i="2"/>
  <c r="AA458" i="2"/>
  <c r="AA466" i="2"/>
  <c r="Z494" i="2"/>
  <c r="AA494" i="2"/>
  <c r="AA498" i="2"/>
  <c r="Z514" i="2"/>
  <c r="AA514" i="2"/>
  <c r="Z548" i="2"/>
  <c r="AA548" i="2"/>
  <c r="Z578" i="2"/>
  <c r="AA578" i="2"/>
  <c r="AA610" i="2"/>
  <c r="Z628" i="2"/>
  <c r="AA628" i="2"/>
  <c r="Z662" i="2"/>
  <c r="AA662" i="2"/>
  <c r="Z686" i="2"/>
  <c r="AA686" i="2"/>
  <c r="AA690" i="2"/>
  <c r="Z719" i="2"/>
  <c r="AA719" i="2"/>
  <c r="AA723" i="2"/>
  <c r="Z751" i="2"/>
  <c r="AA751" i="2"/>
  <c r="AA755" i="2"/>
  <c r="Z783" i="2"/>
  <c r="AA783" i="2"/>
  <c r="AA787" i="2"/>
  <c r="Z815" i="2"/>
  <c r="AA815" i="2"/>
  <c r="AA819" i="2"/>
  <c r="AB837" i="2"/>
  <c r="AA854" i="2"/>
  <c r="Z855" i="2"/>
  <c r="AA855" i="2"/>
  <c r="AA862" i="2"/>
  <c r="Z879" i="2"/>
  <c r="AA879" i="2"/>
  <c r="AA882" i="2"/>
  <c r="AB885" i="2"/>
  <c r="AB909" i="2"/>
  <c r="AA999" i="2"/>
  <c r="AA1021" i="2"/>
  <c r="AA1029" i="2"/>
  <c r="Z1055" i="2"/>
  <c r="AA1055" i="2"/>
  <c r="Z1097" i="2"/>
  <c r="AA1097" i="2"/>
  <c r="Z1107" i="2"/>
  <c r="AA1107" i="2"/>
  <c r="AA1195" i="2"/>
  <c r="Z1203" i="2"/>
  <c r="AA1203" i="2"/>
  <c r="Z1235" i="2"/>
  <c r="AA1235" i="2"/>
  <c r="AA1259" i="2"/>
  <c r="Z1289" i="2"/>
  <c r="AA1289" i="2"/>
  <c r="AA1293" i="2"/>
  <c r="Z1301" i="2"/>
  <c r="AA1301" i="2"/>
  <c r="Z1321" i="2"/>
  <c r="AA1321" i="2"/>
  <c r="Z1361" i="2"/>
  <c r="AA1361" i="2"/>
  <c r="Z1493" i="2"/>
  <c r="AA1493" i="2"/>
  <c r="Z1495" i="2"/>
  <c r="AA1495" i="2"/>
  <c r="AA1577" i="2"/>
  <c r="Z1599" i="2"/>
  <c r="AA1599" i="2"/>
  <c r="Z1601" i="2"/>
  <c r="AA1601" i="2"/>
  <c r="A38" i="6"/>
  <c r="A39" i="10" s="1"/>
  <c r="J38" i="3"/>
  <c r="H38" i="6" s="1"/>
  <c r="A86" i="6"/>
  <c r="A87" i="10" s="1"/>
  <c r="J86" i="3"/>
  <c r="H86" i="6" s="1"/>
  <c r="A114" i="6"/>
  <c r="A115" i="10" s="1"/>
  <c r="J114" i="3"/>
  <c r="H114" i="6" s="1"/>
  <c r="AB849" i="2"/>
  <c r="AA914" i="2"/>
  <c r="AB925" i="2"/>
  <c r="AA943" i="2"/>
  <c r="AA951" i="2"/>
  <c r="AA1013" i="2"/>
  <c r="AA1033" i="2"/>
  <c r="AA1053" i="2"/>
  <c r="AA1061" i="2"/>
  <c r="AA1069" i="2"/>
  <c r="AA1087" i="2"/>
  <c r="AA1095" i="2"/>
  <c r="AA1111" i="2"/>
  <c r="AA1127" i="2"/>
  <c r="AA1135" i="2"/>
  <c r="AA1153" i="2"/>
  <c r="AA1159" i="2"/>
  <c r="AA1183" i="2"/>
  <c r="AA1191" i="2"/>
  <c r="AA1199" i="2"/>
  <c r="AA1217" i="2"/>
  <c r="Z1223" i="2"/>
  <c r="AA1223" i="2"/>
  <c r="Z1239" i="2"/>
  <c r="AA1239" i="2"/>
  <c r="AA1297" i="2"/>
  <c r="AA1309" i="2"/>
  <c r="AA1317" i="2"/>
  <c r="AA1335" i="2"/>
  <c r="AA1341" i="2"/>
  <c r="AA1349" i="2"/>
  <c r="Z1367" i="2"/>
  <c r="AA1367" i="2"/>
  <c r="AA1397" i="2"/>
  <c r="AA1405" i="2"/>
  <c r="Z1415" i="2"/>
  <c r="AA1415" i="2"/>
  <c r="AA1437" i="2"/>
  <c r="AA1449" i="2"/>
  <c r="AA1501" i="2"/>
  <c r="Z1509" i="2"/>
  <c r="AA1509" i="2"/>
  <c r="Z1521" i="2"/>
  <c r="AA1521" i="2"/>
  <c r="Z1567" i="2"/>
  <c r="AA1567" i="2"/>
  <c r="A20" i="6"/>
  <c r="A21" i="10" s="1"/>
  <c r="J20" i="3"/>
  <c r="H20" i="6" s="1"/>
  <c r="A50" i="6"/>
  <c r="A51" i="10" s="1"/>
  <c r="J50" i="3"/>
  <c r="H50" i="6" s="1"/>
  <c r="A74" i="6"/>
  <c r="A75" i="10" s="1"/>
  <c r="J74" i="3"/>
  <c r="H74" i="6" s="1"/>
  <c r="A116" i="6"/>
  <c r="A117" i="10" s="1"/>
  <c r="J116" i="3"/>
  <c r="H116" i="6" s="1"/>
  <c r="A158" i="6"/>
  <c r="A159" i="10" s="1"/>
  <c r="J158" i="3"/>
  <c r="H158" i="6" s="1"/>
  <c r="A171" i="6"/>
  <c r="A172" i="10" s="1"/>
  <c r="J171" i="3"/>
  <c r="K171" i="3" s="1"/>
  <c r="A186" i="6"/>
  <c r="A187" i="10" s="1"/>
  <c r="J186" i="3"/>
  <c r="H186" i="6" s="1"/>
  <c r="A227" i="6"/>
  <c r="A228" i="10" s="1"/>
  <c r="J227" i="3"/>
  <c r="K227" i="3" s="1"/>
  <c r="A253" i="6"/>
  <c r="A254" i="10" s="1"/>
  <c r="J253" i="3"/>
  <c r="H253" i="6" s="1"/>
  <c r="A282" i="6"/>
  <c r="A283" i="10" s="1"/>
  <c r="J282" i="3"/>
  <c r="H282" i="6" s="1"/>
  <c r="A286" i="6"/>
  <c r="A287" i="10" s="1"/>
  <c r="J286" i="3"/>
  <c r="K286" i="3" s="1"/>
  <c r="AB913" i="2"/>
  <c r="AB1153" i="2"/>
  <c r="Z1215" i="2"/>
  <c r="AA1215" i="2"/>
  <c r="Z1263" i="2"/>
  <c r="AA1263" i="2"/>
  <c r="Z1333" i="2"/>
  <c r="AA1333" i="2"/>
  <c r="Z1429" i="2"/>
  <c r="AA1429" i="2"/>
  <c r="Z1447" i="2"/>
  <c r="AA1447" i="2"/>
  <c r="Z1525" i="2"/>
  <c r="AA1525" i="2"/>
  <c r="Z1557" i="2"/>
  <c r="AA1557" i="2"/>
  <c r="Z1581" i="2"/>
  <c r="AA1581" i="2"/>
  <c r="A17" i="6"/>
  <c r="A18" i="10" s="1"/>
  <c r="J17" i="3"/>
  <c r="H17" i="6" s="1"/>
  <c r="A54" i="6"/>
  <c r="A55" i="10" s="1"/>
  <c r="J54" i="3"/>
  <c r="H54" i="6" s="1"/>
  <c r="A109" i="6"/>
  <c r="A110" i="10" s="1"/>
  <c r="J109" i="3"/>
  <c r="K109" i="3" s="1"/>
  <c r="A113" i="6"/>
  <c r="A114" i="10" s="1"/>
  <c r="J113" i="3"/>
  <c r="H113" i="6" s="1"/>
  <c r="A162" i="6"/>
  <c r="A163" i="10" s="1"/>
  <c r="J162" i="3"/>
  <c r="H162" i="6" s="1"/>
  <c r="A183" i="6"/>
  <c r="A184" i="10" s="1"/>
  <c r="J183" i="3"/>
  <c r="H183" i="6" s="1"/>
  <c r="A221" i="6"/>
  <c r="A222" i="10" s="1"/>
  <c r="J221" i="3"/>
  <c r="H221" i="6" s="1"/>
  <c r="A250" i="6"/>
  <c r="A251" i="10" s="1"/>
  <c r="J250" i="3"/>
  <c r="H250" i="6" s="1"/>
  <c r="A275" i="6"/>
  <c r="A276" i="10" s="1"/>
  <c r="J275" i="3"/>
  <c r="H275" i="6" s="1"/>
  <c r="A66" i="6"/>
  <c r="A67" i="10" s="1"/>
  <c r="J66" i="3"/>
  <c r="H66" i="6" s="1"/>
  <c r="A98" i="6"/>
  <c r="A99" i="10" s="1"/>
  <c r="J98" i="3"/>
  <c r="K98" i="3" s="1"/>
  <c r="A118" i="6"/>
  <c r="A119" i="10" s="1"/>
  <c r="J118" i="3"/>
  <c r="H118" i="6" s="1"/>
  <c r="A137" i="6"/>
  <c r="A138" i="10" s="1"/>
  <c r="J137" i="3"/>
  <c r="K137" i="3" s="1"/>
  <c r="A164" i="6"/>
  <c r="A165" i="10" s="1"/>
  <c r="J164" i="3"/>
  <c r="K164" i="3" s="1"/>
  <c r="A206" i="6"/>
  <c r="A207" i="10" s="1"/>
  <c r="J206" i="3"/>
  <c r="K206" i="3" s="1"/>
  <c r="A243" i="6"/>
  <c r="A244" i="10" s="1"/>
  <c r="J243" i="3"/>
  <c r="K243" i="3" s="1"/>
  <c r="A267" i="6"/>
  <c r="A268" i="10" s="1"/>
  <c r="J267" i="3"/>
  <c r="K267" i="3" s="1"/>
  <c r="A291" i="6"/>
  <c r="A292" i="10" s="1"/>
  <c r="J291" i="3"/>
  <c r="K291" i="3" s="1"/>
  <c r="L86" i="5"/>
  <c r="Z1479" i="2"/>
  <c r="AA1479" i="2"/>
  <c r="Z1505" i="2"/>
  <c r="AA1505" i="2"/>
  <c r="A22" i="6"/>
  <c r="A23" i="10" s="1"/>
  <c r="J22" i="3"/>
  <c r="H22" i="6" s="1"/>
  <c r="J46" i="3"/>
  <c r="H46" i="6" s="1"/>
  <c r="A58" i="6"/>
  <c r="A59" i="10" s="1"/>
  <c r="J58" i="3"/>
  <c r="H58" i="6" s="1"/>
  <c r="J78" i="3"/>
  <c r="H78" i="6" s="1"/>
  <c r="A90" i="6"/>
  <c r="A91" i="10" s="1"/>
  <c r="J90" i="3"/>
  <c r="H90" i="6" s="1"/>
  <c r="J110" i="3"/>
  <c r="K110" i="3" s="1"/>
  <c r="A112" i="6"/>
  <c r="A113" i="10" s="1"/>
  <c r="J112" i="3"/>
  <c r="K112" i="3" s="1"/>
  <c r="J130" i="3"/>
  <c r="H130" i="6" s="1"/>
  <c r="A132" i="6"/>
  <c r="A133" i="10" s="1"/>
  <c r="J132" i="3"/>
  <c r="H132" i="6" s="1"/>
  <c r="J142" i="3"/>
  <c r="H142" i="6" s="1"/>
  <c r="J145" i="3"/>
  <c r="H145" i="6" s="1"/>
  <c r="J148" i="3"/>
  <c r="K148" i="3" s="1"/>
  <c r="J153" i="3"/>
  <c r="K153" i="3" s="1"/>
  <c r="J156" i="3"/>
  <c r="H156" i="6" s="1"/>
  <c r="A161" i="6"/>
  <c r="A162" i="10" s="1"/>
  <c r="J161" i="3"/>
  <c r="H161" i="6" s="1"/>
  <c r="J175" i="3"/>
  <c r="K175" i="3" s="1"/>
  <c r="J178" i="3"/>
  <c r="H178" i="6" s="1"/>
  <c r="A180" i="6"/>
  <c r="A181" i="10" s="1"/>
  <c r="J180" i="3"/>
  <c r="H180" i="6" s="1"/>
  <c r="J230" i="3"/>
  <c r="H230" i="6" s="1"/>
  <c r="J233" i="3"/>
  <c r="H233" i="6" s="1"/>
  <c r="A235" i="6"/>
  <c r="A236" i="10" s="1"/>
  <c r="J235" i="3"/>
  <c r="H235" i="6" s="1"/>
  <c r="J254" i="3"/>
  <c r="H254" i="6" s="1"/>
  <c r="J257" i="3"/>
  <c r="H257" i="6" s="1"/>
  <c r="A259" i="6"/>
  <c r="A260" i="10" s="1"/>
  <c r="J259" i="3"/>
  <c r="H259" i="6" s="1"/>
  <c r="J283" i="3"/>
  <c r="K283" i="3" s="1"/>
  <c r="A285" i="6"/>
  <c r="A286" i="10" s="1"/>
  <c r="J285" i="3"/>
  <c r="H285" i="6" s="1"/>
  <c r="M70" i="5"/>
  <c r="K70" i="5"/>
  <c r="M94" i="5"/>
  <c r="K94" i="5"/>
  <c r="L74" i="5"/>
  <c r="L82" i="5"/>
  <c r="M93" i="5"/>
  <c r="K99" i="5"/>
  <c r="L102" i="5"/>
  <c r="L18" i="5"/>
  <c r="L90" i="5"/>
  <c r="Z412" i="2"/>
  <c r="AA412" i="2"/>
  <c r="AB462" i="2"/>
  <c r="Z504" i="2"/>
  <c r="AA504" i="2"/>
  <c r="Z518" i="2"/>
  <c r="AA518" i="2"/>
  <c r="Z540" i="2"/>
  <c r="AA540" i="2"/>
  <c r="AB612" i="2"/>
  <c r="Z668" i="2"/>
  <c r="AA668" i="2"/>
  <c r="Z851" i="2"/>
  <c r="AB851" i="2"/>
  <c r="AA873" i="2"/>
  <c r="Z915" i="2"/>
  <c r="AB915" i="2"/>
  <c r="Z1093" i="2"/>
  <c r="AA1093" i="2"/>
  <c r="AB1093" i="2"/>
  <c r="Z1189" i="2"/>
  <c r="AA1189" i="2"/>
  <c r="AB1189" i="2"/>
  <c r="Z1221" i="2"/>
  <c r="AA1221" i="2"/>
  <c r="AB1221" i="2"/>
  <c r="Z1327" i="2"/>
  <c r="AA1327" i="2"/>
  <c r="AB1327" i="2"/>
  <c r="AB1345" i="2"/>
  <c r="AB1417" i="2"/>
  <c r="A13" i="6"/>
  <c r="A14" i="10" s="1"/>
  <c r="J13" i="3"/>
  <c r="H13" i="6" s="1"/>
  <c r="A21" i="6"/>
  <c r="A22" i="10" s="1"/>
  <c r="J21" i="3"/>
  <c r="H21" i="6" s="1"/>
  <c r="A29" i="6"/>
  <c r="A30" i="10" s="1"/>
  <c r="J29" i="3"/>
  <c r="K29" i="3" s="1"/>
  <c r="A37" i="6"/>
  <c r="A38" i="10" s="1"/>
  <c r="J37" i="3"/>
  <c r="H37" i="6" s="1"/>
  <c r="A44" i="6"/>
  <c r="A45" i="10" s="1"/>
  <c r="J44" i="3"/>
  <c r="K44" i="3" s="1"/>
  <c r="AB16" i="2"/>
  <c r="AB62" i="2"/>
  <c r="AB78" i="2"/>
  <c r="AB86" i="2"/>
  <c r="AB102" i="2"/>
  <c r="AB110" i="2"/>
  <c r="AB118" i="2"/>
  <c r="AB126" i="2"/>
  <c r="AB134" i="2"/>
  <c r="AB198" i="2"/>
  <c r="AB214" i="2"/>
  <c r="AB230" i="2"/>
  <c r="AB238" i="2"/>
  <c r="AB258" i="2"/>
  <c r="Z268" i="2"/>
  <c r="AA268" i="2"/>
  <c r="AB280" i="2"/>
  <c r="Z300" i="2"/>
  <c r="AA300" i="2"/>
  <c r="AB354" i="2"/>
  <c r="Z408" i="2"/>
  <c r="AA408" i="2"/>
  <c r="Z422" i="2"/>
  <c r="AA422" i="2"/>
  <c r="AB516" i="2"/>
  <c r="Z528" i="2"/>
  <c r="AA528" i="2"/>
  <c r="AB528" i="2"/>
  <c r="Z572" i="2"/>
  <c r="AA572" i="2"/>
  <c r="AB622" i="2"/>
  <c r="AB644" i="2"/>
  <c r="Z678" i="2"/>
  <c r="AA678" i="2"/>
  <c r="Z700" i="2"/>
  <c r="AA700" i="2"/>
  <c r="Z875" i="2"/>
  <c r="AB875" i="2"/>
  <c r="Z910" i="2"/>
  <c r="AA910" i="2"/>
  <c r="AB927" i="2"/>
  <c r="Z929" i="2"/>
  <c r="AB929" i="2"/>
  <c r="Z935" i="2"/>
  <c r="AA935" i="2"/>
  <c r="Z1007" i="2"/>
  <c r="AA1007" i="2"/>
  <c r="Z1121" i="2"/>
  <c r="AA1121" i="2"/>
  <c r="Z1147" i="2"/>
  <c r="AA1147" i="2"/>
  <c r="AB1147" i="2"/>
  <c r="Z1275" i="2"/>
  <c r="AA1275" i="2"/>
  <c r="AB1275" i="2"/>
  <c r="Z1299" i="2"/>
  <c r="AA1299" i="2"/>
  <c r="Z1465" i="2"/>
  <c r="AA1465" i="2"/>
  <c r="Z1603" i="2"/>
  <c r="AB1603" i="2"/>
  <c r="AA1603" i="2"/>
  <c r="Z1615" i="2"/>
  <c r="AA1615" i="2"/>
  <c r="A15" i="6"/>
  <c r="A16" i="10" s="1"/>
  <c r="J15" i="3"/>
  <c r="K15" i="3" s="1"/>
  <c r="A31" i="6"/>
  <c r="A32" i="10" s="1"/>
  <c r="J31" i="3"/>
  <c r="H31" i="6" s="1"/>
  <c r="A39" i="6"/>
  <c r="A40" i="10" s="1"/>
  <c r="J39" i="3"/>
  <c r="K39" i="3" s="1"/>
  <c r="A41" i="6"/>
  <c r="A42" i="10" s="1"/>
  <c r="J41" i="3"/>
  <c r="K41" i="3" s="1"/>
  <c r="A288" i="6"/>
  <c r="A289" i="10" s="1"/>
  <c r="J288" i="3"/>
  <c r="H288" i="6" s="1"/>
  <c r="AB3" i="2"/>
  <c r="AB10" i="2"/>
  <c r="AB18" i="2"/>
  <c r="AB26" i="2"/>
  <c r="AB34" i="2"/>
  <c r="AB40" i="2"/>
  <c r="AB48" i="2"/>
  <c r="AB56" i="2"/>
  <c r="AB64" i="2"/>
  <c r="AB72" i="2"/>
  <c r="AB80" i="2"/>
  <c r="AB88" i="2"/>
  <c r="AB96" i="2"/>
  <c r="AB104" i="2"/>
  <c r="AB112" i="2"/>
  <c r="AB120" i="2"/>
  <c r="AB128" i="2"/>
  <c r="AB136" i="2"/>
  <c r="AB144" i="2"/>
  <c r="AB152" i="2"/>
  <c r="AB160" i="2"/>
  <c r="AB168" i="2"/>
  <c r="AB176" i="2"/>
  <c r="AB184" i="2"/>
  <c r="AB192" i="2"/>
  <c r="AB200" i="2"/>
  <c r="AB208" i="2"/>
  <c r="AB216" i="2"/>
  <c r="AB224" i="2"/>
  <c r="AB232" i="2"/>
  <c r="AB240" i="2"/>
  <c r="AB248" i="2"/>
  <c r="Z260" i="2"/>
  <c r="AA260" i="2"/>
  <c r="AB272" i="2"/>
  <c r="AB282" i="2"/>
  <c r="Z292" i="2"/>
  <c r="AA292" i="2"/>
  <c r="AB304" i="2"/>
  <c r="Z324" i="2"/>
  <c r="AA324" i="2"/>
  <c r="AB330" i="2"/>
  <c r="Z356" i="2"/>
  <c r="AA356" i="2"/>
  <c r="AB362" i="2"/>
  <c r="Z388" i="2"/>
  <c r="AA388" i="2"/>
  <c r="AB484" i="2"/>
  <c r="Z496" i="2"/>
  <c r="AA496" i="2"/>
  <c r="AB496" i="2"/>
  <c r="AB590" i="2"/>
  <c r="Z624" i="2"/>
  <c r="AA624" i="2"/>
  <c r="AB624" i="2"/>
  <c r="Z632" i="2"/>
  <c r="AA632" i="2"/>
  <c r="Z646" i="2"/>
  <c r="AA646" i="2"/>
  <c r="AA872" i="2"/>
  <c r="AA936" i="2"/>
  <c r="AA937" i="2"/>
  <c r="AB1025" i="2"/>
  <c r="Z1059" i="2"/>
  <c r="AA1059" i="2"/>
  <c r="AB1059" i="2"/>
  <c r="Z1067" i="2"/>
  <c r="AA1067" i="2"/>
  <c r="Z1081" i="2"/>
  <c r="AA1081" i="2"/>
  <c r="Z1155" i="2"/>
  <c r="AA1155" i="2"/>
  <c r="Z1291" i="2"/>
  <c r="AA1291" i="2"/>
  <c r="AB1291" i="2"/>
  <c r="Z1303" i="2"/>
  <c r="AA1303" i="2"/>
  <c r="Z1399" i="2"/>
  <c r="AA1399" i="2"/>
  <c r="AB1399" i="2"/>
  <c r="Z1427" i="2"/>
  <c r="AA1427" i="2"/>
  <c r="Z1513" i="2"/>
  <c r="AA1513" i="2"/>
  <c r="Z1523" i="2"/>
  <c r="AA1523" i="2"/>
  <c r="Z1593" i="2"/>
  <c r="AA1593" i="2"/>
  <c r="C19" i="7"/>
  <c r="AB22" i="2"/>
  <c r="AB60" i="2"/>
  <c r="AB76" i="2"/>
  <c r="AB124" i="2"/>
  <c r="AB132" i="2"/>
  <c r="AB140" i="2"/>
  <c r="AB164" i="2"/>
  <c r="AB420" i="2"/>
  <c r="Z432" i="2"/>
  <c r="AA432" i="2"/>
  <c r="AB432" i="2"/>
  <c r="Z454" i="2"/>
  <c r="AA454" i="2"/>
  <c r="AB548" i="2"/>
  <c r="Z560" i="2"/>
  <c r="AA560" i="2"/>
  <c r="AB560" i="2"/>
  <c r="Z568" i="2"/>
  <c r="AA568" i="2"/>
  <c r="AB654" i="2"/>
  <c r="AB676" i="2"/>
  <c r="Z688" i="2"/>
  <c r="AA688" i="2"/>
  <c r="AB688" i="2"/>
  <c r="Z696" i="2"/>
  <c r="AA696" i="2"/>
  <c r="Z710" i="2"/>
  <c r="AA710" i="2"/>
  <c r="AA840" i="2"/>
  <c r="AA841" i="2"/>
  <c r="Z883" i="2"/>
  <c r="AB883" i="2"/>
  <c r="AA904" i="2"/>
  <c r="AA905" i="2"/>
  <c r="Z947" i="2"/>
  <c r="AB947" i="2"/>
  <c r="Z995" i="2"/>
  <c r="AA995" i="2"/>
  <c r="AB995" i="2"/>
  <c r="Z1003" i="2"/>
  <c r="AA1003" i="2"/>
  <c r="Z1017" i="2"/>
  <c r="AA1017" i="2"/>
  <c r="Z1039" i="2"/>
  <c r="AA1039" i="2"/>
  <c r="Z1113" i="2"/>
  <c r="AA1113" i="2"/>
  <c r="Z1133" i="2"/>
  <c r="AA1133" i="2"/>
  <c r="AB1133" i="2"/>
  <c r="AB1145" i="2"/>
  <c r="Z1165" i="2"/>
  <c r="AA1165" i="2"/>
  <c r="Z1205" i="2"/>
  <c r="AA1205" i="2"/>
  <c r="AB1205" i="2"/>
  <c r="Z1241" i="2"/>
  <c r="AA1241" i="2"/>
  <c r="Z1261" i="2"/>
  <c r="AA1261" i="2"/>
  <c r="AB1261" i="2"/>
  <c r="AB1273" i="2"/>
  <c r="Z1337" i="2"/>
  <c r="AA1337" i="2"/>
  <c r="Z1475" i="2"/>
  <c r="AA1475" i="2"/>
  <c r="AB1475" i="2"/>
  <c r="Z1483" i="2"/>
  <c r="AA1483" i="2"/>
  <c r="AB1483" i="2"/>
  <c r="Z1497" i="2"/>
  <c r="AA1497" i="2"/>
  <c r="Z1547" i="2"/>
  <c r="AA1547" i="2"/>
  <c r="AB1547" i="2"/>
  <c r="Z1559" i="2"/>
  <c r="AA1559" i="2"/>
  <c r="Z1583" i="2"/>
  <c r="AA1583" i="2"/>
  <c r="AB1583" i="2"/>
  <c r="AB1601" i="2"/>
  <c r="AB1605" i="2"/>
  <c r="A111" i="6"/>
  <c r="A112" i="10" s="1"/>
  <c r="J111" i="3"/>
  <c r="K111" i="3" s="1"/>
  <c r="A117" i="6"/>
  <c r="A118" i="10" s="1"/>
  <c r="J117" i="3"/>
  <c r="H117" i="6" s="1"/>
  <c r="A125" i="6"/>
  <c r="A126" i="10" s="1"/>
  <c r="J125" i="3"/>
  <c r="H125" i="6" s="1"/>
  <c r="A281" i="6"/>
  <c r="A282" i="10" s="1"/>
  <c r="J281" i="3"/>
  <c r="H281" i="6" s="1"/>
  <c r="AB8" i="2"/>
  <c r="AB24" i="2"/>
  <c r="AB46" i="2"/>
  <c r="AB54" i="2"/>
  <c r="AB70" i="2"/>
  <c r="AB94" i="2"/>
  <c r="AB142" i="2"/>
  <c r="AB150" i="2"/>
  <c r="AB158" i="2"/>
  <c r="AB166" i="2"/>
  <c r="AB174" i="2"/>
  <c r="AB182" i="2"/>
  <c r="AB190" i="2"/>
  <c r="AB206" i="2"/>
  <c r="AB222" i="2"/>
  <c r="AB246" i="2"/>
  <c r="AB290" i="2"/>
  <c r="Z316" i="2"/>
  <c r="AA316" i="2"/>
  <c r="AB322" i="2"/>
  <c r="Z348" i="2"/>
  <c r="AA348" i="2"/>
  <c r="Z380" i="2"/>
  <c r="AA380" i="2"/>
  <c r="AB386" i="2"/>
  <c r="Z400" i="2"/>
  <c r="AA400" i="2"/>
  <c r="AB400" i="2"/>
  <c r="Z444" i="2"/>
  <c r="AA444" i="2"/>
  <c r="AB494" i="2"/>
  <c r="Z536" i="2"/>
  <c r="AA536" i="2"/>
  <c r="Z550" i="2"/>
  <c r="AA550" i="2"/>
  <c r="Z656" i="2"/>
  <c r="AA656" i="2"/>
  <c r="AB656" i="2"/>
  <c r="Z664" i="2"/>
  <c r="AA664" i="2"/>
  <c r="Z846" i="2"/>
  <c r="AA846" i="2"/>
  <c r="AB863" i="2"/>
  <c r="AA864" i="2"/>
  <c r="Z865" i="2"/>
  <c r="AB865" i="2"/>
  <c r="Z871" i="2"/>
  <c r="AA871" i="2"/>
  <c r="AB873" i="2"/>
  <c r="AA875" i="2"/>
  <c r="AA928" i="2"/>
  <c r="AA929" i="2"/>
  <c r="AB937" i="2"/>
  <c r="AA938" i="2"/>
  <c r="Z939" i="2"/>
  <c r="AB939" i="2"/>
  <c r="AB1057" i="2"/>
  <c r="AB1079" i="2"/>
  <c r="Z1169" i="2"/>
  <c r="AA1169" i="2"/>
  <c r="AB1169" i="2"/>
  <c r="AB1187" i="2"/>
  <c r="Z1249" i="2"/>
  <c r="AA1249" i="2"/>
  <c r="AB1289" i="2"/>
  <c r="Z1385" i="2"/>
  <c r="AA1385" i="2"/>
  <c r="Z1395" i="2"/>
  <c r="AA1395" i="2"/>
  <c r="Z1607" i="2"/>
  <c r="AA1607" i="2"/>
  <c r="AB1607" i="2"/>
  <c r="A293" i="6"/>
  <c r="A294" i="10" s="1"/>
  <c r="J293" i="3"/>
  <c r="H293" i="6" s="1"/>
  <c r="K97" i="5"/>
  <c r="M97" i="5"/>
  <c r="M103" i="5"/>
  <c r="K103" i="5"/>
  <c r="AB14" i="2"/>
  <c r="AB30" i="2"/>
  <c r="AB38" i="2"/>
  <c r="AB44" i="2"/>
  <c r="AB52" i="2"/>
  <c r="AB68" i="2"/>
  <c r="AB84" i="2"/>
  <c r="AB92" i="2"/>
  <c r="AB116" i="2"/>
  <c r="AB148" i="2"/>
  <c r="AB156" i="2"/>
  <c r="AB172" i="2"/>
  <c r="AB180" i="2"/>
  <c r="AB188" i="2"/>
  <c r="AB196" i="2"/>
  <c r="AB204" i="2"/>
  <c r="AB212" i="2"/>
  <c r="AB220" i="2"/>
  <c r="AB228" i="2"/>
  <c r="AB236" i="2"/>
  <c r="AB244" i="2"/>
  <c r="AB252" i="2"/>
  <c r="AB256" i="2"/>
  <c r="AB266" i="2"/>
  <c r="Z276" i="2"/>
  <c r="AA276" i="2"/>
  <c r="AB288" i="2"/>
  <c r="AB298" i="2"/>
  <c r="Z308" i="2"/>
  <c r="AA308" i="2"/>
  <c r="AB314" i="2"/>
  <c r="Z340" i="2"/>
  <c r="AA340" i="2"/>
  <c r="AB346" i="2"/>
  <c r="Z372" i="2"/>
  <c r="AA372" i="2"/>
  <c r="AB378" i="2"/>
  <c r="AB398" i="2"/>
  <c r="Z440" i="2"/>
  <c r="AA440" i="2"/>
  <c r="Z476" i="2"/>
  <c r="AA476" i="2"/>
  <c r="AB526" i="2"/>
  <c r="Z582" i="2"/>
  <c r="AA582" i="2"/>
  <c r="Z604" i="2"/>
  <c r="AA604" i="2"/>
  <c r="AA3" i="2"/>
  <c r="AA10" i="2"/>
  <c r="AB12" i="2"/>
  <c r="AA18" i="2"/>
  <c r="AB20" i="2"/>
  <c r="AA26" i="2"/>
  <c r="AB28" i="2"/>
  <c r="AA34" i="2"/>
  <c r="AB36" i="2"/>
  <c r="AA40" i="2"/>
  <c r="AB42" i="2"/>
  <c r="AA48" i="2"/>
  <c r="AB50" i="2"/>
  <c r="AA56" i="2"/>
  <c r="AB58" i="2"/>
  <c r="AA64" i="2"/>
  <c r="AB66" i="2"/>
  <c r="AA72" i="2"/>
  <c r="AB74" i="2"/>
  <c r="AA80" i="2"/>
  <c r="AB82" i="2"/>
  <c r="AA88" i="2"/>
  <c r="AB90" i="2"/>
  <c r="AA96" i="2"/>
  <c r="AB98" i="2"/>
  <c r="AA104" i="2"/>
  <c r="AB106" i="2"/>
  <c r="AA112" i="2"/>
  <c r="AB114" i="2"/>
  <c r="AA120" i="2"/>
  <c r="AB122" i="2"/>
  <c r="AA128" i="2"/>
  <c r="AB130" i="2"/>
  <c r="AA136" i="2"/>
  <c r="AB138" i="2"/>
  <c r="AA144" i="2"/>
  <c r="AB146" i="2"/>
  <c r="AA152" i="2"/>
  <c r="AB154" i="2"/>
  <c r="AA160" i="2"/>
  <c r="AB162" i="2"/>
  <c r="AA168" i="2"/>
  <c r="AB170" i="2"/>
  <c r="AA176" i="2"/>
  <c r="AB178" i="2"/>
  <c r="AA184" i="2"/>
  <c r="AB186" i="2"/>
  <c r="AA192" i="2"/>
  <c r="AB194" i="2"/>
  <c r="AA200" i="2"/>
  <c r="AB202" i="2"/>
  <c r="AA208" i="2"/>
  <c r="AB210" i="2"/>
  <c r="AA216" i="2"/>
  <c r="AB218" i="2"/>
  <c r="AA224" i="2"/>
  <c r="AB226" i="2"/>
  <c r="AA232" i="2"/>
  <c r="AB234" i="2"/>
  <c r="AA240" i="2"/>
  <c r="AB242" i="2"/>
  <c r="AA248" i="2"/>
  <c r="AB250" i="2"/>
  <c r="AB260" i="2"/>
  <c r="AB264" i="2"/>
  <c r="AA272" i="2"/>
  <c r="AB274" i="2"/>
  <c r="AA282" i="2"/>
  <c r="Z284" i="2"/>
  <c r="AA284" i="2"/>
  <c r="AB292" i="2"/>
  <c r="AB296" i="2"/>
  <c r="AA304" i="2"/>
  <c r="AB306" i="2"/>
  <c r="AB324" i="2"/>
  <c r="AA330" i="2"/>
  <c r="Z332" i="2"/>
  <c r="AA332" i="2"/>
  <c r="AB338" i="2"/>
  <c r="AB356" i="2"/>
  <c r="AA362" i="2"/>
  <c r="Z364" i="2"/>
  <c r="AA364" i="2"/>
  <c r="AB370" i="2"/>
  <c r="AB388" i="2"/>
  <c r="AB412" i="2"/>
  <c r="AB430" i="2"/>
  <c r="AB452" i="2"/>
  <c r="AA462" i="2"/>
  <c r="Z464" i="2"/>
  <c r="AA464" i="2"/>
  <c r="AB464" i="2"/>
  <c r="Z472" i="2"/>
  <c r="AA472" i="2"/>
  <c r="AA484" i="2"/>
  <c r="Z486" i="2"/>
  <c r="AA486" i="2"/>
  <c r="AB504" i="2"/>
  <c r="Z508" i="2"/>
  <c r="AA508" i="2"/>
  <c r="AB518" i="2"/>
  <c r="AB540" i="2"/>
  <c r="AB558" i="2"/>
  <c r="AB580" i="2"/>
  <c r="AA590" i="2"/>
  <c r="Z592" i="2"/>
  <c r="AA592" i="2"/>
  <c r="AB592" i="2"/>
  <c r="Z600" i="2"/>
  <c r="AA600" i="2"/>
  <c r="AA612" i="2"/>
  <c r="Z614" i="2"/>
  <c r="AA614" i="2"/>
  <c r="AB632" i="2"/>
  <c r="Z636" i="2"/>
  <c r="AA636" i="2"/>
  <c r="AB646" i="2"/>
  <c r="AB668" i="2"/>
  <c r="AB686" i="2"/>
  <c r="AB708" i="2"/>
  <c r="AB831" i="2"/>
  <c r="AA832" i="2"/>
  <c r="Z833" i="2"/>
  <c r="AB833" i="2"/>
  <c r="AA833" i="2"/>
  <c r="AA838" i="2"/>
  <c r="Z839" i="2"/>
  <c r="AA839" i="2"/>
  <c r="AB841" i="2"/>
  <c r="AA842" i="2"/>
  <c r="Z843" i="2"/>
  <c r="AB843" i="2"/>
  <c r="AA843" i="2"/>
  <c r="AA851" i="2"/>
  <c r="Z878" i="2"/>
  <c r="AA878" i="2"/>
  <c r="AB895" i="2"/>
  <c r="AA896" i="2"/>
  <c r="Z897" i="2"/>
  <c r="AB897" i="2"/>
  <c r="AA897" i="2"/>
  <c r="AA902" i="2"/>
  <c r="Z903" i="2"/>
  <c r="AA903" i="2"/>
  <c r="AB905" i="2"/>
  <c r="AA906" i="2"/>
  <c r="Z907" i="2"/>
  <c r="AB907" i="2"/>
  <c r="AA907" i="2"/>
  <c r="AA915" i="2"/>
  <c r="Z942" i="2"/>
  <c r="AA942" i="2"/>
  <c r="AB959" i="2"/>
  <c r="AA960" i="2"/>
  <c r="AB961" i="2"/>
  <c r="AA962" i="2"/>
  <c r="AB963" i="2"/>
  <c r="AA964" i="2"/>
  <c r="AB965" i="2"/>
  <c r="AA966" i="2"/>
  <c r="AB967" i="2"/>
  <c r="AA968" i="2"/>
  <c r="AB969" i="2"/>
  <c r="AA970" i="2"/>
  <c r="AB971" i="2"/>
  <c r="AA972" i="2"/>
  <c r="AB973" i="2"/>
  <c r="AA974" i="2"/>
  <c r="AB975" i="2"/>
  <c r="AA976" i="2"/>
  <c r="AB977" i="2"/>
  <c r="AA978" i="2"/>
  <c r="AB979" i="2"/>
  <c r="AA980" i="2"/>
  <c r="AB981" i="2"/>
  <c r="AA982" i="2"/>
  <c r="AB983" i="2"/>
  <c r="AA984" i="2"/>
  <c r="AB985" i="2"/>
  <c r="AA986" i="2"/>
  <c r="AB987" i="2"/>
  <c r="AA988" i="2"/>
  <c r="AB989" i="2"/>
  <c r="AA990" i="2"/>
  <c r="AB991" i="2"/>
  <c r="AA992" i="2"/>
  <c r="AB993" i="2"/>
  <c r="AB1015" i="2"/>
  <c r="AA1025" i="2"/>
  <c r="Z1027" i="2"/>
  <c r="AA1027" i="2"/>
  <c r="AB1027" i="2"/>
  <c r="Z1035" i="2"/>
  <c r="AA1035" i="2"/>
  <c r="AA1047" i="2"/>
  <c r="Z1049" i="2"/>
  <c r="AA1049" i="2"/>
  <c r="AB1067" i="2"/>
  <c r="Z1071" i="2"/>
  <c r="AA1071" i="2"/>
  <c r="AB1081" i="2"/>
  <c r="Z1099" i="2"/>
  <c r="AA1099" i="2"/>
  <c r="Z1109" i="2"/>
  <c r="AA1109" i="2"/>
  <c r="AB1131" i="2"/>
  <c r="AB1155" i="2"/>
  <c r="Z1179" i="2"/>
  <c r="AA1179" i="2"/>
  <c r="Z1201" i="2"/>
  <c r="AA1201" i="2"/>
  <c r="Z1227" i="2"/>
  <c r="AA1227" i="2"/>
  <c r="Z1237" i="2"/>
  <c r="AA1237" i="2"/>
  <c r="AB1259" i="2"/>
  <c r="AB1303" i="2"/>
  <c r="AA1345" i="2"/>
  <c r="Z1347" i="2"/>
  <c r="AA1347" i="2"/>
  <c r="AB1347" i="2"/>
  <c r="Z1355" i="2"/>
  <c r="AA1355" i="2"/>
  <c r="AB1355" i="2"/>
  <c r="Z1369" i="2"/>
  <c r="AA1369" i="2"/>
  <c r="AA1417" i="2"/>
  <c r="Z1419" i="2"/>
  <c r="AA1419" i="2"/>
  <c r="AB1419" i="2"/>
  <c r="AB1427" i="2"/>
  <c r="Z1431" i="2"/>
  <c r="AA1431" i="2"/>
  <c r="Z1455" i="2"/>
  <c r="AA1455" i="2"/>
  <c r="AB1455" i="2"/>
  <c r="AB1473" i="2"/>
  <c r="AB1513" i="2"/>
  <c r="AB1523" i="2"/>
  <c r="Z1527" i="2"/>
  <c r="AA1527" i="2"/>
  <c r="AB1527" i="2"/>
  <c r="AB1545" i="2"/>
  <c r="Z1555" i="2"/>
  <c r="AA1555" i="2"/>
  <c r="AB1593" i="2"/>
  <c r="J45" i="3"/>
  <c r="H45" i="6" s="1"/>
  <c r="J48" i="3"/>
  <c r="K48" i="3" s="1"/>
  <c r="A51" i="6"/>
  <c r="A52" i="10" s="1"/>
  <c r="J51" i="3"/>
  <c r="K51" i="3" s="1"/>
  <c r="A56" i="6"/>
  <c r="A57" i="10" s="1"/>
  <c r="J56" i="3"/>
  <c r="K56" i="3" s="1"/>
  <c r="A64" i="6"/>
  <c r="A65" i="10" s="1"/>
  <c r="J64" i="3"/>
  <c r="H64" i="6" s="1"/>
  <c r="A80" i="6"/>
  <c r="A81" i="10" s="1"/>
  <c r="J80" i="3"/>
  <c r="H80" i="6" s="1"/>
  <c r="A244" i="6"/>
  <c r="A245" i="10" s="1"/>
  <c r="J244" i="3"/>
  <c r="H244" i="6" s="1"/>
  <c r="A246" i="6"/>
  <c r="A247" i="10" s="1"/>
  <c r="J246" i="3"/>
  <c r="H246" i="6" s="1"/>
  <c r="A276" i="6"/>
  <c r="A277" i="10" s="1"/>
  <c r="J276" i="3"/>
  <c r="H276" i="6" s="1"/>
  <c r="A278" i="6"/>
  <c r="A279" i="10" s="1"/>
  <c r="J278" i="3"/>
  <c r="K278" i="3" s="1"/>
  <c r="AB312" i="2"/>
  <c r="AB320" i="2"/>
  <c r="AB328" i="2"/>
  <c r="AB336" i="2"/>
  <c r="AB344" i="2"/>
  <c r="AB352" i="2"/>
  <c r="AB360" i="2"/>
  <c r="AB368" i="2"/>
  <c r="AB376" i="2"/>
  <c r="AB384" i="2"/>
  <c r="AB392" i="2"/>
  <c r="AB396" i="2"/>
  <c r="AB406" i="2"/>
  <c r="Z416" i="2"/>
  <c r="AA416" i="2"/>
  <c r="AB428" i="2"/>
  <c r="AB438" i="2"/>
  <c r="Z448" i="2"/>
  <c r="AA448" i="2"/>
  <c r="AB460" i="2"/>
  <c r="AB470" i="2"/>
  <c r="Z480" i="2"/>
  <c r="AA480" i="2"/>
  <c r="AB492" i="2"/>
  <c r="AB502" i="2"/>
  <c r="Z512" i="2"/>
  <c r="AA512" i="2"/>
  <c r="AB524" i="2"/>
  <c r="AB534" i="2"/>
  <c r="Z544" i="2"/>
  <c r="AA544" i="2"/>
  <c r="AB556" i="2"/>
  <c r="AB566" i="2"/>
  <c r="Z576" i="2"/>
  <c r="AA576" i="2"/>
  <c r="AB588" i="2"/>
  <c r="AB598" i="2"/>
  <c r="Z608" i="2"/>
  <c r="AA608" i="2"/>
  <c r="AB620" i="2"/>
  <c r="AB630" i="2"/>
  <c r="Z640" i="2"/>
  <c r="AA640" i="2"/>
  <c r="AB652" i="2"/>
  <c r="AB662" i="2"/>
  <c r="Z672" i="2"/>
  <c r="AA672" i="2"/>
  <c r="AB684" i="2"/>
  <c r="AB694" i="2"/>
  <c r="Z704" i="2"/>
  <c r="AA704" i="2"/>
  <c r="AA717" i="2"/>
  <c r="AA721" i="2"/>
  <c r="AA725" i="2"/>
  <c r="AA729" i="2"/>
  <c r="AA733" i="2"/>
  <c r="AA737" i="2"/>
  <c r="AA741" i="2"/>
  <c r="AA745" i="2"/>
  <c r="AA749" i="2"/>
  <c r="AA753" i="2"/>
  <c r="AA757" i="2"/>
  <c r="AA761" i="2"/>
  <c r="AA765" i="2"/>
  <c r="AA769" i="2"/>
  <c r="AA773" i="2"/>
  <c r="AA777" i="2"/>
  <c r="AA781" i="2"/>
  <c r="AA785" i="2"/>
  <c r="AA789" i="2"/>
  <c r="AA793" i="2"/>
  <c r="AA797" i="2"/>
  <c r="AA801" i="2"/>
  <c r="AA805" i="2"/>
  <c r="AA809" i="2"/>
  <c r="AA813" i="2"/>
  <c r="AA817" i="2"/>
  <c r="AA821" i="2"/>
  <c r="AA825" i="2"/>
  <c r="AA834" i="2"/>
  <c r="Z835" i="2"/>
  <c r="AB835" i="2"/>
  <c r="AA835" i="2"/>
  <c r="AB855" i="2"/>
  <c r="AA856" i="2"/>
  <c r="AA857" i="2"/>
  <c r="AA866" i="2"/>
  <c r="Z867" i="2"/>
  <c r="AB867" i="2"/>
  <c r="AA867" i="2"/>
  <c r="AB887" i="2"/>
  <c r="AA888" i="2"/>
  <c r="AA889" i="2"/>
  <c r="AA898" i="2"/>
  <c r="Z899" i="2"/>
  <c r="AB899" i="2"/>
  <c r="AA899" i="2"/>
  <c r="AB919" i="2"/>
  <c r="AA920" i="2"/>
  <c r="AA921" i="2"/>
  <c r="AA930" i="2"/>
  <c r="Z931" i="2"/>
  <c r="AB931" i="2"/>
  <c r="AA931" i="2"/>
  <c r="AB951" i="2"/>
  <c r="AA952" i="2"/>
  <c r="AA953" i="2"/>
  <c r="AB1001" i="2"/>
  <c r="Z1011" i="2"/>
  <c r="AA1011" i="2"/>
  <c r="AB1023" i="2"/>
  <c r="AB1033" i="2"/>
  <c r="Z1043" i="2"/>
  <c r="AA1043" i="2"/>
  <c r="AB1055" i="2"/>
  <c r="AB1065" i="2"/>
  <c r="Z1075" i="2"/>
  <c r="AA1075" i="2"/>
  <c r="AB1091" i="2"/>
  <c r="Z1105" i="2"/>
  <c r="AA1105" i="2"/>
  <c r="Z1125" i="2"/>
  <c r="AA1125" i="2"/>
  <c r="AB1125" i="2"/>
  <c r="Z1141" i="2"/>
  <c r="AA1141" i="2"/>
  <c r="AB1163" i="2"/>
  <c r="AB1177" i="2"/>
  <c r="AB1185" i="2"/>
  <c r="Z1197" i="2"/>
  <c r="AA1197" i="2"/>
  <c r="Z1211" i="2"/>
  <c r="AA1211" i="2"/>
  <c r="AB1219" i="2"/>
  <c r="Z1233" i="2"/>
  <c r="AA1233" i="2"/>
  <c r="Z1253" i="2"/>
  <c r="AA1253" i="2"/>
  <c r="AB1253" i="2"/>
  <c r="Z1269" i="2"/>
  <c r="AA1269" i="2"/>
  <c r="Z1283" i="2"/>
  <c r="AA1283" i="2"/>
  <c r="AB1283" i="2"/>
  <c r="Z1313" i="2"/>
  <c r="AA1313" i="2"/>
  <c r="Z1323" i="2"/>
  <c r="AA1323" i="2"/>
  <c r="AB1335" i="2"/>
  <c r="AB1343" i="2"/>
  <c r="Z1363" i="2"/>
  <c r="AA1363" i="2"/>
  <c r="AB1363" i="2"/>
  <c r="Z1379" i="2"/>
  <c r="AA1379" i="2"/>
  <c r="AB1379" i="2"/>
  <c r="Z1391" i="2"/>
  <c r="AA1391" i="2"/>
  <c r="Z1411" i="2"/>
  <c r="AA1411" i="2"/>
  <c r="AB1411" i="2"/>
  <c r="Z1441" i="2"/>
  <c r="AA1441" i="2"/>
  <c r="Z1451" i="2"/>
  <c r="AA1451" i="2"/>
  <c r="AB1463" i="2"/>
  <c r="AB1471" i="2"/>
  <c r="Z1491" i="2"/>
  <c r="AA1491" i="2"/>
  <c r="AB1491" i="2"/>
  <c r="Z1507" i="2"/>
  <c r="AA1507" i="2"/>
  <c r="AB1507" i="2"/>
  <c r="Z1519" i="2"/>
  <c r="AA1519" i="2"/>
  <c r="Z1539" i="2"/>
  <c r="AA1539" i="2"/>
  <c r="AB1539" i="2"/>
  <c r="Z1569" i="2"/>
  <c r="AA1569" i="2"/>
  <c r="Z1579" i="2"/>
  <c r="AA1579" i="2"/>
  <c r="AB1591" i="2"/>
  <c r="AB1599" i="2"/>
  <c r="A47" i="6"/>
  <c r="A48" i="10" s="1"/>
  <c r="J47" i="3"/>
  <c r="H47" i="6" s="1"/>
  <c r="A53" i="6"/>
  <c r="A54" i="10" s="1"/>
  <c r="J53" i="3"/>
  <c r="K53" i="3" s="1"/>
  <c r="A61" i="6"/>
  <c r="A62" i="10" s="1"/>
  <c r="J61" i="3"/>
  <c r="K61" i="3" s="1"/>
  <c r="A69" i="6"/>
  <c r="A70" i="10" s="1"/>
  <c r="J69" i="3"/>
  <c r="K69" i="3" s="1"/>
  <c r="A77" i="6"/>
  <c r="A78" i="10" s="1"/>
  <c r="J77" i="3"/>
  <c r="K77" i="3" s="1"/>
  <c r="A284" i="6"/>
  <c r="A285" i="10" s="1"/>
  <c r="J284" i="3"/>
  <c r="H284" i="6" s="1"/>
  <c r="A290" i="6"/>
  <c r="A291" i="10" s="1"/>
  <c r="J290" i="3"/>
  <c r="K290" i="3" s="1"/>
  <c r="AB254" i="2"/>
  <c r="AB262" i="2"/>
  <c r="AB270" i="2"/>
  <c r="AB278" i="2"/>
  <c r="AB286" i="2"/>
  <c r="AB294" i="2"/>
  <c r="AB302" i="2"/>
  <c r="AB310" i="2"/>
  <c r="AB318" i="2"/>
  <c r="AB326" i="2"/>
  <c r="AB334" i="2"/>
  <c r="AB342" i="2"/>
  <c r="AB350" i="2"/>
  <c r="AB358" i="2"/>
  <c r="AB366" i="2"/>
  <c r="AB374" i="2"/>
  <c r="AB382" i="2"/>
  <c r="AB390" i="2"/>
  <c r="AB404" i="2"/>
  <c r="AB414" i="2"/>
  <c r="Z424" i="2"/>
  <c r="AA424" i="2"/>
  <c r="AB436" i="2"/>
  <c r="AB446" i="2"/>
  <c r="Z456" i="2"/>
  <c r="AA456" i="2"/>
  <c r="AB468" i="2"/>
  <c r="AB478" i="2"/>
  <c r="Z488" i="2"/>
  <c r="AA488" i="2"/>
  <c r="AB500" i="2"/>
  <c r="AB510" i="2"/>
  <c r="Z520" i="2"/>
  <c r="AA520" i="2"/>
  <c r="AB532" i="2"/>
  <c r="AB542" i="2"/>
  <c r="Z552" i="2"/>
  <c r="AA552" i="2"/>
  <c r="AB564" i="2"/>
  <c r="AB574" i="2"/>
  <c r="Z584" i="2"/>
  <c r="AA584" i="2"/>
  <c r="AB596" i="2"/>
  <c r="AB606" i="2"/>
  <c r="Z616" i="2"/>
  <c r="AA616" i="2"/>
  <c r="AB628" i="2"/>
  <c r="AB638" i="2"/>
  <c r="Z648" i="2"/>
  <c r="AA648" i="2"/>
  <c r="AB660" i="2"/>
  <c r="AB670" i="2"/>
  <c r="Z680" i="2"/>
  <c r="AA680" i="2"/>
  <c r="AB692" i="2"/>
  <c r="AB702" i="2"/>
  <c r="Z712" i="2"/>
  <c r="AA712" i="2"/>
  <c r="AB715" i="2"/>
  <c r="AB717" i="2"/>
  <c r="AA718" i="2"/>
  <c r="AB719" i="2"/>
  <c r="AB721" i="2"/>
  <c r="AA722" i="2"/>
  <c r="AB723" i="2"/>
  <c r="AB725" i="2"/>
  <c r="AA726" i="2"/>
  <c r="AB727" i="2"/>
  <c r="AB729" i="2"/>
  <c r="AA730" i="2"/>
  <c r="AB731" i="2"/>
  <c r="AB733" i="2"/>
  <c r="AA734" i="2"/>
  <c r="AB735" i="2"/>
  <c r="AB737" i="2"/>
  <c r="AA738" i="2"/>
  <c r="AB739" i="2"/>
  <c r="AB741" i="2"/>
  <c r="AA742" i="2"/>
  <c r="AB743" i="2"/>
  <c r="AB745" i="2"/>
  <c r="AA746" i="2"/>
  <c r="AB747" i="2"/>
  <c r="AB749" i="2"/>
  <c r="AA750" i="2"/>
  <c r="AB751" i="2"/>
  <c r="AB753" i="2"/>
  <c r="AA754" i="2"/>
  <c r="AB755" i="2"/>
  <c r="AB757" i="2"/>
  <c r="AA758" i="2"/>
  <c r="AB759" i="2"/>
  <c r="AB761" i="2"/>
  <c r="AA762" i="2"/>
  <c r="AB763" i="2"/>
  <c r="AB765" i="2"/>
  <c r="AA766" i="2"/>
  <c r="AB767" i="2"/>
  <c r="AB769" i="2"/>
  <c r="AA770" i="2"/>
  <c r="AB771" i="2"/>
  <c r="AB773" i="2"/>
  <c r="AA774" i="2"/>
  <c r="AB775" i="2"/>
  <c r="AB777" i="2"/>
  <c r="AA778" i="2"/>
  <c r="AB779" i="2"/>
  <c r="AB781" i="2"/>
  <c r="AA782" i="2"/>
  <c r="AB783" i="2"/>
  <c r="AB785" i="2"/>
  <c r="AA786" i="2"/>
  <c r="AB787" i="2"/>
  <c r="AB789" i="2"/>
  <c r="AA790" i="2"/>
  <c r="AB791" i="2"/>
  <c r="AB793" i="2"/>
  <c r="AA794" i="2"/>
  <c r="AB795" i="2"/>
  <c r="AB797" i="2"/>
  <c r="AA798" i="2"/>
  <c r="AB799" i="2"/>
  <c r="AB801" i="2"/>
  <c r="AA802" i="2"/>
  <c r="AB803" i="2"/>
  <c r="AB805" i="2"/>
  <c r="AA806" i="2"/>
  <c r="AB807" i="2"/>
  <c r="AB809" i="2"/>
  <c r="AA810" i="2"/>
  <c r="AB811" i="2"/>
  <c r="AB813" i="2"/>
  <c r="AA814" i="2"/>
  <c r="AB815" i="2"/>
  <c r="AB817" i="2"/>
  <c r="AA818" i="2"/>
  <c r="AB819" i="2"/>
  <c r="AB821" i="2"/>
  <c r="AA822" i="2"/>
  <c r="AB823" i="2"/>
  <c r="AB825" i="2"/>
  <c r="AA826" i="2"/>
  <c r="Z827" i="2"/>
  <c r="AB827" i="2"/>
  <c r="AA827" i="2"/>
  <c r="AB847" i="2"/>
  <c r="AA848" i="2"/>
  <c r="AA849" i="2"/>
  <c r="AB857" i="2"/>
  <c r="AA858" i="2"/>
  <c r="Z859" i="2"/>
  <c r="AB859" i="2"/>
  <c r="AA859" i="2"/>
  <c r="AB879" i="2"/>
  <c r="AA880" i="2"/>
  <c r="AA881" i="2"/>
  <c r="AB889" i="2"/>
  <c r="AA890" i="2"/>
  <c r="Z891" i="2"/>
  <c r="AB891" i="2"/>
  <c r="AA891" i="2"/>
  <c r="AB911" i="2"/>
  <c r="AA912" i="2"/>
  <c r="AA913" i="2"/>
  <c r="AB921" i="2"/>
  <c r="AA922" i="2"/>
  <c r="Z923" i="2"/>
  <c r="AB923" i="2"/>
  <c r="AA923" i="2"/>
  <c r="AB943" i="2"/>
  <c r="AA944" i="2"/>
  <c r="AA945" i="2"/>
  <c r="AB953" i="2"/>
  <c r="AA954" i="2"/>
  <c r="Z955" i="2"/>
  <c r="AB955" i="2"/>
  <c r="AA955" i="2"/>
  <c r="AB999" i="2"/>
  <c r="AB1009" i="2"/>
  <c r="Z1019" i="2"/>
  <c r="AA1019" i="2"/>
  <c r="AB1031" i="2"/>
  <c r="AB1041" i="2"/>
  <c r="Z1051" i="2"/>
  <c r="AA1051" i="2"/>
  <c r="AB1063" i="2"/>
  <c r="AB1073" i="2"/>
  <c r="Z1083" i="2"/>
  <c r="AA1083" i="2"/>
  <c r="AB1089" i="2"/>
  <c r="Z1101" i="2"/>
  <c r="AA1101" i="2"/>
  <c r="Z1115" i="2"/>
  <c r="AA1115" i="2"/>
  <c r="AB1123" i="2"/>
  <c r="Z1137" i="2"/>
  <c r="AA1137" i="2"/>
  <c r="Z1157" i="2"/>
  <c r="AA1157" i="2"/>
  <c r="AB1157" i="2"/>
  <c r="Z1173" i="2"/>
  <c r="AA1173" i="2"/>
  <c r="AB1195" i="2"/>
  <c r="AB1209" i="2"/>
  <c r="AB1217" i="2"/>
  <c r="Z1229" i="2"/>
  <c r="AA1229" i="2"/>
  <c r="Z1243" i="2"/>
  <c r="AA1243" i="2"/>
  <c r="AB1251" i="2"/>
  <c r="Z1265" i="2"/>
  <c r="AA1265" i="2"/>
  <c r="Z1279" i="2"/>
  <c r="AA1279" i="2"/>
  <c r="Z1305" i="2"/>
  <c r="AA1305" i="2"/>
  <c r="AB1305" i="2"/>
  <c r="AB1311" i="2"/>
  <c r="AB1321" i="2"/>
  <c r="Z1359" i="2"/>
  <c r="AA1359" i="2"/>
  <c r="AB1377" i="2"/>
  <c r="Z1407" i="2"/>
  <c r="AA1407" i="2"/>
  <c r="Z1433" i="2"/>
  <c r="AA1433" i="2"/>
  <c r="AB1433" i="2"/>
  <c r="AB1439" i="2"/>
  <c r="AB1449" i="2"/>
  <c r="Z1487" i="2"/>
  <c r="AA1487" i="2"/>
  <c r="AB1505" i="2"/>
  <c r="Z1535" i="2"/>
  <c r="AA1535" i="2"/>
  <c r="Z1561" i="2"/>
  <c r="AA1561" i="2"/>
  <c r="AB1561" i="2"/>
  <c r="AB1567" i="2"/>
  <c r="AB1577" i="2"/>
  <c r="Z1617" i="2"/>
  <c r="AA1617" i="2"/>
  <c r="AB1617" i="2"/>
  <c r="A16" i="6"/>
  <c r="A17" i="10" s="1"/>
  <c r="J16" i="3"/>
  <c r="K16" i="3" s="1"/>
  <c r="A95" i="6"/>
  <c r="A96" i="10" s="1"/>
  <c r="J95" i="3"/>
  <c r="K95" i="3" s="1"/>
  <c r="A103" i="6"/>
  <c r="A104" i="10" s="1"/>
  <c r="J103" i="3"/>
  <c r="K103" i="3" s="1"/>
  <c r="A115" i="6"/>
  <c r="A116" i="10" s="1"/>
  <c r="J115" i="3"/>
  <c r="H115" i="6" s="1"/>
  <c r="A120" i="6"/>
  <c r="A121" i="10" s="1"/>
  <c r="J120" i="3"/>
  <c r="K120" i="3" s="1"/>
  <c r="A143" i="6"/>
  <c r="A144" i="10" s="1"/>
  <c r="J143" i="3"/>
  <c r="H143" i="6" s="1"/>
  <c r="A149" i="6"/>
  <c r="A150" i="10" s="1"/>
  <c r="J149" i="3"/>
  <c r="H149" i="6" s="1"/>
  <c r="A177" i="6"/>
  <c r="A178" i="10" s="1"/>
  <c r="J177" i="3"/>
  <c r="K177" i="3" s="1"/>
  <c r="A182" i="6"/>
  <c r="A183" i="10" s="1"/>
  <c r="J182" i="3"/>
  <c r="H182" i="6" s="1"/>
  <c r="A194" i="6"/>
  <c r="A195" i="10" s="1"/>
  <c r="J194" i="3"/>
  <c r="H194" i="6" s="1"/>
  <c r="AB394" i="2"/>
  <c r="AB402" i="2"/>
  <c r="AB410" i="2"/>
  <c r="AB418" i="2"/>
  <c r="AB426" i="2"/>
  <c r="AB434" i="2"/>
  <c r="AB442" i="2"/>
  <c r="AB450" i="2"/>
  <c r="AB458" i="2"/>
  <c r="AB466" i="2"/>
  <c r="AB474" i="2"/>
  <c r="AB482" i="2"/>
  <c r="AB490" i="2"/>
  <c r="AB498" i="2"/>
  <c r="AB506" i="2"/>
  <c r="AB514" i="2"/>
  <c r="AB522" i="2"/>
  <c r="AB530" i="2"/>
  <c r="AB538" i="2"/>
  <c r="AB546" i="2"/>
  <c r="AB554" i="2"/>
  <c r="AB562" i="2"/>
  <c r="AB570" i="2"/>
  <c r="AB578" i="2"/>
  <c r="AB586" i="2"/>
  <c r="AB594" i="2"/>
  <c r="AB602" i="2"/>
  <c r="AB610" i="2"/>
  <c r="AB618" i="2"/>
  <c r="AB626" i="2"/>
  <c r="AB634" i="2"/>
  <c r="AB642" i="2"/>
  <c r="AB650" i="2"/>
  <c r="AB658" i="2"/>
  <c r="AB666" i="2"/>
  <c r="AB674" i="2"/>
  <c r="AB682" i="2"/>
  <c r="AB690" i="2"/>
  <c r="AB698" i="2"/>
  <c r="AB706" i="2"/>
  <c r="AA828" i="2"/>
  <c r="AA829" i="2"/>
  <c r="AA836" i="2"/>
  <c r="AA837" i="2"/>
  <c r="AA844" i="2"/>
  <c r="AA845" i="2"/>
  <c r="AA852" i="2"/>
  <c r="AA853" i="2"/>
  <c r="AA860" i="2"/>
  <c r="AA861" i="2"/>
  <c r="AA868" i="2"/>
  <c r="AA869" i="2"/>
  <c r="AA876" i="2"/>
  <c r="AA877" i="2"/>
  <c r="AA884" i="2"/>
  <c r="AA885" i="2"/>
  <c r="AA892" i="2"/>
  <c r="AA893" i="2"/>
  <c r="AA900" i="2"/>
  <c r="AA901" i="2"/>
  <c r="AA908" i="2"/>
  <c r="AA909" i="2"/>
  <c r="AA916" i="2"/>
  <c r="AA917" i="2"/>
  <c r="AA924" i="2"/>
  <c r="AA925" i="2"/>
  <c r="AA932" i="2"/>
  <c r="AA933" i="2"/>
  <c r="AA940" i="2"/>
  <c r="AA941" i="2"/>
  <c r="AA948" i="2"/>
  <c r="AA949" i="2"/>
  <c r="AA956" i="2"/>
  <c r="AA957" i="2"/>
  <c r="AB997" i="2"/>
  <c r="AB1005" i="2"/>
  <c r="AB1013" i="2"/>
  <c r="AB1021" i="2"/>
  <c r="AB1029" i="2"/>
  <c r="AB1037" i="2"/>
  <c r="AB1045" i="2"/>
  <c r="AB1053" i="2"/>
  <c r="AB1061" i="2"/>
  <c r="AB1069" i="2"/>
  <c r="AB1077" i="2"/>
  <c r="Z1085" i="2"/>
  <c r="AA1085" i="2"/>
  <c r="AB1097" i="2"/>
  <c r="AB1107" i="2"/>
  <c r="Z1117" i="2"/>
  <c r="AA1117" i="2"/>
  <c r="AB1129" i="2"/>
  <c r="AB1139" i="2"/>
  <c r="Z1149" i="2"/>
  <c r="AA1149" i="2"/>
  <c r="AB1161" i="2"/>
  <c r="AB1171" i="2"/>
  <c r="Z1181" i="2"/>
  <c r="AA1181" i="2"/>
  <c r="AB1193" i="2"/>
  <c r="AB1203" i="2"/>
  <c r="Z1213" i="2"/>
  <c r="AA1213" i="2"/>
  <c r="AB1225" i="2"/>
  <c r="AB1235" i="2"/>
  <c r="Z1245" i="2"/>
  <c r="AA1245" i="2"/>
  <c r="AB1257" i="2"/>
  <c r="AB1267" i="2"/>
  <c r="Z1277" i="2"/>
  <c r="AB1277" i="2"/>
  <c r="AA1277" i="2"/>
  <c r="AB1281" i="2"/>
  <c r="Z1295" i="2"/>
  <c r="AA1295" i="2"/>
  <c r="Z1315" i="2"/>
  <c r="AA1315" i="2"/>
  <c r="AB1315" i="2"/>
  <c r="Z1331" i="2"/>
  <c r="AA1331" i="2"/>
  <c r="AB1353" i="2"/>
  <c r="AB1367" i="2"/>
  <c r="AB1375" i="2"/>
  <c r="Z1387" i="2"/>
  <c r="AA1387" i="2"/>
  <c r="Z1401" i="2"/>
  <c r="AA1401" i="2"/>
  <c r="AB1409" i="2"/>
  <c r="Z1423" i="2"/>
  <c r="AA1423" i="2"/>
  <c r="Z1443" i="2"/>
  <c r="AA1443" i="2"/>
  <c r="AB1443" i="2"/>
  <c r="Z1459" i="2"/>
  <c r="AA1459" i="2"/>
  <c r="AB1481" i="2"/>
  <c r="AB1495" i="2"/>
  <c r="AB1503" i="2"/>
  <c r="Z1515" i="2"/>
  <c r="AA1515" i="2"/>
  <c r="Z1529" i="2"/>
  <c r="AA1529" i="2"/>
  <c r="AB1537" i="2"/>
  <c r="Z1551" i="2"/>
  <c r="AA1551" i="2"/>
  <c r="Z1571" i="2"/>
  <c r="AA1571" i="2"/>
  <c r="AB1571" i="2"/>
  <c r="Z1587" i="2"/>
  <c r="AA1587" i="2"/>
  <c r="Z1621" i="2"/>
  <c r="AA1621" i="2"/>
  <c r="AB1621" i="2"/>
  <c r="A19" i="6"/>
  <c r="A20" i="10" s="1"/>
  <c r="J19" i="3"/>
  <c r="K19" i="3" s="1"/>
  <c r="A24" i="6"/>
  <c r="A25" i="10" s="1"/>
  <c r="J24" i="3"/>
  <c r="H24" i="6" s="1"/>
  <c r="A32" i="6"/>
  <c r="A33" i="10" s="1"/>
  <c r="J32" i="3"/>
  <c r="H32" i="6" s="1"/>
  <c r="A63" i="6"/>
  <c r="A64" i="10" s="1"/>
  <c r="J63" i="3"/>
  <c r="H63" i="6" s="1"/>
  <c r="A71" i="6"/>
  <c r="A72" i="10" s="1"/>
  <c r="J71" i="3"/>
  <c r="H71" i="6" s="1"/>
  <c r="A83" i="6"/>
  <c r="A84" i="10" s="1"/>
  <c r="J83" i="3"/>
  <c r="K83" i="3" s="1"/>
  <c r="A88" i="6"/>
  <c r="A89" i="10" s="1"/>
  <c r="J88" i="3"/>
  <c r="H88" i="6" s="1"/>
  <c r="A96" i="6"/>
  <c r="A97" i="10" s="1"/>
  <c r="J96" i="3"/>
  <c r="H96" i="6" s="1"/>
  <c r="A127" i="6"/>
  <c r="A128" i="10" s="1"/>
  <c r="J127" i="3"/>
  <c r="K127" i="3" s="1"/>
  <c r="A133" i="6"/>
  <c r="A134" i="10" s="1"/>
  <c r="J133" i="3"/>
  <c r="K133" i="3" s="1"/>
  <c r="A159" i="6"/>
  <c r="A160" i="10" s="1"/>
  <c r="J159" i="3"/>
  <c r="K159" i="3" s="1"/>
  <c r="A165" i="6"/>
  <c r="A166" i="10" s="1"/>
  <c r="J165" i="3"/>
  <c r="K165" i="3" s="1"/>
  <c r="A167" i="6"/>
  <c r="A168" i="10" s="1"/>
  <c r="J167" i="3"/>
  <c r="K167" i="3" s="1"/>
  <c r="A209" i="6"/>
  <c r="A210" i="10" s="1"/>
  <c r="J209" i="3"/>
  <c r="K209" i="3" s="1"/>
  <c r="A224" i="6"/>
  <c r="A225" i="10" s="1"/>
  <c r="J224" i="3"/>
  <c r="H224" i="6" s="1"/>
  <c r="A229" i="6"/>
  <c r="A230" i="10" s="1"/>
  <c r="J229" i="3"/>
  <c r="H229" i="6" s="1"/>
  <c r="A237" i="6"/>
  <c r="A238" i="10" s="1"/>
  <c r="J237" i="3"/>
  <c r="K237" i="3" s="1"/>
  <c r="A79" i="6"/>
  <c r="A80" i="10" s="1"/>
  <c r="J79" i="3"/>
  <c r="H79" i="6" s="1"/>
  <c r="A85" i="6"/>
  <c r="A86" i="10" s="1"/>
  <c r="J85" i="3"/>
  <c r="K85" i="3" s="1"/>
  <c r="A93" i="6"/>
  <c r="A94" i="10" s="1"/>
  <c r="J93" i="3"/>
  <c r="H93" i="6" s="1"/>
  <c r="A101" i="6"/>
  <c r="A102" i="10" s="1"/>
  <c r="J101" i="3"/>
  <c r="K101" i="3" s="1"/>
  <c r="A147" i="6"/>
  <c r="A148" i="10" s="1"/>
  <c r="J147" i="3"/>
  <c r="K147" i="3" s="1"/>
  <c r="A152" i="6"/>
  <c r="A153" i="10" s="1"/>
  <c r="J152" i="3"/>
  <c r="H152" i="6" s="1"/>
  <c r="A189" i="6"/>
  <c r="A190" i="10" s="1"/>
  <c r="J189" i="3"/>
  <c r="H189" i="6" s="1"/>
  <c r="A192" i="6"/>
  <c r="A193" i="10" s="1"/>
  <c r="J192" i="3"/>
  <c r="J213" i="3"/>
  <c r="K213" i="3" s="1"/>
  <c r="J218" i="3"/>
  <c r="K218" i="3" s="1"/>
  <c r="A220" i="6"/>
  <c r="A221" i="10" s="1"/>
  <c r="J220" i="3"/>
  <c r="H220" i="6" s="1"/>
  <c r="A226" i="6"/>
  <c r="A227" i="10" s="1"/>
  <c r="J226" i="3"/>
  <c r="H226" i="6" s="1"/>
  <c r="A234" i="6"/>
  <c r="A235" i="10" s="1"/>
  <c r="J234" i="3"/>
  <c r="K234" i="3" s="1"/>
  <c r="A249" i="6"/>
  <c r="A250" i="10" s="1"/>
  <c r="J249" i="3"/>
  <c r="H249" i="6" s="1"/>
  <c r="A256" i="6"/>
  <c r="A257" i="10" s="1"/>
  <c r="J256" i="3"/>
  <c r="H256" i="6" s="1"/>
  <c r="A261" i="6"/>
  <c r="A262" i="10" s="1"/>
  <c r="J261" i="3"/>
  <c r="H261" i="6" s="1"/>
  <c r="A269" i="6"/>
  <c r="A270" i="10" s="1"/>
  <c r="J269" i="3"/>
  <c r="H269" i="6" s="1"/>
  <c r="A301" i="6"/>
  <c r="A302" i="10" s="1"/>
  <c r="J301" i="3"/>
  <c r="K301" i="3" s="1"/>
  <c r="M91" i="5"/>
  <c r="K91" i="5"/>
  <c r="AB1087" i="2"/>
  <c r="AB1095" i="2"/>
  <c r="AB1103" i="2"/>
  <c r="AB1111" i="2"/>
  <c r="AB1119" i="2"/>
  <c r="AB1127" i="2"/>
  <c r="AB1135" i="2"/>
  <c r="AB1143" i="2"/>
  <c r="AB1151" i="2"/>
  <c r="AB1159" i="2"/>
  <c r="AB1167" i="2"/>
  <c r="AB1175" i="2"/>
  <c r="AB1183" i="2"/>
  <c r="AB1191" i="2"/>
  <c r="AB1199" i="2"/>
  <c r="AB1207" i="2"/>
  <c r="AB1215" i="2"/>
  <c r="AB1223" i="2"/>
  <c r="AB1231" i="2"/>
  <c r="AB1239" i="2"/>
  <c r="AB1247" i="2"/>
  <c r="AB1255" i="2"/>
  <c r="AB1263" i="2"/>
  <c r="AB1271" i="2"/>
  <c r="AB1287" i="2"/>
  <c r="AB1297" i="2"/>
  <c r="Z1307" i="2"/>
  <c r="AA1307" i="2"/>
  <c r="AB1319" i="2"/>
  <c r="AB1329" i="2"/>
  <c r="Z1339" i="2"/>
  <c r="AA1339" i="2"/>
  <c r="AB1351" i="2"/>
  <c r="AB1361" i="2"/>
  <c r="Z1371" i="2"/>
  <c r="AA1371" i="2"/>
  <c r="AB1383" i="2"/>
  <c r="AB1393" i="2"/>
  <c r="Z1403" i="2"/>
  <c r="AA1403" i="2"/>
  <c r="AB1415" i="2"/>
  <c r="AB1425" i="2"/>
  <c r="Z1435" i="2"/>
  <c r="AA1435" i="2"/>
  <c r="AB1447" i="2"/>
  <c r="AB1457" i="2"/>
  <c r="Z1467" i="2"/>
  <c r="AA1467" i="2"/>
  <c r="AB1479" i="2"/>
  <c r="AB1489" i="2"/>
  <c r="Z1499" i="2"/>
  <c r="AA1499" i="2"/>
  <c r="AB1511" i="2"/>
  <c r="AB1521" i="2"/>
  <c r="Z1531" i="2"/>
  <c r="AA1531" i="2"/>
  <c r="AB1543" i="2"/>
  <c r="AB1553" i="2"/>
  <c r="Z1563" i="2"/>
  <c r="AA1563" i="2"/>
  <c r="AB1575" i="2"/>
  <c r="AB1585" i="2"/>
  <c r="Z1595" i="2"/>
  <c r="AA1595" i="2"/>
  <c r="Z1609" i="2"/>
  <c r="AA1609" i="2"/>
  <c r="AB1609" i="2"/>
  <c r="A23" i="6"/>
  <c r="A24" i="10" s="1"/>
  <c r="J23" i="3"/>
  <c r="H23" i="6" s="1"/>
  <c r="A35" i="6"/>
  <c r="A36" i="10" s="1"/>
  <c r="J35" i="3"/>
  <c r="H35" i="6" s="1"/>
  <c r="A40" i="6"/>
  <c r="A41" i="10" s="1"/>
  <c r="J40" i="3"/>
  <c r="H40" i="6" s="1"/>
  <c r="A55" i="6"/>
  <c r="A56" i="10" s="1"/>
  <c r="J55" i="3"/>
  <c r="H55" i="6" s="1"/>
  <c r="A67" i="6"/>
  <c r="A68" i="10" s="1"/>
  <c r="J67" i="3"/>
  <c r="H67" i="6" s="1"/>
  <c r="A72" i="6"/>
  <c r="A73" i="10" s="1"/>
  <c r="J72" i="3"/>
  <c r="K72" i="3" s="1"/>
  <c r="A87" i="6"/>
  <c r="A88" i="10" s="1"/>
  <c r="J87" i="3"/>
  <c r="K87" i="3" s="1"/>
  <c r="A99" i="6"/>
  <c r="A100" i="10" s="1"/>
  <c r="J99" i="3"/>
  <c r="H99" i="6" s="1"/>
  <c r="A104" i="6"/>
  <c r="A105" i="10" s="1"/>
  <c r="J104" i="3"/>
  <c r="H104" i="6" s="1"/>
  <c r="A119" i="6"/>
  <c r="A120" i="10" s="1"/>
  <c r="J119" i="3"/>
  <c r="K119" i="3" s="1"/>
  <c r="A131" i="6"/>
  <c r="A132" i="10" s="1"/>
  <c r="J131" i="3"/>
  <c r="H131" i="6" s="1"/>
  <c r="A136" i="6"/>
  <c r="A137" i="10" s="1"/>
  <c r="J136" i="3"/>
  <c r="H136" i="6" s="1"/>
  <c r="A163" i="6"/>
  <c r="A164" i="10" s="1"/>
  <c r="J163" i="3"/>
  <c r="H163" i="6" s="1"/>
  <c r="A170" i="6"/>
  <c r="A171" i="10" s="1"/>
  <c r="J170" i="3"/>
  <c r="H170" i="6" s="1"/>
  <c r="A252" i="6"/>
  <c r="A253" i="10" s="1"/>
  <c r="J252" i="3"/>
  <c r="H252" i="6" s="1"/>
  <c r="A258" i="6"/>
  <c r="A259" i="10" s="1"/>
  <c r="J258" i="3"/>
  <c r="K258" i="3" s="1"/>
  <c r="A266" i="6"/>
  <c r="A267" i="10" s="1"/>
  <c r="J266" i="3"/>
  <c r="K266" i="3" s="1"/>
  <c r="A298" i="6"/>
  <c r="A299" i="10" s="1"/>
  <c r="J298" i="3"/>
  <c r="K298" i="3" s="1"/>
  <c r="M71" i="5"/>
  <c r="K71" i="5"/>
  <c r="AB1285" i="2"/>
  <c r="AB1293" i="2"/>
  <c r="AB1301" i="2"/>
  <c r="AB1309" i="2"/>
  <c r="AB1317" i="2"/>
  <c r="AB1325" i="2"/>
  <c r="AB1333" i="2"/>
  <c r="AB1341" i="2"/>
  <c r="AB1349" i="2"/>
  <c r="AB1357" i="2"/>
  <c r="AB1365" i="2"/>
  <c r="AB1373" i="2"/>
  <c r="AB1381" i="2"/>
  <c r="AB1389" i="2"/>
  <c r="AB1397" i="2"/>
  <c r="AB1405" i="2"/>
  <c r="AB1413" i="2"/>
  <c r="AB1421" i="2"/>
  <c r="AB1429" i="2"/>
  <c r="AB1437" i="2"/>
  <c r="AB1445" i="2"/>
  <c r="AB1453" i="2"/>
  <c r="AB1461" i="2"/>
  <c r="AB1469" i="2"/>
  <c r="AB1477" i="2"/>
  <c r="AB1485" i="2"/>
  <c r="AB1493" i="2"/>
  <c r="AB1501" i="2"/>
  <c r="AB1509" i="2"/>
  <c r="AB1517" i="2"/>
  <c r="AB1525" i="2"/>
  <c r="AB1533" i="2"/>
  <c r="AB1541" i="2"/>
  <c r="AB1549" i="2"/>
  <c r="AB1557" i="2"/>
  <c r="AB1565" i="2"/>
  <c r="AB1573" i="2"/>
  <c r="AB1581" i="2"/>
  <c r="AB1589" i="2"/>
  <c r="AB1597" i="2"/>
  <c r="AB1613" i="2"/>
  <c r="A11" i="6"/>
  <c r="A12" i="10" s="1"/>
  <c r="J11" i="3"/>
  <c r="K11" i="3" s="1"/>
  <c r="A27" i="6"/>
  <c r="A28" i="10" s="1"/>
  <c r="J27" i="3"/>
  <c r="K27" i="3" s="1"/>
  <c r="A43" i="6"/>
  <c r="A44" i="10" s="1"/>
  <c r="J43" i="3"/>
  <c r="K43" i="3" s="1"/>
  <c r="A59" i="6"/>
  <c r="A60" i="10" s="1"/>
  <c r="J59" i="3"/>
  <c r="K59" i="3" s="1"/>
  <c r="A75" i="6"/>
  <c r="A76" i="10" s="1"/>
  <c r="J75" i="3"/>
  <c r="H75" i="6" s="1"/>
  <c r="A91" i="6"/>
  <c r="A92" i="10" s="1"/>
  <c r="J91" i="3"/>
  <c r="K91" i="3" s="1"/>
  <c r="A107" i="6"/>
  <c r="A108" i="10" s="1"/>
  <c r="J107" i="3"/>
  <c r="H107" i="6" s="1"/>
  <c r="A123" i="6"/>
  <c r="A124" i="10" s="1"/>
  <c r="J123" i="3"/>
  <c r="K123" i="3" s="1"/>
  <c r="A139" i="6"/>
  <c r="A140" i="10" s="1"/>
  <c r="J139" i="3"/>
  <c r="K139" i="3" s="1"/>
  <c r="A155" i="6"/>
  <c r="A156" i="10" s="1"/>
  <c r="J155" i="3"/>
  <c r="K155" i="3" s="1"/>
  <c r="A173" i="6"/>
  <c r="A174" i="10" s="1"/>
  <c r="J173" i="3"/>
  <c r="H173" i="6" s="1"/>
  <c r="A179" i="6"/>
  <c r="A180" i="10" s="1"/>
  <c r="J179" i="3"/>
  <c r="K179" i="3" s="1"/>
  <c r="A201" i="6"/>
  <c r="A202" i="10" s="1"/>
  <c r="J201" i="3"/>
  <c r="H201" i="6" s="1"/>
  <c r="A210" i="6"/>
  <c r="A211" i="10" s="1"/>
  <c r="J210" i="3"/>
  <c r="K210" i="3" s="1"/>
  <c r="A228" i="6"/>
  <c r="A229" i="10" s="1"/>
  <c r="J228" i="3"/>
  <c r="H228" i="6" s="1"/>
  <c r="A240" i="6"/>
  <c r="A241" i="10" s="1"/>
  <c r="J240" i="3"/>
  <c r="H240" i="6" s="1"/>
  <c r="A245" i="6"/>
  <c r="A246" i="10" s="1"/>
  <c r="J245" i="3"/>
  <c r="H245" i="6" s="1"/>
  <c r="A260" i="6"/>
  <c r="A261" i="10" s="1"/>
  <c r="J260" i="3"/>
  <c r="H260" i="6" s="1"/>
  <c r="A272" i="6"/>
  <c r="A273" i="10" s="1"/>
  <c r="J272" i="3"/>
  <c r="K272" i="3" s="1"/>
  <c r="A277" i="6"/>
  <c r="A278" i="10" s="1"/>
  <c r="J277" i="3"/>
  <c r="H277" i="6" s="1"/>
  <c r="A292" i="6"/>
  <c r="A293" i="10" s="1"/>
  <c r="J292" i="3"/>
  <c r="K292" i="3" s="1"/>
  <c r="K22" i="5"/>
  <c r="M22" i="5"/>
  <c r="K81" i="5"/>
  <c r="M81" i="5"/>
  <c r="M89" i="5"/>
  <c r="A135" i="6"/>
  <c r="A136" i="10" s="1"/>
  <c r="J135" i="3"/>
  <c r="K135" i="3" s="1"/>
  <c r="A151" i="6"/>
  <c r="A152" i="10" s="1"/>
  <c r="J151" i="3"/>
  <c r="H151" i="6" s="1"/>
  <c r="A166" i="6"/>
  <c r="A167" i="10" s="1"/>
  <c r="J166" i="3"/>
  <c r="K166" i="3" s="1"/>
  <c r="A181" i="6"/>
  <c r="A182" i="10" s="1"/>
  <c r="J181" i="3"/>
  <c r="H181" i="6" s="1"/>
  <c r="A205" i="6"/>
  <c r="A206" i="10" s="1"/>
  <c r="J205" i="3"/>
  <c r="H205" i="6" s="1"/>
  <c r="A236" i="6"/>
  <c r="A237" i="10" s="1"/>
  <c r="J236" i="3"/>
  <c r="H236" i="6" s="1"/>
  <c r="A242" i="6"/>
  <c r="A243" i="10" s="1"/>
  <c r="J242" i="3"/>
  <c r="H242" i="6" s="1"/>
  <c r="A268" i="6"/>
  <c r="A269" i="10" s="1"/>
  <c r="J268" i="3"/>
  <c r="K268" i="3" s="1"/>
  <c r="A274" i="6"/>
  <c r="A275" i="10" s="1"/>
  <c r="J274" i="3"/>
  <c r="H274" i="6" s="1"/>
  <c r="J294" i="3"/>
  <c r="K294" i="3" s="1"/>
  <c r="J297" i="3"/>
  <c r="H297" i="6" s="1"/>
  <c r="A300" i="6"/>
  <c r="A301" i="10" s="1"/>
  <c r="J300" i="3"/>
  <c r="H300" i="6" s="1"/>
  <c r="M16" i="5"/>
  <c r="K16" i="5"/>
  <c r="K18" i="5"/>
  <c r="M18" i="5"/>
  <c r="M75" i="5"/>
  <c r="K75" i="5"/>
  <c r="H17" i="7"/>
  <c r="L24" i="8"/>
  <c r="AB1611" i="2"/>
  <c r="AB1619" i="2"/>
  <c r="A169" i="6"/>
  <c r="A170" i="10" s="1"/>
  <c r="J169" i="3"/>
  <c r="H169" i="6" s="1"/>
  <c r="A185" i="6"/>
  <c r="A186" i="10" s="1"/>
  <c r="J185" i="3"/>
  <c r="H185" i="6" s="1"/>
  <c r="A217" i="6"/>
  <c r="A218" i="10" s="1"/>
  <c r="J217" i="3"/>
  <c r="K217" i="3" s="1"/>
  <c r="A232" i="6"/>
  <c r="A233" i="10" s="1"/>
  <c r="J232" i="3"/>
  <c r="K232" i="3" s="1"/>
  <c r="A248" i="6"/>
  <c r="A249" i="10" s="1"/>
  <c r="J248" i="3"/>
  <c r="H248" i="6" s="1"/>
  <c r="A264" i="6"/>
  <c r="A265" i="10" s="1"/>
  <c r="J264" i="3"/>
  <c r="H264" i="6" s="1"/>
  <c r="A280" i="6"/>
  <c r="A281" i="10" s="1"/>
  <c r="J280" i="3"/>
  <c r="H280" i="6" s="1"/>
  <c r="A296" i="6"/>
  <c r="A297" i="10" s="1"/>
  <c r="J296" i="3"/>
  <c r="K296" i="3" s="1"/>
  <c r="L22" i="5"/>
  <c r="L51" i="5"/>
  <c r="L81" i="5"/>
  <c r="L85" i="5"/>
  <c r="L89" i="5"/>
  <c r="L93" i="5"/>
  <c r="L97" i="5"/>
  <c r="L101" i="5"/>
  <c r="L104" i="5"/>
  <c r="J15" i="7"/>
  <c r="J18" i="7"/>
  <c r="J14" i="7"/>
  <c r="J17" i="7"/>
  <c r="J11" i="7"/>
  <c r="J7" i="7"/>
  <c r="J16" i="7"/>
  <c r="J10" i="7"/>
  <c r="J9" i="7"/>
  <c r="J12" i="7"/>
  <c r="J8" i="7"/>
  <c r="J4" i="7"/>
  <c r="B15" i="7"/>
  <c r="B18" i="7"/>
  <c r="B14" i="7"/>
  <c r="B17" i="7"/>
  <c r="B11" i="7"/>
  <c r="B7" i="7"/>
  <c r="B10" i="7"/>
  <c r="B9" i="7"/>
  <c r="B16" i="7"/>
  <c r="B12" i="7"/>
  <c r="B8" i="7"/>
  <c r="B6" i="14"/>
  <c r="C6" i="14" s="1"/>
  <c r="E16" i="7"/>
  <c r="F16" i="7" s="1"/>
  <c r="E15" i="7"/>
  <c r="F15" i="7" s="1"/>
  <c r="K9" i="8"/>
  <c r="E18" i="7"/>
  <c r="F18" i="7" s="1"/>
  <c r="E14" i="7"/>
  <c r="F14" i="7" s="1"/>
  <c r="E12" i="7"/>
  <c r="F12" i="7" s="1"/>
  <c r="E8" i="7"/>
  <c r="F8" i="7" s="1"/>
  <c r="E11" i="7"/>
  <c r="E17" i="7"/>
  <c r="F17" i="7" s="1"/>
  <c r="E10" i="7"/>
  <c r="F10" i="7" s="1"/>
  <c r="D4" i="7"/>
  <c r="E9" i="7"/>
  <c r="F9" i="7" s="1"/>
  <c r="E7" i="7"/>
  <c r="F7" i="7" s="1"/>
  <c r="AB4" i="2"/>
  <c r="AA4" i="2"/>
  <c r="Z4" i="2"/>
  <c r="AB5" i="2"/>
  <c r="AA5" i="2"/>
  <c r="Z5" i="2"/>
  <c r="AB7" i="2"/>
  <c r="AA7" i="2"/>
  <c r="Z7" i="2"/>
  <c r="AB9" i="2"/>
  <c r="AA9" i="2"/>
  <c r="Z9" i="2"/>
  <c r="AB11" i="2"/>
  <c r="AA11" i="2"/>
  <c r="Z11" i="2"/>
  <c r="AB13" i="2"/>
  <c r="AA13" i="2"/>
  <c r="Z13" i="2"/>
  <c r="AB15" i="2"/>
  <c r="AA15" i="2"/>
  <c r="Z15" i="2"/>
  <c r="AB17" i="2"/>
  <c r="AA17" i="2"/>
  <c r="Z17" i="2"/>
  <c r="AB19" i="2"/>
  <c r="AA19" i="2"/>
  <c r="Z19" i="2"/>
  <c r="AB21" i="2"/>
  <c r="AA21" i="2"/>
  <c r="Z21" i="2"/>
  <c r="AB23" i="2"/>
  <c r="AA23" i="2"/>
  <c r="Z23" i="2"/>
  <c r="AB25" i="2"/>
  <c r="AA25" i="2"/>
  <c r="Z25" i="2"/>
  <c r="AB27" i="2"/>
  <c r="AA27" i="2"/>
  <c r="Z27" i="2"/>
  <c r="AB29" i="2"/>
  <c r="AA29" i="2"/>
  <c r="Z29" i="2"/>
  <c r="AB31" i="2"/>
  <c r="AA31" i="2"/>
  <c r="Z31" i="2"/>
  <c r="AB33" i="2"/>
  <c r="AA33" i="2"/>
  <c r="Z33" i="2"/>
  <c r="AB35" i="2"/>
  <c r="AA35" i="2"/>
  <c r="Z35" i="2"/>
  <c r="AB37" i="2"/>
  <c r="AA37" i="2"/>
  <c r="Z37" i="2"/>
  <c r="AB39" i="2"/>
  <c r="AA39" i="2"/>
  <c r="Z39" i="2"/>
  <c r="AB41" i="2"/>
  <c r="AA41" i="2"/>
  <c r="Z41" i="2"/>
  <c r="AB43" i="2"/>
  <c r="AA43" i="2"/>
  <c r="Z43" i="2"/>
  <c r="AB45" i="2"/>
  <c r="AA45" i="2"/>
  <c r="Z45" i="2"/>
  <c r="AB47" i="2"/>
  <c r="AA47" i="2"/>
  <c r="Z47" i="2"/>
  <c r="AB49" i="2"/>
  <c r="AA49" i="2"/>
  <c r="Z49" i="2"/>
  <c r="AB51" i="2"/>
  <c r="AA51" i="2"/>
  <c r="Z51" i="2"/>
  <c r="AB53" i="2"/>
  <c r="AA53" i="2"/>
  <c r="Z53" i="2"/>
  <c r="AB55" i="2"/>
  <c r="AA55" i="2"/>
  <c r="Z55" i="2"/>
  <c r="AB57" i="2"/>
  <c r="AA57" i="2"/>
  <c r="Z57" i="2"/>
  <c r="AB59" i="2"/>
  <c r="AA59" i="2"/>
  <c r="Z59" i="2"/>
  <c r="AB61" i="2"/>
  <c r="AA61" i="2"/>
  <c r="Z61" i="2"/>
  <c r="AB63" i="2"/>
  <c r="AA63" i="2"/>
  <c r="Z63" i="2"/>
  <c r="AB65" i="2"/>
  <c r="AA65" i="2"/>
  <c r="Z65" i="2"/>
  <c r="AB67" i="2"/>
  <c r="AA67" i="2"/>
  <c r="Z67" i="2"/>
  <c r="AB69" i="2"/>
  <c r="AA69" i="2"/>
  <c r="Z69" i="2"/>
  <c r="AB71" i="2"/>
  <c r="AA71" i="2"/>
  <c r="Z71" i="2"/>
  <c r="AB73" i="2"/>
  <c r="AA73" i="2"/>
  <c r="Z73" i="2"/>
  <c r="AB75" i="2"/>
  <c r="AA75" i="2"/>
  <c r="Z75" i="2"/>
  <c r="AB77" i="2"/>
  <c r="AA77" i="2"/>
  <c r="Z77" i="2"/>
  <c r="AB79" i="2"/>
  <c r="AA79" i="2"/>
  <c r="Z79" i="2"/>
  <c r="AB81" i="2"/>
  <c r="AA81" i="2"/>
  <c r="Z81" i="2"/>
  <c r="AB83" i="2"/>
  <c r="AA83" i="2"/>
  <c r="Z83" i="2"/>
  <c r="AB85" i="2"/>
  <c r="AA85" i="2"/>
  <c r="Z85" i="2"/>
  <c r="AB87" i="2"/>
  <c r="AA87" i="2"/>
  <c r="Z87" i="2"/>
  <c r="AB89" i="2"/>
  <c r="AA89" i="2"/>
  <c r="Z89" i="2"/>
  <c r="AB91" i="2"/>
  <c r="AA91" i="2"/>
  <c r="Z91" i="2"/>
  <c r="AB93" i="2"/>
  <c r="AA93" i="2"/>
  <c r="Z93" i="2"/>
  <c r="AB95" i="2"/>
  <c r="AA95" i="2"/>
  <c r="Z95" i="2"/>
  <c r="AB97" i="2"/>
  <c r="AA97" i="2"/>
  <c r="Z97" i="2"/>
  <c r="AB99" i="2"/>
  <c r="AA99" i="2"/>
  <c r="Z99" i="2"/>
  <c r="AB101" i="2"/>
  <c r="AA101" i="2"/>
  <c r="Z101" i="2"/>
  <c r="AB103" i="2"/>
  <c r="AA103" i="2"/>
  <c r="Z103" i="2"/>
  <c r="AB105" i="2"/>
  <c r="AA105" i="2"/>
  <c r="Z105" i="2"/>
  <c r="AB107" i="2"/>
  <c r="AA107" i="2"/>
  <c r="Z107" i="2"/>
  <c r="AB109" i="2"/>
  <c r="AA109" i="2"/>
  <c r="Z109" i="2"/>
  <c r="AB111" i="2"/>
  <c r="AA111" i="2"/>
  <c r="Z111" i="2"/>
  <c r="AB113" i="2"/>
  <c r="AA113" i="2"/>
  <c r="Z113" i="2"/>
  <c r="AB115" i="2"/>
  <c r="AA115" i="2"/>
  <c r="Z115" i="2"/>
  <c r="AB117" i="2"/>
  <c r="AA117" i="2"/>
  <c r="Z117" i="2"/>
  <c r="AB119" i="2"/>
  <c r="AA119" i="2"/>
  <c r="Z119" i="2"/>
  <c r="Z121" i="2"/>
  <c r="Z123" i="2"/>
  <c r="Z125" i="2"/>
  <c r="Z127" i="2"/>
  <c r="Z129" i="2"/>
  <c r="Z131" i="2"/>
  <c r="Z133" i="2"/>
  <c r="Z135" i="2"/>
  <c r="Z137" i="2"/>
  <c r="Z139" i="2"/>
  <c r="Z141" i="2"/>
  <c r="Z143" i="2"/>
  <c r="Z145" i="2"/>
  <c r="Z147" i="2"/>
  <c r="Z149" i="2"/>
  <c r="Z151" i="2"/>
  <c r="Z153" i="2"/>
  <c r="Z155" i="2"/>
  <c r="Z157" i="2"/>
  <c r="Z159" i="2"/>
  <c r="Z161" i="2"/>
  <c r="Z163" i="2"/>
  <c r="Z165" i="2"/>
  <c r="Z167" i="2"/>
  <c r="Z169" i="2"/>
  <c r="Z171" i="2"/>
  <c r="Z173" i="2"/>
  <c r="Z175" i="2"/>
  <c r="Z177" i="2"/>
  <c r="Z179" i="2"/>
  <c r="Z181" i="2"/>
  <c r="Z183" i="2"/>
  <c r="Z185" i="2"/>
  <c r="Z187" i="2"/>
  <c r="Z189" i="2"/>
  <c r="Z191" i="2"/>
  <c r="Z193" i="2"/>
  <c r="Z195" i="2"/>
  <c r="Z197" i="2"/>
  <c r="Z199" i="2"/>
  <c r="Z201" i="2"/>
  <c r="Z203" i="2"/>
  <c r="Z205" i="2"/>
  <c r="Z207" i="2"/>
  <c r="Z209" i="2"/>
  <c r="Z211" i="2"/>
  <c r="Z213" i="2"/>
  <c r="Z215" i="2"/>
  <c r="Z217" i="2"/>
  <c r="Z219" i="2"/>
  <c r="Z221" i="2"/>
  <c r="Z223" i="2"/>
  <c r="Z225" i="2"/>
  <c r="Z227" i="2"/>
  <c r="Z229" i="2"/>
  <c r="Z231" i="2"/>
  <c r="Z233" i="2"/>
  <c r="Z235" i="2"/>
  <c r="Z237" i="2"/>
  <c r="Z239" i="2"/>
  <c r="Z241" i="2"/>
  <c r="Z243" i="2"/>
  <c r="Z245" i="2"/>
  <c r="Z247" i="2"/>
  <c r="Z249" i="2"/>
  <c r="Z251" i="2"/>
  <c r="Z253" i="2"/>
  <c r="Z255" i="2"/>
  <c r="Z257" i="2"/>
  <c r="Z259" i="2"/>
  <c r="Z261" i="2"/>
  <c r="Z263" i="2"/>
  <c r="Z265" i="2"/>
  <c r="Z267" i="2"/>
  <c r="Z269" i="2"/>
  <c r="Z271" i="2"/>
  <c r="Z273" i="2"/>
  <c r="Z275" i="2"/>
  <c r="Z277" i="2"/>
  <c r="Z279" i="2"/>
  <c r="Z281" i="2"/>
  <c r="Z283" i="2"/>
  <c r="Z285" i="2"/>
  <c r="Z287" i="2"/>
  <c r="Z289" i="2"/>
  <c r="Z291" i="2"/>
  <c r="Z293" i="2"/>
  <c r="Z295" i="2"/>
  <c r="Z297" i="2"/>
  <c r="Z299" i="2"/>
  <c r="Z301" i="2"/>
  <c r="Z303" i="2"/>
  <c r="Z305" i="2"/>
  <c r="Z307" i="2"/>
  <c r="Z309" i="2"/>
  <c r="Z311" i="2"/>
  <c r="Z313" i="2"/>
  <c r="Z315" i="2"/>
  <c r="Z317" i="2"/>
  <c r="Z319" i="2"/>
  <c r="Z321" i="2"/>
  <c r="Z323" i="2"/>
  <c r="Z325" i="2"/>
  <c r="Z327" i="2"/>
  <c r="Z329" i="2"/>
  <c r="Z331" i="2"/>
  <c r="Z333" i="2"/>
  <c r="Z335" i="2"/>
  <c r="Z337" i="2"/>
  <c r="Z339" i="2"/>
  <c r="Z341" i="2"/>
  <c r="Z343" i="2"/>
  <c r="Z345" i="2"/>
  <c r="Z347" i="2"/>
  <c r="Z349" i="2"/>
  <c r="Z351" i="2"/>
  <c r="Z353" i="2"/>
  <c r="Z355" i="2"/>
  <c r="Z357" i="2"/>
  <c r="Z359" i="2"/>
  <c r="Z361" i="2"/>
  <c r="Z363" i="2"/>
  <c r="Z365" i="2"/>
  <c r="Z367" i="2"/>
  <c r="Z369" i="2"/>
  <c r="Z371" i="2"/>
  <c r="Z373" i="2"/>
  <c r="Z375" i="2"/>
  <c r="Z377" i="2"/>
  <c r="Z379" i="2"/>
  <c r="Z381" i="2"/>
  <c r="Z383" i="2"/>
  <c r="Z385" i="2"/>
  <c r="Z387" i="2"/>
  <c r="Z389" i="2"/>
  <c r="Z391" i="2"/>
  <c r="Z393" i="2"/>
  <c r="Z395" i="2"/>
  <c r="Z397" i="2"/>
  <c r="Z399" i="2"/>
  <c r="Z401" i="2"/>
  <c r="Z403" i="2"/>
  <c r="Z405" i="2"/>
  <c r="Z407" i="2"/>
  <c r="Z409" i="2"/>
  <c r="Z411" i="2"/>
  <c r="Z413" i="2"/>
  <c r="Z415" i="2"/>
  <c r="Z417" i="2"/>
  <c r="Z419" i="2"/>
  <c r="Z421" i="2"/>
  <c r="Z423" i="2"/>
  <c r="Z425" i="2"/>
  <c r="Z427" i="2"/>
  <c r="Z429" i="2"/>
  <c r="Z431" i="2"/>
  <c r="Z433" i="2"/>
  <c r="Z435" i="2"/>
  <c r="Z437" i="2"/>
  <c r="Z439" i="2"/>
  <c r="Z441" i="2"/>
  <c r="Z443" i="2"/>
  <c r="Z445" i="2"/>
  <c r="Z447" i="2"/>
  <c r="Z449" i="2"/>
  <c r="Z451" i="2"/>
  <c r="Z453" i="2"/>
  <c r="Z455" i="2"/>
  <c r="Z457" i="2"/>
  <c r="Z459" i="2"/>
  <c r="Z461" i="2"/>
  <c r="Z463" i="2"/>
  <c r="Z465" i="2"/>
  <c r="Z467" i="2"/>
  <c r="Z469" i="2"/>
  <c r="Z471" i="2"/>
  <c r="Z473" i="2"/>
  <c r="Z475" i="2"/>
  <c r="Z477" i="2"/>
  <c r="Z479" i="2"/>
  <c r="Z481" i="2"/>
  <c r="Z483" i="2"/>
  <c r="Z485" i="2"/>
  <c r="Z487" i="2"/>
  <c r="Z489" i="2"/>
  <c r="Z491" i="2"/>
  <c r="Z493" i="2"/>
  <c r="Z495" i="2"/>
  <c r="Z497" i="2"/>
  <c r="Z499" i="2"/>
  <c r="Z501" i="2"/>
  <c r="Z503" i="2"/>
  <c r="Z505" i="2"/>
  <c r="Z507" i="2"/>
  <c r="Z509" i="2"/>
  <c r="Z511" i="2"/>
  <c r="Z513" i="2"/>
  <c r="Z515" i="2"/>
  <c r="Z517" i="2"/>
  <c r="Z519" i="2"/>
  <c r="Z521" i="2"/>
  <c r="Z523" i="2"/>
  <c r="Z525" i="2"/>
  <c r="Z527" i="2"/>
  <c r="Z529" i="2"/>
  <c r="Z531" i="2"/>
  <c r="Z533" i="2"/>
  <c r="Z535" i="2"/>
  <c r="Z537" i="2"/>
  <c r="Z539" i="2"/>
  <c r="Z541" i="2"/>
  <c r="Z543" i="2"/>
  <c r="Z545" i="2"/>
  <c r="Z547" i="2"/>
  <c r="Z549" i="2"/>
  <c r="Z551" i="2"/>
  <c r="Z553" i="2"/>
  <c r="Z555" i="2"/>
  <c r="Z557" i="2"/>
  <c r="Z559" i="2"/>
  <c r="Z561" i="2"/>
  <c r="Z563" i="2"/>
  <c r="Z565" i="2"/>
  <c r="Z567" i="2"/>
  <c r="Z569" i="2"/>
  <c r="Z571" i="2"/>
  <c r="Z573" i="2"/>
  <c r="Z575" i="2"/>
  <c r="Z577" i="2"/>
  <c r="Z579" i="2"/>
  <c r="Z581" i="2"/>
  <c r="Z583" i="2"/>
  <c r="Z585" i="2"/>
  <c r="Z587" i="2"/>
  <c r="Z589" i="2"/>
  <c r="Z591" i="2"/>
  <c r="Z593" i="2"/>
  <c r="Z595" i="2"/>
  <c r="Z597" i="2"/>
  <c r="Z599" i="2"/>
  <c r="Z601" i="2"/>
  <c r="Z603" i="2"/>
  <c r="Z605" i="2"/>
  <c r="Z607" i="2"/>
  <c r="Z609" i="2"/>
  <c r="Z611" i="2"/>
  <c r="Z613" i="2"/>
  <c r="Z615" i="2"/>
  <c r="Z617" i="2"/>
  <c r="Z619" i="2"/>
  <c r="Z621" i="2"/>
  <c r="Z623" i="2"/>
  <c r="Z625" i="2"/>
  <c r="Z627" i="2"/>
  <c r="Z629" i="2"/>
  <c r="Z631" i="2"/>
  <c r="Z633" i="2"/>
  <c r="Z635" i="2"/>
  <c r="Z637" i="2"/>
  <c r="Z639" i="2"/>
  <c r="Z641" i="2"/>
  <c r="Z643" i="2"/>
  <c r="Z645" i="2"/>
  <c r="Z647" i="2"/>
  <c r="Z649" i="2"/>
  <c r="Z651" i="2"/>
  <c r="Z653" i="2"/>
  <c r="Z655" i="2"/>
  <c r="Z657" i="2"/>
  <c r="Z659" i="2"/>
  <c r="Z661" i="2"/>
  <c r="Z663" i="2"/>
  <c r="Z665" i="2"/>
  <c r="Z667" i="2"/>
  <c r="Z669" i="2"/>
  <c r="Z671" i="2"/>
  <c r="Z673" i="2"/>
  <c r="Z675" i="2"/>
  <c r="Z677" i="2"/>
  <c r="Z679" i="2"/>
  <c r="Z681" i="2"/>
  <c r="Z683" i="2"/>
  <c r="Z685" i="2"/>
  <c r="Z687" i="2"/>
  <c r="Z689" i="2"/>
  <c r="Z691" i="2"/>
  <c r="Z693" i="2"/>
  <c r="Z695" i="2"/>
  <c r="Z697" i="2"/>
  <c r="Z699" i="2"/>
  <c r="Z701" i="2"/>
  <c r="Z703" i="2"/>
  <c r="Z705" i="2"/>
  <c r="Z707" i="2"/>
  <c r="Z709" i="2"/>
  <c r="Z711" i="2"/>
  <c r="Z713" i="2"/>
  <c r="Z716" i="2"/>
  <c r="Z720" i="2"/>
  <c r="Z724" i="2"/>
  <c r="Z728" i="2"/>
  <c r="Z732" i="2"/>
  <c r="Z736" i="2"/>
  <c r="Z740" i="2"/>
  <c r="Z744" i="2"/>
  <c r="Z748" i="2"/>
  <c r="Z752" i="2"/>
  <c r="Z756" i="2"/>
  <c r="Z760" i="2"/>
  <c r="Z764" i="2"/>
  <c r="Z768" i="2"/>
  <c r="Z772" i="2"/>
  <c r="Z776" i="2"/>
  <c r="Z780" i="2"/>
  <c r="Z784" i="2"/>
  <c r="Z788" i="2"/>
  <c r="Z792" i="2"/>
  <c r="Z796" i="2"/>
  <c r="Z800" i="2"/>
  <c r="Z804" i="2"/>
  <c r="Z808" i="2"/>
  <c r="Z812" i="2"/>
  <c r="Z816" i="2"/>
  <c r="Z820" i="2"/>
  <c r="Z824" i="2"/>
  <c r="H8" i="6"/>
  <c r="K8" i="3"/>
  <c r="A200" i="6"/>
  <c r="A201" i="10" s="1"/>
  <c r="J200" i="3"/>
  <c r="AA121" i="2"/>
  <c r="AA123" i="2"/>
  <c r="AA125" i="2"/>
  <c r="AA127" i="2"/>
  <c r="AA129" i="2"/>
  <c r="AA131" i="2"/>
  <c r="AA133" i="2"/>
  <c r="AA135" i="2"/>
  <c r="AA137" i="2"/>
  <c r="AA139" i="2"/>
  <c r="AA141" i="2"/>
  <c r="AA143" i="2"/>
  <c r="AA145" i="2"/>
  <c r="AA147" i="2"/>
  <c r="AA149" i="2"/>
  <c r="AA151" i="2"/>
  <c r="AA153" i="2"/>
  <c r="AA155" i="2"/>
  <c r="AA157" i="2"/>
  <c r="AA159" i="2"/>
  <c r="AA161" i="2"/>
  <c r="AA163" i="2"/>
  <c r="AA165" i="2"/>
  <c r="AA167" i="2"/>
  <c r="AA169" i="2"/>
  <c r="AA171" i="2"/>
  <c r="AA173" i="2"/>
  <c r="AA175" i="2"/>
  <c r="AA177" i="2"/>
  <c r="AA179" i="2"/>
  <c r="AA181" i="2"/>
  <c r="AA183" i="2"/>
  <c r="AA185" i="2"/>
  <c r="AA187" i="2"/>
  <c r="AA189" i="2"/>
  <c r="AA191" i="2"/>
  <c r="AA193" i="2"/>
  <c r="AA195" i="2"/>
  <c r="AA197" i="2"/>
  <c r="AA199" i="2"/>
  <c r="AA201" i="2"/>
  <c r="AA203" i="2"/>
  <c r="AA205" i="2"/>
  <c r="AA207" i="2"/>
  <c r="AA209" i="2"/>
  <c r="AA211" i="2"/>
  <c r="AA213" i="2"/>
  <c r="AA215" i="2"/>
  <c r="AA217" i="2"/>
  <c r="AA219" i="2"/>
  <c r="AA221" i="2"/>
  <c r="AA223" i="2"/>
  <c r="AA225" i="2"/>
  <c r="AA227" i="2"/>
  <c r="AA229" i="2"/>
  <c r="AA231" i="2"/>
  <c r="AA233" i="2"/>
  <c r="AA235" i="2"/>
  <c r="AA237" i="2"/>
  <c r="AA239" i="2"/>
  <c r="AA241" i="2"/>
  <c r="AA243" i="2"/>
  <c r="AA245" i="2"/>
  <c r="AA247" i="2"/>
  <c r="AA249" i="2"/>
  <c r="AA251" i="2"/>
  <c r="AA253" i="2"/>
  <c r="AA255" i="2"/>
  <c r="AA257" i="2"/>
  <c r="AA259" i="2"/>
  <c r="AA261" i="2"/>
  <c r="AA263" i="2"/>
  <c r="AA265" i="2"/>
  <c r="AA267" i="2"/>
  <c r="AA269" i="2"/>
  <c r="AA271" i="2"/>
  <c r="AA273" i="2"/>
  <c r="AA275" i="2"/>
  <c r="AA277" i="2"/>
  <c r="AA279" i="2"/>
  <c r="AA281" i="2"/>
  <c r="AA283" i="2"/>
  <c r="AA285" i="2"/>
  <c r="AA287" i="2"/>
  <c r="AA289" i="2"/>
  <c r="AA291" i="2"/>
  <c r="AA293" i="2"/>
  <c r="AA295" i="2"/>
  <c r="AA297" i="2"/>
  <c r="AA299" i="2"/>
  <c r="AA301" i="2"/>
  <c r="AA303" i="2"/>
  <c r="AA305" i="2"/>
  <c r="AA307" i="2"/>
  <c r="AA309" i="2"/>
  <c r="AA311" i="2"/>
  <c r="AA313" i="2"/>
  <c r="AA315" i="2"/>
  <c r="AA317" i="2"/>
  <c r="AA319" i="2"/>
  <c r="AA321" i="2"/>
  <c r="AA323" i="2"/>
  <c r="AA325" i="2"/>
  <c r="AA327" i="2"/>
  <c r="AA329" i="2"/>
  <c r="AA331" i="2"/>
  <c r="AA333" i="2"/>
  <c r="AA335" i="2"/>
  <c r="AA337" i="2"/>
  <c r="AA339" i="2"/>
  <c r="AA341" i="2"/>
  <c r="AA343" i="2"/>
  <c r="AA345" i="2"/>
  <c r="AA347" i="2"/>
  <c r="AA349" i="2"/>
  <c r="AA351" i="2"/>
  <c r="AA353" i="2"/>
  <c r="AA355" i="2"/>
  <c r="AA357" i="2"/>
  <c r="AA359" i="2"/>
  <c r="AA361" i="2"/>
  <c r="AA363" i="2"/>
  <c r="AA365" i="2"/>
  <c r="AA367" i="2"/>
  <c r="AA369" i="2"/>
  <c r="AA371" i="2"/>
  <c r="AA373" i="2"/>
  <c r="AA375" i="2"/>
  <c r="AA377" i="2"/>
  <c r="AA379" i="2"/>
  <c r="AA381" i="2"/>
  <c r="AA383" i="2"/>
  <c r="AA385" i="2"/>
  <c r="AA387" i="2"/>
  <c r="AA389" i="2"/>
  <c r="AA391" i="2"/>
  <c r="AA393" i="2"/>
  <c r="AA395" i="2"/>
  <c r="AA397" i="2"/>
  <c r="AA399" i="2"/>
  <c r="AA401" i="2"/>
  <c r="AA403" i="2"/>
  <c r="AA405" i="2"/>
  <c r="AA407" i="2"/>
  <c r="AA409" i="2"/>
  <c r="AA411" i="2"/>
  <c r="AA413" i="2"/>
  <c r="AA415" i="2"/>
  <c r="AA417" i="2"/>
  <c r="AA419" i="2"/>
  <c r="AA421" i="2"/>
  <c r="AA423" i="2"/>
  <c r="AA425" i="2"/>
  <c r="AA427" i="2"/>
  <c r="AA429" i="2"/>
  <c r="AA431" i="2"/>
  <c r="AA433" i="2"/>
  <c r="AA435" i="2"/>
  <c r="AA437" i="2"/>
  <c r="AA439" i="2"/>
  <c r="AA441" i="2"/>
  <c r="AA443" i="2"/>
  <c r="AA445" i="2"/>
  <c r="AA447" i="2"/>
  <c r="AA449" i="2"/>
  <c r="AA451" i="2"/>
  <c r="AA453" i="2"/>
  <c r="AA455" i="2"/>
  <c r="AA457" i="2"/>
  <c r="AA459" i="2"/>
  <c r="AA461" i="2"/>
  <c r="AA463" i="2"/>
  <c r="AA465" i="2"/>
  <c r="AA467" i="2"/>
  <c r="AA469" i="2"/>
  <c r="AA471" i="2"/>
  <c r="AA473" i="2"/>
  <c r="AA475" i="2"/>
  <c r="AA477" i="2"/>
  <c r="AA479" i="2"/>
  <c r="AA481" i="2"/>
  <c r="AA483" i="2"/>
  <c r="AA485" i="2"/>
  <c r="AA487" i="2"/>
  <c r="AA489" i="2"/>
  <c r="AA491" i="2"/>
  <c r="AA493" i="2"/>
  <c r="AA495" i="2"/>
  <c r="AA497" i="2"/>
  <c r="AA499" i="2"/>
  <c r="AA501" i="2"/>
  <c r="AA503" i="2"/>
  <c r="AA505" i="2"/>
  <c r="AA507" i="2"/>
  <c r="AA509" i="2"/>
  <c r="AA511" i="2"/>
  <c r="AA513" i="2"/>
  <c r="AA515" i="2"/>
  <c r="AA517" i="2"/>
  <c r="AA519" i="2"/>
  <c r="AA521" i="2"/>
  <c r="AA523" i="2"/>
  <c r="AA525" i="2"/>
  <c r="AA527" i="2"/>
  <c r="AA529" i="2"/>
  <c r="AA531" i="2"/>
  <c r="AA533" i="2"/>
  <c r="AA535" i="2"/>
  <c r="AA537" i="2"/>
  <c r="AA539" i="2"/>
  <c r="AA541" i="2"/>
  <c r="AA543" i="2"/>
  <c r="AA545" i="2"/>
  <c r="AA547" i="2"/>
  <c r="AA549" i="2"/>
  <c r="AA551" i="2"/>
  <c r="AA553" i="2"/>
  <c r="AA555" i="2"/>
  <c r="AA557" i="2"/>
  <c r="AA559" i="2"/>
  <c r="AA561" i="2"/>
  <c r="AA563" i="2"/>
  <c r="AA565" i="2"/>
  <c r="AA567" i="2"/>
  <c r="AA569" i="2"/>
  <c r="AA571" i="2"/>
  <c r="AA573" i="2"/>
  <c r="AA575" i="2"/>
  <c r="AA577" i="2"/>
  <c r="AA579" i="2"/>
  <c r="AA581" i="2"/>
  <c r="AA583" i="2"/>
  <c r="AA585" i="2"/>
  <c r="AA587" i="2"/>
  <c r="AA589" i="2"/>
  <c r="AA591" i="2"/>
  <c r="AA593" i="2"/>
  <c r="AA595" i="2"/>
  <c r="AA597" i="2"/>
  <c r="AA599" i="2"/>
  <c r="AA601" i="2"/>
  <c r="AA603" i="2"/>
  <c r="AA605" i="2"/>
  <c r="AA607" i="2"/>
  <c r="AA609" i="2"/>
  <c r="AA611" i="2"/>
  <c r="AA613" i="2"/>
  <c r="AA615" i="2"/>
  <c r="AA617" i="2"/>
  <c r="AA619" i="2"/>
  <c r="AA621" i="2"/>
  <c r="AA623" i="2"/>
  <c r="AA625" i="2"/>
  <c r="AA627" i="2"/>
  <c r="AA629" i="2"/>
  <c r="AA631" i="2"/>
  <c r="AA633" i="2"/>
  <c r="AA635" i="2"/>
  <c r="AA637" i="2"/>
  <c r="AA639" i="2"/>
  <c r="AA641" i="2"/>
  <c r="AA643" i="2"/>
  <c r="AA645" i="2"/>
  <c r="AA647" i="2"/>
  <c r="AA649" i="2"/>
  <c r="AA651" i="2"/>
  <c r="AA653" i="2"/>
  <c r="AA655" i="2"/>
  <c r="AA657" i="2"/>
  <c r="AA659" i="2"/>
  <c r="AA661" i="2"/>
  <c r="AA663" i="2"/>
  <c r="AA665" i="2"/>
  <c r="AA667" i="2"/>
  <c r="AA669" i="2"/>
  <c r="AA671" i="2"/>
  <c r="AA673" i="2"/>
  <c r="AA675" i="2"/>
  <c r="AA677" i="2"/>
  <c r="AA679" i="2"/>
  <c r="AA681" i="2"/>
  <c r="AA683" i="2"/>
  <c r="AA685" i="2"/>
  <c r="AA687" i="2"/>
  <c r="AA689" i="2"/>
  <c r="AA691" i="2"/>
  <c r="AA693" i="2"/>
  <c r="AA695" i="2"/>
  <c r="AA697" i="2"/>
  <c r="AA699" i="2"/>
  <c r="AA701" i="2"/>
  <c r="AA703" i="2"/>
  <c r="AA705" i="2"/>
  <c r="AA707" i="2"/>
  <c r="AA709" i="2"/>
  <c r="AA711" i="2"/>
  <c r="AA713" i="2"/>
  <c r="AA716" i="2"/>
  <c r="AA720" i="2"/>
  <c r="AA724" i="2"/>
  <c r="AA728" i="2"/>
  <c r="AA732" i="2"/>
  <c r="AA736" i="2"/>
  <c r="AA740" i="2"/>
  <c r="AA744" i="2"/>
  <c r="AA748" i="2"/>
  <c r="AA752" i="2"/>
  <c r="AA756" i="2"/>
  <c r="AA760" i="2"/>
  <c r="AA764" i="2"/>
  <c r="AA768" i="2"/>
  <c r="AA772" i="2"/>
  <c r="AA776" i="2"/>
  <c r="AA780" i="2"/>
  <c r="AA784" i="2"/>
  <c r="AA788" i="2"/>
  <c r="AA792" i="2"/>
  <c r="AA796" i="2"/>
  <c r="AA800" i="2"/>
  <c r="AA804" i="2"/>
  <c r="AA808" i="2"/>
  <c r="AA812" i="2"/>
  <c r="AA816" i="2"/>
  <c r="AA820" i="2"/>
  <c r="AA824" i="2"/>
  <c r="H7" i="6"/>
  <c r="K7" i="3"/>
  <c r="Z714" i="2"/>
  <c r="Z718" i="2"/>
  <c r="Z722" i="2"/>
  <c r="Z726" i="2"/>
  <c r="Z730" i="2"/>
  <c r="Z734" i="2"/>
  <c r="Z738" i="2"/>
  <c r="Z742" i="2"/>
  <c r="Z746" i="2"/>
  <c r="Z750" i="2"/>
  <c r="Z754" i="2"/>
  <c r="Z758" i="2"/>
  <c r="Z762" i="2"/>
  <c r="Z766" i="2"/>
  <c r="Z770" i="2"/>
  <c r="Z774" i="2"/>
  <c r="Z778" i="2"/>
  <c r="Z782" i="2"/>
  <c r="Z786" i="2"/>
  <c r="Z790" i="2"/>
  <c r="Z794" i="2"/>
  <c r="Z798" i="2"/>
  <c r="Z802" i="2"/>
  <c r="Z806" i="2"/>
  <c r="Z810" i="2"/>
  <c r="Z814" i="2"/>
  <c r="Z818" i="2"/>
  <c r="Z822" i="2"/>
  <c r="Z826" i="2"/>
  <c r="H6" i="6"/>
  <c r="K6" i="3"/>
  <c r="AB828" i="2"/>
  <c r="AB830" i="2"/>
  <c r="AB832" i="2"/>
  <c r="AB834" i="2"/>
  <c r="AB836" i="2"/>
  <c r="AB838" i="2"/>
  <c r="AB840" i="2"/>
  <c r="AB842" i="2"/>
  <c r="AB844" i="2"/>
  <c r="AB846" i="2"/>
  <c r="AB848" i="2"/>
  <c r="AB850" i="2"/>
  <c r="AB852" i="2"/>
  <c r="AB854" i="2"/>
  <c r="AB856" i="2"/>
  <c r="AB858" i="2"/>
  <c r="AB860" i="2"/>
  <c r="AB862" i="2"/>
  <c r="AB864" i="2"/>
  <c r="AB866" i="2"/>
  <c r="AB868" i="2"/>
  <c r="AB870" i="2"/>
  <c r="AB872" i="2"/>
  <c r="AB874" i="2"/>
  <c r="AB876" i="2"/>
  <c r="AB878" i="2"/>
  <c r="AB880" i="2"/>
  <c r="AB882" i="2"/>
  <c r="AB884" i="2"/>
  <c r="AB886" i="2"/>
  <c r="AB888" i="2"/>
  <c r="AB890" i="2"/>
  <c r="AB892" i="2"/>
  <c r="AB894" i="2"/>
  <c r="AB896" i="2"/>
  <c r="AB898" i="2"/>
  <c r="AB900" i="2"/>
  <c r="AB902" i="2"/>
  <c r="AB904" i="2"/>
  <c r="AB906" i="2"/>
  <c r="AB908" i="2"/>
  <c r="AB910" i="2"/>
  <c r="AB912" i="2"/>
  <c r="AB914" i="2"/>
  <c r="AB916" i="2"/>
  <c r="AB918" i="2"/>
  <c r="AB920" i="2"/>
  <c r="AB922" i="2"/>
  <c r="AB924" i="2"/>
  <c r="AB926" i="2"/>
  <c r="AB928" i="2"/>
  <c r="AB930" i="2"/>
  <c r="AB932" i="2"/>
  <c r="AB934" i="2"/>
  <c r="AB936" i="2"/>
  <c r="AB938" i="2"/>
  <c r="AB940" i="2"/>
  <c r="AB942" i="2"/>
  <c r="AB944" i="2"/>
  <c r="AB946" i="2"/>
  <c r="AB948" i="2"/>
  <c r="AB950" i="2"/>
  <c r="AB952" i="2"/>
  <c r="AB954" i="2"/>
  <c r="AB956" i="2"/>
  <c r="AB958" i="2"/>
  <c r="Z962" i="2"/>
  <c r="Z966" i="2"/>
  <c r="Z970" i="2"/>
  <c r="Z974" i="2"/>
  <c r="Z978" i="2"/>
  <c r="Z982" i="2"/>
  <c r="Z986" i="2"/>
  <c r="Z990" i="2"/>
  <c r="AB994" i="2"/>
  <c r="AA994" i="2"/>
  <c r="Z994" i="2"/>
  <c r="AB996" i="2"/>
  <c r="AA996" i="2"/>
  <c r="Z996" i="2"/>
  <c r="AB998" i="2"/>
  <c r="AA998" i="2"/>
  <c r="Z998" i="2"/>
  <c r="AB1000" i="2"/>
  <c r="AA1000" i="2"/>
  <c r="Z1000" i="2"/>
  <c r="AB1002" i="2"/>
  <c r="AA1002" i="2"/>
  <c r="Z1002" i="2"/>
  <c r="AB1004" i="2"/>
  <c r="AA1004" i="2"/>
  <c r="Z1004" i="2"/>
  <c r="AB1006" i="2"/>
  <c r="AA1006" i="2"/>
  <c r="Z1006" i="2"/>
  <c r="AB1008" i="2"/>
  <c r="AA1008" i="2"/>
  <c r="Z1008" i="2"/>
  <c r="AB1010" i="2"/>
  <c r="AA1010" i="2"/>
  <c r="Z1010" i="2"/>
  <c r="AB1012" i="2"/>
  <c r="AA1012" i="2"/>
  <c r="Z1012" i="2"/>
  <c r="AB1014" i="2"/>
  <c r="AA1014" i="2"/>
  <c r="Z1014" i="2"/>
  <c r="AB1016" i="2"/>
  <c r="AA1016" i="2"/>
  <c r="Z1016" i="2"/>
  <c r="AB1018" i="2"/>
  <c r="AA1018" i="2"/>
  <c r="Z1018" i="2"/>
  <c r="AB1020" i="2"/>
  <c r="AA1020" i="2"/>
  <c r="Z1020" i="2"/>
  <c r="AB1022" i="2"/>
  <c r="AA1022" i="2"/>
  <c r="Z1022" i="2"/>
  <c r="AB1024" i="2"/>
  <c r="AA1024" i="2"/>
  <c r="Z1024" i="2"/>
  <c r="AB1026" i="2"/>
  <c r="AA1026" i="2"/>
  <c r="Z1026" i="2"/>
  <c r="AB1028" i="2"/>
  <c r="AA1028" i="2"/>
  <c r="Z1028" i="2"/>
  <c r="AB1030" i="2"/>
  <c r="AA1030" i="2"/>
  <c r="Z1030" i="2"/>
  <c r="AB1032" i="2"/>
  <c r="AA1032" i="2"/>
  <c r="Z1032" i="2"/>
  <c r="AB1034" i="2"/>
  <c r="AA1034" i="2"/>
  <c r="Z1034" i="2"/>
  <c r="AB1036" i="2"/>
  <c r="AA1036" i="2"/>
  <c r="Z1036" i="2"/>
  <c r="AB1038" i="2"/>
  <c r="AA1038" i="2"/>
  <c r="Z1038" i="2"/>
  <c r="AB1040" i="2"/>
  <c r="AA1040" i="2"/>
  <c r="Z1040" i="2"/>
  <c r="AB1042" i="2"/>
  <c r="AA1042" i="2"/>
  <c r="Z1042" i="2"/>
  <c r="AB1044" i="2"/>
  <c r="AA1044" i="2"/>
  <c r="Z1044" i="2"/>
  <c r="AB1046" i="2"/>
  <c r="AA1046" i="2"/>
  <c r="Z1046" i="2"/>
  <c r="AB1048" i="2"/>
  <c r="AA1048" i="2"/>
  <c r="Z1048" i="2"/>
  <c r="AB1050" i="2"/>
  <c r="AA1050" i="2"/>
  <c r="Z1050" i="2"/>
  <c r="AB1052" i="2"/>
  <c r="AA1052" i="2"/>
  <c r="Z1052" i="2"/>
  <c r="AB1054" i="2"/>
  <c r="AA1054" i="2"/>
  <c r="Z1054" i="2"/>
  <c r="AB1056" i="2"/>
  <c r="AA1056" i="2"/>
  <c r="Z1056" i="2"/>
  <c r="AB1058" i="2"/>
  <c r="AA1058" i="2"/>
  <c r="Z1058" i="2"/>
  <c r="AB1060" i="2"/>
  <c r="AA1060" i="2"/>
  <c r="Z1060" i="2"/>
  <c r="AB1062" i="2"/>
  <c r="AA1062" i="2"/>
  <c r="Z1062" i="2"/>
  <c r="AB1064" i="2"/>
  <c r="AA1064" i="2"/>
  <c r="Z1064" i="2"/>
  <c r="AB1066" i="2"/>
  <c r="AA1066" i="2"/>
  <c r="Z1066" i="2"/>
  <c r="AB1068" i="2"/>
  <c r="AA1068" i="2"/>
  <c r="Z1068" i="2"/>
  <c r="AB1070" i="2"/>
  <c r="AA1070" i="2"/>
  <c r="Z1070" i="2"/>
  <c r="AB1072" i="2"/>
  <c r="AA1072" i="2"/>
  <c r="Z1072" i="2"/>
  <c r="AB1074" i="2"/>
  <c r="AA1074" i="2"/>
  <c r="Z1074" i="2"/>
  <c r="AB1076" i="2"/>
  <c r="AA1076" i="2"/>
  <c r="Z1076" i="2"/>
  <c r="AB1078" i="2"/>
  <c r="AA1078" i="2"/>
  <c r="Z1078" i="2"/>
  <c r="AB1080" i="2"/>
  <c r="AA1080" i="2"/>
  <c r="Z1080" i="2"/>
  <c r="AB1082" i="2"/>
  <c r="AA1082" i="2"/>
  <c r="Z1082" i="2"/>
  <c r="AB1084" i="2"/>
  <c r="AA1084" i="2"/>
  <c r="Z1084" i="2"/>
  <c r="AB1086" i="2"/>
  <c r="AA1086" i="2"/>
  <c r="Z1086" i="2"/>
  <c r="AB1088" i="2"/>
  <c r="AA1088" i="2"/>
  <c r="Z1088" i="2"/>
  <c r="AB1090" i="2"/>
  <c r="AA1090" i="2"/>
  <c r="Z1090" i="2"/>
  <c r="AB1092" i="2"/>
  <c r="AA1092" i="2"/>
  <c r="Z1092" i="2"/>
  <c r="AB1094" i="2"/>
  <c r="AA1094" i="2"/>
  <c r="Z1094" i="2"/>
  <c r="AB1096" i="2"/>
  <c r="AA1096" i="2"/>
  <c r="Z1096" i="2"/>
  <c r="AB1098" i="2"/>
  <c r="AA1098" i="2"/>
  <c r="Z1098" i="2"/>
  <c r="AB1100" i="2"/>
  <c r="AA1100" i="2"/>
  <c r="Z1100" i="2"/>
  <c r="AB1102" i="2"/>
  <c r="AA1102" i="2"/>
  <c r="Z1102" i="2"/>
  <c r="AB1104" i="2"/>
  <c r="AA1104" i="2"/>
  <c r="Z1104" i="2"/>
  <c r="AB1106" i="2"/>
  <c r="AA1106" i="2"/>
  <c r="Z1106" i="2"/>
  <c r="AB1108" i="2"/>
  <c r="AA1108" i="2"/>
  <c r="Z1108" i="2"/>
  <c r="AB1110" i="2"/>
  <c r="AA1110" i="2"/>
  <c r="Z1110" i="2"/>
  <c r="AB1112" i="2"/>
  <c r="AA1112" i="2"/>
  <c r="Z1112" i="2"/>
  <c r="AB1114" i="2"/>
  <c r="AA1114" i="2"/>
  <c r="Z1114" i="2"/>
  <c r="AB1116" i="2"/>
  <c r="AA1116" i="2"/>
  <c r="Z1116" i="2"/>
  <c r="AB1118" i="2"/>
  <c r="AA1118" i="2"/>
  <c r="Z1118" i="2"/>
  <c r="AB1120" i="2"/>
  <c r="AA1120" i="2"/>
  <c r="Z1120" i="2"/>
  <c r="AB1122" i="2"/>
  <c r="AA1122" i="2"/>
  <c r="Z1122" i="2"/>
  <c r="AB1124" i="2"/>
  <c r="AA1124" i="2"/>
  <c r="Z1124" i="2"/>
  <c r="AB1126" i="2"/>
  <c r="AA1126" i="2"/>
  <c r="Z1126" i="2"/>
  <c r="AB1128" i="2"/>
  <c r="AA1128" i="2"/>
  <c r="Z1128" i="2"/>
  <c r="AB1130" i="2"/>
  <c r="AA1130" i="2"/>
  <c r="Z1130" i="2"/>
  <c r="AB1132" i="2"/>
  <c r="AA1132" i="2"/>
  <c r="Z1132" i="2"/>
  <c r="AB1134" i="2"/>
  <c r="AA1134" i="2"/>
  <c r="Z1134" i="2"/>
  <c r="AB1136" i="2"/>
  <c r="AA1136" i="2"/>
  <c r="Z1136" i="2"/>
  <c r="AB1138" i="2"/>
  <c r="AA1138" i="2"/>
  <c r="Z1138" i="2"/>
  <c r="AB1140" i="2"/>
  <c r="AA1140" i="2"/>
  <c r="Z1140" i="2"/>
  <c r="AB1142" i="2"/>
  <c r="AA1142" i="2"/>
  <c r="Z1142" i="2"/>
  <c r="AB1144" i="2"/>
  <c r="AA1144" i="2"/>
  <c r="Z1144" i="2"/>
  <c r="AB1146" i="2"/>
  <c r="AA1146" i="2"/>
  <c r="Z1146" i="2"/>
  <c r="AB1148" i="2"/>
  <c r="AA1148" i="2"/>
  <c r="Z1148" i="2"/>
  <c r="AB1150" i="2"/>
  <c r="AA1150" i="2"/>
  <c r="Z1150" i="2"/>
  <c r="AB1152" i="2"/>
  <c r="AA1152" i="2"/>
  <c r="Z1152" i="2"/>
  <c r="AB1154" i="2"/>
  <c r="AA1154" i="2"/>
  <c r="Z1154" i="2"/>
  <c r="AB1156" i="2"/>
  <c r="AA1156" i="2"/>
  <c r="Z1156" i="2"/>
  <c r="AB1158" i="2"/>
  <c r="AA1158" i="2"/>
  <c r="Z1158" i="2"/>
  <c r="AB1160" i="2"/>
  <c r="AA1160" i="2"/>
  <c r="Z1160" i="2"/>
  <c r="AB1162" i="2"/>
  <c r="AA1162" i="2"/>
  <c r="Z1162" i="2"/>
  <c r="AB1164" i="2"/>
  <c r="AA1164" i="2"/>
  <c r="Z1164" i="2"/>
  <c r="AB1166" i="2"/>
  <c r="AA1166" i="2"/>
  <c r="Z1166" i="2"/>
  <c r="AB1168" i="2"/>
  <c r="AA1168" i="2"/>
  <c r="Z1168" i="2"/>
  <c r="AB1170" i="2"/>
  <c r="AA1170" i="2"/>
  <c r="Z1170" i="2"/>
  <c r="AB1172" i="2"/>
  <c r="AA1172" i="2"/>
  <c r="Z1172" i="2"/>
  <c r="AB1174" i="2"/>
  <c r="AA1174" i="2"/>
  <c r="Z1174" i="2"/>
  <c r="AB1176" i="2"/>
  <c r="AA1176" i="2"/>
  <c r="Z1176" i="2"/>
  <c r="AB1178" i="2"/>
  <c r="AA1178" i="2"/>
  <c r="Z1178" i="2"/>
  <c r="AB1180" i="2"/>
  <c r="AA1180" i="2"/>
  <c r="Z1180" i="2"/>
  <c r="AB1182" i="2"/>
  <c r="AA1182" i="2"/>
  <c r="Z1182" i="2"/>
  <c r="AB1184" i="2"/>
  <c r="AA1184" i="2"/>
  <c r="Z1184" i="2"/>
  <c r="AB1186" i="2"/>
  <c r="AA1186" i="2"/>
  <c r="Z1186" i="2"/>
  <c r="AB1188" i="2"/>
  <c r="AA1188" i="2"/>
  <c r="Z1188" i="2"/>
  <c r="AB1190" i="2"/>
  <c r="AA1190" i="2"/>
  <c r="Z1190" i="2"/>
  <c r="AB1192" i="2"/>
  <c r="AA1192" i="2"/>
  <c r="Z1192" i="2"/>
  <c r="AB1194" i="2"/>
  <c r="AA1194" i="2"/>
  <c r="Z1194" i="2"/>
  <c r="AB1196" i="2"/>
  <c r="AA1196" i="2"/>
  <c r="Z1196" i="2"/>
  <c r="AB1198" i="2"/>
  <c r="AA1198" i="2"/>
  <c r="Z1198" i="2"/>
  <c r="AB1200" i="2"/>
  <c r="AA1200" i="2"/>
  <c r="Z1200" i="2"/>
  <c r="AB1202" i="2"/>
  <c r="AA1202" i="2"/>
  <c r="Z1202" i="2"/>
  <c r="AB1204" i="2"/>
  <c r="AA1204" i="2"/>
  <c r="Z1204" i="2"/>
  <c r="AB1206" i="2"/>
  <c r="AA1206" i="2"/>
  <c r="Z1206" i="2"/>
  <c r="AB1208" i="2"/>
  <c r="AA1208" i="2"/>
  <c r="Z1208" i="2"/>
  <c r="AB1210" i="2"/>
  <c r="AA1210" i="2"/>
  <c r="Z1210" i="2"/>
  <c r="AB1212" i="2"/>
  <c r="AA1212" i="2"/>
  <c r="Z1212" i="2"/>
  <c r="AB1214" i="2"/>
  <c r="AA1214" i="2"/>
  <c r="Z1214" i="2"/>
  <c r="AB1216" i="2"/>
  <c r="AA1216" i="2"/>
  <c r="Z1216" i="2"/>
  <c r="AB1218" i="2"/>
  <c r="AA1218" i="2"/>
  <c r="Z1218" i="2"/>
  <c r="AB1220" i="2"/>
  <c r="AA1220" i="2"/>
  <c r="Z1220" i="2"/>
  <c r="AB1222" i="2"/>
  <c r="AA1222" i="2"/>
  <c r="Z1222" i="2"/>
  <c r="AB1224" i="2"/>
  <c r="AA1224" i="2"/>
  <c r="Z1224" i="2"/>
  <c r="AB1226" i="2"/>
  <c r="AA1226" i="2"/>
  <c r="Z1226" i="2"/>
  <c r="AB1228" i="2"/>
  <c r="AA1228" i="2"/>
  <c r="Z1228" i="2"/>
  <c r="AB1230" i="2"/>
  <c r="AA1230" i="2"/>
  <c r="Z1230" i="2"/>
  <c r="AB1232" i="2"/>
  <c r="AA1232" i="2"/>
  <c r="Z1232" i="2"/>
  <c r="AB1234" i="2"/>
  <c r="AA1234" i="2"/>
  <c r="Z1234" i="2"/>
  <c r="AB1236" i="2"/>
  <c r="AA1236" i="2"/>
  <c r="Z1236" i="2"/>
  <c r="AB1238" i="2"/>
  <c r="AA1238" i="2"/>
  <c r="Z1238" i="2"/>
  <c r="AB1240" i="2"/>
  <c r="AA1240" i="2"/>
  <c r="Z1240" i="2"/>
  <c r="AB1242" i="2"/>
  <c r="AA1242" i="2"/>
  <c r="Z1242" i="2"/>
  <c r="AB1244" i="2"/>
  <c r="AA1244" i="2"/>
  <c r="Z1244" i="2"/>
  <c r="AB1246" i="2"/>
  <c r="AA1246" i="2"/>
  <c r="Z1246" i="2"/>
  <c r="AB1248" i="2"/>
  <c r="AA1248" i="2"/>
  <c r="Z1248" i="2"/>
  <c r="AB1250" i="2"/>
  <c r="AA1250" i="2"/>
  <c r="Z1250" i="2"/>
  <c r="AB1252" i="2"/>
  <c r="AA1252" i="2"/>
  <c r="Z1252" i="2"/>
  <c r="AB1254" i="2"/>
  <c r="AA1254" i="2"/>
  <c r="Z1254" i="2"/>
  <c r="AB1256" i="2"/>
  <c r="AA1256" i="2"/>
  <c r="Z1256" i="2"/>
  <c r="AB1258" i="2"/>
  <c r="AA1258" i="2"/>
  <c r="Z1258" i="2"/>
  <c r="AB1260" i="2"/>
  <c r="AA1260" i="2"/>
  <c r="Z1260" i="2"/>
  <c r="AB1262" i="2"/>
  <c r="AA1262" i="2"/>
  <c r="Z1262" i="2"/>
  <c r="AB1264" i="2"/>
  <c r="AA1264" i="2"/>
  <c r="Z1264" i="2"/>
  <c r="AB1266" i="2"/>
  <c r="AA1266" i="2"/>
  <c r="Z1266" i="2"/>
  <c r="AB1268" i="2"/>
  <c r="AA1268" i="2"/>
  <c r="Z1268" i="2"/>
  <c r="AB1270" i="2"/>
  <c r="AA1270" i="2"/>
  <c r="Z1270" i="2"/>
  <c r="AB1272" i="2"/>
  <c r="AA1272" i="2"/>
  <c r="Z1272" i="2"/>
  <c r="AB1274" i="2"/>
  <c r="AA1274" i="2"/>
  <c r="Z1274" i="2"/>
  <c r="AB1276" i="2"/>
  <c r="AA1276" i="2"/>
  <c r="Z1276" i="2"/>
  <c r="AB1278" i="2"/>
  <c r="AA1278" i="2"/>
  <c r="Z1278" i="2"/>
  <c r="AB1280" i="2"/>
  <c r="AA1280" i="2"/>
  <c r="Z1280" i="2"/>
  <c r="AB1282" i="2"/>
  <c r="AA1282" i="2"/>
  <c r="Z1282" i="2"/>
  <c r="AB1284" i="2"/>
  <c r="AA1284" i="2"/>
  <c r="Z1284" i="2"/>
  <c r="AB1286" i="2"/>
  <c r="AA1286" i="2"/>
  <c r="Z1286" i="2"/>
  <c r="AB1288" i="2"/>
  <c r="AA1288" i="2"/>
  <c r="Z1288" i="2"/>
  <c r="AB1290" i="2"/>
  <c r="AA1290" i="2"/>
  <c r="Z1290" i="2"/>
  <c r="AB1292" i="2"/>
  <c r="AA1292" i="2"/>
  <c r="Z1292" i="2"/>
  <c r="AB1294" i="2"/>
  <c r="AA1294" i="2"/>
  <c r="Z1294" i="2"/>
  <c r="AB1296" i="2"/>
  <c r="AA1296" i="2"/>
  <c r="Z1296" i="2"/>
  <c r="AB1298" i="2"/>
  <c r="AA1298" i="2"/>
  <c r="Z1298" i="2"/>
  <c r="AB1300" i="2"/>
  <c r="AA1300" i="2"/>
  <c r="Z1300" i="2"/>
  <c r="AB1302" i="2"/>
  <c r="AA1302" i="2"/>
  <c r="Z1302" i="2"/>
  <c r="AB1304" i="2"/>
  <c r="AA1304" i="2"/>
  <c r="Z1304" i="2"/>
  <c r="AB1306" i="2"/>
  <c r="AA1306" i="2"/>
  <c r="Z1306" i="2"/>
  <c r="AB1308" i="2"/>
  <c r="AA1308" i="2"/>
  <c r="Z1308" i="2"/>
  <c r="AB1310" i="2"/>
  <c r="AA1310" i="2"/>
  <c r="Z1310" i="2"/>
  <c r="AB1312" i="2"/>
  <c r="AA1312" i="2"/>
  <c r="Z1312" i="2"/>
  <c r="AB1314" i="2"/>
  <c r="AA1314" i="2"/>
  <c r="Z1314" i="2"/>
  <c r="AB1316" i="2"/>
  <c r="AA1316" i="2"/>
  <c r="Z1316" i="2"/>
  <c r="AB1318" i="2"/>
  <c r="AA1318" i="2"/>
  <c r="Z1318" i="2"/>
  <c r="AB1320" i="2"/>
  <c r="AA1320" i="2"/>
  <c r="Z1320" i="2"/>
  <c r="AB1322" i="2"/>
  <c r="AA1322" i="2"/>
  <c r="Z1322" i="2"/>
  <c r="AB1324" i="2"/>
  <c r="AA1324" i="2"/>
  <c r="Z1324" i="2"/>
  <c r="AB1326" i="2"/>
  <c r="AA1326" i="2"/>
  <c r="Z1326" i="2"/>
  <c r="AB1328" i="2"/>
  <c r="AA1328" i="2"/>
  <c r="Z1328" i="2"/>
  <c r="AB1330" i="2"/>
  <c r="AA1330" i="2"/>
  <c r="Z1330" i="2"/>
  <c r="AB1332" i="2"/>
  <c r="AA1332" i="2"/>
  <c r="Z1332" i="2"/>
  <c r="AB1334" i="2"/>
  <c r="AA1334" i="2"/>
  <c r="Z1334" i="2"/>
  <c r="AB1336" i="2"/>
  <c r="AA1336" i="2"/>
  <c r="Z1336" i="2"/>
  <c r="AB1338" i="2"/>
  <c r="AA1338" i="2"/>
  <c r="Z1338" i="2"/>
  <c r="AB1340" i="2"/>
  <c r="AA1340" i="2"/>
  <c r="Z1340" i="2"/>
  <c r="AB1342" i="2"/>
  <c r="AA1342" i="2"/>
  <c r="Z1342" i="2"/>
  <c r="AB1344" i="2"/>
  <c r="AA1344" i="2"/>
  <c r="Z1344" i="2"/>
  <c r="AB1346" i="2"/>
  <c r="AA1346" i="2"/>
  <c r="Z1346" i="2"/>
  <c r="AB1348" i="2"/>
  <c r="AA1348" i="2"/>
  <c r="Z1348" i="2"/>
  <c r="AB1350" i="2"/>
  <c r="AA1350" i="2"/>
  <c r="Z1350" i="2"/>
  <c r="AB1352" i="2"/>
  <c r="AA1352" i="2"/>
  <c r="Z1352" i="2"/>
  <c r="AB1354" i="2"/>
  <c r="AA1354" i="2"/>
  <c r="Z1354" i="2"/>
  <c r="AB1356" i="2"/>
  <c r="AA1356" i="2"/>
  <c r="Z1356" i="2"/>
  <c r="AB1358" i="2"/>
  <c r="AA1358" i="2"/>
  <c r="Z1358" i="2"/>
  <c r="AB1360" i="2"/>
  <c r="AA1360" i="2"/>
  <c r="Z1360" i="2"/>
  <c r="AB1362" i="2"/>
  <c r="AA1362" i="2"/>
  <c r="Z1362" i="2"/>
  <c r="AB1364" i="2"/>
  <c r="AA1364" i="2"/>
  <c r="Z1364" i="2"/>
  <c r="AB1366" i="2"/>
  <c r="AA1366" i="2"/>
  <c r="Z1366" i="2"/>
  <c r="AB1368" i="2"/>
  <c r="AA1368" i="2"/>
  <c r="Z1368" i="2"/>
  <c r="AB1370" i="2"/>
  <c r="AA1370" i="2"/>
  <c r="Z1370" i="2"/>
  <c r="AB1372" i="2"/>
  <c r="AA1372" i="2"/>
  <c r="Z1372" i="2"/>
  <c r="AB1374" i="2"/>
  <c r="AA1374" i="2"/>
  <c r="Z1374" i="2"/>
  <c r="AB1376" i="2"/>
  <c r="AA1376" i="2"/>
  <c r="Z1376" i="2"/>
  <c r="AB1378" i="2"/>
  <c r="AA1378" i="2"/>
  <c r="Z1378" i="2"/>
  <c r="AB1380" i="2"/>
  <c r="AA1380" i="2"/>
  <c r="Z1380" i="2"/>
  <c r="AB1382" i="2"/>
  <c r="AA1382" i="2"/>
  <c r="Z1382" i="2"/>
  <c r="AB1384" i="2"/>
  <c r="AA1384" i="2"/>
  <c r="Z1384" i="2"/>
  <c r="AB1386" i="2"/>
  <c r="AA1386" i="2"/>
  <c r="Z1386" i="2"/>
  <c r="AB1388" i="2"/>
  <c r="AA1388" i="2"/>
  <c r="Z1388" i="2"/>
  <c r="AB1390" i="2"/>
  <c r="AA1390" i="2"/>
  <c r="Z1390" i="2"/>
  <c r="AB1392" i="2"/>
  <c r="AA1392" i="2"/>
  <c r="Z1392" i="2"/>
  <c r="AB1394" i="2"/>
  <c r="AA1394" i="2"/>
  <c r="Z1394" i="2"/>
  <c r="AB1396" i="2"/>
  <c r="AA1396" i="2"/>
  <c r="Z1396" i="2"/>
  <c r="AB1398" i="2"/>
  <c r="AA1398" i="2"/>
  <c r="Z1398" i="2"/>
  <c r="AB1400" i="2"/>
  <c r="AA1400" i="2"/>
  <c r="Z1400" i="2"/>
  <c r="AB1402" i="2"/>
  <c r="AA1402" i="2"/>
  <c r="Z1402" i="2"/>
  <c r="AB1404" i="2"/>
  <c r="AA1404" i="2"/>
  <c r="Z1404" i="2"/>
  <c r="AB1406" i="2"/>
  <c r="AA1406" i="2"/>
  <c r="Z1406" i="2"/>
  <c r="AB1408" i="2"/>
  <c r="AA1408" i="2"/>
  <c r="Z1408" i="2"/>
  <c r="AB1410" i="2"/>
  <c r="AA1410" i="2"/>
  <c r="Z1410" i="2"/>
  <c r="AB1412" i="2"/>
  <c r="AA1412" i="2"/>
  <c r="Z1412" i="2"/>
  <c r="AB1414" i="2"/>
  <c r="AA1414" i="2"/>
  <c r="Z1414" i="2"/>
  <c r="AB1416" i="2"/>
  <c r="AA1416" i="2"/>
  <c r="Z1416" i="2"/>
  <c r="AB1418" i="2"/>
  <c r="AA1418" i="2"/>
  <c r="Z1418" i="2"/>
  <c r="AB1420" i="2"/>
  <c r="AA1420" i="2"/>
  <c r="Z1420" i="2"/>
  <c r="AB1422" i="2"/>
  <c r="AA1422" i="2"/>
  <c r="Z1422" i="2"/>
  <c r="AB1424" i="2"/>
  <c r="AA1424" i="2"/>
  <c r="Z1424" i="2"/>
  <c r="AB1426" i="2"/>
  <c r="AA1426" i="2"/>
  <c r="Z1426" i="2"/>
  <c r="AB1428" i="2"/>
  <c r="AA1428" i="2"/>
  <c r="Z1428" i="2"/>
  <c r="AB1430" i="2"/>
  <c r="AA1430" i="2"/>
  <c r="Z1430" i="2"/>
  <c r="AB1432" i="2"/>
  <c r="AA1432" i="2"/>
  <c r="Z1432" i="2"/>
  <c r="AB1434" i="2"/>
  <c r="AA1434" i="2"/>
  <c r="Z1434" i="2"/>
  <c r="AB1436" i="2"/>
  <c r="AA1436" i="2"/>
  <c r="Z1436" i="2"/>
  <c r="AB1438" i="2"/>
  <c r="AA1438" i="2"/>
  <c r="Z1438" i="2"/>
  <c r="AB1440" i="2"/>
  <c r="AA1440" i="2"/>
  <c r="Z1440" i="2"/>
  <c r="AB1442" i="2"/>
  <c r="AA1442" i="2"/>
  <c r="Z1442" i="2"/>
  <c r="AB1444" i="2"/>
  <c r="AA1444" i="2"/>
  <c r="Z1444" i="2"/>
  <c r="AB1446" i="2"/>
  <c r="AA1446" i="2"/>
  <c r="Z1446" i="2"/>
  <c r="AB1448" i="2"/>
  <c r="AA1448" i="2"/>
  <c r="Z1448" i="2"/>
  <c r="AB1450" i="2"/>
  <c r="AA1450" i="2"/>
  <c r="Z1450" i="2"/>
  <c r="AB1452" i="2"/>
  <c r="AA1452" i="2"/>
  <c r="Z1452" i="2"/>
  <c r="AB1454" i="2"/>
  <c r="AA1454" i="2"/>
  <c r="Z1454" i="2"/>
  <c r="AB1456" i="2"/>
  <c r="AA1456" i="2"/>
  <c r="Z1456" i="2"/>
  <c r="AB1458" i="2"/>
  <c r="AA1458" i="2"/>
  <c r="Z1458" i="2"/>
  <c r="AB1460" i="2"/>
  <c r="AA1460" i="2"/>
  <c r="Z1460" i="2"/>
  <c r="AB1462" i="2"/>
  <c r="AA1462" i="2"/>
  <c r="Z1462" i="2"/>
  <c r="AB1464" i="2"/>
  <c r="AA1464" i="2"/>
  <c r="Z1464" i="2"/>
  <c r="AB1466" i="2"/>
  <c r="AA1466" i="2"/>
  <c r="Z1466" i="2"/>
  <c r="AB1468" i="2"/>
  <c r="AA1468" i="2"/>
  <c r="Z1468" i="2"/>
  <c r="AB1470" i="2"/>
  <c r="AA1470" i="2"/>
  <c r="Z1470" i="2"/>
  <c r="AB1472" i="2"/>
  <c r="AA1472" i="2"/>
  <c r="Z1472" i="2"/>
  <c r="AB1474" i="2"/>
  <c r="AA1474" i="2"/>
  <c r="Z1474" i="2"/>
  <c r="AB1476" i="2"/>
  <c r="AA1476" i="2"/>
  <c r="Z1476" i="2"/>
  <c r="AB1478" i="2"/>
  <c r="AA1478" i="2"/>
  <c r="Z1478" i="2"/>
  <c r="AB1480" i="2"/>
  <c r="AA1480" i="2"/>
  <c r="Z1480" i="2"/>
  <c r="AB1482" i="2"/>
  <c r="AA1482" i="2"/>
  <c r="Z1482" i="2"/>
  <c r="AB1484" i="2"/>
  <c r="AA1484" i="2"/>
  <c r="Z1484" i="2"/>
  <c r="AB1486" i="2"/>
  <c r="AA1486" i="2"/>
  <c r="Z1486" i="2"/>
  <c r="AB1488" i="2"/>
  <c r="AA1488" i="2"/>
  <c r="Z1488" i="2"/>
  <c r="AB1490" i="2"/>
  <c r="AA1490" i="2"/>
  <c r="Z1490" i="2"/>
  <c r="AB1492" i="2"/>
  <c r="AA1492" i="2"/>
  <c r="Z1492" i="2"/>
  <c r="AB1494" i="2"/>
  <c r="AA1494" i="2"/>
  <c r="Z1494" i="2"/>
  <c r="AB1496" i="2"/>
  <c r="AA1496" i="2"/>
  <c r="Z1496" i="2"/>
  <c r="AB1498" i="2"/>
  <c r="AA1498" i="2"/>
  <c r="Z1498" i="2"/>
  <c r="AB1500" i="2"/>
  <c r="AA1500" i="2"/>
  <c r="Z1500" i="2"/>
  <c r="AB1502" i="2"/>
  <c r="AA1502" i="2"/>
  <c r="Z1502" i="2"/>
  <c r="AB1504" i="2"/>
  <c r="AA1504" i="2"/>
  <c r="Z1504" i="2"/>
  <c r="AB1506" i="2"/>
  <c r="AA1506" i="2"/>
  <c r="Z1506" i="2"/>
  <c r="AB1508" i="2"/>
  <c r="AA1508" i="2"/>
  <c r="Z1508" i="2"/>
  <c r="AB1510" i="2"/>
  <c r="AA1510" i="2"/>
  <c r="Z1510" i="2"/>
  <c r="AB1512" i="2"/>
  <c r="AA1512" i="2"/>
  <c r="Z1512" i="2"/>
  <c r="AB1514" i="2"/>
  <c r="AA1514" i="2"/>
  <c r="Z1514" i="2"/>
  <c r="AB1516" i="2"/>
  <c r="AA1516" i="2"/>
  <c r="Z1516" i="2"/>
  <c r="AB1518" i="2"/>
  <c r="AA1518" i="2"/>
  <c r="Z1518" i="2"/>
  <c r="AB1520" i="2"/>
  <c r="AA1520" i="2"/>
  <c r="Z1520" i="2"/>
  <c r="AB1522" i="2"/>
  <c r="AA1522" i="2"/>
  <c r="Z1522" i="2"/>
  <c r="AB1524" i="2"/>
  <c r="AA1524" i="2"/>
  <c r="Z1524" i="2"/>
  <c r="AB1526" i="2"/>
  <c r="AA1526" i="2"/>
  <c r="Z1526" i="2"/>
  <c r="AB1528" i="2"/>
  <c r="AA1528" i="2"/>
  <c r="Z1528" i="2"/>
  <c r="AB1530" i="2"/>
  <c r="AA1530" i="2"/>
  <c r="Z1530" i="2"/>
  <c r="AB1532" i="2"/>
  <c r="AA1532" i="2"/>
  <c r="Z1532" i="2"/>
  <c r="AB1534" i="2"/>
  <c r="AA1534" i="2"/>
  <c r="Z1534" i="2"/>
  <c r="AB1536" i="2"/>
  <c r="AA1536" i="2"/>
  <c r="Z1536" i="2"/>
  <c r="AB1538" i="2"/>
  <c r="AA1538" i="2"/>
  <c r="Z1538" i="2"/>
  <c r="AB1540" i="2"/>
  <c r="AA1540" i="2"/>
  <c r="Z1540" i="2"/>
  <c r="AB1542" i="2"/>
  <c r="AA1542" i="2"/>
  <c r="Z1542" i="2"/>
  <c r="AB1544" i="2"/>
  <c r="AA1544" i="2"/>
  <c r="Z1544" i="2"/>
  <c r="AB1546" i="2"/>
  <c r="AA1546" i="2"/>
  <c r="Z1546" i="2"/>
  <c r="AB1548" i="2"/>
  <c r="AA1548" i="2"/>
  <c r="Z1548" i="2"/>
  <c r="AB1550" i="2"/>
  <c r="AA1550" i="2"/>
  <c r="Z1550" i="2"/>
  <c r="AB1552" i="2"/>
  <c r="AA1552" i="2"/>
  <c r="Z1552" i="2"/>
  <c r="AB1554" i="2"/>
  <c r="AA1554" i="2"/>
  <c r="Z1554" i="2"/>
  <c r="AB1556" i="2"/>
  <c r="AA1556" i="2"/>
  <c r="Z1556" i="2"/>
  <c r="AB1558" i="2"/>
  <c r="AA1558" i="2"/>
  <c r="Z1558" i="2"/>
  <c r="AB1560" i="2"/>
  <c r="AA1560" i="2"/>
  <c r="Z1560" i="2"/>
  <c r="AB1562" i="2"/>
  <c r="AA1562" i="2"/>
  <c r="Z1562" i="2"/>
  <c r="AB1564" i="2"/>
  <c r="AA1564" i="2"/>
  <c r="Z1564" i="2"/>
  <c r="AB1566" i="2"/>
  <c r="AA1566" i="2"/>
  <c r="Z1566" i="2"/>
  <c r="AB1568" i="2"/>
  <c r="AA1568" i="2"/>
  <c r="Z1568" i="2"/>
  <c r="AB1570" i="2"/>
  <c r="AA1570" i="2"/>
  <c r="Z1570" i="2"/>
  <c r="AB1572" i="2"/>
  <c r="AA1572" i="2"/>
  <c r="Z1572" i="2"/>
  <c r="AB1574" i="2"/>
  <c r="AA1574" i="2"/>
  <c r="Z1574" i="2"/>
  <c r="AB1576" i="2"/>
  <c r="AA1576" i="2"/>
  <c r="Z1576" i="2"/>
  <c r="AB1578" i="2"/>
  <c r="AA1578" i="2"/>
  <c r="Z1578" i="2"/>
  <c r="AB1580" i="2"/>
  <c r="AA1580" i="2"/>
  <c r="Z1580" i="2"/>
  <c r="AB1582" i="2"/>
  <c r="AA1582" i="2"/>
  <c r="Z1582" i="2"/>
  <c r="AB1584" i="2"/>
  <c r="AA1584" i="2"/>
  <c r="Z1584" i="2"/>
  <c r="AB1586" i="2"/>
  <c r="AA1586" i="2"/>
  <c r="Z1586" i="2"/>
  <c r="AB1588" i="2"/>
  <c r="AA1588" i="2"/>
  <c r="Z1588" i="2"/>
  <c r="AB1590" i="2"/>
  <c r="AA1590" i="2"/>
  <c r="Z1590" i="2"/>
  <c r="AB1592" i="2"/>
  <c r="AA1592" i="2"/>
  <c r="Z1592" i="2"/>
  <c r="AB1594" i="2"/>
  <c r="AA1594" i="2"/>
  <c r="Z1594" i="2"/>
  <c r="AB1596" i="2"/>
  <c r="AA1596" i="2"/>
  <c r="Z1596" i="2"/>
  <c r="AB1598" i="2"/>
  <c r="AA1598" i="2"/>
  <c r="Z1598" i="2"/>
  <c r="AB1600" i="2"/>
  <c r="AA1600" i="2"/>
  <c r="Z1600" i="2"/>
  <c r="AB1602" i="2"/>
  <c r="AA1602" i="2"/>
  <c r="Z1602" i="2"/>
  <c r="AB1604" i="2"/>
  <c r="AA1604" i="2"/>
  <c r="Z1604" i="2"/>
  <c r="AB1606" i="2"/>
  <c r="AA1606" i="2"/>
  <c r="Z1606" i="2"/>
  <c r="AB1608" i="2"/>
  <c r="AA1608" i="2"/>
  <c r="Z1608" i="2"/>
  <c r="AB1610" i="2"/>
  <c r="AA1610" i="2"/>
  <c r="Z1610" i="2"/>
  <c r="AB1612" i="2"/>
  <c r="AA1612" i="2"/>
  <c r="Z1612" i="2"/>
  <c r="AB1614" i="2"/>
  <c r="AA1614" i="2"/>
  <c r="Z1614" i="2"/>
  <c r="AB1616" i="2"/>
  <c r="AA1616" i="2"/>
  <c r="Z1616" i="2"/>
  <c r="AB1618" i="2"/>
  <c r="AA1618" i="2"/>
  <c r="Z1618" i="2"/>
  <c r="AB1620" i="2"/>
  <c r="AA1620" i="2"/>
  <c r="Z1620" i="2"/>
  <c r="AB1622" i="2"/>
  <c r="AA1622" i="2"/>
  <c r="Z1622" i="2"/>
  <c r="A196" i="6"/>
  <c r="A197" i="10" s="1"/>
  <c r="J196" i="3"/>
  <c r="A204" i="6"/>
  <c r="A205" i="10" s="1"/>
  <c r="J204" i="3"/>
  <c r="Z960" i="2"/>
  <c r="Z964" i="2"/>
  <c r="Z968" i="2"/>
  <c r="Z972" i="2"/>
  <c r="Z976" i="2"/>
  <c r="Z980" i="2"/>
  <c r="Z984" i="2"/>
  <c r="Z988" i="2"/>
  <c r="Z992" i="2"/>
  <c r="M49" i="5"/>
  <c r="J208" i="3"/>
  <c r="J212" i="3"/>
  <c r="J216" i="3"/>
  <c r="K17" i="8"/>
  <c r="A4" i="6"/>
  <c r="A5" i="10" s="1"/>
  <c r="K18" i="8"/>
  <c r="A5" i="6"/>
  <c r="A6" i="10" s="1"/>
  <c r="A6" i="6"/>
  <c r="A7" i="10" s="1"/>
  <c r="A7" i="6"/>
  <c r="A8" i="10" s="1"/>
  <c r="K19" i="8"/>
  <c r="J19" i="8"/>
  <c r="A8" i="6"/>
  <c r="A9" i="10" s="1"/>
  <c r="J195" i="3"/>
  <c r="J199" i="3"/>
  <c r="J203" i="3"/>
  <c r="J207" i="3"/>
  <c r="J211" i="3"/>
  <c r="J215" i="3"/>
  <c r="J219" i="3"/>
  <c r="K68" i="5"/>
  <c r="K80" i="5"/>
  <c r="K84" i="5"/>
  <c r="K88" i="5"/>
  <c r="K92" i="5"/>
  <c r="K96" i="5"/>
  <c r="K100" i="5"/>
  <c r="L64" i="5"/>
  <c r="L68" i="5"/>
  <c r="L80" i="5"/>
  <c r="L84" i="5"/>
  <c r="L88" i="5"/>
  <c r="L92" i="5"/>
  <c r="L96" i="5"/>
  <c r="L100" i="5"/>
  <c r="L16" i="5"/>
  <c r="L48" i="5"/>
  <c r="L55" i="5"/>
  <c r="L71" i="5"/>
  <c r="L75" i="5"/>
  <c r="L83" i="5"/>
  <c r="L87" i="5"/>
  <c r="L91" i="5"/>
  <c r="L95" i="5"/>
  <c r="L99" i="5"/>
  <c r="L103" i="5"/>
  <c r="E24" i="8"/>
  <c r="H10" i="7"/>
  <c r="I24" i="8"/>
  <c r="D24" i="8"/>
  <c r="B24" i="8"/>
  <c r="D19" i="7"/>
  <c r="B3" i="13"/>
  <c r="F24" i="8"/>
  <c r="H11" i="7"/>
  <c r="M24" i="8"/>
  <c r="H12" i="7"/>
  <c r="H18" i="7"/>
  <c r="H15" i="7"/>
  <c r="H16" i="7"/>
  <c r="J24" i="8"/>
  <c r="M47" i="5" l="1"/>
  <c r="L47" i="5"/>
  <c r="K48" i="5"/>
  <c r="L72" i="5"/>
  <c r="L14" i="5"/>
  <c r="L30" i="5"/>
  <c r="M30" i="5"/>
  <c r="M14" i="5"/>
  <c r="K72" i="5"/>
  <c r="L49" i="5"/>
  <c r="M52" i="5"/>
  <c r="M15" i="5"/>
  <c r="K64" i="5"/>
  <c r="K76" i="5"/>
  <c r="K60" i="5"/>
  <c r="L76" i="5"/>
  <c r="L60" i="5"/>
  <c r="K15" i="5"/>
  <c r="K52" i="5"/>
  <c r="L67" i="5"/>
  <c r="H176" i="6"/>
  <c r="L79" i="5"/>
  <c r="L59" i="5"/>
  <c r="L32" i="5"/>
  <c r="L56" i="5"/>
  <c r="K56" i="5"/>
  <c r="M65" i="5"/>
  <c r="K67" i="5"/>
  <c r="L73" i="5"/>
  <c r="M73" i="5"/>
  <c r="K79" i="5"/>
  <c r="K5" i="3"/>
  <c r="L5" i="3" s="1"/>
  <c r="J5" i="6" s="1"/>
  <c r="E6" i="10" s="1"/>
  <c r="L65" i="5"/>
  <c r="L20" i="5"/>
  <c r="L63" i="5"/>
  <c r="K66" i="5"/>
  <c r="L66" i="5"/>
  <c r="L78" i="5"/>
  <c r="K78" i="5"/>
  <c r="L69" i="5"/>
  <c r="M77" i="5"/>
  <c r="M69" i="5"/>
  <c r="M63" i="5"/>
  <c r="K77" i="5"/>
  <c r="M57" i="5"/>
  <c r="L36" i="5"/>
  <c r="M45" i="5"/>
  <c r="L61" i="5"/>
  <c r="K62" i="5"/>
  <c r="K61" i="5"/>
  <c r="L62" i="5"/>
  <c r="M58" i="5"/>
  <c r="L57" i="5"/>
  <c r="H4" i="6"/>
  <c r="I4" i="6"/>
  <c r="G5" i="10" s="1"/>
  <c r="K59" i="5"/>
  <c r="K58" i="5"/>
  <c r="L53" i="5"/>
  <c r="M54" i="5"/>
  <c r="L50" i="5"/>
  <c r="K54" i="5"/>
  <c r="H210" i="6"/>
  <c r="M53" i="5"/>
  <c r="M50" i="5"/>
  <c r="M37" i="5"/>
  <c r="K46" i="5"/>
  <c r="L46" i="5"/>
  <c r="K44" i="5"/>
  <c r="L44" i="5"/>
  <c r="K299" i="3"/>
  <c r="I299" i="6" s="1"/>
  <c r="H300" i="10" s="1"/>
  <c r="K106" i="3"/>
  <c r="L106" i="3" s="1"/>
  <c r="J106" i="6" s="1"/>
  <c r="E107" i="10" s="1"/>
  <c r="L8" i="5"/>
  <c r="M33" i="5"/>
  <c r="L24" i="5"/>
  <c r="K37" i="5"/>
  <c r="K125" i="3"/>
  <c r="I125" i="6" s="1"/>
  <c r="M42" i="5"/>
  <c r="L45" i="5"/>
  <c r="L38" i="5"/>
  <c r="M38" i="5"/>
  <c r="K29" i="5"/>
  <c r="K25" i="5"/>
  <c r="M29" i="5"/>
  <c r="M25" i="5"/>
  <c r="K21" i="5"/>
  <c r="K154" i="3"/>
  <c r="I154" i="6" s="1"/>
  <c r="H155" i="10" s="1"/>
  <c r="K13" i="5"/>
  <c r="M21" i="5"/>
  <c r="K105" i="3"/>
  <c r="I105" i="6" s="1"/>
  <c r="H106" i="10" s="1"/>
  <c r="K43" i="5"/>
  <c r="L43" i="5"/>
  <c r="K42" i="5"/>
  <c r="L41" i="5"/>
  <c r="L28" i="5"/>
  <c r="K41" i="5"/>
  <c r="K17" i="5"/>
  <c r="H102" i="6"/>
  <c r="H25" i="6"/>
  <c r="K12" i="3"/>
  <c r="L12" i="3" s="1"/>
  <c r="J12" i="6" s="1"/>
  <c r="E13" i="10" s="1"/>
  <c r="L40" i="5"/>
  <c r="H239" i="6"/>
  <c r="K36" i="5"/>
  <c r="H16" i="6"/>
  <c r="K40" i="5"/>
  <c r="L39" i="5"/>
  <c r="K39" i="5"/>
  <c r="K35" i="5"/>
  <c r="L35" i="5"/>
  <c r="K32" i="5"/>
  <c r="M34" i="5"/>
  <c r="K34" i="5"/>
  <c r="K66" i="3"/>
  <c r="L66" i="3" s="1"/>
  <c r="J66" i="6" s="1"/>
  <c r="E67" i="10" s="1"/>
  <c r="H140" i="6"/>
  <c r="L33" i="5"/>
  <c r="H30" i="6"/>
  <c r="K31" i="5"/>
  <c r="L31" i="5"/>
  <c r="L23" i="5"/>
  <c r="L27" i="5"/>
  <c r="K26" i="5"/>
  <c r="M27" i="5"/>
  <c r="K28" i="5"/>
  <c r="M26" i="5"/>
  <c r="K24" i="5"/>
  <c r="K23" i="5"/>
  <c r="M17" i="5"/>
  <c r="K20" i="5"/>
  <c r="L19" i="5"/>
  <c r="K19" i="5"/>
  <c r="K205" i="3"/>
  <c r="L205" i="3" s="1"/>
  <c r="J205" i="6" s="1"/>
  <c r="E206" i="10" s="1"/>
  <c r="K214" i="3"/>
  <c r="L214" i="3" s="1"/>
  <c r="J214" i="6" s="1"/>
  <c r="E215" i="10" s="1"/>
  <c r="L12" i="5"/>
  <c r="K198" i="3"/>
  <c r="L198" i="3" s="1"/>
  <c r="J198" i="6" s="1"/>
  <c r="E199" i="10" s="1"/>
  <c r="H103" i="6"/>
  <c r="H120" i="6"/>
  <c r="K252" i="3"/>
  <c r="I252" i="6" s="1"/>
  <c r="H253" i="10" s="1"/>
  <c r="K149" i="3"/>
  <c r="L149" i="3" s="1"/>
  <c r="J149" i="6" s="1"/>
  <c r="E150" i="10" s="1"/>
  <c r="K45" i="3"/>
  <c r="L45" i="3" s="1"/>
  <c r="J45" i="6" s="1"/>
  <c r="E46" i="10" s="1"/>
  <c r="K163" i="3"/>
  <c r="I163" i="6" s="1"/>
  <c r="D164" i="10" s="1"/>
  <c r="H87" i="6"/>
  <c r="K104" i="3"/>
  <c r="I104" i="6" s="1"/>
  <c r="H105" i="10" s="1"/>
  <c r="K131" i="3"/>
  <c r="I131" i="6" s="1"/>
  <c r="D132" i="10" s="1"/>
  <c r="K23" i="3"/>
  <c r="L23" i="3" s="1"/>
  <c r="J23" i="6" s="1"/>
  <c r="E24" i="10" s="1"/>
  <c r="K84" i="3"/>
  <c r="I84" i="6" s="1"/>
  <c r="D85" i="10" s="1"/>
  <c r="H266" i="6"/>
  <c r="H213" i="6"/>
  <c r="M13" i="5"/>
  <c r="K9" i="5"/>
  <c r="M9" i="5"/>
  <c r="K100" i="3"/>
  <c r="I100" i="6" s="1"/>
  <c r="G101" i="10" s="1"/>
  <c r="K157" i="3"/>
  <c r="L157" i="3" s="1"/>
  <c r="J157" i="6" s="1"/>
  <c r="E158" i="10" s="1"/>
  <c r="K138" i="3"/>
  <c r="I138" i="6" s="1"/>
  <c r="G139" i="10" s="1"/>
  <c r="K54" i="3"/>
  <c r="L54" i="3" s="1"/>
  <c r="J54" i="6" s="1"/>
  <c r="E55" i="10" s="1"/>
  <c r="K52" i="3"/>
  <c r="I52" i="6" s="1"/>
  <c r="D53" i="10" s="1"/>
  <c r="M12" i="5"/>
  <c r="M11" i="5"/>
  <c r="H41" i="6"/>
  <c r="K156" i="3"/>
  <c r="I156" i="6" s="1"/>
  <c r="G157" i="10" s="1"/>
  <c r="L4" i="3"/>
  <c r="J4" i="6" s="1"/>
  <c r="E5" i="10" s="1"/>
  <c r="K271" i="3"/>
  <c r="L271" i="3" s="1"/>
  <c r="J271" i="6" s="1"/>
  <c r="E272" i="10" s="1"/>
  <c r="H112" i="6"/>
  <c r="E23" i="1"/>
  <c r="E25" i="1" s="1"/>
  <c r="E27" i="1" s="1"/>
  <c r="L11" i="5"/>
  <c r="K250" i="3"/>
  <c r="L250" i="3" s="1"/>
  <c r="J250" i="6" s="1"/>
  <c r="E251" i="10" s="1"/>
  <c r="K265" i="3"/>
  <c r="L265" i="3" s="1"/>
  <c r="J265" i="6" s="1"/>
  <c r="E266" i="10" s="1"/>
  <c r="K10" i="3"/>
  <c r="I10" i="6" s="1"/>
  <c r="H11" i="10" s="1"/>
  <c r="M5" i="5"/>
  <c r="K240" i="3"/>
  <c r="I240" i="6" s="1"/>
  <c r="H241" i="10" s="1"/>
  <c r="L10" i="5"/>
  <c r="K10" i="5"/>
  <c r="K274" i="3"/>
  <c r="I274" i="6" s="1"/>
  <c r="H275" i="10" s="1"/>
  <c r="K182" i="3"/>
  <c r="I182" i="6" s="1"/>
  <c r="D183" i="10" s="1"/>
  <c r="H141" i="6"/>
  <c r="H111" i="6"/>
  <c r="K67" i="3"/>
  <c r="I67" i="6" s="1"/>
  <c r="D68" i="10" s="1"/>
  <c r="K114" i="3"/>
  <c r="I114" i="6" s="1"/>
  <c r="D115" i="10" s="1"/>
  <c r="K74" i="3"/>
  <c r="L74" i="3" s="1"/>
  <c r="J74" i="6" s="1"/>
  <c r="E75" i="10" s="1"/>
  <c r="K107" i="3"/>
  <c r="I107" i="6" s="1"/>
  <c r="G108" i="10" s="1"/>
  <c r="K300" i="3"/>
  <c r="L300" i="3" s="1"/>
  <c r="J300" i="6" s="1"/>
  <c r="E301" i="10" s="1"/>
  <c r="H135" i="6"/>
  <c r="K40" i="3"/>
  <c r="L40" i="3" s="1"/>
  <c r="J40" i="6" s="1"/>
  <c r="E41" i="10" s="1"/>
  <c r="K255" i="3"/>
  <c r="I255" i="6" s="1"/>
  <c r="D256" i="10" s="1"/>
  <c r="K231" i="3"/>
  <c r="L231" i="3" s="1"/>
  <c r="J231" i="6" s="1"/>
  <c r="E232" i="10" s="1"/>
  <c r="H279" i="6"/>
  <c r="K241" i="3"/>
  <c r="L241" i="3" s="1"/>
  <c r="J241" i="6" s="1"/>
  <c r="E242" i="10" s="1"/>
  <c r="H49" i="6"/>
  <c r="K289" i="3"/>
  <c r="I289" i="6" s="1"/>
  <c r="D290" i="10" s="1"/>
  <c r="K128" i="3"/>
  <c r="I128" i="6" s="1"/>
  <c r="G129" i="10" s="1"/>
  <c r="K188" i="3"/>
  <c r="I188" i="6" s="1"/>
  <c r="H189" i="10" s="1"/>
  <c r="K260" i="3"/>
  <c r="L260" i="3" s="1"/>
  <c r="J260" i="6" s="1"/>
  <c r="E261" i="10" s="1"/>
  <c r="H165" i="6"/>
  <c r="H85" i="6"/>
  <c r="K63" i="3"/>
  <c r="I63" i="6" s="1"/>
  <c r="G64" i="10" s="1"/>
  <c r="K277" i="3"/>
  <c r="L277" i="3" s="1"/>
  <c r="J277" i="6" s="1"/>
  <c r="E278" i="10" s="1"/>
  <c r="K8" i="5"/>
  <c r="K233" i="3"/>
  <c r="I233" i="6" s="1"/>
  <c r="D234" i="10" s="1"/>
  <c r="H262" i="6"/>
  <c r="K202" i="3"/>
  <c r="L202" i="3" s="1"/>
  <c r="J202" i="6" s="1"/>
  <c r="E203" i="10" s="1"/>
  <c r="H287" i="6"/>
  <c r="K108" i="3"/>
  <c r="I108" i="6" s="1"/>
  <c r="H76" i="6"/>
  <c r="K28" i="3"/>
  <c r="L28" i="3" s="1"/>
  <c r="J28" i="6" s="1"/>
  <c r="E29" i="10" s="1"/>
  <c r="K257" i="3"/>
  <c r="I257" i="6" s="1"/>
  <c r="G258" i="10" s="1"/>
  <c r="K187" i="3"/>
  <c r="L187" i="3" s="1"/>
  <c r="J187" i="6" s="1"/>
  <c r="E188" i="10" s="1"/>
  <c r="K197" i="3"/>
  <c r="L197" i="3" s="1"/>
  <c r="J197" i="6" s="1"/>
  <c r="E198" i="10" s="1"/>
  <c r="K113" i="3"/>
  <c r="L113" i="3" s="1"/>
  <c r="J113" i="6" s="1"/>
  <c r="E114" i="10" s="1"/>
  <c r="K178" i="3"/>
  <c r="I178" i="6" s="1"/>
  <c r="K142" i="3"/>
  <c r="I142" i="6" s="1"/>
  <c r="H143" i="10" s="1"/>
  <c r="K46" i="3"/>
  <c r="I46" i="6" s="1"/>
  <c r="G47" i="10" s="1"/>
  <c r="K18" i="3"/>
  <c r="I18" i="6" s="1"/>
  <c r="G19" i="10" s="1"/>
  <c r="H258" i="6"/>
  <c r="K236" i="3"/>
  <c r="L236" i="3" s="1"/>
  <c r="J236" i="6" s="1"/>
  <c r="E237" i="10" s="1"/>
  <c r="K183" i="3"/>
  <c r="I183" i="6" s="1"/>
  <c r="G184" i="10" s="1"/>
  <c r="K242" i="3"/>
  <c r="L242" i="3" s="1"/>
  <c r="J242" i="6" s="1"/>
  <c r="E243" i="10" s="1"/>
  <c r="H166" i="6"/>
  <c r="K230" i="3"/>
  <c r="I230" i="6" s="1"/>
  <c r="G231" i="10" s="1"/>
  <c r="H232" i="6"/>
  <c r="K116" i="3"/>
  <c r="I116" i="6" s="1"/>
  <c r="D117" i="10" s="1"/>
  <c r="K86" i="3"/>
  <c r="I86" i="6" s="1"/>
  <c r="G87" i="10" s="1"/>
  <c r="K284" i="3"/>
  <c r="I284" i="6" s="1"/>
  <c r="H285" i="10" s="1"/>
  <c r="H15" i="6"/>
  <c r="H160" i="6"/>
  <c r="H56" i="6"/>
  <c r="K246" i="3"/>
  <c r="I246" i="6" s="1"/>
  <c r="D247" i="10" s="1"/>
  <c r="H222" i="6"/>
  <c r="K251" i="3"/>
  <c r="L251" i="3" s="1"/>
  <c r="J251" i="6" s="1"/>
  <c r="E252" i="10" s="1"/>
  <c r="K65" i="3"/>
  <c r="I65" i="6" s="1"/>
  <c r="D66" i="10" s="1"/>
  <c r="K13" i="3"/>
  <c r="I13" i="6" s="1"/>
  <c r="K50" i="3"/>
  <c r="I50" i="6" s="1"/>
  <c r="H175" i="6"/>
  <c r="H159" i="6"/>
  <c r="K75" i="3"/>
  <c r="I75" i="6" s="1"/>
  <c r="D76" i="10" s="1"/>
  <c r="H43" i="6"/>
  <c r="H296" i="6"/>
  <c r="K281" i="3"/>
  <c r="L281" i="3" s="1"/>
  <c r="J281" i="6" s="1"/>
  <c r="E282" i="10" s="1"/>
  <c r="K117" i="3"/>
  <c r="I117" i="6" s="1"/>
  <c r="G118" i="10" s="1"/>
  <c r="H33" i="6"/>
  <c r="K94" i="3"/>
  <c r="I94" i="6" s="1"/>
  <c r="D95" i="10" s="1"/>
  <c r="H48" i="6"/>
  <c r="K282" i="3"/>
  <c r="I282" i="6" s="1"/>
  <c r="G283" i="10" s="1"/>
  <c r="K254" i="3"/>
  <c r="L254" i="3" s="1"/>
  <c r="J254" i="6" s="1"/>
  <c r="E255" i="10" s="1"/>
  <c r="H267" i="6"/>
  <c r="H153" i="6"/>
  <c r="H134" i="6"/>
  <c r="H167" i="6"/>
  <c r="H139" i="6"/>
  <c r="H36" i="6"/>
  <c r="K7" i="5"/>
  <c r="L7" i="5"/>
  <c r="M6" i="5"/>
  <c r="K6" i="5"/>
  <c r="B7" i="13"/>
  <c r="D7" i="13" s="1"/>
  <c r="K302" i="3"/>
  <c r="I302" i="6" s="1"/>
  <c r="H303" i="10" s="1"/>
  <c r="K226" i="3"/>
  <c r="I226" i="6" s="1"/>
  <c r="D227" i="10" s="1"/>
  <c r="K288" i="3"/>
  <c r="I288" i="6" s="1"/>
  <c r="D289" i="10" s="1"/>
  <c r="H272" i="6"/>
  <c r="K228" i="3"/>
  <c r="I228" i="6" s="1"/>
  <c r="G229" i="10" s="1"/>
  <c r="H294" i="6"/>
  <c r="H278" i="6"/>
  <c r="H218" i="6"/>
  <c r="H206" i="6"/>
  <c r="H283" i="6"/>
  <c r="H227" i="6"/>
  <c r="K264" i="3"/>
  <c r="I264" i="6" s="1"/>
  <c r="H265" i="10" s="1"/>
  <c r="K224" i="3"/>
  <c r="I224" i="6" s="1"/>
  <c r="H225" i="10" s="1"/>
  <c r="H301" i="6"/>
  <c r="K261" i="3"/>
  <c r="L261" i="3" s="1"/>
  <c r="J261" i="6" s="1"/>
  <c r="E262" i="10" s="1"/>
  <c r="K249" i="3"/>
  <c r="L249" i="3" s="1"/>
  <c r="J249" i="6" s="1"/>
  <c r="E250" i="10" s="1"/>
  <c r="H237" i="6"/>
  <c r="K189" i="3"/>
  <c r="L189" i="3" s="1"/>
  <c r="J189" i="6" s="1"/>
  <c r="E190" i="10" s="1"/>
  <c r="K173" i="3"/>
  <c r="I173" i="6" s="1"/>
  <c r="H174" i="10" s="1"/>
  <c r="H137" i="6"/>
  <c r="K93" i="3"/>
  <c r="I93" i="6" s="1"/>
  <c r="D94" i="10" s="1"/>
  <c r="H69" i="6"/>
  <c r="H53" i="6"/>
  <c r="H29" i="6"/>
  <c r="K146" i="3"/>
  <c r="I146" i="6" s="1"/>
  <c r="H147" i="10" s="1"/>
  <c r="H98" i="6"/>
  <c r="K78" i="3"/>
  <c r="I78" i="6" s="1"/>
  <c r="H79" i="10" s="1"/>
  <c r="K22" i="3"/>
  <c r="I22" i="6" s="1"/>
  <c r="G23" i="10" s="1"/>
  <c r="H171" i="6"/>
  <c r="H147" i="6"/>
  <c r="H127" i="6"/>
  <c r="K79" i="3"/>
  <c r="I79" i="6" s="1"/>
  <c r="G80" i="10" s="1"/>
  <c r="K71" i="3"/>
  <c r="L71" i="3" s="1"/>
  <c r="J71" i="6" s="1"/>
  <c r="E72" i="10" s="1"/>
  <c r="H39" i="6"/>
  <c r="H19" i="6"/>
  <c r="H11" i="6"/>
  <c r="K132" i="3"/>
  <c r="I132" i="6" s="1"/>
  <c r="G133" i="10" s="1"/>
  <c r="K88" i="3"/>
  <c r="I88" i="6" s="1"/>
  <c r="G89" i="10" s="1"/>
  <c r="K80" i="3"/>
  <c r="L80" i="3" s="1"/>
  <c r="J80" i="6" s="1"/>
  <c r="E81" i="10" s="1"/>
  <c r="H68" i="6"/>
  <c r="H44" i="6"/>
  <c r="K32" i="3"/>
  <c r="L32" i="3" s="1"/>
  <c r="J32" i="6" s="1"/>
  <c r="E33" i="10" s="1"/>
  <c r="K201" i="3"/>
  <c r="L201" i="3" s="1"/>
  <c r="J201" i="6" s="1"/>
  <c r="E202" i="10" s="1"/>
  <c r="K185" i="3"/>
  <c r="I185" i="6" s="1"/>
  <c r="D186" i="10" s="1"/>
  <c r="L5" i="5"/>
  <c r="H268" i="6"/>
  <c r="K297" i="3"/>
  <c r="I297" i="6" s="1"/>
  <c r="D298" i="10" s="1"/>
  <c r="H95" i="6"/>
  <c r="K55" i="3"/>
  <c r="L55" i="3" s="1"/>
  <c r="J55" i="6" s="1"/>
  <c r="E56" i="10" s="1"/>
  <c r="H243" i="6"/>
  <c r="H126" i="6"/>
  <c r="H119" i="6"/>
  <c r="H92" i="6"/>
  <c r="H177" i="6"/>
  <c r="K31" i="3"/>
  <c r="I31" i="6" s="1"/>
  <c r="G32" i="10" s="1"/>
  <c r="K190" i="3"/>
  <c r="I190" i="6" s="1"/>
  <c r="H191" i="6"/>
  <c r="H193" i="6"/>
  <c r="H270" i="6"/>
  <c r="H292" i="6"/>
  <c r="K37" i="3"/>
  <c r="I37" i="6" s="1"/>
  <c r="G38" i="10" s="1"/>
  <c r="K21" i="3"/>
  <c r="I21" i="6" s="1"/>
  <c r="H22" i="10" s="1"/>
  <c r="K170" i="3"/>
  <c r="L170" i="3" s="1"/>
  <c r="J170" i="6" s="1"/>
  <c r="E171" i="10" s="1"/>
  <c r="K150" i="3"/>
  <c r="I150" i="6" s="1"/>
  <c r="G151" i="10" s="1"/>
  <c r="K143" i="3"/>
  <c r="I143" i="6" s="1"/>
  <c r="G144" i="10" s="1"/>
  <c r="K136" i="3"/>
  <c r="I136" i="6" s="1"/>
  <c r="H137" i="10" s="1"/>
  <c r="K20" i="3"/>
  <c r="I20" i="6" s="1"/>
  <c r="D21" i="10" s="1"/>
  <c r="H298" i="6"/>
  <c r="H291" i="6"/>
  <c r="H247" i="6"/>
  <c r="K285" i="3"/>
  <c r="L285" i="3" s="1"/>
  <c r="J285" i="6" s="1"/>
  <c r="E286" i="10" s="1"/>
  <c r="K253" i="3"/>
  <c r="I253" i="6" s="1"/>
  <c r="H254" i="10" s="1"/>
  <c r="K245" i="3"/>
  <c r="L245" i="3" s="1"/>
  <c r="J245" i="6" s="1"/>
  <c r="E246" i="10" s="1"/>
  <c r="K225" i="3"/>
  <c r="L225" i="3" s="1"/>
  <c r="J225" i="6" s="1"/>
  <c r="E226" i="10" s="1"/>
  <c r="K89" i="3"/>
  <c r="L89" i="3" s="1"/>
  <c r="J89" i="6" s="1"/>
  <c r="E90" i="10" s="1"/>
  <c r="K130" i="3"/>
  <c r="I130" i="6" s="1"/>
  <c r="H131" i="10" s="1"/>
  <c r="K62" i="3"/>
  <c r="I62" i="6" s="1"/>
  <c r="K35" i="3"/>
  <c r="I35" i="6" s="1"/>
  <c r="D36" i="10" s="1"/>
  <c r="H164" i="6"/>
  <c r="H72" i="6"/>
  <c r="B4" i="13"/>
  <c r="B6" i="13" s="1"/>
  <c r="D6" i="13" s="1"/>
  <c r="H286" i="6"/>
  <c r="H238" i="6"/>
  <c r="K194" i="3"/>
  <c r="I194" i="6" s="1"/>
  <c r="H195" i="10" s="1"/>
  <c r="K303" i="3"/>
  <c r="I303" i="6" s="1"/>
  <c r="K186" i="3"/>
  <c r="I186" i="6" s="1"/>
  <c r="G187" i="10" s="1"/>
  <c r="K158" i="3"/>
  <c r="I158" i="6" s="1"/>
  <c r="D159" i="10" s="1"/>
  <c r="K115" i="3"/>
  <c r="I115" i="6" s="1"/>
  <c r="H116" i="10" s="1"/>
  <c r="K99" i="3"/>
  <c r="I99" i="6" s="1"/>
  <c r="D100" i="10" s="1"/>
  <c r="K145" i="3"/>
  <c r="L145" i="3" s="1"/>
  <c r="J145" i="6" s="1"/>
  <c r="E146" i="10" s="1"/>
  <c r="K121" i="3"/>
  <c r="L121" i="3" s="1"/>
  <c r="J121" i="6" s="1"/>
  <c r="E122" i="10" s="1"/>
  <c r="K97" i="3"/>
  <c r="I97" i="6" s="1"/>
  <c r="H98" i="10" s="1"/>
  <c r="K118" i="3"/>
  <c r="I118" i="6" s="1"/>
  <c r="D119" i="10" s="1"/>
  <c r="K90" i="3"/>
  <c r="I90" i="6" s="1"/>
  <c r="H91" i="10" s="1"/>
  <c r="K70" i="3"/>
  <c r="I70" i="6" s="1"/>
  <c r="G71" i="10" s="1"/>
  <c r="K38" i="3"/>
  <c r="I38" i="6" s="1"/>
  <c r="H39" i="10" s="1"/>
  <c r="K14" i="3"/>
  <c r="I14" i="6" s="1"/>
  <c r="G15" i="10" s="1"/>
  <c r="I9" i="8"/>
  <c r="K275" i="3"/>
  <c r="I275" i="6" s="1"/>
  <c r="H276" i="10" s="1"/>
  <c r="K235" i="3"/>
  <c r="L235" i="3" s="1"/>
  <c r="J235" i="6" s="1"/>
  <c r="E236" i="10" s="1"/>
  <c r="H133" i="6"/>
  <c r="H101" i="6"/>
  <c r="H77" i="6"/>
  <c r="H110" i="6"/>
  <c r="H273" i="6"/>
  <c r="H61" i="6"/>
  <c r="H60" i="6"/>
  <c r="K259" i="3"/>
  <c r="I259" i="6" s="1"/>
  <c r="H260" i="10" s="1"/>
  <c r="K280" i="3"/>
  <c r="I280" i="6" s="1"/>
  <c r="H281" i="10" s="1"/>
  <c r="K248" i="3"/>
  <c r="I248" i="6" s="1"/>
  <c r="H209" i="6"/>
  <c r="H109" i="6"/>
  <c r="H148" i="6"/>
  <c r="K256" i="3"/>
  <c r="L256" i="3" s="1"/>
  <c r="J256" i="6" s="1"/>
  <c r="E257" i="10" s="1"/>
  <c r="H217" i="6"/>
  <c r="H174" i="6"/>
  <c r="K151" i="3"/>
  <c r="I151" i="6" s="1"/>
  <c r="H152" i="10" s="1"/>
  <c r="K47" i="3"/>
  <c r="I47" i="6" s="1"/>
  <c r="D48" i="10" s="1"/>
  <c r="H172" i="6"/>
  <c r="H124" i="6"/>
  <c r="H290" i="6"/>
  <c r="H234" i="6"/>
  <c r="H295" i="6"/>
  <c r="H263" i="6"/>
  <c r="H223" i="6"/>
  <c r="K276" i="3"/>
  <c r="I276" i="6" s="1"/>
  <c r="D277" i="10" s="1"/>
  <c r="K244" i="3"/>
  <c r="L244" i="3" s="1"/>
  <c r="J244" i="6" s="1"/>
  <c r="E245" i="10" s="1"/>
  <c r="K220" i="3"/>
  <c r="I220" i="6" s="1"/>
  <c r="G221" i="10" s="1"/>
  <c r="H179" i="6"/>
  <c r="H155" i="6"/>
  <c r="H123" i="6"/>
  <c r="H91" i="6"/>
  <c r="H83" i="6"/>
  <c r="H59" i="6"/>
  <c r="H51" i="6"/>
  <c r="H27" i="6"/>
  <c r="K293" i="3"/>
  <c r="I293" i="6" s="1"/>
  <c r="H294" i="10" s="1"/>
  <c r="K269" i="3"/>
  <c r="I269" i="6" s="1"/>
  <c r="H270" i="10" s="1"/>
  <c r="K229" i="3"/>
  <c r="L229" i="3" s="1"/>
  <c r="J229" i="6" s="1"/>
  <c r="E230" i="10" s="1"/>
  <c r="K221" i="3"/>
  <c r="I221" i="6" s="1"/>
  <c r="H222" i="10" s="1"/>
  <c r="K181" i="3"/>
  <c r="I181" i="6" s="1"/>
  <c r="H182" i="10" s="1"/>
  <c r="K169" i="3"/>
  <c r="I169" i="6" s="1"/>
  <c r="G170" i="10" s="1"/>
  <c r="K161" i="3"/>
  <c r="I161" i="6" s="1"/>
  <c r="H162" i="10" s="1"/>
  <c r="K129" i="3"/>
  <c r="I129" i="6" s="1"/>
  <c r="K81" i="3"/>
  <c r="I81" i="6" s="1"/>
  <c r="H82" i="10" s="1"/>
  <c r="K73" i="3"/>
  <c r="I73" i="6" s="1"/>
  <c r="H74" i="10" s="1"/>
  <c r="K57" i="3"/>
  <c r="I57" i="6" s="1"/>
  <c r="G58" i="10" s="1"/>
  <c r="K17" i="3"/>
  <c r="I17" i="6" s="1"/>
  <c r="H18" i="10" s="1"/>
  <c r="K9" i="3"/>
  <c r="I9" i="6" s="1"/>
  <c r="G10" i="10" s="1"/>
  <c r="K162" i="3"/>
  <c r="I162" i="6" s="1"/>
  <c r="K122" i="3"/>
  <c r="I122" i="6" s="1"/>
  <c r="H123" i="10" s="1"/>
  <c r="K82" i="3"/>
  <c r="I82" i="6" s="1"/>
  <c r="G83" i="10" s="1"/>
  <c r="K58" i="3"/>
  <c r="I58" i="6" s="1"/>
  <c r="H59" i="10" s="1"/>
  <c r="K42" i="3"/>
  <c r="I42" i="6" s="1"/>
  <c r="G43" i="10" s="1"/>
  <c r="K34" i="3"/>
  <c r="I34" i="6" s="1"/>
  <c r="K26" i="3"/>
  <c r="L26" i="3" s="1"/>
  <c r="J26" i="6" s="1"/>
  <c r="E27" i="10" s="1"/>
  <c r="K168" i="3"/>
  <c r="L168" i="3" s="1"/>
  <c r="J168" i="6" s="1"/>
  <c r="E169" i="10" s="1"/>
  <c r="K152" i="3"/>
  <c r="I152" i="6" s="1"/>
  <c r="G153" i="10" s="1"/>
  <c r="K144" i="3"/>
  <c r="L144" i="3" s="1"/>
  <c r="J144" i="6" s="1"/>
  <c r="E145" i="10" s="1"/>
  <c r="K96" i="3"/>
  <c r="I96" i="6" s="1"/>
  <c r="K64" i="3"/>
  <c r="I64" i="6" s="1"/>
  <c r="H65" i="10" s="1"/>
  <c r="K24" i="3"/>
  <c r="L24" i="3" s="1"/>
  <c r="J24" i="6" s="1"/>
  <c r="E25" i="10" s="1"/>
  <c r="K184" i="3"/>
  <c r="I184" i="6" s="1"/>
  <c r="D185" i="10" s="1"/>
  <c r="K180" i="3"/>
  <c r="I180" i="6" s="1"/>
  <c r="G181" i="10" s="1"/>
  <c r="I298" i="6"/>
  <c r="D299" i="10" s="1"/>
  <c r="L298" i="3"/>
  <c r="J298" i="6" s="1"/>
  <c r="E299" i="10" s="1"/>
  <c r="I290" i="6"/>
  <c r="G291" i="10" s="1"/>
  <c r="L290" i="3"/>
  <c r="J290" i="6" s="1"/>
  <c r="E291" i="10" s="1"/>
  <c r="I266" i="6"/>
  <c r="L266" i="3"/>
  <c r="J266" i="6" s="1"/>
  <c r="E267" i="10" s="1"/>
  <c r="I258" i="6"/>
  <c r="G259" i="10" s="1"/>
  <c r="L258" i="3"/>
  <c r="J258" i="6" s="1"/>
  <c r="E259" i="10" s="1"/>
  <c r="I234" i="6"/>
  <c r="D235" i="10" s="1"/>
  <c r="L234" i="3"/>
  <c r="J234" i="6" s="1"/>
  <c r="E235" i="10" s="1"/>
  <c r="I218" i="6"/>
  <c r="D219" i="10" s="1"/>
  <c r="L218" i="3"/>
  <c r="J218" i="6" s="1"/>
  <c r="E219" i="10" s="1"/>
  <c r="I210" i="6"/>
  <c r="H211" i="10" s="1"/>
  <c r="L210" i="3"/>
  <c r="J210" i="6" s="1"/>
  <c r="E211" i="10" s="1"/>
  <c r="I295" i="6"/>
  <c r="G296" i="10" s="1"/>
  <c r="L295" i="3"/>
  <c r="J295" i="6" s="1"/>
  <c r="E296" i="10" s="1"/>
  <c r="I287" i="6"/>
  <c r="G288" i="10" s="1"/>
  <c r="L287" i="3"/>
  <c r="J287" i="6" s="1"/>
  <c r="E288" i="10" s="1"/>
  <c r="I279" i="6"/>
  <c r="H280" i="10" s="1"/>
  <c r="L279" i="3"/>
  <c r="J279" i="6" s="1"/>
  <c r="E280" i="10" s="1"/>
  <c r="I263" i="6"/>
  <c r="H264" i="10" s="1"/>
  <c r="L263" i="3"/>
  <c r="J263" i="6" s="1"/>
  <c r="E264" i="10" s="1"/>
  <c r="I247" i="6"/>
  <c r="G248" i="10" s="1"/>
  <c r="L247" i="3"/>
  <c r="J247" i="6" s="1"/>
  <c r="E248" i="10" s="1"/>
  <c r="I239" i="6"/>
  <c r="D240" i="10" s="1"/>
  <c r="L239" i="3"/>
  <c r="J239" i="6" s="1"/>
  <c r="E240" i="10" s="1"/>
  <c r="I223" i="6"/>
  <c r="G224" i="10" s="1"/>
  <c r="L223" i="3"/>
  <c r="J223" i="6" s="1"/>
  <c r="E224" i="10" s="1"/>
  <c r="I177" i="6"/>
  <c r="D178" i="10" s="1"/>
  <c r="L177" i="3"/>
  <c r="J177" i="6" s="1"/>
  <c r="E178" i="10" s="1"/>
  <c r="I153" i="6"/>
  <c r="G154" i="10" s="1"/>
  <c r="L153" i="3"/>
  <c r="J153" i="6" s="1"/>
  <c r="E154" i="10" s="1"/>
  <c r="I137" i="6"/>
  <c r="H138" i="10" s="1"/>
  <c r="L137" i="3"/>
  <c r="J137" i="6" s="1"/>
  <c r="E138" i="10" s="1"/>
  <c r="I49" i="6"/>
  <c r="D50" i="10" s="1"/>
  <c r="L49" i="3"/>
  <c r="J49" i="6" s="1"/>
  <c r="E50" i="10" s="1"/>
  <c r="I41" i="6"/>
  <c r="H42" i="10" s="1"/>
  <c r="L41" i="3"/>
  <c r="J41" i="6" s="1"/>
  <c r="E42" i="10" s="1"/>
  <c r="I33" i="6"/>
  <c r="D34" i="10" s="1"/>
  <c r="L33" i="3"/>
  <c r="J33" i="6" s="1"/>
  <c r="E34" i="10" s="1"/>
  <c r="I25" i="6"/>
  <c r="H26" i="10" s="1"/>
  <c r="L25" i="3"/>
  <c r="J25" i="6" s="1"/>
  <c r="E26" i="10" s="1"/>
  <c r="I106" i="6"/>
  <c r="G107" i="10" s="1"/>
  <c r="I98" i="6"/>
  <c r="D99" i="10" s="1"/>
  <c r="L98" i="3"/>
  <c r="J98" i="6" s="1"/>
  <c r="E99" i="10" s="1"/>
  <c r="I176" i="6"/>
  <c r="G177" i="10" s="1"/>
  <c r="L176" i="3"/>
  <c r="J176" i="6" s="1"/>
  <c r="E177" i="10" s="1"/>
  <c r="I160" i="6"/>
  <c r="D161" i="10" s="1"/>
  <c r="L160" i="3"/>
  <c r="J160" i="6" s="1"/>
  <c r="E161" i="10" s="1"/>
  <c r="I120" i="6"/>
  <c r="G121" i="10" s="1"/>
  <c r="L120" i="3"/>
  <c r="J120" i="6" s="1"/>
  <c r="E121" i="10" s="1"/>
  <c r="I112" i="6"/>
  <c r="G113" i="10" s="1"/>
  <c r="L112" i="3"/>
  <c r="J112" i="6" s="1"/>
  <c r="E113" i="10" s="1"/>
  <c r="I72" i="6"/>
  <c r="H73" i="10" s="1"/>
  <c r="L72" i="3"/>
  <c r="J72" i="6" s="1"/>
  <c r="E73" i="10" s="1"/>
  <c r="I56" i="6"/>
  <c r="G57" i="10" s="1"/>
  <c r="L56" i="3"/>
  <c r="J56" i="6" s="1"/>
  <c r="E57" i="10" s="1"/>
  <c r="I48" i="6"/>
  <c r="H49" i="10" s="1"/>
  <c r="L48" i="3"/>
  <c r="J48" i="6" s="1"/>
  <c r="E49" i="10" s="1"/>
  <c r="I16" i="6"/>
  <c r="D17" i="10" s="1"/>
  <c r="L16" i="3"/>
  <c r="J16" i="6" s="1"/>
  <c r="E17" i="10" s="1"/>
  <c r="I8" i="6"/>
  <c r="G9" i="10" s="1"/>
  <c r="L8" i="3"/>
  <c r="J8" i="6" s="1"/>
  <c r="E9" i="10" s="1"/>
  <c r="I291" i="6"/>
  <c r="H292" i="10" s="1"/>
  <c r="L291" i="3"/>
  <c r="J291" i="6" s="1"/>
  <c r="E292" i="10" s="1"/>
  <c r="I283" i="6"/>
  <c r="H284" i="10" s="1"/>
  <c r="L283" i="3"/>
  <c r="J283" i="6" s="1"/>
  <c r="E284" i="10" s="1"/>
  <c r="I267" i="6"/>
  <c r="H268" i="10" s="1"/>
  <c r="L267" i="3"/>
  <c r="J267" i="6" s="1"/>
  <c r="E268" i="10" s="1"/>
  <c r="I243" i="6"/>
  <c r="H244" i="10" s="1"/>
  <c r="L243" i="3"/>
  <c r="J243" i="6" s="1"/>
  <c r="E244" i="10" s="1"/>
  <c r="I227" i="6"/>
  <c r="D228" i="10" s="1"/>
  <c r="L227" i="3"/>
  <c r="J227" i="6" s="1"/>
  <c r="E228" i="10" s="1"/>
  <c r="I296" i="6"/>
  <c r="H297" i="10" s="1"/>
  <c r="L296" i="3"/>
  <c r="J296" i="6" s="1"/>
  <c r="E297" i="10" s="1"/>
  <c r="I272" i="6"/>
  <c r="H273" i="10" s="1"/>
  <c r="L272" i="3"/>
  <c r="J272" i="6" s="1"/>
  <c r="E273" i="10" s="1"/>
  <c r="I232" i="6"/>
  <c r="G233" i="10" s="1"/>
  <c r="L232" i="3"/>
  <c r="J232" i="6" s="1"/>
  <c r="E233" i="10" s="1"/>
  <c r="I165" i="6"/>
  <c r="D166" i="10" s="1"/>
  <c r="L165" i="3"/>
  <c r="J165" i="6" s="1"/>
  <c r="E166" i="10" s="1"/>
  <c r="I141" i="6"/>
  <c r="H142" i="10" s="1"/>
  <c r="L141" i="3"/>
  <c r="J141" i="6" s="1"/>
  <c r="E142" i="10" s="1"/>
  <c r="I133" i="6"/>
  <c r="H134" i="10" s="1"/>
  <c r="L133" i="3"/>
  <c r="J133" i="6" s="1"/>
  <c r="E134" i="10" s="1"/>
  <c r="I109" i="6"/>
  <c r="G110" i="10" s="1"/>
  <c r="L109" i="3"/>
  <c r="J109" i="6" s="1"/>
  <c r="E110" i="10" s="1"/>
  <c r="I101" i="6"/>
  <c r="D102" i="10" s="1"/>
  <c r="L101" i="3"/>
  <c r="J101" i="6" s="1"/>
  <c r="E102" i="10" s="1"/>
  <c r="I85" i="6"/>
  <c r="H86" i="10" s="1"/>
  <c r="L85" i="3"/>
  <c r="J85" i="6" s="1"/>
  <c r="E86" i="10" s="1"/>
  <c r="I77" i="6"/>
  <c r="H78" i="10" s="1"/>
  <c r="L77" i="3"/>
  <c r="J77" i="6" s="1"/>
  <c r="E78" i="10" s="1"/>
  <c r="I69" i="6"/>
  <c r="D70" i="10" s="1"/>
  <c r="L69" i="3"/>
  <c r="J69" i="6" s="1"/>
  <c r="E70" i="10" s="1"/>
  <c r="I61" i="6"/>
  <c r="G62" i="10" s="1"/>
  <c r="L61" i="3"/>
  <c r="J61" i="6" s="1"/>
  <c r="E62" i="10" s="1"/>
  <c r="I53" i="6"/>
  <c r="H54" i="10" s="1"/>
  <c r="L53" i="3"/>
  <c r="J53" i="6" s="1"/>
  <c r="E54" i="10" s="1"/>
  <c r="I29" i="6"/>
  <c r="H30" i="10" s="1"/>
  <c r="L29" i="3"/>
  <c r="J29" i="6" s="1"/>
  <c r="E30" i="10" s="1"/>
  <c r="I174" i="6"/>
  <c r="H175" i="10" s="1"/>
  <c r="L174" i="3"/>
  <c r="J174" i="6" s="1"/>
  <c r="E175" i="10" s="1"/>
  <c r="I166" i="6"/>
  <c r="G167" i="10" s="1"/>
  <c r="L166" i="3"/>
  <c r="J166" i="6" s="1"/>
  <c r="E167" i="10" s="1"/>
  <c r="I134" i="6"/>
  <c r="G135" i="10" s="1"/>
  <c r="L134" i="3"/>
  <c r="J134" i="6" s="1"/>
  <c r="E135" i="10" s="1"/>
  <c r="I126" i="6"/>
  <c r="L126" i="3"/>
  <c r="J126" i="6" s="1"/>
  <c r="E127" i="10" s="1"/>
  <c r="I110" i="6"/>
  <c r="G111" i="10" s="1"/>
  <c r="L110" i="3"/>
  <c r="J110" i="6" s="1"/>
  <c r="E111" i="10" s="1"/>
  <c r="I102" i="6"/>
  <c r="H103" i="10" s="1"/>
  <c r="L102" i="3"/>
  <c r="J102" i="6" s="1"/>
  <c r="E103" i="10" s="1"/>
  <c r="I30" i="6"/>
  <c r="D31" i="10" s="1"/>
  <c r="L30" i="3"/>
  <c r="J30" i="6" s="1"/>
  <c r="E31" i="10" s="1"/>
  <c r="I6" i="6"/>
  <c r="H7" i="10" s="1"/>
  <c r="L6" i="3"/>
  <c r="J6" i="6" s="1"/>
  <c r="E7" i="10" s="1"/>
  <c r="I172" i="6"/>
  <c r="D173" i="10" s="1"/>
  <c r="L172" i="3"/>
  <c r="J172" i="6" s="1"/>
  <c r="E173" i="10" s="1"/>
  <c r="I164" i="6"/>
  <c r="H165" i="10" s="1"/>
  <c r="L164" i="3"/>
  <c r="J164" i="6" s="1"/>
  <c r="E165" i="10" s="1"/>
  <c r="I148" i="6"/>
  <c r="D149" i="10" s="1"/>
  <c r="L148" i="3"/>
  <c r="J148" i="6" s="1"/>
  <c r="E149" i="10" s="1"/>
  <c r="I140" i="6"/>
  <c r="G141" i="10" s="1"/>
  <c r="L140" i="3"/>
  <c r="J140" i="6" s="1"/>
  <c r="E141" i="10" s="1"/>
  <c r="I124" i="6"/>
  <c r="L124" i="3"/>
  <c r="J124" i="6" s="1"/>
  <c r="E125" i="10" s="1"/>
  <c r="I92" i="6"/>
  <c r="H93" i="10" s="1"/>
  <c r="L92" i="3"/>
  <c r="J92" i="6" s="1"/>
  <c r="E93" i="10" s="1"/>
  <c r="I76" i="6"/>
  <c r="G77" i="10" s="1"/>
  <c r="L76" i="3"/>
  <c r="J76" i="6" s="1"/>
  <c r="E77" i="10" s="1"/>
  <c r="I68" i="6"/>
  <c r="G69" i="10" s="1"/>
  <c r="L68" i="3"/>
  <c r="J68" i="6" s="1"/>
  <c r="E69" i="10" s="1"/>
  <c r="I60" i="6"/>
  <c r="H61" i="10" s="1"/>
  <c r="L60" i="3"/>
  <c r="J60" i="6" s="1"/>
  <c r="E61" i="10" s="1"/>
  <c r="I44" i="6"/>
  <c r="H45" i="10" s="1"/>
  <c r="L44" i="3"/>
  <c r="J44" i="6" s="1"/>
  <c r="E45" i="10" s="1"/>
  <c r="I36" i="6"/>
  <c r="G37" i="10" s="1"/>
  <c r="L36" i="3"/>
  <c r="J36" i="6" s="1"/>
  <c r="E37" i="10" s="1"/>
  <c r="I193" i="6"/>
  <c r="L193" i="3"/>
  <c r="J193" i="6" s="1"/>
  <c r="E194" i="10" s="1"/>
  <c r="I294" i="6"/>
  <c r="H295" i="10" s="1"/>
  <c r="L294" i="3"/>
  <c r="J294" i="6" s="1"/>
  <c r="E295" i="10" s="1"/>
  <c r="I286" i="6"/>
  <c r="G287" i="10" s="1"/>
  <c r="L286" i="3"/>
  <c r="J286" i="6" s="1"/>
  <c r="E287" i="10" s="1"/>
  <c r="I278" i="6"/>
  <c r="D279" i="10" s="1"/>
  <c r="L278" i="3"/>
  <c r="J278" i="6" s="1"/>
  <c r="E279" i="10" s="1"/>
  <c r="I270" i="6"/>
  <c r="H271" i="10" s="1"/>
  <c r="L270" i="3"/>
  <c r="J270" i="6" s="1"/>
  <c r="E271" i="10" s="1"/>
  <c r="I262" i="6"/>
  <c r="G263" i="10" s="1"/>
  <c r="L262" i="3"/>
  <c r="J262" i="6" s="1"/>
  <c r="E263" i="10" s="1"/>
  <c r="I238" i="6"/>
  <c r="G239" i="10" s="1"/>
  <c r="L238" i="3"/>
  <c r="J238" i="6" s="1"/>
  <c r="E239" i="10" s="1"/>
  <c r="I222" i="6"/>
  <c r="D223" i="10" s="1"/>
  <c r="L222" i="3"/>
  <c r="J222" i="6" s="1"/>
  <c r="E223" i="10" s="1"/>
  <c r="I206" i="6"/>
  <c r="H207" i="10" s="1"/>
  <c r="L206" i="3"/>
  <c r="J206" i="6" s="1"/>
  <c r="E207" i="10" s="1"/>
  <c r="I301" i="6"/>
  <c r="H302" i="10" s="1"/>
  <c r="L301" i="3"/>
  <c r="J301" i="6" s="1"/>
  <c r="E302" i="10" s="1"/>
  <c r="I237" i="6"/>
  <c r="G238" i="10" s="1"/>
  <c r="L237" i="3"/>
  <c r="J237" i="6" s="1"/>
  <c r="E238" i="10" s="1"/>
  <c r="I213" i="6"/>
  <c r="H214" i="10" s="1"/>
  <c r="L213" i="3"/>
  <c r="J213" i="6" s="1"/>
  <c r="E214" i="10" s="1"/>
  <c r="I175" i="6"/>
  <c r="H176" i="10" s="1"/>
  <c r="L175" i="3"/>
  <c r="J175" i="6" s="1"/>
  <c r="E176" i="10" s="1"/>
  <c r="I167" i="6"/>
  <c r="H168" i="10" s="1"/>
  <c r="L167" i="3"/>
  <c r="J167" i="6" s="1"/>
  <c r="E168" i="10" s="1"/>
  <c r="I159" i="6"/>
  <c r="G160" i="10" s="1"/>
  <c r="L159" i="3"/>
  <c r="J159" i="6" s="1"/>
  <c r="E160" i="10" s="1"/>
  <c r="I135" i="6"/>
  <c r="G136" i="10" s="1"/>
  <c r="L135" i="3"/>
  <c r="J135" i="6" s="1"/>
  <c r="E136" i="10" s="1"/>
  <c r="I127" i="6"/>
  <c r="G128" i="10" s="1"/>
  <c r="L127" i="3"/>
  <c r="J127" i="6" s="1"/>
  <c r="E128" i="10" s="1"/>
  <c r="I119" i="6"/>
  <c r="H120" i="10" s="1"/>
  <c r="L119" i="3"/>
  <c r="J119" i="6" s="1"/>
  <c r="E120" i="10" s="1"/>
  <c r="I111" i="6"/>
  <c r="D112" i="10" s="1"/>
  <c r="L111" i="3"/>
  <c r="J111" i="6" s="1"/>
  <c r="E112" i="10" s="1"/>
  <c r="I103" i="6"/>
  <c r="G104" i="10" s="1"/>
  <c r="L103" i="3"/>
  <c r="J103" i="6" s="1"/>
  <c r="E104" i="10" s="1"/>
  <c r="I95" i="6"/>
  <c r="H96" i="10" s="1"/>
  <c r="L95" i="3"/>
  <c r="J95" i="6" s="1"/>
  <c r="E96" i="10" s="1"/>
  <c r="I87" i="6"/>
  <c r="H88" i="10" s="1"/>
  <c r="L87" i="3"/>
  <c r="J87" i="6" s="1"/>
  <c r="E88" i="10" s="1"/>
  <c r="I39" i="6"/>
  <c r="G40" i="10" s="1"/>
  <c r="L39" i="3"/>
  <c r="J39" i="6" s="1"/>
  <c r="E40" i="10" s="1"/>
  <c r="I15" i="6"/>
  <c r="H16" i="10" s="1"/>
  <c r="L15" i="3"/>
  <c r="J15" i="6" s="1"/>
  <c r="E16" i="10" s="1"/>
  <c r="I7" i="6"/>
  <c r="H8" i="10" s="1"/>
  <c r="L7" i="3"/>
  <c r="J7" i="6" s="1"/>
  <c r="E8" i="10" s="1"/>
  <c r="I292" i="6"/>
  <c r="H293" i="10" s="1"/>
  <c r="L292" i="3"/>
  <c r="J292" i="6" s="1"/>
  <c r="E293" i="10" s="1"/>
  <c r="I268" i="6"/>
  <c r="H269" i="10" s="1"/>
  <c r="L268" i="3"/>
  <c r="J268" i="6" s="1"/>
  <c r="E269" i="10" s="1"/>
  <c r="I273" i="6"/>
  <c r="G274" i="10" s="1"/>
  <c r="L273" i="3"/>
  <c r="J273" i="6" s="1"/>
  <c r="E274" i="10" s="1"/>
  <c r="I217" i="6"/>
  <c r="H218" i="10" s="1"/>
  <c r="L217" i="3"/>
  <c r="J217" i="6" s="1"/>
  <c r="E218" i="10" s="1"/>
  <c r="I209" i="6"/>
  <c r="H210" i="10" s="1"/>
  <c r="L209" i="3"/>
  <c r="J209" i="6" s="1"/>
  <c r="E210" i="10" s="1"/>
  <c r="I179" i="6"/>
  <c r="H180" i="10" s="1"/>
  <c r="L179" i="3"/>
  <c r="J179" i="6" s="1"/>
  <c r="E180" i="10" s="1"/>
  <c r="I171" i="6"/>
  <c r="H172" i="10" s="1"/>
  <c r="L171" i="3"/>
  <c r="J171" i="6" s="1"/>
  <c r="E172" i="10" s="1"/>
  <c r="I155" i="6"/>
  <c r="G156" i="10" s="1"/>
  <c r="L155" i="3"/>
  <c r="J155" i="6" s="1"/>
  <c r="E156" i="10" s="1"/>
  <c r="I147" i="6"/>
  <c r="G148" i="10" s="1"/>
  <c r="L147" i="3"/>
  <c r="J147" i="6" s="1"/>
  <c r="E148" i="10" s="1"/>
  <c r="I139" i="6"/>
  <c r="D140" i="10" s="1"/>
  <c r="L139" i="3"/>
  <c r="J139" i="6" s="1"/>
  <c r="E140" i="10" s="1"/>
  <c r="I123" i="6"/>
  <c r="H124" i="10" s="1"/>
  <c r="L123" i="3"/>
  <c r="J123" i="6" s="1"/>
  <c r="E124" i="10" s="1"/>
  <c r="I91" i="6"/>
  <c r="G92" i="10" s="1"/>
  <c r="L91" i="3"/>
  <c r="J91" i="6" s="1"/>
  <c r="E92" i="10" s="1"/>
  <c r="I83" i="6"/>
  <c r="G84" i="10" s="1"/>
  <c r="L83" i="3"/>
  <c r="J83" i="6" s="1"/>
  <c r="E84" i="10" s="1"/>
  <c r="I59" i="6"/>
  <c r="H60" i="10" s="1"/>
  <c r="L59" i="3"/>
  <c r="J59" i="6" s="1"/>
  <c r="E60" i="10" s="1"/>
  <c r="I51" i="6"/>
  <c r="H52" i="10" s="1"/>
  <c r="L51" i="3"/>
  <c r="J51" i="6" s="1"/>
  <c r="E52" i="10" s="1"/>
  <c r="I43" i="6"/>
  <c r="G44" i="10" s="1"/>
  <c r="L43" i="3"/>
  <c r="J43" i="6" s="1"/>
  <c r="E44" i="10" s="1"/>
  <c r="I27" i="6"/>
  <c r="H28" i="10" s="1"/>
  <c r="L27" i="3"/>
  <c r="J27" i="6" s="1"/>
  <c r="E28" i="10" s="1"/>
  <c r="I19" i="6"/>
  <c r="H20" i="10" s="1"/>
  <c r="L19" i="3"/>
  <c r="J19" i="6" s="1"/>
  <c r="E20" i="10" s="1"/>
  <c r="I11" i="6"/>
  <c r="H12" i="10" s="1"/>
  <c r="L11" i="3"/>
  <c r="J11" i="6" s="1"/>
  <c r="E12" i="10" s="1"/>
  <c r="I191" i="6"/>
  <c r="L191" i="3"/>
  <c r="J191" i="6" s="1"/>
  <c r="E192" i="10" s="1"/>
  <c r="H192" i="6"/>
  <c r="K192" i="3"/>
  <c r="F11" i="7"/>
  <c r="H195" i="6"/>
  <c r="K195" i="3"/>
  <c r="K196" i="3"/>
  <c r="H196" i="6"/>
  <c r="H215" i="6"/>
  <c r="K215" i="3"/>
  <c r="H199" i="6"/>
  <c r="K199" i="3"/>
  <c r="K212" i="3"/>
  <c r="H212" i="6"/>
  <c r="J19" i="7"/>
  <c r="H211" i="6"/>
  <c r="K211" i="3"/>
  <c r="H208" i="6"/>
  <c r="K208" i="3"/>
  <c r="B19" i="7"/>
  <c r="D3" i="13"/>
  <c r="H200" i="6"/>
  <c r="K200" i="3"/>
  <c r="H207" i="6"/>
  <c r="K207" i="3"/>
  <c r="H219" i="6"/>
  <c r="K219" i="3"/>
  <c r="H203" i="6"/>
  <c r="K203" i="3"/>
  <c r="H216" i="6"/>
  <c r="K216" i="3"/>
  <c r="K204" i="3"/>
  <c r="H204" i="6"/>
  <c r="E19" i="7"/>
  <c r="B9" i="13"/>
  <c r="D9" i="13" s="1"/>
  <c r="I5" i="6" l="1"/>
  <c r="D6" i="10" s="1"/>
  <c r="K13" i="8"/>
  <c r="L125" i="3"/>
  <c r="J125" i="6" s="1"/>
  <c r="E126" i="10" s="1"/>
  <c r="L299" i="3"/>
  <c r="J299" i="6" s="1"/>
  <c r="E300" i="10" s="1"/>
  <c r="I12" i="6"/>
  <c r="H13" i="10" s="1"/>
  <c r="L154" i="3"/>
  <c r="J154" i="6" s="1"/>
  <c r="E155" i="10" s="1"/>
  <c r="L105" i="3"/>
  <c r="J105" i="6" s="1"/>
  <c r="E106" i="10" s="1"/>
  <c r="I66" i="6"/>
  <c r="G67" i="10" s="1"/>
  <c r="L84" i="3"/>
  <c r="J84" i="6" s="1"/>
  <c r="E85" i="10" s="1"/>
  <c r="I214" i="6"/>
  <c r="D215" i="10" s="1"/>
  <c r="I205" i="6"/>
  <c r="H206" i="10" s="1"/>
  <c r="I198" i="6"/>
  <c r="H199" i="10" s="1"/>
  <c r="L252" i="3"/>
  <c r="J252" i="6" s="1"/>
  <c r="E253" i="10" s="1"/>
  <c r="L138" i="3"/>
  <c r="J138" i="6" s="1"/>
  <c r="E139" i="10" s="1"/>
  <c r="I149" i="6"/>
  <c r="H150" i="10" s="1"/>
  <c r="I45" i="6"/>
  <c r="H46" i="10" s="1"/>
  <c r="I157" i="6"/>
  <c r="D158" i="10" s="1"/>
  <c r="L104" i="3"/>
  <c r="J104" i="6" s="1"/>
  <c r="E105" i="10" s="1"/>
  <c r="L163" i="3"/>
  <c r="J163" i="6" s="1"/>
  <c r="E164" i="10" s="1"/>
  <c r="I23" i="6"/>
  <c r="G24" i="10" s="1"/>
  <c r="L131" i="3"/>
  <c r="J131" i="6" s="1"/>
  <c r="E132" i="10" s="1"/>
  <c r="I54" i="6"/>
  <c r="D55" i="10" s="1"/>
  <c r="L52" i="3"/>
  <c r="J52" i="6" s="1"/>
  <c r="E53" i="10" s="1"/>
  <c r="L100" i="3"/>
  <c r="J100" i="6" s="1"/>
  <c r="E101" i="10" s="1"/>
  <c r="L156" i="3"/>
  <c r="J156" i="6" s="1"/>
  <c r="E157" i="10" s="1"/>
  <c r="H5" i="10"/>
  <c r="I271" i="6"/>
  <c r="G272" i="10" s="1"/>
  <c r="I265" i="6"/>
  <c r="G266" i="10" s="1"/>
  <c r="B3" i="14"/>
  <c r="C3" i="14" s="1"/>
  <c r="I74" i="6"/>
  <c r="G75" i="10" s="1"/>
  <c r="L240" i="3"/>
  <c r="J240" i="6" s="1"/>
  <c r="E241" i="10" s="1"/>
  <c r="L10" i="3"/>
  <c r="J10" i="6" s="1"/>
  <c r="E11" i="10" s="1"/>
  <c r="I250" i="6"/>
  <c r="G251" i="10" s="1"/>
  <c r="L67" i="3"/>
  <c r="J67" i="6" s="1"/>
  <c r="E68" i="10" s="1"/>
  <c r="I300" i="6"/>
  <c r="G301" i="10" s="1"/>
  <c r="L274" i="3"/>
  <c r="J274" i="6" s="1"/>
  <c r="E275" i="10" s="1"/>
  <c r="L114" i="3"/>
  <c r="J114" i="6" s="1"/>
  <c r="E115" i="10" s="1"/>
  <c r="L182" i="3"/>
  <c r="J182" i="6" s="1"/>
  <c r="E183" i="10" s="1"/>
  <c r="I40" i="6"/>
  <c r="H41" i="10" s="1"/>
  <c r="L107" i="3"/>
  <c r="J107" i="6" s="1"/>
  <c r="E108" i="10" s="1"/>
  <c r="I242" i="6"/>
  <c r="D243" i="10" s="1"/>
  <c r="I277" i="6"/>
  <c r="D278" i="10" s="1"/>
  <c r="I187" i="6"/>
  <c r="H188" i="10" s="1"/>
  <c r="L108" i="3"/>
  <c r="J108" i="6" s="1"/>
  <c r="E109" i="10" s="1"/>
  <c r="L255" i="3"/>
  <c r="J255" i="6" s="1"/>
  <c r="E256" i="10" s="1"/>
  <c r="I260" i="6"/>
  <c r="D261" i="10" s="1"/>
  <c r="I241" i="6"/>
  <c r="G242" i="10" s="1"/>
  <c r="L128" i="3"/>
  <c r="J128" i="6" s="1"/>
  <c r="E129" i="10" s="1"/>
  <c r="L188" i="3"/>
  <c r="J188" i="6" s="1"/>
  <c r="E189" i="10" s="1"/>
  <c r="L289" i="3"/>
  <c r="J289" i="6" s="1"/>
  <c r="E290" i="10" s="1"/>
  <c r="I231" i="6"/>
  <c r="H232" i="10" s="1"/>
  <c r="I236" i="6"/>
  <c r="D237" i="10" s="1"/>
  <c r="L63" i="3"/>
  <c r="J63" i="6" s="1"/>
  <c r="E64" i="10" s="1"/>
  <c r="B8" i="13"/>
  <c r="D8" i="13" s="1"/>
  <c r="L46" i="3"/>
  <c r="J46" i="6" s="1"/>
  <c r="E47" i="10" s="1"/>
  <c r="I28" i="6"/>
  <c r="H29" i="10" s="1"/>
  <c r="I202" i="6"/>
  <c r="D203" i="10" s="1"/>
  <c r="L18" i="3"/>
  <c r="J18" i="6" s="1"/>
  <c r="E19" i="10" s="1"/>
  <c r="I113" i="6"/>
  <c r="D114" i="10" s="1"/>
  <c r="L233" i="3"/>
  <c r="J233" i="6" s="1"/>
  <c r="E234" i="10" s="1"/>
  <c r="L230" i="3"/>
  <c r="J230" i="6" s="1"/>
  <c r="E231" i="10" s="1"/>
  <c r="L246" i="3"/>
  <c r="J246" i="6" s="1"/>
  <c r="E247" i="10" s="1"/>
  <c r="L142" i="3"/>
  <c r="J142" i="6" s="1"/>
  <c r="E143" i="10" s="1"/>
  <c r="I197" i="6"/>
  <c r="G198" i="10" s="1"/>
  <c r="L183" i="3"/>
  <c r="J183" i="6" s="1"/>
  <c r="E184" i="10" s="1"/>
  <c r="L257" i="3"/>
  <c r="J257" i="6" s="1"/>
  <c r="E258" i="10" s="1"/>
  <c r="L178" i="3"/>
  <c r="J178" i="6" s="1"/>
  <c r="E179" i="10" s="1"/>
  <c r="L116" i="3"/>
  <c r="J116" i="6" s="1"/>
  <c r="E117" i="10" s="1"/>
  <c r="L86" i="3"/>
  <c r="J86" i="6" s="1"/>
  <c r="E87" i="10" s="1"/>
  <c r="L75" i="3"/>
  <c r="J75" i="6" s="1"/>
  <c r="E76" i="10" s="1"/>
  <c r="L284" i="3"/>
  <c r="J284" i="6" s="1"/>
  <c r="E285" i="10" s="1"/>
  <c r="I254" i="6"/>
  <c r="H255" i="10" s="1"/>
  <c r="L50" i="3"/>
  <c r="J50" i="6" s="1"/>
  <c r="E51" i="10" s="1"/>
  <c r="L13" i="3"/>
  <c r="J13" i="6" s="1"/>
  <c r="E14" i="10" s="1"/>
  <c r="L117" i="3"/>
  <c r="J117" i="6" s="1"/>
  <c r="E118" i="10" s="1"/>
  <c r="L282" i="3"/>
  <c r="J282" i="6" s="1"/>
  <c r="E283" i="10" s="1"/>
  <c r="I281" i="6"/>
  <c r="G282" i="10" s="1"/>
  <c r="L94" i="3"/>
  <c r="J94" i="6" s="1"/>
  <c r="E95" i="10" s="1"/>
  <c r="I201" i="6"/>
  <c r="H202" i="10" s="1"/>
  <c r="L65" i="3"/>
  <c r="J65" i="6" s="1"/>
  <c r="E66" i="10" s="1"/>
  <c r="I251" i="6"/>
  <c r="G252" i="10" s="1"/>
  <c r="I261" i="6"/>
  <c r="G262" i="10" s="1"/>
  <c r="L288" i="3"/>
  <c r="J288" i="6" s="1"/>
  <c r="E289" i="10" s="1"/>
  <c r="L173" i="3"/>
  <c r="J173" i="6" s="1"/>
  <c r="E174" i="10" s="1"/>
  <c r="I80" i="6"/>
  <c r="G81" i="10" s="1"/>
  <c r="I32" i="6"/>
  <c r="G33" i="10" s="1"/>
  <c r="L88" i="3"/>
  <c r="J88" i="6" s="1"/>
  <c r="E89" i="10" s="1"/>
  <c r="I145" i="6"/>
  <c r="G146" i="10" s="1"/>
  <c r="L226" i="3"/>
  <c r="J226" i="6" s="1"/>
  <c r="E227" i="10" s="1"/>
  <c r="I189" i="6"/>
  <c r="G190" i="10" s="1"/>
  <c r="F28" i="8"/>
  <c r="L194" i="3"/>
  <c r="J194" i="6" s="1"/>
  <c r="E195" i="10" s="1"/>
  <c r="L185" i="3"/>
  <c r="J185" i="6" s="1"/>
  <c r="E186" i="10" s="1"/>
  <c r="I249" i="6"/>
  <c r="G250" i="10" s="1"/>
  <c r="L79" i="3"/>
  <c r="J79" i="6" s="1"/>
  <c r="E80" i="10" s="1"/>
  <c r="L259" i="3"/>
  <c r="J259" i="6" s="1"/>
  <c r="E260" i="10" s="1"/>
  <c r="I71" i="6"/>
  <c r="G72" i="10" s="1"/>
  <c r="I55" i="6"/>
  <c r="H56" i="10" s="1"/>
  <c r="L228" i="3"/>
  <c r="J228" i="6" s="1"/>
  <c r="E229" i="10" s="1"/>
  <c r="L302" i="3"/>
  <c r="J302" i="6" s="1"/>
  <c r="E303" i="10" s="1"/>
  <c r="L78" i="3"/>
  <c r="J78" i="6" s="1"/>
  <c r="E79" i="10" s="1"/>
  <c r="L224" i="3"/>
  <c r="J224" i="6" s="1"/>
  <c r="E225" i="10" s="1"/>
  <c r="L132" i="3"/>
  <c r="J132" i="6" s="1"/>
  <c r="E133" i="10" s="1"/>
  <c r="L146" i="3"/>
  <c r="J146" i="6" s="1"/>
  <c r="E147" i="10" s="1"/>
  <c r="L93" i="3"/>
  <c r="J93" i="6" s="1"/>
  <c r="E94" i="10" s="1"/>
  <c r="L22" i="3"/>
  <c r="J22" i="6" s="1"/>
  <c r="E23" i="10" s="1"/>
  <c r="L264" i="3"/>
  <c r="J264" i="6" s="1"/>
  <c r="E265" i="10" s="1"/>
  <c r="L297" i="3"/>
  <c r="J297" i="6" s="1"/>
  <c r="E298" i="10" s="1"/>
  <c r="L31" i="3"/>
  <c r="J31" i="6" s="1"/>
  <c r="E32" i="10" s="1"/>
  <c r="L186" i="3"/>
  <c r="J186" i="6" s="1"/>
  <c r="E187" i="10" s="1"/>
  <c r="I225" i="6"/>
  <c r="D226" i="10" s="1"/>
  <c r="L190" i="3"/>
  <c r="J190" i="6" s="1"/>
  <c r="E191" i="10" s="1"/>
  <c r="I235" i="6"/>
  <c r="G236" i="10" s="1"/>
  <c r="I229" i="6"/>
  <c r="G230" i="10" s="1"/>
  <c r="I121" i="6"/>
  <c r="G122" i="10" s="1"/>
  <c r="L70" i="3"/>
  <c r="J70" i="6" s="1"/>
  <c r="E71" i="10" s="1"/>
  <c r="I285" i="6"/>
  <c r="G286" i="10" s="1"/>
  <c r="L20" i="3"/>
  <c r="J20" i="6" s="1"/>
  <c r="E21" i="10" s="1"/>
  <c r="L275" i="3"/>
  <c r="J275" i="6" s="1"/>
  <c r="E276" i="10" s="1"/>
  <c r="I244" i="6"/>
  <c r="H245" i="10" s="1"/>
  <c r="L158" i="3"/>
  <c r="J158" i="6" s="1"/>
  <c r="E159" i="10" s="1"/>
  <c r="I170" i="6"/>
  <c r="H171" i="10" s="1"/>
  <c r="I89" i="6"/>
  <c r="G90" i="10" s="1"/>
  <c r="L269" i="3"/>
  <c r="J269" i="6" s="1"/>
  <c r="E270" i="10" s="1"/>
  <c r="L35" i="3"/>
  <c r="J35" i="6" s="1"/>
  <c r="E36" i="10" s="1"/>
  <c r="L21" i="3"/>
  <c r="J21" i="6" s="1"/>
  <c r="E22" i="10" s="1"/>
  <c r="I256" i="6"/>
  <c r="G257" i="10" s="1"/>
  <c r="L136" i="3"/>
  <c r="J136" i="6" s="1"/>
  <c r="E137" i="10" s="1"/>
  <c r="L90" i="3"/>
  <c r="J90" i="6" s="1"/>
  <c r="E91" i="10" s="1"/>
  <c r="B5" i="13"/>
  <c r="D5" i="13" s="1"/>
  <c r="D4" i="13"/>
  <c r="I245" i="6"/>
  <c r="D246" i="10" s="1"/>
  <c r="L62" i="3"/>
  <c r="J62" i="6" s="1"/>
  <c r="E63" i="10" s="1"/>
  <c r="L143" i="3"/>
  <c r="J143" i="6" s="1"/>
  <c r="E144" i="10" s="1"/>
  <c r="L37" i="3"/>
  <c r="J37" i="6" s="1"/>
  <c r="E38" i="10" s="1"/>
  <c r="L14" i="3"/>
  <c r="J14" i="6" s="1"/>
  <c r="E15" i="10" s="1"/>
  <c r="L99" i="3"/>
  <c r="J99" i="6" s="1"/>
  <c r="E100" i="10" s="1"/>
  <c r="L253" i="3"/>
  <c r="J253" i="6" s="1"/>
  <c r="E254" i="10" s="1"/>
  <c r="L38" i="3"/>
  <c r="J38" i="6" s="1"/>
  <c r="E39" i="10" s="1"/>
  <c r="L118" i="3"/>
  <c r="J118" i="6" s="1"/>
  <c r="E119" i="10" s="1"/>
  <c r="L150" i="3"/>
  <c r="J150" i="6" s="1"/>
  <c r="E151" i="10" s="1"/>
  <c r="L130" i="3"/>
  <c r="J130" i="6" s="1"/>
  <c r="E131" i="10" s="1"/>
  <c r="L97" i="3"/>
  <c r="J97" i="6" s="1"/>
  <c r="E98" i="10" s="1"/>
  <c r="L303" i="3"/>
  <c r="J303" i="6" s="1"/>
  <c r="E304" i="10" s="1"/>
  <c r="L115" i="3"/>
  <c r="J115" i="6" s="1"/>
  <c r="E116" i="10" s="1"/>
  <c r="G268" i="10"/>
  <c r="L293" i="3"/>
  <c r="J293" i="6" s="1"/>
  <c r="E294" i="10" s="1"/>
  <c r="L151" i="3"/>
  <c r="J151" i="6" s="1"/>
  <c r="E152" i="10" s="1"/>
  <c r="H154" i="10"/>
  <c r="L280" i="3"/>
  <c r="J280" i="6" s="1"/>
  <c r="E281" i="10" s="1"/>
  <c r="I24" i="6"/>
  <c r="H25" i="10" s="1"/>
  <c r="I168" i="6"/>
  <c r="G169" i="10" s="1"/>
  <c r="L152" i="3"/>
  <c r="J152" i="6" s="1"/>
  <c r="E153" i="10" s="1"/>
  <c r="D300" i="10"/>
  <c r="L181" i="3"/>
  <c r="J181" i="6" s="1"/>
  <c r="E182" i="10" s="1"/>
  <c r="L64" i="3"/>
  <c r="J64" i="6" s="1"/>
  <c r="E65" i="10" s="1"/>
  <c r="G45" i="10"/>
  <c r="L184" i="3"/>
  <c r="J184" i="6" s="1"/>
  <c r="E185" i="10" s="1"/>
  <c r="L57" i="3"/>
  <c r="J57" i="6" s="1"/>
  <c r="E58" i="10" s="1"/>
  <c r="D138" i="10"/>
  <c r="I144" i="6"/>
  <c r="D145" i="10" s="1"/>
  <c r="L34" i="3"/>
  <c r="J34" i="6" s="1"/>
  <c r="E35" i="10" s="1"/>
  <c r="G249" i="10"/>
  <c r="H249" i="10"/>
  <c r="L248" i="3"/>
  <c r="J248" i="6" s="1"/>
  <c r="E249" i="10" s="1"/>
  <c r="L42" i="3"/>
  <c r="J42" i="6" s="1"/>
  <c r="E43" i="10" s="1"/>
  <c r="L162" i="3"/>
  <c r="J162" i="6" s="1"/>
  <c r="E163" i="10" s="1"/>
  <c r="H139" i="10"/>
  <c r="G155" i="10"/>
  <c r="L276" i="3"/>
  <c r="J276" i="6" s="1"/>
  <c r="E277" i="10" s="1"/>
  <c r="L47" i="3"/>
  <c r="J47" i="6" s="1"/>
  <c r="E48" i="10" s="1"/>
  <c r="L73" i="3"/>
  <c r="J73" i="6" s="1"/>
  <c r="E74" i="10" s="1"/>
  <c r="H107" i="10"/>
  <c r="H43" i="10"/>
  <c r="L122" i="3"/>
  <c r="J122" i="6" s="1"/>
  <c r="E123" i="10" s="1"/>
  <c r="D61" i="10"/>
  <c r="D268" i="10"/>
  <c r="G281" i="10"/>
  <c r="H62" i="10"/>
  <c r="G61" i="10"/>
  <c r="D249" i="10"/>
  <c r="D281" i="10"/>
  <c r="G300" i="10"/>
  <c r="D62" i="10"/>
  <c r="D77" i="10"/>
  <c r="G137" i="10"/>
  <c r="D45" i="10"/>
  <c r="H77" i="10"/>
  <c r="H121" i="10"/>
  <c r="L58" i="3"/>
  <c r="J58" i="6" s="1"/>
  <c r="E59" i="10" s="1"/>
  <c r="L169" i="3"/>
  <c r="J169" i="6" s="1"/>
  <c r="E170" i="10" s="1"/>
  <c r="L9" i="3"/>
  <c r="J9" i="6" s="1"/>
  <c r="E10" i="10" s="1"/>
  <c r="L81" i="3"/>
  <c r="J81" i="6" s="1"/>
  <c r="E82" i="10" s="1"/>
  <c r="D22" i="10"/>
  <c r="D276" i="10"/>
  <c r="H23" i="10"/>
  <c r="H118" i="10"/>
  <c r="L221" i="3"/>
  <c r="J221" i="6" s="1"/>
  <c r="E222" i="10" s="1"/>
  <c r="G260" i="10"/>
  <c r="D87" i="10"/>
  <c r="H166" i="10"/>
  <c r="G73" i="10"/>
  <c r="G225" i="10"/>
  <c r="H151" i="10"/>
  <c r="G26" i="10"/>
  <c r="G195" i="10"/>
  <c r="L161" i="3"/>
  <c r="J161" i="6" s="1"/>
  <c r="E162" i="10" s="1"/>
  <c r="D244" i="10"/>
  <c r="G103" i="10"/>
  <c r="D167" i="10"/>
  <c r="G70" i="10"/>
  <c r="D134" i="10"/>
  <c r="D101" i="10"/>
  <c r="G165" i="10"/>
  <c r="G275" i="10"/>
  <c r="D9" i="10"/>
  <c r="G211" i="10"/>
  <c r="L96" i="3"/>
  <c r="J96" i="6" s="1"/>
  <c r="E97" i="10" s="1"/>
  <c r="D275" i="10"/>
  <c r="G182" i="10"/>
  <c r="G280" i="10"/>
  <c r="L180" i="3"/>
  <c r="J180" i="6" s="1"/>
  <c r="E181" i="10" s="1"/>
  <c r="L220" i="3"/>
  <c r="J220" i="6" s="1"/>
  <c r="E221" i="10" s="1"/>
  <c r="I26" i="6"/>
  <c r="H27" i="10" s="1"/>
  <c r="G241" i="10"/>
  <c r="H228" i="10"/>
  <c r="G292" i="10"/>
  <c r="G7" i="10"/>
  <c r="H119" i="10"/>
  <c r="H167" i="10"/>
  <c r="D86" i="10"/>
  <c r="G134" i="10"/>
  <c r="D133" i="10"/>
  <c r="D54" i="10"/>
  <c r="D184" i="10"/>
  <c r="D260" i="10"/>
  <c r="G276" i="10"/>
  <c r="D292" i="10"/>
  <c r="D23" i="10"/>
  <c r="H87" i="10"/>
  <c r="D135" i="10"/>
  <c r="G22" i="10"/>
  <c r="G102" i="10"/>
  <c r="G166" i="10"/>
  <c r="G54" i="10"/>
  <c r="H184" i="10"/>
  <c r="H291" i="10"/>
  <c r="D73" i="10"/>
  <c r="G227" i="10"/>
  <c r="L82" i="3"/>
  <c r="J82" i="6" s="1"/>
  <c r="E83" i="10" s="1"/>
  <c r="L17" i="3"/>
  <c r="J17" i="6" s="1"/>
  <c r="E18" i="10" s="1"/>
  <c r="L129" i="3"/>
  <c r="J129" i="6" s="1"/>
  <c r="E130" i="10" s="1"/>
  <c r="D16" i="10"/>
  <c r="G96" i="10"/>
  <c r="D241" i="10"/>
  <c r="G289" i="10"/>
  <c r="D7" i="10"/>
  <c r="D59" i="10"/>
  <c r="D264" i="10"/>
  <c r="D225" i="10"/>
  <c r="G273" i="10"/>
  <c r="G228" i="10"/>
  <c r="G244" i="10"/>
  <c r="D39" i="10"/>
  <c r="H71" i="10"/>
  <c r="G119" i="10"/>
  <c r="D151" i="10"/>
  <c r="H70" i="10"/>
  <c r="G86" i="10"/>
  <c r="D118" i="10"/>
  <c r="D165" i="10"/>
  <c r="H57" i="10"/>
  <c r="H89" i="10"/>
  <c r="G11" i="10"/>
  <c r="H10" i="10"/>
  <c r="D42" i="10"/>
  <c r="D74" i="10"/>
  <c r="G138" i="10"/>
  <c r="D170" i="10"/>
  <c r="D211" i="10"/>
  <c r="D273" i="10"/>
  <c r="H289" i="10"/>
  <c r="G39" i="10"/>
  <c r="D71" i="10"/>
  <c r="D103" i="10"/>
  <c r="H135" i="10"/>
  <c r="H102" i="10"/>
  <c r="D37" i="10"/>
  <c r="H101" i="10"/>
  <c r="G149" i="10"/>
  <c r="H38" i="10"/>
  <c r="H259" i="10"/>
  <c r="G105" i="10"/>
  <c r="D137" i="10"/>
  <c r="G59" i="10"/>
  <c r="D91" i="10"/>
  <c r="G123" i="10"/>
  <c r="D155" i="10"/>
  <c r="G42" i="10"/>
  <c r="G74" i="10"/>
  <c r="D106" i="10"/>
  <c r="G264" i="10"/>
  <c r="D296" i="10"/>
  <c r="H21" i="10"/>
  <c r="H69" i="10"/>
  <c r="G85" i="10"/>
  <c r="G117" i="10"/>
  <c r="D176" i="10"/>
  <c r="H37" i="10"/>
  <c r="G53" i="10"/>
  <c r="D69" i="10"/>
  <c r="H133" i="10"/>
  <c r="D38" i="10"/>
  <c r="D291" i="10"/>
  <c r="H9" i="10"/>
  <c r="D105" i="10"/>
  <c r="H153" i="10"/>
  <c r="G91" i="10"/>
  <c r="D123" i="10"/>
  <c r="D10" i="10"/>
  <c r="H58" i="10"/>
  <c r="G106" i="10"/>
  <c r="H170" i="10"/>
  <c r="H248" i="10"/>
  <c r="H296" i="10"/>
  <c r="D80" i="10"/>
  <c r="H160" i="10"/>
  <c r="H183" i="10"/>
  <c r="D32" i="10"/>
  <c r="H128" i="10"/>
  <c r="H64" i="10"/>
  <c r="D144" i="10"/>
  <c r="G93" i="10"/>
  <c r="D93" i="10"/>
  <c r="G109" i="10"/>
  <c r="D109" i="10"/>
  <c r="H109" i="10"/>
  <c r="G125" i="10"/>
  <c r="D125" i="10"/>
  <c r="H125" i="10"/>
  <c r="D141" i="10"/>
  <c r="H141" i="10"/>
  <c r="D157" i="10"/>
  <c r="H157" i="10"/>
  <c r="G173" i="10"/>
  <c r="H173" i="10"/>
  <c r="H15" i="10"/>
  <c r="D15" i="10"/>
  <c r="G31" i="10"/>
  <c r="H31" i="10"/>
  <c r="D47" i="10"/>
  <c r="H47" i="10"/>
  <c r="G63" i="10"/>
  <c r="D63" i="10"/>
  <c r="H63" i="10"/>
  <c r="G79" i="10"/>
  <c r="D79" i="10"/>
  <c r="H95" i="10"/>
  <c r="G95" i="10"/>
  <c r="D111" i="10"/>
  <c r="H111" i="10"/>
  <c r="G127" i="10"/>
  <c r="D127" i="10"/>
  <c r="H127" i="10"/>
  <c r="G143" i="10"/>
  <c r="D143" i="10"/>
  <c r="H159" i="10"/>
  <c r="G159" i="10"/>
  <c r="D175" i="10"/>
  <c r="G175" i="10"/>
  <c r="H14" i="10"/>
  <c r="D14" i="10"/>
  <c r="G14" i="10"/>
  <c r="D30" i="10"/>
  <c r="G30" i="10"/>
  <c r="G78" i="10"/>
  <c r="D78" i="10"/>
  <c r="H94" i="10"/>
  <c r="G94" i="10"/>
  <c r="D110" i="10"/>
  <c r="H110" i="10"/>
  <c r="G126" i="10"/>
  <c r="D126" i="10"/>
  <c r="H126" i="10"/>
  <c r="G142" i="10"/>
  <c r="D142" i="10"/>
  <c r="D174" i="10"/>
  <c r="G174" i="10"/>
  <c r="H233" i="10"/>
  <c r="D233" i="10"/>
  <c r="G265" i="10"/>
  <c r="D265" i="10"/>
  <c r="D297" i="10"/>
  <c r="G297" i="10"/>
  <c r="D284" i="10"/>
  <c r="G284" i="10"/>
  <c r="H17" i="10"/>
  <c r="G17" i="10"/>
  <c r="D49" i="10"/>
  <c r="G49" i="10"/>
  <c r="D65" i="10"/>
  <c r="G65" i="10"/>
  <c r="H97" i="10"/>
  <c r="G97" i="10"/>
  <c r="D97" i="10"/>
  <c r="D113" i="10"/>
  <c r="H113" i="10"/>
  <c r="D129" i="10"/>
  <c r="H129" i="10"/>
  <c r="G161" i="10"/>
  <c r="H161" i="10"/>
  <c r="D177" i="10"/>
  <c r="H177" i="10"/>
  <c r="D19" i="10"/>
  <c r="H19" i="10"/>
  <c r="H35" i="10"/>
  <c r="G35" i="10"/>
  <c r="D35" i="10"/>
  <c r="H51" i="10"/>
  <c r="G51" i="10"/>
  <c r="D51" i="10"/>
  <c r="D83" i="10"/>
  <c r="H83" i="10"/>
  <c r="G99" i="10"/>
  <c r="H99" i="10"/>
  <c r="G115" i="10"/>
  <c r="H115" i="10"/>
  <c r="D131" i="10"/>
  <c r="G131" i="10"/>
  <c r="D147" i="10"/>
  <c r="G147" i="10"/>
  <c r="G163" i="10"/>
  <c r="H163" i="10"/>
  <c r="D163" i="10"/>
  <c r="G179" i="10"/>
  <c r="H179" i="10"/>
  <c r="D179" i="10"/>
  <c r="D18" i="10"/>
  <c r="G18" i="10"/>
  <c r="H34" i="10"/>
  <c r="G34" i="10"/>
  <c r="G50" i="10"/>
  <c r="H50" i="10"/>
  <c r="G66" i="10"/>
  <c r="H66" i="10"/>
  <c r="D82" i="10"/>
  <c r="G82" i="10"/>
  <c r="D98" i="10"/>
  <c r="G98" i="10"/>
  <c r="H130" i="10"/>
  <c r="G130" i="10"/>
  <c r="D130" i="10"/>
  <c r="G162" i="10"/>
  <c r="D162" i="10"/>
  <c r="H178" i="10"/>
  <c r="G178" i="10"/>
  <c r="H186" i="10"/>
  <c r="G186" i="10"/>
  <c r="D224" i="10"/>
  <c r="H224" i="10"/>
  <c r="G240" i="10"/>
  <c r="H240" i="10"/>
  <c r="G256" i="10"/>
  <c r="H256" i="10"/>
  <c r="D288" i="10"/>
  <c r="H288" i="10"/>
  <c r="G304" i="10"/>
  <c r="H304" i="10"/>
  <c r="D304" i="10"/>
  <c r="G219" i="10"/>
  <c r="H219" i="10"/>
  <c r="G235" i="10"/>
  <c r="H235" i="10"/>
  <c r="G267" i="10"/>
  <c r="H267" i="10"/>
  <c r="D267" i="10"/>
  <c r="D283" i="10"/>
  <c r="H283" i="10"/>
  <c r="H299" i="10"/>
  <c r="G299" i="10"/>
  <c r="G168" i="10"/>
  <c r="G152" i="10"/>
  <c r="H187" i="10"/>
  <c r="H32" i="10"/>
  <c r="H80" i="10"/>
  <c r="G112" i="10"/>
  <c r="G176" i="10"/>
  <c r="G16" i="10"/>
  <c r="G48" i="10"/>
  <c r="D96" i="10"/>
  <c r="H144" i="10"/>
  <c r="D160" i="10"/>
  <c r="H48" i="10"/>
  <c r="D64" i="10"/>
  <c r="H112" i="10"/>
  <c r="D128" i="10"/>
  <c r="G183" i="10"/>
  <c r="G21" i="10"/>
  <c r="H53" i="10"/>
  <c r="H85" i="10"/>
  <c r="H117" i="10"/>
  <c r="H149" i="10"/>
  <c r="H68" i="10"/>
  <c r="D259" i="10"/>
  <c r="D57" i="10"/>
  <c r="D89" i="10"/>
  <c r="D121" i="10"/>
  <c r="D153" i="10"/>
  <c r="D11" i="10"/>
  <c r="D43" i="10"/>
  <c r="D107" i="10"/>
  <c r="D139" i="10"/>
  <c r="D26" i="10"/>
  <c r="D58" i="10"/>
  <c r="D154" i="10"/>
  <c r="D182" i="10"/>
  <c r="D248" i="10"/>
  <c r="D280" i="10"/>
  <c r="D195" i="10"/>
  <c r="H227" i="10"/>
  <c r="H298" i="10"/>
  <c r="D180" i="10"/>
  <c r="H40" i="10"/>
  <c r="H290" i="10"/>
  <c r="G298" i="10"/>
  <c r="H277" i="10"/>
  <c r="D218" i="10"/>
  <c r="D293" i="10"/>
  <c r="G218" i="10"/>
  <c r="D229" i="10"/>
  <c r="G277" i="10"/>
  <c r="H258" i="10"/>
  <c r="D88" i="10"/>
  <c r="D258" i="10"/>
  <c r="G88" i="10"/>
  <c r="H104" i="10"/>
  <c r="D120" i="10"/>
  <c r="D274" i="10"/>
  <c r="G8" i="10"/>
  <c r="G120" i="10"/>
  <c r="H136" i="10"/>
  <c r="D152" i="10"/>
  <c r="D187" i="10"/>
  <c r="H274" i="10"/>
  <c r="H229" i="10"/>
  <c r="G293" i="10"/>
  <c r="D285" i="10"/>
  <c r="D148" i="10"/>
  <c r="G210" i="10"/>
  <c r="G285" i="10"/>
  <c r="G100" i="10"/>
  <c r="H221" i="10"/>
  <c r="H185" i="10"/>
  <c r="D263" i="10"/>
  <c r="G234" i="10"/>
  <c r="G36" i="10"/>
  <c r="H132" i="10"/>
  <c r="H223" i="10"/>
  <c r="D84" i="10"/>
  <c r="H164" i="10"/>
  <c r="D303" i="10"/>
  <c r="D52" i="10"/>
  <c r="H100" i="10"/>
  <c r="G132" i="10"/>
  <c r="G185" i="10"/>
  <c r="G270" i="10"/>
  <c r="D287" i="10"/>
  <c r="H234" i="10"/>
  <c r="G253" i="10"/>
  <c r="H36" i="10"/>
  <c r="G68" i="10"/>
  <c r="D116" i="10"/>
  <c r="G164" i="10"/>
  <c r="G222" i="10"/>
  <c r="D239" i="10"/>
  <c r="H44" i="10"/>
  <c r="G214" i="10"/>
  <c r="G254" i="10"/>
  <c r="G302" i="10"/>
  <c r="D207" i="10"/>
  <c r="G295" i="10"/>
  <c r="G76" i="10"/>
  <c r="D124" i="10"/>
  <c r="H238" i="10"/>
  <c r="D231" i="10"/>
  <c r="D271" i="10"/>
  <c r="D20" i="10"/>
  <c r="G172" i="10"/>
  <c r="G52" i="10"/>
  <c r="H84" i="10"/>
  <c r="G116" i="10"/>
  <c r="H148" i="10"/>
  <c r="D222" i="10"/>
  <c r="D238" i="10"/>
  <c r="D302" i="10"/>
  <c r="G207" i="10"/>
  <c r="G223" i="10"/>
  <c r="G247" i="10"/>
  <c r="G271" i="10"/>
  <c r="H287" i="10"/>
  <c r="G20" i="10"/>
  <c r="D60" i="10"/>
  <c r="G140" i="10"/>
  <c r="D221" i="10"/>
  <c r="G269" i="10"/>
  <c r="D181" i="10"/>
  <c r="D254" i="10"/>
  <c r="D270" i="10"/>
  <c r="G294" i="10"/>
  <c r="H239" i="10"/>
  <c r="H279" i="10"/>
  <c r="G303" i="10"/>
  <c r="H108" i="10"/>
  <c r="G180" i="10"/>
  <c r="D8" i="10"/>
  <c r="D40" i="10"/>
  <c r="D104" i="10"/>
  <c r="D136" i="10"/>
  <c r="D168" i="10"/>
  <c r="G290" i="10"/>
  <c r="D210" i="10"/>
  <c r="D253" i="10"/>
  <c r="D269" i="10"/>
  <c r="G12" i="10"/>
  <c r="H181" i="10"/>
  <c r="G189" i="10"/>
  <c r="D294" i="10"/>
  <c r="H231" i="10"/>
  <c r="H263" i="10"/>
  <c r="D295" i="10"/>
  <c r="G28" i="10"/>
  <c r="D44" i="10"/>
  <c r="G60" i="10"/>
  <c r="H92" i="10"/>
  <c r="D108" i="10"/>
  <c r="G124" i="10"/>
  <c r="H156" i="10"/>
  <c r="D172" i="10"/>
  <c r="D12" i="10"/>
  <c r="D189" i="10"/>
  <c r="D214" i="10"/>
  <c r="H247" i="10"/>
  <c r="G279" i="10"/>
  <c r="D28" i="10"/>
  <c r="H76" i="10"/>
  <c r="D92" i="10"/>
  <c r="H140" i="10"/>
  <c r="D156" i="10"/>
  <c r="I207" i="6"/>
  <c r="G208" i="10" s="1"/>
  <c r="L207" i="3"/>
  <c r="J207" i="6" s="1"/>
  <c r="E208" i="10" s="1"/>
  <c r="I211" i="6"/>
  <c r="G212" i="10" s="1"/>
  <c r="L211" i="3"/>
  <c r="J211" i="6" s="1"/>
  <c r="E212" i="10" s="1"/>
  <c r="I215" i="6"/>
  <c r="H216" i="10" s="1"/>
  <c r="L215" i="3"/>
  <c r="J215" i="6" s="1"/>
  <c r="E216" i="10" s="1"/>
  <c r="I212" i="6"/>
  <c r="G213" i="10" s="1"/>
  <c r="L212" i="3"/>
  <c r="J212" i="6" s="1"/>
  <c r="E213" i="10" s="1"/>
  <c r="I196" i="6"/>
  <c r="D197" i="10" s="1"/>
  <c r="L196" i="3"/>
  <c r="J196" i="6" s="1"/>
  <c r="E197" i="10" s="1"/>
  <c r="I192" i="6"/>
  <c r="D193" i="10" s="1"/>
  <c r="L192" i="3"/>
  <c r="J192" i="6" s="1"/>
  <c r="E193" i="10" s="1"/>
  <c r="D192" i="10"/>
  <c r="G192" i="10"/>
  <c r="H192" i="10"/>
  <c r="G191" i="10"/>
  <c r="H191" i="10"/>
  <c r="D191" i="10"/>
  <c r="I219" i="6"/>
  <c r="H220" i="10" s="1"/>
  <c r="L219" i="3"/>
  <c r="J219" i="6" s="1"/>
  <c r="E220" i="10" s="1"/>
  <c r="I200" i="6"/>
  <c r="H201" i="10" s="1"/>
  <c r="L200" i="3"/>
  <c r="J200" i="6" s="1"/>
  <c r="E201" i="10" s="1"/>
  <c r="I204" i="6"/>
  <c r="D205" i="10" s="1"/>
  <c r="L204" i="3"/>
  <c r="J204" i="6" s="1"/>
  <c r="E205" i="10" s="1"/>
  <c r="I208" i="6"/>
  <c r="D209" i="10" s="1"/>
  <c r="L208" i="3"/>
  <c r="J208" i="6" s="1"/>
  <c r="E209" i="10" s="1"/>
  <c r="I199" i="6"/>
  <c r="H200" i="10" s="1"/>
  <c r="L199" i="3"/>
  <c r="J199" i="6" s="1"/>
  <c r="E200" i="10" s="1"/>
  <c r="I195" i="6"/>
  <c r="D196" i="10" s="1"/>
  <c r="L195" i="3"/>
  <c r="J195" i="6" s="1"/>
  <c r="E196" i="10" s="1"/>
  <c r="I216" i="6"/>
  <c r="H217" i="10" s="1"/>
  <c r="L216" i="3"/>
  <c r="J216" i="6" s="1"/>
  <c r="E217" i="10" s="1"/>
  <c r="I203" i="6"/>
  <c r="H204" i="10" s="1"/>
  <c r="L203" i="3"/>
  <c r="J203" i="6" s="1"/>
  <c r="E204" i="10" s="1"/>
  <c r="H194" i="10"/>
  <c r="G194" i="10"/>
  <c r="D194" i="10"/>
  <c r="B7" i="14"/>
  <c r="C7" i="14" s="1"/>
  <c r="D67" i="10" l="1"/>
  <c r="H6" i="10"/>
  <c r="G6" i="10"/>
  <c r="D13" i="10"/>
  <c r="G171" i="10"/>
  <c r="D188" i="10"/>
  <c r="G188" i="10"/>
  <c r="G13" i="10"/>
  <c r="H55" i="10"/>
  <c r="H193" i="10"/>
  <c r="H67" i="10"/>
  <c r="H158" i="10"/>
  <c r="G215" i="10"/>
  <c r="H215" i="10"/>
  <c r="D206" i="10"/>
  <c r="G46" i="10"/>
  <c r="D199" i="10"/>
  <c r="G206" i="10"/>
  <c r="G199" i="10"/>
  <c r="G158" i="10"/>
  <c r="G150" i="10"/>
  <c r="D150" i="10"/>
  <c r="D24" i="10"/>
  <c r="H24" i="10"/>
  <c r="D46" i="10"/>
  <c r="D5" i="10"/>
  <c r="G55" i="10"/>
  <c r="H272" i="10"/>
  <c r="D272" i="10"/>
  <c r="D266" i="10"/>
  <c r="H266" i="10"/>
  <c r="D75" i="10"/>
  <c r="D251" i="10"/>
  <c r="H190" i="10"/>
  <c r="G41" i="10"/>
  <c r="H75" i="10"/>
  <c r="H301" i="10"/>
  <c r="D301" i="10"/>
  <c r="H251" i="10"/>
  <c r="D41" i="10"/>
  <c r="H243" i="10"/>
  <c r="G243" i="10"/>
  <c r="H237" i="10"/>
  <c r="G278" i="10"/>
  <c r="H278" i="10"/>
  <c r="H242" i="10"/>
  <c r="G261" i="10"/>
  <c r="H261" i="10"/>
  <c r="D242" i="10"/>
  <c r="G232" i="10"/>
  <c r="D232" i="10"/>
  <c r="G237" i="10"/>
  <c r="D198" i="10"/>
  <c r="G29" i="10"/>
  <c r="H198" i="10"/>
  <c r="D29" i="10"/>
  <c r="G203" i="10"/>
  <c r="H203" i="10"/>
  <c r="G114" i="10"/>
  <c r="H114" i="10"/>
  <c r="D255" i="10"/>
  <c r="G255" i="10"/>
  <c r="H282" i="10"/>
  <c r="H81" i="10"/>
  <c r="D282" i="10"/>
  <c r="D262" i="10"/>
  <c r="D72" i="10"/>
  <c r="D33" i="10"/>
  <c r="H262" i="10"/>
  <c r="D202" i="10"/>
  <c r="G202" i="10"/>
  <c r="H72" i="10"/>
  <c r="H33" i="10"/>
  <c r="D190" i="10"/>
  <c r="H252" i="10"/>
  <c r="D252" i="10"/>
  <c r="H250" i="10"/>
  <c r="H146" i="10"/>
  <c r="D146" i="10"/>
  <c r="G145" i="10"/>
  <c r="D81" i="10"/>
  <c r="D250" i="10"/>
  <c r="G56" i="10"/>
  <c r="D56" i="10"/>
  <c r="H226" i="10"/>
  <c r="H230" i="10"/>
  <c r="D230" i="10"/>
  <c r="D171" i="10"/>
  <c r="G226" i="10"/>
  <c r="D122" i="10"/>
  <c r="D90" i="10"/>
  <c r="H145" i="10"/>
  <c r="H246" i="10"/>
  <c r="G246" i="10"/>
  <c r="D245" i="10"/>
  <c r="G245" i="10"/>
  <c r="D236" i="10"/>
  <c r="H236" i="10"/>
  <c r="H122" i="10"/>
  <c r="H90" i="10"/>
  <c r="D286" i="10"/>
  <c r="H286" i="10"/>
  <c r="D25" i="10"/>
  <c r="D257" i="10"/>
  <c r="H257" i="10"/>
  <c r="G25" i="10"/>
  <c r="D169" i="10"/>
  <c r="H169" i="10"/>
  <c r="G27" i="10"/>
  <c r="D27" i="10"/>
  <c r="G216" i="10"/>
  <c r="H197" i="10"/>
  <c r="D208" i="10"/>
  <c r="G201" i="10"/>
  <c r="D204" i="10"/>
  <c r="H196" i="10"/>
  <c r="G200" i="10"/>
  <c r="H212" i="10"/>
  <c r="H205" i="10"/>
  <c r="D201" i="10"/>
  <c r="G209" i="10"/>
  <c r="G196" i="10"/>
  <c r="H209" i="10"/>
  <c r="G204" i="10"/>
  <c r="D213" i="10"/>
  <c r="D212" i="10"/>
  <c r="H213" i="10"/>
  <c r="G193" i="10"/>
  <c r="D217" i="10"/>
  <c r="D220" i="10"/>
  <c r="D200" i="10"/>
  <c r="G220" i="10"/>
  <c r="H208" i="10"/>
  <c r="G205" i="10"/>
  <c r="G217" i="10"/>
  <c r="D216" i="10"/>
  <c r="G197" i="10"/>
  <c r="J308" i="3"/>
  <c r="K308" i="3" s="1"/>
  <c r="L30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<sst xmlns="http://schemas.openxmlformats.org/spreadsheetml/2006/main" count="3721" uniqueCount="1477">
  <si>
    <t>شماره فاکتور</t>
  </si>
  <si>
    <t>تاریخ</t>
  </si>
  <si>
    <t>شیفت</t>
  </si>
  <si>
    <t>کد پرسنل</t>
  </si>
  <si>
    <t>روش پرداخت</t>
  </si>
  <si>
    <t>کارت</t>
  </si>
  <si>
    <t>نوع مشتری</t>
  </si>
  <si>
    <t>کانال</t>
  </si>
  <si>
    <t>حضوری</t>
  </si>
  <si>
    <t>نام خانوادگی</t>
  </si>
  <si>
    <t>شماره تماس</t>
  </si>
  <si>
    <t>روز تولد</t>
  </si>
  <si>
    <t>ماه تولد</t>
  </si>
  <si>
    <t>یادداشت</t>
  </si>
  <si>
    <t>#</t>
  </si>
  <si>
    <t>SKU</t>
  </si>
  <si>
    <t>تعداد</t>
  </si>
  <si>
    <t>قیمت واحد</t>
  </si>
  <si>
    <t>تخفیف</t>
  </si>
  <si>
    <t>جمع ردیف</t>
  </si>
  <si>
    <t>▶  دکمه «ثبت فاکتور» را بزنید  |  Button «RegisterInvoice»</t>
  </si>
  <si>
    <t>📋 بعد از ثبت، فاکتور پاک و شماره +۱ می‌شود  |  داده در «لاگ_فاکتور» ذخیره می‌شود</t>
  </si>
  <si>
    <t>شماره فاکتور
Inv_No</t>
  </si>
  <si>
    <t>تاریخ
Date</t>
  </si>
  <si>
    <t>کد پرسنل
Staff_ID</t>
  </si>
  <si>
    <t>نام پرسنل
Staff</t>
  </si>
  <si>
    <t>شیفت
Shift</t>
  </si>
  <si>
    <t>روش پرداخت
Payment</t>
  </si>
  <si>
    <t>نوع مشتری
Cust_Type</t>
  </si>
  <si>
    <t>کانال
Channel</t>
  </si>
  <si>
    <t>بارکد/نام ورودی
Product_Input</t>
  </si>
  <si>
    <t>نام کامل محصول
Product_Name</t>
  </si>
  <si>
    <t>تعداد
Qty</t>
  </si>
  <si>
    <t>قیمت واحد
Unit_Price</t>
  </si>
  <si>
    <t>تخفیف
Discount</t>
  </si>
  <si>
    <t>جمع ردیف
Line_Total</t>
  </si>
  <si>
    <t>نام مشتری
Cust_First</t>
  </si>
  <si>
    <t>نام خانوادگی
Cust_Last</t>
  </si>
  <si>
    <t>شماره تماس
Phone</t>
  </si>
  <si>
    <t>روز تولد
Birth_Day</t>
  </si>
  <si>
    <t>ماه تولد
Birth_Month</t>
  </si>
  <si>
    <t>یادداشت
Notes</t>
  </si>
  <si>
    <t>پرچم فاکتور</t>
  </si>
  <si>
    <t>فروش ناخالص ردیف</t>
  </si>
  <si>
    <t>کلید مشتری</t>
  </si>
  <si>
    <t>مشتری جدید</t>
  </si>
  <si>
    <t>فاکتور تکراری</t>
  </si>
  <si>
    <t>مبلغ فاکتور</t>
  </si>
  <si>
    <t>اقلام فاکتور</t>
  </si>
  <si>
    <t>بهای تمام‌شده</t>
  </si>
  <si>
    <t>حاشیه سود</t>
  </si>
  <si>
    <t>ماه گزارش</t>
  </si>
  <si>
    <t>SKU
(خودکار)</t>
  </si>
  <si>
    <t>بارکد/شناسه
Barcode</t>
  </si>
  <si>
    <t>نام محصول
Product_Name</t>
  </si>
  <si>
    <t>دسته‌بندی
Category</t>
  </si>
  <si>
    <t>پارچه
Fabric</t>
  </si>
  <si>
    <t>فصل
Season</t>
  </si>
  <si>
    <t>قیمت خرید
Cost</t>
  </si>
  <si>
    <t>قیمت فروش
Price</t>
  </si>
  <si>
    <t>موجودی اولیه
Open_Stock</t>
  </si>
  <si>
    <t>فروخته شده
Sold</t>
  </si>
  <si>
    <t>موجودی فعلی
Curr_Stock</t>
  </si>
  <si>
    <t>وضعیت
Status</t>
  </si>
  <si>
    <t>شلوار</t>
  </si>
  <si>
    <t>Linen</t>
  </si>
  <si>
    <t>All-Season</t>
  </si>
  <si>
    <t>پیراهن</t>
  </si>
  <si>
    <t>Cotton</t>
  </si>
  <si>
    <t>Spring/Summer</t>
  </si>
  <si>
    <t>کت</t>
  </si>
  <si>
    <t>Silk</t>
  </si>
  <si>
    <t>Fall/Winter</t>
  </si>
  <si>
    <t>شومیز</t>
  </si>
  <si>
    <t>Wool</t>
  </si>
  <si>
    <t>پالتو</t>
  </si>
  <si>
    <t>Satin</t>
  </si>
  <si>
    <t>ست</t>
  </si>
  <si>
    <t>Crepe</t>
  </si>
  <si>
    <t>اکسسوری</t>
  </si>
  <si>
    <t>Chiffon</t>
  </si>
  <si>
    <t>کیف</t>
  </si>
  <si>
    <t>Taffeta</t>
  </si>
  <si>
    <t>کفش</t>
  </si>
  <si>
    <t>Velour</t>
  </si>
  <si>
    <t>روسری</t>
  </si>
  <si>
    <t>Denim</t>
  </si>
  <si>
    <t>کد پرسنل
ID</t>
  </si>
  <si>
    <t>نام
First</t>
  </si>
  <si>
    <t>نام خانوادگی
Last</t>
  </si>
  <si>
    <t>نام کامل
Full</t>
  </si>
  <si>
    <t>سمت
Role</t>
  </si>
  <si>
    <t>تاریخ استخدام
Hire</t>
  </si>
  <si>
    <t>حقوق پایه
Salary</t>
  </si>
  <si>
    <t>پورسانت%
Comm%</t>
  </si>
  <si>
    <t>تلفن
Phone</t>
  </si>
  <si>
    <t>فروشنده</t>
  </si>
  <si>
    <t>پارت تایم</t>
  </si>
  <si>
    <t>فعال</t>
  </si>
  <si>
    <t>کریمی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</si>
  <si>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</si>
  <si>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</si>
  <si>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</si>
  <si>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</si>
  <si>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</si>
  <si>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</si>
  <si>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</si>
  <si>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</si>
  <si>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</si>
  <si>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</si>
  <si>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</si>
  <si>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</si>
  <si>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</si>
  <si>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</si>
  <si>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</si>
  <si>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</si>
  <si>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</si>
  <si>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</si>
  <si>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</si>
  <si>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</si>
  <si>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</si>
  <si>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</si>
  <si>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</si>
  <si>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</si>
  <si>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</si>
  <si>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</si>
  <si>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</si>
  <si>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</si>
  <si>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</si>
  <si>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</si>
  <si>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</si>
  <si>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</si>
  <si>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</si>
  <si>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</si>
  <si>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</si>
  <si>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</si>
  <si>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</si>
  <si>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</si>
  <si>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</si>
  <si>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</si>
  <si>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</si>
  <si>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</si>
  <si>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</si>
  <si>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</si>
  <si>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</si>
  <si>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</si>
  <si>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</si>
  <si>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</si>
  <si>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</si>
  <si>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</si>
  <si>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</si>
  <si>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</si>
  <si>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P-056</t>
  </si>
  <si>
    <t xml:space="preserve">  سلول‌های زرد = ورود دستی  |  سلول‌های آبی‌تیره = فرمول خودکار از لاگ فاکتور</t>
  </si>
  <si>
    <t>نام پرسنل
Name</t>
  </si>
  <si>
    <t>ورودی مشتری
Footfall</t>
  </si>
  <si>
    <t>اتاق پرو
Fitting_Room</t>
  </si>
  <si>
    <t>تعداد فاکتور
Invoices</t>
  </si>
  <si>
    <t>فروش (تومان)
Sales</t>
  </si>
  <si>
    <t>تخفیف داده
Discounts</t>
  </si>
  <si>
    <t>مرجوعی
Returns</t>
  </si>
  <si>
    <t>اپ‌سل موفق
Upsell</t>
  </si>
  <si>
    <t>نرخ تبدیل%
Conv_Rate</t>
  </si>
  <si>
    <t>ATV
(میانگین فاکتور)</t>
  </si>
  <si>
    <t>UPT
(میانگین اقلام)</t>
  </si>
  <si>
    <t>شکایت
Complaints</t>
  </si>
  <si>
    <t>رویداد روز
Events</t>
  </si>
  <si>
    <t>یادداشت مدیر
Mgr_Notes</t>
  </si>
  <si>
    <t>نام محصول</t>
  </si>
  <si>
    <t>دسته</t>
  </si>
  <si>
    <t>پارچه</t>
  </si>
  <si>
    <t>قیمت خرید</t>
  </si>
  <si>
    <t>قیمت فروش</t>
  </si>
  <si>
    <t>موجودی اولیه</t>
  </si>
  <si>
    <t>فروخته شده</t>
  </si>
  <si>
    <t>موجودی فعلی</t>
  </si>
  <si>
    <t>وضعیت انبار</t>
  </si>
  <si>
    <t>💰 فروش خالص کل</t>
  </si>
  <si>
    <t>🛍️ تعداد فاکتور</t>
  </si>
  <si>
    <t>📉 تخفیف کل</t>
  </si>
  <si>
    <t>🏆 سود ناخالص</t>
  </si>
  <si>
    <t>📅 خلاصه فروش ماهانه</t>
  </si>
  <si>
    <t>ماه</t>
  </si>
  <si>
    <t>فروش ناخالص</t>
  </si>
  <si>
    <t>فروش خالص</t>
  </si>
  <si>
    <t>تعداد فاکتور</t>
  </si>
  <si>
    <t>ATV</t>
  </si>
  <si>
    <t>هدف ماهانه</t>
  </si>
  <si>
    <t>تحقق%</t>
  </si>
  <si>
    <t>هزینه پرسنل</t>
  </si>
  <si>
    <t>سود خالص تخمینی</t>
  </si>
  <si>
    <t>رویداد مهم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</si>
  <si>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</si>
  <si>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</si>
  <si>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</si>
  <si>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</si>
  <si>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</si>
  <si>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</si>
  <si>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</si>
  <si>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</si>
  <si>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</si>
  <si>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</si>
  <si>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</si>
  <si>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</si>
  <si>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📊 جمع سال</t>
  </si>
  <si>
    <t>✦  CHAAM  |  چام  ✦
داشبورد هوش تجاری — مدیریت لحظه‌ای</t>
  </si>
  <si>
    <t xml:space="preserve"> 🔴 مانیتورینگ زنده  |  Live KPI Monitoring</t>
  </si>
  <si>
    <t>محصول</t>
  </si>
  <si>
    <t>فروش</t>
  </si>
  <si>
    <t>پرسنل</t>
  </si>
  <si>
    <t>میانگین ورودی روزانه</t>
  </si>
  <si>
    <t>میانگین پرو روزانه</t>
  </si>
  <si>
    <t>میانگین نرخ تبدیل</t>
  </si>
  <si>
    <t>کل مرجوعی ماه</t>
  </si>
  <si>
    <t>کل اپ‌سل ماه</t>
  </si>
  <si>
    <t>تنظیمات سیستم  |  SYSTEM SETTINGS</t>
  </si>
  <si>
    <t>تنظیم | Setting</t>
  </si>
  <si>
    <t>مقدار | Value</t>
  </si>
  <si>
    <t>توضیح | Description</t>
  </si>
  <si>
    <t>هدف فروش ماهانه (تومان)
Monthly Sales Target</t>
  </si>
  <si>
    <t>هدف کل درآمد ماهانه</t>
  </si>
  <si>
    <t>روزهای کاری ماه
Working Days/Month</t>
  </si>
  <si>
    <t>برای محاسبه هدف روزانه</t>
  </si>
  <si>
    <t>پورسانت پیش‌فرض%
Default Commission%</t>
  </si>
  <si>
    <t>درصد پورسانت پیش‌فرض</t>
  </si>
  <si>
    <t>آستانه هشدار موجودی
Stock Alert Min</t>
  </si>
  <si>
    <t>حداقل موجودی قبل از هشدار</t>
  </si>
  <si>
    <t>نام فروشگاه
Store Name</t>
  </si>
  <si>
    <t>CHAAM</t>
  </si>
  <si>
    <t>نام رسمی</t>
  </si>
  <si>
    <t>آدرس
Address</t>
  </si>
  <si>
    <t>آدرس فروشگاه</t>
  </si>
  <si>
    <t>تلفن تماس</t>
  </si>
  <si>
    <t>هدف روزانه (خودکار)
Daily Target</t>
  </si>
  <si>
    <t>محاسبه خودکار</t>
  </si>
  <si>
    <t>واحد پول
Currency</t>
  </si>
  <si>
    <t>تومان</t>
  </si>
  <si>
    <t>واحد پول</t>
  </si>
  <si>
    <t>سال گزارش | Report Year</t>
  </si>
  <si>
    <t>سال شمسی مبنای گزارش</t>
  </si>
  <si>
    <t>حداقل UPT هدف | Min UPT</t>
  </si>
  <si>
    <t>میانگین تعداد اقلام هر فاکتور</t>
  </si>
  <si>
    <t>حداقل ATV هدف | Min ATV</t>
  </si>
  <si>
    <t>حداقل میانگین مبلغ فاکتور</t>
  </si>
  <si>
    <t>هدف مشتری تکراری | Repeat Target</t>
  </si>
  <si>
    <t>سهم خرید تکراری</t>
  </si>
  <si>
    <t>هدف نرخ تبدیل | Conversion Target</t>
  </si>
  <si>
    <t>فاکتور یکتا / ورودی</t>
  </si>
  <si>
    <t>📦 هشدار موجودی کم  (موجودی ≤ ۳)</t>
  </si>
  <si>
    <t>وضعیت</t>
  </si>
  <si>
    <t>توصیه</t>
  </si>
  <si>
    <t>اقدام</t>
  </si>
  <si>
    <t>دسته‌بندی</t>
  </si>
  <si>
    <t>فصل</t>
  </si>
  <si>
    <t>کانال فروش</t>
  </si>
  <si>
    <t>مرجوعی</t>
  </si>
  <si>
    <t>وضعیت پرسنل</t>
  </si>
  <si>
    <t>نقد</t>
  </si>
  <si>
    <t>جدید</t>
  </si>
  <si>
    <t>صبح</t>
  </si>
  <si>
    <t>خیر</t>
  </si>
  <si>
    <t>وفادار</t>
  </si>
  <si>
    <t>اینستاگرام</t>
  </si>
  <si>
    <t>عصر</t>
  </si>
  <si>
    <t>بله</t>
  </si>
  <si>
    <t>غیرفعال</t>
  </si>
  <si>
    <t>کارت+نقد</t>
  </si>
  <si>
    <t>VIP</t>
  </si>
  <si>
    <t>وبسایت</t>
  </si>
  <si>
    <t>تمام روز</t>
  </si>
  <si>
    <t>مرخصی</t>
  </si>
  <si>
    <t>Special</t>
  </si>
  <si>
    <t>انتقال</t>
  </si>
  <si>
    <t>عمده</t>
  </si>
  <si>
    <t>تلفنی</t>
  </si>
  <si>
    <t>قسطی</t>
  </si>
  <si>
    <t>پیام‌رسان</t>
  </si>
  <si>
    <t>اسنپ‌پی</t>
  </si>
  <si>
    <t>سایر</t>
  </si>
  <si>
    <t>Other</t>
  </si>
  <si>
    <t>📋 کد VBA آماده — کپی کنید به Alt+F11 &gt; Module1</t>
  </si>
  <si>
    <t>Sub RegisterInvoice()</t>
  </si>
  <si>
    <t xml:space="preserve">    Dim ws_pos  As Worksheet</t>
  </si>
  <si>
    <t xml:space="preserve">    Dim ws_log  As Worksheet</t>
  </si>
  <si>
    <t xml:space="preserve">    Dim inv_no  As String</t>
  </si>
  <si>
    <t xml:space="preserve">    Dim inv_date As String</t>
  </si>
  <si>
    <t xml:space="preserve">    Dim staff_id As String</t>
  </si>
  <si>
    <t xml:space="preserve">    Dim staff_name As String</t>
  </si>
  <si>
    <t xml:space="preserve">    Dim shift    As String</t>
  </si>
  <si>
    <t xml:space="preserve">    Dim payment  As String</t>
  </si>
  <si>
    <t xml:space="preserve">    Dim cust_type As String</t>
  </si>
  <si>
    <t xml:space="preserve">    Dim channel  As String</t>
  </si>
  <si>
    <t xml:space="preserve">    Dim cust_first As String</t>
  </si>
  <si>
    <t xml:space="preserve">    Dim cust_last  As String</t>
  </si>
  <si>
    <t xml:space="preserve">    Dim cust_phone As String</t>
  </si>
  <si>
    <t xml:space="preserve">    Dim cust_bday  As String</t>
  </si>
  <si>
    <t xml:space="preserve">    Dim cust_bmonth As String</t>
  </si>
  <si>
    <t xml:space="preserve">    Dim cust_note  As String</t>
  </si>
  <si>
    <t xml:space="preserve">    Dim last_row As Long</t>
  </si>
  <si>
    <t xml:space="preserve">    Dim i As Integer</t>
  </si>
  <si>
    <t xml:space="preserve">    Dim has_items As Boolean</t>
  </si>
  <si>
    <t xml:space="preserve">    Application.ScreenUpdating = False</t>
  </si>
  <si>
    <t xml:space="preserve">    Application.Calculation = xlCalculationManual</t>
  </si>
  <si>
    <t xml:space="preserve">    Set ws_pos = ThisWorkbook.Sheets("POS_فاکتور")</t>
  </si>
  <si>
    <t xml:space="preserve">    Set ws_log = ThisWorkbook.Sheets("لاگ_فاکتور")</t>
  </si>
  <si>
    <t xml:space="preserve">    ' ── خواندن اطلاعات سربرگ فاکتور ──</t>
  </si>
  <si>
    <t xml:space="preserve">    inv_no      = ws_pos.Range("B4").Value</t>
  </si>
  <si>
    <t xml:space="preserve">    inv_date    = ws_pos.Range("E4").Value</t>
  </si>
  <si>
    <t xml:space="preserve">    shift       = ws_pos.Range("G4").Value</t>
  </si>
  <si>
    <t xml:space="preserve">    staff_id    = ws_pos.Range("B5").Value</t>
  </si>
  <si>
    <t xml:space="preserve">    staff_name  = ws_pos.Range("C5").Value   ' formula result</t>
  </si>
  <si>
    <t xml:space="preserve">    payment     = ws_pos.Range("G5").Value</t>
  </si>
  <si>
    <t xml:space="preserve">    cust_type   = ws_pos.Range("B6").Value</t>
  </si>
  <si>
    <t xml:space="preserve">    channel     = ws_pos.Range("D6").Value</t>
  </si>
  <si>
    <t xml:space="preserve">    cust_first  = ws_pos.Range("B8").Value</t>
  </si>
  <si>
    <t xml:space="preserve">    cust_last   = ws_pos.Range("E8").Value</t>
  </si>
  <si>
    <t xml:space="preserve">    cust_phone  = ws_pos.Range("G8").Value</t>
  </si>
  <si>
    <t xml:space="preserve">    cust_bday   = ws_pos.Range("B9").Value</t>
  </si>
  <si>
    <t xml:space="preserve">    cust_bmonth = ws_pos.Range("D9").Value</t>
  </si>
  <si>
    <t xml:space="preserve">    cust_note   = ws_pos.Range("F9").Value</t>
  </si>
  <si>
    <t xml:space="preserve">    ' ── اعتبارسنجی ──</t>
  </si>
  <si>
    <t xml:space="preserve">    If inv_no = "" Then</t>
  </si>
  <si>
    <t xml:space="preserve">        MsgBox "⚠️ شماره فاکتور خالی است!", vbExclamation, "CHAAM"</t>
  </si>
  <si>
    <t xml:space="preserve">        GoTo CleanExit</t>
  </si>
  <si>
    <t xml:space="preserve">    End If</t>
  </si>
  <si>
    <t xml:space="preserve">    If inv_date = "" Then</t>
  </si>
  <si>
    <t xml:space="preserve">        MsgBox "⚠️ تاریخ خالی است!", vbExclamation, "CHAAM"</t>
  </si>
  <si>
    <t xml:space="preserve">    If staff_id = "" Then</t>
  </si>
  <si>
    <t xml:space="preserve">        MsgBox "⚠️ کد پرسنل خالی است!", vbExclamation, "CHAAM"</t>
  </si>
  <si>
    <t xml:space="preserve">    ' ── چک کردن آیتم‌ها ──</t>
  </si>
  <si>
    <t xml:space="preserve">    has_items = False</t>
  </si>
  <si>
    <t xml:space="preserve">    For i = 12 To 21</t>
  </si>
  <si>
    <t xml:space="preserve">        If ws_pos.Cells(i, 5).Value &gt; 0 Then</t>
  </si>
  <si>
    <t xml:space="preserve">            has_items = True</t>
  </si>
  <si>
    <t xml:space="preserve">            Exit For</t>
  </si>
  <si>
    <t xml:space="preserve">        End If</t>
  </si>
  <si>
    <t xml:space="preserve">    Next i</t>
  </si>
  <si>
    <t xml:space="preserve">    If Not has_items Then</t>
  </si>
  <si>
    <t xml:space="preserve">        MsgBox "⚠️ هیچ آیتمی با تعداد &gt; 0 ندارید!", vbExclamation, "CHAAM"</t>
  </si>
  <si>
    <t xml:space="preserve">    ' ── ثبت هر ردیف در لاگ_فاکتور ──</t>
  </si>
  <si>
    <t xml:space="preserve">    last_row = ws_log.Cells(ws_log.Rows.Count, 1).End(xlUp).Row + 1</t>
  </si>
  <si>
    <t xml:space="preserve">    If last_row &lt; 4 Then last_row = 4</t>
  </si>
  <si>
    <t xml:space="preserve">        Dim sku      As String</t>
  </si>
  <si>
    <t xml:space="preserve">        Dim prod_in  As String</t>
  </si>
  <si>
    <t xml:space="preserve">        Dim prod_name As String</t>
  </si>
  <si>
    <t xml:space="preserve">        Dim qty      As Long</t>
  </si>
  <si>
    <t xml:space="preserve">        Dim unit_price As Double</t>
  </si>
  <si>
    <t xml:space="preserve">        Dim discount As Double</t>
  </si>
  <si>
    <t xml:space="preserve">        Dim line_total As Double</t>
  </si>
  <si>
    <t xml:space="preserve">        sku        = ws_pos.Cells(i, 2).Value</t>
  </si>
  <si>
    <t xml:space="preserve">        prod_in    = ws_pos.Cells(i, 3).Value</t>
  </si>
  <si>
    <t xml:space="preserve">        qty        = ws_pos.Cells(i, 5).Value</t>
  </si>
  <si>
    <t xml:space="preserve">        If qty &gt; 0 Then</t>
  </si>
  <si>
    <t xml:space="preserve">            prod_name  = ws_pos.Cells(i, 4).Value   ' formula result</t>
  </si>
  <si>
    <t xml:space="preserve">            unit_price = ws_pos.Cells(i, 6).Value   ' formula result</t>
  </si>
  <si>
    <t xml:space="preserve">            discount   = ws_pos.Cells(i, 7).Value</t>
  </si>
  <si>
    <t xml:space="preserve">            line_total = ws_pos.Cells(i, 8).Value   ' formula result</t>
  </si>
  <si>
    <t xml:space="preserve">            ws_log.Cells(last_row, 1).Value  = inv_no</t>
  </si>
  <si>
    <t xml:space="preserve">            ws_log.Cells(last_row, 2).Value  = inv_date</t>
  </si>
  <si>
    <t xml:space="preserve">            ws_log.Cells(last_row, 3).Value  = staff_id</t>
  </si>
  <si>
    <t xml:space="preserve">            ws_log.Cells(last_row, 4).Value  = staff_name</t>
  </si>
  <si>
    <t xml:space="preserve">            ws_log.Cells(last_row, 5).Value  = shift</t>
  </si>
  <si>
    <t xml:space="preserve">            ws_log.Cells(last_row, 6).Value  = payment</t>
  </si>
  <si>
    <t xml:space="preserve">            ws_log.Cells(last_row, 7).Value  = cust_type</t>
  </si>
  <si>
    <t xml:space="preserve">            ws_log.Cells(last_row, 8).Value  = channel</t>
  </si>
  <si>
    <t xml:space="preserve">            ws_log.Cells(last_row, 9).Value  = sku</t>
  </si>
  <si>
    <t xml:space="preserve">            ws_log.Cells(last_row, 10).Value = prod_in</t>
  </si>
  <si>
    <t xml:space="preserve">            ws_log.Cells(last_row, 11).Value = prod_name</t>
  </si>
  <si>
    <t xml:space="preserve">            ws_log.Cells(last_row, 12).Value = qty</t>
  </si>
  <si>
    <t xml:space="preserve">            ws_log.Cells(last_row, 13).Value = unit_price</t>
  </si>
  <si>
    <t xml:space="preserve">            ws_log.Cells(last_row, 14).Value = discount</t>
  </si>
  <si>
    <t xml:space="preserve">            ws_log.Cells(last_row, 15).Value = line_total</t>
  </si>
  <si>
    <t xml:space="preserve">            ws_log.Cells(last_row, 16).Value = cust_first</t>
  </si>
  <si>
    <t xml:space="preserve">            ws_log.Cells(last_row, 17).Value = cust_last</t>
  </si>
  <si>
    <t xml:space="preserve">            ws_log.Cells(last_row, 18).Value = cust_phone</t>
  </si>
  <si>
    <t xml:space="preserve">            ws_log.Cells(last_row, 19).Value = cust_bday</t>
  </si>
  <si>
    <t xml:space="preserve">            ws_log.Cells(last_row, 20).Value = cust_bmonth</t>
  </si>
  <si>
    <t xml:space="preserve">            ws_log.Cells(last_row, 21).Value = cust_note</t>
  </si>
  <si>
    <t xml:space="preserve">            last_row = last_row + 1</t>
  </si>
  <si>
    <t xml:space="preserve">    MsgBox "✅ فاکتور " &amp; inv_no &amp; " با موفقیت ثبت شد!" &amp; Chr(10) &amp; _</t>
  </si>
  <si>
    <t xml:space="preserve">           "مشتری: " &amp; cust_first &amp; " " &amp; cust_last, vbInformation, "CHAAM"</t>
  </si>
  <si>
    <t xml:space="preserve">    ' ── آماده فاکتور بعدی (ClearPOS) ──</t>
  </si>
  <si>
    <t xml:space="preserve">    Call ClearPOS</t>
  </si>
  <si>
    <t>CleanExit:</t>
  </si>
  <si>
    <t xml:space="preserve">    Application.Calculation = xlCalculationAutomatic</t>
  </si>
  <si>
    <t xml:space="preserve">    Application.ScreenUpdating = True</t>
  </si>
  <si>
    <t>End Sub</t>
  </si>
  <si>
    <t>' ──────────────────────────────────────────────────────────</t>
  </si>
  <si>
    <t>Sub ClearPOS()</t>
  </si>
  <si>
    <t xml:space="preserve">    Dim ws As Worksheet</t>
  </si>
  <si>
    <t xml:space="preserve">    Set ws = ThisWorkbook.Sheets("POS_فاکتور")</t>
  </si>
  <si>
    <t xml:space="preserve">    Dim old_inv As String</t>
  </si>
  <si>
    <t xml:space="preserve">    old_inv = ws.Range("B4").Value</t>
  </si>
  <si>
    <t xml:space="preserve">    If Left(old_inv, 4) = "INV-" Then</t>
  </si>
  <si>
    <t xml:space="preserve">        ws.Range("B4").Value = "INV-" &amp; Format(CLng(Mid(old_inv, 5)) + 1, "0000")</t>
  </si>
  <si>
    <t>Sub PrintThermal()</t>
  </si>
  <si>
    <t xml:space="preserve">    ' چاپ حرارتی Xprinter 80mm — در Printer Preferences اندازه کاغذ را 80mm انتخاب کنید</t>
  </si>
  <si>
    <t xml:space="preserve">    With ThisWorkbook.Sheets("POS_فاکتور")</t>
  </si>
  <si>
    <t xml:space="preserve">        .PageSetup.PrintArea = "$A$1:$H$30"</t>
  </si>
  <si>
    <t xml:space="preserve">        .PageSetup.Orientation = xlPortrait</t>
  </si>
  <si>
    <t xml:space="preserve">        .PageSetup.Zoom = False</t>
  </si>
  <si>
    <t xml:space="preserve">        .PageSetup.FitToPagesWide = 1</t>
  </si>
  <si>
    <t xml:space="preserve">        .PageSetup.FitToPagesTall = False</t>
  </si>
  <si>
    <t xml:space="preserve">        .PageSetup.LeftMargin = Application.CentimetersToPoints(0.2)</t>
  </si>
  <si>
    <t xml:space="preserve">        .PageSetup.RightMargin = Application.CentimetersToPoints(0.2)</t>
  </si>
  <si>
    <t xml:space="preserve">        .PageSetup.TopMargin = Application.CentimetersToPoints(0.2)</t>
  </si>
  <si>
    <t xml:space="preserve">        .PageSetup.BottomMargin = Application.CentimetersToPoints(0.2)</t>
  </si>
  <si>
    <t xml:space="preserve">        .PrintOut</t>
  </si>
  <si>
    <t xml:space="preserve">    End With</t>
  </si>
  <si>
    <t xml:space="preserve">    ' چاپ حرارتی ۸۰mm</t>
  </si>
  <si>
    <t xml:space="preserve">        .PrintArea = "A1:H33"</t>
  </si>
  <si>
    <t xml:space="preserve">        .PageSetup.PaperSize = xlPaperA4</t>
  </si>
  <si>
    <t xml:space="preserve">        .PageSetup.FitToPagesTall = 1</t>
  </si>
  <si>
    <t xml:space="preserve">        .PageSetup.LeftMargin = Application.InchesToPoints(0.1)</t>
  </si>
  <si>
    <t xml:space="preserve">        .PageSetup.RightMargin = Application.InchesToPoints(0.1)</t>
  </si>
  <si>
    <t>' رویداد Workbook_Open — در ThisWorkbook قرار دهید:</t>
  </si>
  <si>
    <t>' Private Sub Workbook_Open()</t>
  </si>
  <si>
    <t>'     Application.Calculation = xlCalculationManual</t>
  </si>
  <si>
    <t>'     Application.StatusBar = "CHAAM v8 — آماده ثبت فاکتور"</t>
  </si>
  <si>
    <t>' End Sub</t>
  </si>
  <si>
    <t>' رویداد Sheet Change روی POS_فاکتور — در Sheet Module:</t>
  </si>
  <si>
    <t>' Private Sub Worksheet_Change(ByVal Target As Range)</t>
  </si>
  <si>
    <t>'     On Error GoTo Done</t>
  </si>
  <si>
    <t>'     Dim trigger As Range</t>
  </si>
  <si>
    <t>'     Set trigger = Me.Range("B4,E4,G4,B5,G5,B6,D6,F6,B8,E8,G8,B9,D9,F9,B12:H21")</t>
  </si>
  <si>
    <t>'     If Intersect(Target, trigger) Is Nothing Then Exit Sub</t>
  </si>
  <si>
    <t>'     Application.EnableEvents = False</t>
  </si>
  <si>
    <t>'     Me.Range("A1:H33").Calculate</t>
  </si>
  <si>
    <t>' Done:</t>
  </si>
  <si>
    <t>'     Application.EnableEvents = True</t>
  </si>
  <si>
    <t>CHAAM | سیستم رشد و فروش</t>
  </si>
  <si>
    <t>شاخص</t>
  </si>
  <si>
    <t>عملکرد</t>
  </si>
  <si>
    <t>هدف</t>
  </si>
  <si>
    <t>افزایش ورودی و تبدیل</t>
  </si>
  <si>
    <t>کنترل تعداد تراکنش</t>
  </si>
  <si>
    <t>آپ‌سل و باندل</t>
  </si>
  <si>
    <t>UPT</t>
  </si>
  <si>
    <t>فروش مکمل</t>
  </si>
  <si>
    <t>نرخ تبدیل</t>
  </si>
  <si>
    <t>آموزش فروشنده</t>
  </si>
  <si>
    <t>نرخ خرید تکراری</t>
  </si>
  <si>
    <t>CRM و پیگیری</t>
  </si>
  <si>
    <t>کنترل خرید و تخفیف</t>
  </si>
  <si>
    <t>CHAAM | کنترل سیستم</t>
  </si>
  <si>
    <t>تست</t>
  </si>
  <si>
    <t>نتیجه</t>
  </si>
  <si>
    <t>معیار</t>
  </si>
  <si>
    <t>جمع نهایی فاکتور</t>
  </si>
  <si>
    <t>Gross-Discount</t>
  </si>
  <si>
    <t>تعداد اقلام</t>
  </si>
  <si>
    <t>SUM Qty</t>
  </si>
  <si>
    <t>فروش حسابداری</t>
  </si>
  <si>
    <t>Reconcile</t>
  </si>
  <si>
    <t>فاکتور یکتا</t>
  </si>
  <si>
    <t>Unique</t>
  </si>
  <si>
    <t>موجودی</t>
  </si>
  <si>
    <t>Stock&gt;=0</t>
  </si>
  <si>
    <t>هدف روزانه</t>
  </si>
  <si>
    <t>Target/Days</t>
  </si>
  <si>
    <t xml:space="preserve">نام </t>
  </si>
  <si>
    <t>نام  محصول</t>
  </si>
  <si>
    <t>شلوار لینن سندبادی کرم سایز1</t>
  </si>
  <si>
    <t>شلوار لینن سندبادی کرم سایز2</t>
  </si>
  <si>
    <t>شلوار لینن سندبادی مشکی سایز1</t>
  </si>
  <si>
    <t>شلوار لینن سندبادی مشکی سایز2</t>
  </si>
  <si>
    <t>شلوار لینن سندبادی قهوه ای سایز1</t>
  </si>
  <si>
    <t>شلوار لینن سندبادی قهوه ای سایز2</t>
  </si>
  <si>
    <t>شلوار لینن سندبادی سرمه ای سایز1</t>
  </si>
  <si>
    <t>شلوار لینن سندبادی سرمه ای سایز2</t>
  </si>
  <si>
    <t>شومیز سایه سفید سایز1</t>
  </si>
  <si>
    <t>شومیز سایه سفید سایز2</t>
  </si>
  <si>
    <t>شومیز سایه مشکی سایز1</t>
  </si>
  <si>
    <t>شومیز سایه مشکی سایز2</t>
  </si>
  <si>
    <t>شومیز سایه طوسی سایز1</t>
  </si>
  <si>
    <t>شومیز سایه طوسی سایز2</t>
  </si>
  <si>
    <t>شومیز سایه زرد سایز1</t>
  </si>
  <si>
    <t>شومیز سایه زرد سایز2</t>
  </si>
  <si>
    <t>شومیز گیپور زرد فری</t>
  </si>
  <si>
    <t>شومیز گیپور طوسی فری</t>
  </si>
  <si>
    <t>شومیز گیپور آبی فری</t>
  </si>
  <si>
    <t>شومیز گیپور صورتی فری</t>
  </si>
  <si>
    <t>کت لینن مشکی فری</t>
  </si>
  <si>
    <t>شلوار نیکول مشکی سایز1</t>
  </si>
  <si>
    <t>شلوار نیکول مشکی سایز2</t>
  </si>
  <si>
    <t>شلوار لی لی مشکی سایز1</t>
  </si>
  <si>
    <t>شلوار لی لی مشکی سایز2</t>
  </si>
  <si>
    <t>شلوار لی لی سفید سایز1</t>
  </si>
  <si>
    <t>شلوار لی لی سفید سایز2</t>
  </si>
  <si>
    <t>شلوار لی لی آبی سایز1</t>
  </si>
  <si>
    <t>شلوار لی لی آبی سایز2</t>
  </si>
  <si>
    <t>شومیز ستیا زرد گلدار سایز1</t>
  </si>
  <si>
    <t>all-Season</t>
  </si>
  <si>
    <t>شومیز ستیا زرد گلدار سایز2</t>
  </si>
  <si>
    <t>شومیز غزال مشکی سایز1</t>
  </si>
  <si>
    <t>شومیز غزال مشکی سایز2</t>
  </si>
  <si>
    <t>شومیز غزال سفید سایز1</t>
  </si>
  <si>
    <t>شومیز غزال سفید سایز2</t>
  </si>
  <si>
    <t>شومیز غزال آبی سایز1</t>
  </si>
  <si>
    <t>شومیز غزال آبی سایز2</t>
  </si>
  <si>
    <t>شومیز غزال بنفش سایز1</t>
  </si>
  <si>
    <t>شومیز غزال بنفش سایز2</t>
  </si>
  <si>
    <t>شومیز جانا مشکی سایز1</t>
  </si>
  <si>
    <t>شومیز جانا مشکی سایز2</t>
  </si>
  <si>
    <t>شومیز جانا صورتی سایز1</t>
  </si>
  <si>
    <t>شومیز جانا صورتی سایز2</t>
  </si>
  <si>
    <t>شومیز جانا کرم سایز1</t>
  </si>
  <si>
    <t>شومیز جانا کرم سایز2</t>
  </si>
  <si>
    <t>شومیز جانا  کاربنی سایز1</t>
  </si>
  <si>
    <t>شومیز جانا کاربنی سایز2</t>
  </si>
  <si>
    <t>شومیز ویولا مشکی سایز1</t>
  </si>
  <si>
    <t>شومیز ویولا مشکی سایز2</t>
  </si>
  <si>
    <t>شومیز ویولا صورتی سایز1</t>
  </si>
  <si>
    <t>شومیز ویولا صورتی سایز2</t>
  </si>
  <si>
    <t>شومیز ویولا سرخابی سایز1</t>
  </si>
  <si>
    <t>شومیز ویولا سرخابی سایز2</t>
  </si>
  <si>
    <t>شومیز ویولا کرم سایز1</t>
  </si>
  <si>
    <t>شومیز ویولا کرم سایز2</t>
  </si>
  <si>
    <t>شومیز دریا صورتی سایز1</t>
  </si>
  <si>
    <t>شومیز دریا صورتی سایز2</t>
  </si>
  <si>
    <t>شومیز دریا مشکی سایز1</t>
  </si>
  <si>
    <t>شومیز دریا مشکی سایز2</t>
  </si>
  <si>
    <t>شومیز دریا کرم سایز1</t>
  </si>
  <si>
    <t>شومیز دریا کرم سایز2</t>
  </si>
  <si>
    <t>شومیز دریا کاربنی سایز1</t>
  </si>
  <si>
    <t>شومیز دریا کاربنی سایز2</t>
  </si>
  <si>
    <t>شومیز لیو نباتی سایز1</t>
  </si>
  <si>
    <t>lyocel</t>
  </si>
  <si>
    <t>شومیز لیو نباتی سایز2</t>
  </si>
  <si>
    <t>شومیز لیو یاسی سایز1</t>
  </si>
  <si>
    <t>شومیز لیو یاسی سایز2</t>
  </si>
  <si>
    <t>شومیز لیو سفید سایز1</t>
  </si>
  <si>
    <t>شلوار کاترین مشکی 1</t>
  </si>
  <si>
    <t>شلوار کاترین مشکی 2</t>
  </si>
  <si>
    <t>شلوار کاترین مشکی 3</t>
  </si>
  <si>
    <t>شلوار کاترین سرمه ای1</t>
  </si>
  <si>
    <t>شلوار کاترین سرمه ای 2</t>
  </si>
  <si>
    <t>شلوار کاترین سرمه ای 3</t>
  </si>
  <si>
    <t>شلوار کاترین قهوه ای1</t>
  </si>
  <si>
    <t>شلوار کاترین قهوه ای2</t>
  </si>
  <si>
    <t>شلوار کاترین قهوه ای 3</t>
  </si>
  <si>
    <t>شلوار کاترین نسکافه ای1</t>
  </si>
  <si>
    <t>شلوار کاترین نسکافه ای2</t>
  </si>
  <si>
    <t>شلوار کاترین نسکافه ای3</t>
  </si>
  <si>
    <t>شلوار کاترین نوک مدادی 1</t>
  </si>
  <si>
    <t>شلوار کاترین نوک مدادی 2</t>
  </si>
  <si>
    <t>شلوار کاترین نوک مدادی3</t>
  </si>
  <si>
    <t>شلوار کاترین استخوانی 1</t>
  </si>
  <si>
    <t>شلوار کاترین استخوانی2</t>
  </si>
  <si>
    <t>شلوار کاترین استخوانی3</t>
  </si>
  <si>
    <t>شومیز تایملس سبز فری</t>
  </si>
  <si>
    <t>شومیز تایملس مشکی فری</t>
  </si>
  <si>
    <t>شومیز لینن سونای سفید1</t>
  </si>
  <si>
    <t>linen</t>
  </si>
  <si>
    <t>شومیز لینن سونای سفید2</t>
  </si>
  <si>
    <t>شومیز لینن سونای مشکی 1</t>
  </si>
  <si>
    <t>شومیز لینن سونای مشکی2</t>
  </si>
  <si>
    <t>شومیز لینن سونای سرمه ای 1</t>
  </si>
  <si>
    <t>شومیز لینن سونای سرمه ای 2</t>
  </si>
  <si>
    <t>شومیز لینن سونای قهوه ای 1</t>
  </si>
  <si>
    <t>شومیز لینن سونای قهوه ای 2</t>
  </si>
  <si>
    <t>شومیز لینن سونای کرم 1</t>
  </si>
  <si>
    <t>شومیز لینن سونای کرم 2</t>
  </si>
  <si>
    <t>دامن لیدی مشکی فری</t>
  </si>
  <si>
    <t>دامن</t>
  </si>
  <si>
    <t>دامن لیدی زیتونی فری</t>
  </si>
  <si>
    <t>دامن لیدی کرم فری</t>
  </si>
  <si>
    <t>شلوار پنتر 1</t>
  </si>
  <si>
    <t>شلوار پنتر 2</t>
  </si>
  <si>
    <t>شلوار مانا کله غازی1</t>
  </si>
  <si>
    <t>شلوار مانا کله غازی2</t>
  </si>
  <si>
    <t>شلوار مانا زیتونی 1</t>
  </si>
  <si>
    <t>شلوار مانا زیتونی2</t>
  </si>
  <si>
    <t>شلوار بیسیک سفید1</t>
  </si>
  <si>
    <t>شلوار بیسیک سفید2</t>
  </si>
  <si>
    <t>شلوار بیسیک مشکی1</t>
  </si>
  <si>
    <t>شلوار بیسیک مشکی2</t>
  </si>
  <si>
    <t>وست دیپلمات مشکی فری</t>
  </si>
  <si>
    <t>وست</t>
  </si>
  <si>
    <t>وست دیپلمات طوسی فری</t>
  </si>
  <si>
    <t>تاپ اولدمانی کرم1</t>
  </si>
  <si>
    <t>تاپ</t>
  </si>
  <si>
    <t>تاپ اولدمانی کرم2</t>
  </si>
  <si>
    <t>تاپ اولدمانی کرم3</t>
  </si>
  <si>
    <t>تاپ اولدمانی مشکی 1</t>
  </si>
  <si>
    <t>تاپ اولدمانی مشکی2</t>
  </si>
  <si>
    <t>تاپ اولدمانی مشکی3</t>
  </si>
  <si>
    <t>تاپ اولدمانی استخوانی 1</t>
  </si>
  <si>
    <t>تاپ اولدمانی استخوانی 2</t>
  </si>
  <si>
    <t>تاپ اولدمانی استخوانی 3</t>
  </si>
  <si>
    <t>شلوار اولدمانی کرم1</t>
  </si>
  <si>
    <t>شلوار اولدمانی کرم2</t>
  </si>
  <si>
    <t>شلوار اولدمانی کرم3</t>
  </si>
  <si>
    <t>شلوار اولدمانی مشکی1</t>
  </si>
  <si>
    <t>شلوار اولدمانی مشکی2</t>
  </si>
  <si>
    <t>شلوار اولدمانی مشکی3</t>
  </si>
  <si>
    <t>شلوار اولدمانی استخوانی1</t>
  </si>
  <si>
    <t>شلوار اولدمانی استخوانی2</t>
  </si>
  <si>
    <t>شلوار اولدمانی استخوانی3</t>
  </si>
  <si>
    <t>شومیز پارلا سرمه ای1</t>
  </si>
  <si>
    <t>شومیز پارلا سرمه ای2</t>
  </si>
  <si>
    <t>شومیز پارلا مشکی1</t>
  </si>
  <si>
    <t>شومیز پارلا مشکی2</t>
  </si>
  <si>
    <t>شومیز پارلاسفید1</t>
  </si>
  <si>
    <t>شومیز پارلا سفید2</t>
  </si>
  <si>
    <t>شومیز پارلا کرم1</t>
  </si>
  <si>
    <t>شومیز پارلا کرم2</t>
  </si>
  <si>
    <t>شومیز پارلا سبز زیتونی 1</t>
  </si>
  <si>
    <t>شومیز پارلا سبز زیتونی2</t>
  </si>
  <si>
    <t>شومیز پارلا آبی1</t>
  </si>
  <si>
    <t>شومیز پارلا آبی2</t>
  </si>
  <si>
    <t>شومیز مانلی سفید1</t>
  </si>
  <si>
    <t>شومیز مانلی سفید2</t>
  </si>
  <si>
    <t>شومیز مانلی مشکی1</t>
  </si>
  <si>
    <t>شومیز مانلی مشکی2</t>
  </si>
  <si>
    <t>شومیز مانلی کرم1</t>
  </si>
  <si>
    <t>شومیز مانلی کرم2</t>
  </si>
  <si>
    <t>شومیز مانلی آبی1</t>
  </si>
  <si>
    <t>شومیز مانلی آبی2</t>
  </si>
  <si>
    <t>شومیز مانلی سرمه ای1</t>
  </si>
  <si>
    <t>شومیز مانلی سرمه ای2</t>
  </si>
  <si>
    <t>شومیز مانلی سبززیتونی1</t>
  </si>
  <si>
    <t>شومیز مانلی سبز زیتونی 2</t>
  </si>
  <si>
    <t>شومیز ساتن بیسیک سفید فری</t>
  </si>
  <si>
    <t>شومیز ساتن بیسیک کرم فری</t>
  </si>
  <si>
    <t>شومیز ساتن بیسیک آبی فری</t>
  </si>
  <si>
    <t>شومیز ساتن بیسیک قرمز فری</t>
  </si>
  <si>
    <t>شومیز ساتن بیسیک طوسی فری</t>
  </si>
  <si>
    <t>شلوار دیسکو سفید فری</t>
  </si>
  <si>
    <t>_</t>
  </si>
  <si>
    <t>شلوار دیسکو بژ فری</t>
  </si>
  <si>
    <t>شلوار دیسکو مشکی فری</t>
  </si>
  <si>
    <t>شلوار تافته مشکی 1</t>
  </si>
  <si>
    <t>شلوار تافته مشکی 2</t>
  </si>
  <si>
    <t>شلوارک مانا کرم1</t>
  </si>
  <si>
    <t>شلوارک</t>
  </si>
  <si>
    <t>شلوارک مانا کرم2</t>
  </si>
  <si>
    <t>شلوارک مانا سفید1</t>
  </si>
  <si>
    <t>شلوارک مانا سفید2</t>
  </si>
  <si>
    <t>شلوارک مانا سرخابی1</t>
  </si>
  <si>
    <t>شلوارک مانا سرخابی2</t>
  </si>
  <si>
    <t>شلوارک مانا زیتونی1</t>
  </si>
  <si>
    <t>شلوارک مانا زیتونی2</t>
  </si>
  <si>
    <t>تاپ مایا طوسی1</t>
  </si>
  <si>
    <t>popline</t>
  </si>
  <si>
    <t>تاپ مایا طوسی2</t>
  </si>
  <si>
    <t>تاپ مایا قرمز1</t>
  </si>
  <si>
    <t>تاپ مایا قرمز2</t>
  </si>
  <si>
    <t>تاپ مایا آبی 1</t>
  </si>
  <si>
    <t>تاپ مایا آبی 2</t>
  </si>
  <si>
    <t>وست بیژو طوسی روشن فری</t>
  </si>
  <si>
    <t>وست بیژو مشکی فری</t>
  </si>
  <si>
    <t>وست بیژو آبی نفتی فری</t>
  </si>
  <si>
    <t>وست بیژو فیلی فری</t>
  </si>
  <si>
    <t>شلوار بیژو مشکی فری</t>
  </si>
  <si>
    <t>شلوار بیژو آبی نفتی فری</t>
  </si>
  <si>
    <t>شلوار بیژو فیلی فری</t>
  </si>
  <si>
    <t>کت بیژو مشکی فری</t>
  </si>
  <si>
    <t>کت بیژو فیلی فیری</t>
  </si>
  <si>
    <t>کت بیژو آبی نفتی فری</t>
  </si>
  <si>
    <t>کت بیژو کرم فری</t>
  </si>
  <si>
    <t>کت مازراتی سبز</t>
  </si>
  <si>
    <t>کت مازراتی کرم</t>
  </si>
  <si>
    <t>کراپ تافته شیری 1</t>
  </si>
  <si>
    <t>کراپ تافته شیری2</t>
  </si>
  <si>
    <t>کراپ تافته نارنجی1</t>
  </si>
  <si>
    <t>کراپ تافته نارنجی2</t>
  </si>
  <si>
    <t>کراپ تافته مشکی1</t>
  </si>
  <si>
    <t>کراپ تافته مشکی2</t>
  </si>
  <si>
    <t>شومیز زبرا1</t>
  </si>
  <si>
    <t>شومیز زبرا2</t>
  </si>
  <si>
    <t>شلوار ثمین مشکی1</t>
  </si>
  <si>
    <t>شلوار ثمین مشکی 2</t>
  </si>
  <si>
    <t>شلوار ثمین سبز1</t>
  </si>
  <si>
    <t>شلوار ثمین سبز2</t>
  </si>
  <si>
    <t>شلوار ثمین آبی 1</t>
  </si>
  <si>
    <t>شلوار ثمین آبی2</t>
  </si>
  <si>
    <t>Jaquard</t>
  </si>
  <si>
    <t>ست اسمارت کرم فری</t>
  </si>
  <si>
    <t>ست سامر آجری 1</t>
  </si>
  <si>
    <t>Tencel</t>
  </si>
  <si>
    <t>ست سامر آجری 2</t>
  </si>
  <si>
    <t>شومیز ستیا زرشکی 1</t>
  </si>
  <si>
    <t>شومیز ستیا پلنگی 2</t>
  </si>
  <si>
    <t>کت باربی قهوه ای1</t>
  </si>
  <si>
    <t>Lyocel</t>
  </si>
  <si>
    <t>کت باربی قهوه ای2</t>
  </si>
  <si>
    <t>کت باربی آبی 1</t>
  </si>
  <si>
    <t>کت باربی آبی 2</t>
  </si>
  <si>
    <t>کت باربی مشکی1</t>
  </si>
  <si>
    <t>کت باربی مشکی2</t>
  </si>
  <si>
    <t>شلوارک کرپ مشکی1</t>
  </si>
  <si>
    <t>شلوارک کرپ مشکی2</t>
  </si>
  <si>
    <t>شومیز آلیس صورتی1</t>
  </si>
  <si>
    <t>شومیز آلیس صورتی2</t>
  </si>
  <si>
    <t>شومیز آلیس صورتی3</t>
  </si>
  <si>
    <t>ست دنیزکرم1</t>
  </si>
  <si>
    <t>ست دنیز کرم2</t>
  </si>
  <si>
    <t>ست دنیز سبز1</t>
  </si>
  <si>
    <t>ست دنیز سبز2</t>
  </si>
  <si>
    <t>دامن بانو کرم فری</t>
  </si>
  <si>
    <t>دامن بانو سفید فری</t>
  </si>
  <si>
    <t>دامن بانو مشکی فری</t>
  </si>
  <si>
    <t>شومیز بانو کرم فری</t>
  </si>
  <si>
    <t>شومیز بانو سفید فری</t>
  </si>
  <si>
    <t>شوومیز حراجی  780</t>
  </si>
  <si>
    <t>شومیز حراجی 980</t>
  </si>
  <si>
    <t>شلوار پولکی دورا مشکی 1</t>
  </si>
  <si>
    <t>پیراهن گیپور مشکی</t>
  </si>
  <si>
    <t>شلوار کاپری سرمه ای1</t>
  </si>
  <si>
    <t>شلوار کاپری سرمه ای2</t>
  </si>
  <si>
    <t>شلوار کاپری سرمه ای3</t>
  </si>
  <si>
    <t>شلوار کاپری سفید1</t>
  </si>
  <si>
    <t>شلوار کاپری سفید2</t>
  </si>
  <si>
    <t>شلوار کاپری سفید3</t>
  </si>
  <si>
    <t>شلوار کاپری مشکی2</t>
  </si>
  <si>
    <t>شلوار کاپری مشکی3</t>
  </si>
  <si>
    <t>شلوار مازراتی دمپا مشکی</t>
  </si>
  <si>
    <t>شلوار مازراتی دمپا سرمه ای</t>
  </si>
  <si>
    <t>شلوار مازراتی دمپا کرم</t>
  </si>
  <si>
    <t>شلوار مازراتی راسته سرمه ای</t>
  </si>
  <si>
    <t>شلوار ساتن سبز1</t>
  </si>
  <si>
    <t>شلوار ساتن سبز2</t>
  </si>
  <si>
    <t>شلوار ساتن سفید1</t>
  </si>
  <si>
    <t>شلوار ساتن سفید2</t>
  </si>
  <si>
    <t>شلوار ساتن ابی 1</t>
  </si>
  <si>
    <t>شلوار ساتن ابی2</t>
  </si>
  <si>
    <t>دامن ساتن سفید2</t>
  </si>
  <si>
    <t>شومیز ساتن پاریس سفید1</t>
  </si>
  <si>
    <t>شومیز ساتن پاریس سفید2</t>
  </si>
  <si>
    <t>شومیز ساتن پاریس آبی1</t>
  </si>
  <si>
    <t>شومیز ساتن پاریس آبی2</t>
  </si>
  <si>
    <t>شومیز ساتن پاریس سرمه ای1</t>
  </si>
  <si>
    <t>شومیز ساتن پاریس سرمه ای2</t>
  </si>
  <si>
    <t>شلوار پلیسه طرحدار</t>
  </si>
  <si>
    <t>شومیز ساتن پاریس کرم1</t>
  </si>
  <si>
    <t>شومیز ساتن پاریس کرم2</t>
  </si>
  <si>
    <t>Suede</t>
  </si>
  <si>
    <t>تریکو</t>
  </si>
  <si>
    <t>دریا</t>
  </si>
  <si>
    <t>1405/04/20</t>
  </si>
  <si>
    <t>آبی</t>
  </si>
  <si>
    <t xml:space="preserve">    </t>
  </si>
  <si>
    <t xml:space="preserve">    On Error Resume Next</t>
  </si>
  <si>
    <t xml:space="preserve">    ' شماره فاکتور +1</t>
  </si>
  <si>
    <t xml:space="preserve">    ' پاک کردن با Value به جای ClearContents</t>
  </si>
  <si>
    <t xml:space="preserve">    ws.Range("B5").Value = ""</t>
  </si>
  <si>
    <t xml:space="preserve">    ws.Range("G5").Value = "کارت"</t>
  </si>
  <si>
    <t xml:space="preserve">    ws.Range("B6").Value = ""</t>
  </si>
  <si>
    <t xml:space="preserve">    ws.Range("E6").Value = "حضوری"</t>
  </si>
  <si>
    <t xml:space="preserve">    ws.Range("G6").Value = 0</t>
  </si>
  <si>
    <t xml:space="preserve">    ' اطلاعات مشتری</t>
  </si>
  <si>
    <t xml:space="preserve">    ws.Range("B8").Value = ""</t>
  </si>
  <si>
    <t xml:space="preserve">    ws.Range("E8").Value = ""</t>
  </si>
  <si>
    <t xml:space="preserve">    ws.Range("G8").Value = ""</t>
  </si>
  <si>
    <t xml:space="preserve">    ws.Range("B9").Value = ""</t>
  </si>
  <si>
    <t xml:space="preserve">    ws.Range("D9").Value = ""</t>
  </si>
  <si>
    <t xml:space="preserve">    ws.Range("F9").Value = ""</t>
  </si>
  <si>
    <t xml:space="preserve">    ' ردیف‌های آیتم</t>
  </si>
  <si>
    <t xml:space="preserve">        ws.Cells(i, 2).Value = ""</t>
  </si>
  <si>
    <t xml:space="preserve">        ws.Cells(i, 3).Value = ""</t>
  </si>
  <si>
    <t xml:space="preserve">        ws.Cells(i, 5).Value = 0</t>
  </si>
  <si>
    <t xml:space="preserve">        ws.Cells(i, 7).Value = 0</t>
  </si>
  <si>
    <t xml:space="preserve">    On Error GoTo 0</t>
  </si>
  <si>
    <t xml:space="preserve">    ws.Range("B5").Select</t>
  </si>
  <si>
    <t xml:space="preserve">    MsgBox "✅ فرم آماده فاکتور بعدی", vbInformation, "CHAAM"</t>
  </si>
  <si>
    <t>فروشگاه</t>
  </si>
  <si>
    <t>حمیدپور</t>
  </si>
  <si>
    <t>فروشنده+vm</t>
  </si>
  <si>
    <t>1405/06/02</t>
  </si>
  <si>
    <t>1405/03/09</t>
  </si>
  <si>
    <t>فول</t>
  </si>
  <si>
    <t>امور فروشگاه</t>
  </si>
  <si>
    <t>تهران باملند بلوکa واحد gb5</t>
  </si>
  <si>
    <t xml:space="preserve">  لاگ فاکتور </t>
  </si>
  <si>
    <t xml:space="preserve">  کاتالوگ محصولات</t>
  </si>
  <si>
    <t xml:space="preserve">  اطلاعات پرسنل </t>
  </si>
  <si>
    <t xml:space="preserve"> KPIروزانه فروشگاه </t>
  </si>
  <si>
    <t xml:space="preserve">  📦 انبار  |  INVENTORY </t>
  </si>
  <si>
    <t xml:space="preserve">  💰 حسابداری  |  ACCOUNTING  </t>
  </si>
  <si>
    <t xml:space="preserve">  ⚠️ مرکز هشدار  |  WARNING CENTER  </t>
  </si>
  <si>
    <t>CHSHLSNDBK1</t>
  </si>
  <si>
    <t>CHSHLSNDBK2</t>
  </si>
  <si>
    <t>CHSHLSNDBR1</t>
  </si>
  <si>
    <t>CHSHLSNDBR2</t>
  </si>
  <si>
    <t>CHSHLSNDMU1</t>
  </si>
  <si>
    <t>CHSHLSNDMU2</t>
  </si>
  <si>
    <t>CHSMSYHWH1</t>
  </si>
  <si>
    <t>CHSMSYHWH2</t>
  </si>
  <si>
    <t>CHSMSYHBK1</t>
  </si>
  <si>
    <t>CHSMSYHBK2</t>
  </si>
  <si>
    <t>CHSMSYHGR1</t>
  </si>
  <si>
    <t>CHSMSYHGR2</t>
  </si>
  <si>
    <t>CHSMSYHYL1</t>
  </si>
  <si>
    <t>CHSMSYHYL2</t>
  </si>
  <si>
    <t>CHSMSYHPT1</t>
  </si>
  <si>
    <t>CHSMSYHPT2</t>
  </si>
  <si>
    <t>CHSMGPRYLFR</t>
  </si>
  <si>
    <t>CHSMGPRGRFR</t>
  </si>
  <si>
    <t>CHSMGPRBLFR</t>
  </si>
  <si>
    <t>CHKTLNNBKFR</t>
  </si>
  <si>
    <t>CHSHNKLBK1</t>
  </si>
  <si>
    <t>CHSHNKLBK2</t>
  </si>
  <si>
    <t>CHSHYYLBK1</t>
  </si>
  <si>
    <t>CHSHYYLBK2</t>
  </si>
  <si>
    <t>CHSHYYLWH1</t>
  </si>
  <si>
    <t>CHSHYYLWH2</t>
  </si>
  <si>
    <t>CHSHYYLBL1</t>
  </si>
  <si>
    <t>CHSHYYLBL2</t>
  </si>
  <si>
    <t>CHSMSTYYL1</t>
  </si>
  <si>
    <t>CHSMSTYYL2</t>
  </si>
  <si>
    <t>CHSMGZLBK1</t>
  </si>
  <si>
    <t>CHSMGZLBK2</t>
  </si>
  <si>
    <t>CHSMGZLWH1</t>
  </si>
  <si>
    <t>CHSMGZLWH2</t>
  </si>
  <si>
    <t>CHSMGZLBL1</t>
  </si>
  <si>
    <t>CHSMGZLBL2</t>
  </si>
  <si>
    <t>CHSMGZLPU1</t>
  </si>
  <si>
    <t>CHSMGZLPU2</t>
  </si>
  <si>
    <t>CHSMJNABK1</t>
  </si>
  <si>
    <t>CHSMJNABK2</t>
  </si>
  <si>
    <t>CHSMJNAPK1</t>
  </si>
  <si>
    <t>CHSMJNAPK2</t>
  </si>
  <si>
    <t>CHSMJNACR1</t>
  </si>
  <si>
    <t>CHSMJNACR2</t>
  </si>
  <si>
    <t>CHSMJNACT1</t>
  </si>
  <si>
    <t>CHSMJNACT2</t>
  </si>
  <si>
    <t>CHSMVVLBK1</t>
  </si>
  <si>
    <t>CHSMVVLBK2</t>
  </si>
  <si>
    <t>CHSMVVLPK1</t>
  </si>
  <si>
    <t>CHSMVVLPK2</t>
  </si>
  <si>
    <t>CHSMVVLRD1</t>
  </si>
  <si>
    <t>CHSMVVLRD2</t>
  </si>
  <si>
    <t>CHSMVVLCR1</t>
  </si>
  <si>
    <t>CHSMVVLCR2</t>
  </si>
  <si>
    <t>CHSHPNY--2</t>
  </si>
  <si>
    <t>CHSHMKLKH1</t>
  </si>
  <si>
    <t>CHSHMKLKH2</t>
  </si>
  <si>
    <t>CHSHMNAOL1</t>
  </si>
  <si>
    <t>CHTPOLDCR2</t>
  </si>
  <si>
    <t>CHTPOLDCR3</t>
  </si>
  <si>
    <t>CHTPOLDBK1</t>
  </si>
  <si>
    <t>CHTPOLDBK2</t>
  </si>
  <si>
    <t>CHTPOLDIV3</t>
  </si>
  <si>
    <t>CHSHOLDCR1</t>
  </si>
  <si>
    <t>CHSHOLDCR2</t>
  </si>
  <si>
    <t>CHSHOLDCR3</t>
  </si>
  <si>
    <t>CHSHOLDBK1</t>
  </si>
  <si>
    <t>CHSHOLDBK2</t>
  </si>
  <si>
    <t>CHSHOLDBK3</t>
  </si>
  <si>
    <t>CHSHOLDIV1</t>
  </si>
  <si>
    <t>CHSHOLDIV2</t>
  </si>
  <si>
    <t>CHSHOLDIV3</t>
  </si>
  <si>
    <t>CHSMPRLMU1</t>
  </si>
  <si>
    <t>CHSMPRLMU2</t>
  </si>
  <si>
    <t>CHSMPRLBK1</t>
  </si>
  <si>
    <t>CHSMPRLBK2</t>
  </si>
  <si>
    <t>CHSMPRLWH1</t>
  </si>
  <si>
    <t>CHSMPRLWH2</t>
  </si>
  <si>
    <t>CHSMPRLCR1</t>
  </si>
  <si>
    <t>CHSMPRLCR2</t>
  </si>
  <si>
    <t>CHSMPRLOL1</t>
  </si>
  <si>
    <t>CHSMPRLOL2</t>
  </si>
  <si>
    <t>CHSMPRLBL1</t>
  </si>
  <si>
    <t>CHSMPRLBL2</t>
  </si>
  <si>
    <t>CHSMMNLWH1</t>
  </si>
  <si>
    <t>CHSMMNLWH2</t>
  </si>
  <si>
    <t>CHSMMNLBK1</t>
  </si>
  <si>
    <t>CHSMMNLBK2</t>
  </si>
  <si>
    <t>CHSMMNLCR1</t>
  </si>
  <si>
    <t>CHSMMNLCR2</t>
  </si>
  <si>
    <t>CHSMMNLBL1</t>
  </si>
  <si>
    <t>CHSMMNLBL2</t>
  </si>
  <si>
    <t>CHSMMNLMU1</t>
  </si>
  <si>
    <t>CHSMMNLMU2</t>
  </si>
  <si>
    <t>CHSMMNLOL1</t>
  </si>
  <si>
    <t>CHSMMNLOL2</t>
  </si>
  <si>
    <t>CHSMSTBWHFR</t>
  </si>
  <si>
    <t>CHSMSTBCRFR</t>
  </si>
  <si>
    <t>CHSMSTBBLFR</t>
  </si>
  <si>
    <t>CHSMSTBRDFR</t>
  </si>
  <si>
    <t>CHSMSTBGRFR</t>
  </si>
  <si>
    <t>CHSHDSKWHFR</t>
  </si>
  <si>
    <t>CHSHDSKBGFR</t>
  </si>
  <si>
    <t>CHSHDSKBKFR</t>
  </si>
  <si>
    <t>CHSHTFTBK1</t>
  </si>
  <si>
    <t>CHSHTFTBK2</t>
  </si>
  <si>
    <t>CHSKMNACR1</t>
  </si>
  <si>
    <t>CHSKMNACR2</t>
  </si>
  <si>
    <t>CHSKMNAWH1</t>
  </si>
  <si>
    <t>CHSKMNAWH2</t>
  </si>
  <si>
    <t>CHSKMNARD1</t>
  </si>
  <si>
    <t>CHSKMNARD2</t>
  </si>
  <si>
    <t>CHSKMNAOL1</t>
  </si>
  <si>
    <t>CHSKMNAOL2</t>
  </si>
  <si>
    <t>CHTPMYAGR1</t>
  </si>
  <si>
    <t>CHTPMYAGR2</t>
  </si>
  <si>
    <t>CHTPMYARD1</t>
  </si>
  <si>
    <t>CHTPMYARD2</t>
  </si>
  <si>
    <t>CHTPMYABL1</t>
  </si>
  <si>
    <t>CHTPMYABL2</t>
  </si>
  <si>
    <t>CHVSBJHGRFR</t>
  </si>
  <si>
    <t>CHVSBJHBKFR</t>
  </si>
  <si>
    <t>CHVSBJHBLFR</t>
  </si>
  <si>
    <t>CHVSBJHEGFR</t>
  </si>
  <si>
    <t>CHSHBJHBKFR</t>
  </si>
  <si>
    <t>CHSHBJHBLFR</t>
  </si>
  <si>
    <t>CHSHBJHEGFR</t>
  </si>
  <si>
    <t>CHKTBJHBKFR</t>
  </si>
  <si>
    <t>CHKTBJHEGFR</t>
  </si>
  <si>
    <t>CHKTBJHBLFR</t>
  </si>
  <si>
    <t>CHKTBJHCRFR</t>
  </si>
  <si>
    <t>CHKTMZROLFR</t>
  </si>
  <si>
    <t>CHKTMZRCRFR</t>
  </si>
  <si>
    <t>CHTPCTFIV1</t>
  </si>
  <si>
    <t>CHTPCTFIV2</t>
  </si>
  <si>
    <t>CHTPCTFOR1</t>
  </si>
  <si>
    <t>CHTPCTFOR2</t>
  </si>
  <si>
    <t>CHTPCTFBK1</t>
  </si>
  <si>
    <t>CHTPCTFBK2</t>
  </si>
  <si>
    <t>CHSMZBRPT1</t>
  </si>
  <si>
    <t>CHSMZBRPT2</t>
  </si>
  <si>
    <t>CHSHSMNBK1</t>
  </si>
  <si>
    <t>CHSHSMNBK2</t>
  </si>
  <si>
    <t>CHSHSMNOL1</t>
  </si>
  <si>
    <t>CHSHSMNOL2</t>
  </si>
  <si>
    <t>CHSHSMNBL1</t>
  </si>
  <si>
    <t>CHSHSMNBL2</t>
  </si>
  <si>
    <t>CHKTJKDRDFR</t>
  </si>
  <si>
    <t>CHSTSMTCRFR</t>
  </si>
  <si>
    <t>CHSTSMRRD1</t>
  </si>
  <si>
    <t>CHSTSMRRD2</t>
  </si>
  <si>
    <t>CHSMSTYRD1</t>
  </si>
  <si>
    <t>CHSMSTYRD2</t>
  </si>
  <si>
    <t>CHSMSTYPT1</t>
  </si>
  <si>
    <t>CHSMSTYPT2</t>
  </si>
  <si>
    <t>CHKTBARBR1</t>
  </si>
  <si>
    <t>CHKTBARBR2</t>
  </si>
  <si>
    <t>CHKTBARBL1</t>
  </si>
  <si>
    <t>CHKTBARBL2</t>
  </si>
  <si>
    <t>CHKTBARBK1</t>
  </si>
  <si>
    <t>CHKTBARBK2</t>
  </si>
  <si>
    <t>CHSKKRPBK1</t>
  </si>
  <si>
    <t>CHSKKRPBK2</t>
  </si>
  <si>
    <t>CHSMALSPK1</t>
  </si>
  <si>
    <t>CHSMALSPK2</t>
  </si>
  <si>
    <t>CHSMALSPK3</t>
  </si>
  <si>
    <t>CHSTDNYCR1</t>
  </si>
  <si>
    <t>CHSTDNYCR2</t>
  </si>
  <si>
    <t>CHSTDNYOL1</t>
  </si>
  <si>
    <t>CHSTDNYOL2</t>
  </si>
  <si>
    <t>CHDMBNOCRFR</t>
  </si>
  <si>
    <t>CHDMBNOWHFR</t>
  </si>
  <si>
    <t>CHDMBNOBKFR</t>
  </si>
  <si>
    <t>CHSMBNOCRFR</t>
  </si>
  <si>
    <t>CHSMBNOWHFR</t>
  </si>
  <si>
    <t>CHSMHRJ--FR</t>
  </si>
  <si>
    <t>CHSHPLKBK1</t>
  </si>
  <si>
    <t>CHPRGPRBKFR</t>
  </si>
  <si>
    <t>CHSHKPRMU1</t>
  </si>
  <si>
    <t>CHSHKPRMU2</t>
  </si>
  <si>
    <t>CHSHKPRMU3</t>
  </si>
  <si>
    <t>CHSHKPRWH1</t>
  </si>
  <si>
    <t>CHSHKPRWH2</t>
  </si>
  <si>
    <t>CHSHKPRWH3</t>
  </si>
  <si>
    <t>CHSHKPRBK1</t>
  </si>
  <si>
    <t>CHSHKPRBK2</t>
  </si>
  <si>
    <t>CHSHKPRBK3</t>
  </si>
  <si>
    <t>CHSHMZRBKFR</t>
  </si>
  <si>
    <t>CHSHMZRMUFR</t>
  </si>
  <si>
    <t>CHSHMZRCRFR</t>
  </si>
  <si>
    <t>CHSHMZRMU1</t>
  </si>
  <si>
    <t>CHSHSTNOL1</t>
  </si>
  <si>
    <t>CHSHSTNOL2</t>
  </si>
  <si>
    <t>CHSHSTNWH1</t>
  </si>
  <si>
    <t>CHSHSTNWH2</t>
  </si>
  <si>
    <t>CHSHSTNBL1</t>
  </si>
  <si>
    <t>CHSHSTNBL2</t>
  </si>
  <si>
    <t>CHDMSTNWH1</t>
  </si>
  <si>
    <t>CHDMSTNWH2</t>
  </si>
  <si>
    <t>CHSMSTPWH1</t>
  </si>
  <si>
    <t>CHSMSTPWH2</t>
  </si>
  <si>
    <t>CHSMSTPBL1</t>
  </si>
  <si>
    <t>CHSMSTPBL2</t>
  </si>
  <si>
    <t>CHSMSTPMU1</t>
  </si>
  <si>
    <t>CHSMSTPMU2</t>
  </si>
  <si>
    <t>CHSMSTPCR1</t>
  </si>
  <si>
    <t>CHSMSTPCR2</t>
  </si>
  <si>
    <t>CHTPTSTRD2</t>
  </si>
  <si>
    <t>CHSHPLSPTFR</t>
  </si>
  <si>
    <t>CHSMGRHOLFR</t>
  </si>
  <si>
    <t>CHSMGRHPWFR</t>
  </si>
  <si>
    <t>CHKSKLJMU37</t>
  </si>
  <si>
    <t>CHKSKLJMU39</t>
  </si>
  <si>
    <t>CHKSKLJMU40</t>
  </si>
  <si>
    <t>CHKSKLJMU41</t>
  </si>
  <si>
    <t>CHKSKLJBR37</t>
  </si>
  <si>
    <t>CHKSKLJBR38</t>
  </si>
  <si>
    <t>CHKSKLJBR39</t>
  </si>
  <si>
    <t>CHKSKLJBR40</t>
  </si>
  <si>
    <t>CHKSKLJBR41</t>
  </si>
  <si>
    <t>CHKSKLJBK37</t>
  </si>
  <si>
    <t>CHKSKLJBK38</t>
  </si>
  <si>
    <t>CHKSKLJBK39</t>
  </si>
  <si>
    <t>CHKSKLJBK40</t>
  </si>
  <si>
    <t>CHKSKLJBK41</t>
  </si>
  <si>
    <t>ماحی</t>
  </si>
  <si>
    <t>CHSMDRYBK1</t>
  </si>
  <si>
    <t>CHSHLSNDCR2</t>
  </si>
  <si>
    <t>CHSHLSNDCR1</t>
  </si>
  <si>
    <t>CHSMDRYPK2</t>
  </si>
  <si>
    <t>CHSMDRYPK1</t>
  </si>
  <si>
    <t>CHSHKTRBK1</t>
  </si>
  <si>
    <t>CHSHKTRIV2</t>
  </si>
  <si>
    <t>CHSHKTRIV3</t>
  </si>
  <si>
    <t>CHSHKTRBR1</t>
  </si>
  <si>
    <t>CHSHKTRMU2</t>
  </si>
  <si>
    <t>CHSHKTRBR2</t>
  </si>
  <si>
    <t>CHSHKTRCO1</t>
  </si>
  <si>
    <t>CHSHKTRCO3</t>
  </si>
  <si>
    <t>CHSHKTRBR3</t>
  </si>
  <si>
    <t>CHSHKTRMU1</t>
  </si>
  <si>
    <t>CHSHKTRBK3</t>
  </si>
  <si>
    <t>CHSHKTRMU3</t>
  </si>
  <si>
    <t>CHSHKTRCH3</t>
  </si>
  <si>
    <t>CHSHKTRIV1</t>
  </si>
  <si>
    <t>CHSHKTRCH1</t>
  </si>
  <si>
    <t>CHSHKTRCH2</t>
  </si>
  <si>
    <t>CHSHKTRCO2</t>
  </si>
  <si>
    <t>CHSHKTRBK2</t>
  </si>
  <si>
    <t>CHSMLIVWH1</t>
  </si>
  <si>
    <t>CHSMDRYBK2</t>
  </si>
  <si>
    <t>CHSMDRYCR1</t>
  </si>
  <si>
    <t>CHSMDRYCR2</t>
  </si>
  <si>
    <t>CHSMDRYCT1</t>
  </si>
  <si>
    <t>CHSMDRYCT2</t>
  </si>
  <si>
    <t>CHSMLIVIY1</t>
  </si>
  <si>
    <t>CHSMLIVIY2</t>
  </si>
  <si>
    <t>CHSMLIVIC1</t>
  </si>
  <si>
    <t>CHSMLIVIC2</t>
  </si>
  <si>
    <t>CHSMLIVWH2</t>
  </si>
  <si>
    <t>CHSMTMLOLFR</t>
  </si>
  <si>
    <t>CHSMGPRPKFR</t>
  </si>
  <si>
    <t>CHSMLSNWH2</t>
  </si>
  <si>
    <t>CHSMLSNWH1</t>
  </si>
  <si>
    <t>CHSMLSNBK1</t>
  </si>
  <si>
    <t>CHSMLSNBK2</t>
  </si>
  <si>
    <t>CHSMLSNMU1</t>
  </si>
  <si>
    <t>CHSMLSNMU2</t>
  </si>
  <si>
    <t>CHSMLSNBR1</t>
  </si>
  <si>
    <t>CHSMLSNBR2</t>
  </si>
  <si>
    <t>CHSMTMLBKFR</t>
  </si>
  <si>
    <t>CHSMLSNCR1</t>
  </si>
  <si>
    <t>CHSMLSNCR2</t>
  </si>
  <si>
    <t>CHDMLDYBKFR</t>
  </si>
  <si>
    <t>سرمه ای</t>
  </si>
  <si>
    <t>کت و شلوار</t>
  </si>
  <si>
    <t>مشکی</t>
  </si>
  <si>
    <t xml:space="preserve">بارکد </t>
  </si>
  <si>
    <t>شلوار پولکی مشکی فری</t>
  </si>
  <si>
    <t>شلوار پولکی کرم فری</t>
  </si>
  <si>
    <t>شومیز آیلا صورتی فری</t>
  </si>
  <si>
    <t xml:space="preserve">تخفیف کل </t>
  </si>
  <si>
    <t xml:space="preserve">تعداد اقلام </t>
  </si>
  <si>
    <t xml:space="preserve">جمع قبل از تخفیف </t>
  </si>
  <si>
    <t xml:space="preserve">مانده (دریافتی - مبلغ) </t>
  </si>
  <si>
    <t>مبلغ نهایی</t>
  </si>
  <si>
    <t>──────────────────────────</t>
  </si>
  <si>
    <t>─────────────────────</t>
  </si>
  <si>
    <t>عضویت</t>
  </si>
  <si>
    <t>─────اطلاعات شما─────</t>
  </si>
  <si>
    <t xml:space="preserve">    ws.Range("F6").Value = "پرداخت شده"</t>
  </si>
  <si>
    <t>پرداخت شده</t>
  </si>
  <si>
    <t xml:space="preserve">    ws.Range("G4").Value = "AM_PM_full"</t>
  </si>
  <si>
    <t>آیتم</t>
  </si>
  <si>
    <t>دامن ساتن آبی2</t>
  </si>
  <si>
    <t>شلوار پولکی سفید فری</t>
  </si>
  <si>
    <t>شومیز ستیا زرد 2</t>
  </si>
  <si>
    <t>کیف سفید 2669</t>
  </si>
  <si>
    <t xml:space="preserve"> </t>
  </si>
  <si>
    <t>کیف قهوه ای 4163</t>
  </si>
  <si>
    <t xml:space="preserve">اجری </t>
  </si>
  <si>
    <t>1405/06/21</t>
  </si>
  <si>
    <t>1405/06/22</t>
  </si>
  <si>
    <t>CHKSKLJBK42</t>
  </si>
  <si>
    <t>CHKSKLJBK43</t>
  </si>
  <si>
    <t>CHKSKLJBK44</t>
  </si>
  <si>
    <t>CHKSKLJBK45</t>
  </si>
  <si>
    <t>CHKSKLJBK46</t>
  </si>
  <si>
    <t>CHKSKLJBK47</t>
  </si>
  <si>
    <t>CHKSKLJBK48</t>
  </si>
  <si>
    <t>CHKSKLJBK49</t>
  </si>
  <si>
    <t>CHKSKLJBK50</t>
  </si>
  <si>
    <t>CHKSKLJBK51</t>
  </si>
  <si>
    <t>سبز</t>
  </si>
  <si>
    <t>1405/06/23</t>
  </si>
  <si>
    <t>1405/06/24</t>
  </si>
  <si>
    <t>1405/06/25</t>
  </si>
  <si>
    <t>1405/06/26</t>
  </si>
  <si>
    <t>───────────FJ COD───────────</t>
  </si>
  <si>
    <t>insta: chaamofficial   |    chaamofficial.ir</t>
  </si>
  <si>
    <t>chaam</t>
  </si>
  <si>
    <t xml:space="preserve">🏆 عملکرد پرسنل </t>
  </si>
  <si>
    <t xml:space="preserve">🏅 برترین محصولات </t>
  </si>
  <si>
    <t>شلوار حریر سفید دمپا چاک</t>
  </si>
  <si>
    <t>صندل</t>
  </si>
  <si>
    <t>1405/06/27</t>
  </si>
  <si>
    <t xml:space="preserve">💼 فروش کل
</t>
  </si>
  <si>
    <t xml:space="preserve">📋 فاکتور امروز
</t>
  </si>
  <si>
    <t>💰 فروش امروز</t>
  </si>
  <si>
    <t xml:space="preserve">🏆 تحقق هدف
</t>
  </si>
  <si>
    <t xml:space="preserve">📊 ATV میانگین
</t>
  </si>
  <si>
    <t xml:space="preserve">📦 کم‌موجودی
</t>
  </si>
  <si>
    <t xml:space="preserve">↩️ مرجوعی امروز
</t>
  </si>
  <si>
    <t xml:space="preserve">📈 نرخ تبدیل
</t>
  </si>
  <si>
    <t>🛋️ اتاق پرو</t>
  </si>
  <si>
    <t>🚶 ورودی امروز</t>
  </si>
  <si>
    <t>📊 خلاصه KPI روزانه</t>
  </si>
  <si>
    <t>📅 عملکرد ماهانه</t>
  </si>
  <si>
    <t xml:space="preserve">پرو صندل </t>
  </si>
  <si>
    <t>کت مشکی دیپلمات سایز 2</t>
  </si>
  <si>
    <t>1405/06/29</t>
  </si>
  <si>
    <t>1405/06/30</t>
  </si>
  <si>
    <t>1405/06/31</t>
  </si>
  <si>
    <t>شلوار کاپری مشکیM</t>
  </si>
  <si>
    <t>کیف کرم قهوه ای 4194</t>
  </si>
  <si>
    <t>1405/07/01</t>
  </si>
  <si>
    <t>1405/07/02</t>
  </si>
  <si>
    <t>1405/07/03</t>
  </si>
  <si>
    <t>1405/07/04</t>
  </si>
  <si>
    <t>INV-0201</t>
  </si>
  <si>
    <t>full</t>
  </si>
  <si>
    <t>INV-0200</t>
  </si>
  <si>
    <t>خرید خانم صانعی</t>
  </si>
  <si>
    <t>کیف 4148</t>
  </si>
  <si>
    <t xml:space="preserve">فروشگاه </t>
  </si>
  <si>
    <t>نوشین</t>
  </si>
  <si>
    <t>ایرانپور</t>
  </si>
  <si>
    <t>PM</t>
  </si>
  <si>
    <t>ماحی حمیدپور</t>
  </si>
  <si>
    <t>1360/01</t>
  </si>
  <si>
    <t>INV-0202</t>
  </si>
  <si>
    <t xml:space="preserve"> پیوست فاکتور 195</t>
  </si>
  <si>
    <t>ساره</t>
  </si>
  <si>
    <t>قدیانی</t>
  </si>
  <si>
    <t>1367/08</t>
  </si>
  <si>
    <t>INV-0203</t>
  </si>
  <si>
    <t>دینا</t>
  </si>
  <si>
    <t>پیمایی</t>
  </si>
  <si>
    <t>INV-0204</t>
  </si>
  <si>
    <t xml:space="preserve">میترا </t>
  </si>
  <si>
    <t>حشمتی</t>
  </si>
  <si>
    <t>INV-0205</t>
  </si>
  <si>
    <t>کت سبز</t>
  </si>
  <si>
    <t>کت ژاکارد صورتی 1</t>
  </si>
  <si>
    <t>کت ژاکارد ابی سایز 1</t>
  </si>
  <si>
    <t>کت شنل سایز1</t>
  </si>
  <si>
    <t>سمیرا</t>
  </si>
  <si>
    <t>باجلان</t>
  </si>
  <si>
    <t>اسنپ پی</t>
  </si>
  <si>
    <t>INV-0206</t>
  </si>
  <si>
    <t>کیف سرمه ای 4095</t>
  </si>
  <si>
    <t>شلوار بوتکات سرمه ای40</t>
  </si>
  <si>
    <t>نرگس</t>
  </si>
  <si>
    <t>رامشک</t>
  </si>
  <si>
    <t>INV-0207</t>
  </si>
  <si>
    <t>شلوار بوتکات سرمه ای48</t>
  </si>
  <si>
    <t>باقری</t>
  </si>
  <si>
    <t>1344/01</t>
  </si>
  <si>
    <t>INV-0208</t>
  </si>
  <si>
    <t>مهران</t>
  </si>
  <si>
    <t>INV-0209</t>
  </si>
  <si>
    <t>کت ژاکارد طوسی</t>
  </si>
  <si>
    <t>آپ سل 15 میلیونی</t>
  </si>
  <si>
    <t>💛چام مدِ نجیب و امروزی زنانه💛</t>
  </si>
  <si>
    <t>پرو لوفر</t>
  </si>
  <si>
    <t xml:space="preserve">بامبر ژکت سبز </t>
  </si>
  <si>
    <t>مهسا</t>
  </si>
  <si>
    <t>سعدی</t>
  </si>
  <si>
    <t>INV-0210</t>
  </si>
  <si>
    <t>برگشتی</t>
  </si>
  <si>
    <t>دیجی پی -کارت</t>
  </si>
  <si>
    <t>پریسا</t>
  </si>
  <si>
    <t xml:space="preserve">حبیبی </t>
  </si>
  <si>
    <t>1378/07</t>
  </si>
  <si>
    <t>INV-0211</t>
  </si>
  <si>
    <t xml:space="preserve">شماعی </t>
  </si>
  <si>
    <t>امیر</t>
  </si>
  <si>
    <t>INV-0212</t>
  </si>
  <si>
    <t>وست کرمی سایز 1</t>
  </si>
  <si>
    <t xml:space="preserve">بافت یقه ایستاده کرم </t>
  </si>
  <si>
    <t>بافت یقه ایستاده مشکی</t>
  </si>
  <si>
    <t xml:space="preserve">ستایش </t>
  </si>
  <si>
    <t>رضازاده</t>
  </si>
  <si>
    <t>چدید</t>
  </si>
  <si>
    <t>دریا کریمی</t>
  </si>
  <si>
    <t>1380/06</t>
  </si>
  <si>
    <t>INV-0213</t>
  </si>
  <si>
    <t xml:space="preserve"> دیجی پی3/900/000</t>
  </si>
  <si>
    <t>تاپ بند ماکارون</t>
  </si>
  <si>
    <t>اعتمادی</t>
  </si>
  <si>
    <t>1370/11</t>
  </si>
  <si>
    <t>INV-0214</t>
  </si>
  <si>
    <t>1405/07/05</t>
  </si>
  <si>
    <t>pm</t>
  </si>
  <si>
    <t xml:space="preserve">شیما </t>
  </si>
  <si>
    <t>سعیدی</t>
  </si>
  <si>
    <t xml:space="preserve">برگشتی </t>
  </si>
  <si>
    <t xml:space="preserve">مشتری برگشتی </t>
  </si>
  <si>
    <t>INV-0215</t>
  </si>
  <si>
    <t>خانم</t>
  </si>
  <si>
    <t>فرزان پور</t>
  </si>
  <si>
    <t>_PM_</t>
  </si>
  <si>
    <t>INV-0216</t>
  </si>
  <si>
    <t xml:space="preserve">شومیز حراجی گیپور ابی </t>
  </si>
  <si>
    <t>INV-0217</t>
  </si>
  <si>
    <t>عنبری</t>
  </si>
  <si>
    <t>شومیز زبرا</t>
  </si>
  <si>
    <t>_PM</t>
  </si>
  <si>
    <t>INV-0218</t>
  </si>
  <si>
    <t xml:space="preserve">خانم </t>
  </si>
  <si>
    <t xml:space="preserve">5اسنپ1400پوز 2770کارت ب کارت </t>
  </si>
  <si>
    <t>INV-0219</t>
  </si>
  <si>
    <t>رحیم زاده</t>
  </si>
  <si>
    <t>INV-0220</t>
  </si>
  <si>
    <t>کیف 2792 کرم</t>
  </si>
  <si>
    <t>کیف 2792 قهوه ای</t>
  </si>
  <si>
    <t>INV-0221</t>
  </si>
  <si>
    <t>ادامه فاکتور 161</t>
  </si>
  <si>
    <t>لوفر قهوه ای 38</t>
  </si>
  <si>
    <t>عبدللهی</t>
  </si>
  <si>
    <t>INV-0222</t>
  </si>
  <si>
    <t>شومیز ساتن چری سرمه ای2</t>
  </si>
  <si>
    <t>صندل 40 مشکی</t>
  </si>
  <si>
    <t>نوروزیان</t>
  </si>
  <si>
    <t>کیف 2792</t>
  </si>
  <si>
    <t>بارونی ماهور سرمه ای2</t>
  </si>
  <si>
    <t>INV-0223</t>
  </si>
  <si>
    <t>اپ سل 10 میلیونی</t>
  </si>
  <si>
    <t>1405/07/06</t>
  </si>
  <si>
    <t>حق مرادی</t>
  </si>
  <si>
    <t>1369/08</t>
  </si>
  <si>
    <t>INV-0224</t>
  </si>
  <si>
    <t>1405/07/07</t>
  </si>
  <si>
    <t>کت یقه عروسکی قهوه ای سایز 2</t>
  </si>
  <si>
    <t>INV-0225</t>
  </si>
  <si>
    <t>کت یقه عروسکی سبز سایز 1</t>
  </si>
  <si>
    <t>بامبر ژکت سرمه ای</t>
  </si>
  <si>
    <t>شلوار بیسیک سفید 1</t>
  </si>
  <si>
    <t>پوریا</t>
  </si>
  <si>
    <t>زنجانی</t>
  </si>
  <si>
    <t>INV-0226</t>
  </si>
  <si>
    <t>اپ سل 20 میلیونی</t>
  </si>
  <si>
    <t>شلوار تافی قهوه ای</t>
  </si>
  <si>
    <t>شلوار تافی فری</t>
  </si>
  <si>
    <t>کت شنل</t>
  </si>
  <si>
    <t>مریم</t>
  </si>
  <si>
    <t>دستوری</t>
  </si>
  <si>
    <t>1377/05</t>
  </si>
  <si>
    <t>INV-0227</t>
  </si>
  <si>
    <t>1405/07/08</t>
  </si>
  <si>
    <t>1405/07/09</t>
  </si>
  <si>
    <t>1405/07/10</t>
  </si>
  <si>
    <t>کت دیپلمات سرمه ای سایز 2</t>
  </si>
  <si>
    <t>INV-0228</t>
  </si>
  <si>
    <t xml:space="preserve">چدید </t>
  </si>
  <si>
    <t xml:space="preserve">کیف 2792 قهوه ای </t>
  </si>
  <si>
    <t>INV-0229</t>
  </si>
  <si>
    <t xml:space="preserve">شومیز ساتن بسیک کرمه </t>
  </si>
  <si>
    <t xml:space="preserve">کیف 4148 رنگ کرمی </t>
  </si>
  <si>
    <t xml:space="preserve">pm </t>
  </si>
  <si>
    <t>فرهناز</t>
  </si>
  <si>
    <t xml:space="preserve">شکری </t>
  </si>
  <si>
    <t>INV-0230</t>
  </si>
  <si>
    <t>حضوري</t>
  </si>
  <si>
    <t>کیف 3904</t>
  </si>
  <si>
    <t>ژیلا</t>
  </si>
  <si>
    <t xml:space="preserve">اهدایی </t>
  </si>
  <si>
    <t>INV-0231</t>
  </si>
  <si>
    <t xml:space="preserve">جدید </t>
  </si>
  <si>
    <t>بهبهانی</t>
  </si>
  <si>
    <t>INV-0232</t>
  </si>
  <si>
    <t>صندل کرم 37</t>
  </si>
  <si>
    <t>فتحیه</t>
  </si>
  <si>
    <t>INV-0233</t>
  </si>
  <si>
    <t>کیف سرمه ای 2771</t>
  </si>
  <si>
    <t xml:space="preserve">کیف 4148 قهوه ای </t>
  </si>
  <si>
    <t>موسوی</t>
  </si>
  <si>
    <t xml:space="preserve">مشتری بازگشتی </t>
  </si>
  <si>
    <t>INV-0234</t>
  </si>
  <si>
    <t>بارونی ماهور کرمی 1</t>
  </si>
  <si>
    <t xml:space="preserve">زینب </t>
  </si>
  <si>
    <t>قربانی</t>
  </si>
  <si>
    <t>INV-0235</t>
  </si>
  <si>
    <t xml:space="preserve">شلوار چین طبقه ای سبز </t>
  </si>
  <si>
    <t xml:space="preserve">نگار </t>
  </si>
  <si>
    <t xml:space="preserve">شریفی </t>
  </si>
  <si>
    <t>کارت- اسنپ پی</t>
  </si>
  <si>
    <t>1383/09</t>
  </si>
  <si>
    <t>INV-0236</t>
  </si>
  <si>
    <t>اپ سل 15میلیونی</t>
  </si>
  <si>
    <t>1405/07/11</t>
  </si>
  <si>
    <t>کت بیژو طوسی روشن فیری</t>
  </si>
  <si>
    <t>شلوار بیژوطوسی روشن فری سایز</t>
  </si>
  <si>
    <t>1405/07/13</t>
  </si>
  <si>
    <t>1405/07/14</t>
  </si>
  <si>
    <t>1405/07/16</t>
  </si>
  <si>
    <t>1405/07/17</t>
  </si>
  <si>
    <t>1405/07/19</t>
  </si>
  <si>
    <t>1405/07/20</t>
  </si>
  <si>
    <t>1405/07/12</t>
  </si>
  <si>
    <t>دامن ساتن قرمز1</t>
  </si>
  <si>
    <t>دامن ساتن قرمز2</t>
  </si>
  <si>
    <t>شومیز مانلی قرمز 1</t>
  </si>
  <si>
    <t>یوسف</t>
  </si>
  <si>
    <t>نصیری</t>
  </si>
  <si>
    <t>INV-0237</t>
  </si>
  <si>
    <t xml:space="preserve">اسنپ پی </t>
  </si>
  <si>
    <t xml:space="preserve">مریم </t>
  </si>
  <si>
    <t xml:space="preserve">اسد الهی </t>
  </si>
  <si>
    <t>INV-0238</t>
  </si>
  <si>
    <t>بامبر دانتل ابی 2</t>
  </si>
  <si>
    <t>صندل مشکی39</t>
  </si>
  <si>
    <t>ریتا</t>
  </si>
  <si>
    <t>جمعه</t>
  </si>
  <si>
    <t>1366/01</t>
  </si>
  <si>
    <t>INV-0239</t>
  </si>
  <si>
    <t>پرو صندل</t>
  </si>
  <si>
    <t>کت سرمه ای دیپلمات2</t>
  </si>
  <si>
    <t>وحیده</t>
  </si>
  <si>
    <t>ملک</t>
  </si>
  <si>
    <t xml:space="preserve">تنگ تاپ سرمه ای </t>
  </si>
  <si>
    <t>1373/06</t>
  </si>
  <si>
    <t>INV-0240</t>
  </si>
  <si>
    <t>بامبر سرمه ای</t>
  </si>
  <si>
    <t>خرید پرسنلی کریمی پرداخت آخر ماه</t>
  </si>
  <si>
    <t>INV-0241</t>
  </si>
  <si>
    <t>خرید پرسنلی خانم حمیدپور پرداخت آخر ماه</t>
  </si>
  <si>
    <t>بامبر قهوه ای</t>
  </si>
  <si>
    <t>INV-0242</t>
  </si>
  <si>
    <t xml:space="preserve">کیف تدی </t>
  </si>
  <si>
    <t>ستاره</t>
  </si>
  <si>
    <t>INV-0243</t>
  </si>
  <si>
    <t>INV-0244</t>
  </si>
  <si>
    <t>کیف 2720کرم</t>
  </si>
  <si>
    <t>شاهین فر</t>
  </si>
  <si>
    <t>_full</t>
  </si>
  <si>
    <t>INV-0245</t>
  </si>
  <si>
    <t>معصومه</t>
  </si>
  <si>
    <t>هاشمی</t>
  </si>
  <si>
    <t>بارونی ماهور نسکافه ای 1</t>
  </si>
  <si>
    <t>10درصد کسر شد بابت روز تولد</t>
  </si>
  <si>
    <t>INV-0246</t>
  </si>
  <si>
    <t xml:space="preserve">کیف 2669 مشکی </t>
  </si>
  <si>
    <t xml:space="preserve">am </t>
  </si>
  <si>
    <t xml:space="preserve">اسیه </t>
  </si>
  <si>
    <t>کولیوند</t>
  </si>
  <si>
    <t>INV-0247</t>
  </si>
  <si>
    <t>سلیمی</t>
  </si>
  <si>
    <t>INV-0248</t>
  </si>
  <si>
    <t>کیف بزرگ سفید</t>
  </si>
  <si>
    <t>INV-0249</t>
  </si>
  <si>
    <t>1میلیون 68 هزار تومان از خرید پرسنلی تسویه شد.</t>
  </si>
  <si>
    <t>تسویه بخشی از خرید پرسنلی</t>
  </si>
  <si>
    <t>PM_full</t>
  </si>
  <si>
    <t>1405/07/15</t>
  </si>
  <si>
    <t>شومیز حریر سفید 1</t>
  </si>
  <si>
    <t xml:space="preserve">نازنین </t>
  </si>
  <si>
    <t>برزگری</t>
  </si>
  <si>
    <t>INV-0250</t>
  </si>
  <si>
    <t>شاهجویی</t>
  </si>
  <si>
    <t xml:space="preserve">کیف 2669 نسکافه ای </t>
  </si>
  <si>
    <t>INV-0251</t>
  </si>
  <si>
    <t>امیر ماهان</t>
  </si>
  <si>
    <t xml:space="preserve">محمدی </t>
  </si>
  <si>
    <t>پولو شرت</t>
  </si>
  <si>
    <t>تاپ بند ماکارن</t>
  </si>
  <si>
    <t>کارت به کارت</t>
  </si>
  <si>
    <t>INV-0252</t>
  </si>
  <si>
    <t>کیف2720</t>
  </si>
  <si>
    <t>کت پیوند</t>
  </si>
  <si>
    <t>کت جین مشکی</t>
  </si>
  <si>
    <t>دامن جین مشکی</t>
  </si>
  <si>
    <t>بازگشتی</t>
  </si>
  <si>
    <t>علیخانی</t>
  </si>
  <si>
    <t>بامبر سلین سرمه ای</t>
  </si>
  <si>
    <t>INV-0253</t>
  </si>
  <si>
    <t>آپ سل 20میلیونی</t>
  </si>
  <si>
    <t>الهه</t>
  </si>
  <si>
    <t>وطن دوست</t>
  </si>
  <si>
    <t>INV-0254</t>
  </si>
  <si>
    <t>1405/07/18</t>
  </si>
  <si>
    <t>کت سوفی طوسی</t>
  </si>
  <si>
    <t>رقیه</t>
  </si>
  <si>
    <t>مهدوی</t>
  </si>
  <si>
    <t>1349/06</t>
  </si>
  <si>
    <t>INV-0255</t>
  </si>
  <si>
    <t>شومیز سایه خالدار سفیدزرد سایز1</t>
  </si>
  <si>
    <t>شومیز سایه خالدار سفیدزرد سایز2</t>
  </si>
  <si>
    <t>کاظمی</t>
  </si>
  <si>
    <t>لیوسل کت قهوه ای 1</t>
  </si>
  <si>
    <t>INV-0256</t>
  </si>
  <si>
    <t xml:space="preserve">کیف 4166 سرمه ای </t>
  </si>
  <si>
    <t xml:space="preserve">منظر </t>
  </si>
  <si>
    <t xml:space="preserve">شیری </t>
  </si>
  <si>
    <t>INV-0257</t>
  </si>
  <si>
    <t xml:space="preserve">توت بگ سرمه ای </t>
  </si>
  <si>
    <t>INV-0258</t>
  </si>
  <si>
    <t xml:space="preserve">کت شانل </t>
  </si>
  <si>
    <t>کراپ صورتی گره ای</t>
  </si>
  <si>
    <t xml:space="preserve">ثنا </t>
  </si>
  <si>
    <t xml:space="preserve">رهبر </t>
  </si>
  <si>
    <t>0938206 2157</t>
  </si>
  <si>
    <t>INV-0259</t>
  </si>
  <si>
    <t xml:space="preserve">بافت زرشکی </t>
  </si>
  <si>
    <t>بافت</t>
  </si>
  <si>
    <t>ربیع</t>
  </si>
  <si>
    <t>INV-0260</t>
  </si>
  <si>
    <t>INV-0261</t>
  </si>
  <si>
    <t>دادرس</t>
  </si>
  <si>
    <t>کیف قهوه ای 2789</t>
  </si>
  <si>
    <t>PM_</t>
  </si>
  <si>
    <t>INV-0262</t>
  </si>
  <si>
    <t>آرتینا</t>
  </si>
  <si>
    <t>منصف</t>
  </si>
  <si>
    <t>1392/01</t>
  </si>
  <si>
    <t>INV-0263</t>
  </si>
  <si>
    <t>مبینا</t>
  </si>
  <si>
    <t>جعفری</t>
  </si>
  <si>
    <t>شلوارک جین</t>
  </si>
  <si>
    <t>INV-0264</t>
  </si>
  <si>
    <t>INV-0265</t>
  </si>
  <si>
    <t>زهرا</t>
  </si>
  <si>
    <t>مسگری</t>
  </si>
  <si>
    <t>INV-0266</t>
  </si>
  <si>
    <t xml:space="preserve">بامبر سدری </t>
  </si>
  <si>
    <t>محمد</t>
  </si>
  <si>
    <t>صالح</t>
  </si>
  <si>
    <t>INV-0267</t>
  </si>
  <si>
    <t>بافت قهوه ای</t>
  </si>
  <si>
    <t>خداویسی</t>
  </si>
  <si>
    <t>INV-0268</t>
  </si>
  <si>
    <t>Pm</t>
  </si>
  <si>
    <t>شومیز بیسکوییتی 1</t>
  </si>
  <si>
    <t>رضایی</t>
  </si>
  <si>
    <t>INV-0269</t>
  </si>
  <si>
    <t xml:space="preserve">کیف 4148 رنگ مشکی  </t>
  </si>
  <si>
    <t xml:space="preserve">پریا </t>
  </si>
  <si>
    <t>شاه مانی</t>
  </si>
  <si>
    <t>INV-0270</t>
  </si>
  <si>
    <t>رحیمی</t>
  </si>
  <si>
    <t>شلوار مشکی پاییزی  تافی</t>
  </si>
  <si>
    <t>INV-0271</t>
  </si>
  <si>
    <t>شلوار لیلی مشکی 1</t>
  </si>
  <si>
    <t>تاپ ماکارون زرشکی</t>
  </si>
  <si>
    <t>خانی</t>
  </si>
  <si>
    <t>INV-0272</t>
  </si>
  <si>
    <t>دامن سورمه ای 1</t>
  </si>
  <si>
    <t>INV-0273</t>
  </si>
  <si>
    <t>قادری</t>
  </si>
  <si>
    <t>کیف4194</t>
  </si>
  <si>
    <t>1363/06</t>
  </si>
  <si>
    <t>INV-0274</t>
  </si>
  <si>
    <t xml:space="preserve">مهسا </t>
  </si>
  <si>
    <t xml:space="preserve">نظری </t>
  </si>
  <si>
    <t>INV-0275</t>
  </si>
  <si>
    <t xml:space="preserve">نیم تنه چری </t>
  </si>
  <si>
    <t>INV-0276</t>
  </si>
  <si>
    <t>فرشته</t>
  </si>
  <si>
    <t>فتحی</t>
  </si>
  <si>
    <t>1382/02</t>
  </si>
  <si>
    <t>INV-0277</t>
  </si>
  <si>
    <t xml:space="preserve">کیف 4124 </t>
  </si>
  <si>
    <t>کیف 4124</t>
  </si>
  <si>
    <t>لوفر سرمه ای 37</t>
  </si>
  <si>
    <t>INV-0278</t>
  </si>
  <si>
    <t>INV-0279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</si>
</sst>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4">
    <font>
      <sz val="11"/>
      <color theme="1"/>
      <name val="Calibri"/>
      <family val="2"/>
      <charset val="1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9"/>
      <color rgb="FFE9D8A6"/>
      <name val="Arial"/>
      <family val="2"/>
    </font>
    <font>
      <sz val="9"/>
      <color rgb="FF2EC4B6"/>
      <name val="Arial"/>
      <family val="2"/>
    </font>
    <font>
      <b/>
      <sz val="8"/>
      <color rgb="FFFFFFFF"/>
      <name val="Arial"/>
      <family val="2"/>
    </font>
    <font>
      <sz val="9"/>
      <color rgb="FF1F4E9C"/>
      <name val="Arial"/>
      <family val="2"/>
    </font>
    <font>
      <b/>
      <sz val="9"/>
      <color rgb="FF2EC4B6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E9D8A6"/>
      <name val="Arial"/>
      <family val="2"/>
    </font>
    <font>
      <b/>
      <sz val="10"/>
      <color rgb="FF2ECC71"/>
      <name val="Arial"/>
      <family val="2"/>
    </font>
    <font>
      <sz val="8"/>
      <color rgb="FF7A8CB0"/>
      <name val="Arial"/>
      <family val="2"/>
    </font>
    <font>
      <b/>
      <sz val="12"/>
      <color rgb="FFFFFFFF"/>
      <name val="Arial"/>
      <family val="2"/>
    </font>
    <font>
      <b/>
      <sz val="11"/>
      <color rgb="FFD4AF37"/>
      <name val="Arial"/>
      <family val="2"/>
    </font>
    <font>
      <sz val="10"/>
      <color rgb="FF1F4E9C"/>
      <name val="Arial"/>
      <family val="2"/>
    </font>
    <font>
      <b/>
      <sz val="13"/>
      <color rgb="FFD4AF37"/>
      <name val="Arial"/>
      <family val="2"/>
    </font>
    <font>
      <sz val="9"/>
      <color rgb="FFC8D8FF"/>
      <name val="Arial"/>
      <family val="2"/>
    </font>
    <font>
      <b/>
      <sz val="10"/>
      <color rgb="FFD4AF37"/>
      <name val="Arial"/>
      <family val="2"/>
    </font>
    <font>
      <b/>
      <sz val="2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FFFFFF"/>
      <name val="Arial"/>
      <family val="2"/>
    </font>
    <font>
      <b/>
      <sz val="11"/>
      <color rgb="FF1F4E9C"/>
      <name val="Cambria"/>
      <family val="1"/>
    </font>
    <font>
      <sz val="8"/>
      <color rgb="FFB9B9B9"/>
      <name val="Arial"/>
      <family val="2"/>
    </font>
    <font>
      <b/>
      <sz val="11"/>
      <color rgb="FF1F4E9C"/>
      <name val="FreeSans"/>
      <family val="2"/>
      <charset val="1"/>
    </font>
    <font>
      <sz val="10"/>
      <color rgb="FF2EC4B6"/>
      <name val="Cambria"/>
      <family val="1"/>
    </font>
    <font>
      <sz val="9"/>
      <color rgb="FF2EC4B6"/>
      <name val="Courier New"/>
      <family val="3"/>
    </font>
    <font>
      <sz val="9"/>
      <color rgb="FF1F4E9C"/>
      <name val="Arial"/>
      <family val="2"/>
    </font>
    <font>
      <sz val="11"/>
      <color rgb="FF000000"/>
      <name val="Calibri"/>
      <family val="2"/>
    </font>
    <font>
      <b/>
      <sz val="10"/>
      <color rgb="FF1F4E9C"/>
      <name val="Arial"/>
      <family val="2"/>
    </font>
    <font>
      <sz val="11"/>
      <color theme="1"/>
      <name val="Calibri"/>
      <family val="2"/>
      <charset val="178"/>
    </font>
    <font>
      <sz val="8"/>
      <color theme="1"/>
      <name val="Arial"/>
      <family val="2"/>
      <charset val="178"/>
    </font>
    <font>
      <sz val="8"/>
      <color theme="1"/>
      <name val="Calibri"/>
      <family val="2"/>
      <charset val="178"/>
    </font>
    <font>
      <b/>
      <sz val="11"/>
      <color theme="1"/>
      <name val="Arial"/>
      <family val="2"/>
      <charset val="178"/>
    </font>
    <font>
      <sz val="11"/>
      <color theme="1"/>
      <name val="Arial"/>
      <family val="2"/>
      <charset val="178"/>
    </font>
    <font>
      <sz val="12"/>
      <color theme="1"/>
      <name val="Calibri"/>
      <family val="2"/>
      <charset val="178"/>
    </font>
    <font>
      <b/>
      <sz val="12"/>
      <color theme="1"/>
      <name val="Arial"/>
      <family val="2"/>
      <charset val="178"/>
    </font>
    <font>
      <b/>
      <sz val="14"/>
      <color theme="1"/>
      <name val="Arial"/>
      <family val="2"/>
      <charset val="178"/>
    </font>
    <font>
      <sz val="14"/>
      <color theme="1"/>
      <name val="Calibri"/>
      <family val="2"/>
      <charset val="178"/>
    </font>
    <font>
      <sz val="9"/>
      <color rgb="FFE9D8A6"/>
      <name val="Arial"/>
      <family val="2"/>
    </font>
    <font>
      <sz val="10"/>
      <color rgb="FF1F4E9C"/>
      <name val="Arial"/>
      <family val="2"/>
    </font>
    <font>
      <b/>
      <sz val="9"/>
      <color theme="1"/>
      <name val="Arial"/>
      <family val="2"/>
      <charset val="178"/>
    </font>
    <font>
      <b/>
      <sz val="10"/>
      <color rgb="FF1F4E9C"/>
      <name val="FreeSans"/>
      <family val="2"/>
      <charset val="1"/>
    </font>
    <font>
      <b/>
      <sz val="18"/>
      <color rgb="FFD4AF37"/>
      <name val="Arial"/>
      <family val="2"/>
      <charset val="178"/>
    </font>
    <font>
      <sz val="18"/>
      <color theme="1"/>
      <name val="Calibri"/>
      <family val="2"/>
      <charset val="178"/>
    </font>
    <font>
      <b/>
      <sz val="20"/>
      <color rgb="FFD4AF37"/>
      <name val="Arial"/>
      <family val="2"/>
      <charset val="178"/>
    </font>
    <font>
      <sz val="20"/>
      <color theme="1"/>
      <name val="Calibri"/>
      <family val="2"/>
      <charset val="178"/>
    </font>
    <font>
      <b/>
      <sz val="22"/>
      <color rgb="FFD4AF37"/>
      <name val="Arial"/>
      <family val="2"/>
      <charset val="178"/>
    </font>
    <font>
      <sz val="22"/>
      <color theme="1"/>
      <name val="Calibri"/>
      <family val="2"/>
      <charset val="178"/>
    </font>
    <font>
      <b/>
      <sz val="24"/>
      <color rgb="FFD4AF37"/>
      <name val="Arial"/>
      <family val="2"/>
      <charset val="178"/>
    </font>
    <font>
      <sz val="24"/>
      <color theme="1"/>
      <name val="Calibri"/>
      <family val="2"/>
      <charset val="178"/>
    </font>
    <font>
      <b/>
      <sz val="28"/>
      <color rgb="FFD4AF37"/>
      <name val="Arial"/>
      <family val="2"/>
      <charset val="178"/>
    </font>
    <font>
      <sz val="28"/>
      <color theme="1"/>
      <name val="Calibri"/>
      <family val="2"/>
      <charset val="178"/>
    </font>
    <font>
      <b/>
      <sz val="36"/>
      <color rgb="FFD4AF37"/>
      <name val="Arial"/>
      <family val="2"/>
      <charset val="178"/>
    </font>
    <font>
      <sz val="36"/>
      <color theme="1"/>
      <name val="Calibri"/>
      <family val="2"/>
      <charset val="178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E9D8A6"/>
      <name val="Arial"/>
      <family val="2"/>
    </font>
    <font>
      <b/>
      <sz val="11"/>
      <color rgb="FF2ECC71"/>
      <name val="Arial"/>
      <family val="2"/>
    </font>
    <font>
      <b/>
      <sz val="12"/>
      <color rgb="FFE9D8A6"/>
      <name val="Arial"/>
      <family val="2"/>
    </font>
    <font>
      <b/>
      <sz val="12"/>
      <color rgb="FF2ECC71"/>
      <name val="Arial"/>
      <family val="2"/>
    </font>
    <font>
      <b/>
      <sz val="11"/>
      <color rgb="FFD4AF37"/>
      <name val="Arial"/>
      <family val="2"/>
      <charset val="178"/>
    </font>
    <font>
      <sz val="11"/>
      <color rgb="FFC8D8FF"/>
      <name val="Arial"/>
      <family val="2"/>
      <charset val="178"/>
    </font>
    <font>
      <b/>
      <sz val="10"/>
      <color rgb="FFD4AF37"/>
      <name val="Arial"/>
      <family val="2"/>
      <charset val="178"/>
    </font>
    <font>
      <b/>
      <sz val="10"/>
      <color rgb="FF2EC4B6"/>
      <name val="Arial"/>
      <family val="2"/>
    </font>
    <font>
      <b/>
      <sz val="10"/>
      <color theme="1"/>
      <name val="Arial"/>
      <family val="2"/>
      <charset val="178"/>
    </font>
    <font>
      <b/>
      <sz val="20"/>
      <color theme="1"/>
      <name val="Arial"/>
      <family val="2"/>
      <charset val="178"/>
    </font>
    <font>
      <sz val="10"/>
      <color theme="1"/>
      <name val="Calibri"/>
      <family val="2"/>
      <charset val="1"/>
    </font>
    <font>
      <b/>
      <sz val="16"/>
      <color theme="1"/>
      <name val="Arial"/>
      <family val="2"/>
      <charset val="178"/>
    </font>
    <font>
      <sz val="10"/>
      <color theme="1"/>
      <name val="Arial"/>
      <family val="2"/>
      <charset val="178"/>
    </font>
    <font>
      <b/>
      <sz val="18"/>
      <color theme="1"/>
      <name val="Arial"/>
      <family val="2"/>
      <charset val="178"/>
    </font>
    <font>
      <sz val="10"/>
      <color theme="1"/>
      <name val="Calibri"/>
      <family val="2"/>
      <charset val="178"/>
    </font>
    <font>
      <sz val="12"/>
      <color theme="1"/>
      <name val="Arial"/>
      <family val="2"/>
      <charset val="178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b/>
      <sz val="8"/>
      <color rgb="FFFFFFFF"/>
      <name val="Arial"/>
      <family val="2"/>
      <charset val="178"/>
    </font>
    <font>
      <sz val="8"/>
      <color rgb="FF1F4E9C"/>
      <name val="Arial"/>
      <family val="2"/>
      <charset val="178"/>
    </font>
    <font>
      <b/>
      <sz val="72"/>
      <color rgb="FF002060"/>
      <name val="Aban"/>
      <charset val="178"/>
    </font>
    <font>
      <sz val="9"/>
      <color theme="1"/>
      <name val="Asenine Wide"/>
    </font>
    <font>
      <sz val="18"/>
      <color theme="1"/>
      <name val="CabaretShadow"/>
    </font>
    <font>
      <sz val="22"/>
      <color theme="1"/>
      <name val="AKBAR"/>
      <charset val="178"/>
    </font>
    <font>
      <sz val="72"/>
      <color rgb="FF002060"/>
      <name val="Castellar"/>
      <family val="1"/>
    </font>
    <font>
      <sz val="14"/>
      <color rgb="FFE8D08A"/>
      <name val="Arial"/>
      <family val="2"/>
    </font>
    <font>
      <b/>
      <sz val="48"/>
      <color rgb="FFD4AF37"/>
      <name val="Arial"/>
      <family val="2"/>
      <charset val="178"/>
    </font>
    <font>
      <sz val="48"/>
      <color theme="1"/>
      <name val="Calibri"/>
      <family val="2"/>
      <charset val="178"/>
    </font>
    <font>
      <b/>
      <sz val="28"/>
      <color rgb="FFD4AF37"/>
      <name val="Arial"/>
      <family val="2"/>
    </font>
    <font>
      <b/>
      <sz val="36"/>
      <color rgb="FFE9D8A6"/>
      <name val="Arial"/>
      <family val="2"/>
    </font>
    <font>
      <b/>
      <sz val="24"/>
      <color rgb="FFE9D8A6"/>
      <name val="Arial"/>
      <family val="2"/>
    </font>
    <font>
      <b/>
      <sz val="28"/>
      <color rgb="FFFFFFFF"/>
      <name val="Arial"/>
      <family val="2"/>
    </font>
    <font>
      <sz val="24"/>
      <color rgb="FFE9D8A6"/>
      <name val="Arial"/>
      <family val="2"/>
    </font>
    <font>
      <b/>
      <sz val="24"/>
      <color rgb="FF2EC4B6"/>
      <name val="Arial"/>
      <family val="2"/>
    </font>
    <font>
      <b/>
      <sz val="26"/>
      <color rgb="FFC9A84C"/>
      <name val="Arial"/>
      <family val="2"/>
    </font>
    <font>
      <sz val="26"/>
      <color rgb="FFE8D08A"/>
      <name val="Arial"/>
      <family val="2"/>
    </font>
    <font>
      <sz val="26"/>
      <color rgb="FF2EC4B6"/>
      <name val="Arial"/>
      <family val="2"/>
    </font>
    <font>
      <b/>
      <sz val="48"/>
      <color rgb="FFD4AF37"/>
      <name val="2  Titr"/>
      <charset val="178"/>
    </font>
    <font>
      <sz val="20"/>
      <color rgb="FFE9D8A6"/>
      <name val="Calisto MT"/>
      <family val="1"/>
    </font>
    <font>
      <sz val="20"/>
      <color theme="1"/>
      <name val="Calisto MT"/>
      <family val="1"/>
    </font>
    <font>
      <sz val="11"/>
      <name val="Calibri"/>
      <family val="2"/>
      <charset val="178"/>
    </font>
    <font>
      <sz val="9"/>
      <name val="Arial"/>
      <family val="2"/>
      <charset val="178"/>
    </font>
    <font>
      <b/>
      <sz val="8"/>
      <color theme="2"/>
      <name val="Arial"/>
      <family val="2"/>
      <charset val="178"/>
    </font>
    <font>
      <sz val="11"/>
      <color rgb="FFFF0000"/>
      <name val="Calibri"/>
      <family val="2"/>
      <charset val="1"/>
    </font>
    <font>
      <sz val="11"/>
      <color rgb="FF006100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0A1628"/>
        <bgColor rgb="FF08132B"/>
      </patternFill>
    </fill>
    <fill>
      <patternFill patternType="solid">
        <fgColor rgb="FF08132B"/>
        <bgColor rgb="FF0A1628"/>
      </patternFill>
    </fill>
    <fill>
      <patternFill patternType="solid">
        <fgColor rgb="FF13294B"/>
        <bgColor rgb="FF1A2F50"/>
      </patternFill>
    </fill>
    <fill>
      <patternFill patternType="solid">
        <fgColor rgb="FFFFF6DA"/>
        <bgColor rgb="FFFFFFFF"/>
      </patternFill>
    </fill>
    <fill>
      <patternFill patternType="solid">
        <fgColor rgb="FF0F2040"/>
        <bgColor rgb="FF0B1F3A"/>
      </patternFill>
    </fill>
    <fill>
      <patternFill patternType="solid">
        <fgColor rgb="FF0B1F3A"/>
        <bgColor rgb="FF0F2040"/>
      </patternFill>
    </fill>
    <fill>
      <patternFill patternType="solid">
        <fgColor rgb="FFE8F4FF"/>
        <bgColor rgb="FFFFFFFF"/>
      </patternFill>
    </fill>
    <fill>
      <patternFill patternType="solid">
        <fgColor rgb="FF1A3A6E"/>
        <bgColor rgb="FF1A2F50"/>
      </patternFill>
    </fill>
    <fill>
      <patternFill patternType="solid">
        <fgColor rgb="FF0D3B2E"/>
        <bgColor rgb="FF1A2F50"/>
      </patternFill>
    </fill>
    <fill>
      <patternFill patternType="solid">
        <fgColor rgb="FF1F4E9C"/>
        <bgColor rgb="FF2A4F80"/>
      </patternFill>
    </fill>
    <fill>
      <patternFill patternType="solid">
        <fgColor rgb="FF0C1A35"/>
        <bgColor rgb="FF0B1F3A"/>
      </patternFill>
    </fill>
    <fill>
      <patternFill patternType="solid">
        <fgColor rgb="FFC0392B"/>
        <bgColor rgb="FFE74C3C"/>
      </patternFill>
    </fill>
    <fill>
      <patternFill patternType="solid">
        <fgColor rgb="FFFFF6DA"/>
      </patternFill>
    </fill>
    <fill>
      <patternFill patternType="solid">
        <fgColor theme="0"/>
        <bgColor rgb="FF08132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A1628"/>
      </patternFill>
    </fill>
    <fill>
      <patternFill patternType="solid">
        <fgColor theme="0"/>
      </patternFill>
    </fill>
    <fill>
      <patternFill patternType="solid">
        <fgColor theme="0"/>
        <bgColor rgb="FF0F2040"/>
      </patternFill>
    </fill>
    <fill>
      <patternFill patternType="solid">
        <fgColor theme="0"/>
        <bgColor rgb="FF0B1F3A"/>
      </patternFill>
    </fill>
    <fill>
      <patternFill patternType="solid">
        <fgColor theme="0"/>
        <bgColor rgb="FF1A2F50"/>
      </patternFill>
    </fill>
    <fill>
      <patternFill patternType="solid">
        <fgColor rgb="FF1A3A6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8132B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8132B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5"/>
      </patternFill>
    </fill>
  </fills>
  <borders count="66">
    <border>
      <left/>
      <right/>
      <top/>
      <bottom/>
      <diagonal/>
    </border>
    <border>
      <left style="thin">
        <color rgb="FF1A2F50"/>
      </left>
      <right style="thin">
        <color rgb="FF1A2F50"/>
      </right>
      <top style="thin">
        <color rgb="FF1A2F50"/>
      </top>
      <bottom style="thin">
        <color rgb="FF1A2F50"/>
      </bottom>
      <diagonal/>
    </border>
    <border>
      <left style="medium">
        <color rgb="FF2A4F80"/>
      </left>
      <right style="medium">
        <color rgb="FF2A4F80"/>
      </right>
      <top style="medium">
        <color rgb="FF2A4F80"/>
      </top>
      <bottom style="medium">
        <color rgb="FF2A4F80"/>
      </bottom>
      <diagonal/>
    </border>
    <border>
      <left/>
      <right style="thin">
        <color rgb="FF1A2F50"/>
      </right>
      <top style="thin">
        <color rgb="FF1A2F50"/>
      </top>
      <bottom style="thin">
        <color rgb="FF1A2F50"/>
      </bottom>
      <diagonal/>
    </border>
    <border>
      <left/>
      <right/>
      <top style="thin">
        <color rgb="FF1A2F50"/>
      </top>
      <bottom style="thin">
        <color rgb="FF1A2F50"/>
      </bottom>
      <diagonal/>
    </border>
    <border>
      <left/>
      <right/>
      <top style="medium">
        <color rgb="FF2A4F80"/>
      </top>
      <bottom style="medium">
        <color rgb="FF2A4F80"/>
      </bottom>
      <diagonal/>
    </border>
    <border>
      <left/>
      <right style="medium">
        <color rgb="FF2A4F80"/>
      </right>
      <top style="medium">
        <color rgb="FF2A4F80"/>
      </top>
      <bottom style="medium">
        <color rgb="FF2A4F80"/>
      </bottom>
      <diagonal/>
    </border>
    <border>
      <left style="thin">
        <color rgb="FF1A2F50"/>
      </left>
      <right style="thin">
        <color rgb="FF1A2F50"/>
      </right>
      <top style="thin">
        <color rgb="FF1A2F50"/>
      </top>
      <bottom style="thin">
        <color rgb="FF1A2F50"/>
      </bottom>
      <diagonal/>
    </border>
    <border>
      <left/>
      <right/>
      <top style="thin">
        <color rgb="FF1A2F50"/>
      </top>
      <bottom style="thin">
        <color rgb="FF1A2F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1A2F5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1A2F50"/>
      </right>
      <top/>
      <bottom style="medium">
        <color indexed="64"/>
      </bottom>
      <diagonal/>
    </border>
    <border>
      <left/>
      <right style="thin">
        <color rgb="FF1A2F5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1A2F50"/>
      </left>
      <right/>
      <top style="thin">
        <color rgb="FF1A2F50"/>
      </top>
      <bottom style="thin">
        <color rgb="FF1A2F50"/>
      </bottom>
      <diagonal/>
    </border>
    <border>
      <left/>
      <right/>
      <top/>
      <bottom style="thin">
        <color rgb="FF1A2F50"/>
      </bottom>
      <diagonal/>
    </border>
    <border>
      <left style="thin">
        <color rgb="FF1A2F50"/>
      </left>
      <right style="thin">
        <color rgb="FF1A2F5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1A2F50"/>
      </right>
      <top style="medium">
        <color indexed="64"/>
      </top>
      <bottom/>
      <diagonal/>
    </border>
    <border>
      <left style="thin">
        <color rgb="FF1A2F5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1A2F50"/>
      </right>
      <top/>
      <bottom/>
      <diagonal/>
    </border>
    <border>
      <left style="thin">
        <color rgb="FF1A2F50"/>
      </left>
      <right/>
      <top style="thin">
        <color rgb="FF1A2F50"/>
      </top>
      <bottom/>
      <diagonal/>
    </border>
    <border>
      <left/>
      <right style="thin">
        <color rgb="FF1A2F50"/>
      </right>
      <top style="thin">
        <color rgb="FF1A2F50"/>
      </top>
      <bottom/>
      <diagonal/>
    </border>
    <border>
      <left style="thin">
        <color rgb="FF1A2F50"/>
      </left>
      <right/>
      <top/>
      <bottom/>
      <diagonal/>
    </border>
    <border>
      <left style="medium">
        <color rgb="FF2A4F80"/>
      </left>
      <right/>
      <top/>
      <bottom/>
      <diagonal/>
    </border>
    <border>
      <left/>
      <right style="medium">
        <color rgb="FF2A4F80"/>
      </right>
      <top/>
      <bottom/>
      <diagonal/>
    </border>
    <border>
      <left style="thin">
        <color rgb="FF1A2F50"/>
      </left>
      <right style="thin">
        <color rgb="FF1A2F50"/>
      </right>
      <top style="thin">
        <color rgb="FF1A2F5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1A2F50"/>
      </left>
      <right/>
      <top style="medium">
        <color indexed="64"/>
      </top>
      <bottom/>
      <diagonal/>
    </border>
    <border>
      <left style="thin">
        <color rgb="FF1A2F50"/>
      </left>
      <right style="thin">
        <color rgb="FF1A2F50"/>
      </right>
      <top/>
      <bottom/>
      <diagonal/>
    </border>
    <border>
      <left style="medium">
        <color rgb="FF2A4F80"/>
      </left>
      <right/>
      <top style="medium">
        <color rgb="FF2A4F80"/>
      </top>
      <bottom style="medium">
        <color rgb="FF2A4F80"/>
      </bottom>
      <diagonal/>
    </border>
    <border>
      <left style="thin">
        <color indexed="64"/>
      </left>
      <right style="thin">
        <color rgb="FF1A2F5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1A2F50"/>
      </left>
      <right/>
      <top/>
      <bottom style="medium">
        <color rgb="FF2A4F80"/>
      </bottom>
      <diagonal/>
    </border>
    <border>
      <left style="thin">
        <color rgb="FF1A2F50"/>
      </left>
      <right style="thin">
        <color rgb="FF1A2F50"/>
      </right>
      <top/>
      <bottom style="medium">
        <color rgb="FF2A4F80"/>
      </bottom>
      <diagonal/>
    </border>
    <border>
      <left/>
      <right style="thin">
        <color rgb="FF1A2F50"/>
      </right>
      <top/>
      <bottom style="medium">
        <color rgb="FF2A4F80"/>
      </bottom>
      <diagonal/>
    </border>
    <border>
      <left style="thin">
        <color rgb="FF1A2F50"/>
      </left>
      <right style="thin">
        <color rgb="FF1A2F50"/>
      </right>
      <top style="medium">
        <color rgb="FF2A4F80"/>
      </top>
      <bottom/>
      <diagonal/>
    </border>
    <border>
      <left/>
      <right style="thin">
        <color rgb="FF1A2F50"/>
      </right>
      <top style="medium">
        <color rgb="FF2A4F80"/>
      </top>
      <bottom/>
      <diagonal/>
    </border>
    <border>
      <left style="thin">
        <color rgb="FF1A2F50"/>
      </left>
      <right/>
      <top style="medium">
        <color rgb="FF2A4F80"/>
      </top>
      <bottom/>
      <diagonal/>
    </border>
    <border>
      <left/>
      <right/>
      <top style="medium">
        <color rgb="FF2A4F80"/>
      </top>
      <bottom/>
      <diagonal/>
    </border>
    <border>
      <left/>
      <right/>
      <top style="thin">
        <color rgb="FF1A2F50"/>
      </top>
      <bottom/>
      <diagonal/>
    </border>
    <border>
      <left style="thin">
        <color rgb="FF1A2F50"/>
      </left>
      <right style="thin">
        <color rgb="FF1A2F50"/>
      </right>
      <top/>
      <bottom style="thin">
        <color rgb="FF1A2F50"/>
      </bottom>
      <diagonal/>
    </border>
  </borders>
  <cellStyleXfs count="3">
    <xf numFmtId="0" fontId="0" fillId="0" borderId="0"/>
    <xf numFmtId="0" fontId="101" fillId="33" borderId="0" applyNumberFormat="0" applyBorder="0" applyAlignment="0" applyProtection="0"/>
    <xf numFmtId="0" fontId="2" fillId="34" borderId="0" applyNumberFormat="0" applyBorder="0" applyAlignment="0" applyProtection="0"/>
  </cellStyleXfs>
  <cellXfs count="341"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3" fontId="17" fillId="12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3" fontId="11" fillId="10" borderId="2" xfId="0" applyNumberFormat="1" applyFont="1" applyFill="1" applyBorder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/>
    </xf>
    <xf numFmtId="3" fontId="18" fillId="3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right" vertical="center" wrapText="1"/>
    </xf>
    <xf numFmtId="3" fontId="22" fillId="5" borderId="2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right" vertical="center"/>
    </xf>
    <xf numFmtId="0" fontId="22" fillId="5" borderId="2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right" vertical="center"/>
    </xf>
    <xf numFmtId="9" fontId="22" fillId="5" borderId="2" xfId="0" applyNumberFormat="1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9" fillId="14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8" borderId="7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2" fillId="5" borderId="2" xfId="0" applyFont="1" applyFill="1" applyBorder="1" applyAlignment="1">
      <alignment horizontal="center" vertical="center"/>
    </xf>
    <xf numFmtId="3" fontId="25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0" fillId="0" borderId="0" xfId="0" applyFont="1"/>
    <xf numFmtId="0" fontId="54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56" fillId="7" borderId="1" xfId="0" applyFont="1" applyFill="1" applyBorder="1" applyAlignment="1">
      <alignment horizontal="center" vertical="center" wrapText="1"/>
    </xf>
    <xf numFmtId="0" fontId="57" fillId="4" borderId="1" xfId="0" applyFont="1" applyFill="1" applyBorder="1" applyAlignment="1">
      <alignment horizontal="center" vertical="center"/>
    </xf>
    <xf numFmtId="3" fontId="58" fillId="10" borderId="1" xfId="0" applyNumberFormat="1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horizontal="center" vertical="center" wrapText="1"/>
    </xf>
    <xf numFmtId="0" fontId="59" fillId="4" borderId="1" xfId="0" applyFont="1" applyFill="1" applyBorder="1" applyAlignment="1">
      <alignment horizontal="center" vertical="center"/>
    </xf>
    <xf numFmtId="3" fontId="60" fillId="10" borderId="1" xfId="0" applyNumberFormat="1" applyFont="1" applyFill="1" applyBorder="1" applyAlignment="1">
      <alignment horizontal="center" vertical="center"/>
    </xf>
    <xf numFmtId="0" fontId="61" fillId="7" borderId="0" xfId="0" applyFont="1" applyFill="1" applyAlignment="1">
      <alignment horizontal="center" vertical="center"/>
    </xf>
    <xf numFmtId="0" fontId="62" fillId="12" borderId="0" xfId="0" applyFont="1" applyFill="1" applyAlignment="1">
      <alignment horizontal="center" vertical="center"/>
    </xf>
    <xf numFmtId="0" fontId="62" fillId="6" borderId="0" xfId="0" applyFont="1" applyFill="1" applyAlignment="1">
      <alignment horizontal="center" vertical="center"/>
    </xf>
    <xf numFmtId="0" fontId="30" fillId="0" borderId="0" xfId="0" applyFont="1"/>
    <xf numFmtId="0" fontId="63" fillId="7" borderId="0" xfId="0" applyFont="1" applyFill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0" fillId="0" borderId="20" xfId="0" applyBorder="1"/>
    <xf numFmtId="3" fontId="27" fillId="5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 wrapText="1"/>
    </xf>
    <xf numFmtId="0" fontId="64" fillId="22" borderId="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20" xfId="0" applyBorder="1" applyAlignment="1">
      <alignment horizontal="right" vertical="center"/>
    </xf>
    <xf numFmtId="3" fontId="0" fillId="0" borderId="0" xfId="0" applyNumberFormat="1"/>
    <xf numFmtId="0" fontId="36" fillId="18" borderId="9" xfId="0" applyFont="1" applyFill="1" applyBorder="1" applyAlignment="1">
      <alignment horizontal="center" vertical="center"/>
    </xf>
    <xf numFmtId="0" fontId="33" fillId="18" borderId="9" xfId="0" applyFont="1" applyFill="1" applyBorder="1" applyAlignment="1">
      <alignment horizontal="center" vertical="center"/>
    </xf>
    <xf numFmtId="0" fontId="37" fillId="18" borderId="11" xfId="0" applyFont="1" applyFill="1" applyBorder="1" applyAlignment="1">
      <alignment horizontal="center" vertical="center"/>
    </xf>
    <xf numFmtId="0" fontId="33" fillId="19" borderId="21" xfId="0" applyFont="1" applyFill="1" applyBorder="1" applyAlignment="1">
      <alignment horizontal="center" vertical="center" wrapText="1"/>
    </xf>
    <xf numFmtId="0" fontId="37" fillId="20" borderId="19" xfId="0" applyFont="1" applyFill="1" applyBorder="1" applyAlignment="1">
      <alignment horizontal="center" vertical="center" wrapText="1"/>
    </xf>
    <xf numFmtId="0" fontId="37" fillId="19" borderId="19" xfId="0" applyFont="1" applyFill="1" applyBorder="1" applyAlignment="1">
      <alignment horizontal="center" vertical="center" wrapText="1"/>
    </xf>
    <xf numFmtId="0" fontId="68" fillId="20" borderId="22" xfId="0" applyFont="1" applyFill="1" applyBorder="1" applyAlignment="1">
      <alignment horizontal="center" vertical="center" wrapText="1"/>
    </xf>
    <xf numFmtId="0" fontId="33" fillId="18" borderId="39" xfId="0" applyFont="1" applyFill="1" applyBorder="1" applyAlignment="1">
      <alignment horizontal="center" vertical="center"/>
    </xf>
    <xf numFmtId="0" fontId="33" fillId="18" borderId="47" xfId="0" applyFont="1" applyFill="1" applyBorder="1" applyAlignment="1">
      <alignment horizontal="center" vertical="center"/>
    </xf>
    <xf numFmtId="3" fontId="72" fillId="18" borderId="20" xfId="0" applyNumberFormat="1" applyFont="1" applyFill="1" applyBorder="1" applyAlignment="1">
      <alignment horizontal="center" vertical="center"/>
    </xf>
    <xf numFmtId="3" fontId="36" fillId="18" borderId="40" xfId="0" applyNumberFormat="1" applyFont="1" applyFill="1" applyBorder="1" applyAlignment="1">
      <alignment horizontal="center" vertical="center"/>
    </xf>
    <xf numFmtId="0" fontId="33" fillId="21" borderId="46" xfId="0" applyFont="1" applyFill="1" applyBorder="1" applyAlignment="1">
      <alignment horizontal="center" vertical="center"/>
    </xf>
    <xf numFmtId="0" fontId="34" fillId="18" borderId="33" xfId="0" applyFont="1" applyFill="1" applyBorder="1" applyAlignment="1">
      <alignment horizontal="center" vertical="center"/>
    </xf>
    <xf numFmtId="0" fontId="0" fillId="16" borderId="20" xfId="0" applyFill="1" applyBorder="1" applyProtection="1">
      <protection locked="0"/>
    </xf>
    <xf numFmtId="3" fontId="72" fillId="18" borderId="20" xfId="0" applyNumberFormat="1" applyFont="1" applyFill="1" applyBorder="1" applyAlignment="1" applyProtection="1">
      <alignment horizontal="center" vertical="center"/>
      <protection locked="0"/>
    </xf>
    <xf numFmtId="0" fontId="65" fillId="20" borderId="48" xfId="0" applyFont="1" applyFill="1" applyBorder="1" applyAlignment="1">
      <alignment horizontal="center" vertical="center" wrapText="1"/>
    </xf>
    <xf numFmtId="0" fontId="33" fillId="18" borderId="20" xfId="0" applyFont="1" applyFill="1" applyBorder="1" applyAlignment="1">
      <alignment horizontal="center" vertical="center"/>
    </xf>
    <xf numFmtId="0" fontId="32" fillId="0" borderId="0" xfId="0" applyFont="1"/>
    <xf numFmtId="0" fontId="75" fillId="7" borderId="1" xfId="0" applyFont="1" applyFill="1" applyBorder="1" applyAlignment="1">
      <alignment horizontal="center" vertical="center" wrapText="1"/>
    </xf>
    <xf numFmtId="0" fontId="76" fillId="8" borderId="7" xfId="0" applyFont="1" applyFill="1" applyBorder="1" applyAlignment="1">
      <alignment horizontal="center" vertical="center"/>
    </xf>
    <xf numFmtId="0" fontId="68" fillId="19" borderId="19" xfId="0" applyFont="1" applyFill="1" applyBorder="1" applyAlignment="1">
      <alignment horizontal="center" vertical="center" wrapText="1"/>
    </xf>
    <xf numFmtId="0" fontId="69" fillId="18" borderId="33" xfId="0" applyFont="1" applyFill="1" applyBorder="1" applyAlignment="1">
      <alignment horizontal="center" vertical="center"/>
    </xf>
    <xf numFmtId="0" fontId="37" fillId="18" borderId="9" xfId="0" applyFont="1" applyFill="1" applyBorder="1" applyAlignment="1">
      <alignment horizontal="center" vertical="center"/>
    </xf>
    <xf numFmtId="0" fontId="68" fillId="18" borderId="9" xfId="0" applyFont="1" applyFill="1" applyBorder="1" applyAlignment="1">
      <alignment horizontal="center" vertical="center"/>
    </xf>
    <xf numFmtId="0" fontId="37" fillId="18" borderId="32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0" fontId="33" fillId="16" borderId="9" xfId="0" applyFont="1" applyFill="1" applyBorder="1" applyAlignment="1" applyProtection="1">
      <alignment horizontal="center" vertical="center"/>
      <protection locked="0"/>
    </xf>
    <xf numFmtId="0" fontId="36" fillId="16" borderId="9" xfId="0" applyFont="1" applyFill="1" applyBorder="1" applyAlignment="1" applyProtection="1">
      <alignment horizontal="center" vertical="center"/>
      <protection locked="0"/>
    </xf>
    <xf numFmtId="0" fontId="73" fillId="16" borderId="9" xfId="0" applyFont="1" applyFill="1" applyBorder="1" applyAlignment="1" applyProtection="1">
      <alignment horizontal="center" vertical="center"/>
      <protection locked="0"/>
    </xf>
    <xf numFmtId="0" fontId="36" fillId="16" borderId="11" xfId="0" applyFont="1" applyFill="1" applyBorder="1" applyAlignment="1" applyProtection="1">
      <alignment horizontal="center" vertical="center"/>
      <protection locked="0"/>
    </xf>
    <xf numFmtId="0" fontId="36" fillId="16" borderId="20" xfId="0" applyFont="1" applyFill="1" applyBorder="1" applyAlignment="1" applyProtection="1">
      <alignment horizontal="center" vertical="center"/>
      <protection locked="0"/>
    </xf>
    <xf numFmtId="0" fontId="0" fillId="16" borderId="20" xfId="0" applyFill="1" applyBorder="1"/>
    <xf numFmtId="0" fontId="81" fillId="0" borderId="0" xfId="0" applyFont="1" applyAlignment="1">
      <alignment vertical="top"/>
    </xf>
    <xf numFmtId="0" fontId="41" fillId="16" borderId="9" xfId="0" applyFont="1" applyFill="1" applyBorder="1" applyAlignment="1" applyProtection="1">
      <alignment horizontal="right" vertical="center"/>
      <protection locked="0"/>
    </xf>
    <xf numFmtId="0" fontId="0" fillId="23" borderId="0" xfId="0" applyFill="1"/>
    <xf numFmtId="0" fontId="0" fillId="23" borderId="0" xfId="0" applyFill="1" applyAlignment="1">
      <alignment horizontal="right" vertical="center"/>
    </xf>
    <xf numFmtId="0" fontId="65" fillId="19" borderId="51" xfId="0" applyFont="1" applyFill="1" applyBorder="1" applyAlignment="1">
      <alignment horizontal="center" vertical="center" wrapText="1"/>
    </xf>
    <xf numFmtId="0" fontId="33" fillId="21" borderId="52" xfId="0" applyFont="1" applyFill="1" applyBorder="1" applyAlignment="1">
      <alignment horizontal="center" vertical="center"/>
    </xf>
    <xf numFmtId="0" fontId="33" fillId="18" borderId="53" xfId="0" applyFont="1" applyFill="1" applyBorder="1" applyAlignment="1">
      <alignment horizontal="center" vertical="center"/>
    </xf>
    <xf numFmtId="0" fontId="34" fillId="18" borderId="54" xfId="0" applyFont="1" applyFill="1" applyBorder="1" applyAlignment="1">
      <alignment horizontal="center" vertical="center"/>
    </xf>
    <xf numFmtId="0" fontId="36" fillId="16" borderId="55" xfId="0" applyFont="1" applyFill="1" applyBorder="1" applyAlignment="1" applyProtection="1">
      <alignment horizontal="center" vertical="center"/>
      <protection locked="0"/>
    </xf>
    <xf numFmtId="3" fontId="72" fillId="18" borderId="55" xfId="0" applyNumberFormat="1" applyFont="1" applyFill="1" applyBorder="1" applyAlignment="1">
      <alignment horizontal="center" vertical="center"/>
    </xf>
    <xf numFmtId="3" fontId="72" fillId="18" borderId="55" xfId="0" applyNumberFormat="1" applyFont="1" applyFill="1" applyBorder="1" applyAlignment="1" applyProtection="1">
      <alignment horizontal="center" vertical="center"/>
      <protection locked="0"/>
    </xf>
    <xf numFmtId="3" fontId="36" fillId="18" borderId="56" xfId="0" applyNumberFormat="1" applyFont="1" applyFill="1" applyBorder="1" applyAlignment="1">
      <alignment horizontal="center" vertical="center"/>
    </xf>
    <xf numFmtId="0" fontId="0" fillId="16" borderId="33" xfId="0" applyFill="1" applyBorder="1" applyProtection="1">
      <protection locked="0"/>
    </xf>
    <xf numFmtId="0" fontId="0" fillId="23" borderId="0" xfId="0" applyFill="1" applyAlignment="1">
      <alignment horizontal="center"/>
    </xf>
    <xf numFmtId="0" fontId="0" fillId="0" borderId="0" xfId="0" applyProtection="1">
      <protection locked="0"/>
    </xf>
    <xf numFmtId="0" fontId="0" fillId="24" borderId="0" xfId="0" applyFill="1"/>
    <xf numFmtId="0" fontId="0" fillId="25" borderId="0" xfId="0" applyFill="1"/>
    <xf numFmtId="0" fontId="34" fillId="18" borderId="20" xfId="0" applyFont="1" applyFill="1" applyBorder="1" applyAlignment="1">
      <alignment horizontal="center" vertical="center"/>
    </xf>
    <xf numFmtId="0" fontId="0" fillId="16" borderId="0" xfId="0" applyFill="1"/>
    <xf numFmtId="0" fontId="0" fillId="16" borderId="0" xfId="0" applyFill="1" applyAlignment="1">
      <alignment horizontal="center"/>
    </xf>
    <xf numFmtId="0" fontId="0" fillId="16" borderId="26" xfId="0" applyFill="1" applyBorder="1"/>
    <xf numFmtId="3" fontId="19" fillId="21" borderId="63" xfId="0" applyNumberFormat="1" applyFont="1" applyFill="1" applyBorder="1" applyAlignment="1">
      <alignment horizontal="center" vertical="center"/>
    </xf>
    <xf numFmtId="9" fontId="19" fillId="21" borderId="63" xfId="0" applyNumberFormat="1" applyFont="1" applyFill="1" applyBorder="1" applyAlignment="1">
      <alignment horizontal="center" vertical="center"/>
    </xf>
    <xf numFmtId="1" fontId="19" fillId="21" borderId="63" xfId="0" applyNumberFormat="1" applyFont="1" applyFill="1" applyBorder="1" applyAlignment="1">
      <alignment horizontal="center" vertical="center"/>
    </xf>
    <xf numFmtId="1" fontId="20" fillId="21" borderId="0" xfId="0" applyNumberFormat="1" applyFont="1" applyFill="1" applyAlignment="1">
      <alignment horizontal="center" vertical="center"/>
    </xf>
    <xf numFmtId="9" fontId="20" fillId="21" borderId="0" xfId="0" applyNumberFormat="1" applyFont="1" applyFill="1" applyAlignment="1">
      <alignment horizontal="center" vertical="center"/>
    </xf>
    <xf numFmtId="3" fontId="19" fillId="21" borderId="0" xfId="0" applyNumberFormat="1" applyFont="1" applyFill="1" applyAlignment="1">
      <alignment horizontal="center" vertical="center"/>
    </xf>
    <xf numFmtId="1" fontId="88" fillId="9" borderId="2" xfId="0" applyNumberFormat="1" applyFont="1" applyFill="1" applyBorder="1" applyAlignment="1">
      <alignment horizontal="center" vertical="center"/>
    </xf>
    <xf numFmtId="9" fontId="88" fillId="9" borderId="50" xfId="0" applyNumberFormat="1" applyFont="1" applyFill="1" applyBorder="1" applyAlignment="1">
      <alignment horizontal="center" vertical="center"/>
    </xf>
    <xf numFmtId="1" fontId="88" fillId="9" borderId="6" xfId="0" applyNumberFormat="1" applyFont="1" applyFill="1" applyBorder="1" applyAlignment="1">
      <alignment horizontal="center" vertical="center"/>
    </xf>
    <xf numFmtId="3" fontId="7" fillId="20" borderId="26" xfId="0" applyNumberFormat="1" applyFont="1" applyFill="1" applyBorder="1" applyAlignment="1">
      <alignment horizontal="center" vertical="center"/>
    </xf>
    <xf numFmtId="3" fontId="7" fillId="20" borderId="0" xfId="0" applyNumberFormat="1" applyFont="1" applyFill="1" applyAlignment="1">
      <alignment horizontal="center" vertical="center"/>
    </xf>
    <xf numFmtId="0" fontId="89" fillId="4" borderId="1" xfId="0" applyFont="1" applyFill="1" applyBorder="1" applyAlignment="1">
      <alignment horizontal="center" vertical="center"/>
    </xf>
    <xf numFmtId="0" fontId="89" fillId="7" borderId="1" xfId="0" applyFont="1" applyFill="1" applyBorder="1" applyAlignment="1">
      <alignment horizontal="center" vertical="center"/>
    </xf>
    <xf numFmtId="3" fontId="90" fillId="12" borderId="1" xfId="0" applyNumberFormat="1" applyFont="1" applyFill="1" applyBorder="1" applyAlignment="1">
      <alignment horizontal="center" vertical="center"/>
    </xf>
    <xf numFmtId="3" fontId="90" fillId="6" borderId="1" xfId="0" applyNumberFormat="1" applyFont="1" applyFill="1" applyBorder="1" applyAlignment="1">
      <alignment horizontal="center" vertical="center"/>
    </xf>
    <xf numFmtId="0" fontId="91" fillId="7" borderId="1" xfId="0" applyFont="1" applyFill="1" applyBorder="1" applyAlignment="1">
      <alignment horizontal="center" vertical="center"/>
    </xf>
    <xf numFmtId="0" fontId="92" fillId="12" borderId="1" xfId="0" applyFont="1" applyFill="1" applyBorder="1" applyAlignment="1">
      <alignment horizontal="center" vertical="center"/>
    </xf>
    <xf numFmtId="3" fontId="93" fillId="2" borderId="1" xfId="0" applyNumberFormat="1" applyFont="1" applyFill="1" applyBorder="1" applyAlignment="1">
      <alignment horizontal="center" vertical="center"/>
    </xf>
    <xf numFmtId="0" fontId="93" fillId="2" borderId="1" xfId="0" applyFont="1" applyFill="1" applyBorder="1" applyAlignment="1">
      <alignment horizontal="center" vertical="center"/>
    </xf>
    <xf numFmtId="0" fontId="92" fillId="6" borderId="1" xfId="0" applyFont="1" applyFill="1" applyBorder="1" applyAlignment="1">
      <alignment horizontal="center" vertical="center"/>
    </xf>
    <xf numFmtId="3" fontId="88" fillId="4" borderId="2" xfId="0" applyNumberFormat="1" applyFont="1" applyFill="1" applyBorder="1" applyAlignment="1">
      <alignment horizontal="center" vertical="center"/>
    </xf>
    <xf numFmtId="9" fontId="88" fillId="4" borderId="6" xfId="0" applyNumberFormat="1" applyFont="1" applyFill="1" applyBorder="1" applyAlignment="1">
      <alignment horizontal="center" vertical="center"/>
    </xf>
    <xf numFmtId="3" fontId="88" fillId="4" borderId="50" xfId="0" applyNumberFormat="1" applyFont="1" applyFill="1" applyBorder="1" applyAlignment="1">
      <alignment horizontal="center" vertical="center"/>
    </xf>
    <xf numFmtId="1" fontId="88" fillId="4" borderId="2" xfId="0" applyNumberFormat="1" applyFont="1" applyFill="1" applyBorder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8" fillId="2" borderId="65" xfId="0" applyFont="1" applyFill="1" applyBorder="1" applyAlignment="1">
      <alignment horizontal="center" vertical="center"/>
    </xf>
    <xf numFmtId="0" fontId="98" fillId="2" borderId="1" xfId="0" applyFont="1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98" fillId="15" borderId="20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3" fontId="7" fillId="15" borderId="1" xfId="0" applyNumberFormat="1" applyFont="1" applyFill="1" applyBorder="1" applyAlignment="1">
      <alignment horizontal="center" vertical="center"/>
    </xf>
    <xf numFmtId="3" fontId="4" fillId="15" borderId="1" xfId="0" applyNumberFormat="1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9" fontId="4" fillId="15" borderId="1" xfId="0" applyNumberFormat="1" applyFont="1" applyFill="1" applyBorder="1" applyAlignment="1">
      <alignment horizontal="center" vertical="center"/>
    </xf>
    <xf numFmtId="164" fontId="4" fillId="15" borderId="1" xfId="0" applyNumberFormat="1" applyFont="1" applyFill="1" applyBorder="1" applyAlignment="1">
      <alignment horizontal="center" vertical="center"/>
    </xf>
    <xf numFmtId="0" fontId="6" fillId="26" borderId="17" xfId="0" applyFont="1" applyFill="1" applyBorder="1" applyAlignment="1">
      <alignment horizontal="center" vertical="center"/>
    </xf>
    <xf numFmtId="0" fontId="0" fillId="16" borderId="20" xfId="0" applyFill="1" applyBorder="1" applyAlignment="1">
      <alignment horizontal="right" vertical="center"/>
    </xf>
    <xf numFmtId="0" fontId="0" fillId="27" borderId="0" xfId="0" applyFill="1" applyAlignment="1">
      <alignment horizontal="center"/>
    </xf>
    <xf numFmtId="0" fontId="0" fillId="27" borderId="0" xfId="0" applyFill="1" applyAlignment="1">
      <alignment horizontal="center" vertical="center"/>
    </xf>
    <xf numFmtId="0" fontId="0" fillId="27" borderId="0" xfId="0" applyFill="1"/>
    <xf numFmtId="3" fontId="0" fillId="27" borderId="0" xfId="0" applyNumberFormat="1" applyFill="1" applyAlignment="1">
      <alignment horizontal="center"/>
    </xf>
    <xf numFmtId="0" fontId="0" fillId="27" borderId="20" xfId="0" applyFill="1" applyBorder="1" applyAlignment="1">
      <alignment horizontal="center" vertical="center"/>
    </xf>
    <xf numFmtId="0" fontId="0" fillId="27" borderId="20" xfId="0" applyFill="1" applyBorder="1"/>
    <xf numFmtId="0" fontId="98" fillId="15" borderId="8" xfId="0" applyFont="1" applyFill="1" applyBorder="1" applyAlignment="1">
      <alignment horizontal="center" vertical="center"/>
    </xf>
    <xf numFmtId="0" fontId="0" fillId="16" borderId="55" xfId="0" applyFill="1" applyBorder="1" applyAlignment="1">
      <alignment horizontal="center" vertical="center"/>
    </xf>
    <xf numFmtId="0" fontId="98" fillId="15" borderId="64" xfId="0" applyFont="1" applyFill="1" applyBorder="1" applyAlignment="1">
      <alignment horizontal="center" vertical="center"/>
    </xf>
    <xf numFmtId="0" fontId="98" fillId="28" borderId="8" xfId="0" applyFont="1" applyFill="1" applyBorder="1" applyAlignment="1">
      <alignment horizontal="center" vertical="center"/>
    </xf>
    <xf numFmtId="0" fontId="4" fillId="28" borderId="3" xfId="0" applyFont="1" applyFill="1" applyBorder="1" applyAlignment="1">
      <alignment horizontal="center" vertical="center"/>
    </xf>
    <xf numFmtId="3" fontId="7" fillId="28" borderId="1" xfId="0" applyNumberFormat="1" applyFont="1" applyFill="1" applyBorder="1" applyAlignment="1">
      <alignment horizontal="center" vertical="center"/>
    </xf>
    <xf numFmtId="3" fontId="4" fillId="28" borderId="1" xfId="0" applyNumberFormat="1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9" fontId="4" fillId="28" borderId="1" xfId="0" applyNumberFormat="1" applyFont="1" applyFill="1" applyBorder="1" applyAlignment="1">
      <alignment horizontal="center" vertical="center"/>
    </xf>
    <xf numFmtId="164" fontId="4" fillId="28" borderId="1" xfId="0" applyNumberFormat="1" applyFont="1" applyFill="1" applyBorder="1" applyAlignment="1">
      <alignment horizontal="center" vertical="center"/>
    </xf>
    <xf numFmtId="0" fontId="6" fillId="29" borderId="17" xfId="0" applyFont="1" applyFill="1" applyBorder="1" applyAlignment="1">
      <alignment horizontal="center" vertical="center"/>
    </xf>
    <xf numFmtId="0" fontId="0" fillId="27" borderId="20" xfId="0" applyFill="1" applyBorder="1" applyAlignment="1">
      <alignment horizontal="right" vertical="center"/>
    </xf>
    <xf numFmtId="0" fontId="0" fillId="30" borderId="20" xfId="0" applyFill="1" applyBorder="1" applyAlignment="1">
      <alignment horizontal="center" vertical="center"/>
    </xf>
    <xf numFmtId="0" fontId="98" fillId="31" borderId="8" xfId="0" applyFont="1" applyFill="1" applyBorder="1" applyAlignment="1">
      <alignment horizontal="center" vertical="center"/>
    </xf>
    <xf numFmtId="0" fontId="4" fillId="31" borderId="3" xfId="0" applyFont="1" applyFill="1" applyBorder="1" applyAlignment="1">
      <alignment horizontal="center" vertical="center"/>
    </xf>
    <xf numFmtId="3" fontId="7" fillId="31" borderId="1" xfId="0" applyNumberFormat="1" applyFont="1" applyFill="1" applyBorder="1" applyAlignment="1">
      <alignment horizontal="center" vertical="center"/>
    </xf>
    <xf numFmtId="3" fontId="4" fillId="31" borderId="1" xfId="0" applyNumberFormat="1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9" fontId="4" fillId="31" borderId="1" xfId="0" applyNumberFormat="1" applyFont="1" applyFill="1" applyBorder="1" applyAlignment="1">
      <alignment horizontal="center" vertical="center"/>
    </xf>
    <xf numFmtId="164" fontId="4" fillId="31" borderId="1" xfId="0" applyNumberFormat="1" applyFont="1" applyFill="1" applyBorder="1" applyAlignment="1">
      <alignment horizontal="center" vertical="center"/>
    </xf>
    <xf numFmtId="0" fontId="6" fillId="32" borderId="17" xfId="0" applyFont="1" applyFill="1" applyBorder="1" applyAlignment="1">
      <alignment horizontal="center" vertical="center"/>
    </xf>
    <xf numFmtId="0" fontId="0" fillId="30" borderId="20" xfId="0" applyFill="1" applyBorder="1"/>
    <xf numFmtId="0" fontId="0" fillId="30" borderId="20" xfId="0" applyFill="1" applyBorder="1" applyAlignment="1">
      <alignment horizontal="right" vertical="center"/>
    </xf>
    <xf numFmtId="0" fontId="99" fillId="6" borderId="1" xfId="0" applyFont="1" applyFill="1" applyBorder="1" applyAlignment="1">
      <alignment horizontal="center" vertical="center" wrapText="1"/>
    </xf>
    <xf numFmtId="0" fontId="0" fillId="30" borderId="0" xfId="0" applyFill="1" applyAlignment="1">
      <alignment horizontal="center"/>
    </xf>
    <xf numFmtId="0" fontId="0" fillId="30" borderId="0" xfId="0" applyFill="1" applyAlignment="1">
      <alignment horizontal="center" vertical="center"/>
    </xf>
    <xf numFmtId="0" fontId="0" fillId="30" borderId="0" xfId="0" applyFill="1"/>
    <xf numFmtId="3" fontId="0" fillId="30" borderId="0" xfId="0" applyNumberFormat="1" applyFill="1" applyAlignment="1">
      <alignment horizontal="center"/>
    </xf>
    <xf numFmtId="3" fontId="0" fillId="27" borderId="0" xfId="0" applyNumberFormat="1" applyFill="1" applyAlignment="1">
      <alignment horizontal="center" vertical="center"/>
    </xf>
    <xf numFmtId="3" fontId="0" fillId="30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" fontId="0" fillId="30" borderId="0" xfId="0" applyNumberFormat="1" applyFill="1" applyAlignment="1">
      <alignment horizontal="center" vertical="center"/>
    </xf>
    <xf numFmtId="0" fontId="2" fillId="30" borderId="0" xfId="2" applyFill="1" applyAlignment="1">
      <alignment horizontal="center"/>
    </xf>
    <xf numFmtId="0" fontId="102" fillId="30" borderId="0" xfId="1" applyFont="1" applyFill="1" applyAlignment="1">
      <alignment horizontal="center"/>
    </xf>
    <xf numFmtId="3" fontId="102" fillId="30" borderId="0" xfId="1" applyNumberFormat="1" applyFont="1" applyFill="1" applyAlignment="1">
      <alignment horizontal="center"/>
    </xf>
    <xf numFmtId="3" fontId="102" fillId="30" borderId="0" xfId="1" applyNumberFormat="1" applyFont="1" applyFill="1" applyAlignment="1">
      <alignment horizontal="center" vertical="center"/>
    </xf>
    <xf numFmtId="0" fontId="102" fillId="30" borderId="0" xfId="1" applyFont="1" applyFill="1" applyAlignment="1">
      <alignment horizontal="center" vertical="center"/>
    </xf>
    <xf numFmtId="0" fontId="103" fillId="30" borderId="0" xfId="0" applyFont="1" applyFill="1" applyAlignment="1">
      <alignment horizontal="center" vertical="center"/>
    </xf>
    <xf numFmtId="0" fontId="1" fillId="27" borderId="0" xfId="1" applyFont="1" applyFill="1" applyAlignment="1">
      <alignment horizontal="center"/>
    </xf>
    <xf numFmtId="0" fontId="101" fillId="27" borderId="0" xfId="1" applyFill="1" applyAlignment="1">
      <alignment horizontal="center"/>
    </xf>
    <xf numFmtId="3" fontId="1" fillId="27" borderId="0" xfId="1" applyNumberFormat="1" applyFont="1" applyFill="1" applyAlignment="1">
      <alignment horizontal="center"/>
    </xf>
    <xf numFmtId="3" fontId="101" fillId="27" borderId="0" xfId="1" applyNumberFormat="1" applyFill="1" applyAlignment="1">
      <alignment horizontal="center"/>
    </xf>
    <xf numFmtId="3" fontId="1" fillId="27" borderId="0" xfId="1" applyNumberFormat="1" applyFont="1" applyFill="1" applyAlignment="1">
      <alignment horizontal="center" vertical="center"/>
    </xf>
    <xf numFmtId="0" fontId="1" fillId="27" borderId="0" xfId="1" applyFont="1" applyFill="1" applyAlignment="1">
      <alignment horizontal="center" vertical="center"/>
    </xf>
    <xf numFmtId="0" fontId="100" fillId="27" borderId="0" xfId="0" applyFont="1" applyFill="1" applyAlignment="1">
      <alignment horizontal="center" vertical="center"/>
    </xf>
    <xf numFmtId="0" fontId="100" fillId="30" borderId="0" xfId="0" applyFont="1" applyFill="1" applyAlignment="1">
      <alignment horizontal="center" vertical="center"/>
    </xf>
    <xf numFmtId="0" fontId="67" fillId="27" borderId="20" xfId="0" applyFont="1" applyFill="1" applyBorder="1" applyAlignment="1">
      <alignment horizontal="right" vertical="center"/>
    </xf>
    <xf numFmtId="0" fontId="0" fillId="23" borderId="0" xfId="0" applyFill="1" applyAlignment="1">
      <alignment horizontal="center"/>
    </xf>
    <xf numFmtId="0" fontId="69" fillId="17" borderId="42" xfId="0" applyFont="1" applyFill="1" applyBorder="1" applyAlignment="1">
      <alignment horizontal="center" vertical="center"/>
    </xf>
    <xf numFmtId="0" fontId="71" fillId="16" borderId="42" xfId="0" applyFont="1" applyFill="1" applyBorder="1"/>
    <xf numFmtId="0" fontId="12" fillId="3" borderId="0" xfId="0" applyFont="1" applyFill="1" applyAlignment="1">
      <alignment horizontal="center" vertical="center"/>
    </xf>
    <xf numFmtId="0" fontId="0" fillId="0" borderId="0" xfId="0"/>
    <xf numFmtId="0" fontId="13" fillId="11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3" fillId="18" borderId="15" xfId="0" applyFont="1" applyFill="1" applyBorder="1" applyAlignment="1" applyProtection="1">
      <alignment horizontal="center" vertical="center"/>
      <protection locked="0"/>
    </xf>
    <xf numFmtId="0" fontId="30" fillId="16" borderId="13" xfId="0" applyFont="1" applyFill="1" applyBorder="1" applyProtection="1">
      <protection locked="0"/>
    </xf>
    <xf numFmtId="0" fontId="37" fillId="16" borderId="32" xfId="0" applyFont="1" applyFill="1" applyBorder="1" applyAlignment="1" applyProtection="1">
      <alignment horizontal="center" vertical="center"/>
      <protection locked="0"/>
    </xf>
    <xf numFmtId="0" fontId="37" fillId="16" borderId="11" xfId="0" applyFont="1" applyFill="1" applyBorder="1" applyAlignment="1" applyProtection="1">
      <alignment horizontal="center" vertical="center"/>
      <protection locked="0"/>
    </xf>
    <xf numFmtId="0" fontId="31" fillId="17" borderId="0" xfId="0" applyFont="1" applyFill="1" applyAlignment="1">
      <alignment horizontal="center" vertical="center"/>
    </xf>
    <xf numFmtId="3" fontId="66" fillId="21" borderId="44" xfId="0" applyNumberFormat="1" applyFont="1" applyFill="1" applyBorder="1" applyAlignment="1">
      <alignment horizontal="center" vertical="center"/>
    </xf>
    <xf numFmtId="3" fontId="66" fillId="21" borderId="45" xfId="0" applyNumberFormat="1" applyFont="1" applyFill="1" applyBorder="1" applyAlignment="1">
      <alignment horizontal="center" vertical="center"/>
    </xf>
    <xf numFmtId="0" fontId="70" fillId="20" borderId="41" xfId="0" applyFont="1" applyFill="1" applyBorder="1" applyAlignment="1">
      <alignment horizontal="right" vertical="center"/>
    </xf>
    <xf numFmtId="0" fontId="70" fillId="20" borderId="42" xfId="0" applyFont="1" applyFill="1" applyBorder="1" applyAlignment="1">
      <alignment horizontal="right" vertical="center"/>
    </xf>
    <xf numFmtId="0" fontId="70" fillId="20" borderId="43" xfId="0" applyFont="1" applyFill="1" applyBorder="1" applyAlignment="1">
      <alignment horizontal="right" vertical="center"/>
    </xf>
    <xf numFmtId="0" fontId="69" fillId="17" borderId="0" xfId="0" applyFont="1" applyFill="1" applyAlignment="1">
      <alignment horizontal="center" vertical="center"/>
    </xf>
    <xf numFmtId="0" fontId="71" fillId="16" borderId="0" xfId="0" applyFont="1" applyFill="1"/>
    <xf numFmtId="3" fontId="66" fillId="21" borderId="37" xfId="0" applyNumberFormat="1" applyFont="1" applyFill="1" applyBorder="1" applyAlignment="1">
      <alignment horizontal="center" vertical="center"/>
    </xf>
    <xf numFmtId="3" fontId="66" fillId="21" borderId="38" xfId="0" applyNumberFormat="1" applyFont="1" applyFill="1" applyBorder="1" applyAlignment="1">
      <alignment horizontal="center" vertical="center"/>
    </xf>
    <xf numFmtId="0" fontId="70" fillId="20" borderId="39" xfId="0" applyFont="1" applyFill="1" applyBorder="1" applyAlignment="1">
      <alignment horizontal="right" vertical="center"/>
    </xf>
    <xf numFmtId="0" fontId="70" fillId="20" borderId="34" xfId="0" applyFont="1" applyFill="1" applyBorder="1" applyAlignment="1">
      <alignment horizontal="right" vertical="center"/>
    </xf>
    <xf numFmtId="0" fontId="70" fillId="20" borderId="33" xfId="0" applyFont="1" applyFill="1" applyBorder="1" applyAlignment="1">
      <alignment horizontal="right" vertical="center"/>
    </xf>
    <xf numFmtId="3" fontId="36" fillId="16" borderId="14" xfId="0" applyNumberFormat="1" applyFont="1" applyFill="1" applyBorder="1" applyAlignment="1" applyProtection="1">
      <alignment horizontal="center" vertical="center"/>
      <protection locked="0"/>
    </xf>
    <xf numFmtId="0" fontId="35" fillId="16" borderId="12" xfId="0" applyFont="1" applyFill="1" applyBorder="1" applyProtection="1">
      <protection locked="0"/>
    </xf>
    <xf numFmtId="0" fontId="36" fillId="16" borderId="10" xfId="0" applyFont="1" applyFill="1" applyBorder="1" applyAlignment="1" applyProtection="1">
      <alignment horizontal="center" vertical="center"/>
      <protection locked="0"/>
    </xf>
    <xf numFmtId="0" fontId="35" fillId="16" borderId="11" xfId="0" applyFont="1" applyFill="1" applyBorder="1" applyProtection="1">
      <protection locked="0"/>
    </xf>
    <xf numFmtId="0" fontId="34" fillId="17" borderId="0" xfId="0" applyFont="1" applyFill="1" applyAlignment="1">
      <alignment horizontal="center"/>
    </xf>
    <xf numFmtId="0" fontId="30" fillId="16" borderId="0" xfId="0" applyFont="1" applyFill="1" applyAlignment="1">
      <alignment horizontal="center"/>
    </xf>
    <xf numFmtId="0" fontId="35" fillId="16" borderId="16" xfId="0" applyFont="1" applyFill="1" applyBorder="1" applyProtection="1">
      <protection locked="0"/>
    </xf>
    <xf numFmtId="0" fontId="81" fillId="23" borderId="0" xfId="0" applyFont="1" applyFill="1" applyAlignment="1">
      <alignment horizontal="center" vertical="center"/>
    </xf>
    <xf numFmtId="0" fontId="81" fillId="23" borderId="0" xfId="0" applyFont="1" applyFill="1" applyAlignment="1">
      <alignment horizontal="center" vertical="top"/>
    </xf>
    <xf numFmtId="0" fontId="37" fillId="16" borderId="21" xfId="0" applyFont="1" applyFill="1" applyBorder="1" applyAlignment="1" applyProtection="1">
      <alignment horizontal="center" vertical="center"/>
      <protection locked="0"/>
    </xf>
    <xf numFmtId="0" fontId="38" fillId="16" borderId="31" xfId="0" applyFont="1" applyFill="1" applyBorder="1" applyProtection="1">
      <protection locked="0"/>
    </xf>
    <xf numFmtId="3" fontId="66" fillId="21" borderId="20" xfId="0" applyNumberFormat="1" applyFont="1" applyFill="1" applyBorder="1" applyAlignment="1">
      <alignment horizontal="center" vertical="center"/>
    </xf>
    <xf numFmtId="3" fontId="66" fillId="21" borderId="40" xfId="0" applyNumberFormat="1" applyFont="1" applyFill="1" applyBorder="1" applyAlignment="1">
      <alignment horizontal="center" vertical="center"/>
    </xf>
    <xf numFmtId="0" fontId="78" fillId="17" borderId="0" xfId="0" applyFont="1" applyFill="1" applyAlignment="1">
      <alignment horizontal="center" vertical="center"/>
    </xf>
    <xf numFmtId="0" fontId="78" fillId="16" borderId="0" xfId="0" applyFont="1" applyFill="1"/>
    <xf numFmtId="0" fontId="70" fillId="20" borderId="30" xfId="0" applyFont="1" applyFill="1" applyBorder="1" applyAlignment="1">
      <alignment horizontal="right" vertical="center"/>
    </xf>
    <xf numFmtId="0" fontId="70" fillId="20" borderId="35" xfId="0" applyFont="1" applyFill="1" applyBorder="1" applyAlignment="1">
      <alignment horizontal="right" vertical="center"/>
    </xf>
    <xf numFmtId="0" fontId="70" fillId="20" borderId="36" xfId="0" applyFont="1" applyFill="1" applyBorder="1" applyAlignment="1">
      <alignment horizontal="right" vertical="center"/>
    </xf>
    <xf numFmtId="0" fontId="80" fillId="17" borderId="0" xfId="0" applyFont="1" applyFill="1" applyAlignment="1">
      <alignment horizontal="center" vertical="center"/>
    </xf>
    <xf numFmtId="0" fontId="80" fillId="16" borderId="0" xfId="0" applyFont="1" applyFill="1"/>
    <xf numFmtId="0" fontId="77" fillId="15" borderId="0" xfId="0" applyFont="1" applyFill="1" applyAlignment="1">
      <alignment horizontal="center" vertical="center"/>
    </xf>
    <xf numFmtId="0" fontId="33" fillId="16" borderId="10" xfId="0" applyFont="1" applyFill="1" applyBorder="1" applyAlignment="1" applyProtection="1">
      <alignment horizontal="center" vertical="center"/>
      <protection locked="0"/>
    </xf>
    <xf numFmtId="0" fontId="30" fillId="16" borderId="11" xfId="0" applyFont="1" applyFill="1" applyBorder="1" applyProtection="1">
      <protection locked="0"/>
    </xf>
    <xf numFmtId="0" fontId="79" fillId="15" borderId="0" xfId="0" applyFont="1" applyFill="1" applyAlignment="1" applyProtection="1">
      <alignment horizontal="center" vertical="center"/>
      <protection locked="0"/>
    </xf>
    <xf numFmtId="0" fontId="79" fillId="16" borderId="0" xfId="0" applyFont="1" applyFill="1" applyAlignment="1" applyProtection="1">
      <alignment vertical="center"/>
      <protection locked="0"/>
    </xf>
    <xf numFmtId="0" fontId="65" fillId="16" borderId="32" xfId="0" applyFont="1" applyFill="1" applyBorder="1" applyAlignment="1">
      <alignment horizontal="center" vertical="center"/>
    </xf>
    <xf numFmtId="0" fontId="65" fillId="16" borderId="16" xfId="0" applyFont="1" applyFill="1" applyBorder="1" applyAlignment="1">
      <alignment horizontal="center" vertical="center"/>
    </xf>
    <xf numFmtId="0" fontId="65" fillId="16" borderId="11" xfId="0" applyFont="1" applyFill="1" applyBorder="1" applyAlignment="1">
      <alignment horizontal="center" vertical="center"/>
    </xf>
    <xf numFmtId="0" fontId="100" fillId="27" borderId="20" xfId="0" applyFont="1" applyFill="1" applyBorder="1" applyAlignment="1">
      <alignment horizontal="center" vertical="center"/>
    </xf>
    <xf numFmtId="0" fontId="100" fillId="30" borderId="20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center" vertical="center"/>
    </xf>
    <xf numFmtId="0" fontId="84" fillId="0" borderId="0" xfId="0" applyFont="1" applyAlignment="1">
      <alignment horizontal="center"/>
    </xf>
    <xf numFmtId="0" fontId="0" fillId="27" borderId="20" xfId="0" applyFill="1" applyBorder="1" applyAlignment="1">
      <alignment horizontal="center" vertical="center"/>
    </xf>
    <xf numFmtId="0" fontId="0" fillId="30" borderId="20" xfId="0" applyFill="1" applyBorder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0" fontId="54" fillId="0" borderId="0" xfId="0" applyFont="1" applyAlignment="1">
      <alignment horizontal="center"/>
    </xf>
    <xf numFmtId="0" fontId="3" fillId="4" borderId="0" xfId="0" applyFont="1" applyFill="1" applyAlignment="1">
      <alignment horizontal="right" vertical="center"/>
    </xf>
    <xf numFmtId="0" fontId="47" fillId="3" borderId="0" xfId="0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6" fillId="4" borderId="24" xfId="0" applyFont="1" applyFill="1" applyBorder="1" applyAlignment="1">
      <alignment horizontal="center" vertical="center"/>
    </xf>
    <xf numFmtId="0" fontId="86" fillId="4" borderId="57" xfId="0" applyFont="1" applyFill="1" applyBorder="1" applyAlignment="1">
      <alignment horizontal="center" vertical="center"/>
    </xf>
    <xf numFmtId="0" fontId="86" fillId="4" borderId="29" xfId="0" applyFont="1" applyFill="1" applyBorder="1" applyAlignment="1">
      <alignment horizontal="center" vertical="center"/>
    </xf>
    <xf numFmtId="0" fontId="86" fillId="4" borderId="58" xfId="0" applyFont="1" applyFill="1" applyBorder="1" applyAlignment="1">
      <alignment horizontal="center" vertical="center"/>
    </xf>
    <xf numFmtId="0" fontId="86" fillId="4" borderId="25" xfId="0" applyFont="1" applyFill="1" applyBorder="1" applyAlignment="1">
      <alignment horizontal="center" vertical="center"/>
    </xf>
    <xf numFmtId="0" fontId="86" fillId="4" borderId="59" xfId="0" applyFont="1" applyFill="1" applyBorder="1" applyAlignment="1">
      <alignment horizontal="center" vertical="center"/>
    </xf>
    <xf numFmtId="0" fontId="87" fillId="9" borderId="60" xfId="0" applyFont="1" applyFill="1" applyBorder="1" applyAlignment="1">
      <alignment horizontal="center" vertical="center"/>
    </xf>
    <xf numFmtId="0" fontId="87" fillId="9" borderId="58" xfId="0" applyFont="1" applyFill="1" applyBorder="1" applyAlignment="1">
      <alignment horizontal="center" vertical="center"/>
    </xf>
    <xf numFmtId="0" fontId="87" fillId="9" borderId="61" xfId="0" applyFont="1" applyFill="1" applyBorder="1" applyAlignment="1">
      <alignment horizontal="center" vertical="center"/>
    </xf>
    <xf numFmtId="0" fontId="87" fillId="9" borderId="59" xfId="0" applyFont="1" applyFill="1" applyBorder="1" applyAlignment="1">
      <alignment horizontal="center" vertical="center"/>
    </xf>
    <xf numFmtId="0" fontId="87" fillId="9" borderId="62" xfId="0" applyFont="1" applyFill="1" applyBorder="1" applyAlignment="1">
      <alignment horizontal="center" vertical="center"/>
    </xf>
    <xf numFmtId="0" fontId="87" fillId="9" borderId="57" xfId="0" applyFont="1" applyFill="1" applyBorder="1" applyAlignment="1">
      <alignment horizontal="center" vertical="center"/>
    </xf>
    <xf numFmtId="0" fontId="87" fillId="9" borderId="29" xfId="0" applyFont="1" applyFill="1" applyBorder="1" applyAlignment="1">
      <alignment horizontal="center" vertical="center"/>
    </xf>
    <xf numFmtId="0" fontId="82" fillId="20" borderId="0" xfId="0" applyFont="1" applyFill="1" applyAlignment="1">
      <alignment horizontal="center" vertical="center"/>
    </xf>
    <xf numFmtId="0" fontId="85" fillId="9" borderId="0" xfId="0" applyFont="1" applyFill="1" applyAlignment="1">
      <alignment horizontal="center" vertical="center"/>
    </xf>
    <xf numFmtId="0" fontId="94" fillId="7" borderId="0" xfId="0" applyFont="1" applyFill="1" applyAlignment="1">
      <alignment horizontal="center" vertical="center" wrapText="1"/>
    </xf>
    <xf numFmtId="0" fontId="85" fillId="9" borderId="18" xfId="0" applyFont="1" applyFill="1" applyBorder="1" applyAlignment="1">
      <alignment horizontal="center" vertical="center"/>
    </xf>
    <xf numFmtId="0" fontId="85" fillId="9" borderId="17" xfId="0" applyFont="1" applyFill="1" applyBorder="1" applyAlignment="1">
      <alignment horizontal="center" vertical="center"/>
    </xf>
    <xf numFmtId="0" fontId="85" fillId="9" borderId="8" xfId="0" applyFont="1" applyFill="1" applyBorder="1" applyAlignment="1">
      <alignment horizontal="center" vertical="center"/>
    </xf>
    <xf numFmtId="0" fontId="85" fillId="9" borderId="3" xfId="0" applyFont="1" applyFill="1" applyBorder="1" applyAlignment="1">
      <alignment horizontal="center" vertical="center"/>
    </xf>
    <xf numFmtId="0" fontId="95" fillId="7" borderId="0" xfId="0" applyFont="1" applyFill="1" applyAlignment="1">
      <alignment horizontal="center" vertical="center"/>
    </xf>
    <xf numFmtId="0" fontId="96" fillId="0" borderId="0" xfId="0" applyFont="1" applyAlignment="1">
      <alignment vertical="center"/>
    </xf>
    <xf numFmtId="0" fontId="0" fillId="16" borderId="0" xfId="0" applyFill="1" applyAlignment="1">
      <alignment horizontal="center"/>
    </xf>
    <xf numFmtId="0" fontId="91" fillId="7" borderId="0" xfId="0" applyFont="1" applyFill="1" applyAlignment="1">
      <alignment horizontal="center" vertical="center"/>
    </xf>
    <xf numFmtId="0" fontId="91" fillId="7" borderId="23" xfId="0" applyFont="1" applyFill="1" applyBorder="1" applyAlignment="1">
      <alignment horizontal="center" vertical="center"/>
    </xf>
    <xf numFmtId="3" fontId="92" fillId="12" borderId="0" xfId="0" applyNumberFormat="1" applyFont="1" applyFill="1" applyAlignment="1">
      <alignment horizontal="center" vertical="center"/>
    </xf>
    <xf numFmtId="0" fontId="92" fillId="12" borderId="23" xfId="0" applyFont="1" applyFill="1" applyBorder="1" applyAlignment="1">
      <alignment horizontal="center" vertical="center"/>
    </xf>
    <xf numFmtId="0" fontId="92" fillId="6" borderId="0" xfId="0" applyFont="1" applyFill="1" applyAlignment="1">
      <alignment horizontal="center" vertical="center"/>
    </xf>
    <xf numFmtId="0" fontId="92" fillId="6" borderId="23" xfId="0" applyFont="1" applyFill="1" applyBorder="1" applyAlignment="1">
      <alignment horizontal="center" vertical="center"/>
    </xf>
    <xf numFmtId="0" fontId="92" fillId="12" borderId="0" xfId="0" applyFont="1" applyFill="1" applyAlignment="1">
      <alignment horizontal="center" vertical="center"/>
    </xf>
    <xf numFmtId="1" fontId="90" fillId="6" borderId="27" xfId="0" applyNumberFormat="1" applyFont="1" applyFill="1" applyBorder="1" applyAlignment="1">
      <alignment horizontal="center" vertical="center"/>
    </xf>
    <xf numFmtId="1" fontId="90" fillId="6" borderId="28" xfId="0" applyNumberFormat="1" applyFont="1" applyFill="1" applyBorder="1" applyAlignment="1">
      <alignment horizontal="center" vertical="center"/>
    </xf>
    <xf numFmtId="164" fontId="90" fillId="6" borderId="27" xfId="0" applyNumberFormat="1" applyFont="1" applyFill="1" applyBorder="1" applyAlignment="1">
      <alignment horizontal="center" vertical="center"/>
    </xf>
    <xf numFmtId="164" fontId="90" fillId="6" borderId="28" xfId="0" applyNumberFormat="1" applyFont="1" applyFill="1" applyBorder="1" applyAlignment="1">
      <alignment horizontal="center" vertical="center"/>
    </xf>
    <xf numFmtId="9" fontId="90" fillId="6" borderId="27" xfId="0" applyNumberFormat="1" applyFont="1" applyFill="1" applyBorder="1" applyAlignment="1">
      <alignment horizontal="center" vertical="center"/>
    </xf>
    <xf numFmtId="9" fontId="90" fillId="6" borderId="28" xfId="0" applyNumberFormat="1" applyFont="1" applyFill="1" applyBorder="1" applyAlignment="1">
      <alignment horizontal="center" vertical="center"/>
    </xf>
    <xf numFmtId="1" fontId="90" fillId="6" borderId="0" xfId="0" applyNumberFormat="1" applyFont="1" applyFill="1" applyAlignment="1">
      <alignment horizontal="center" vertical="center"/>
    </xf>
    <xf numFmtId="0" fontId="89" fillId="4" borderId="24" xfId="0" applyFont="1" applyFill="1" applyBorder="1" applyAlignment="1">
      <alignment horizontal="center" vertical="center" wrapText="1"/>
    </xf>
    <xf numFmtId="0" fontId="89" fillId="4" borderId="25" xfId="0" applyFont="1" applyFill="1" applyBorder="1" applyAlignment="1">
      <alignment horizontal="center" vertical="center" wrapText="1"/>
    </xf>
    <xf numFmtId="0" fontId="85" fillId="9" borderId="26" xfId="0" applyFont="1" applyFill="1" applyBorder="1" applyAlignment="1">
      <alignment horizontal="center" vertical="center"/>
    </xf>
    <xf numFmtId="0" fontId="89" fillId="4" borderId="26" xfId="0" applyFont="1" applyFill="1" applyBorder="1" applyAlignment="1">
      <alignment horizontal="center" vertical="center" wrapText="1"/>
    </xf>
    <xf numFmtId="0" fontId="89" fillId="4" borderId="0" xfId="0" applyFont="1" applyFill="1" applyAlignment="1">
      <alignment horizontal="center" vertical="center" wrapText="1"/>
    </xf>
    <xf numFmtId="0" fontId="45" fillId="4" borderId="0" xfId="0" applyFont="1" applyFill="1" applyAlignment="1">
      <alignment horizontal="center" vertical="center"/>
    </xf>
    <xf numFmtId="0" fontId="46" fillId="0" borderId="0" xfId="0" applyFont="1" applyAlignment="1">
      <alignment horizontal="center"/>
    </xf>
    <xf numFmtId="0" fontId="14" fillId="9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3" fontId="9" fillId="9" borderId="1" xfId="0" applyNumberFormat="1" applyFont="1" applyFill="1" applyBorder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0" fontId="44" fillId="0" borderId="0" xfId="0" applyFont="1" applyAlignment="1">
      <alignment horizontal="center"/>
    </xf>
    <xf numFmtId="0" fontId="49" fillId="3" borderId="1" xfId="0" applyFont="1" applyFill="1" applyBorder="1" applyAlignment="1">
      <alignment horizontal="center" vertical="center"/>
    </xf>
    <xf numFmtId="0" fontId="50" fillId="0" borderId="4" xfId="0" applyFont="1" applyBorder="1"/>
    <xf numFmtId="0" fontId="50" fillId="0" borderId="3" xfId="0" applyFont="1" applyBorder="1"/>
    <xf numFmtId="0" fontId="14" fillId="6" borderId="0" xfId="0" applyFont="1" applyFill="1" applyAlignment="1">
      <alignment horizontal="center" vertical="center"/>
    </xf>
    <xf numFmtId="0" fontId="55" fillId="13" borderId="0" xfId="0" applyFont="1" applyFill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0" fontId="52" fillId="0" borderId="0" xfId="0" applyFont="1" applyAlignment="1">
      <alignment horizontal="center"/>
    </xf>
    <xf numFmtId="0" fontId="49" fillId="2" borderId="0" xfId="0" applyFont="1" applyFill="1" applyAlignment="1">
      <alignment horizontal="center" vertical="center"/>
    </xf>
    <xf numFmtId="0" fontId="50" fillId="0" borderId="0" xfId="0" applyFont="1"/>
    <xf numFmtId="0" fontId="26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right" vertical="center"/>
    </xf>
  </cellXfs>
  <cellStyles count="3">
    <cellStyle name="40% - Accent5" xfId="2" builtinId="47"/>
    <cellStyle name="Good" xfId="1" builtinId="26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B1F3A"/>
      <rgbColor rgb="FFFFFF00"/>
      <rgbColor rgb="FFFF00FF"/>
      <rgbColor rgb="FF00FFFF"/>
      <rgbColor rgb="FF0A1628"/>
      <rgbColor rgb="FF008000"/>
      <rgbColor rgb="FF08132B"/>
      <rgbColor rgb="FF808000"/>
      <rgbColor rgb="FF800080"/>
      <rgbColor rgb="FF008080"/>
      <rgbColor rgb="FFB9B9B9"/>
      <rgbColor rgb="FF7A8CB0"/>
      <rgbColor rgb="FF9999FF"/>
      <rgbColor rgb="FF993366"/>
      <rgbColor rgb="FFFFF6DA"/>
      <rgbColor rgb="FFE8F4FF"/>
      <rgbColor rgb="FF0F2040"/>
      <rgbColor rgb="FFFF8080"/>
      <rgbColor rgb="FF0066CC"/>
      <rgbColor rgb="FFC8D8FF"/>
      <rgbColor rgb="FF0C1A35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9D8A6"/>
      <rgbColor rgb="FF99CCFF"/>
      <rgbColor rgb="FFFF99CC"/>
      <rgbColor rgb="FFCC99FF"/>
      <rgbColor rgb="FFE8D08A"/>
      <rgbColor rgb="FF3366FF"/>
      <rgbColor rgb="FF2EC4B6"/>
      <rgbColor rgb="FF99CC00"/>
      <rgbColor rgb="FFD4AF37"/>
      <rgbColor rgb="FFF39C12"/>
      <rgbColor rgb="FFE74C3C"/>
      <rgbColor rgb="FF2A4F80"/>
      <rgbColor rgb="FFC9A84C"/>
      <rgbColor rgb="FF1A3A6E"/>
      <rgbColor rgb="FF2ECC71"/>
      <rgbColor rgb="FF0D3B2E"/>
      <rgbColor rgb="FF13294B"/>
      <rgbColor rgb="FFC0392B"/>
      <rgbColor rgb="FF993366"/>
      <rgbColor rgb="FF1F4E9C"/>
      <rgbColor rgb="FF1A2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7D9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104775</xdr:rowOff>
        </xdr:from>
        <xdr:to>
          <xdr:col>7</xdr:col>
          <xdr:colOff>828675</xdr:colOff>
          <xdr:row>32</xdr:row>
          <xdr:rowOff>28575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ثبت فاکتور</a:t>
              </a:r>
            </a:p>
            <a:p>
              <a:pPr algn="ctr" rtl="1">
                <a:defRPr sz="1000"/>
              </a:pPr>
              <a:endParaRPr lang="en-US" sz="11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33</xdr:row>
          <xdr:rowOff>0</xdr:rowOff>
        </xdr:from>
        <xdr:to>
          <xdr:col>7</xdr:col>
          <xdr:colOff>828675</xdr:colOff>
          <xdr:row>34</xdr:row>
          <xdr:rowOff>180975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چاپ فاکتور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E74C3C"/>
    <pageSetUpPr fitToPage="1"/>
  </sheetPr>
  <dimension ref="A1:IS711"/>
  <sheetViews>
    <sheetView rightToLeft="1" tabSelected="1" zoomScaleNormal="100" workbookViewId="0">
      <selection activeCell="I16" sqref="I16:AB30"/>
    </sheetView>
  </sheetViews>
  <sheetFormatPr defaultColWidth="8.7109375" defaultRowHeight="15"/>
  <cols>
    <col min="1" max="1" width="9.5703125" style="35" customWidth="1"/>
    <col min="2" max="2" width="6.140625" customWidth="1"/>
    <col min="3" max="3" width="3.140625" style="35" customWidth="1"/>
    <col min="4" max="4" width="13.140625" style="35" customWidth="1"/>
    <col min="5" max="5" width="8.140625" style="35" customWidth="1"/>
    <col min="6" max="7" width="11.28515625" style="35" customWidth="1"/>
    <col min="8" max="8" width="13.5703125" style="35" customWidth="1"/>
  </cols>
  <sheetData>
    <row r="1" spans="1:253" s="68" customFormat="1" ht="68.25" customHeight="1">
      <c r="A1" s="259" t="s">
        <v>228</v>
      </c>
      <c r="B1" s="259"/>
      <c r="C1" s="259"/>
      <c r="D1" s="259"/>
      <c r="E1" s="259"/>
      <c r="F1" s="259"/>
      <c r="G1" s="259"/>
      <c r="H1" s="259"/>
      <c r="I1" s="214" t="s">
        <v>1079</v>
      </c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105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</row>
    <row r="2" spans="1:253" ht="0.75" hidden="1" customHeight="1">
      <c r="A2" s="259"/>
      <c r="B2" s="259"/>
      <c r="C2" s="259"/>
      <c r="D2" s="259"/>
      <c r="E2" s="259"/>
      <c r="F2" s="259"/>
      <c r="G2" s="259"/>
      <c r="H2" s="259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</row>
    <row r="3" spans="1:253" ht="14.25" customHeight="1" thickBot="1">
      <c r="A3" s="252" t="s">
        <v>1099</v>
      </c>
      <c r="B3" s="253"/>
      <c r="C3" s="253"/>
      <c r="D3" s="253"/>
      <c r="E3" s="253"/>
      <c r="F3" s="253"/>
      <c r="G3" s="253"/>
      <c r="H3" s="253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  <c r="DR3" s="105"/>
      <c r="DS3" s="105"/>
      <c r="DT3" s="105"/>
      <c r="DU3" s="105"/>
      <c r="DV3" s="105"/>
      <c r="DW3" s="105"/>
      <c r="DX3" s="105"/>
      <c r="DY3" s="105"/>
      <c r="DZ3" s="105"/>
      <c r="EA3" s="105"/>
      <c r="EB3" s="105"/>
      <c r="EC3" s="105"/>
      <c r="ED3" s="105"/>
      <c r="EE3" s="105"/>
      <c r="EF3" s="105"/>
      <c r="EG3" s="105"/>
      <c r="EH3" s="105"/>
      <c r="EI3" s="105"/>
      <c r="EJ3" s="105"/>
      <c r="EK3" s="105"/>
      <c r="EL3" s="105"/>
      <c r="EM3" s="105"/>
      <c r="EN3" s="105"/>
      <c r="EO3" s="105"/>
      <c r="EP3" s="105"/>
      <c r="EQ3" s="105"/>
      <c r="ER3" s="105"/>
      <c r="ES3" s="105"/>
      <c r="ET3" s="105"/>
      <c r="EU3" s="105"/>
      <c r="EV3" s="105"/>
      <c r="EW3" s="105"/>
      <c r="EX3" s="105"/>
      <c r="EY3" s="105"/>
      <c r="EZ3" s="105"/>
      <c r="FA3" s="105"/>
      <c r="FB3" s="105"/>
      <c r="FC3" s="105"/>
      <c r="FD3" s="105"/>
      <c r="FE3" s="105"/>
      <c r="FF3" s="105"/>
      <c r="FG3" s="105"/>
      <c r="FH3" s="105"/>
      <c r="FI3" s="105"/>
      <c r="FJ3" s="105"/>
      <c r="FK3" s="105"/>
      <c r="FL3" s="105"/>
      <c r="FM3" s="105"/>
      <c r="FN3" s="105"/>
      <c r="FO3" s="105"/>
      <c r="FP3" s="105"/>
      <c r="FQ3" s="105"/>
      <c r="FR3" s="105"/>
      <c r="FS3" s="105"/>
      <c r="FT3" s="105"/>
      <c r="FU3" s="105"/>
      <c r="FV3" s="105"/>
      <c r="FW3" s="105"/>
      <c r="FX3" s="105"/>
      <c r="FY3" s="105"/>
      <c r="FZ3" s="105"/>
      <c r="GA3" s="105"/>
      <c r="GB3" s="105"/>
      <c r="GC3" s="105"/>
      <c r="GD3" s="105"/>
      <c r="GE3" s="105"/>
      <c r="GF3" s="105"/>
      <c r="GG3" s="105"/>
      <c r="GH3" s="105"/>
      <c r="GI3" s="105"/>
      <c r="GJ3" s="105"/>
      <c r="GK3" s="105"/>
      <c r="GL3" s="105"/>
      <c r="GM3" s="105"/>
      <c r="GN3" s="105"/>
      <c r="GO3" s="105"/>
      <c r="GP3" s="105"/>
      <c r="GQ3" s="105"/>
      <c r="GR3" s="105"/>
      <c r="GS3" s="105"/>
      <c r="GT3" s="105"/>
      <c r="GU3" s="105"/>
      <c r="GV3" s="105"/>
      <c r="GW3" s="105"/>
      <c r="GX3" s="105"/>
      <c r="GY3" s="105"/>
      <c r="GZ3" s="105"/>
      <c r="HA3" s="105"/>
      <c r="HB3" s="105"/>
      <c r="HC3" s="105"/>
      <c r="HD3" s="105"/>
      <c r="HE3" s="105"/>
      <c r="HF3" s="105"/>
      <c r="HG3" s="105"/>
      <c r="HH3" s="105"/>
      <c r="HI3" s="105"/>
      <c r="HJ3" s="105"/>
      <c r="HK3" s="105"/>
      <c r="HL3" s="105"/>
      <c r="HM3" s="105"/>
      <c r="HN3" s="105"/>
      <c r="HO3" s="105"/>
      <c r="HP3" s="105"/>
      <c r="HQ3" s="105"/>
      <c r="HR3" s="105"/>
      <c r="HS3" s="105"/>
      <c r="HT3" s="105"/>
      <c r="HU3" s="105"/>
      <c r="HV3" s="105"/>
      <c r="HW3" s="105"/>
      <c r="HX3" s="105"/>
      <c r="HY3" s="105"/>
      <c r="HZ3" s="105"/>
      <c r="IA3" s="105"/>
      <c r="IB3" s="105"/>
      <c r="IC3" s="105"/>
      <c r="ID3" s="105"/>
      <c r="IE3" s="105"/>
      <c r="IF3" s="105"/>
      <c r="IG3" s="105"/>
      <c r="IH3" s="105"/>
      <c r="II3" s="105"/>
      <c r="IJ3" s="105"/>
      <c r="IK3" s="105"/>
      <c r="IL3" s="105"/>
      <c r="IM3" s="105"/>
      <c r="IN3" s="105"/>
      <c r="IO3" s="105"/>
      <c r="IP3" s="105"/>
      <c r="IQ3" s="105"/>
      <c r="IR3" s="105"/>
      <c r="IS3" s="105"/>
    </row>
    <row r="4" spans="1:253" ht="27" customHeight="1" thickBot="1">
      <c r="A4" s="71" t="s">
        <v>0</v>
      </c>
      <c r="B4" s="222" t="s">
        <v>1476</v>
      </c>
      <c r="C4" s="223"/>
      <c r="D4" s="93" t="s">
        <v>1</v>
      </c>
      <c r="E4" s="104" t="s">
        <v>1308</v>
      </c>
      <c r="F4" s="71" t="s">
        <v>2</v>
      </c>
      <c r="G4" s="260" t="s">
        <v>1131</v>
      </c>
      <c r="H4" s="261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  <c r="DU4" s="105"/>
      <c r="DV4" s="105"/>
      <c r="DW4" s="105"/>
      <c r="DX4" s="105"/>
      <c r="DY4" s="105"/>
      <c r="DZ4" s="105"/>
      <c r="EA4" s="105"/>
      <c r="EB4" s="105"/>
      <c r="EC4" s="105"/>
      <c r="ED4" s="105"/>
      <c r="EE4" s="105"/>
      <c r="EF4" s="105"/>
      <c r="EG4" s="105"/>
      <c r="EH4" s="105"/>
      <c r="EI4" s="105"/>
      <c r="EJ4" s="105"/>
      <c r="EK4" s="105"/>
      <c r="EL4" s="105"/>
      <c r="EM4" s="105"/>
      <c r="EN4" s="105"/>
      <c r="EO4" s="105"/>
      <c r="EP4" s="105"/>
      <c r="EQ4" s="105"/>
      <c r="ER4" s="105"/>
      <c r="ES4" s="105"/>
      <c r="ET4" s="105"/>
      <c r="EU4" s="105"/>
      <c r="EV4" s="105"/>
      <c r="EW4" s="105"/>
      <c r="EX4" s="105"/>
      <c r="EY4" s="105"/>
      <c r="EZ4" s="105"/>
      <c r="FA4" s="105"/>
      <c r="FB4" s="105"/>
      <c r="FC4" s="105"/>
      <c r="FD4" s="105"/>
      <c r="FE4" s="105"/>
      <c r="FF4" s="105"/>
      <c r="FG4" s="105"/>
      <c r="FH4" s="105"/>
      <c r="FI4" s="105"/>
      <c r="FJ4" s="105"/>
      <c r="FK4" s="105"/>
      <c r="FL4" s="105"/>
      <c r="FM4" s="105"/>
      <c r="FN4" s="105"/>
      <c r="FO4" s="105"/>
      <c r="FP4" s="105"/>
      <c r="FQ4" s="105"/>
      <c r="FR4" s="105"/>
      <c r="FS4" s="105"/>
      <c r="FT4" s="105"/>
      <c r="FU4" s="105"/>
      <c r="FV4" s="105"/>
      <c r="FW4" s="105"/>
      <c r="FX4" s="105"/>
      <c r="FY4" s="105"/>
      <c r="FZ4" s="105"/>
      <c r="GA4" s="105"/>
      <c r="GB4" s="105"/>
      <c r="GC4" s="105"/>
      <c r="GD4" s="105"/>
      <c r="GE4" s="105"/>
      <c r="GF4" s="105"/>
      <c r="GG4" s="105"/>
      <c r="GH4" s="105"/>
      <c r="GI4" s="105"/>
      <c r="GJ4" s="105"/>
      <c r="GK4" s="105"/>
      <c r="GL4" s="105"/>
      <c r="GM4" s="105"/>
      <c r="GN4" s="105"/>
      <c r="GO4" s="105"/>
      <c r="GP4" s="105"/>
      <c r="GQ4" s="105"/>
      <c r="GR4" s="105"/>
      <c r="GS4" s="105"/>
      <c r="GT4" s="105"/>
      <c r="GU4" s="105"/>
      <c r="GV4" s="105"/>
      <c r="GW4" s="105"/>
      <c r="GX4" s="105"/>
      <c r="GY4" s="105"/>
      <c r="GZ4" s="105"/>
      <c r="HA4" s="105"/>
      <c r="HB4" s="105"/>
      <c r="HC4" s="105"/>
      <c r="HD4" s="105"/>
      <c r="HE4" s="105"/>
      <c r="HF4" s="105"/>
      <c r="HG4" s="105"/>
      <c r="HH4" s="105"/>
      <c r="HI4" s="105"/>
      <c r="HJ4" s="105"/>
      <c r="HK4" s="105"/>
      <c r="HL4" s="105"/>
      <c r="HM4" s="105"/>
      <c r="HN4" s="105"/>
      <c r="HO4" s="105"/>
      <c r="HP4" s="105"/>
      <c r="HQ4" s="105"/>
      <c r="HR4" s="105"/>
      <c r="HS4" s="105"/>
      <c r="HT4" s="105"/>
      <c r="HU4" s="105"/>
      <c r="HV4" s="105"/>
      <c r="HW4" s="105"/>
      <c r="HX4" s="105"/>
      <c r="HY4" s="105"/>
      <c r="HZ4" s="105"/>
      <c r="IA4" s="105"/>
      <c r="IB4" s="105"/>
      <c r="IC4" s="105"/>
      <c r="ID4" s="105"/>
      <c r="IE4" s="105"/>
      <c r="IF4" s="105"/>
      <c r="IG4" s="105"/>
      <c r="IH4" s="105"/>
      <c r="II4" s="105"/>
      <c r="IJ4" s="105"/>
      <c r="IK4" s="105"/>
      <c r="IL4" s="105"/>
      <c r="IM4" s="105"/>
      <c r="IN4" s="105"/>
      <c r="IO4" s="105"/>
      <c r="IP4" s="105"/>
      <c r="IQ4" s="105"/>
      <c r="IR4" s="105"/>
      <c r="IS4" s="105"/>
    </row>
    <row r="5" spans="1:253" ht="15.75" customHeight="1" thickBot="1">
      <c r="A5" s="72" t="s">
        <v>3</v>
      </c>
      <c r="B5" s="97"/>
      <c r="C5" s="264" t="str">
        <f>IFERROR(INDEX(اطلاعات_پرسنل!$D$4:$D$63,MATCH(B5,اطلاعات_پرسنل!$A$4:$A$63,0)),"کد یافت نشد")</f>
        <v xml:space="preserve">فروشگاه </v>
      </c>
      <c r="D5" s="265"/>
      <c r="E5" s="266"/>
      <c r="F5" s="72" t="s">
        <v>4</v>
      </c>
      <c r="G5" s="241" t="s">
        <v>5</v>
      </c>
      <c r="H5" s="242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I5" s="105"/>
      <c r="CJ5" s="105"/>
      <c r="CK5" s="105"/>
      <c r="CL5" s="105"/>
      <c r="CM5" s="105"/>
      <c r="CN5" s="105"/>
      <c r="CO5" s="105"/>
      <c r="CP5" s="105"/>
      <c r="CQ5" s="105"/>
      <c r="CR5" s="105"/>
      <c r="CS5" s="105"/>
      <c r="CT5" s="105"/>
      <c r="CU5" s="105"/>
      <c r="CV5" s="105"/>
      <c r="CW5" s="105"/>
      <c r="CX5" s="105"/>
      <c r="CY5" s="105"/>
      <c r="CZ5" s="105"/>
      <c r="DA5" s="105"/>
      <c r="DB5" s="105"/>
      <c r="DC5" s="105"/>
      <c r="DD5" s="105"/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05"/>
      <c r="DT5" s="105"/>
      <c r="DU5" s="105"/>
      <c r="DV5" s="105"/>
      <c r="DW5" s="105"/>
      <c r="DX5" s="105"/>
      <c r="DY5" s="105"/>
      <c r="DZ5" s="105"/>
      <c r="EA5" s="105"/>
      <c r="EB5" s="105"/>
      <c r="EC5" s="105"/>
      <c r="ED5" s="105"/>
      <c r="EE5" s="105"/>
      <c r="EF5" s="105"/>
      <c r="EG5" s="105"/>
      <c r="EH5" s="105"/>
      <c r="EI5" s="105"/>
      <c r="EJ5" s="105"/>
      <c r="EK5" s="105"/>
      <c r="EL5" s="105"/>
      <c r="EM5" s="105"/>
      <c r="EN5" s="105"/>
      <c r="EO5" s="105"/>
      <c r="EP5" s="105"/>
      <c r="EQ5" s="105"/>
      <c r="ER5" s="105"/>
      <c r="ES5" s="105"/>
      <c r="ET5" s="105"/>
      <c r="EU5" s="105"/>
      <c r="EV5" s="105"/>
      <c r="EW5" s="105"/>
      <c r="EX5" s="105"/>
      <c r="EY5" s="105"/>
      <c r="EZ5" s="105"/>
      <c r="FA5" s="105"/>
      <c r="FB5" s="105"/>
      <c r="FC5" s="105"/>
      <c r="FD5" s="105"/>
      <c r="FE5" s="105"/>
      <c r="FF5" s="105"/>
      <c r="FG5" s="105"/>
      <c r="FH5" s="105"/>
      <c r="FI5" s="105"/>
      <c r="FJ5" s="105"/>
      <c r="FK5" s="105"/>
      <c r="FL5" s="105"/>
      <c r="FM5" s="105"/>
      <c r="FN5" s="105"/>
      <c r="FO5" s="105"/>
      <c r="FP5" s="105"/>
      <c r="FQ5" s="105"/>
      <c r="FR5" s="105"/>
      <c r="FS5" s="105"/>
      <c r="FT5" s="105"/>
      <c r="FU5" s="105"/>
      <c r="FV5" s="105"/>
      <c r="FW5" s="105"/>
      <c r="FX5" s="105"/>
      <c r="FY5" s="105"/>
      <c r="FZ5" s="105"/>
      <c r="GA5" s="105"/>
      <c r="GB5" s="105"/>
      <c r="GC5" s="105"/>
      <c r="GD5" s="105"/>
      <c r="GE5" s="105"/>
      <c r="GF5" s="105"/>
      <c r="GG5" s="105"/>
      <c r="GH5" s="105"/>
      <c r="GI5" s="105"/>
      <c r="GJ5" s="105"/>
      <c r="GK5" s="105"/>
      <c r="GL5" s="105"/>
      <c r="GM5" s="105"/>
      <c r="GN5" s="105"/>
      <c r="GO5" s="105"/>
      <c r="GP5" s="105"/>
      <c r="GQ5" s="105"/>
      <c r="GR5" s="105"/>
      <c r="GS5" s="105"/>
      <c r="GT5" s="105"/>
      <c r="GU5" s="105"/>
      <c r="GV5" s="105"/>
      <c r="GW5" s="105"/>
      <c r="GX5" s="105"/>
      <c r="GY5" s="105"/>
      <c r="GZ5" s="105"/>
      <c r="HA5" s="105"/>
      <c r="HB5" s="105"/>
      <c r="HC5" s="105"/>
      <c r="HD5" s="105"/>
      <c r="HE5" s="105"/>
      <c r="HF5" s="105"/>
      <c r="HG5" s="105"/>
      <c r="HH5" s="105"/>
      <c r="HI5" s="105"/>
      <c r="HJ5" s="105"/>
      <c r="HK5" s="105"/>
      <c r="HL5" s="105"/>
      <c r="HM5" s="105"/>
      <c r="HN5" s="105"/>
      <c r="HO5" s="105"/>
      <c r="HP5" s="105"/>
      <c r="HQ5" s="105"/>
      <c r="HR5" s="105"/>
      <c r="HS5" s="105"/>
      <c r="HT5" s="105"/>
      <c r="HU5" s="105"/>
      <c r="HV5" s="105"/>
      <c r="HW5" s="105"/>
      <c r="HX5" s="105"/>
      <c r="HY5" s="105"/>
      <c r="HZ5" s="105"/>
      <c r="IA5" s="105"/>
      <c r="IB5" s="105"/>
      <c r="IC5" s="105"/>
      <c r="ID5" s="105"/>
      <c r="IE5" s="105"/>
      <c r="IF5" s="105"/>
      <c r="IG5" s="105"/>
      <c r="IH5" s="105"/>
      <c r="II5" s="105"/>
      <c r="IJ5" s="105"/>
      <c r="IK5" s="105"/>
      <c r="IL5" s="105"/>
      <c r="IM5" s="105"/>
      <c r="IN5" s="105"/>
      <c r="IO5" s="105"/>
      <c r="IP5" s="105"/>
      <c r="IQ5" s="105"/>
      <c r="IR5" s="105"/>
      <c r="IS5" s="105"/>
    </row>
    <row r="6" spans="1:253" ht="24.95" customHeight="1" thickBot="1">
      <c r="A6" s="93" t="s">
        <v>1069</v>
      </c>
      <c r="B6" s="241"/>
      <c r="C6" s="242"/>
      <c r="D6" s="94" t="s">
        <v>7</v>
      </c>
      <c r="E6" s="98" t="s">
        <v>1274</v>
      </c>
      <c r="F6" s="71" t="s">
        <v>1072</v>
      </c>
      <c r="G6" s="239">
        <v>0</v>
      </c>
      <c r="H6" s="240"/>
      <c r="I6" s="246" t="s">
        <v>1101</v>
      </c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C6" s="105"/>
      <c r="DD6" s="105"/>
      <c r="DE6" s="105"/>
      <c r="DF6" s="105"/>
      <c r="DG6" s="105"/>
      <c r="DH6" s="105"/>
      <c r="DI6" s="105"/>
      <c r="DJ6" s="105"/>
      <c r="DK6" s="105"/>
      <c r="DL6" s="105"/>
      <c r="DM6" s="105"/>
      <c r="DN6" s="105"/>
      <c r="DO6" s="105"/>
      <c r="DP6" s="105"/>
      <c r="DQ6" s="105"/>
      <c r="DR6" s="105"/>
      <c r="DS6" s="105"/>
      <c r="DT6" s="105"/>
      <c r="DU6" s="105"/>
      <c r="DV6" s="105"/>
      <c r="DW6" s="105"/>
      <c r="DX6" s="105"/>
      <c r="DY6" s="105"/>
      <c r="DZ6" s="105"/>
      <c r="EA6" s="105"/>
      <c r="EB6" s="105"/>
      <c r="EC6" s="105"/>
      <c r="ED6" s="105"/>
      <c r="EE6" s="105"/>
      <c r="EF6" s="105"/>
      <c r="EG6" s="105"/>
      <c r="EH6" s="105"/>
      <c r="EI6" s="105"/>
      <c r="EJ6" s="105"/>
      <c r="EK6" s="105"/>
      <c r="EL6" s="105"/>
      <c r="EM6" s="105"/>
      <c r="EN6" s="105"/>
      <c r="EO6" s="105"/>
      <c r="EP6" s="105"/>
      <c r="EQ6" s="105"/>
      <c r="ER6" s="105"/>
      <c r="ES6" s="105"/>
      <c r="ET6" s="105"/>
      <c r="EU6" s="105"/>
      <c r="EV6" s="105"/>
      <c r="EW6" s="105"/>
      <c r="EX6" s="105"/>
      <c r="EY6" s="105"/>
      <c r="EZ6" s="105"/>
      <c r="FA6" s="105"/>
      <c r="FB6" s="105"/>
      <c r="FC6" s="105"/>
      <c r="FD6" s="105"/>
      <c r="FE6" s="105"/>
      <c r="FF6" s="105"/>
      <c r="FG6" s="105"/>
      <c r="FH6" s="105"/>
      <c r="FI6" s="105"/>
      <c r="FJ6" s="105"/>
      <c r="FK6" s="105"/>
      <c r="FL6" s="105"/>
      <c r="FM6" s="105"/>
      <c r="FN6" s="105"/>
      <c r="FO6" s="105"/>
      <c r="FP6" s="105"/>
      <c r="FQ6" s="105"/>
      <c r="FR6" s="105"/>
      <c r="FS6" s="105"/>
      <c r="FT6" s="105"/>
      <c r="FU6" s="105"/>
      <c r="FV6" s="105"/>
      <c r="FW6" s="105"/>
      <c r="FX6" s="105"/>
      <c r="FY6" s="105"/>
      <c r="FZ6" s="105"/>
      <c r="GA6" s="105"/>
      <c r="GB6" s="105"/>
      <c r="GC6" s="105"/>
      <c r="GD6" s="105"/>
      <c r="GE6" s="105"/>
      <c r="GF6" s="105"/>
      <c r="GG6" s="105"/>
      <c r="GH6" s="105"/>
      <c r="GI6" s="105"/>
      <c r="GJ6" s="105"/>
      <c r="GK6" s="105"/>
      <c r="GL6" s="105"/>
      <c r="GM6" s="105"/>
      <c r="GN6" s="105"/>
      <c r="GO6" s="105"/>
      <c r="GP6" s="105"/>
      <c r="GQ6" s="105"/>
      <c r="GR6" s="105"/>
      <c r="GS6" s="105"/>
      <c r="GT6" s="105"/>
      <c r="GU6" s="105"/>
      <c r="GV6" s="105"/>
      <c r="GW6" s="105"/>
      <c r="GX6" s="105"/>
      <c r="GY6" s="105"/>
      <c r="GZ6" s="105"/>
      <c r="HA6" s="105"/>
      <c r="HB6" s="105"/>
      <c r="HC6" s="105"/>
      <c r="HD6" s="105"/>
      <c r="HE6" s="105"/>
      <c r="HF6" s="105"/>
      <c r="HG6" s="105"/>
      <c r="HH6" s="105"/>
      <c r="HI6" s="105"/>
      <c r="HJ6" s="105"/>
      <c r="HK6" s="105"/>
      <c r="HL6" s="105"/>
      <c r="HM6" s="105"/>
      <c r="HN6" s="105"/>
      <c r="HO6" s="105"/>
      <c r="HP6" s="105"/>
      <c r="HQ6" s="105"/>
      <c r="HR6" s="105"/>
      <c r="HS6" s="105"/>
      <c r="HT6" s="105"/>
      <c r="HU6" s="105"/>
      <c r="HV6" s="105"/>
      <c r="HW6" s="105"/>
      <c r="HX6" s="105"/>
      <c r="HY6" s="105"/>
      <c r="HZ6" s="105"/>
      <c r="IA6" s="105"/>
      <c r="IB6" s="105"/>
      <c r="IC6" s="105"/>
      <c r="ID6" s="105"/>
      <c r="IE6" s="105"/>
      <c r="IF6" s="105"/>
      <c r="IG6" s="105"/>
      <c r="IH6" s="105"/>
      <c r="II6" s="105"/>
      <c r="IJ6" s="105"/>
      <c r="IK6" s="105"/>
      <c r="IL6" s="105"/>
      <c r="IM6" s="105"/>
      <c r="IN6" s="105"/>
      <c r="IO6" s="105"/>
      <c r="IP6" s="105"/>
      <c r="IQ6" s="105"/>
      <c r="IR6" s="105"/>
      <c r="IS6" s="105"/>
    </row>
    <row r="7" spans="1:253" ht="23.1" customHeight="1" thickBot="1">
      <c r="A7" s="243" t="s">
        <v>1070</v>
      </c>
      <c r="B7" s="244"/>
      <c r="C7" s="244"/>
      <c r="D7" s="244"/>
      <c r="E7" s="244"/>
      <c r="F7" s="244"/>
      <c r="G7" s="244"/>
      <c r="H7" s="244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  <c r="DQ7" s="105"/>
      <c r="DR7" s="105"/>
      <c r="DS7" s="105"/>
      <c r="DT7" s="105"/>
      <c r="DU7" s="105"/>
      <c r="DV7" s="105"/>
      <c r="DW7" s="105"/>
      <c r="DX7" s="105"/>
      <c r="DY7" s="105"/>
      <c r="DZ7" s="105"/>
      <c r="EA7" s="105"/>
      <c r="EB7" s="105"/>
      <c r="EC7" s="105"/>
      <c r="ED7" s="105"/>
      <c r="EE7" s="105"/>
      <c r="EF7" s="105"/>
      <c r="EG7" s="105"/>
      <c r="EH7" s="105"/>
      <c r="EI7" s="105"/>
      <c r="EJ7" s="105"/>
      <c r="EK7" s="105"/>
      <c r="EL7" s="105"/>
      <c r="EM7" s="105"/>
      <c r="EN7" s="105"/>
      <c r="EO7" s="105"/>
      <c r="EP7" s="105"/>
      <c r="EQ7" s="105"/>
      <c r="ER7" s="105"/>
      <c r="ES7" s="105"/>
      <c r="ET7" s="105"/>
      <c r="EU7" s="105"/>
      <c r="EV7" s="105"/>
      <c r="EW7" s="105"/>
      <c r="EX7" s="105"/>
      <c r="EY7" s="105"/>
      <c r="EZ7" s="105"/>
      <c r="FA7" s="105"/>
      <c r="FB7" s="105"/>
      <c r="FC7" s="105"/>
      <c r="FD7" s="105"/>
      <c r="FE7" s="105"/>
      <c r="FF7" s="105"/>
      <c r="FG7" s="105"/>
      <c r="FH7" s="105"/>
      <c r="FI7" s="105"/>
      <c r="FJ7" s="105"/>
      <c r="FK7" s="105"/>
      <c r="FL7" s="105"/>
      <c r="FM7" s="105"/>
      <c r="FN7" s="105"/>
      <c r="FO7" s="105"/>
      <c r="FP7" s="105"/>
      <c r="FQ7" s="105"/>
      <c r="FR7" s="105"/>
      <c r="FS7" s="105"/>
      <c r="FT7" s="105"/>
      <c r="FU7" s="105"/>
      <c r="FV7" s="105"/>
      <c r="FW7" s="105"/>
      <c r="FX7" s="105"/>
      <c r="FY7" s="105"/>
      <c r="FZ7" s="105"/>
      <c r="GA7" s="105"/>
      <c r="GB7" s="105"/>
      <c r="GC7" s="105"/>
      <c r="GD7" s="105"/>
      <c r="GE7" s="105"/>
      <c r="GF7" s="105"/>
      <c r="GG7" s="105"/>
      <c r="GH7" s="105"/>
      <c r="GI7" s="105"/>
      <c r="GJ7" s="105"/>
      <c r="GK7" s="105"/>
      <c r="GL7" s="105"/>
      <c r="GM7" s="105"/>
      <c r="GN7" s="105"/>
      <c r="GO7" s="105"/>
      <c r="GP7" s="105"/>
      <c r="GQ7" s="105"/>
      <c r="GR7" s="105"/>
      <c r="GS7" s="105"/>
      <c r="GT7" s="105"/>
      <c r="GU7" s="105"/>
      <c r="GV7" s="105"/>
      <c r="GW7" s="105"/>
      <c r="GX7" s="105"/>
      <c r="GY7" s="105"/>
      <c r="GZ7" s="105"/>
      <c r="HA7" s="105"/>
      <c r="HB7" s="105"/>
      <c r="HC7" s="105"/>
      <c r="HD7" s="105"/>
      <c r="HE7" s="105"/>
      <c r="HF7" s="105"/>
      <c r="HG7" s="105"/>
      <c r="HH7" s="105"/>
      <c r="HI7" s="105"/>
      <c r="HJ7" s="105"/>
      <c r="HK7" s="105"/>
      <c r="HL7" s="105"/>
      <c r="HM7" s="105"/>
      <c r="HN7" s="105"/>
      <c r="HO7" s="105"/>
      <c r="HP7" s="105"/>
      <c r="HQ7" s="105"/>
      <c r="HR7" s="105"/>
      <c r="HS7" s="105"/>
      <c r="HT7" s="105"/>
      <c r="HU7" s="105"/>
      <c r="HV7" s="105"/>
      <c r="HW7" s="105"/>
      <c r="HX7" s="105"/>
      <c r="HY7" s="105"/>
      <c r="HZ7" s="105"/>
      <c r="IA7" s="105"/>
      <c r="IB7" s="105"/>
      <c r="IC7" s="105"/>
      <c r="ID7" s="105"/>
      <c r="IE7" s="105"/>
      <c r="IF7" s="105"/>
      <c r="IG7" s="105"/>
      <c r="IH7" s="105"/>
      <c r="II7" s="105"/>
      <c r="IJ7" s="105"/>
      <c r="IK7" s="105"/>
      <c r="IL7" s="105"/>
      <c r="IM7" s="105"/>
      <c r="IN7" s="105"/>
      <c r="IO7" s="105"/>
      <c r="IP7" s="105"/>
      <c r="IQ7" s="105"/>
      <c r="IR7" s="105"/>
      <c r="IS7" s="105"/>
    </row>
    <row r="8" spans="1:253" ht="24.95" customHeight="1" thickBot="1">
      <c r="A8" s="93" t="s">
        <v>460</v>
      </c>
      <c r="B8" s="248"/>
      <c r="C8" s="249"/>
      <c r="D8" s="95" t="s">
        <v>9</v>
      </c>
      <c r="E8" s="99"/>
      <c r="F8" s="71" t="s">
        <v>10</v>
      </c>
      <c r="G8" s="224"/>
      <c r="H8" s="225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5"/>
      <c r="CL8" s="105"/>
      <c r="CM8" s="105"/>
      <c r="CN8" s="105"/>
      <c r="CO8" s="105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5"/>
      <c r="DA8" s="105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5"/>
      <c r="DO8" s="105"/>
      <c r="DP8" s="105"/>
      <c r="DQ8" s="105"/>
      <c r="DR8" s="105"/>
      <c r="DS8" s="105"/>
      <c r="DT8" s="105"/>
      <c r="DU8" s="105"/>
      <c r="DV8" s="105"/>
      <c r="DW8" s="105"/>
      <c r="DX8" s="105"/>
      <c r="DY8" s="105"/>
      <c r="DZ8" s="105"/>
      <c r="EA8" s="105"/>
      <c r="EB8" s="105"/>
      <c r="EC8" s="105"/>
      <c r="ED8" s="105"/>
      <c r="EE8" s="105"/>
      <c r="EF8" s="105"/>
      <c r="EG8" s="105"/>
      <c r="EH8" s="105"/>
      <c r="EI8" s="105"/>
      <c r="EJ8" s="105"/>
      <c r="EK8" s="105"/>
      <c r="EL8" s="105"/>
      <c r="EM8" s="105"/>
      <c r="EN8" s="105"/>
      <c r="EO8" s="105"/>
      <c r="EP8" s="105"/>
      <c r="EQ8" s="105"/>
      <c r="ER8" s="105"/>
      <c r="ES8" s="105"/>
      <c r="ET8" s="105"/>
      <c r="EU8" s="105"/>
      <c r="EV8" s="105"/>
      <c r="EW8" s="105"/>
      <c r="EX8" s="105"/>
      <c r="EY8" s="105"/>
      <c r="EZ8" s="105"/>
      <c r="FA8" s="105"/>
      <c r="FB8" s="105"/>
      <c r="FC8" s="105"/>
      <c r="FD8" s="105"/>
      <c r="FE8" s="105"/>
      <c r="FF8" s="105"/>
      <c r="FG8" s="105"/>
      <c r="FH8" s="105"/>
      <c r="FI8" s="105"/>
      <c r="FJ8" s="105"/>
      <c r="FK8" s="105"/>
      <c r="FL8" s="105"/>
      <c r="FM8" s="105"/>
      <c r="FN8" s="105"/>
      <c r="FO8" s="105"/>
      <c r="FP8" s="105"/>
      <c r="FQ8" s="105"/>
      <c r="FR8" s="105"/>
      <c r="FS8" s="105"/>
      <c r="FT8" s="105"/>
      <c r="FU8" s="105"/>
      <c r="FV8" s="105"/>
      <c r="FW8" s="105"/>
      <c r="FX8" s="105"/>
      <c r="FY8" s="105"/>
      <c r="FZ8" s="105"/>
      <c r="GA8" s="105"/>
      <c r="GB8" s="105"/>
      <c r="GC8" s="105"/>
      <c r="GD8" s="105"/>
      <c r="GE8" s="105"/>
      <c r="GF8" s="105"/>
      <c r="GG8" s="105"/>
      <c r="GH8" s="105"/>
      <c r="GI8" s="105"/>
      <c r="GJ8" s="105"/>
      <c r="GK8" s="105"/>
      <c r="GL8" s="105"/>
      <c r="GM8" s="105"/>
      <c r="GN8" s="105"/>
      <c r="GO8" s="105"/>
      <c r="GP8" s="105"/>
      <c r="GQ8" s="105"/>
      <c r="GR8" s="105"/>
      <c r="GS8" s="105"/>
      <c r="GT8" s="105"/>
      <c r="GU8" s="105"/>
      <c r="GV8" s="105"/>
      <c r="GW8" s="105"/>
      <c r="GX8" s="105"/>
      <c r="GY8" s="105"/>
      <c r="GZ8" s="105"/>
      <c r="HA8" s="105"/>
      <c r="HB8" s="105"/>
      <c r="HC8" s="105"/>
      <c r="HD8" s="105"/>
      <c r="HE8" s="105"/>
      <c r="HF8" s="105"/>
      <c r="HG8" s="105"/>
      <c r="HH8" s="105"/>
      <c r="HI8" s="105"/>
      <c r="HJ8" s="105"/>
      <c r="HK8" s="105"/>
      <c r="HL8" s="105"/>
      <c r="HM8" s="105"/>
      <c r="HN8" s="105"/>
      <c r="HO8" s="105"/>
      <c r="HP8" s="105"/>
      <c r="HQ8" s="105"/>
      <c r="HR8" s="105"/>
      <c r="HS8" s="105"/>
      <c r="HT8" s="105"/>
      <c r="HU8" s="105"/>
      <c r="HV8" s="105"/>
      <c r="HW8" s="105"/>
      <c r="HX8" s="105"/>
      <c r="HY8" s="105"/>
      <c r="HZ8" s="105"/>
      <c r="IA8" s="105"/>
      <c r="IB8" s="105"/>
      <c r="IC8" s="105"/>
      <c r="ID8" s="105"/>
      <c r="IE8" s="105"/>
      <c r="IF8" s="105"/>
      <c r="IG8" s="105"/>
      <c r="IH8" s="105"/>
      <c r="II8" s="105"/>
      <c r="IJ8" s="105"/>
      <c r="IK8" s="105"/>
      <c r="IL8" s="105"/>
      <c r="IM8" s="105"/>
      <c r="IN8" s="105"/>
      <c r="IO8" s="105"/>
      <c r="IP8" s="105"/>
      <c r="IQ8" s="105"/>
      <c r="IR8" s="105"/>
      <c r="IS8" s="105"/>
    </row>
    <row r="9" spans="1:253" ht="24.95" customHeight="1" thickBot="1">
      <c r="A9" s="95" t="s">
        <v>11</v>
      </c>
      <c r="B9" s="98"/>
      <c r="C9" s="73" t="s">
        <v>182</v>
      </c>
      <c r="D9" s="100"/>
      <c r="E9" s="93" t="s">
        <v>13</v>
      </c>
      <c r="F9" s="241"/>
      <c r="G9" s="245"/>
      <c r="H9" s="242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5"/>
      <c r="CL9" s="105"/>
      <c r="CM9" s="105"/>
      <c r="CN9" s="105"/>
      <c r="CO9" s="105"/>
      <c r="CP9" s="105"/>
      <c r="CQ9" s="105"/>
      <c r="CR9" s="105"/>
      <c r="CS9" s="105"/>
      <c r="CT9" s="105"/>
      <c r="CU9" s="105"/>
      <c r="CV9" s="105"/>
      <c r="CW9" s="105"/>
      <c r="CX9" s="105"/>
      <c r="CY9" s="105"/>
      <c r="CZ9" s="105"/>
      <c r="DA9" s="105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/>
      <c r="DP9" s="105"/>
      <c r="DQ9" s="105"/>
      <c r="DR9" s="105"/>
      <c r="DS9" s="105"/>
      <c r="DT9" s="105"/>
      <c r="DU9" s="105"/>
      <c r="DV9" s="105"/>
      <c r="DW9" s="105"/>
      <c r="DX9" s="105"/>
      <c r="DY9" s="105"/>
      <c r="DZ9" s="105"/>
      <c r="EA9" s="105"/>
      <c r="EB9" s="105"/>
      <c r="EC9" s="105"/>
      <c r="ED9" s="105"/>
      <c r="EE9" s="105"/>
      <c r="EF9" s="105"/>
      <c r="EG9" s="105"/>
      <c r="EH9" s="105"/>
      <c r="EI9" s="105"/>
      <c r="EJ9" s="105"/>
      <c r="EK9" s="105"/>
      <c r="EL9" s="105"/>
      <c r="EM9" s="105"/>
      <c r="EN9" s="105"/>
      <c r="EO9" s="105"/>
      <c r="EP9" s="105"/>
      <c r="EQ9" s="105"/>
      <c r="ER9" s="105"/>
      <c r="ES9" s="105"/>
      <c r="ET9" s="105"/>
      <c r="EU9" s="105"/>
      <c r="EV9" s="105"/>
      <c r="EW9" s="105"/>
      <c r="EX9" s="105"/>
      <c r="EY9" s="105"/>
      <c r="EZ9" s="105"/>
      <c r="FA9" s="105"/>
      <c r="FB9" s="105"/>
      <c r="FC9" s="105"/>
      <c r="FD9" s="105"/>
      <c r="FE9" s="105"/>
      <c r="FF9" s="105"/>
      <c r="FG9" s="105"/>
      <c r="FH9" s="105"/>
      <c r="FI9" s="105"/>
      <c r="FJ9" s="105"/>
      <c r="FK9" s="105"/>
      <c r="FL9" s="105"/>
      <c r="FM9" s="105"/>
      <c r="FN9" s="105"/>
      <c r="FO9" s="105"/>
      <c r="FP9" s="105"/>
      <c r="FQ9" s="105"/>
      <c r="FR9" s="105"/>
      <c r="FS9" s="105"/>
      <c r="FT9" s="105"/>
      <c r="FU9" s="105"/>
      <c r="FV9" s="105"/>
      <c r="FW9" s="105"/>
      <c r="FX9" s="105"/>
      <c r="FY9" s="105"/>
      <c r="FZ9" s="105"/>
      <c r="GA9" s="105"/>
      <c r="GB9" s="105"/>
      <c r="GC9" s="105"/>
      <c r="GD9" s="105"/>
      <c r="GE9" s="105"/>
      <c r="GF9" s="105"/>
      <c r="GG9" s="105"/>
      <c r="GH9" s="105"/>
      <c r="GI9" s="105"/>
      <c r="GJ9" s="105"/>
      <c r="GK9" s="105"/>
      <c r="GL9" s="105"/>
      <c r="GM9" s="105"/>
      <c r="GN9" s="105"/>
      <c r="GO9" s="105"/>
      <c r="GP9" s="105"/>
      <c r="GQ9" s="105"/>
      <c r="GR9" s="105"/>
      <c r="GS9" s="105"/>
      <c r="GT9" s="105"/>
      <c r="GU9" s="105"/>
      <c r="GV9" s="105"/>
      <c r="GW9" s="105"/>
      <c r="GX9" s="105"/>
      <c r="GY9" s="105"/>
      <c r="GZ9" s="105"/>
      <c r="HA9" s="105"/>
      <c r="HB9" s="105"/>
      <c r="HC9" s="105"/>
      <c r="HD9" s="105"/>
      <c r="HE9" s="105"/>
      <c r="HF9" s="105"/>
      <c r="HG9" s="105"/>
      <c r="HH9" s="105"/>
      <c r="HI9" s="105"/>
      <c r="HJ9" s="105"/>
      <c r="HK9" s="105"/>
      <c r="HL9" s="105"/>
      <c r="HM9" s="105"/>
      <c r="HN9" s="105"/>
      <c r="HO9" s="105"/>
      <c r="HP9" s="105"/>
      <c r="HQ9" s="105"/>
      <c r="HR9" s="105"/>
      <c r="HS9" s="105"/>
      <c r="HT9" s="105"/>
      <c r="HU9" s="105"/>
      <c r="HV9" s="105"/>
      <c r="HW9" s="105"/>
      <c r="HX9" s="105"/>
      <c r="HY9" s="105"/>
      <c r="HZ9" s="105"/>
      <c r="IA9" s="105"/>
      <c r="IB9" s="105"/>
      <c r="IC9" s="105"/>
      <c r="ID9" s="105"/>
      <c r="IE9" s="105"/>
      <c r="IF9" s="105"/>
      <c r="IG9" s="105"/>
      <c r="IH9" s="105"/>
      <c r="II9" s="105"/>
      <c r="IJ9" s="105"/>
      <c r="IK9" s="105"/>
      <c r="IL9" s="105"/>
      <c r="IM9" s="105"/>
      <c r="IN9" s="105"/>
      <c r="IO9" s="105"/>
      <c r="IP9" s="105"/>
      <c r="IQ9" s="105"/>
      <c r="IR9" s="105"/>
      <c r="IS9" s="105"/>
    </row>
    <row r="10" spans="1:253" ht="22.5" customHeight="1" thickBot="1">
      <c r="A10" s="232" t="s">
        <v>1067</v>
      </c>
      <c r="B10" s="233"/>
      <c r="C10" s="233"/>
      <c r="D10" s="233"/>
      <c r="E10" s="233"/>
      <c r="F10" s="233"/>
      <c r="G10" s="233"/>
      <c r="H10" s="233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5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5"/>
      <c r="CL10" s="105"/>
      <c r="CM10" s="105"/>
      <c r="CN10" s="105"/>
      <c r="CO10" s="105"/>
      <c r="CP10" s="105"/>
      <c r="CQ10" s="105"/>
      <c r="CR10" s="105"/>
      <c r="CS10" s="105"/>
      <c r="CT10" s="105"/>
      <c r="CU10" s="105"/>
      <c r="CV10" s="105"/>
      <c r="CW10" s="105"/>
      <c r="CX10" s="105"/>
      <c r="CY10" s="105"/>
      <c r="CZ10" s="105"/>
      <c r="DA10" s="105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5"/>
      <c r="DO10" s="105"/>
      <c r="DP10" s="105"/>
      <c r="DQ10" s="105"/>
      <c r="DR10" s="105"/>
      <c r="DS10" s="105"/>
      <c r="DT10" s="105"/>
      <c r="DU10" s="105"/>
      <c r="DV10" s="105"/>
      <c r="DW10" s="105"/>
      <c r="DX10" s="105"/>
      <c r="DY10" s="105"/>
      <c r="DZ10" s="105"/>
      <c r="EA10" s="105"/>
      <c r="EB10" s="105"/>
      <c r="EC10" s="105"/>
      <c r="ED10" s="105"/>
      <c r="EE10" s="105"/>
      <c r="EF10" s="105"/>
      <c r="EG10" s="105"/>
      <c r="EH10" s="105"/>
      <c r="EI10" s="105"/>
      <c r="EJ10" s="105"/>
      <c r="EK10" s="105"/>
      <c r="EL10" s="105"/>
      <c r="EM10" s="105"/>
      <c r="EN10" s="105"/>
      <c r="EO10" s="105"/>
      <c r="EP10" s="105"/>
      <c r="EQ10" s="105"/>
      <c r="ER10" s="105"/>
      <c r="ES10" s="105"/>
      <c r="ET10" s="105"/>
      <c r="EU10" s="105"/>
      <c r="EV10" s="105"/>
      <c r="EW10" s="105"/>
      <c r="EX10" s="105"/>
      <c r="EY10" s="105"/>
      <c r="EZ10" s="105"/>
      <c r="FA10" s="105"/>
      <c r="FB10" s="105"/>
      <c r="FC10" s="105"/>
      <c r="FD10" s="105"/>
      <c r="FE10" s="105"/>
      <c r="FF10" s="105"/>
      <c r="FG10" s="105"/>
      <c r="FH10" s="105"/>
      <c r="FI10" s="105"/>
      <c r="FJ10" s="105"/>
      <c r="FK10" s="105"/>
      <c r="FL10" s="105"/>
      <c r="FM10" s="105"/>
      <c r="FN10" s="105"/>
      <c r="FO10" s="105"/>
      <c r="FP10" s="105"/>
      <c r="FQ10" s="105"/>
      <c r="FR10" s="105"/>
      <c r="FS10" s="105"/>
      <c r="FT10" s="105"/>
      <c r="FU10" s="105"/>
      <c r="FV10" s="105"/>
      <c r="FW10" s="105"/>
      <c r="FX10" s="105"/>
      <c r="FY10" s="105"/>
      <c r="FZ10" s="105"/>
      <c r="GA10" s="105"/>
      <c r="GB10" s="105"/>
      <c r="GC10" s="105"/>
      <c r="GD10" s="105"/>
      <c r="GE10" s="105"/>
      <c r="GF10" s="105"/>
      <c r="GG10" s="105"/>
      <c r="GH10" s="105"/>
      <c r="GI10" s="105"/>
      <c r="GJ10" s="105"/>
      <c r="GK10" s="105"/>
      <c r="GL10" s="105"/>
      <c r="GM10" s="105"/>
      <c r="GN10" s="105"/>
      <c r="GO10" s="105"/>
      <c r="GP10" s="105"/>
      <c r="GQ10" s="105"/>
      <c r="GR10" s="105"/>
      <c r="GS10" s="105"/>
      <c r="GT10" s="105"/>
      <c r="GU10" s="105"/>
      <c r="GV10" s="105"/>
      <c r="GW10" s="105"/>
      <c r="GX10" s="105"/>
      <c r="GY10" s="105"/>
      <c r="GZ10" s="105"/>
      <c r="HA10" s="105"/>
      <c r="HB10" s="105"/>
      <c r="HC10" s="105"/>
      <c r="HD10" s="105"/>
      <c r="HE10" s="105"/>
      <c r="HF10" s="105"/>
      <c r="HG10" s="105"/>
      <c r="HH10" s="105"/>
      <c r="HI10" s="105"/>
      <c r="HJ10" s="105"/>
      <c r="HK10" s="105"/>
      <c r="HL10" s="105"/>
      <c r="HM10" s="105"/>
      <c r="HN10" s="105"/>
      <c r="HO10" s="105"/>
      <c r="HP10" s="105"/>
      <c r="HQ10" s="105"/>
      <c r="HR10" s="105"/>
      <c r="HS10" s="105"/>
      <c r="HT10" s="105"/>
      <c r="HU10" s="105"/>
      <c r="HV10" s="105"/>
      <c r="HW10" s="105"/>
      <c r="HX10" s="105"/>
      <c r="HY10" s="105"/>
      <c r="HZ10" s="105"/>
      <c r="IA10" s="105"/>
      <c r="IB10" s="105"/>
      <c r="IC10" s="105"/>
      <c r="ID10" s="105"/>
      <c r="IE10" s="105"/>
      <c r="IF10" s="105"/>
      <c r="IG10" s="105"/>
      <c r="IH10" s="105"/>
      <c r="II10" s="105"/>
      <c r="IJ10" s="105"/>
      <c r="IK10" s="105"/>
      <c r="IL10" s="105"/>
      <c r="IM10" s="105"/>
      <c r="IN10" s="105"/>
      <c r="IO10" s="105"/>
      <c r="IP10" s="105"/>
      <c r="IQ10" s="105"/>
      <c r="IR10" s="105"/>
      <c r="IS10" s="105"/>
    </row>
    <row r="11" spans="1:253" ht="24.95" customHeight="1">
      <c r="A11" s="74" t="s">
        <v>14</v>
      </c>
      <c r="B11" s="86" t="s">
        <v>15</v>
      </c>
      <c r="C11" s="107" t="s">
        <v>1058</v>
      </c>
      <c r="D11" s="75" t="s">
        <v>461</v>
      </c>
      <c r="E11" s="91" t="s">
        <v>16</v>
      </c>
      <c r="F11" s="75" t="s">
        <v>17</v>
      </c>
      <c r="G11" s="76" t="s">
        <v>18</v>
      </c>
      <c r="H11" s="77" t="s">
        <v>19</v>
      </c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5"/>
      <c r="CL11" s="105"/>
      <c r="CM11" s="105"/>
      <c r="CN11" s="105"/>
      <c r="CO11" s="105"/>
      <c r="CP11" s="105"/>
      <c r="CQ11" s="105"/>
      <c r="CR11" s="105"/>
      <c r="CS11" s="105"/>
      <c r="CT11" s="105"/>
      <c r="CU11" s="105"/>
      <c r="CV11" s="105"/>
      <c r="CW11" s="105"/>
      <c r="CX11" s="105"/>
      <c r="CY11" s="105"/>
      <c r="CZ11" s="105"/>
      <c r="DA11" s="105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5"/>
      <c r="DO11" s="105"/>
      <c r="DP11" s="105"/>
      <c r="DQ11" s="105"/>
      <c r="DR11" s="105"/>
      <c r="DS11" s="105"/>
      <c r="DT11" s="105"/>
      <c r="DU11" s="105"/>
      <c r="DV11" s="105"/>
      <c r="DW11" s="105"/>
      <c r="DX11" s="105"/>
      <c r="DY11" s="105"/>
      <c r="DZ11" s="105"/>
      <c r="EA11" s="105"/>
      <c r="EB11" s="105"/>
      <c r="EC11" s="105"/>
      <c r="ED11" s="105"/>
      <c r="EE11" s="105"/>
      <c r="EF11" s="105"/>
      <c r="EG11" s="105"/>
      <c r="EH11" s="105"/>
      <c r="EI11" s="105"/>
      <c r="EJ11" s="105"/>
      <c r="EK11" s="105"/>
      <c r="EL11" s="105"/>
      <c r="EM11" s="105"/>
      <c r="EN11" s="105"/>
      <c r="EO11" s="105"/>
      <c r="EP11" s="105"/>
      <c r="EQ11" s="105"/>
      <c r="ER11" s="105"/>
      <c r="ES11" s="105"/>
      <c r="ET11" s="105"/>
      <c r="EU11" s="105"/>
      <c r="EV11" s="105"/>
      <c r="EW11" s="105"/>
      <c r="EX11" s="105"/>
      <c r="EY11" s="105"/>
      <c r="EZ11" s="105"/>
      <c r="FA11" s="105"/>
      <c r="FB11" s="105"/>
      <c r="FC11" s="105"/>
      <c r="FD11" s="105"/>
      <c r="FE11" s="105"/>
      <c r="FF11" s="105"/>
      <c r="FG11" s="105"/>
      <c r="FH11" s="105"/>
      <c r="FI11" s="105"/>
      <c r="FJ11" s="105"/>
      <c r="FK11" s="105"/>
      <c r="FL11" s="105"/>
      <c r="FM11" s="105"/>
      <c r="FN11" s="105"/>
      <c r="FO11" s="105"/>
      <c r="FP11" s="105"/>
      <c r="FQ11" s="105"/>
      <c r="FR11" s="105"/>
      <c r="FS11" s="105"/>
      <c r="FT11" s="105"/>
      <c r="FU11" s="105"/>
      <c r="FV11" s="105"/>
      <c r="FW11" s="105"/>
      <c r="FX11" s="105"/>
      <c r="FY11" s="105"/>
      <c r="FZ11" s="105"/>
      <c r="GA11" s="105"/>
      <c r="GB11" s="105"/>
      <c r="GC11" s="105"/>
      <c r="GD11" s="105"/>
      <c r="GE11" s="105"/>
      <c r="GF11" s="105"/>
      <c r="GG11" s="105"/>
      <c r="GH11" s="105"/>
      <c r="GI11" s="105"/>
      <c r="GJ11" s="105"/>
      <c r="GK11" s="105"/>
      <c r="GL11" s="105"/>
      <c r="GM11" s="105"/>
      <c r="GN11" s="105"/>
      <c r="GO11" s="105"/>
      <c r="GP11" s="105"/>
      <c r="GQ11" s="105"/>
      <c r="GR11" s="105"/>
      <c r="GS11" s="105"/>
      <c r="GT11" s="105"/>
      <c r="GU11" s="105"/>
      <c r="GV11" s="105"/>
      <c r="GW11" s="105"/>
      <c r="GX11" s="105"/>
      <c r="GY11" s="105"/>
      <c r="GZ11" s="105"/>
      <c r="HA11" s="105"/>
      <c r="HB11" s="105"/>
      <c r="HC11" s="105"/>
      <c r="HD11" s="105"/>
      <c r="HE11" s="105"/>
      <c r="HF11" s="105"/>
      <c r="HG11" s="105"/>
      <c r="HH11" s="105"/>
      <c r="HI11" s="105"/>
      <c r="HJ11" s="105"/>
      <c r="HK11" s="105"/>
      <c r="HL11" s="105"/>
      <c r="HM11" s="105"/>
      <c r="HN11" s="105"/>
      <c r="HO11" s="105"/>
      <c r="HP11" s="105"/>
      <c r="HQ11" s="105"/>
      <c r="HR11" s="105"/>
      <c r="HS11" s="105"/>
      <c r="HT11" s="105"/>
      <c r="HU11" s="105"/>
      <c r="HV11" s="105"/>
      <c r="HW11" s="105"/>
      <c r="HX11" s="105"/>
      <c r="HY11" s="105"/>
      <c r="HZ11" s="105"/>
      <c r="IA11" s="105"/>
      <c r="IB11" s="105"/>
      <c r="IC11" s="105"/>
      <c r="ID11" s="105"/>
      <c r="IE11" s="105"/>
      <c r="IF11" s="105"/>
      <c r="IG11" s="105"/>
      <c r="IH11" s="105"/>
      <c r="II11" s="105"/>
      <c r="IJ11" s="105"/>
      <c r="IK11" s="105"/>
      <c r="IL11" s="105"/>
      <c r="IM11" s="105"/>
      <c r="IN11" s="105"/>
      <c r="IO11" s="105"/>
      <c r="IP11" s="105"/>
      <c r="IQ11" s="105"/>
      <c r="IR11" s="105"/>
      <c r="IS11" s="105"/>
    </row>
    <row r="12" spans="1:253" ht="24.95" customHeight="1">
      <c r="A12" s="78">
        <v>1</v>
      </c>
      <c r="B12" s="87"/>
      <c r="C12" s="117"/>
      <c r="D12" s="151" t="str">
        <f>IF(B12&lt;&gt;"",IFERROR(INDEX(کاتالوگ_محصولات!$C$4:$C$303,MATCH(B12,کاتالوگ_محصولات!$A$4:$A$303,0)),""),IF(C12&lt;&gt;"",IFERROR(INDEX(کاتالوگ_محصولات!$C$4:$C$303,MATCH(C12,کاتالوگ_محصولات!$B$4:$B$303,0)),IFERROR(INDEX(کاتالوگ_محصولات!$C$4:$C$303,MATCH(C12,کاتالوگ_محصولات!$C$4:$C$303,0)),"")),""))</f>
        <v/>
      </c>
      <c r="E12" s="101">
        <v>0</v>
      </c>
      <c r="F12" s="80">
        <f>IF(B12&lt;&gt;"",IFERROR(INDEX(کاتالوگ_محصولات!$H$4:$H$303,MATCH(B12,کاتالوگ_محصولات!$A$4:$A$303,0)),0),IF(C12&lt;&gt;"",IFERROR(INDEX(کاتالوگ_محصولات!$H$4:$H$303,MATCH(C12,کاتالوگ_محصولات!$B$4:$B$303,0)),IFERROR(INDEX(کاتالوگ_محصولات!$H$4:$H$303,MATCH(C12,کاتالوگ_محصولات!$C$4:$C$303,0)),0)),0))</f>
        <v>0</v>
      </c>
      <c r="G12" s="85">
        <v>0</v>
      </c>
      <c r="H12" s="81">
        <f>MAX(0,E12*F12-G12)</f>
        <v>0</v>
      </c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  <c r="BO12" s="105"/>
      <c r="BP12" s="105"/>
      <c r="BQ12" s="105"/>
      <c r="BR12" s="105"/>
      <c r="BS12" s="105"/>
      <c r="BT12" s="105"/>
      <c r="BU12" s="105"/>
      <c r="BV12" s="105"/>
      <c r="BW12" s="105"/>
      <c r="BX12" s="105"/>
      <c r="BY12" s="105"/>
      <c r="BZ12" s="105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5"/>
      <c r="CL12" s="105"/>
      <c r="CM12" s="105"/>
      <c r="CN12" s="105"/>
      <c r="CO12" s="105"/>
      <c r="CP12" s="105"/>
      <c r="CQ12" s="105"/>
      <c r="CR12" s="105"/>
      <c r="CS12" s="105"/>
      <c r="CT12" s="105"/>
      <c r="CU12" s="105"/>
      <c r="CV12" s="105"/>
      <c r="CW12" s="105"/>
      <c r="CX12" s="105"/>
      <c r="CY12" s="105"/>
      <c r="CZ12" s="105"/>
      <c r="DA12" s="105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5"/>
      <c r="DO12" s="105"/>
      <c r="DP12" s="105"/>
      <c r="DQ12" s="105"/>
      <c r="DR12" s="105"/>
      <c r="DS12" s="105"/>
      <c r="DT12" s="105"/>
      <c r="DU12" s="105"/>
      <c r="DV12" s="105"/>
      <c r="DW12" s="105"/>
      <c r="DX12" s="105"/>
      <c r="DY12" s="105"/>
      <c r="DZ12" s="105"/>
      <c r="EA12" s="105"/>
      <c r="EB12" s="105"/>
      <c r="EC12" s="105"/>
      <c r="ED12" s="105"/>
      <c r="EE12" s="105"/>
      <c r="EF12" s="105"/>
      <c r="EG12" s="105"/>
      <c r="EH12" s="105"/>
      <c r="EI12" s="105"/>
      <c r="EJ12" s="105"/>
      <c r="EK12" s="105"/>
      <c r="EL12" s="105"/>
      <c r="EM12" s="105"/>
      <c r="EN12" s="105"/>
      <c r="EO12" s="105"/>
      <c r="EP12" s="105"/>
      <c r="EQ12" s="105"/>
      <c r="ER12" s="105"/>
      <c r="ES12" s="105"/>
      <c r="ET12" s="105"/>
      <c r="EU12" s="105"/>
      <c r="EV12" s="105"/>
      <c r="EW12" s="105"/>
      <c r="EX12" s="105"/>
      <c r="EY12" s="105"/>
      <c r="EZ12" s="105"/>
      <c r="FA12" s="105"/>
      <c r="FB12" s="105"/>
      <c r="FC12" s="105"/>
      <c r="FD12" s="105"/>
      <c r="FE12" s="105"/>
      <c r="FF12" s="105"/>
      <c r="FG12" s="105"/>
      <c r="FH12" s="105"/>
      <c r="FI12" s="105"/>
      <c r="FJ12" s="105"/>
      <c r="FK12" s="105"/>
      <c r="FL12" s="105"/>
      <c r="FM12" s="105"/>
      <c r="FN12" s="105"/>
      <c r="FO12" s="105"/>
      <c r="FP12" s="105"/>
      <c r="FQ12" s="105"/>
      <c r="FR12" s="105"/>
      <c r="FS12" s="105"/>
      <c r="FT12" s="105"/>
      <c r="FU12" s="105"/>
      <c r="FV12" s="105"/>
      <c r="FW12" s="105"/>
      <c r="FX12" s="105"/>
      <c r="FY12" s="105"/>
      <c r="FZ12" s="105"/>
      <c r="GA12" s="105"/>
      <c r="GB12" s="105"/>
      <c r="GC12" s="105"/>
      <c r="GD12" s="105"/>
      <c r="GE12" s="105"/>
      <c r="GF12" s="105"/>
      <c r="GG12" s="105"/>
      <c r="GH12" s="105"/>
      <c r="GI12" s="105"/>
      <c r="GJ12" s="105"/>
      <c r="GK12" s="105"/>
      <c r="GL12" s="105"/>
      <c r="GM12" s="105"/>
      <c r="GN12" s="105"/>
      <c r="GO12" s="105"/>
      <c r="GP12" s="105"/>
      <c r="GQ12" s="105"/>
      <c r="GR12" s="105"/>
      <c r="GS12" s="105"/>
      <c r="GT12" s="105"/>
      <c r="GU12" s="105"/>
      <c r="GV12" s="105"/>
      <c r="GW12" s="105"/>
      <c r="GX12" s="105"/>
      <c r="GY12" s="105"/>
      <c r="GZ12" s="105"/>
      <c r="HA12" s="105"/>
      <c r="HB12" s="105"/>
      <c r="HC12" s="105"/>
      <c r="HD12" s="105"/>
      <c r="HE12" s="105"/>
      <c r="HF12" s="105"/>
      <c r="HG12" s="105"/>
      <c r="HH12" s="105"/>
      <c r="HI12" s="105"/>
      <c r="HJ12" s="105"/>
      <c r="HK12" s="105"/>
      <c r="HL12" s="105"/>
      <c r="HM12" s="105"/>
      <c r="HN12" s="105"/>
      <c r="HO12" s="105"/>
      <c r="HP12" s="105"/>
      <c r="HQ12" s="105"/>
      <c r="HR12" s="105"/>
      <c r="HS12" s="105"/>
      <c r="HT12" s="105"/>
      <c r="HU12" s="105"/>
      <c r="HV12" s="105"/>
      <c r="HW12" s="105"/>
      <c r="HX12" s="105"/>
      <c r="HY12" s="105"/>
      <c r="HZ12" s="105"/>
      <c r="IA12" s="105"/>
      <c r="IB12" s="105"/>
      <c r="IC12" s="105"/>
      <c r="ID12" s="105"/>
      <c r="IE12" s="105"/>
      <c r="IF12" s="105"/>
      <c r="IG12" s="105"/>
      <c r="IH12" s="105"/>
      <c r="II12" s="105"/>
      <c r="IJ12" s="105"/>
      <c r="IK12" s="105"/>
      <c r="IL12" s="105"/>
      <c r="IM12" s="105"/>
      <c r="IN12" s="105"/>
      <c r="IO12" s="105"/>
      <c r="IP12" s="105"/>
      <c r="IQ12" s="105"/>
      <c r="IR12" s="105"/>
      <c r="IS12" s="105"/>
    </row>
    <row r="13" spans="1:253" ht="24.95" customHeight="1">
      <c r="A13" s="82">
        <v>2</v>
      </c>
      <c r="B13" s="102"/>
      <c r="C13" s="117"/>
      <c r="D13" s="92" t="str">
        <f>IF(B13&lt;&gt;"",IFERROR(INDEX(کاتالوگ_محصولات!$C$4:$C$303,MATCH(B13,کاتالوگ_محصولات!$A$4:$A$303,0)),""),IF(C13&lt;&gt;"",IFERROR(INDEX(کاتالوگ_محصولات!$C$4:$C$303,MATCH(C13,کاتالوگ_محصولات!$B$4:$B$303,0)),IFERROR(INDEX(کاتالوگ_محصولات!$C$4:$C$303,MATCH(C13,کاتالوگ_محصولات!$C$4:$C$303,0)),"")),""))</f>
        <v/>
      </c>
      <c r="E13" s="101">
        <v>0</v>
      </c>
      <c r="F13" s="80">
        <f>IF(B13&lt;&gt;"",IFERROR(INDEX(کاتالوگ_محصولات!$H$4:$H$303,MATCH(B13,کاتالوگ_محصولات!$A$4:$A$303,0)),0),IF(C13&lt;&gt;"",IFERROR(INDEX(کاتالوگ_محصولات!$H$4:$H$303,MATCH(C13,کاتالوگ_محصولات!$B$4:$B$303,0)),IFERROR(INDEX(کاتالوگ_محصولات!$H$4:$H$303,MATCH(C13,کاتالوگ_محصولات!$C$4:$C$303,0)),0)),0))</f>
        <v>0</v>
      </c>
      <c r="G13" s="85">
        <v>0</v>
      </c>
      <c r="H13" s="81">
        <f t="shared" ref="H13:H21" si="0">MAX(0,E13*F13-G13)</f>
        <v>0</v>
      </c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  <c r="BO13" s="105"/>
      <c r="BP13" s="105"/>
      <c r="BQ13" s="105"/>
      <c r="BR13" s="105"/>
      <c r="BS13" s="105"/>
      <c r="BT13" s="105"/>
      <c r="BU13" s="105"/>
      <c r="BV13" s="105"/>
      <c r="BW13" s="105"/>
      <c r="BX13" s="105"/>
      <c r="BY13" s="105"/>
      <c r="BZ13" s="105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5"/>
      <c r="CL13" s="105"/>
      <c r="CM13" s="105"/>
      <c r="CN13" s="105"/>
      <c r="CO13" s="105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5"/>
      <c r="DA13" s="105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5"/>
      <c r="DO13" s="105"/>
      <c r="DP13" s="105"/>
      <c r="DQ13" s="105"/>
      <c r="DR13" s="105"/>
      <c r="DS13" s="105"/>
      <c r="DT13" s="105"/>
      <c r="DU13" s="105"/>
      <c r="DV13" s="105"/>
      <c r="DW13" s="105"/>
      <c r="DX13" s="105"/>
      <c r="DY13" s="105"/>
      <c r="DZ13" s="105"/>
      <c r="EA13" s="105"/>
      <c r="EB13" s="105"/>
      <c r="EC13" s="105"/>
      <c r="ED13" s="105"/>
      <c r="EE13" s="105"/>
      <c r="EF13" s="105"/>
      <c r="EG13" s="105"/>
      <c r="EH13" s="105"/>
      <c r="EI13" s="105"/>
      <c r="EJ13" s="105"/>
      <c r="EK13" s="105"/>
      <c r="EL13" s="105"/>
      <c r="EM13" s="105"/>
      <c r="EN13" s="105"/>
      <c r="EO13" s="105"/>
      <c r="EP13" s="105"/>
      <c r="EQ13" s="105"/>
      <c r="ER13" s="105"/>
      <c r="ES13" s="105"/>
      <c r="ET13" s="105"/>
      <c r="EU13" s="105"/>
      <c r="EV13" s="105"/>
      <c r="EW13" s="105"/>
      <c r="EX13" s="105"/>
      <c r="EY13" s="105"/>
      <c r="EZ13" s="105"/>
      <c r="FA13" s="105"/>
      <c r="FB13" s="105"/>
      <c r="FC13" s="105"/>
      <c r="FD13" s="105"/>
      <c r="FE13" s="105"/>
      <c r="FF13" s="105"/>
      <c r="FG13" s="105"/>
      <c r="FH13" s="105"/>
      <c r="FI13" s="105"/>
      <c r="FJ13" s="105"/>
      <c r="FK13" s="105"/>
      <c r="FL13" s="105"/>
      <c r="FM13" s="105"/>
      <c r="FN13" s="105"/>
      <c r="FO13" s="105"/>
      <c r="FP13" s="105"/>
      <c r="FQ13" s="105"/>
      <c r="FR13" s="105"/>
      <c r="FS13" s="105"/>
      <c r="FT13" s="105"/>
      <c r="FU13" s="105"/>
      <c r="FV13" s="105"/>
      <c r="FW13" s="105"/>
      <c r="FX13" s="105"/>
      <c r="FY13" s="105"/>
      <c r="FZ13" s="105"/>
      <c r="GA13" s="105"/>
      <c r="GB13" s="105"/>
      <c r="GC13" s="105"/>
      <c r="GD13" s="105"/>
      <c r="GE13" s="105"/>
      <c r="GF13" s="105"/>
      <c r="GG13" s="105"/>
      <c r="GH13" s="105"/>
      <c r="GI13" s="105"/>
      <c r="GJ13" s="105"/>
      <c r="GK13" s="105"/>
      <c r="GL13" s="105"/>
      <c r="GM13" s="105"/>
      <c r="GN13" s="105"/>
      <c r="GO13" s="105"/>
      <c r="GP13" s="105"/>
      <c r="GQ13" s="105"/>
      <c r="GR13" s="105"/>
      <c r="GS13" s="105"/>
      <c r="GT13" s="105"/>
      <c r="GU13" s="105"/>
      <c r="GV13" s="105"/>
      <c r="GW13" s="105"/>
      <c r="GX13" s="105"/>
      <c r="GY13" s="105"/>
      <c r="GZ13" s="105"/>
      <c r="HA13" s="105"/>
      <c r="HB13" s="105"/>
      <c r="HC13" s="105"/>
      <c r="HD13" s="105"/>
      <c r="HE13" s="105"/>
      <c r="HF13" s="105"/>
      <c r="HG13" s="105"/>
      <c r="HH13" s="105"/>
      <c r="HI13" s="105"/>
      <c r="HJ13" s="105"/>
      <c r="HK13" s="105"/>
      <c r="HL13" s="105"/>
      <c r="HM13" s="105"/>
      <c r="HN13" s="105"/>
      <c r="HO13" s="105"/>
      <c r="HP13" s="105"/>
      <c r="HQ13" s="105"/>
      <c r="HR13" s="105"/>
      <c r="HS13" s="105"/>
      <c r="HT13" s="105"/>
      <c r="HU13" s="105"/>
      <c r="HV13" s="105"/>
      <c r="HW13" s="105"/>
      <c r="HX13" s="105"/>
      <c r="HY13" s="105"/>
      <c r="HZ13" s="105"/>
      <c r="IA13" s="105"/>
      <c r="IB13" s="105"/>
      <c r="IC13" s="105"/>
      <c r="ID13" s="105"/>
      <c r="IE13" s="105"/>
      <c r="IF13" s="105"/>
      <c r="IG13" s="105"/>
      <c r="IH13" s="105"/>
      <c r="II13" s="105"/>
      <c r="IJ13" s="105"/>
      <c r="IK13" s="105"/>
      <c r="IL13" s="105"/>
      <c r="IM13" s="105"/>
      <c r="IN13" s="105"/>
      <c r="IO13" s="105"/>
      <c r="IP13" s="105"/>
      <c r="IQ13" s="105"/>
      <c r="IR13" s="105"/>
      <c r="IS13" s="105"/>
    </row>
    <row r="14" spans="1:253" ht="24.95" customHeight="1">
      <c r="A14" s="82">
        <v>3</v>
      </c>
      <c r="B14" s="102"/>
      <c r="C14" s="117"/>
      <c r="D14" s="120" t="str">
        <f>IF(B14&lt;&gt;"",IFERROR(INDEX(کاتالوگ_محصولات!$C$4:$C$303,MATCH(B14,کاتالوگ_محصولات!$A$4:$A$303,0)),""),IF(C14&lt;&gt;"",IFERROR(INDEX(کاتالوگ_محصولات!$C$4:$C$303,MATCH(C14,کاتالوگ_محصولات!$B$4:$B$303,0)),IFERROR(INDEX(کاتالوگ_محصولات!$C$4:$C$303,MATCH(C14,کاتالوگ_محصولات!$C$4:$C$303,0)),"")),""))</f>
        <v/>
      </c>
      <c r="E14" s="101">
        <v>0</v>
      </c>
      <c r="F14" s="80">
        <f>IF(B14&lt;&gt;"",IFERROR(INDEX(کاتالوگ_محصولات!$H$4:$H$303,MATCH(B14,کاتالوگ_محصولات!$A$4:$A$303,0)),0),IF(C14&lt;&gt;"",IFERROR(INDEX(کاتالوگ_محصولات!$H$4:$H$303,MATCH(C14,کاتالوگ_محصولات!$B$4:$B$303,0)),IFERROR(INDEX(کاتالوگ_محصولات!$H$4:$H$303,MATCH(C14,کاتالوگ_محصولات!$C$4:$C$303,0)),0)),0))</f>
        <v>0</v>
      </c>
      <c r="G14" s="85">
        <v>0</v>
      </c>
      <c r="H14" s="81">
        <f t="shared" si="0"/>
        <v>0</v>
      </c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  <c r="BZ14" s="105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5"/>
      <c r="CL14" s="105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5"/>
      <c r="DO14" s="105"/>
      <c r="DP14" s="105"/>
      <c r="DQ14" s="105"/>
      <c r="DR14" s="105"/>
      <c r="DS14" s="105"/>
      <c r="DT14" s="105"/>
      <c r="DU14" s="105"/>
      <c r="DV14" s="105"/>
      <c r="DW14" s="105"/>
      <c r="DX14" s="105"/>
      <c r="DY14" s="105"/>
      <c r="DZ14" s="105"/>
      <c r="EA14" s="105"/>
      <c r="EB14" s="105"/>
      <c r="EC14" s="105"/>
      <c r="ED14" s="105"/>
      <c r="EE14" s="105"/>
      <c r="EF14" s="105"/>
      <c r="EG14" s="105"/>
      <c r="EH14" s="105"/>
      <c r="EI14" s="105"/>
      <c r="EJ14" s="105"/>
      <c r="EK14" s="105"/>
      <c r="EL14" s="105"/>
      <c r="EM14" s="105"/>
      <c r="EN14" s="105"/>
      <c r="EO14" s="105"/>
      <c r="EP14" s="105"/>
      <c r="EQ14" s="105"/>
      <c r="ER14" s="105"/>
      <c r="ES14" s="105"/>
      <c r="ET14" s="105"/>
      <c r="EU14" s="105"/>
      <c r="EV14" s="105"/>
      <c r="EW14" s="105"/>
      <c r="EX14" s="105"/>
      <c r="EY14" s="105"/>
      <c r="EZ14" s="105"/>
      <c r="FA14" s="105"/>
      <c r="FB14" s="105"/>
      <c r="FC14" s="105"/>
      <c r="FD14" s="105"/>
      <c r="FE14" s="105"/>
      <c r="FF14" s="105"/>
      <c r="FG14" s="105"/>
      <c r="FH14" s="105"/>
      <c r="FI14" s="105"/>
      <c r="FJ14" s="105"/>
      <c r="FK14" s="105"/>
      <c r="FL14" s="105"/>
      <c r="FM14" s="105"/>
      <c r="FN14" s="105"/>
      <c r="FO14" s="105"/>
      <c r="FP14" s="105"/>
      <c r="FQ14" s="105"/>
      <c r="FR14" s="105"/>
      <c r="FS14" s="105"/>
      <c r="FT14" s="105"/>
      <c r="FU14" s="105"/>
      <c r="FV14" s="105"/>
      <c r="FW14" s="105"/>
      <c r="FX14" s="105"/>
      <c r="FY14" s="105"/>
      <c r="FZ14" s="105"/>
      <c r="GA14" s="105"/>
      <c r="GB14" s="105"/>
      <c r="GC14" s="105"/>
      <c r="GD14" s="105"/>
      <c r="GE14" s="105"/>
      <c r="GF14" s="105"/>
      <c r="GG14" s="105"/>
      <c r="GH14" s="105"/>
      <c r="GI14" s="105"/>
      <c r="GJ14" s="105"/>
      <c r="GK14" s="105"/>
      <c r="GL14" s="105"/>
      <c r="GM14" s="105"/>
      <c r="GN14" s="105"/>
      <c r="GO14" s="105"/>
      <c r="GP14" s="105"/>
      <c r="GQ14" s="105"/>
      <c r="GR14" s="105"/>
      <c r="GS14" s="105"/>
      <c r="GT14" s="105"/>
      <c r="GU14" s="105"/>
      <c r="GV14" s="105"/>
      <c r="GW14" s="105"/>
      <c r="GX14" s="105"/>
      <c r="GY14" s="105"/>
      <c r="GZ14" s="105"/>
      <c r="HA14" s="105"/>
      <c r="HB14" s="105"/>
      <c r="HC14" s="105"/>
      <c r="HD14" s="105"/>
      <c r="HE14" s="105"/>
      <c r="HF14" s="105"/>
      <c r="HG14" s="105"/>
      <c r="HH14" s="105"/>
      <c r="HI14" s="105"/>
      <c r="HJ14" s="105"/>
      <c r="HK14" s="105"/>
      <c r="HL14" s="105"/>
      <c r="HM14" s="105"/>
      <c r="HN14" s="105"/>
      <c r="HO14" s="105"/>
      <c r="HP14" s="105"/>
      <c r="HQ14" s="105"/>
      <c r="HR14" s="105"/>
      <c r="HS14" s="105"/>
      <c r="HT14" s="105"/>
      <c r="HU14" s="105"/>
      <c r="HV14" s="105"/>
      <c r="HW14" s="105"/>
      <c r="HX14" s="105"/>
      <c r="HY14" s="105"/>
      <c r="HZ14" s="105"/>
      <c r="IA14" s="105"/>
      <c r="IB14" s="105"/>
      <c r="IC14" s="105"/>
      <c r="ID14" s="105"/>
      <c r="IE14" s="105"/>
      <c r="IF14" s="105"/>
      <c r="IG14" s="105"/>
      <c r="IH14" s="105"/>
      <c r="II14" s="105"/>
      <c r="IJ14" s="105"/>
      <c r="IK14" s="105"/>
      <c r="IL14" s="105"/>
      <c r="IM14" s="105"/>
      <c r="IN14" s="105"/>
      <c r="IO14" s="105"/>
      <c r="IP14" s="105"/>
      <c r="IQ14" s="105"/>
      <c r="IR14" s="105"/>
      <c r="IS14" s="105"/>
    </row>
    <row r="15" spans="1:253" ht="24.95" customHeight="1">
      <c r="A15" s="82">
        <v>4</v>
      </c>
      <c r="B15" s="87"/>
      <c r="C15" s="117"/>
      <c r="D15" s="120" t="str">
        <f>IF(B15&lt;&gt;"",IFERROR(INDEX(کاتالوگ_محصولات!$C$4:$C$303,MATCH(B15,کاتالوگ_محصولات!$A$4:$A$303,0)),""),IF(C15&lt;&gt;"",IFERROR(INDEX(کاتالوگ_محصولات!$C$4:$C$303,MATCH(C15,کاتالوگ_محصولات!$B$4:$B$303,0)),IFERROR(INDEX(کاتالوگ_محصولات!$C$4:$C$303,MATCH(C15,کاتالوگ_محصولات!$C$4:$C$303,0)),"")),""))</f>
        <v/>
      </c>
      <c r="E15" s="101">
        <v>0</v>
      </c>
      <c r="F15" s="80">
        <f>IF(B15&lt;&gt;"",IFERROR(INDEX(کاتالوگ_محصولات!$H$4:$H$303,MATCH(B15,کاتالوگ_محصولات!$A$4:$A$303,0)),0),IF(C15&lt;&gt;"",IFERROR(INDEX(کاتالوگ_محصولات!$H$4:$H$303,MATCH(C15,کاتالوگ_محصولات!$B$4:$B$303,0)),IFERROR(INDEX(کاتالوگ_محصولات!$H$4:$H$303,MATCH(C15,کاتالوگ_محصولات!$C$4:$C$303,0)),0)),0))</f>
        <v>0</v>
      </c>
      <c r="G15" s="85">
        <v>0</v>
      </c>
      <c r="H15" s="81">
        <f t="shared" si="0"/>
        <v>0</v>
      </c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5"/>
      <c r="CL15" s="105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5"/>
      <c r="DO15" s="105"/>
      <c r="DP15" s="105"/>
      <c r="DQ15" s="105"/>
      <c r="DR15" s="105"/>
      <c r="DS15" s="105"/>
      <c r="DT15" s="105"/>
      <c r="DU15" s="105"/>
      <c r="DV15" s="105"/>
      <c r="DW15" s="105"/>
      <c r="DX15" s="105"/>
      <c r="DY15" s="105"/>
      <c r="DZ15" s="105"/>
      <c r="EA15" s="105"/>
      <c r="EB15" s="105"/>
      <c r="EC15" s="105"/>
      <c r="ED15" s="105"/>
      <c r="EE15" s="105"/>
      <c r="EF15" s="105"/>
      <c r="EG15" s="105"/>
      <c r="EH15" s="105"/>
      <c r="EI15" s="105"/>
      <c r="EJ15" s="105"/>
      <c r="EK15" s="105"/>
      <c r="EL15" s="105"/>
      <c r="EM15" s="105"/>
      <c r="EN15" s="105"/>
      <c r="EO15" s="105"/>
      <c r="EP15" s="105"/>
      <c r="EQ15" s="105"/>
      <c r="ER15" s="105"/>
      <c r="ES15" s="105"/>
      <c r="ET15" s="105"/>
      <c r="EU15" s="105"/>
      <c r="EV15" s="105"/>
      <c r="EW15" s="105"/>
      <c r="EX15" s="105"/>
      <c r="EY15" s="105"/>
      <c r="EZ15" s="105"/>
      <c r="FA15" s="105"/>
      <c r="FB15" s="105"/>
      <c r="FC15" s="105"/>
      <c r="FD15" s="105"/>
      <c r="FE15" s="105"/>
      <c r="FF15" s="105"/>
      <c r="FG15" s="105"/>
      <c r="FH15" s="105"/>
      <c r="FI15" s="105"/>
      <c r="FJ15" s="105"/>
      <c r="FK15" s="105"/>
      <c r="FL15" s="105"/>
      <c r="FM15" s="105"/>
      <c r="FN15" s="105"/>
      <c r="FO15" s="105"/>
      <c r="FP15" s="105"/>
      <c r="FQ15" s="105"/>
      <c r="FR15" s="105"/>
      <c r="FS15" s="105"/>
      <c r="FT15" s="105"/>
      <c r="FU15" s="105"/>
      <c r="FV15" s="105"/>
      <c r="FW15" s="105"/>
      <c r="FX15" s="105"/>
      <c r="FY15" s="105"/>
      <c r="FZ15" s="105"/>
      <c r="GA15" s="105"/>
      <c r="GB15" s="105"/>
      <c r="GC15" s="105"/>
      <c r="GD15" s="105"/>
      <c r="GE15" s="105"/>
      <c r="GF15" s="105"/>
      <c r="GG15" s="105"/>
      <c r="GH15" s="105"/>
      <c r="GI15" s="105"/>
      <c r="GJ15" s="105"/>
      <c r="GK15" s="105"/>
      <c r="GL15" s="105"/>
      <c r="GM15" s="105"/>
      <c r="GN15" s="105"/>
      <c r="GO15" s="105"/>
      <c r="GP15" s="105"/>
      <c r="GQ15" s="105"/>
      <c r="GR15" s="105"/>
      <c r="GS15" s="105"/>
      <c r="GT15" s="105"/>
      <c r="GU15" s="105"/>
      <c r="GV15" s="105"/>
      <c r="GW15" s="105"/>
      <c r="GX15" s="105"/>
      <c r="GY15" s="105"/>
      <c r="GZ15" s="105"/>
      <c r="HA15" s="105"/>
      <c r="HB15" s="105"/>
      <c r="HC15" s="105"/>
      <c r="HD15" s="105"/>
      <c r="HE15" s="105"/>
      <c r="HF15" s="105"/>
      <c r="HG15" s="105"/>
      <c r="HH15" s="105"/>
      <c r="HI15" s="105"/>
      <c r="HJ15" s="105"/>
      <c r="HK15" s="105"/>
      <c r="HL15" s="105"/>
      <c r="HM15" s="105"/>
      <c r="HN15" s="105"/>
      <c r="HO15" s="105"/>
      <c r="HP15" s="105"/>
      <c r="HQ15" s="105"/>
      <c r="HR15" s="105"/>
      <c r="HS15" s="105"/>
      <c r="HT15" s="105"/>
      <c r="HU15" s="105"/>
      <c r="HV15" s="105"/>
      <c r="HW15" s="105"/>
      <c r="HX15" s="105"/>
      <c r="HY15" s="105"/>
      <c r="HZ15" s="105"/>
      <c r="IA15" s="105"/>
      <c r="IB15" s="105"/>
      <c r="IC15" s="105"/>
      <c r="ID15" s="105"/>
      <c r="IE15" s="105"/>
      <c r="IF15" s="105"/>
      <c r="IG15" s="105"/>
      <c r="IH15" s="105"/>
      <c r="II15" s="105"/>
      <c r="IJ15" s="105"/>
      <c r="IK15" s="105"/>
      <c r="IL15" s="105"/>
      <c r="IM15" s="105"/>
      <c r="IN15" s="105"/>
      <c r="IO15" s="105"/>
      <c r="IP15" s="105"/>
      <c r="IQ15" s="105"/>
      <c r="IR15" s="105"/>
      <c r="IS15" s="105"/>
    </row>
    <row r="16" spans="1:253" ht="24.95" customHeight="1">
      <c r="A16" s="82">
        <v>5</v>
      </c>
      <c r="B16" s="87"/>
      <c r="C16" s="117"/>
      <c r="D16" s="83" t="str">
        <f>IF(B16&lt;&gt;"",IFERROR(INDEX(کاتالوگ_محصولات!$C$4:$C$303,MATCH(B16,کاتالوگ_محصولات!$A$4:$A$303,0)),""),IF(C16&lt;&gt;"",IFERROR(INDEX(کاتالوگ_محصولات!$C$4:$C$303,MATCH(C16,کاتالوگ_محصولات!$B$4:$B$303,0)),IFERROR(INDEX(کاتالوگ_محصولات!$C$4:$C$303,MATCH(C16,کاتالوگ_محصولات!$C$4:$C$303,0)),"")),""))</f>
        <v/>
      </c>
      <c r="E16" s="101">
        <v>0</v>
      </c>
      <c r="F16" s="80">
        <f>IF(B16&lt;&gt;"",IFERROR(INDEX(کاتالوگ_محصولات!$H$4:$H$303,MATCH(B16,کاتالوگ_محصولات!$A$4:$A$303,0)),0),IF(C16&lt;&gt;"",IFERROR(INDEX(کاتالوگ_محصولات!$H$4:$H$303,MATCH(C16,کاتالوگ_محصولات!$B$4:$B$303,0)),IFERROR(INDEX(کاتالوگ_محصولات!$H$4:$H$303,MATCH(C16,کاتالوگ_محصولات!$C$4:$C$303,0)),0)),0))</f>
        <v>0</v>
      </c>
      <c r="G16" s="85">
        <v>0</v>
      </c>
      <c r="H16" s="81">
        <f t="shared" si="0"/>
        <v>0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5"/>
      <c r="DT16" s="105"/>
      <c r="DU16" s="105"/>
      <c r="DV16" s="105"/>
      <c r="DW16" s="105"/>
      <c r="DX16" s="105"/>
      <c r="DY16" s="105"/>
      <c r="DZ16" s="105"/>
      <c r="EA16" s="105"/>
      <c r="EB16" s="105"/>
      <c r="EC16" s="105"/>
      <c r="ED16" s="105"/>
      <c r="EE16" s="105"/>
      <c r="EF16" s="105"/>
      <c r="EG16" s="105"/>
      <c r="EH16" s="105"/>
      <c r="EI16" s="105"/>
      <c r="EJ16" s="105"/>
      <c r="EK16" s="105"/>
      <c r="EL16" s="105"/>
      <c r="EM16" s="105"/>
      <c r="EN16" s="105"/>
      <c r="EO16" s="105"/>
      <c r="EP16" s="105"/>
      <c r="EQ16" s="105"/>
      <c r="ER16" s="105"/>
      <c r="ES16" s="105"/>
      <c r="ET16" s="105"/>
      <c r="EU16" s="105"/>
      <c r="EV16" s="105"/>
      <c r="EW16" s="105"/>
      <c r="EX16" s="105"/>
      <c r="EY16" s="105"/>
      <c r="EZ16" s="105"/>
      <c r="FA16" s="105"/>
      <c r="FB16" s="105"/>
      <c r="FC16" s="105"/>
      <c r="FD16" s="105"/>
      <c r="FE16" s="105"/>
      <c r="FF16" s="105"/>
      <c r="FG16" s="105"/>
      <c r="FH16" s="105"/>
      <c r="FI16" s="105"/>
      <c r="FJ16" s="105"/>
      <c r="FK16" s="105"/>
      <c r="FL16" s="105"/>
      <c r="FM16" s="105"/>
      <c r="FN16" s="105"/>
      <c r="FO16" s="105"/>
      <c r="FP16" s="105"/>
      <c r="FQ16" s="105"/>
      <c r="FR16" s="105"/>
      <c r="FS16" s="105"/>
      <c r="FT16" s="105"/>
      <c r="FU16" s="105"/>
      <c r="FV16" s="105"/>
      <c r="FW16" s="105"/>
      <c r="FX16" s="105"/>
      <c r="FY16" s="105"/>
      <c r="FZ16" s="105"/>
      <c r="GA16" s="105"/>
      <c r="GB16" s="105"/>
      <c r="GC16" s="105"/>
      <c r="GD16" s="105"/>
      <c r="GE16" s="105"/>
      <c r="GF16" s="105"/>
      <c r="GG16" s="105"/>
      <c r="GH16" s="105"/>
      <c r="GI16" s="105"/>
      <c r="GJ16" s="105"/>
      <c r="GK16" s="105"/>
      <c r="GL16" s="105"/>
      <c r="GM16" s="105"/>
      <c r="GN16" s="105"/>
      <c r="GO16" s="105"/>
      <c r="GP16" s="105"/>
      <c r="GQ16" s="105"/>
      <c r="GR16" s="105"/>
      <c r="GS16" s="105"/>
      <c r="GT16" s="105"/>
      <c r="GU16" s="105"/>
      <c r="GV16" s="105"/>
      <c r="GW16" s="105"/>
      <c r="GX16" s="105"/>
      <c r="GY16" s="105"/>
      <c r="GZ16" s="105"/>
      <c r="HA16" s="105"/>
      <c r="HB16" s="105"/>
      <c r="HC16" s="105"/>
      <c r="HD16" s="105"/>
      <c r="HE16" s="105"/>
      <c r="HF16" s="105"/>
      <c r="HG16" s="105"/>
      <c r="HH16" s="105"/>
      <c r="HI16" s="105"/>
      <c r="HJ16" s="105"/>
      <c r="HK16" s="105"/>
      <c r="HL16" s="105"/>
      <c r="HM16" s="105"/>
      <c r="HN16" s="105"/>
      <c r="HO16" s="105"/>
      <c r="HP16" s="105"/>
      <c r="HQ16" s="105"/>
      <c r="HR16" s="105"/>
      <c r="HS16" s="105"/>
      <c r="HT16" s="105"/>
      <c r="HU16" s="105"/>
      <c r="HV16" s="105"/>
      <c r="HW16" s="105"/>
      <c r="HX16" s="105"/>
      <c r="HY16" s="105"/>
      <c r="HZ16" s="105"/>
      <c r="IA16" s="105"/>
      <c r="IB16" s="105"/>
      <c r="IC16" s="105"/>
      <c r="ID16" s="105"/>
      <c r="IE16" s="105"/>
      <c r="IF16" s="105"/>
      <c r="IG16" s="105"/>
      <c r="IH16" s="105"/>
      <c r="II16" s="105"/>
      <c r="IJ16" s="105"/>
      <c r="IK16" s="105"/>
      <c r="IL16" s="105"/>
      <c r="IM16" s="105"/>
      <c r="IN16" s="105"/>
      <c r="IO16" s="105"/>
      <c r="IP16" s="105"/>
      <c r="IQ16" s="105"/>
      <c r="IR16" s="105"/>
      <c r="IS16" s="105"/>
    </row>
    <row r="17" spans="1:253" ht="24.95" customHeight="1">
      <c r="A17" s="82">
        <v>6</v>
      </c>
      <c r="B17" s="87"/>
      <c r="C17" s="117"/>
      <c r="D17" s="83" t="str">
        <f>IF(B17&lt;&gt;"",IFERROR(INDEX(کاتالوگ_محصولات!$C$4:$C$303,MATCH(B17,کاتالوگ_محصولات!$A$4:$A$303,0)),""),IF(C17&lt;&gt;"",IFERROR(INDEX(کاتالوگ_محصولات!$C$4:$C$303,MATCH(C17,کاتالوگ_محصولات!$B$4:$B$303,0)),IFERROR(INDEX(کاتالوگ_محصولات!$C$4:$C$303,MATCH(C17,کاتالوگ_محصولات!$C$4:$C$303,0)),"")),""))</f>
        <v/>
      </c>
      <c r="E17" s="101">
        <v>0</v>
      </c>
      <c r="F17" s="80">
        <f>IF(B17&lt;&gt;"",IFERROR(INDEX(کاتالوگ_محصولات!$H$4:$H$303,MATCH(B17,کاتالوگ_محصولات!$A$4:$A$303,0)),0),IF(C17&lt;&gt;"",IFERROR(INDEX(کاتالوگ_محصولات!$H$4:$H$303,MATCH(C17,کاتالوگ_محصولات!$B$4:$B$303,0)),IFERROR(INDEX(کاتالوگ_محصولات!$H$4:$H$303,MATCH(C17,کاتالوگ_محصولات!$C$4:$C$303,0)),0)),0))</f>
        <v>0</v>
      </c>
      <c r="G17" s="85">
        <v>0</v>
      </c>
      <c r="H17" s="81">
        <f t="shared" si="0"/>
        <v>0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5"/>
      <c r="CL17" s="105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5"/>
      <c r="DV17" s="105"/>
      <c r="DW17" s="105"/>
      <c r="DX17" s="105"/>
      <c r="DY17" s="105"/>
      <c r="DZ17" s="105"/>
      <c r="EA17" s="105"/>
      <c r="EB17" s="105"/>
      <c r="EC17" s="105"/>
      <c r="ED17" s="105"/>
      <c r="EE17" s="105"/>
      <c r="EF17" s="105"/>
      <c r="EG17" s="105"/>
      <c r="EH17" s="105"/>
      <c r="EI17" s="105"/>
      <c r="EJ17" s="105"/>
      <c r="EK17" s="105"/>
      <c r="EL17" s="105"/>
      <c r="EM17" s="105"/>
      <c r="EN17" s="105"/>
      <c r="EO17" s="105"/>
      <c r="EP17" s="105"/>
      <c r="EQ17" s="105"/>
      <c r="ER17" s="105"/>
      <c r="ES17" s="105"/>
      <c r="ET17" s="105"/>
      <c r="EU17" s="105"/>
      <c r="EV17" s="105"/>
      <c r="EW17" s="105"/>
      <c r="EX17" s="105"/>
      <c r="EY17" s="105"/>
      <c r="EZ17" s="105"/>
      <c r="FA17" s="105"/>
      <c r="FB17" s="105"/>
      <c r="FC17" s="105"/>
      <c r="FD17" s="105"/>
      <c r="FE17" s="105"/>
      <c r="FF17" s="105"/>
      <c r="FG17" s="105"/>
      <c r="FH17" s="105"/>
      <c r="FI17" s="105"/>
      <c r="FJ17" s="105"/>
      <c r="FK17" s="105"/>
      <c r="FL17" s="105"/>
      <c r="FM17" s="105"/>
      <c r="FN17" s="105"/>
      <c r="FO17" s="105"/>
      <c r="FP17" s="105"/>
      <c r="FQ17" s="105"/>
      <c r="FR17" s="105"/>
      <c r="FS17" s="105"/>
      <c r="FT17" s="105"/>
      <c r="FU17" s="105"/>
      <c r="FV17" s="105"/>
      <c r="FW17" s="105"/>
      <c r="FX17" s="105"/>
      <c r="FY17" s="105"/>
      <c r="FZ17" s="105"/>
      <c r="GA17" s="105"/>
      <c r="GB17" s="105"/>
      <c r="GC17" s="105"/>
      <c r="GD17" s="105"/>
      <c r="GE17" s="105"/>
      <c r="GF17" s="105"/>
      <c r="GG17" s="105"/>
      <c r="GH17" s="105"/>
      <c r="GI17" s="105"/>
      <c r="GJ17" s="105"/>
      <c r="GK17" s="105"/>
      <c r="GL17" s="105"/>
      <c r="GM17" s="105"/>
      <c r="GN17" s="105"/>
      <c r="GO17" s="105"/>
      <c r="GP17" s="105"/>
      <c r="GQ17" s="105"/>
      <c r="GR17" s="105"/>
      <c r="GS17" s="105"/>
      <c r="GT17" s="105"/>
      <c r="GU17" s="105"/>
      <c r="GV17" s="105"/>
      <c r="GW17" s="105"/>
      <c r="GX17" s="105"/>
      <c r="GY17" s="105"/>
      <c r="GZ17" s="105"/>
      <c r="HA17" s="105"/>
      <c r="HB17" s="105"/>
      <c r="HC17" s="105"/>
      <c r="HD17" s="105"/>
      <c r="HE17" s="105"/>
      <c r="HF17" s="105"/>
      <c r="HG17" s="105"/>
      <c r="HH17" s="105"/>
      <c r="HI17" s="105"/>
      <c r="HJ17" s="105"/>
      <c r="HK17" s="105"/>
      <c r="HL17" s="105"/>
      <c r="HM17" s="105"/>
      <c r="HN17" s="105"/>
      <c r="HO17" s="105"/>
      <c r="HP17" s="105"/>
      <c r="HQ17" s="105"/>
      <c r="HR17" s="105"/>
      <c r="HS17" s="105"/>
      <c r="HT17" s="105"/>
      <c r="HU17" s="105"/>
      <c r="HV17" s="105"/>
      <c r="HW17" s="105"/>
      <c r="HX17" s="105"/>
      <c r="HY17" s="105"/>
      <c r="HZ17" s="105"/>
      <c r="IA17" s="105"/>
      <c r="IB17" s="105"/>
      <c r="IC17" s="105"/>
      <c r="ID17" s="105"/>
      <c r="IE17" s="105"/>
      <c r="IF17" s="105"/>
      <c r="IG17" s="105"/>
      <c r="IH17" s="105"/>
      <c r="II17" s="105"/>
      <c r="IJ17" s="105"/>
      <c r="IK17" s="105"/>
      <c r="IL17" s="105"/>
      <c r="IM17" s="105"/>
      <c r="IN17" s="105"/>
      <c r="IO17" s="105"/>
      <c r="IP17" s="105"/>
      <c r="IQ17" s="105"/>
      <c r="IR17" s="105"/>
      <c r="IS17" s="105"/>
    </row>
    <row r="18" spans="1:253" ht="24.95" customHeight="1">
      <c r="A18" s="82">
        <v>7</v>
      </c>
      <c r="B18" s="79"/>
      <c r="C18" s="84"/>
      <c r="D18" s="83" t="str">
        <f>IF(B18&lt;&gt;"",IFERROR(INDEX(کاتالوگ_محصولات!$C$4:$C$303,MATCH(B18,کاتالوگ_محصولات!$A$4:$A$303,0)),""),IF(C18&lt;&gt;"",IFERROR(INDEX(کاتالوگ_محصولات!$C$4:$C$303,MATCH(C18,کاتالوگ_محصولات!$B$4:$B$303,0)),IFERROR(INDEX(کاتالوگ_محصولات!$C$4:$C$303,MATCH(C18,کاتالوگ_محصولات!$C$4:$C$303,0)),"")),""))</f>
        <v/>
      </c>
      <c r="E18" s="101">
        <v>0</v>
      </c>
      <c r="F18" s="80">
        <f>IF(B18&lt;&gt;"",IFERROR(INDEX(کاتالوگ_محصولات!$H$4:$H$303,MATCH(B18,کاتالوگ_محصولات!$A$4:$A$303,0)),0),IF(C18&lt;&gt;"",IFERROR(INDEX(کاتالوگ_محصولات!$H$4:$H$303,MATCH(C18,کاتالوگ_محصولات!$B$4:$B$303,0)),IFERROR(INDEX(کاتالوگ_محصولات!$H$4:$H$303,MATCH(C18,کاتالوگ_محصولات!$C$4:$C$303,0)),0)),0))</f>
        <v>0</v>
      </c>
      <c r="G18" s="85">
        <v>0</v>
      </c>
      <c r="H18" s="81">
        <f t="shared" si="0"/>
        <v>0</v>
      </c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5"/>
      <c r="DO18" s="105"/>
      <c r="DP18" s="105"/>
      <c r="DQ18" s="105"/>
      <c r="DR18" s="105"/>
      <c r="DS18" s="105"/>
      <c r="DT18" s="105"/>
      <c r="DU18" s="105"/>
      <c r="DV18" s="105"/>
      <c r="DW18" s="105"/>
      <c r="DX18" s="105"/>
      <c r="DY18" s="105"/>
      <c r="DZ18" s="105"/>
      <c r="EA18" s="105"/>
      <c r="EB18" s="105"/>
      <c r="EC18" s="105"/>
      <c r="ED18" s="105"/>
      <c r="EE18" s="105"/>
      <c r="EF18" s="105"/>
      <c r="EG18" s="105"/>
      <c r="EH18" s="105"/>
      <c r="EI18" s="105"/>
      <c r="EJ18" s="105"/>
      <c r="EK18" s="105"/>
      <c r="EL18" s="105"/>
      <c r="EM18" s="105"/>
      <c r="EN18" s="105"/>
      <c r="EO18" s="105"/>
      <c r="EP18" s="105"/>
      <c r="EQ18" s="105"/>
      <c r="ER18" s="105"/>
      <c r="ES18" s="105"/>
      <c r="ET18" s="105"/>
      <c r="EU18" s="105"/>
      <c r="EV18" s="105"/>
      <c r="EW18" s="105"/>
      <c r="EX18" s="105"/>
      <c r="EY18" s="105"/>
      <c r="EZ18" s="105"/>
      <c r="FA18" s="105"/>
      <c r="FB18" s="105"/>
      <c r="FC18" s="105"/>
      <c r="FD18" s="105"/>
      <c r="FE18" s="105"/>
      <c r="FF18" s="105"/>
      <c r="FG18" s="105"/>
      <c r="FH18" s="105"/>
      <c r="FI18" s="105"/>
      <c r="FJ18" s="105"/>
      <c r="FK18" s="105"/>
      <c r="FL18" s="105"/>
      <c r="FM18" s="105"/>
      <c r="FN18" s="105"/>
      <c r="FO18" s="105"/>
      <c r="FP18" s="105"/>
      <c r="FQ18" s="105"/>
      <c r="FR18" s="105"/>
      <c r="FS18" s="105"/>
      <c r="FT18" s="105"/>
      <c r="FU18" s="105"/>
      <c r="FV18" s="105"/>
      <c r="FW18" s="105"/>
      <c r="FX18" s="105"/>
      <c r="FY18" s="105"/>
      <c r="FZ18" s="105"/>
      <c r="GA18" s="105"/>
      <c r="GB18" s="105"/>
      <c r="GC18" s="105"/>
      <c r="GD18" s="105"/>
      <c r="GE18" s="105"/>
      <c r="GF18" s="105"/>
      <c r="GG18" s="105"/>
      <c r="GH18" s="105"/>
      <c r="GI18" s="105"/>
      <c r="GJ18" s="105"/>
      <c r="GK18" s="105"/>
      <c r="GL18" s="105"/>
      <c r="GM18" s="105"/>
      <c r="GN18" s="105"/>
      <c r="GO18" s="105"/>
      <c r="GP18" s="105"/>
      <c r="GQ18" s="105"/>
      <c r="GR18" s="105"/>
      <c r="GS18" s="105"/>
      <c r="GT18" s="105"/>
      <c r="GU18" s="105"/>
      <c r="GV18" s="105"/>
      <c r="GW18" s="105"/>
      <c r="GX18" s="105"/>
      <c r="GY18" s="105"/>
      <c r="GZ18" s="105"/>
      <c r="HA18" s="105"/>
      <c r="HB18" s="105"/>
      <c r="HC18" s="105"/>
      <c r="HD18" s="105"/>
      <c r="HE18" s="105"/>
      <c r="HF18" s="105"/>
      <c r="HG18" s="105"/>
      <c r="HH18" s="105"/>
      <c r="HI18" s="105"/>
      <c r="HJ18" s="105"/>
      <c r="HK18" s="105"/>
      <c r="HL18" s="105"/>
      <c r="HM18" s="105"/>
      <c r="HN18" s="105"/>
      <c r="HO18" s="105"/>
      <c r="HP18" s="105"/>
      <c r="HQ18" s="105"/>
      <c r="HR18" s="105"/>
      <c r="HS18" s="105"/>
      <c r="HT18" s="105"/>
      <c r="HU18" s="105"/>
      <c r="HV18" s="105"/>
      <c r="HW18" s="105"/>
      <c r="HX18" s="105"/>
      <c r="HY18" s="105"/>
      <c r="HZ18" s="105"/>
      <c r="IA18" s="105"/>
      <c r="IB18" s="105"/>
      <c r="IC18" s="105"/>
      <c r="ID18" s="105"/>
      <c r="IE18" s="105"/>
      <c r="IF18" s="105"/>
      <c r="IG18" s="105"/>
      <c r="IH18" s="105"/>
      <c r="II18" s="105"/>
      <c r="IJ18" s="105"/>
      <c r="IK18" s="105"/>
      <c r="IL18" s="105"/>
      <c r="IM18" s="105"/>
      <c r="IN18" s="105"/>
      <c r="IO18" s="105"/>
      <c r="IP18" s="105"/>
      <c r="IQ18" s="105"/>
      <c r="IR18" s="105"/>
      <c r="IS18" s="105"/>
    </row>
    <row r="19" spans="1:253" ht="24.95" customHeight="1">
      <c r="A19" s="82">
        <v>8</v>
      </c>
      <c r="B19" s="79"/>
      <c r="C19" s="84"/>
      <c r="D19" s="83" t="str">
        <f>IF(B19&lt;&gt;"",IFERROR(INDEX(کاتالوگ_محصولات!$C$4:$C$303,MATCH(B19,کاتالوگ_محصولات!$A$4:$A$303,0)),""),IF(C19&lt;&gt;"",IFERROR(INDEX(کاتالوگ_محصولات!$C$4:$C$303,MATCH(C19,کاتالوگ_محصولات!$B$4:$B$303,0)),IFERROR(INDEX(کاتالوگ_محصولات!$C$4:$C$303,MATCH(C19,کاتالوگ_محصولات!$C$4:$C$303,0)),"")),""))</f>
        <v/>
      </c>
      <c r="E19" s="101">
        <v>0</v>
      </c>
      <c r="F19" s="80">
        <f>IF(B19&lt;&gt;"",IFERROR(INDEX(کاتالوگ_محصولات!$H$4:$H$303,MATCH(B19,کاتالوگ_محصولات!$A$4:$A$303,0)),0),IF(C19&lt;&gt;"",IFERROR(INDEX(کاتالوگ_محصولات!$H$4:$H$303,MATCH(C19,کاتالوگ_محصولات!$B$4:$B$303,0)),IFERROR(INDEX(کاتالوگ_محصولات!$H$4:$H$303,MATCH(C19,کاتالوگ_محصولات!$C$4:$C$303,0)),0)),0))</f>
        <v>0</v>
      </c>
      <c r="G19" s="85">
        <v>0</v>
      </c>
      <c r="H19" s="81">
        <f t="shared" si="0"/>
        <v>0</v>
      </c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7"/>
      <c r="AA19" s="247"/>
      <c r="AB19" s="247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/>
      <c r="BO19" s="105"/>
      <c r="BP19" s="105"/>
      <c r="BQ19" s="105"/>
      <c r="BR19" s="105"/>
      <c r="BS19" s="105"/>
      <c r="BT19" s="105"/>
      <c r="BU19" s="105"/>
      <c r="BV19" s="105"/>
      <c r="BW19" s="105"/>
      <c r="BX19" s="105"/>
      <c r="BY19" s="105"/>
      <c r="BZ19" s="105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5"/>
      <c r="CL19" s="105"/>
      <c r="CM19" s="105"/>
      <c r="CN19" s="105"/>
      <c r="CO19" s="105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5"/>
      <c r="DO19" s="105"/>
      <c r="DP19" s="105"/>
      <c r="DQ19" s="105"/>
      <c r="DR19" s="105"/>
      <c r="DS19" s="105"/>
      <c r="DT19" s="105"/>
      <c r="DU19" s="105"/>
      <c r="DV19" s="105"/>
      <c r="DW19" s="105"/>
      <c r="DX19" s="105"/>
      <c r="DY19" s="105"/>
      <c r="DZ19" s="105"/>
      <c r="EA19" s="105"/>
      <c r="EB19" s="105"/>
      <c r="EC19" s="105"/>
      <c r="ED19" s="105"/>
      <c r="EE19" s="105"/>
      <c r="EF19" s="105"/>
      <c r="EG19" s="105"/>
      <c r="EH19" s="105"/>
      <c r="EI19" s="105"/>
      <c r="EJ19" s="105"/>
      <c r="EK19" s="105"/>
      <c r="EL19" s="105"/>
      <c r="EM19" s="105"/>
      <c r="EN19" s="105"/>
      <c r="EO19" s="105"/>
      <c r="EP19" s="105"/>
      <c r="EQ19" s="105"/>
      <c r="ER19" s="105"/>
      <c r="ES19" s="105"/>
      <c r="ET19" s="105"/>
      <c r="EU19" s="105"/>
      <c r="EV19" s="105"/>
      <c r="EW19" s="105"/>
      <c r="EX19" s="105"/>
      <c r="EY19" s="105"/>
      <c r="EZ19" s="105"/>
      <c r="FA19" s="105"/>
      <c r="FB19" s="105"/>
      <c r="FC19" s="105"/>
      <c r="FD19" s="105"/>
      <c r="FE19" s="105"/>
      <c r="FF19" s="105"/>
      <c r="FG19" s="105"/>
      <c r="FH19" s="105"/>
      <c r="FI19" s="105"/>
      <c r="FJ19" s="105"/>
      <c r="FK19" s="105"/>
      <c r="FL19" s="105"/>
      <c r="FM19" s="105"/>
      <c r="FN19" s="105"/>
      <c r="FO19" s="105"/>
      <c r="FP19" s="105"/>
      <c r="FQ19" s="105"/>
      <c r="FR19" s="105"/>
      <c r="FS19" s="105"/>
      <c r="FT19" s="105"/>
      <c r="FU19" s="105"/>
      <c r="FV19" s="105"/>
      <c r="FW19" s="105"/>
      <c r="FX19" s="105"/>
      <c r="FY19" s="105"/>
      <c r="FZ19" s="105"/>
      <c r="GA19" s="105"/>
      <c r="GB19" s="105"/>
      <c r="GC19" s="105"/>
      <c r="GD19" s="105"/>
      <c r="GE19" s="105"/>
      <c r="GF19" s="105"/>
      <c r="GG19" s="105"/>
      <c r="GH19" s="105"/>
      <c r="GI19" s="105"/>
      <c r="GJ19" s="105"/>
      <c r="GK19" s="105"/>
      <c r="GL19" s="105"/>
      <c r="GM19" s="105"/>
      <c r="GN19" s="105"/>
      <c r="GO19" s="105"/>
      <c r="GP19" s="105"/>
      <c r="GQ19" s="105"/>
      <c r="GR19" s="105"/>
      <c r="GS19" s="105"/>
      <c r="GT19" s="105"/>
      <c r="GU19" s="105"/>
      <c r="GV19" s="105"/>
      <c r="GW19" s="105"/>
      <c r="GX19" s="105"/>
      <c r="GY19" s="105"/>
      <c r="GZ19" s="105"/>
      <c r="HA19" s="105"/>
      <c r="HB19" s="105"/>
      <c r="HC19" s="105"/>
      <c r="HD19" s="105"/>
      <c r="HE19" s="105"/>
      <c r="HF19" s="105"/>
      <c r="HG19" s="105"/>
      <c r="HH19" s="105"/>
      <c r="HI19" s="105"/>
      <c r="HJ19" s="105"/>
      <c r="HK19" s="105"/>
      <c r="HL19" s="105"/>
      <c r="HM19" s="105"/>
      <c r="HN19" s="105"/>
      <c r="HO19" s="105"/>
      <c r="HP19" s="105"/>
      <c r="HQ19" s="105"/>
      <c r="HR19" s="105"/>
      <c r="HS19" s="105"/>
      <c r="HT19" s="105"/>
      <c r="HU19" s="105"/>
      <c r="HV19" s="105"/>
      <c r="HW19" s="105"/>
      <c r="HX19" s="105"/>
      <c r="HY19" s="105"/>
      <c r="HZ19" s="105"/>
      <c r="IA19" s="105"/>
      <c r="IB19" s="105"/>
      <c r="IC19" s="105"/>
      <c r="ID19" s="105"/>
      <c r="IE19" s="105"/>
      <c r="IF19" s="105"/>
      <c r="IG19" s="105"/>
      <c r="IH19" s="105"/>
      <c r="II19" s="105"/>
      <c r="IJ19" s="105"/>
      <c r="IK19" s="105"/>
      <c r="IL19" s="105"/>
      <c r="IM19" s="105"/>
      <c r="IN19" s="105"/>
      <c r="IO19" s="105"/>
      <c r="IP19" s="105"/>
      <c r="IQ19" s="105"/>
      <c r="IR19" s="105"/>
      <c r="IS19" s="105"/>
    </row>
    <row r="20" spans="1:253" ht="24.95" customHeight="1">
      <c r="A20" s="82">
        <v>9</v>
      </c>
      <c r="B20" s="87"/>
      <c r="C20" s="115"/>
      <c r="D20" s="83" t="str">
        <f>IF(B20&lt;&gt;"",IFERROR(INDEX(کاتالوگ_محصولات!$C$4:$C$303,MATCH(B20,کاتالوگ_محصولات!$A$4:$A$303,0)),""),IF(C20&lt;&gt;"",IFERROR(INDEX(کاتالوگ_محصولات!$C$4:$C$303,MATCH(C20,کاتالوگ_محصولات!$B$4:$B$303,0)),IFERROR(INDEX(کاتالوگ_محصولات!$C$4:$C$303,MATCH(C20,کاتالوگ_محصولات!$C$4:$C$303,0)),"")),""))</f>
        <v/>
      </c>
      <c r="E20" s="101">
        <v>0</v>
      </c>
      <c r="F20" s="80">
        <f>IF(B20&lt;&gt;"",IFERROR(INDEX(کاتالوگ_محصولات!$H$4:$H$303,MATCH(B20,کاتالوگ_محصولات!$A$4:$A$303,0)),0),IF(C20&lt;&gt;"",IFERROR(INDEX(کاتالوگ_محصولات!$H$4:$H$303,MATCH(C20,کاتالوگ_محصولات!$B$4:$B$303,0)),IFERROR(INDEX(کاتالوگ_محصولات!$H$4:$H$303,MATCH(C20,کاتالوگ_محصولات!$C$4:$C$303,0)),0)),0))</f>
        <v>0</v>
      </c>
      <c r="G20" s="85">
        <v>0</v>
      </c>
      <c r="H20" s="81">
        <f t="shared" si="0"/>
        <v>0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7"/>
      <c r="AA20" s="247"/>
      <c r="AB20" s="247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05"/>
      <c r="BY20" s="105"/>
      <c r="BZ20" s="105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5"/>
      <c r="CL20" s="105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5"/>
      <c r="DO20" s="105"/>
      <c r="DP20" s="105"/>
      <c r="DQ20" s="105"/>
      <c r="DR20" s="105"/>
      <c r="DS20" s="105"/>
      <c r="DT20" s="105"/>
      <c r="DU20" s="105"/>
      <c r="DV20" s="105"/>
      <c r="DW20" s="105"/>
      <c r="DX20" s="105"/>
      <c r="DY20" s="105"/>
      <c r="DZ20" s="105"/>
      <c r="EA20" s="105"/>
      <c r="EB20" s="105"/>
      <c r="EC20" s="105"/>
      <c r="ED20" s="105"/>
      <c r="EE20" s="105"/>
      <c r="EF20" s="105"/>
      <c r="EG20" s="105"/>
      <c r="EH20" s="105"/>
      <c r="EI20" s="105"/>
      <c r="EJ20" s="105"/>
      <c r="EK20" s="105"/>
      <c r="EL20" s="105"/>
      <c r="EM20" s="105"/>
      <c r="EN20" s="105"/>
      <c r="EO20" s="105"/>
      <c r="EP20" s="105"/>
      <c r="EQ20" s="105"/>
      <c r="ER20" s="105"/>
      <c r="ES20" s="105"/>
      <c r="ET20" s="105"/>
      <c r="EU20" s="105"/>
      <c r="EV20" s="105"/>
      <c r="EW20" s="105"/>
      <c r="EX20" s="105"/>
      <c r="EY20" s="105"/>
      <c r="EZ20" s="105"/>
      <c r="FA20" s="105"/>
      <c r="FB20" s="105"/>
      <c r="FC20" s="105"/>
      <c r="FD20" s="105"/>
      <c r="FE20" s="105"/>
      <c r="FF20" s="105"/>
      <c r="FG20" s="105"/>
      <c r="FH20" s="105"/>
      <c r="FI20" s="105"/>
      <c r="FJ20" s="105"/>
      <c r="FK20" s="105"/>
      <c r="FL20" s="105"/>
      <c r="FM20" s="105"/>
      <c r="FN20" s="105"/>
      <c r="FO20" s="105"/>
      <c r="FP20" s="105"/>
      <c r="FQ20" s="105"/>
      <c r="FR20" s="105"/>
      <c r="FS20" s="105"/>
      <c r="FT20" s="105"/>
      <c r="FU20" s="105"/>
      <c r="FV20" s="105"/>
      <c r="FW20" s="105"/>
      <c r="FX20" s="105"/>
      <c r="FY20" s="105"/>
      <c r="FZ20" s="105"/>
      <c r="GA20" s="105"/>
      <c r="GB20" s="105"/>
      <c r="GC20" s="105"/>
      <c r="GD20" s="105"/>
      <c r="GE20" s="105"/>
      <c r="GF20" s="105"/>
      <c r="GG20" s="105"/>
      <c r="GH20" s="105"/>
      <c r="GI20" s="105"/>
      <c r="GJ20" s="105"/>
      <c r="GK20" s="105"/>
      <c r="GL20" s="105"/>
      <c r="GM20" s="105"/>
      <c r="GN20" s="105"/>
      <c r="GO20" s="105"/>
      <c r="GP20" s="105"/>
      <c r="GQ20" s="105"/>
      <c r="GR20" s="105"/>
      <c r="GS20" s="105"/>
      <c r="GT20" s="105"/>
      <c r="GU20" s="105"/>
      <c r="GV20" s="105"/>
      <c r="GW20" s="105"/>
      <c r="GX20" s="105"/>
      <c r="GY20" s="105"/>
      <c r="GZ20" s="105"/>
      <c r="HA20" s="105"/>
      <c r="HB20" s="105"/>
      <c r="HC20" s="105"/>
      <c r="HD20" s="105"/>
      <c r="HE20" s="105"/>
      <c r="HF20" s="105"/>
      <c r="HG20" s="105"/>
      <c r="HH20" s="105"/>
      <c r="HI20" s="105"/>
      <c r="HJ20" s="105"/>
      <c r="HK20" s="105"/>
      <c r="HL20" s="105"/>
      <c r="HM20" s="105"/>
      <c r="HN20" s="105"/>
      <c r="HO20" s="105"/>
      <c r="HP20" s="105"/>
      <c r="HQ20" s="105"/>
      <c r="HR20" s="105"/>
      <c r="HS20" s="105"/>
      <c r="HT20" s="105"/>
      <c r="HU20" s="105"/>
      <c r="HV20" s="105"/>
      <c r="HW20" s="105"/>
      <c r="HX20" s="105"/>
      <c r="HY20" s="105"/>
      <c r="HZ20" s="105"/>
      <c r="IA20" s="105"/>
      <c r="IB20" s="105"/>
      <c r="IC20" s="105"/>
      <c r="ID20" s="105"/>
      <c r="IE20" s="105"/>
      <c r="IF20" s="105"/>
      <c r="IG20" s="105"/>
      <c r="IH20" s="105"/>
      <c r="II20" s="105"/>
      <c r="IJ20" s="105"/>
      <c r="IK20" s="105"/>
      <c r="IL20" s="105"/>
      <c r="IM20" s="105"/>
      <c r="IN20" s="105"/>
      <c r="IO20" s="105"/>
      <c r="IP20" s="105"/>
      <c r="IQ20" s="105"/>
      <c r="IR20" s="105"/>
      <c r="IS20" s="105"/>
    </row>
    <row r="21" spans="1:253" ht="24.95" customHeight="1">
      <c r="A21" s="108">
        <v>10</v>
      </c>
      <c r="B21" s="109"/>
      <c r="C21" s="84"/>
      <c r="D21" s="110" t="str">
        <f>IF(B21&lt;&gt;"",IFERROR(INDEX(کاتالوگ_محصولات!$C$4:$C$303,MATCH(B21,کاتالوگ_محصولات!$A$4:$A$303,0)),""),IF(C21&lt;&gt;"",IFERROR(INDEX(کاتالوگ_محصولات!$C$4:$C$303,MATCH(C21,کاتالوگ_محصولات!$B$4:$B$303,0)),IFERROR(INDEX(کاتالوگ_محصولات!$C$4:$C$303,MATCH(C21,کاتالوگ_محصولات!$C$4:$C$303,0)),"")),""))</f>
        <v/>
      </c>
      <c r="E21" s="111">
        <v>0</v>
      </c>
      <c r="F21" s="112">
        <f>IF(B21&lt;&gt;"",IFERROR(INDEX(کاتالوگ_محصولات!$H$4:$H$303,MATCH(B21,کاتالوگ_محصولات!$A$4:$A$303,0)),0),IF(C21&lt;&gt;"",IFERROR(INDEX(کاتالوگ_محصولات!$H$4:$H$303,MATCH(C21,کاتالوگ_محصولات!$B$4:$B$303,0)),IFERROR(INDEX(کاتالوگ_محصولات!$H$4:$H$303,MATCH(C21,کاتالوگ_محصولات!$C$4:$C$303,0)),0)),0))</f>
        <v>0</v>
      </c>
      <c r="G21" s="113">
        <v>0</v>
      </c>
      <c r="H21" s="114">
        <f t="shared" si="0"/>
        <v>0</v>
      </c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7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5"/>
      <c r="CL21" s="105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5"/>
      <c r="DV21" s="105"/>
      <c r="DW21" s="105"/>
      <c r="DX21" s="105"/>
      <c r="DY21" s="105"/>
      <c r="DZ21" s="105"/>
      <c r="EA21" s="105"/>
      <c r="EB21" s="105"/>
      <c r="EC21" s="105"/>
      <c r="ED21" s="105"/>
      <c r="EE21" s="105"/>
      <c r="EF21" s="105"/>
      <c r="EG21" s="105"/>
      <c r="EH21" s="105"/>
      <c r="EI21" s="105"/>
      <c r="EJ21" s="105"/>
      <c r="EK21" s="105"/>
      <c r="EL21" s="105"/>
      <c r="EM21" s="105"/>
      <c r="EN21" s="105"/>
      <c r="EO21" s="105"/>
      <c r="EP21" s="105"/>
      <c r="EQ21" s="105"/>
      <c r="ER21" s="105"/>
      <c r="ES21" s="105"/>
      <c r="ET21" s="105"/>
      <c r="EU21" s="105"/>
      <c r="EV21" s="105"/>
      <c r="EW21" s="105"/>
      <c r="EX21" s="105"/>
      <c r="EY21" s="105"/>
      <c r="EZ21" s="105"/>
      <c r="FA21" s="105"/>
      <c r="FB21" s="105"/>
      <c r="FC21" s="105"/>
      <c r="FD21" s="105"/>
      <c r="FE21" s="105"/>
      <c r="FF21" s="105"/>
      <c r="FG21" s="105"/>
      <c r="FH21" s="105"/>
      <c r="FI21" s="105"/>
      <c r="FJ21" s="105"/>
      <c r="FK21" s="105"/>
      <c r="FL21" s="105"/>
      <c r="FM21" s="105"/>
      <c r="FN21" s="105"/>
      <c r="FO21" s="105"/>
      <c r="FP21" s="105"/>
      <c r="FQ21" s="105"/>
      <c r="FR21" s="105"/>
      <c r="FS21" s="105"/>
      <c r="FT21" s="105"/>
      <c r="FU21" s="105"/>
      <c r="FV21" s="105"/>
      <c r="FW21" s="105"/>
      <c r="FX21" s="105"/>
      <c r="FY21" s="105"/>
      <c r="FZ21" s="105"/>
      <c r="GA21" s="105"/>
      <c r="GB21" s="105"/>
      <c r="GC21" s="105"/>
      <c r="GD21" s="105"/>
      <c r="GE21" s="105"/>
      <c r="GF21" s="105"/>
      <c r="GG21" s="105"/>
      <c r="GH21" s="105"/>
      <c r="GI21" s="105"/>
      <c r="GJ21" s="105"/>
      <c r="GK21" s="105"/>
      <c r="GL21" s="105"/>
      <c r="GM21" s="105"/>
      <c r="GN21" s="105"/>
      <c r="GO21" s="105"/>
      <c r="GP21" s="105"/>
      <c r="GQ21" s="105"/>
      <c r="GR21" s="105"/>
      <c r="GS21" s="105"/>
      <c r="GT21" s="105"/>
      <c r="GU21" s="105"/>
      <c r="GV21" s="105"/>
      <c r="GW21" s="105"/>
      <c r="GX21" s="105"/>
      <c r="GY21" s="105"/>
      <c r="GZ21" s="105"/>
      <c r="HA21" s="105"/>
      <c r="HB21" s="105"/>
      <c r="HC21" s="105"/>
      <c r="HD21" s="105"/>
      <c r="HE21" s="105"/>
      <c r="HF21" s="105"/>
      <c r="HG21" s="105"/>
      <c r="HH21" s="105"/>
      <c r="HI21" s="105"/>
      <c r="HJ21" s="105"/>
      <c r="HK21" s="105"/>
      <c r="HL21" s="105"/>
      <c r="HM21" s="105"/>
      <c r="HN21" s="105"/>
      <c r="HO21" s="105"/>
      <c r="HP21" s="105"/>
      <c r="HQ21" s="105"/>
      <c r="HR21" s="105"/>
      <c r="HS21" s="105"/>
      <c r="HT21" s="105"/>
      <c r="HU21" s="105"/>
      <c r="HV21" s="105"/>
      <c r="HW21" s="105"/>
      <c r="HX21" s="105"/>
      <c r="HY21" s="105"/>
      <c r="HZ21" s="105"/>
      <c r="IA21" s="105"/>
      <c r="IB21" s="105"/>
      <c r="IC21" s="105"/>
      <c r="ID21" s="105"/>
      <c r="IE21" s="105"/>
      <c r="IF21" s="105"/>
      <c r="IG21" s="105"/>
      <c r="IH21" s="105"/>
      <c r="II21" s="105"/>
      <c r="IJ21" s="105"/>
      <c r="IK21" s="105"/>
      <c r="IL21" s="105"/>
      <c r="IM21" s="105"/>
      <c r="IN21" s="105"/>
      <c r="IO21" s="105"/>
      <c r="IP21" s="105"/>
      <c r="IQ21" s="105"/>
      <c r="IR21" s="105"/>
      <c r="IS21" s="105"/>
    </row>
    <row r="22" spans="1:253" ht="23.1" customHeight="1" thickBot="1">
      <c r="A22" s="215" t="s">
        <v>1068</v>
      </c>
      <c r="B22" s="216"/>
      <c r="C22" s="216"/>
      <c r="D22" s="216"/>
      <c r="E22" s="216"/>
      <c r="F22" s="216"/>
      <c r="G22" s="216"/>
      <c r="H22" s="216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  <c r="AA22" s="247"/>
      <c r="AB22" s="247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05"/>
      <c r="BY22" s="105"/>
      <c r="BZ22" s="105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5"/>
      <c r="CL22" s="105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5"/>
      <c r="DO22" s="105"/>
      <c r="DP22" s="105"/>
      <c r="DQ22" s="105"/>
      <c r="DR22" s="105"/>
      <c r="DS22" s="105"/>
      <c r="DT22" s="105"/>
      <c r="DU22" s="105"/>
      <c r="DV22" s="105"/>
      <c r="DW22" s="105"/>
      <c r="DX22" s="105"/>
      <c r="DY22" s="105"/>
      <c r="DZ22" s="105"/>
      <c r="EA22" s="105"/>
      <c r="EB22" s="105"/>
      <c r="EC22" s="105"/>
      <c r="ED22" s="105"/>
      <c r="EE22" s="105"/>
      <c r="EF22" s="105"/>
      <c r="EG22" s="105"/>
      <c r="EH22" s="105"/>
      <c r="EI22" s="105"/>
      <c r="EJ22" s="105"/>
      <c r="EK22" s="105"/>
      <c r="EL22" s="105"/>
      <c r="EM22" s="105"/>
      <c r="EN22" s="105"/>
      <c r="EO22" s="105"/>
      <c r="EP22" s="105"/>
      <c r="EQ22" s="105"/>
      <c r="ER22" s="105"/>
      <c r="ES22" s="105"/>
      <c r="ET22" s="105"/>
      <c r="EU22" s="105"/>
      <c r="EV22" s="105"/>
      <c r="EW22" s="105"/>
      <c r="EX22" s="105"/>
      <c r="EY22" s="105"/>
      <c r="EZ22" s="105"/>
      <c r="FA22" s="105"/>
      <c r="FB22" s="105"/>
      <c r="FC22" s="105"/>
      <c r="FD22" s="105"/>
      <c r="FE22" s="105"/>
      <c r="FF22" s="105"/>
      <c r="FG22" s="105"/>
      <c r="FH22" s="105"/>
      <c r="FI22" s="105"/>
      <c r="FJ22" s="105"/>
      <c r="FK22" s="105"/>
      <c r="FL22" s="105"/>
      <c r="FM22" s="105"/>
      <c r="FN22" s="105"/>
      <c r="FO22" s="105"/>
      <c r="FP22" s="105"/>
      <c r="FQ22" s="105"/>
      <c r="FR22" s="105"/>
      <c r="FS22" s="105"/>
      <c r="FT22" s="105"/>
      <c r="FU22" s="105"/>
      <c r="FV22" s="105"/>
      <c r="FW22" s="105"/>
      <c r="FX22" s="105"/>
      <c r="FY22" s="105"/>
      <c r="FZ22" s="105"/>
      <c r="GA22" s="105"/>
      <c r="GB22" s="105"/>
      <c r="GC22" s="105"/>
      <c r="GD22" s="105"/>
      <c r="GE22" s="105"/>
      <c r="GF22" s="105"/>
      <c r="GG22" s="105"/>
      <c r="GH22" s="105"/>
      <c r="GI22" s="105"/>
      <c r="GJ22" s="105"/>
      <c r="GK22" s="105"/>
      <c r="GL22" s="105"/>
      <c r="GM22" s="105"/>
      <c r="GN22" s="105"/>
      <c r="GO22" s="105"/>
      <c r="GP22" s="105"/>
      <c r="GQ22" s="105"/>
      <c r="GR22" s="105"/>
      <c r="GS22" s="105"/>
      <c r="GT22" s="105"/>
      <c r="GU22" s="105"/>
      <c r="GV22" s="105"/>
      <c r="GW22" s="105"/>
      <c r="GX22" s="105"/>
      <c r="GY22" s="105"/>
      <c r="GZ22" s="105"/>
      <c r="HA22" s="105"/>
      <c r="HB22" s="105"/>
      <c r="HC22" s="105"/>
      <c r="HD22" s="105"/>
      <c r="HE22" s="105"/>
      <c r="HF22" s="105"/>
      <c r="HG22" s="105"/>
      <c r="HH22" s="105"/>
      <c r="HI22" s="105"/>
      <c r="HJ22" s="105"/>
      <c r="HK22" s="105"/>
      <c r="HL22" s="105"/>
      <c r="HM22" s="105"/>
      <c r="HN22" s="105"/>
      <c r="HO22" s="105"/>
      <c r="HP22" s="105"/>
      <c r="HQ22" s="105"/>
      <c r="HR22" s="105"/>
      <c r="HS22" s="105"/>
      <c r="HT22" s="105"/>
      <c r="HU22" s="105"/>
      <c r="HV22" s="105"/>
      <c r="HW22" s="105"/>
      <c r="HX22" s="105"/>
      <c r="HY22" s="105"/>
      <c r="HZ22" s="105"/>
      <c r="IA22" s="105"/>
      <c r="IB22" s="105"/>
      <c r="IC22" s="105"/>
      <c r="ID22" s="105"/>
      <c r="IE22" s="105"/>
      <c r="IF22" s="105"/>
      <c r="IG22" s="105"/>
      <c r="IH22" s="105"/>
      <c r="II22" s="105"/>
      <c r="IJ22" s="105"/>
      <c r="IK22" s="105"/>
      <c r="IL22" s="105"/>
      <c r="IM22" s="105"/>
      <c r="IN22" s="105"/>
      <c r="IO22" s="105"/>
      <c r="IP22" s="105"/>
      <c r="IQ22" s="105"/>
      <c r="IR22" s="105"/>
      <c r="IS22" s="105"/>
    </row>
    <row r="23" spans="1:253" ht="20.100000000000001" customHeight="1">
      <c r="A23" s="254" t="s">
        <v>1064</v>
      </c>
      <c r="B23" s="255"/>
      <c r="C23" s="255"/>
      <c r="D23" s="256"/>
      <c r="E23" s="234">
        <f>SUMPRODUCT(E12:E21,F12:F21)</f>
        <v>0</v>
      </c>
      <c r="F23" s="234"/>
      <c r="G23" s="234"/>
      <c r="H23" s="235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A23" s="247"/>
      <c r="AB23" s="247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5"/>
      <c r="CL23" s="105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  <c r="DQ23" s="105"/>
      <c r="DR23" s="105"/>
      <c r="DS23" s="105"/>
      <c r="DT23" s="105"/>
      <c r="DU23" s="105"/>
      <c r="DV23" s="105"/>
      <c r="DW23" s="105"/>
      <c r="DX23" s="105"/>
      <c r="DY23" s="105"/>
      <c r="DZ23" s="105"/>
      <c r="EA23" s="105"/>
      <c r="EB23" s="105"/>
      <c r="EC23" s="105"/>
      <c r="ED23" s="105"/>
      <c r="EE23" s="105"/>
      <c r="EF23" s="105"/>
      <c r="EG23" s="105"/>
      <c r="EH23" s="105"/>
      <c r="EI23" s="105"/>
      <c r="EJ23" s="105"/>
      <c r="EK23" s="105"/>
      <c r="EL23" s="105"/>
      <c r="EM23" s="105"/>
      <c r="EN23" s="105"/>
      <c r="EO23" s="105"/>
      <c r="EP23" s="105"/>
      <c r="EQ23" s="105"/>
      <c r="ER23" s="105"/>
      <c r="ES23" s="105"/>
      <c r="ET23" s="105"/>
      <c r="EU23" s="105"/>
      <c r="EV23" s="105"/>
      <c r="EW23" s="105"/>
      <c r="EX23" s="105"/>
      <c r="EY23" s="105"/>
      <c r="EZ23" s="105"/>
      <c r="FA23" s="105"/>
      <c r="FB23" s="105"/>
      <c r="FC23" s="105"/>
      <c r="FD23" s="105"/>
      <c r="FE23" s="105"/>
      <c r="FF23" s="105"/>
      <c r="FG23" s="105"/>
      <c r="FH23" s="105"/>
      <c r="FI23" s="105"/>
      <c r="FJ23" s="105"/>
      <c r="FK23" s="105"/>
      <c r="FL23" s="105"/>
      <c r="FM23" s="105"/>
      <c r="FN23" s="105"/>
      <c r="FO23" s="105"/>
      <c r="FP23" s="105"/>
      <c r="FQ23" s="105"/>
      <c r="FR23" s="105"/>
      <c r="FS23" s="105"/>
      <c r="FT23" s="105"/>
      <c r="FU23" s="105"/>
      <c r="FV23" s="105"/>
      <c r="FW23" s="105"/>
      <c r="FX23" s="105"/>
      <c r="FY23" s="105"/>
      <c r="FZ23" s="105"/>
      <c r="GA23" s="105"/>
      <c r="GB23" s="105"/>
      <c r="GC23" s="105"/>
      <c r="GD23" s="105"/>
      <c r="GE23" s="105"/>
      <c r="GF23" s="105"/>
      <c r="GG23" s="105"/>
      <c r="GH23" s="105"/>
      <c r="GI23" s="105"/>
      <c r="GJ23" s="105"/>
      <c r="GK23" s="105"/>
      <c r="GL23" s="105"/>
      <c r="GM23" s="105"/>
      <c r="GN23" s="105"/>
      <c r="GO23" s="105"/>
      <c r="GP23" s="105"/>
      <c r="GQ23" s="105"/>
      <c r="GR23" s="105"/>
      <c r="GS23" s="105"/>
      <c r="GT23" s="105"/>
      <c r="GU23" s="105"/>
      <c r="GV23" s="105"/>
      <c r="GW23" s="105"/>
      <c r="GX23" s="105"/>
      <c r="GY23" s="105"/>
      <c r="GZ23" s="105"/>
      <c r="HA23" s="105"/>
      <c r="HB23" s="105"/>
      <c r="HC23" s="105"/>
      <c r="HD23" s="105"/>
      <c r="HE23" s="105"/>
      <c r="HF23" s="105"/>
      <c r="HG23" s="105"/>
      <c r="HH23" s="105"/>
      <c r="HI23" s="105"/>
      <c r="HJ23" s="105"/>
      <c r="HK23" s="105"/>
      <c r="HL23" s="105"/>
      <c r="HM23" s="105"/>
      <c r="HN23" s="105"/>
      <c r="HO23" s="105"/>
      <c r="HP23" s="105"/>
      <c r="HQ23" s="105"/>
      <c r="HR23" s="105"/>
      <c r="HS23" s="105"/>
      <c r="HT23" s="105"/>
      <c r="HU23" s="105"/>
      <c r="HV23" s="105"/>
      <c r="HW23" s="105"/>
      <c r="HX23" s="105"/>
      <c r="HY23" s="105"/>
      <c r="HZ23" s="105"/>
      <c r="IA23" s="105"/>
      <c r="IB23" s="105"/>
      <c r="IC23" s="105"/>
      <c r="ID23" s="105"/>
      <c r="IE23" s="105"/>
      <c r="IF23" s="105"/>
      <c r="IG23" s="105"/>
      <c r="IH23" s="105"/>
      <c r="II23" s="105"/>
      <c r="IJ23" s="105"/>
      <c r="IK23" s="105"/>
      <c r="IL23" s="105"/>
      <c r="IM23" s="105"/>
      <c r="IN23" s="105"/>
      <c r="IO23" s="105"/>
      <c r="IP23" s="105"/>
      <c r="IQ23" s="105"/>
      <c r="IR23" s="105"/>
      <c r="IS23" s="105"/>
    </row>
    <row r="24" spans="1:253" ht="20.100000000000001" customHeight="1">
      <c r="A24" s="236" t="s">
        <v>1062</v>
      </c>
      <c r="B24" s="237"/>
      <c r="C24" s="237"/>
      <c r="D24" s="238"/>
      <c r="E24" s="250">
        <f>SUM(G12:G21)</f>
        <v>0</v>
      </c>
      <c r="F24" s="250"/>
      <c r="G24" s="250"/>
      <c r="H24" s="251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7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5"/>
      <c r="CL24" s="105"/>
      <c r="CM24" s="105"/>
      <c r="CN24" s="105"/>
      <c r="CO24" s="105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105"/>
      <c r="DQ24" s="105"/>
      <c r="DR24" s="105"/>
      <c r="DS24" s="105"/>
      <c r="DT24" s="105"/>
      <c r="DU24" s="105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/>
      <c r="EF24" s="105"/>
      <c r="EG24" s="105"/>
      <c r="EH24" s="105"/>
      <c r="EI24" s="105"/>
      <c r="EJ24" s="105"/>
      <c r="EK24" s="105"/>
      <c r="EL24" s="105"/>
      <c r="EM24" s="105"/>
      <c r="EN24" s="105"/>
      <c r="EO24" s="105"/>
      <c r="EP24" s="105"/>
      <c r="EQ24" s="105"/>
      <c r="ER24" s="105"/>
      <c r="ES24" s="105"/>
      <c r="ET24" s="105"/>
      <c r="EU24" s="105"/>
      <c r="EV24" s="105"/>
      <c r="EW24" s="105"/>
      <c r="EX24" s="105"/>
      <c r="EY24" s="105"/>
      <c r="EZ24" s="105"/>
      <c r="FA24" s="105"/>
      <c r="FB24" s="105"/>
      <c r="FC24" s="105"/>
      <c r="FD24" s="105"/>
      <c r="FE24" s="105"/>
      <c r="FF24" s="105"/>
      <c r="FG24" s="105"/>
      <c r="FH24" s="105"/>
      <c r="FI24" s="105"/>
      <c r="FJ24" s="105"/>
      <c r="FK24" s="105"/>
      <c r="FL24" s="105"/>
      <c r="FM24" s="105"/>
      <c r="FN24" s="105"/>
      <c r="FO24" s="105"/>
      <c r="FP24" s="105"/>
      <c r="FQ24" s="105"/>
      <c r="FR24" s="105"/>
      <c r="FS24" s="105"/>
      <c r="FT24" s="105"/>
      <c r="FU24" s="105"/>
      <c r="FV24" s="105"/>
      <c r="FW24" s="105"/>
      <c r="FX24" s="105"/>
      <c r="FY24" s="105"/>
      <c r="FZ24" s="105"/>
      <c r="GA24" s="105"/>
      <c r="GB24" s="105"/>
      <c r="GC24" s="105"/>
      <c r="GD24" s="105"/>
      <c r="GE24" s="105"/>
      <c r="GF24" s="105"/>
      <c r="GG24" s="105"/>
      <c r="GH24" s="105"/>
      <c r="GI24" s="105"/>
      <c r="GJ24" s="105"/>
      <c r="GK24" s="105"/>
      <c r="GL24" s="105"/>
      <c r="GM24" s="105"/>
      <c r="GN24" s="105"/>
      <c r="GO24" s="105"/>
      <c r="GP24" s="105"/>
      <c r="GQ24" s="105"/>
      <c r="GR24" s="105"/>
      <c r="GS24" s="105"/>
      <c r="GT24" s="105"/>
      <c r="GU24" s="105"/>
      <c r="GV24" s="105"/>
      <c r="GW24" s="105"/>
      <c r="GX24" s="105"/>
      <c r="GY24" s="105"/>
      <c r="GZ24" s="105"/>
      <c r="HA24" s="105"/>
      <c r="HB24" s="105"/>
      <c r="HC24" s="105"/>
      <c r="HD24" s="105"/>
      <c r="HE24" s="105"/>
      <c r="HF24" s="105"/>
      <c r="HG24" s="105"/>
      <c r="HH24" s="105"/>
      <c r="HI24" s="105"/>
      <c r="HJ24" s="105"/>
      <c r="HK24" s="105"/>
      <c r="HL24" s="105"/>
      <c r="HM24" s="105"/>
      <c r="HN24" s="105"/>
      <c r="HO24" s="105"/>
      <c r="HP24" s="105"/>
      <c r="HQ24" s="105"/>
      <c r="HR24" s="105"/>
      <c r="HS24" s="105"/>
      <c r="HT24" s="105"/>
      <c r="HU24" s="105"/>
      <c r="HV24" s="105"/>
      <c r="HW24" s="105"/>
      <c r="HX24" s="105"/>
      <c r="HY24" s="105"/>
      <c r="HZ24" s="105"/>
      <c r="IA24" s="105"/>
      <c r="IB24" s="105"/>
      <c r="IC24" s="105"/>
      <c r="ID24" s="105"/>
      <c r="IE24" s="105"/>
      <c r="IF24" s="105"/>
      <c r="IG24" s="105"/>
      <c r="IH24" s="105"/>
      <c r="II24" s="105"/>
      <c r="IJ24" s="105"/>
      <c r="IK24" s="105"/>
      <c r="IL24" s="105"/>
      <c r="IM24" s="105"/>
      <c r="IN24" s="105"/>
      <c r="IO24" s="105"/>
      <c r="IP24" s="105"/>
      <c r="IQ24" s="105"/>
      <c r="IR24" s="105"/>
      <c r="IS24" s="105"/>
    </row>
    <row r="25" spans="1:253" ht="20.100000000000001" customHeight="1">
      <c r="A25" s="236" t="s">
        <v>1066</v>
      </c>
      <c r="B25" s="237"/>
      <c r="C25" s="237"/>
      <c r="D25" s="238"/>
      <c r="E25" s="250">
        <f>MAX(0,E23-E24)</f>
        <v>0</v>
      </c>
      <c r="F25" s="250"/>
      <c r="G25" s="250"/>
      <c r="H25" s="251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7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/>
      <c r="EA25" s="105"/>
      <c r="EB25" s="105"/>
      <c r="EC25" s="105"/>
      <c r="ED25" s="105"/>
      <c r="EE25" s="105"/>
      <c r="EF25" s="105"/>
      <c r="EG25" s="105"/>
      <c r="EH25" s="105"/>
      <c r="EI25" s="105"/>
      <c r="EJ25" s="105"/>
      <c r="EK25" s="105"/>
      <c r="EL25" s="105"/>
      <c r="EM25" s="105"/>
      <c r="EN25" s="105"/>
      <c r="EO25" s="105"/>
      <c r="EP25" s="105"/>
      <c r="EQ25" s="105"/>
      <c r="ER25" s="105"/>
      <c r="ES25" s="105"/>
      <c r="ET25" s="105"/>
      <c r="EU25" s="105"/>
      <c r="EV25" s="105"/>
      <c r="EW25" s="105"/>
      <c r="EX25" s="105"/>
      <c r="EY25" s="105"/>
      <c r="EZ25" s="105"/>
      <c r="FA25" s="105"/>
      <c r="FB25" s="105"/>
      <c r="FC25" s="105"/>
      <c r="FD25" s="105"/>
      <c r="FE25" s="105"/>
      <c r="FF25" s="105"/>
      <c r="FG25" s="105"/>
      <c r="FH25" s="105"/>
      <c r="FI25" s="105"/>
      <c r="FJ25" s="105"/>
      <c r="FK25" s="105"/>
      <c r="FL25" s="105"/>
      <c r="FM25" s="105"/>
      <c r="FN25" s="105"/>
      <c r="FO25" s="105"/>
      <c r="FP25" s="105"/>
      <c r="FQ25" s="105"/>
      <c r="FR25" s="105"/>
      <c r="FS25" s="105"/>
      <c r="FT25" s="105"/>
      <c r="FU25" s="105"/>
      <c r="FV25" s="105"/>
      <c r="FW25" s="105"/>
      <c r="FX25" s="105"/>
      <c r="FY25" s="105"/>
      <c r="FZ25" s="105"/>
      <c r="GA25" s="105"/>
      <c r="GB25" s="105"/>
      <c r="GC25" s="105"/>
      <c r="GD25" s="105"/>
      <c r="GE25" s="105"/>
      <c r="GF25" s="105"/>
      <c r="GG25" s="105"/>
      <c r="GH25" s="105"/>
      <c r="GI25" s="105"/>
      <c r="GJ25" s="105"/>
      <c r="GK25" s="105"/>
      <c r="GL25" s="105"/>
      <c r="GM25" s="105"/>
      <c r="GN25" s="105"/>
      <c r="GO25" s="105"/>
      <c r="GP25" s="105"/>
      <c r="GQ25" s="105"/>
      <c r="GR25" s="105"/>
      <c r="GS25" s="105"/>
      <c r="GT25" s="105"/>
      <c r="GU25" s="105"/>
      <c r="GV25" s="105"/>
      <c r="GW25" s="105"/>
      <c r="GX25" s="105"/>
      <c r="GY25" s="105"/>
      <c r="GZ25" s="105"/>
      <c r="HA25" s="105"/>
      <c r="HB25" s="105"/>
      <c r="HC25" s="105"/>
      <c r="HD25" s="105"/>
      <c r="HE25" s="105"/>
      <c r="HF25" s="105"/>
      <c r="HG25" s="105"/>
      <c r="HH25" s="105"/>
      <c r="HI25" s="105"/>
      <c r="HJ25" s="105"/>
      <c r="HK25" s="105"/>
      <c r="HL25" s="105"/>
      <c r="HM25" s="105"/>
      <c r="HN25" s="105"/>
      <c r="HO25" s="105"/>
      <c r="HP25" s="105"/>
      <c r="HQ25" s="105"/>
      <c r="HR25" s="105"/>
      <c r="HS25" s="105"/>
      <c r="HT25" s="105"/>
      <c r="HU25" s="105"/>
      <c r="HV25" s="105"/>
      <c r="HW25" s="105"/>
      <c r="HX25" s="105"/>
      <c r="HY25" s="105"/>
      <c r="HZ25" s="105"/>
      <c r="IA25" s="105"/>
      <c r="IB25" s="105"/>
      <c r="IC25" s="105"/>
      <c r="ID25" s="105"/>
      <c r="IE25" s="105"/>
      <c r="IF25" s="105"/>
      <c r="IG25" s="105"/>
      <c r="IH25" s="105"/>
      <c r="II25" s="105"/>
      <c r="IJ25" s="105"/>
      <c r="IK25" s="105"/>
      <c r="IL25" s="105"/>
      <c r="IM25" s="105"/>
      <c r="IN25" s="105"/>
      <c r="IO25" s="105"/>
      <c r="IP25" s="105"/>
      <c r="IQ25" s="105"/>
      <c r="IR25" s="105"/>
      <c r="IS25" s="105"/>
    </row>
    <row r="26" spans="1:253" ht="20.100000000000001" customHeight="1">
      <c r="A26" s="236" t="s">
        <v>1063</v>
      </c>
      <c r="B26" s="237"/>
      <c r="C26" s="237"/>
      <c r="D26" s="238"/>
      <c r="E26" s="250">
        <f>SUM(E12:E21)</f>
        <v>0</v>
      </c>
      <c r="F26" s="250"/>
      <c r="G26" s="250"/>
      <c r="H26" s="251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247"/>
      <c r="AA26" s="247"/>
      <c r="AB26" s="247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5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105"/>
      <c r="ES26" s="105"/>
      <c r="ET26" s="105"/>
      <c r="EU26" s="105"/>
      <c r="EV26" s="105"/>
      <c r="EW26" s="105"/>
      <c r="EX26" s="105"/>
      <c r="EY26" s="105"/>
      <c r="EZ26" s="105"/>
      <c r="FA26" s="105"/>
      <c r="FB26" s="105"/>
      <c r="FC26" s="105"/>
      <c r="FD26" s="105"/>
      <c r="FE26" s="105"/>
      <c r="FF26" s="105"/>
      <c r="FG26" s="105"/>
      <c r="FH26" s="105"/>
      <c r="FI26" s="105"/>
      <c r="FJ26" s="105"/>
      <c r="FK26" s="105"/>
      <c r="FL26" s="105"/>
      <c r="FM26" s="105"/>
      <c r="FN26" s="105"/>
      <c r="FO26" s="105"/>
      <c r="FP26" s="105"/>
      <c r="FQ26" s="105"/>
      <c r="FR26" s="105"/>
      <c r="FS26" s="105"/>
      <c r="FT26" s="105"/>
      <c r="FU26" s="105"/>
      <c r="FV26" s="105"/>
      <c r="FW26" s="105"/>
      <c r="FX26" s="105"/>
      <c r="FY26" s="105"/>
      <c r="FZ26" s="105"/>
      <c r="GA26" s="105"/>
      <c r="GB26" s="105"/>
      <c r="GC26" s="105"/>
      <c r="GD26" s="105"/>
      <c r="GE26" s="105"/>
      <c r="GF26" s="105"/>
      <c r="GG26" s="105"/>
      <c r="GH26" s="105"/>
      <c r="GI26" s="105"/>
      <c r="GJ26" s="105"/>
      <c r="GK26" s="105"/>
      <c r="GL26" s="105"/>
      <c r="GM26" s="105"/>
      <c r="GN26" s="105"/>
      <c r="GO26" s="105"/>
      <c r="GP26" s="105"/>
      <c r="GQ26" s="105"/>
      <c r="GR26" s="105"/>
      <c r="GS26" s="105"/>
      <c r="GT26" s="105"/>
      <c r="GU26" s="105"/>
      <c r="GV26" s="105"/>
      <c r="GW26" s="105"/>
      <c r="GX26" s="105"/>
      <c r="GY26" s="105"/>
      <c r="GZ26" s="105"/>
      <c r="HA26" s="105"/>
      <c r="HB26" s="105"/>
      <c r="HC26" s="105"/>
      <c r="HD26" s="105"/>
      <c r="HE26" s="105"/>
      <c r="HF26" s="105"/>
      <c r="HG26" s="105"/>
      <c r="HH26" s="105"/>
      <c r="HI26" s="105"/>
      <c r="HJ26" s="105"/>
      <c r="HK26" s="105"/>
      <c r="HL26" s="105"/>
      <c r="HM26" s="105"/>
      <c r="HN26" s="105"/>
      <c r="HO26" s="105"/>
      <c r="HP26" s="105"/>
      <c r="HQ26" s="105"/>
      <c r="HR26" s="105"/>
      <c r="HS26" s="105"/>
      <c r="HT26" s="105"/>
      <c r="HU26" s="105"/>
      <c r="HV26" s="105"/>
      <c r="HW26" s="105"/>
      <c r="HX26" s="105"/>
      <c r="HY26" s="105"/>
      <c r="HZ26" s="105"/>
      <c r="IA26" s="105"/>
      <c r="IB26" s="105"/>
      <c r="IC26" s="105"/>
      <c r="ID26" s="105"/>
      <c r="IE26" s="105"/>
      <c r="IF26" s="105"/>
      <c r="IG26" s="105"/>
      <c r="IH26" s="105"/>
      <c r="II26" s="105"/>
      <c r="IJ26" s="105"/>
      <c r="IK26" s="105"/>
      <c r="IL26" s="105"/>
      <c r="IM26" s="105"/>
      <c r="IN26" s="105"/>
      <c r="IO26" s="105"/>
      <c r="IP26" s="105"/>
      <c r="IQ26" s="105"/>
      <c r="IR26" s="105"/>
      <c r="IS26" s="105"/>
    </row>
    <row r="27" spans="1:253" ht="20.100000000000001" customHeight="1" thickBot="1">
      <c r="A27" s="229" t="s">
        <v>1065</v>
      </c>
      <c r="B27" s="230"/>
      <c r="C27" s="230"/>
      <c r="D27" s="231"/>
      <c r="E27" s="227">
        <f>IFERROR(G6-E25,0)</f>
        <v>0</v>
      </c>
      <c r="F27" s="227"/>
      <c r="G27" s="227"/>
      <c r="H27" s="228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247"/>
      <c r="AA27" s="247"/>
      <c r="AB27" s="247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5"/>
      <c r="CL27" s="105"/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/>
      <c r="DT27" s="105"/>
      <c r="DU27" s="105"/>
      <c r="DV27" s="105"/>
      <c r="DW27" s="105"/>
      <c r="DX27" s="105"/>
      <c r="DY27" s="105"/>
      <c r="DZ27" s="105"/>
      <c r="EA27" s="105"/>
      <c r="EB27" s="105"/>
      <c r="EC27" s="105"/>
      <c r="ED27" s="105"/>
      <c r="EE27" s="105"/>
      <c r="EF27" s="105"/>
      <c r="EG27" s="105"/>
      <c r="EH27" s="105"/>
      <c r="EI27" s="105"/>
      <c r="EJ27" s="105"/>
      <c r="EK27" s="105"/>
      <c r="EL27" s="105"/>
      <c r="EM27" s="105"/>
      <c r="EN27" s="105"/>
      <c r="EO27" s="105"/>
      <c r="EP27" s="105"/>
      <c r="EQ27" s="105"/>
      <c r="ER27" s="105"/>
      <c r="ES27" s="105"/>
      <c r="ET27" s="105"/>
      <c r="EU27" s="105"/>
      <c r="EV27" s="105"/>
      <c r="EW27" s="105"/>
      <c r="EX27" s="105"/>
      <c r="EY27" s="105"/>
      <c r="EZ27" s="105"/>
      <c r="FA27" s="105"/>
      <c r="FB27" s="105"/>
      <c r="FC27" s="105"/>
      <c r="FD27" s="105"/>
      <c r="FE27" s="105"/>
      <c r="FF27" s="105"/>
      <c r="FG27" s="105"/>
      <c r="FH27" s="105"/>
      <c r="FI27" s="105"/>
      <c r="FJ27" s="105"/>
      <c r="FK27" s="105"/>
      <c r="FL27" s="105"/>
      <c r="FM27" s="105"/>
      <c r="FN27" s="105"/>
      <c r="FO27" s="105"/>
      <c r="FP27" s="105"/>
      <c r="FQ27" s="105"/>
      <c r="FR27" s="105"/>
      <c r="FS27" s="105"/>
      <c r="FT27" s="105"/>
      <c r="FU27" s="105"/>
      <c r="FV27" s="105"/>
      <c r="FW27" s="105"/>
      <c r="FX27" s="105"/>
      <c r="FY27" s="105"/>
      <c r="FZ27" s="105"/>
      <c r="GA27" s="105"/>
      <c r="GB27" s="105"/>
      <c r="GC27" s="105"/>
      <c r="GD27" s="105"/>
      <c r="GE27" s="105"/>
      <c r="GF27" s="105"/>
      <c r="GG27" s="105"/>
      <c r="GH27" s="105"/>
      <c r="GI27" s="105"/>
      <c r="GJ27" s="105"/>
      <c r="GK27" s="105"/>
      <c r="GL27" s="105"/>
      <c r="GM27" s="105"/>
      <c r="GN27" s="105"/>
      <c r="GO27" s="105"/>
      <c r="GP27" s="105"/>
      <c r="GQ27" s="105"/>
      <c r="GR27" s="105"/>
      <c r="GS27" s="105"/>
      <c r="GT27" s="105"/>
      <c r="GU27" s="105"/>
      <c r="GV27" s="105"/>
      <c r="GW27" s="105"/>
      <c r="GX27" s="105"/>
      <c r="GY27" s="105"/>
      <c r="GZ27" s="105"/>
      <c r="HA27" s="105"/>
      <c r="HB27" s="105"/>
      <c r="HC27" s="105"/>
      <c r="HD27" s="105"/>
      <c r="HE27" s="105"/>
      <c r="HF27" s="105"/>
      <c r="HG27" s="105"/>
      <c r="HH27" s="105"/>
      <c r="HI27" s="105"/>
      <c r="HJ27" s="105"/>
      <c r="HK27" s="105"/>
      <c r="HL27" s="105"/>
      <c r="HM27" s="105"/>
      <c r="HN27" s="105"/>
      <c r="HO27" s="105"/>
      <c r="HP27" s="105"/>
      <c r="HQ27" s="105"/>
      <c r="HR27" s="105"/>
      <c r="HS27" s="105"/>
      <c r="HT27" s="105"/>
      <c r="HU27" s="105"/>
      <c r="HV27" s="105"/>
      <c r="HW27" s="105"/>
      <c r="HX27" s="105"/>
      <c r="HY27" s="105"/>
      <c r="HZ27" s="105"/>
      <c r="IA27" s="105"/>
      <c r="IB27" s="105"/>
      <c r="IC27" s="105"/>
      <c r="ID27" s="105"/>
      <c r="IE27" s="105"/>
      <c r="IF27" s="105"/>
      <c r="IG27" s="105"/>
      <c r="IH27" s="105"/>
      <c r="II27" s="105"/>
      <c r="IJ27" s="105"/>
      <c r="IK27" s="105"/>
      <c r="IL27" s="105"/>
      <c r="IM27" s="105"/>
      <c r="IN27" s="105"/>
      <c r="IO27" s="105"/>
      <c r="IP27" s="105"/>
      <c r="IQ27" s="105"/>
      <c r="IR27" s="105"/>
      <c r="IS27" s="105"/>
    </row>
    <row r="28" spans="1:253" ht="9.75" customHeight="1">
      <c r="A28" s="226"/>
      <c r="B28" s="226"/>
      <c r="C28" s="226"/>
      <c r="D28" s="226"/>
      <c r="E28" s="226"/>
      <c r="F28" s="226"/>
      <c r="G28" s="226"/>
      <c r="H28" s="226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7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5"/>
      <c r="CL28" s="105"/>
      <c r="CM28" s="105"/>
      <c r="CN28" s="105"/>
      <c r="CO28" s="105"/>
      <c r="CP28" s="105"/>
      <c r="CQ28" s="105"/>
      <c r="CR28" s="105"/>
      <c r="CS28" s="105"/>
      <c r="CT28" s="105"/>
      <c r="CU28" s="105"/>
      <c r="CV28" s="105"/>
      <c r="CW28" s="105"/>
      <c r="CX28" s="105"/>
      <c r="CY28" s="105"/>
      <c r="CZ28" s="105"/>
      <c r="DA28" s="105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5"/>
      <c r="DO28" s="105"/>
      <c r="DP28" s="105"/>
      <c r="DQ28" s="105"/>
      <c r="DR28" s="105"/>
      <c r="DS28" s="105"/>
      <c r="DT28" s="105"/>
      <c r="DU28" s="105"/>
      <c r="DV28" s="105"/>
      <c r="DW28" s="105"/>
      <c r="DX28" s="105"/>
      <c r="DY28" s="105"/>
      <c r="DZ28" s="105"/>
      <c r="EA28" s="105"/>
      <c r="EB28" s="105"/>
      <c r="EC28" s="105"/>
      <c r="ED28" s="105"/>
      <c r="EE28" s="105"/>
      <c r="EF28" s="105"/>
      <c r="EG28" s="105"/>
      <c r="EH28" s="105"/>
      <c r="EI28" s="105"/>
      <c r="EJ28" s="105"/>
      <c r="EK28" s="105"/>
      <c r="EL28" s="105"/>
      <c r="EM28" s="105"/>
      <c r="EN28" s="105"/>
      <c r="EO28" s="105"/>
      <c r="EP28" s="105"/>
      <c r="EQ28" s="105"/>
      <c r="ER28" s="105"/>
      <c r="ES28" s="105"/>
      <c r="ET28" s="105"/>
      <c r="EU28" s="105"/>
      <c r="EV28" s="105"/>
      <c r="EW28" s="105"/>
      <c r="EX28" s="105"/>
      <c r="EY28" s="105"/>
      <c r="EZ28" s="105"/>
      <c r="FA28" s="105"/>
      <c r="FB28" s="105"/>
      <c r="FC28" s="105"/>
      <c r="FD28" s="105"/>
      <c r="FE28" s="105"/>
      <c r="FF28" s="105"/>
      <c r="FG28" s="105"/>
      <c r="FH28" s="105"/>
      <c r="FI28" s="105"/>
      <c r="FJ28" s="105"/>
      <c r="FK28" s="105"/>
      <c r="FL28" s="105"/>
      <c r="FM28" s="105"/>
      <c r="FN28" s="105"/>
      <c r="FO28" s="105"/>
      <c r="FP28" s="105"/>
      <c r="FQ28" s="105"/>
      <c r="FR28" s="105"/>
      <c r="FS28" s="105"/>
      <c r="FT28" s="105"/>
      <c r="FU28" s="105"/>
      <c r="FV28" s="105"/>
      <c r="FW28" s="105"/>
      <c r="FX28" s="105"/>
      <c r="FY28" s="105"/>
      <c r="FZ28" s="105"/>
      <c r="GA28" s="105"/>
      <c r="GB28" s="105"/>
      <c r="GC28" s="105"/>
      <c r="GD28" s="105"/>
      <c r="GE28" s="105"/>
      <c r="GF28" s="105"/>
      <c r="GG28" s="105"/>
      <c r="GH28" s="105"/>
      <c r="GI28" s="105"/>
      <c r="GJ28" s="105"/>
      <c r="GK28" s="105"/>
      <c r="GL28" s="105"/>
      <c r="GM28" s="105"/>
      <c r="GN28" s="105"/>
      <c r="GO28" s="105"/>
      <c r="GP28" s="105"/>
      <c r="GQ28" s="105"/>
      <c r="GR28" s="105"/>
      <c r="GS28" s="105"/>
      <c r="GT28" s="105"/>
      <c r="GU28" s="105"/>
      <c r="GV28" s="105"/>
      <c r="GW28" s="105"/>
      <c r="GX28" s="105"/>
      <c r="GY28" s="105"/>
      <c r="GZ28" s="105"/>
      <c r="HA28" s="105"/>
      <c r="HB28" s="105"/>
      <c r="HC28" s="105"/>
      <c r="HD28" s="105"/>
      <c r="HE28" s="105"/>
      <c r="HF28" s="105"/>
      <c r="HG28" s="105"/>
      <c r="HH28" s="105"/>
      <c r="HI28" s="105"/>
      <c r="HJ28" s="105"/>
      <c r="HK28" s="105"/>
      <c r="HL28" s="105"/>
      <c r="HM28" s="105"/>
      <c r="HN28" s="105"/>
      <c r="HO28" s="105"/>
      <c r="HP28" s="105"/>
      <c r="HQ28" s="105"/>
      <c r="HR28" s="105"/>
      <c r="HS28" s="105"/>
      <c r="HT28" s="105"/>
      <c r="HU28" s="105"/>
      <c r="HV28" s="105"/>
      <c r="HW28" s="105"/>
      <c r="HX28" s="105"/>
      <c r="HY28" s="105"/>
      <c r="HZ28" s="105"/>
      <c r="IA28" s="105"/>
      <c r="IB28" s="105"/>
      <c r="IC28" s="105"/>
      <c r="ID28" s="105"/>
      <c r="IE28" s="105"/>
      <c r="IF28" s="105"/>
      <c r="IG28" s="105"/>
      <c r="IH28" s="105"/>
      <c r="II28" s="105"/>
      <c r="IJ28" s="105"/>
      <c r="IK28" s="105"/>
      <c r="IL28" s="105"/>
      <c r="IM28" s="105"/>
      <c r="IN28" s="105"/>
      <c r="IO28" s="105"/>
      <c r="IP28" s="105"/>
      <c r="IQ28" s="105"/>
      <c r="IR28" s="105"/>
      <c r="IS28" s="105"/>
    </row>
    <row r="29" spans="1:253" ht="24.75" customHeight="1">
      <c r="A29" s="262" t="s">
        <v>1174</v>
      </c>
      <c r="B29" s="263"/>
      <c r="C29" s="263"/>
      <c r="D29" s="263"/>
      <c r="E29" s="263"/>
      <c r="F29" s="263"/>
      <c r="G29" s="263"/>
      <c r="H29" s="263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5"/>
      <c r="CL29" s="105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5"/>
      <c r="DA29" s="105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  <c r="DR29" s="105"/>
      <c r="DS29" s="105"/>
      <c r="DT29" s="105"/>
      <c r="DU29" s="105"/>
      <c r="DV29" s="105"/>
      <c r="DW29" s="105"/>
      <c r="DX29" s="105"/>
      <c r="DY29" s="105"/>
      <c r="DZ29" s="105"/>
      <c r="EA29" s="105"/>
      <c r="EB29" s="105"/>
      <c r="EC29" s="105"/>
      <c r="ED29" s="105"/>
      <c r="EE29" s="105"/>
      <c r="EF29" s="105"/>
      <c r="EG29" s="105"/>
      <c r="EH29" s="105"/>
      <c r="EI29" s="105"/>
      <c r="EJ29" s="105"/>
      <c r="EK29" s="105"/>
      <c r="EL29" s="105"/>
      <c r="EM29" s="105"/>
      <c r="EN29" s="105"/>
      <c r="EO29" s="105"/>
      <c r="EP29" s="105"/>
      <c r="EQ29" s="105"/>
      <c r="ER29" s="105"/>
      <c r="ES29" s="105"/>
      <c r="ET29" s="105"/>
      <c r="EU29" s="105"/>
      <c r="EV29" s="105"/>
      <c r="EW29" s="105"/>
      <c r="EX29" s="105"/>
      <c r="EY29" s="105"/>
      <c r="EZ29" s="105"/>
      <c r="FA29" s="105"/>
      <c r="FB29" s="105"/>
      <c r="FC29" s="105"/>
      <c r="FD29" s="105"/>
      <c r="FE29" s="105"/>
      <c r="FF29" s="105"/>
      <c r="FG29" s="105"/>
      <c r="FH29" s="105"/>
      <c r="FI29" s="105"/>
      <c r="FJ29" s="105"/>
      <c r="FK29" s="105"/>
      <c r="FL29" s="105"/>
      <c r="FM29" s="105"/>
      <c r="FN29" s="105"/>
      <c r="FO29" s="105"/>
      <c r="FP29" s="105"/>
      <c r="FQ29" s="105"/>
      <c r="FR29" s="105"/>
      <c r="FS29" s="105"/>
      <c r="FT29" s="105"/>
      <c r="FU29" s="105"/>
      <c r="FV29" s="105"/>
      <c r="FW29" s="105"/>
      <c r="FX29" s="105"/>
      <c r="FY29" s="105"/>
      <c r="FZ29" s="105"/>
      <c r="GA29" s="105"/>
      <c r="GB29" s="105"/>
      <c r="GC29" s="105"/>
      <c r="GD29" s="105"/>
      <c r="GE29" s="105"/>
      <c r="GF29" s="105"/>
      <c r="GG29" s="105"/>
      <c r="GH29" s="105"/>
      <c r="GI29" s="105"/>
      <c r="GJ29" s="105"/>
      <c r="GK29" s="105"/>
      <c r="GL29" s="105"/>
      <c r="GM29" s="105"/>
      <c r="GN29" s="105"/>
      <c r="GO29" s="105"/>
      <c r="GP29" s="105"/>
      <c r="GQ29" s="105"/>
      <c r="GR29" s="105"/>
      <c r="GS29" s="105"/>
      <c r="GT29" s="105"/>
      <c r="GU29" s="105"/>
      <c r="GV29" s="105"/>
      <c r="GW29" s="105"/>
      <c r="GX29" s="105"/>
      <c r="GY29" s="105"/>
      <c r="GZ29" s="105"/>
      <c r="HA29" s="105"/>
      <c r="HB29" s="105"/>
      <c r="HC29" s="105"/>
      <c r="HD29" s="105"/>
      <c r="HE29" s="105"/>
      <c r="HF29" s="105"/>
      <c r="HG29" s="105"/>
      <c r="HH29" s="105"/>
      <c r="HI29" s="105"/>
      <c r="HJ29" s="105"/>
      <c r="HK29" s="105"/>
      <c r="HL29" s="105"/>
      <c r="HM29" s="105"/>
      <c r="HN29" s="105"/>
      <c r="HO29" s="105"/>
      <c r="HP29" s="105"/>
      <c r="HQ29" s="105"/>
      <c r="HR29" s="105"/>
      <c r="HS29" s="105"/>
      <c r="HT29" s="105"/>
      <c r="HU29" s="105"/>
      <c r="HV29" s="105"/>
      <c r="HW29" s="105"/>
      <c r="HX29" s="105"/>
      <c r="HY29" s="105"/>
      <c r="HZ29" s="105"/>
      <c r="IA29" s="105"/>
      <c r="IB29" s="105"/>
      <c r="IC29" s="105"/>
      <c r="ID29" s="105"/>
      <c r="IE29" s="105"/>
      <c r="IF29" s="105"/>
      <c r="IG29" s="105"/>
      <c r="IH29" s="105"/>
      <c r="II29" s="105"/>
      <c r="IJ29" s="105"/>
      <c r="IK29" s="105"/>
      <c r="IL29" s="105"/>
      <c r="IM29" s="105"/>
      <c r="IN29" s="105"/>
      <c r="IO29" s="105"/>
      <c r="IP29" s="105"/>
      <c r="IQ29" s="105"/>
      <c r="IR29" s="105"/>
      <c r="IS29" s="105"/>
    </row>
    <row r="30" spans="1:253" ht="40.5" customHeight="1">
      <c r="A30" s="257" t="s">
        <v>1100</v>
      </c>
      <c r="B30" s="258"/>
      <c r="C30" s="258"/>
      <c r="D30" s="258"/>
      <c r="E30" s="258"/>
      <c r="F30" s="258"/>
      <c r="G30" s="258"/>
      <c r="H30" s="258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5"/>
      <c r="CL30" s="105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  <c r="DA30" s="105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5"/>
      <c r="DO30" s="105"/>
      <c r="DP30" s="105"/>
      <c r="DQ30" s="105"/>
      <c r="DR30" s="105"/>
      <c r="DS30" s="105"/>
      <c r="DT30" s="105"/>
      <c r="DU30" s="105"/>
      <c r="DV30" s="105"/>
      <c r="DW30" s="105"/>
      <c r="DX30" s="105"/>
      <c r="DY30" s="105"/>
      <c r="DZ30" s="105"/>
      <c r="EA30" s="105"/>
      <c r="EB30" s="105"/>
      <c r="EC30" s="105"/>
      <c r="ED30" s="105"/>
      <c r="EE30" s="105"/>
      <c r="EF30" s="105"/>
      <c r="EG30" s="105"/>
      <c r="EH30" s="105"/>
      <c r="EI30" s="105"/>
      <c r="EJ30" s="105"/>
      <c r="EK30" s="105"/>
      <c r="EL30" s="105"/>
      <c r="EM30" s="105"/>
      <c r="EN30" s="105"/>
      <c r="EO30" s="105"/>
      <c r="EP30" s="105"/>
      <c r="EQ30" s="105"/>
      <c r="ER30" s="105"/>
      <c r="ES30" s="105"/>
      <c r="ET30" s="105"/>
      <c r="EU30" s="105"/>
      <c r="EV30" s="105"/>
      <c r="EW30" s="105"/>
      <c r="EX30" s="105"/>
      <c r="EY30" s="105"/>
      <c r="EZ30" s="105"/>
      <c r="FA30" s="105"/>
      <c r="FB30" s="105"/>
      <c r="FC30" s="105"/>
      <c r="FD30" s="105"/>
      <c r="FE30" s="105"/>
      <c r="FF30" s="105"/>
      <c r="FG30" s="105"/>
      <c r="FH30" s="105"/>
      <c r="FI30" s="105"/>
      <c r="FJ30" s="105"/>
      <c r="FK30" s="105"/>
      <c r="FL30" s="105"/>
      <c r="FM30" s="105"/>
      <c r="FN30" s="105"/>
      <c r="FO30" s="105"/>
      <c r="FP30" s="105"/>
      <c r="FQ30" s="105"/>
      <c r="FR30" s="105"/>
      <c r="FS30" s="105"/>
      <c r="FT30" s="105"/>
      <c r="FU30" s="105"/>
      <c r="FV30" s="105"/>
      <c r="FW30" s="105"/>
      <c r="FX30" s="105"/>
      <c r="FY30" s="105"/>
      <c r="FZ30" s="105"/>
      <c r="GA30" s="105"/>
      <c r="GB30" s="105"/>
      <c r="GC30" s="105"/>
      <c r="GD30" s="105"/>
      <c r="GE30" s="105"/>
      <c r="GF30" s="105"/>
      <c r="GG30" s="105"/>
      <c r="GH30" s="105"/>
      <c r="GI30" s="105"/>
      <c r="GJ30" s="105"/>
      <c r="GK30" s="105"/>
      <c r="GL30" s="105"/>
      <c r="GM30" s="105"/>
      <c r="GN30" s="105"/>
      <c r="GO30" s="105"/>
      <c r="GP30" s="105"/>
      <c r="GQ30" s="105"/>
      <c r="GR30" s="105"/>
      <c r="GS30" s="105"/>
      <c r="GT30" s="105"/>
      <c r="GU30" s="105"/>
      <c r="GV30" s="105"/>
      <c r="GW30" s="105"/>
      <c r="GX30" s="105"/>
      <c r="GY30" s="105"/>
      <c r="GZ30" s="105"/>
      <c r="HA30" s="105"/>
      <c r="HB30" s="105"/>
      <c r="HC30" s="105"/>
      <c r="HD30" s="105"/>
      <c r="HE30" s="105"/>
      <c r="HF30" s="105"/>
      <c r="HG30" s="105"/>
      <c r="HH30" s="105"/>
      <c r="HI30" s="105"/>
      <c r="HJ30" s="105"/>
      <c r="HK30" s="105"/>
      <c r="HL30" s="105"/>
      <c r="HM30" s="105"/>
      <c r="HN30" s="105"/>
      <c r="HO30" s="105"/>
      <c r="HP30" s="105"/>
      <c r="HQ30" s="105"/>
      <c r="HR30" s="105"/>
      <c r="HS30" s="105"/>
      <c r="HT30" s="105"/>
      <c r="HU30" s="105"/>
      <c r="HV30" s="105"/>
      <c r="HW30" s="105"/>
      <c r="HX30" s="105"/>
      <c r="HY30" s="105"/>
      <c r="HZ30" s="105"/>
      <c r="IA30" s="105"/>
      <c r="IB30" s="105"/>
      <c r="IC30" s="105"/>
      <c r="ID30" s="105"/>
      <c r="IE30" s="105"/>
      <c r="IF30" s="105"/>
      <c r="IG30" s="105"/>
      <c r="IH30" s="105"/>
      <c r="II30" s="105"/>
      <c r="IJ30" s="105"/>
      <c r="IK30" s="105"/>
      <c r="IL30" s="105"/>
      <c r="IM30" s="105"/>
      <c r="IN30" s="105"/>
      <c r="IO30" s="105"/>
      <c r="IP30" s="105"/>
      <c r="IQ30" s="105"/>
      <c r="IR30" s="105"/>
      <c r="IS30" s="105"/>
    </row>
    <row r="31" spans="1:253" ht="0.75" customHeight="1" thickBot="1"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  <c r="DR31" s="105"/>
      <c r="DS31" s="105"/>
      <c r="DT31" s="105"/>
      <c r="DU31" s="105"/>
      <c r="DV31" s="105"/>
      <c r="DW31" s="105"/>
      <c r="DX31" s="105"/>
      <c r="DY31" s="105"/>
      <c r="DZ31" s="105"/>
      <c r="EA31" s="105"/>
      <c r="EB31" s="105"/>
      <c r="EC31" s="105"/>
      <c r="ED31" s="105"/>
      <c r="EE31" s="105"/>
      <c r="EF31" s="105"/>
      <c r="EG31" s="105"/>
      <c r="EH31" s="105"/>
      <c r="EI31" s="105"/>
      <c r="EJ31" s="105"/>
      <c r="EK31" s="105"/>
      <c r="EL31" s="105"/>
      <c r="EM31" s="105"/>
      <c r="EN31" s="105"/>
      <c r="EO31" s="105"/>
      <c r="EP31" s="105"/>
      <c r="EQ31" s="105"/>
      <c r="ER31" s="105"/>
      <c r="ES31" s="105"/>
      <c r="ET31" s="105"/>
      <c r="EU31" s="105"/>
      <c r="EV31" s="105"/>
      <c r="EW31" s="105"/>
      <c r="EX31" s="105"/>
      <c r="EY31" s="105"/>
      <c r="EZ31" s="105"/>
      <c r="FA31" s="105"/>
      <c r="FB31" s="105"/>
      <c r="FC31" s="105"/>
      <c r="FD31" s="105"/>
      <c r="FE31" s="105"/>
      <c r="FF31" s="105"/>
      <c r="FG31" s="105"/>
      <c r="FH31" s="105"/>
      <c r="FI31" s="105"/>
      <c r="FJ31" s="105"/>
      <c r="FK31" s="105"/>
      <c r="FL31" s="105"/>
      <c r="FM31" s="105"/>
      <c r="FN31" s="105"/>
      <c r="FO31" s="105"/>
      <c r="FP31" s="105"/>
      <c r="FQ31" s="105"/>
      <c r="FR31" s="105"/>
      <c r="FS31" s="105"/>
      <c r="FT31" s="105"/>
      <c r="FU31" s="105"/>
      <c r="FV31" s="105"/>
      <c r="FW31" s="105"/>
      <c r="FX31" s="105"/>
      <c r="FY31" s="105"/>
      <c r="FZ31" s="105"/>
      <c r="GA31" s="105"/>
      <c r="GB31" s="105"/>
      <c r="GC31" s="105"/>
      <c r="GD31" s="105"/>
      <c r="GE31" s="105"/>
      <c r="GF31" s="105"/>
      <c r="GG31" s="105"/>
      <c r="GH31" s="105"/>
      <c r="GI31" s="105"/>
      <c r="GJ31" s="105"/>
      <c r="GK31" s="105"/>
      <c r="GL31" s="105"/>
      <c r="GM31" s="105"/>
      <c r="GN31" s="105"/>
      <c r="GO31" s="105"/>
      <c r="GP31" s="105"/>
      <c r="GQ31" s="105"/>
      <c r="GR31" s="105"/>
      <c r="GS31" s="105"/>
      <c r="GT31" s="105"/>
      <c r="GU31" s="105"/>
      <c r="GV31" s="105"/>
      <c r="GW31" s="105"/>
      <c r="GX31" s="105"/>
      <c r="GY31" s="105"/>
      <c r="GZ31" s="105"/>
      <c r="HA31" s="105"/>
      <c r="HB31" s="105"/>
      <c r="HC31" s="105"/>
      <c r="HD31" s="105"/>
      <c r="HE31" s="105"/>
      <c r="HF31" s="105"/>
      <c r="HG31" s="105"/>
      <c r="HH31" s="105"/>
      <c r="HI31" s="105"/>
      <c r="HJ31" s="105"/>
      <c r="HK31" s="105"/>
      <c r="HL31" s="105"/>
      <c r="HM31" s="105"/>
      <c r="HN31" s="105"/>
      <c r="HO31" s="105"/>
      <c r="HP31" s="105"/>
      <c r="HQ31" s="105"/>
      <c r="HR31" s="105"/>
      <c r="HS31" s="105"/>
      <c r="HT31" s="105"/>
      <c r="HU31" s="105"/>
      <c r="HV31" s="105"/>
      <c r="HW31" s="105"/>
      <c r="HX31" s="105"/>
      <c r="HY31" s="105"/>
      <c r="HZ31" s="105"/>
      <c r="IA31" s="105"/>
      <c r="IB31" s="105"/>
      <c r="IC31" s="105"/>
      <c r="ID31" s="105"/>
      <c r="IE31" s="105"/>
      <c r="IF31" s="105"/>
      <c r="IG31" s="105"/>
      <c r="IH31" s="105"/>
      <c r="II31" s="105"/>
      <c r="IJ31" s="105"/>
      <c r="IK31" s="105"/>
      <c r="IL31" s="105"/>
      <c r="IM31" s="105"/>
      <c r="IN31" s="105"/>
      <c r="IO31" s="105"/>
      <c r="IP31" s="105"/>
      <c r="IQ31" s="105"/>
      <c r="IR31" s="105"/>
      <c r="IS31" s="105"/>
    </row>
    <row r="32" spans="1:253" ht="27.75" customHeight="1" thickBot="1">
      <c r="A32" s="219" t="s">
        <v>20</v>
      </c>
      <c r="B32" s="220"/>
      <c r="C32" s="220"/>
      <c r="D32" s="220"/>
      <c r="E32" s="220"/>
      <c r="F32" s="220"/>
      <c r="G32" s="220"/>
      <c r="H32" s="221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7"/>
      <c r="AA32" s="247"/>
      <c r="AB32" s="247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5"/>
      <c r="CL32" s="105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5"/>
      <c r="DO32" s="105"/>
      <c r="DP32" s="105"/>
      <c r="DQ32" s="105"/>
      <c r="DR32" s="105"/>
      <c r="DS32" s="105"/>
      <c r="DT32" s="105"/>
      <c r="DU32" s="105"/>
      <c r="DV32" s="105"/>
      <c r="DW32" s="105"/>
      <c r="DX32" s="105"/>
      <c r="DY32" s="105"/>
      <c r="DZ32" s="105"/>
      <c r="EA32" s="105"/>
      <c r="EB32" s="105"/>
      <c r="EC32" s="105"/>
      <c r="ED32" s="105"/>
      <c r="EE32" s="105"/>
      <c r="EF32" s="105"/>
      <c r="EG32" s="105"/>
      <c r="EH32" s="105"/>
      <c r="EI32" s="105"/>
      <c r="EJ32" s="105"/>
      <c r="EK32" s="105"/>
      <c r="EL32" s="105"/>
      <c r="EM32" s="105"/>
      <c r="EN32" s="105"/>
      <c r="EO32" s="105"/>
      <c r="EP32" s="105"/>
      <c r="EQ32" s="105"/>
      <c r="ER32" s="105"/>
      <c r="ES32" s="105"/>
      <c r="ET32" s="105"/>
      <c r="EU32" s="105"/>
      <c r="EV32" s="105"/>
      <c r="EW32" s="105"/>
      <c r="EX32" s="105"/>
      <c r="EY32" s="105"/>
      <c r="EZ32" s="105"/>
      <c r="FA32" s="105"/>
      <c r="FB32" s="105"/>
      <c r="FC32" s="105"/>
      <c r="FD32" s="105"/>
      <c r="FE32" s="105"/>
      <c r="FF32" s="105"/>
      <c r="FG32" s="105"/>
      <c r="FH32" s="105"/>
      <c r="FI32" s="105"/>
      <c r="FJ32" s="105"/>
      <c r="FK32" s="105"/>
      <c r="FL32" s="105"/>
      <c r="FM32" s="105"/>
      <c r="FN32" s="105"/>
      <c r="FO32" s="105"/>
      <c r="FP32" s="105"/>
      <c r="FQ32" s="105"/>
      <c r="FR32" s="105"/>
      <c r="FS32" s="105"/>
      <c r="FT32" s="105"/>
      <c r="FU32" s="105"/>
      <c r="FV32" s="105"/>
      <c r="FW32" s="105"/>
      <c r="FX32" s="105"/>
      <c r="FY32" s="105"/>
      <c r="FZ32" s="105"/>
      <c r="GA32" s="105"/>
      <c r="GB32" s="105"/>
      <c r="GC32" s="105"/>
      <c r="GD32" s="105"/>
      <c r="GE32" s="105"/>
      <c r="GF32" s="105"/>
      <c r="GG32" s="105"/>
      <c r="GH32" s="105"/>
      <c r="GI32" s="105"/>
      <c r="GJ32" s="105"/>
      <c r="GK32" s="105"/>
      <c r="GL32" s="105"/>
      <c r="GM32" s="105"/>
      <c r="GN32" s="105"/>
      <c r="GO32" s="105"/>
      <c r="GP32" s="105"/>
      <c r="GQ32" s="105"/>
      <c r="GR32" s="105"/>
      <c r="GS32" s="105"/>
      <c r="GT32" s="105"/>
      <c r="GU32" s="105"/>
      <c r="GV32" s="105"/>
      <c r="GW32" s="105"/>
      <c r="GX32" s="105"/>
      <c r="GY32" s="105"/>
      <c r="GZ32" s="105"/>
      <c r="HA32" s="105"/>
      <c r="HB32" s="105"/>
      <c r="HC32" s="105"/>
      <c r="HD32" s="105"/>
      <c r="HE32" s="105"/>
      <c r="HF32" s="105"/>
      <c r="HG32" s="105"/>
      <c r="HH32" s="105"/>
      <c r="HI32" s="105"/>
      <c r="HJ32" s="105"/>
      <c r="HK32" s="105"/>
      <c r="HL32" s="105"/>
      <c r="HM32" s="105"/>
      <c r="HN32" s="105"/>
      <c r="HO32" s="105"/>
      <c r="HP32" s="105"/>
      <c r="HQ32" s="105"/>
      <c r="HR32" s="105"/>
      <c r="HS32" s="105"/>
      <c r="HT32" s="105"/>
      <c r="HU32" s="105"/>
      <c r="HV32" s="105"/>
      <c r="HW32" s="105"/>
      <c r="HX32" s="105"/>
      <c r="HY32" s="105"/>
      <c r="HZ32" s="105"/>
      <c r="IA32" s="105"/>
      <c r="IB32" s="105"/>
      <c r="IC32" s="105"/>
      <c r="ID32" s="105"/>
      <c r="IE32" s="105"/>
      <c r="IF32" s="105"/>
      <c r="IG32" s="105"/>
      <c r="IH32" s="105"/>
      <c r="II32" s="105"/>
      <c r="IJ32" s="105"/>
      <c r="IK32" s="105"/>
      <c r="IL32" s="105"/>
      <c r="IM32" s="105"/>
      <c r="IN32" s="105"/>
      <c r="IO32" s="105"/>
      <c r="IP32" s="105"/>
      <c r="IQ32" s="105"/>
      <c r="IR32" s="105"/>
      <c r="IS32" s="105"/>
    </row>
    <row r="33" spans="1:253" ht="21.75" customHeight="1">
      <c r="A33" s="217" t="s">
        <v>21</v>
      </c>
      <c r="B33" s="218"/>
      <c r="C33" s="218"/>
      <c r="D33" s="218"/>
      <c r="E33" s="218"/>
      <c r="F33" s="218"/>
      <c r="G33" s="218"/>
      <c r="H33" s="218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7"/>
      <c r="AA33" s="247"/>
      <c r="AB33" s="247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5"/>
      <c r="CL33" s="105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5"/>
      <c r="DV33" s="105"/>
      <c r="DW33" s="105"/>
      <c r="DX33" s="105"/>
      <c r="DY33" s="105"/>
      <c r="DZ33" s="105"/>
      <c r="EA33" s="105"/>
      <c r="EB33" s="105"/>
      <c r="EC33" s="105"/>
      <c r="ED33" s="105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05"/>
      <c r="ER33" s="105"/>
      <c r="ES33" s="105"/>
      <c r="ET33" s="105"/>
      <c r="EU33" s="105"/>
      <c r="EV33" s="105"/>
      <c r="EW33" s="105"/>
      <c r="EX33" s="105"/>
      <c r="EY33" s="105"/>
      <c r="EZ33" s="105"/>
      <c r="FA33" s="105"/>
      <c r="FB33" s="105"/>
      <c r="FC33" s="105"/>
      <c r="FD33" s="105"/>
      <c r="FE33" s="105"/>
      <c r="FF33" s="105"/>
      <c r="FG33" s="105"/>
      <c r="FH33" s="105"/>
      <c r="FI33" s="105"/>
      <c r="FJ33" s="105"/>
      <c r="FK33" s="105"/>
      <c r="FL33" s="105"/>
      <c r="FM33" s="105"/>
      <c r="FN33" s="105"/>
      <c r="FO33" s="105"/>
      <c r="FP33" s="105"/>
      <c r="FQ33" s="105"/>
      <c r="FR33" s="105"/>
      <c r="FS33" s="105"/>
      <c r="FT33" s="105"/>
      <c r="FU33" s="105"/>
      <c r="FV33" s="105"/>
      <c r="FW33" s="105"/>
      <c r="FX33" s="105"/>
      <c r="FY33" s="105"/>
      <c r="FZ33" s="105"/>
      <c r="GA33" s="105"/>
      <c r="GB33" s="105"/>
      <c r="GC33" s="105"/>
      <c r="GD33" s="105"/>
      <c r="GE33" s="105"/>
      <c r="GF33" s="105"/>
      <c r="GG33" s="105"/>
      <c r="GH33" s="105"/>
      <c r="GI33" s="105"/>
      <c r="GJ33" s="105"/>
      <c r="GK33" s="105"/>
      <c r="GL33" s="105"/>
      <c r="GM33" s="105"/>
      <c r="GN33" s="105"/>
      <c r="GO33" s="105"/>
      <c r="GP33" s="105"/>
      <c r="GQ33" s="105"/>
      <c r="GR33" s="105"/>
      <c r="GS33" s="105"/>
      <c r="GT33" s="105"/>
      <c r="GU33" s="105"/>
      <c r="GV33" s="105"/>
      <c r="GW33" s="105"/>
      <c r="GX33" s="105"/>
      <c r="GY33" s="105"/>
      <c r="GZ33" s="105"/>
      <c r="HA33" s="105"/>
      <c r="HB33" s="105"/>
      <c r="HC33" s="105"/>
      <c r="HD33" s="105"/>
      <c r="HE33" s="105"/>
      <c r="HF33" s="105"/>
      <c r="HG33" s="105"/>
      <c r="HH33" s="105"/>
      <c r="HI33" s="105"/>
      <c r="HJ33" s="105"/>
      <c r="HK33" s="105"/>
      <c r="HL33" s="105"/>
      <c r="HM33" s="105"/>
      <c r="HN33" s="105"/>
      <c r="HO33" s="105"/>
      <c r="HP33" s="105"/>
      <c r="HQ33" s="105"/>
      <c r="HR33" s="105"/>
      <c r="HS33" s="105"/>
      <c r="HT33" s="105"/>
      <c r="HU33" s="105"/>
      <c r="HV33" s="105"/>
      <c r="HW33" s="105"/>
      <c r="HX33" s="105"/>
      <c r="HY33" s="105"/>
      <c r="HZ33" s="105"/>
      <c r="IA33" s="105"/>
      <c r="IB33" s="105"/>
      <c r="IC33" s="105"/>
      <c r="ID33" s="105"/>
      <c r="IE33" s="105"/>
      <c r="IF33" s="105"/>
      <c r="IG33" s="105"/>
      <c r="IH33" s="105"/>
      <c r="II33" s="105"/>
      <c r="IJ33" s="105"/>
      <c r="IK33" s="105"/>
      <c r="IL33" s="105"/>
      <c r="IM33" s="105"/>
      <c r="IN33" s="105"/>
      <c r="IO33" s="105"/>
      <c r="IP33" s="105"/>
      <c r="IQ33" s="105"/>
      <c r="IR33" s="105"/>
      <c r="IS33" s="105"/>
    </row>
    <row r="34" spans="1:253" ht="15" customHeight="1"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7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105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5"/>
      <c r="DV34" s="105"/>
      <c r="DW34" s="105"/>
      <c r="DX34" s="105"/>
      <c r="DY34" s="105"/>
      <c r="DZ34" s="105"/>
      <c r="EA34" s="105"/>
      <c r="EB34" s="105"/>
      <c r="EC34" s="105"/>
      <c r="ED34" s="105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05"/>
      <c r="ER34" s="105"/>
      <c r="ES34" s="105"/>
      <c r="ET34" s="105"/>
      <c r="EU34" s="105"/>
      <c r="EV34" s="105"/>
      <c r="EW34" s="105"/>
      <c r="EX34" s="105"/>
      <c r="EY34" s="105"/>
      <c r="EZ34" s="105"/>
      <c r="FA34" s="105"/>
      <c r="FB34" s="105"/>
      <c r="FC34" s="105"/>
      <c r="FD34" s="105"/>
      <c r="FE34" s="105"/>
      <c r="FF34" s="105"/>
      <c r="FG34" s="105"/>
      <c r="FH34" s="105"/>
      <c r="FI34" s="105"/>
      <c r="FJ34" s="105"/>
      <c r="FK34" s="105"/>
      <c r="FL34" s="105"/>
      <c r="FM34" s="105"/>
      <c r="FN34" s="105"/>
      <c r="FO34" s="105"/>
      <c r="FP34" s="105"/>
      <c r="FQ34" s="105"/>
      <c r="FR34" s="105"/>
      <c r="FS34" s="105"/>
      <c r="FT34" s="105"/>
      <c r="FU34" s="105"/>
      <c r="FV34" s="105"/>
      <c r="FW34" s="105"/>
      <c r="FX34" s="105"/>
      <c r="FY34" s="105"/>
      <c r="FZ34" s="105"/>
      <c r="GA34" s="105"/>
      <c r="GB34" s="105"/>
      <c r="GC34" s="105"/>
      <c r="GD34" s="105"/>
      <c r="GE34" s="105"/>
      <c r="GF34" s="105"/>
      <c r="GG34" s="105"/>
      <c r="GH34" s="105"/>
      <c r="GI34" s="105"/>
      <c r="GJ34" s="105"/>
      <c r="GK34" s="105"/>
      <c r="GL34" s="105"/>
      <c r="GM34" s="105"/>
      <c r="GN34" s="105"/>
      <c r="GO34" s="105"/>
      <c r="GP34" s="105"/>
      <c r="GQ34" s="105"/>
      <c r="GR34" s="105"/>
      <c r="GS34" s="105"/>
      <c r="GT34" s="105"/>
      <c r="GU34" s="105"/>
      <c r="GV34" s="105"/>
      <c r="GW34" s="105"/>
      <c r="GX34" s="105"/>
      <c r="GY34" s="105"/>
      <c r="GZ34" s="105"/>
      <c r="HA34" s="105"/>
      <c r="HB34" s="105"/>
      <c r="HC34" s="105"/>
      <c r="HD34" s="105"/>
      <c r="HE34" s="105"/>
      <c r="HF34" s="105"/>
      <c r="HG34" s="105"/>
      <c r="HH34" s="105"/>
      <c r="HI34" s="105"/>
      <c r="HJ34" s="105"/>
      <c r="HK34" s="105"/>
      <c r="HL34" s="105"/>
      <c r="HM34" s="105"/>
      <c r="HN34" s="105"/>
      <c r="HO34" s="105"/>
      <c r="HP34" s="105"/>
      <c r="HQ34" s="105"/>
      <c r="HR34" s="105"/>
      <c r="HS34" s="105"/>
      <c r="HT34" s="105"/>
      <c r="HU34" s="105"/>
      <c r="HV34" s="105"/>
      <c r="HW34" s="105"/>
      <c r="HX34" s="105"/>
      <c r="HY34" s="105"/>
      <c r="HZ34" s="105"/>
      <c r="IA34" s="105"/>
      <c r="IB34" s="105"/>
      <c r="IC34" s="105"/>
      <c r="ID34" s="105"/>
      <c r="IE34" s="105"/>
      <c r="IF34" s="105"/>
      <c r="IG34" s="105"/>
      <c r="IH34" s="105"/>
      <c r="II34" s="105"/>
      <c r="IJ34" s="105"/>
      <c r="IK34" s="105"/>
      <c r="IL34" s="105"/>
      <c r="IM34" s="105"/>
      <c r="IN34" s="105"/>
      <c r="IO34" s="105"/>
      <c r="IP34" s="105"/>
      <c r="IQ34" s="105"/>
      <c r="IR34" s="105"/>
      <c r="IS34" s="105"/>
    </row>
    <row r="35" spans="1:253" ht="15" customHeight="1"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5"/>
      <c r="CL35" s="105"/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  <c r="DA35" s="105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5"/>
      <c r="DO35" s="105"/>
      <c r="DP35" s="105"/>
      <c r="DQ35" s="105"/>
      <c r="DR35" s="105"/>
      <c r="DS35" s="105"/>
      <c r="DT35" s="105"/>
      <c r="DU35" s="105"/>
      <c r="DV35" s="105"/>
      <c r="DW35" s="105"/>
      <c r="DX35" s="105"/>
      <c r="DY35" s="105"/>
      <c r="DZ35" s="105"/>
      <c r="EA35" s="105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05"/>
      <c r="ER35" s="105"/>
      <c r="ES35" s="105"/>
      <c r="ET35" s="105"/>
      <c r="EU35" s="105"/>
      <c r="EV35" s="105"/>
      <c r="EW35" s="105"/>
      <c r="EX35" s="105"/>
      <c r="EY35" s="105"/>
      <c r="EZ35" s="105"/>
      <c r="FA35" s="105"/>
      <c r="FB35" s="105"/>
      <c r="FC35" s="105"/>
      <c r="FD35" s="105"/>
      <c r="FE35" s="105"/>
      <c r="FF35" s="105"/>
      <c r="FG35" s="105"/>
      <c r="FH35" s="105"/>
      <c r="FI35" s="105"/>
      <c r="FJ35" s="105"/>
      <c r="FK35" s="105"/>
      <c r="FL35" s="105"/>
      <c r="FM35" s="105"/>
      <c r="FN35" s="105"/>
      <c r="FO35" s="105"/>
      <c r="FP35" s="105"/>
      <c r="FQ35" s="105"/>
      <c r="FR35" s="105"/>
      <c r="FS35" s="105"/>
      <c r="FT35" s="105"/>
      <c r="FU35" s="105"/>
      <c r="FV35" s="105"/>
      <c r="FW35" s="105"/>
      <c r="FX35" s="105"/>
      <c r="FY35" s="105"/>
      <c r="FZ35" s="105"/>
      <c r="GA35" s="105"/>
      <c r="GB35" s="105"/>
      <c r="GC35" s="105"/>
      <c r="GD35" s="105"/>
      <c r="GE35" s="105"/>
      <c r="GF35" s="105"/>
      <c r="GG35" s="105"/>
      <c r="GH35" s="105"/>
      <c r="GI35" s="105"/>
      <c r="GJ35" s="105"/>
      <c r="GK35" s="105"/>
      <c r="GL35" s="105"/>
      <c r="GM35" s="105"/>
      <c r="GN35" s="105"/>
      <c r="GO35" s="105"/>
      <c r="GP35" s="105"/>
      <c r="GQ35" s="105"/>
      <c r="GR35" s="105"/>
      <c r="GS35" s="105"/>
      <c r="GT35" s="105"/>
      <c r="GU35" s="105"/>
      <c r="GV35" s="105"/>
      <c r="GW35" s="105"/>
      <c r="GX35" s="105"/>
      <c r="GY35" s="105"/>
      <c r="GZ35" s="105"/>
      <c r="HA35" s="105"/>
      <c r="HB35" s="105"/>
      <c r="HC35" s="105"/>
      <c r="HD35" s="105"/>
      <c r="HE35" s="105"/>
      <c r="HF35" s="105"/>
      <c r="HG35" s="105"/>
      <c r="HH35" s="105"/>
      <c r="HI35" s="105"/>
      <c r="HJ35" s="105"/>
      <c r="HK35" s="105"/>
      <c r="HL35" s="105"/>
      <c r="HM35" s="105"/>
      <c r="HN35" s="105"/>
      <c r="HO35" s="105"/>
      <c r="HP35" s="105"/>
      <c r="HQ35" s="105"/>
      <c r="HR35" s="105"/>
      <c r="HS35" s="105"/>
      <c r="HT35" s="105"/>
      <c r="HU35" s="105"/>
      <c r="HV35" s="105"/>
      <c r="HW35" s="105"/>
      <c r="HX35" s="105"/>
      <c r="HY35" s="105"/>
      <c r="HZ35" s="105"/>
      <c r="IA35" s="105"/>
      <c r="IB35" s="105"/>
      <c r="IC35" s="105"/>
      <c r="ID35" s="105"/>
      <c r="IE35" s="105"/>
      <c r="IF35" s="105"/>
      <c r="IG35" s="105"/>
      <c r="IH35" s="105"/>
      <c r="II35" s="105"/>
      <c r="IJ35" s="105"/>
      <c r="IK35" s="105"/>
      <c r="IL35" s="105"/>
      <c r="IM35" s="105"/>
      <c r="IN35" s="105"/>
      <c r="IO35" s="105"/>
      <c r="IP35" s="105"/>
      <c r="IQ35" s="105"/>
      <c r="IR35" s="105"/>
      <c r="IS35" s="105"/>
    </row>
    <row r="36" spans="1:253" ht="15" customHeight="1">
      <c r="A36" s="214"/>
      <c r="B36" s="214"/>
      <c r="C36" s="214"/>
      <c r="D36" s="214"/>
      <c r="E36" s="214"/>
      <c r="F36" s="214"/>
      <c r="G36" s="214"/>
      <c r="H36" s="214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7"/>
      <c r="X36" s="247"/>
      <c r="Y36" s="247"/>
      <c r="Z36" s="247"/>
      <c r="AA36" s="247"/>
      <c r="AB36" s="247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5"/>
      <c r="CL36" s="105"/>
      <c r="CM36" s="105"/>
      <c r="CN36" s="105"/>
      <c r="CO36" s="105"/>
      <c r="CP36" s="105"/>
      <c r="CQ36" s="105"/>
      <c r="CR36" s="105"/>
      <c r="CS36" s="105"/>
      <c r="CT36" s="105"/>
      <c r="CU36" s="105"/>
      <c r="CV36" s="105"/>
      <c r="CW36" s="105"/>
      <c r="CX36" s="105"/>
      <c r="CY36" s="105"/>
      <c r="CZ36" s="105"/>
      <c r="DA36" s="105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5"/>
      <c r="DO36" s="105"/>
      <c r="DP36" s="105"/>
      <c r="DQ36" s="105"/>
      <c r="DR36" s="105"/>
      <c r="DS36" s="105"/>
      <c r="DT36" s="105"/>
      <c r="DU36" s="105"/>
      <c r="DV36" s="105"/>
      <c r="DW36" s="105"/>
      <c r="DX36" s="105"/>
      <c r="DY36" s="105"/>
      <c r="DZ36" s="105"/>
      <c r="EA36" s="105"/>
      <c r="EB36" s="105"/>
      <c r="EC36" s="105"/>
      <c r="ED36" s="105"/>
      <c r="EE36" s="105"/>
      <c r="EF36" s="105"/>
      <c r="EG36" s="105"/>
      <c r="EH36" s="105"/>
      <c r="EI36" s="105"/>
      <c r="EJ36" s="105"/>
      <c r="EK36" s="105"/>
      <c r="EL36" s="105"/>
      <c r="EM36" s="105"/>
      <c r="EN36" s="105"/>
      <c r="EO36" s="105"/>
      <c r="EP36" s="105"/>
      <c r="EQ36" s="105"/>
      <c r="ER36" s="105"/>
      <c r="ES36" s="105"/>
      <c r="ET36" s="105"/>
      <c r="EU36" s="105"/>
      <c r="EV36" s="105"/>
      <c r="EW36" s="105"/>
      <c r="EX36" s="105"/>
      <c r="EY36" s="105"/>
      <c r="EZ36" s="105"/>
      <c r="FA36" s="105"/>
      <c r="FB36" s="105"/>
      <c r="FC36" s="105"/>
      <c r="FD36" s="105"/>
      <c r="FE36" s="105"/>
      <c r="FF36" s="105"/>
      <c r="FG36" s="105"/>
      <c r="FH36" s="105"/>
      <c r="FI36" s="105"/>
      <c r="FJ36" s="105"/>
      <c r="FK36" s="105"/>
      <c r="FL36" s="105"/>
      <c r="FM36" s="105"/>
      <c r="FN36" s="105"/>
      <c r="FO36" s="105"/>
      <c r="FP36" s="105"/>
      <c r="FQ36" s="105"/>
      <c r="FR36" s="105"/>
      <c r="FS36" s="105"/>
      <c r="FT36" s="105"/>
      <c r="FU36" s="105"/>
      <c r="FV36" s="105"/>
      <c r="FW36" s="105"/>
      <c r="FX36" s="105"/>
      <c r="FY36" s="105"/>
      <c r="FZ36" s="105"/>
      <c r="GA36" s="105"/>
      <c r="GB36" s="105"/>
      <c r="GC36" s="105"/>
      <c r="GD36" s="105"/>
      <c r="GE36" s="105"/>
      <c r="GF36" s="105"/>
      <c r="GG36" s="105"/>
      <c r="GH36" s="105"/>
      <c r="GI36" s="105"/>
      <c r="GJ36" s="105"/>
      <c r="GK36" s="105"/>
      <c r="GL36" s="105"/>
      <c r="GM36" s="105"/>
      <c r="GN36" s="105"/>
      <c r="GO36" s="105"/>
      <c r="GP36" s="105"/>
      <c r="GQ36" s="105"/>
      <c r="GR36" s="105"/>
      <c r="GS36" s="105"/>
      <c r="GT36" s="105"/>
      <c r="GU36" s="105"/>
      <c r="GV36" s="105"/>
      <c r="GW36" s="105"/>
      <c r="GX36" s="105"/>
      <c r="GY36" s="105"/>
      <c r="GZ36" s="105"/>
      <c r="HA36" s="105"/>
      <c r="HB36" s="105"/>
      <c r="HC36" s="105"/>
      <c r="HD36" s="105"/>
      <c r="HE36" s="105"/>
      <c r="HF36" s="105"/>
      <c r="HG36" s="105"/>
      <c r="HH36" s="105"/>
      <c r="HI36" s="105"/>
      <c r="HJ36" s="105"/>
      <c r="HK36" s="105"/>
      <c r="HL36" s="105"/>
      <c r="HM36" s="105"/>
      <c r="HN36" s="105"/>
      <c r="HO36" s="105"/>
      <c r="HP36" s="105"/>
      <c r="HQ36" s="105"/>
      <c r="HR36" s="105"/>
      <c r="HS36" s="105"/>
      <c r="HT36" s="105"/>
      <c r="HU36" s="105"/>
      <c r="HV36" s="105"/>
      <c r="HW36" s="105"/>
      <c r="HX36" s="105"/>
      <c r="HY36" s="105"/>
      <c r="HZ36" s="105"/>
      <c r="IA36" s="105"/>
      <c r="IB36" s="105"/>
      <c r="IC36" s="105"/>
      <c r="ID36" s="105"/>
      <c r="IE36" s="105"/>
      <c r="IF36" s="105"/>
      <c r="IG36" s="105"/>
      <c r="IH36" s="105"/>
      <c r="II36" s="105"/>
      <c r="IJ36" s="105"/>
      <c r="IK36" s="105"/>
      <c r="IL36" s="105"/>
      <c r="IM36" s="105"/>
      <c r="IN36" s="105"/>
      <c r="IO36" s="105"/>
      <c r="IP36" s="105"/>
      <c r="IQ36" s="105"/>
      <c r="IR36" s="105"/>
      <c r="IS36" s="105"/>
    </row>
    <row r="37" spans="1:253">
      <c r="A37" s="214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5"/>
      <c r="CL37" s="105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105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5"/>
      <c r="DO37" s="105"/>
      <c r="DP37" s="105"/>
      <c r="DQ37" s="105"/>
      <c r="DR37" s="105"/>
      <c r="DS37" s="105"/>
      <c r="DT37" s="105"/>
      <c r="DU37" s="105"/>
      <c r="DV37" s="105"/>
      <c r="DW37" s="105"/>
      <c r="DX37" s="105"/>
      <c r="DY37" s="105"/>
      <c r="DZ37" s="105"/>
      <c r="EA37" s="105"/>
      <c r="EB37" s="105"/>
      <c r="EC37" s="105"/>
      <c r="ED37" s="105"/>
      <c r="EE37" s="105"/>
      <c r="EF37" s="105"/>
      <c r="EG37" s="105"/>
      <c r="EH37" s="105"/>
      <c r="EI37" s="105"/>
      <c r="EJ37" s="105"/>
      <c r="EK37" s="105"/>
      <c r="EL37" s="105"/>
      <c r="EM37" s="105"/>
      <c r="EN37" s="105"/>
      <c r="EO37" s="105"/>
      <c r="EP37" s="105"/>
      <c r="EQ37" s="105"/>
      <c r="ER37" s="105"/>
      <c r="ES37" s="105"/>
      <c r="ET37" s="105"/>
      <c r="EU37" s="105"/>
      <c r="EV37" s="105"/>
      <c r="EW37" s="105"/>
      <c r="EX37" s="105"/>
      <c r="EY37" s="105"/>
      <c r="EZ37" s="105"/>
      <c r="FA37" s="105"/>
      <c r="FB37" s="105"/>
      <c r="FC37" s="105"/>
      <c r="FD37" s="105"/>
      <c r="FE37" s="105"/>
      <c r="FF37" s="105"/>
      <c r="FG37" s="105"/>
      <c r="FH37" s="105"/>
      <c r="FI37" s="105"/>
      <c r="FJ37" s="105"/>
      <c r="FK37" s="105"/>
      <c r="FL37" s="105"/>
      <c r="FM37" s="105"/>
      <c r="FN37" s="105"/>
      <c r="FO37" s="105"/>
      <c r="FP37" s="105"/>
      <c r="FQ37" s="105"/>
      <c r="FR37" s="105"/>
      <c r="FS37" s="105"/>
      <c r="FT37" s="105"/>
      <c r="FU37" s="105"/>
      <c r="FV37" s="105"/>
      <c r="FW37" s="105"/>
      <c r="FX37" s="105"/>
      <c r="FY37" s="105"/>
      <c r="FZ37" s="105"/>
      <c r="GA37" s="105"/>
      <c r="GB37" s="105"/>
      <c r="GC37" s="105"/>
      <c r="GD37" s="105"/>
      <c r="GE37" s="105"/>
      <c r="GF37" s="105"/>
      <c r="GG37" s="105"/>
      <c r="GH37" s="105"/>
      <c r="GI37" s="105"/>
      <c r="GJ37" s="105"/>
      <c r="GK37" s="105"/>
      <c r="GL37" s="105"/>
      <c r="GM37" s="105"/>
      <c r="GN37" s="105"/>
      <c r="GO37" s="105"/>
      <c r="GP37" s="105"/>
      <c r="GQ37" s="105"/>
      <c r="GR37" s="105"/>
      <c r="GS37" s="105"/>
      <c r="GT37" s="105"/>
      <c r="GU37" s="105"/>
      <c r="GV37" s="105"/>
      <c r="GW37" s="105"/>
      <c r="GX37" s="105"/>
      <c r="GY37" s="105"/>
      <c r="GZ37" s="105"/>
      <c r="HA37" s="105"/>
      <c r="HB37" s="105"/>
      <c r="HC37" s="105"/>
      <c r="HD37" s="105"/>
      <c r="HE37" s="105"/>
      <c r="HF37" s="105"/>
      <c r="HG37" s="105"/>
      <c r="HH37" s="105"/>
      <c r="HI37" s="105"/>
      <c r="HJ37" s="105"/>
      <c r="HK37" s="105"/>
      <c r="HL37" s="105"/>
      <c r="HM37" s="105"/>
      <c r="HN37" s="105"/>
      <c r="HO37" s="105"/>
      <c r="HP37" s="105"/>
      <c r="HQ37" s="105"/>
      <c r="HR37" s="105"/>
      <c r="HS37" s="105"/>
      <c r="HT37" s="105"/>
      <c r="HU37" s="105"/>
      <c r="HV37" s="105"/>
      <c r="HW37" s="105"/>
      <c r="HX37" s="105"/>
      <c r="HY37" s="105"/>
      <c r="HZ37" s="105"/>
      <c r="IA37" s="105"/>
      <c r="IB37" s="105"/>
      <c r="IC37" s="105"/>
      <c r="ID37" s="105"/>
      <c r="IE37" s="105"/>
      <c r="IF37" s="105"/>
      <c r="IG37" s="105"/>
      <c r="IH37" s="105"/>
      <c r="II37" s="105"/>
      <c r="IJ37" s="105"/>
      <c r="IK37" s="105"/>
      <c r="IL37" s="105"/>
      <c r="IM37" s="105"/>
      <c r="IN37" s="105"/>
      <c r="IO37" s="105"/>
      <c r="IP37" s="105"/>
      <c r="IQ37" s="105"/>
      <c r="IR37" s="105"/>
      <c r="IS37" s="105"/>
    </row>
    <row r="38" spans="1:253">
      <c r="A38" s="214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5"/>
      <c r="CL38" s="105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/>
      <c r="DT38" s="105"/>
      <c r="DU38" s="105"/>
      <c r="DV38" s="105"/>
      <c r="DW38" s="105"/>
      <c r="DX38" s="105"/>
      <c r="DY38" s="105"/>
      <c r="DZ38" s="105"/>
      <c r="EA38" s="105"/>
      <c r="EB38" s="105"/>
      <c r="EC38" s="105"/>
      <c r="ED38" s="105"/>
      <c r="EE38" s="105"/>
      <c r="EF38" s="105"/>
      <c r="EG38" s="105"/>
      <c r="EH38" s="105"/>
      <c r="EI38" s="105"/>
      <c r="EJ38" s="105"/>
      <c r="EK38" s="105"/>
      <c r="EL38" s="105"/>
      <c r="EM38" s="105"/>
      <c r="EN38" s="105"/>
      <c r="EO38" s="105"/>
      <c r="EP38" s="105"/>
      <c r="EQ38" s="105"/>
      <c r="ER38" s="105"/>
      <c r="ES38" s="105"/>
      <c r="ET38" s="105"/>
      <c r="EU38" s="105"/>
      <c r="EV38" s="105"/>
      <c r="EW38" s="105"/>
      <c r="EX38" s="105"/>
      <c r="EY38" s="105"/>
      <c r="EZ38" s="105"/>
      <c r="FA38" s="105"/>
      <c r="FB38" s="105"/>
      <c r="FC38" s="105"/>
      <c r="FD38" s="105"/>
      <c r="FE38" s="105"/>
      <c r="FF38" s="105"/>
      <c r="FG38" s="105"/>
      <c r="FH38" s="105"/>
      <c r="FI38" s="105"/>
      <c r="FJ38" s="105"/>
      <c r="FK38" s="105"/>
      <c r="FL38" s="105"/>
      <c r="FM38" s="105"/>
      <c r="FN38" s="105"/>
      <c r="FO38" s="105"/>
      <c r="FP38" s="105"/>
      <c r="FQ38" s="105"/>
      <c r="FR38" s="105"/>
      <c r="FS38" s="105"/>
      <c r="FT38" s="105"/>
      <c r="FU38" s="105"/>
      <c r="FV38" s="105"/>
      <c r="FW38" s="105"/>
      <c r="FX38" s="105"/>
      <c r="FY38" s="105"/>
      <c r="FZ38" s="105"/>
      <c r="GA38" s="105"/>
      <c r="GB38" s="105"/>
      <c r="GC38" s="105"/>
      <c r="GD38" s="105"/>
      <c r="GE38" s="105"/>
      <c r="GF38" s="105"/>
      <c r="GG38" s="105"/>
      <c r="GH38" s="105"/>
      <c r="GI38" s="105"/>
      <c r="GJ38" s="105"/>
      <c r="GK38" s="105"/>
      <c r="GL38" s="105"/>
      <c r="GM38" s="105"/>
      <c r="GN38" s="105"/>
      <c r="GO38" s="105"/>
      <c r="GP38" s="105"/>
      <c r="GQ38" s="105"/>
      <c r="GR38" s="105"/>
      <c r="GS38" s="105"/>
      <c r="GT38" s="105"/>
      <c r="GU38" s="105"/>
      <c r="GV38" s="105"/>
      <c r="GW38" s="105"/>
      <c r="GX38" s="105"/>
      <c r="GY38" s="105"/>
      <c r="GZ38" s="105"/>
      <c r="HA38" s="105"/>
      <c r="HB38" s="105"/>
      <c r="HC38" s="105"/>
      <c r="HD38" s="105"/>
      <c r="HE38" s="105"/>
      <c r="HF38" s="105"/>
      <c r="HG38" s="105"/>
      <c r="HH38" s="105"/>
      <c r="HI38" s="105"/>
      <c r="HJ38" s="105"/>
      <c r="HK38" s="105"/>
      <c r="HL38" s="105"/>
      <c r="HM38" s="105"/>
      <c r="HN38" s="105"/>
      <c r="HO38" s="105"/>
      <c r="HP38" s="105"/>
      <c r="HQ38" s="105"/>
      <c r="HR38" s="105"/>
      <c r="HS38" s="105"/>
      <c r="HT38" s="105"/>
      <c r="HU38" s="105"/>
      <c r="HV38" s="105"/>
      <c r="HW38" s="105"/>
      <c r="HX38" s="105"/>
      <c r="HY38" s="105"/>
      <c r="HZ38" s="105"/>
      <c r="IA38" s="105"/>
      <c r="IB38" s="105"/>
      <c r="IC38" s="105"/>
      <c r="ID38" s="105"/>
      <c r="IE38" s="105"/>
      <c r="IF38" s="105"/>
      <c r="IG38" s="105"/>
      <c r="IH38" s="105"/>
      <c r="II38" s="105"/>
      <c r="IJ38" s="105"/>
      <c r="IK38" s="105"/>
      <c r="IL38" s="105"/>
      <c r="IM38" s="105"/>
      <c r="IN38" s="105"/>
      <c r="IO38" s="105"/>
      <c r="IP38" s="105"/>
      <c r="IQ38" s="105"/>
      <c r="IR38" s="105"/>
      <c r="IS38" s="105"/>
    </row>
    <row r="39" spans="1:253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5"/>
      <c r="CL39" s="105"/>
      <c r="CM39" s="105"/>
      <c r="CN39" s="105"/>
      <c r="CO39" s="105"/>
      <c r="CP39" s="105"/>
      <c r="CQ39" s="105"/>
      <c r="CR39" s="105"/>
      <c r="CS39" s="105"/>
      <c r="CT39" s="105"/>
      <c r="CU39" s="105"/>
      <c r="CV39" s="105"/>
      <c r="CW39" s="105"/>
      <c r="CX39" s="105"/>
      <c r="CY39" s="105"/>
      <c r="CZ39" s="105"/>
      <c r="DA39" s="105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5"/>
      <c r="DO39" s="105"/>
      <c r="DP39" s="105"/>
      <c r="DQ39" s="105"/>
      <c r="DR39" s="105"/>
      <c r="DS39" s="105"/>
      <c r="DT39" s="105"/>
      <c r="DU39" s="105"/>
      <c r="DV39" s="105"/>
      <c r="DW39" s="105"/>
      <c r="DX39" s="105"/>
      <c r="DY39" s="105"/>
      <c r="DZ39" s="105"/>
      <c r="EA39" s="105"/>
      <c r="EB39" s="105"/>
      <c r="EC39" s="105"/>
      <c r="ED39" s="105"/>
      <c r="EE39" s="105"/>
      <c r="EF39" s="105"/>
      <c r="EG39" s="105"/>
      <c r="EH39" s="105"/>
      <c r="EI39" s="105"/>
      <c r="EJ39" s="105"/>
      <c r="EK39" s="105"/>
      <c r="EL39" s="105"/>
      <c r="EM39" s="105"/>
      <c r="EN39" s="105"/>
      <c r="EO39" s="105"/>
      <c r="EP39" s="105"/>
      <c r="EQ39" s="105"/>
      <c r="ER39" s="105"/>
      <c r="ES39" s="105"/>
      <c r="ET39" s="105"/>
      <c r="EU39" s="105"/>
      <c r="EV39" s="105"/>
      <c r="EW39" s="105"/>
      <c r="EX39" s="105"/>
      <c r="EY39" s="105"/>
      <c r="EZ39" s="105"/>
      <c r="FA39" s="105"/>
      <c r="FB39" s="105"/>
      <c r="FC39" s="105"/>
      <c r="FD39" s="105"/>
      <c r="FE39" s="105"/>
      <c r="FF39" s="105"/>
      <c r="FG39" s="105"/>
      <c r="FH39" s="105"/>
      <c r="FI39" s="105"/>
      <c r="FJ39" s="105"/>
      <c r="FK39" s="105"/>
      <c r="FL39" s="105"/>
      <c r="FM39" s="105"/>
      <c r="FN39" s="105"/>
      <c r="FO39" s="105"/>
      <c r="FP39" s="105"/>
      <c r="FQ39" s="105"/>
      <c r="FR39" s="105"/>
      <c r="FS39" s="105"/>
      <c r="FT39" s="105"/>
      <c r="FU39" s="105"/>
      <c r="FV39" s="105"/>
      <c r="FW39" s="105"/>
      <c r="FX39" s="105"/>
      <c r="FY39" s="105"/>
      <c r="FZ39" s="105"/>
      <c r="GA39" s="105"/>
      <c r="GB39" s="105"/>
      <c r="GC39" s="105"/>
      <c r="GD39" s="105"/>
      <c r="GE39" s="105"/>
      <c r="GF39" s="105"/>
      <c r="GG39" s="105"/>
      <c r="GH39" s="105"/>
      <c r="GI39" s="105"/>
      <c r="GJ39" s="105"/>
      <c r="GK39" s="105"/>
      <c r="GL39" s="105"/>
      <c r="GM39" s="105"/>
      <c r="GN39" s="105"/>
      <c r="GO39" s="105"/>
      <c r="GP39" s="105"/>
      <c r="GQ39" s="105"/>
      <c r="GR39" s="105"/>
      <c r="GS39" s="105"/>
      <c r="GT39" s="105"/>
      <c r="GU39" s="105"/>
      <c r="GV39" s="105"/>
      <c r="GW39" s="105"/>
      <c r="GX39" s="105"/>
      <c r="GY39" s="105"/>
      <c r="GZ39" s="105"/>
      <c r="HA39" s="105"/>
      <c r="HB39" s="105"/>
      <c r="HC39" s="105"/>
      <c r="HD39" s="105"/>
      <c r="HE39" s="105"/>
      <c r="HF39" s="105"/>
      <c r="HG39" s="105"/>
      <c r="HH39" s="105"/>
      <c r="HI39" s="105"/>
      <c r="HJ39" s="105"/>
      <c r="HK39" s="105"/>
      <c r="HL39" s="105"/>
      <c r="HM39" s="105"/>
      <c r="HN39" s="105"/>
      <c r="HO39" s="105"/>
      <c r="HP39" s="105"/>
      <c r="HQ39" s="105"/>
      <c r="HR39" s="105"/>
      <c r="HS39" s="105"/>
      <c r="HT39" s="105"/>
      <c r="HU39" s="105"/>
      <c r="HV39" s="105"/>
      <c r="HW39" s="105"/>
      <c r="HX39" s="105"/>
      <c r="HY39" s="105"/>
      <c r="HZ39" s="105"/>
      <c r="IA39" s="105"/>
      <c r="IB39" s="105"/>
      <c r="IC39" s="105"/>
      <c r="ID39" s="105"/>
      <c r="IE39" s="105"/>
      <c r="IF39" s="105"/>
      <c r="IG39" s="105"/>
      <c r="IH39" s="105"/>
      <c r="II39" s="105"/>
      <c r="IJ39" s="105"/>
      <c r="IK39" s="105"/>
      <c r="IL39" s="105"/>
      <c r="IM39" s="105"/>
      <c r="IN39" s="105"/>
      <c r="IO39" s="105"/>
      <c r="IP39" s="105"/>
      <c r="IQ39" s="105"/>
      <c r="IR39" s="105"/>
      <c r="IS39" s="105"/>
    </row>
    <row r="40" spans="1:253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/>
      <c r="BY40" s="105"/>
      <c r="BZ40" s="105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5"/>
      <c r="CL40" s="105"/>
      <c r="CM40" s="105"/>
      <c r="CN40" s="105"/>
      <c r="CO40" s="105"/>
      <c r="CP40" s="105"/>
      <c r="CQ40" s="105"/>
      <c r="CR40" s="105"/>
      <c r="CS40" s="105"/>
      <c r="CT40" s="105"/>
      <c r="CU40" s="105"/>
      <c r="CV40" s="105"/>
      <c r="CW40" s="105"/>
      <c r="CX40" s="105"/>
      <c r="CY40" s="105"/>
      <c r="CZ40" s="105"/>
      <c r="DA40" s="105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5"/>
      <c r="DO40" s="105"/>
      <c r="DP40" s="105"/>
      <c r="DQ40" s="105"/>
      <c r="DR40" s="105"/>
      <c r="DS40" s="105"/>
      <c r="DT40" s="105"/>
      <c r="DU40" s="105"/>
      <c r="DV40" s="105"/>
      <c r="DW40" s="105"/>
      <c r="DX40" s="105"/>
      <c r="DY40" s="105"/>
      <c r="DZ40" s="105"/>
      <c r="EA40" s="105"/>
      <c r="EB40" s="105"/>
      <c r="EC40" s="105"/>
      <c r="ED40" s="105"/>
      <c r="EE40" s="105"/>
      <c r="EF40" s="105"/>
      <c r="EG40" s="105"/>
      <c r="EH40" s="105"/>
      <c r="EI40" s="105"/>
      <c r="EJ40" s="105"/>
      <c r="EK40" s="105"/>
      <c r="EL40" s="105"/>
      <c r="EM40" s="105"/>
      <c r="EN40" s="105"/>
      <c r="EO40" s="105"/>
      <c r="EP40" s="105"/>
      <c r="EQ40" s="105"/>
      <c r="ER40" s="105"/>
      <c r="ES40" s="105"/>
      <c r="ET40" s="105"/>
      <c r="EU40" s="105"/>
      <c r="EV40" s="105"/>
      <c r="EW40" s="105"/>
      <c r="EX40" s="105"/>
      <c r="EY40" s="105"/>
      <c r="EZ40" s="105"/>
      <c r="FA40" s="105"/>
      <c r="FB40" s="105"/>
      <c r="FC40" s="105"/>
      <c r="FD40" s="105"/>
      <c r="FE40" s="105"/>
      <c r="FF40" s="105"/>
      <c r="FG40" s="105"/>
      <c r="FH40" s="105"/>
      <c r="FI40" s="105"/>
      <c r="FJ40" s="105"/>
      <c r="FK40" s="105"/>
      <c r="FL40" s="105"/>
      <c r="FM40" s="105"/>
      <c r="FN40" s="105"/>
      <c r="FO40" s="105"/>
      <c r="FP40" s="105"/>
      <c r="FQ40" s="105"/>
      <c r="FR40" s="105"/>
      <c r="FS40" s="105"/>
      <c r="FT40" s="105"/>
      <c r="FU40" s="105"/>
      <c r="FV40" s="105"/>
      <c r="FW40" s="105"/>
      <c r="FX40" s="105"/>
      <c r="FY40" s="105"/>
      <c r="FZ40" s="105"/>
      <c r="GA40" s="105"/>
      <c r="GB40" s="105"/>
      <c r="GC40" s="105"/>
      <c r="GD40" s="105"/>
      <c r="GE40" s="105"/>
      <c r="GF40" s="105"/>
      <c r="GG40" s="105"/>
      <c r="GH40" s="105"/>
      <c r="GI40" s="105"/>
      <c r="GJ40" s="105"/>
      <c r="GK40" s="105"/>
      <c r="GL40" s="105"/>
      <c r="GM40" s="105"/>
      <c r="GN40" s="105"/>
      <c r="GO40" s="105"/>
      <c r="GP40" s="105"/>
      <c r="GQ40" s="105"/>
      <c r="GR40" s="105"/>
      <c r="GS40" s="105"/>
      <c r="GT40" s="105"/>
      <c r="GU40" s="105"/>
      <c r="GV40" s="105"/>
      <c r="GW40" s="105"/>
      <c r="GX40" s="105"/>
      <c r="GY40" s="105"/>
      <c r="GZ40" s="105"/>
      <c r="HA40" s="105"/>
      <c r="HB40" s="105"/>
      <c r="HC40" s="105"/>
      <c r="HD40" s="105"/>
      <c r="HE40" s="105"/>
      <c r="HF40" s="105"/>
      <c r="HG40" s="105"/>
      <c r="HH40" s="105"/>
      <c r="HI40" s="105"/>
      <c r="HJ40" s="105"/>
      <c r="HK40" s="105"/>
      <c r="HL40" s="105"/>
      <c r="HM40" s="105"/>
      <c r="HN40" s="105"/>
      <c r="HO40" s="105"/>
      <c r="HP40" s="105"/>
      <c r="HQ40" s="105"/>
      <c r="HR40" s="105"/>
      <c r="HS40" s="105"/>
      <c r="HT40" s="105"/>
      <c r="HU40" s="105"/>
      <c r="HV40" s="105"/>
      <c r="HW40" s="105"/>
      <c r="HX40" s="105"/>
      <c r="HY40" s="105"/>
      <c r="HZ40" s="105"/>
      <c r="IA40" s="105"/>
      <c r="IB40" s="105"/>
      <c r="IC40" s="105"/>
      <c r="ID40" s="105"/>
      <c r="IE40" s="105"/>
      <c r="IF40" s="105"/>
      <c r="IG40" s="105"/>
      <c r="IH40" s="105"/>
      <c r="II40" s="105"/>
      <c r="IJ40" s="105"/>
      <c r="IK40" s="105"/>
      <c r="IL40" s="105"/>
      <c r="IM40" s="105"/>
      <c r="IN40" s="105"/>
      <c r="IO40" s="105"/>
      <c r="IP40" s="105"/>
      <c r="IQ40" s="105"/>
      <c r="IR40" s="105"/>
      <c r="IS40" s="105"/>
    </row>
    <row r="41" spans="1:253">
      <c r="A41" s="214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F41" s="105"/>
      <c r="GG41" s="105"/>
      <c r="GH41" s="105"/>
      <c r="GI41" s="105"/>
      <c r="GJ41" s="105"/>
      <c r="GK41" s="105"/>
      <c r="GL41" s="105"/>
      <c r="GM41" s="105"/>
      <c r="GN41" s="105"/>
      <c r="GO41" s="105"/>
      <c r="GP41" s="105"/>
      <c r="GQ41" s="105"/>
      <c r="GR41" s="105"/>
      <c r="GS41" s="105"/>
      <c r="GT41" s="105"/>
      <c r="GU41" s="105"/>
      <c r="GV41" s="105"/>
      <c r="GW41" s="105"/>
      <c r="GX41" s="105"/>
      <c r="GY41" s="105"/>
      <c r="GZ41" s="105"/>
      <c r="HA41" s="105"/>
      <c r="HB41" s="105"/>
      <c r="HC41" s="105"/>
      <c r="HD41" s="105"/>
      <c r="HE41" s="105"/>
      <c r="HF41" s="105"/>
      <c r="HG41" s="105"/>
      <c r="HH41" s="105"/>
      <c r="HI41" s="105"/>
      <c r="HJ41" s="105"/>
      <c r="HK41" s="105"/>
      <c r="HL41" s="105"/>
      <c r="HM41" s="105"/>
      <c r="HN41" s="105"/>
      <c r="HO41" s="105"/>
      <c r="HP41" s="105"/>
      <c r="HQ41" s="105"/>
      <c r="HR41" s="105"/>
      <c r="HS41" s="105"/>
      <c r="HT41" s="105"/>
      <c r="HU41" s="105"/>
      <c r="HV41" s="105"/>
      <c r="HW41" s="105"/>
      <c r="HX41" s="105"/>
      <c r="HY41" s="105"/>
      <c r="HZ41" s="105"/>
      <c r="IA41" s="105"/>
      <c r="IB41" s="105"/>
      <c r="IC41" s="105"/>
      <c r="ID41" s="105"/>
      <c r="IE41" s="105"/>
      <c r="IF41" s="105"/>
      <c r="IG41" s="105"/>
      <c r="IH41" s="105"/>
      <c r="II41" s="105"/>
      <c r="IJ41" s="105"/>
      <c r="IK41" s="105"/>
      <c r="IL41" s="105"/>
      <c r="IM41" s="105"/>
      <c r="IN41" s="105"/>
      <c r="IO41" s="105"/>
      <c r="IP41" s="105"/>
      <c r="IQ41" s="105"/>
      <c r="IR41" s="105"/>
      <c r="IS41" s="105"/>
    </row>
    <row r="42" spans="1:253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5"/>
      <c r="FI42" s="105"/>
      <c r="FJ42" s="105"/>
      <c r="FK42" s="105"/>
      <c r="FL42" s="105"/>
      <c r="FM42" s="105"/>
      <c r="FN42" s="105"/>
      <c r="FO42" s="105"/>
      <c r="FP42" s="105"/>
      <c r="FQ42" s="105"/>
      <c r="FR42" s="105"/>
      <c r="FS42" s="105"/>
      <c r="FT42" s="105"/>
      <c r="FU42" s="105"/>
      <c r="FV42" s="105"/>
      <c r="FW42" s="105"/>
      <c r="FX42" s="105"/>
      <c r="FY42" s="105"/>
      <c r="FZ42" s="105"/>
      <c r="GA42" s="105"/>
      <c r="GB42" s="105"/>
      <c r="GC42" s="105"/>
      <c r="GD42" s="105"/>
      <c r="GE42" s="105"/>
      <c r="GF42" s="105"/>
      <c r="GG42" s="105"/>
      <c r="GH42" s="105"/>
      <c r="GI42" s="105"/>
      <c r="GJ42" s="105"/>
      <c r="GK42" s="105"/>
      <c r="GL42" s="105"/>
      <c r="GM42" s="105"/>
      <c r="GN42" s="105"/>
      <c r="GO42" s="105"/>
      <c r="GP42" s="105"/>
      <c r="GQ42" s="105"/>
      <c r="GR42" s="105"/>
      <c r="GS42" s="105"/>
      <c r="GT42" s="105"/>
      <c r="GU42" s="105"/>
      <c r="GV42" s="105"/>
      <c r="GW42" s="105"/>
      <c r="GX42" s="105"/>
      <c r="GY42" s="105"/>
      <c r="GZ42" s="105"/>
      <c r="HA42" s="105"/>
      <c r="HB42" s="105"/>
      <c r="HC42" s="105"/>
      <c r="HD42" s="105"/>
      <c r="HE42" s="105"/>
      <c r="HF42" s="105"/>
      <c r="HG42" s="105"/>
      <c r="HH42" s="105"/>
      <c r="HI42" s="105"/>
      <c r="HJ42" s="105"/>
      <c r="HK42" s="105"/>
      <c r="HL42" s="105"/>
      <c r="HM42" s="105"/>
      <c r="HN42" s="105"/>
      <c r="HO42" s="105"/>
      <c r="HP42" s="105"/>
      <c r="HQ42" s="105"/>
      <c r="HR42" s="105"/>
      <c r="HS42" s="105"/>
      <c r="HT42" s="105"/>
      <c r="HU42" s="105"/>
      <c r="HV42" s="105"/>
      <c r="HW42" s="105"/>
      <c r="HX42" s="105"/>
      <c r="HY42" s="105"/>
      <c r="HZ42" s="105"/>
      <c r="IA42" s="105"/>
      <c r="IB42" s="105"/>
      <c r="IC42" s="105"/>
      <c r="ID42" s="105"/>
      <c r="IE42" s="105"/>
      <c r="IF42" s="105"/>
      <c r="IG42" s="105"/>
      <c r="IH42" s="105"/>
      <c r="II42" s="105"/>
      <c r="IJ42" s="105"/>
      <c r="IK42" s="105"/>
      <c r="IL42" s="105"/>
      <c r="IM42" s="105"/>
      <c r="IN42" s="105"/>
      <c r="IO42" s="105"/>
      <c r="IP42" s="105"/>
      <c r="IQ42" s="105"/>
      <c r="IR42" s="105"/>
      <c r="IS42" s="105"/>
    </row>
    <row r="43" spans="1:253">
      <c r="A43" s="214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105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/>
      <c r="DR43" s="105"/>
      <c r="DS43" s="105"/>
      <c r="DT43" s="105"/>
      <c r="DU43" s="105"/>
      <c r="DV43" s="105"/>
      <c r="DW43" s="105"/>
      <c r="DX43" s="105"/>
      <c r="DY43" s="105"/>
      <c r="DZ43" s="105"/>
      <c r="EA43" s="105"/>
      <c r="EB43" s="105"/>
      <c r="EC43" s="105"/>
      <c r="ED43" s="105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/>
      <c r="EZ43" s="105"/>
      <c r="FA43" s="105"/>
      <c r="FB43" s="105"/>
      <c r="FC43" s="105"/>
      <c r="FD43" s="105"/>
      <c r="FE43" s="105"/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5"/>
      <c r="FT43" s="105"/>
      <c r="FU43" s="105"/>
      <c r="FV43" s="105"/>
      <c r="FW43" s="105"/>
      <c r="FX43" s="105"/>
      <c r="FY43" s="105"/>
      <c r="FZ43" s="105"/>
      <c r="GA43" s="105"/>
      <c r="GB43" s="105"/>
      <c r="GC43" s="105"/>
      <c r="GD43" s="105"/>
      <c r="GE43" s="105"/>
      <c r="GF43" s="105"/>
      <c r="GG43" s="105"/>
      <c r="GH43" s="105"/>
      <c r="GI43" s="105"/>
      <c r="GJ43" s="105"/>
      <c r="GK43" s="105"/>
      <c r="GL43" s="105"/>
      <c r="GM43" s="105"/>
      <c r="GN43" s="105"/>
      <c r="GO43" s="105"/>
      <c r="GP43" s="105"/>
      <c r="GQ43" s="105"/>
      <c r="GR43" s="105"/>
      <c r="GS43" s="105"/>
      <c r="GT43" s="105"/>
      <c r="GU43" s="105"/>
      <c r="GV43" s="105"/>
      <c r="GW43" s="105"/>
      <c r="GX43" s="105"/>
      <c r="GY43" s="105"/>
      <c r="GZ43" s="105"/>
      <c r="HA43" s="105"/>
      <c r="HB43" s="105"/>
      <c r="HC43" s="105"/>
      <c r="HD43" s="105"/>
      <c r="HE43" s="105"/>
      <c r="HF43" s="105"/>
      <c r="HG43" s="105"/>
      <c r="HH43" s="105"/>
      <c r="HI43" s="105"/>
      <c r="HJ43" s="105"/>
      <c r="HK43" s="105"/>
      <c r="HL43" s="105"/>
      <c r="HM43" s="105"/>
      <c r="HN43" s="105"/>
      <c r="HO43" s="105"/>
      <c r="HP43" s="105"/>
      <c r="HQ43" s="105"/>
      <c r="HR43" s="105"/>
      <c r="HS43" s="105"/>
      <c r="HT43" s="105"/>
      <c r="HU43" s="105"/>
      <c r="HV43" s="105"/>
      <c r="HW43" s="105"/>
      <c r="HX43" s="105"/>
      <c r="HY43" s="105"/>
      <c r="HZ43" s="105"/>
      <c r="IA43" s="105"/>
      <c r="IB43" s="105"/>
      <c r="IC43" s="105"/>
      <c r="ID43" s="105"/>
      <c r="IE43" s="105"/>
      <c r="IF43" s="105"/>
      <c r="IG43" s="105"/>
      <c r="IH43" s="105"/>
      <c r="II43" s="105"/>
      <c r="IJ43" s="105"/>
      <c r="IK43" s="105"/>
      <c r="IL43" s="105"/>
      <c r="IM43" s="105"/>
      <c r="IN43" s="105"/>
      <c r="IO43" s="105"/>
      <c r="IP43" s="105"/>
      <c r="IQ43" s="105"/>
      <c r="IR43" s="105"/>
      <c r="IS43" s="105"/>
    </row>
    <row r="44" spans="1:253">
      <c r="A44" s="214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105"/>
      <c r="BU44" s="105"/>
      <c r="BV44" s="105"/>
      <c r="BW44" s="105"/>
      <c r="BX44" s="105"/>
      <c r="BY44" s="105"/>
      <c r="BZ44" s="105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5"/>
      <c r="CL44" s="105"/>
      <c r="CM44" s="105"/>
      <c r="CN44" s="105"/>
      <c r="CO44" s="105"/>
      <c r="CP44" s="105"/>
      <c r="CQ44" s="105"/>
      <c r="CR44" s="105"/>
      <c r="CS44" s="105"/>
      <c r="CT44" s="105"/>
      <c r="CU44" s="105"/>
      <c r="CV44" s="105"/>
      <c r="CW44" s="105"/>
      <c r="CX44" s="105"/>
      <c r="CY44" s="105"/>
      <c r="CZ44" s="105"/>
      <c r="DA44" s="105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/>
      <c r="DQ44" s="105"/>
      <c r="DR44" s="105"/>
      <c r="DS44" s="105"/>
      <c r="DT44" s="105"/>
      <c r="DU44" s="105"/>
      <c r="DV44" s="105"/>
      <c r="DW44" s="105"/>
      <c r="DX44" s="105"/>
      <c r="DY44" s="105"/>
      <c r="DZ44" s="105"/>
      <c r="EA44" s="105"/>
      <c r="EB44" s="105"/>
      <c r="EC44" s="105"/>
      <c r="ED44" s="105"/>
      <c r="EE44" s="105"/>
      <c r="EF44" s="105"/>
      <c r="EG44" s="105"/>
      <c r="EH44" s="105"/>
      <c r="EI44" s="105"/>
      <c r="EJ44" s="105"/>
      <c r="EK44" s="105"/>
      <c r="EL44" s="105"/>
      <c r="EM44" s="105"/>
      <c r="EN44" s="105"/>
      <c r="EO44" s="105"/>
      <c r="EP44" s="105"/>
      <c r="EQ44" s="105"/>
      <c r="ER44" s="105"/>
      <c r="ES44" s="105"/>
      <c r="ET44" s="105"/>
      <c r="EU44" s="105"/>
      <c r="EV44" s="105"/>
      <c r="EW44" s="105"/>
      <c r="EX44" s="105"/>
      <c r="EY44" s="105"/>
      <c r="EZ44" s="105"/>
      <c r="FA44" s="105"/>
      <c r="FB44" s="105"/>
      <c r="FC44" s="105"/>
      <c r="FD44" s="105"/>
      <c r="FE44" s="105"/>
      <c r="FF44" s="105"/>
      <c r="FG44" s="105"/>
      <c r="FH44" s="105"/>
      <c r="FI44" s="105"/>
      <c r="FJ44" s="105"/>
      <c r="FK44" s="105"/>
      <c r="FL44" s="105"/>
      <c r="FM44" s="105"/>
      <c r="FN44" s="105"/>
      <c r="FO44" s="105"/>
      <c r="FP44" s="105"/>
      <c r="FQ44" s="105"/>
      <c r="FR44" s="105"/>
      <c r="FS44" s="105"/>
      <c r="FT44" s="105"/>
      <c r="FU44" s="105"/>
      <c r="FV44" s="105"/>
      <c r="FW44" s="105"/>
      <c r="FX44" s="105"/>
      <c r="FY44" s="105"/>
      <c r="FZ44" s="105"/>
      <c r="GA44" s="105"/>
      <c r="GB44" s="105"/>
      <c r="GC44" s="105"/>
      <c r="GD44" s="105"/>
      <c r="GE44" s="105"/>
      <c r="GF44" s="105"/>
      <c r="GG44" s="105"/>
      <c r="GH44" s="105"/>
      <c r="GI44" s="105"/>
      <c r="GJ44" s="105"/>
      <c r="GK44" s="105"/>
      <c r="GL44" s="105"/>
      <c r="GM44" s="105"/>
      <c r="GN44" s="105"/>
      <c r="GO44" s="105"/>
      <c r="GP44" s="105"/>
      <c r="GQ44" s="105"/>
      <c r="GR44" s="105"/>
      <c r="GS44" s="105"/>
      <c r="GT44" s="105"/>
      <c r="GU44" s="105"/>
      <c r="GV44" s="105"/>
      <c r="GW44" s="105"/>
      <c r="GX44" s="105"/>
      <c r="GY44" s="105"/>
      <c r="GZ44" s="105"/>
      <c r="HA44" s="105"/>
      <c r="HB44" s="105"/>
      <c r="HC44" s="105"/>
      <c r="HD44" s="105"/>
      <c r="HE44" s="105"/>
      <c r="HF44" s="105"/>
      <c r="HG44" s="105"/>
      <c r="HH44" s="105"/>
      <c r="HI44" s="105"/>
      <c r="HJ44" s="105"/>
      <c r="HK44" s="105"/>
      <c r="HL44" s="105"/>
      <c r="HM44" s="105"/>
      <c r="HN44" s="105"/>
      <c r="HO44" s="105"/>
      <c r="HP44" s="105"/>
      <c r="HQ44" s="105"/>
      <c r="HR44" s="105"/>
      <c r="HS44" s="105"/>
      <c r="HT44" s="105"/>
      <c r="HU44" s="105"/>
      <c r="HV44" s="105"/>
      <c r="HW44" s="105"/>
      <c r="HX44" s="105"/>
      <c r="HY44" s="105"/>
      <c r="HZ44" s="105"/>
      <c r="IA44" s="105"/>
      <c r="IB44" s="105"/>
      <c r="IC44" s="105"/>
      <c r="ID44" s="105"/>
      <c r="IE44" s="105"/>
      <c r="IF44" s="105"/>
      <c r="IG44" s="105"/>
      <c r="IH44" s="105"/>
      <c r="II44" s="105"/>
      <c r="IJ44" s="105"/>
      <c r="IK44" s="105"/>
      <c r="IL44" s="105"/>
      <c r="IM44" s="105"/>
      <c r="IN44" s="105"/>
      <c r="IO44" s="105"/>
      <c r="IP44" s="105"/>
      <c r="IQ44" s="105"/>
      <c r="IR44" s="105"/>
      <c r="IS44" s="105"/>
    </row>
    <row r="45" spans="1:253">
      <c r="A45" s="214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5"/>
      <c r="DO45" s="105"/>
      <c r="DP45" s="105"/>
      <c r="DQ45" s="105"/>
      <c r="DR45" s="105"/>
      <c r="DS45" s="105"/>
      <c r="DT45" s="105"/>
      <c r="DU45" s="105"/>
      <c r="DV45" s="105"/>
      <c r="DW45" s="105"/>
      <c r="DX45" s="105"/>
      <c r="DY45" s="105"/>
      <c r="DZ45" s="105"/>
      <c r="EA45" s="105"/>
      <c r="EB45" s="105"/>
      <c r="EC45" s="105"/>
      <c r="ED45" s="105"/>
      <c r="EE45" s="105"/>
      <c r="EF45" s="105"/>
      <c r="EG45" s="105"/>
      <c r="EH45" s="105"/>
      <c r="EI45" s="105"/>
      <c r="EJ45" s="105"/>
      <c r="EK45" s="105"/>
      <c r="EL45" s="105"/>
      <c r="EM45" s="105"/>
      <c r="EN45" s="105"/>
      <c r="EO45" s="105"/>
      <c r="EP45" s="105"/>
      <c r="EQ45" s="105"/>
      <c r="ER45" s="105"/>
      <c r="ES45" s="105"/>
      <c r="ET45" s="105"/>
      <c r="EU45" s="105"/>
      <c r="EV45" s="105"/>
      <c r="EW45" s="105"/>
      <c r="EX45" s="105"/>
      <c r="EY45" s="105"/>
      <c r="EZ45" s="105"/>
      <c r="FA45" s="105"/>
      <c r="FB45" s="105"/>
      <c r="FC45" s="105"/>
      <c r="FD45" s="105"/>
      <c r="FE45" s="105"/>
      <c r="FF45" s="105"/>
      <c r="FG45" s="105"/>
      <c r="FH45" s="105"/>
      <c r="FI45" s="105"/>
      <c r="FJ45" s="105"/>
      <c r="FK45" s="105"/>
      <c r="FL45" s="105"/>
      <c r="FM45" s="105"/>
      <c r="FN45" s="105"/>
      <c r="FO45" s="105"/>
      <c r="FP45" s="105"/>
      <c r="FQ45" s="105"/>
      <c r="FR45" s="105"/>
      <c r="FS45" s="105"/>
      <c r="FT45" s="105"/>
      <c r="FU45" s="105"/>
      <c r="FV45" s="105"/>
      <c r="FW45" s="105"/>
      <c r="FX45" s="105"/>
      <c r="FY45" s="105"/>
      <c r="FZ45" s="105"/>
      <c r="GA45" s="105"/>
      <c r="GB45" s="105"/>
      <c r="GC45" s="105"/>
      <c r="GD45" s="105"/>
      <c r="GE45" s="105"/>
      <c r="GF45" s="105"/>
      <c r="GG45" s="105"/>
      <c r="GH45" s="105"/>
      <c r="GI45" s="105"/>
      <c r="GJ45" s="105"/>
      <c r="GK45" s="105"/>
      <c r="GL45" s="105"/>
      <c r="GM45" s="105"/>
      <c r="GN45" s="105"/>
      <c r="GO45" s="105"/>
      <c r="GP45" s="105"/>
      <c r="GQ45" s="105"/>
      <c r="GR45" s="105"/>
      <c r="GS45" s="105"/>
      <c r="GT45" s="105"/>
      <c r="GU45" s="105"/>
      <c r="GV45" s="105"/>
      <c r="GW45" s="105"/>
      <c r="GX45" s="105"/>
      <c r="GY45" s="105"/>
      <c r="GZ45" s="105"/>
      <c r="HA45" s="105"/>
      <c r="HB45" s="105"/>
      <c r="HC45" s="105"/>
      <c r="HD45" s="105"/>
      <c r="HE45" s="105"/>
      <c r="HF45" s="105"/>
      <c r="HG45" s="105"/>
      <c r="HH45" s="105"/>
      <c r="HI45" s="105"/>
      <c r="HJ45" s="105"/>
      <c r="HK45" s="105"/>
      <c r="HL45" s="105"/>
      <c r="HM45" s="105"/>
      <c r="HN45" s="105"/>
      <c r="HO45" s="105"/>
      <c r="HP45" s="105"/>
      <c r="HQ45" s="105"/>
      <c r="HR45" s="105"/>
      <c r="HS45" s="105"/>
      <c r="HT45" s="105"/>
      <c r="HU45" s="105"/>
      <c r="HV45" s="105"/>
      <c r="HW45" s="105"/>
      <c r="HX45" s="105"/>
      <c r="HY45" s="105"/>
      <c r="HZ45" s="105"/>
      <c r="IA45" s="105"/>
      <c r="IB45" s="105"/>
      <c r="IC45" s="105"/>
      <c r="ID45" s="105"/>
      <c r="IE45" s="105"/>
      <c r="IF45" s="105"/>
      <c r="IG45" s="105"/>
      <c r="IH45" s="105"/>
      <c r="II45" s="105"/>
      <c r="IJ45" s="105"/>
      <c r="IK45" s="105"/>
      <c r="IL45" s="105"/>
      <c r="IM45" s="105"/>
      <c r="IN45" s="105"/>
      <c r="IO45" s="105"/>
      <c r="IP45" s="105"/>
      <c r="IQ45" s="105"/>
      <c r="IR45" s="105"/>
      <c r="IS45" s="105"/>
    </row>
    <row r="46" spans="1:253">
      <c r="A46" s="214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  <c r="ER46" s="105"/>
      <c r="ES46" s="105"/>
      <c r="ET46" s="105"/>
      <c r="EU46" s="105"/>
      <c r="EV46" s="105"/>
      <c r="EW46" s="105"/>
      <c r="EX46" s="105"/>
      <c r="EY46" s="105"/>
      <c r="EZ46" s="105"/>
      <c r="FA46" s="105"/>
      <c r="FB46" s="105"/>
      <c r="FC46" s="105"/>
      <c r="FD46" s="105"/>
      <c r="FE46" s="105"/>
      <c r="FF46" s="105"/>
      <c r="FG46" s="105"/>
      <c r="FH46" s="105"/>
      <c r="FI46" s="105"/>
      <c r="FJ46" s="105"/>
      <c r="FK46" s="105"/>
      <c r="FL46" s="105"/>
      <c r="FM46" s="105"/>
      <c r="FN46" s="105"/>
      <c r="FO46" s="105"/>
      <c r="FP46" s="105"/>
      <c r="FQ46" s="105"/>
      <c r="FR46" s="105"/>
      <c r="FS46" s="105"/>
      <c r="FT46" s="105"/>
      <c r="FU46" s="105"/>
      <c r="FV46" s="105"/>
      <c r="FW46" s="105"/>
      <c r="FX46" s="105"/>
      <c r="FY46" s="105"/>
      <c r="FZ46" s="105"/>
      <c r="GA46" s="105"/>
      <c r="GB46" s="105"/>
      <c r="GC46" s="105"/>
      <c r="GD46" s="105"/>
      <c r="GE46" s="105"/>
      <c r="GF46" s="105"/>
      <c r="GG46" s="105"/>
      <c r="GH46" s="105"/>
      <c r="GI46" s="105"/>
      <c r="GJ46" s="105"/>
      <c r="GK46" s="105"/>
      <c r="GL46" s="105"/>
      <c r="GM46" s="105"/>
      <c r="GN46" s="105"/>
      <c r="GO46" s="105"/>
      <c r="GP46" s="105"/>
      <c r="GQ46" s="105"/>
      <c r="GR46" s="105"/>
      <c r="GS46" s="105"/>
      <c r="GT46" s="105"/>
      <c r="GU46" s="105"/>
      <c r="GV46" s="105"/>
      <c r="GW46" s="105"/>
      <c r="GX46" s="105"/>
      <c r="GY46" s="105"/>
      <c r="GZ46" s="105"/>
      <c r="HA46" s="105"/>
      <c r="HB46" s="105"/>
      <c r="HC46" s="105"/>
      <c r="HD46" s="105"/>
      <c r="HE46" s="105"/>
      <c r="HF46" s="105"/>
      <c r="HG46" s="105"/>
      <c r="HH46" s="105"/>
      <c r="HI46" s="105"/>
      <c r="HJ46" s="105"/>
      <c r="HK46" s="105"/>
      <c r="HL46" s="105"/>
      <c r="HM46" s="105"/>
      <c r="HN46" s="105"/>
      <c r="HO46" s="105"/>
      <c r="HP46" s="105"/>
      <c r="HQ46" s="105"/>
      <c r="HR46" s="105"/>
      <c r="HS46" s="105"/>
      <c r="HT46" s="105"/>
      <c r="HU46" s="105"/>
      <c r="HV46" s="105"/>
      <c r="HW46" s="105"/>
      <c r="HX46" s="105"/>
      <c r="HY46" s="105"/>
      <c r="HZ46" s="105"/>
      <c r="IA46" s="105"/>
      <c r="IB46" s="105"/>
      <c r="IC46" s="105"/>
      <c r="ID46" s="105"/>
      <c r="IE46" s="105"/>
      <c r="IF46" s="105"/>
      <c r="IG46" s="105"/>
      <c r="IH46" s="105"/>
      <c r="II46" s="105"/>
      <c r="IJ46" s="105"/>
      <c r="IK46" s="105"/>
      <c r="IL46" s="105"/>
      <c r="IM46" s="105"/>
      <c r="IN46" s="105"/>
      <c r="IO46" s="105"/>
      <c r="IP46" s="105"/>
      <c r="IQ46" s="105"/>
      <c r="IR46" s="105"/>
      <c r="IS46" s="105"/>
    </row>
    <row r="47" spans="1:253">
      <c r="A47" s="214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5"/>
      <c r="FB47" s="105"/>
      <c r="FC47" s="105"/>
      <c r="FD47" s="105"/>
      <c r="FE47" s="105"/>
      <c r="FF47" s="105"/>
      <c r="FG47" s="105"/>
      <c r="FH47" s="105"/>
      <c r="FI47" s="105"/>
      <c r="FJ47" s="105"/>
      <c r="FK47" s="105"/>
      <c r="FL47" s="105"/>
      <c r="FM47" s="105"/>
      <c r="FN47" s="105"/>
      <c r="FO47" s="105"/>
      <c r="FP47" s="105"/>
      <c r="FQ47" s="105"/>
      <c r="FR47" s="105"/>
      <c r="FS47" s="105"/>
      <c r="FT47" s="105"/>
      <c r="FU47" s="105"/>
      <c r="FV47" s="105"/>
      <c r="FW47" s="105"/>
      <c r="FX47" s="105"/>
      <c r="FY47" s="105"/>
      <c r="FZ47" s="105"/>
      <c r="GA47" s="105"/>
      <c r="GB47" s="105"/>
      <c r="GC47" s="105"/>
      <c r="GD47" s="105"/>
      <c r="GE47" s="105"/>
      <c r="GF47" s="105"/>
      <c r="GG47" s="105"/>
      <c r="GH47" s="105"/>
      <c r="GI47" s="105"/>
      <c r="GJ47" s="105"/>
      <c r="GK47" s="105"/>
      <c r="GL47" s="105"/>
      <c r="GM47" s="105"/>
      <c r="GN47" s="105"/>
      <c r="GO47" s="105"/>
      <c r="GP47" s="105"/>
      <c r="GQ47" s="105"/>
      <c r="GR47" s="105"/>
      <c r="GS47" s="105"/>
      <c r="GT47" s="105"/>
      <c r="GU47" s="105"/>
      <c r="GV47" s="105"/>
      <c r="GW47" s="105"/>
      <c r="GX47" s="105"/>
      <c r="GY47" s="105"/>
      <c r="GZ47" s="105"/>
      <c r="HA47" s="105"/>
      <c r="HB47" s="105"/>
      <c r="HC47" s="105"/>
      <c r="HD47" s="105"/>
      <c r="HE47" s="105"/>
      <c r="HF47" s="105"/>
      <c r="HG47" s="105"/>
      <c r="HH47" s="105"/>
      <c r="HI47" s="105"/>
      <c r="HJ47" s="105"/>
      <c r="HK47" s="105"/>
      <c r="HL47" s="105"/>
      <c r="HM47" s="105"/>
      <c r="HN47" s="105"/>
      <c r="HO47" s="105"/>
      <c r="HP47" s="105"/>
      <c r="HQ47" s="105"/>
      <c r="HR47" s="105"/>
      <c r="HS47" s="105"/>
      <c r="HT47" s="105"/>
      <c r="HU47" s="105"/>
      <c r="HV47" s="105"/>
      <c r="HW47" s="105"/>
      <c r="HX47" s="105"/>
      <c r="HY47" s="105"/>
      <c r="HZ47" s="105"/>
      <c r="IA47" s="105"/>
      <c r="IB47" s="105"/>
      <c r="IC47" s="105"/>
      <c r="ID47" s="105"/>
      <c r="IE47" s="105"/>
      <c r="IF47" s="105"/>
      <c r="IG47" s="105"/>
      <c r="IH47" s="105"/>
      <c r="II47" s="105"/>
      <c r="IJ47" s="105"/>
      <c r="IK47" s="105"/>
      <c r="IL47" s="105"/>
      <c r="IM47" s="105"/>
      <c r="IN47" s="105"/>
      <c r="IO47" s="105"/>
      <c r="IP47" s="105"/>
      <c r="IQ47" s="105"/>
      <c r="IR47" s="105"/>
      <c r="IS47" s="105"/>
    </row>
    <row r="48" spans="1:253">
      <c r="A48" s="214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  <c r="CU48" s="105"/>
      <c r="CV48" s="105"/>
      <c r="CW48" s="105"/>
      <c r="CX48" s="105"/>
      <c r="CY48" s="105"/>
      <c r="CZ48" s="105"/>
      <c r="DA48" s="105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5"/>
      <c r="DO48" s="105"/>
      <c r="DP48" s="105"/>
      <c r="DQ48" s="105"/>
      <c r="DR48" s="105"/>
      <c r="DS48" s="105"/>
      <c r="DT48" s="105"/>
      <c r="DU48" s="105"/>
      <c r="DV48" s="105"/>
      <c r="DW48" s="105"/>
      <c r="DX48" s="105"/>
      <c r="DY48" s="105"/>
      <c r="DZ48" s="105"/>
      <c r="EA48" s="105"/>
      <c r="EB48" s="105"/>
      <c r="EC48" s="105"/>
      <c r="ED48" s="105"/>
      <c r="EE48" s="105"/>
      <c r="EF48" s="105"/>
      <c r="EG48" s="105"/>
      <c r="EH48" s="105"/>
      <c r="EI48" s="105"/>
      <c r="EJ48" s="105"/>
      <c r="EK48" s="105"/>
      <c r="EL48" s="105"/>
      <c r="EM48" s="105"/>
      <c r="EN48" s="105"/>
      <c r="EO48" s="105"/>
      <c r="EP48" s="105"/>
      <c r="EQ48" s="105"/>
      <c r="ER48" s="105"/>
      <c r="ES48" s="105"/>
      <c r="ET48" s="105"/>
      <c r="EU48" s="105"/>
      <c r="EV48" s="105"/>
      <c r="EW48" s="105"/>
      <c r="EX48" s="105"/>
      <c r="EY48" s="105"/>
      <c r="EZ48" s="105"/>
      <c r="FA48" s="105"/>
      <c r="FB48" s="105"/>
      <c r="FC48" s="105"/>
      <c r="FD48" s="105"/>
      <c r="FE48" s="105"/>
      <c r="FF48" s="105"/>
      <c r="FG48" s="105"/>
      <c r="FH48" s="105"/>
      <c r="FI48" s="105"/>
      <c r="FJ48" s="105"/>
      <c r="FK48" s="105"/>
      <c r="FL48" s="105"/>
      <c r="FM48" s="105"/>
      <c r="FN48" s="105"/>
      <c r="FO48" s="105"/>
      <c r="FP48" s="105"/>
      <c r="FQ48" s="105"/>
      <c r="FR48" s="105"/>
      <c r="FS48" s="105"/>
      <c r="FT48" s="105"/>
      <c r="FU48" s="105"/>
      <c r="FV48" s="105"/>
      <c r="FW48" s="105"/>
      <c r="FX48" s="105"/>
      <c r="FY48" s="105"/>
      <c r="FZ48" s="105"/>
      <c r="GA48" s="105"/>
      <c r="GB48" s="105"/>
      <c r="GC48" s="105"/>
      <c r="GD48" s="105"/>
      <c r="GE48" s="105"/>
      <c r="GF48" s="105"/>
      <c r="GG48" s="105"/>
      <c r="GH48" s="105"/>
      <c r="GI48" s="105"/>
      <c r="GJ48" s="105"/>
      <c r="GK48" s="105"/>
      <c r="GL48" s="105"/>
      <c r="GM48" s="105"/>
      <c r="GN48" s="105"/>
      <c r="GO48" s="105"/>
      <c r="GP48" s="105"/>
      <c r="GQ48" s="105"/>
      <c r="GR48" s="105"/>
      <c r="GS48" s="105"/>
      <c r="GT48" s="105"/>
      <c r="GU48" s="105"/>
      <c r="GV48" s="105"/>
      <c r="GW48" s="105"/>
      <c r="GX48" s="105"/>
      <c r="GY48" s="105"/>
      <c r="GZ48" s="105"/>
      <c r="HA48" s="105"/>
      <c r="HB48" s="105"/>
      <c r="HC48" s="105"/>
      <c r="HD48" s="105"/>
      <c r="HE48" s="105"/>
      <c r="HF48" s="105"/>
      <c r="HG48" s="105"/>
      <c r="HH48" s="105"/>
      <c r="HI48" s="105"/>
      <c r="HJ48" s="105"/>
      <c r="HK48" s="105"/>
      <c r="HL48" s="105"/>
      <c r="HM48" s="105"/>
      <c r="HN48" s="105"/>
      <c r="HO48" s="105"/>
      <c r="HP48" s="105"/>
      <c r="HQ48" s="105"/>
      <c r="HR48" s="105"/>
      <c r="HS48" s="105"/>
      <c r="HT48" s="105"/>
      <c r="HU48" s="105"/>
      <c r="HV48" s="105"/>
      <c r="HW48" s="105"/>
      <c r="HX48" s="105"/>
      <c r="HY48" s="105"/>
      <c r="HZ48" s="105"/>
      <c r="IA48" s="105"/>
      <c r="IB48" s="105"/>
      <c r="IC48" s="105"/>
      <c r="ID48" s="105"/>
      <c r="IE48" s="105"/>
      <c r="IF48" s="105"/>
      <c r="IG48" s="105"/>
      <c r="IH48" s="105"/>
      <c r="II48" s="105"/>
      <c r="IJ48" s="105"/>
      <c r="IK48" s="105"/>
      <c r="IL48" s="105"/>
      <c r="IM48" s="105"/>
      <c r="IN48" s="105"/>
      <c r="IO48" s="105"/>
      <c r="IP48" s="105"/>
      <c r="IQ48" s="105"/>
      <c r="IR48" s="105"/>
      <c r="IS48" s="105"/>
    </row>
    <row r="49" spans="1:253">
      <c r="A49" s="214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5"/>
      <c r="CL49" s="105"/>
      <c r="CM49" s="105"/>
      <c r="CN49" s="105"/>
      <c r="CO49" s="105"/>
      <c r="CP49" s="105"/>
      <c r="CQ49" s="105"/>
      <c r="CR49" s="105"/>
      <c r="CS49" s="105"/>
      <c r="CT49" s="105"/>
      <c r="CU49" s="105"/>
      <c r="CV49" s="105"/>
      <c r="CW49" s="105"/>
      <c r="CX49" s="105"/>
      <c r="CY49" s="105"/>
      <c r="CZ49" s="105"/>
      <c r="DA49" s="105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5"/>
      <c r="DO49" s="105"/>
      <c r="DP49" s="105"/>
      <c r="DQ49" s="105"/>
      <c r="DR49" s="105"/>
      <c r="DS49" s="105"/>
      <c r="DT49" s="105"/>
      <c r="DU49" s="105"/>
      <c r="DV49" s="105"/>
      <c r="DW49" s="105"/>
      <c r="DX49" s="105"/>
      <c r="DY49" s="105"/>
      <c r="DZ49" s="105"/>
      <c r="EA49" s="105"/>
      <c r="EB49" s="105"/>
      <c r="EC49" s="105"/>
      <c r="ED49" s="105"/>
      <c r="EE49" s="105"/>
      <c r="EF49" s="105"/>
      <c r="EG49" s="105"/>
      <c r="EH49" s="105"/>
      <c r="EI49" s="105"/>
      <c r="EJ49" s="105"/>
      <c r="EK49" s="105"/>
      <c r="EL49" s="105"/>
      <c r="EM49" s="105"/>
      <c r="EN49" s="105"/>
      <c r="EO49" s="105"/>
      <c r="EP49" s="105"/>
      <c r="EQ49" s="105"/>
      <c r="ER49" s="105"/>
      <c r="ES49" s="105"/>
      <c r="ET49" s="105"/>
      <c r="EU49" s="105"/>
      <c r="EV49" s="105"/>
      <c r="EW49" s="105"/>
      <c r="EX49" s="105"/>
      <c r="EY49" s="105"/>
      <c r="EZ49" s="105"/>
      <c r="FA49" s="105"/>
      <c r="FB49" s="105"/>
      <c r="FC49" s="105"/>
      <c r="FD49" s="105"/>
      <c r="FE49" s="105"/>
      <c r="FF49" s="105"/>
      <c r="FG49" s="105"/>
      <c r="FH49" s="105"/>
      <c r="FI49" s="105"/>
      <c r="FJ49" s="105"/>
      <c r="FK49" s="105"/>
      <c r="FL49" s="105"/>
      <c r="FM49" s="105"/>
      <c r="FN49" s="105"/>
      <c r="FO49" s="105"/>
      <c r="FP49" s="105"/>
      <c r="FQ49" s="105"/>
      <c r="FR49" s="105"/>
      <c r="FS49" s="105"/>
      <c r="FT49" s="105"/>
      <c r="FU49" s="105"/>
      <c r="FV49" s="105"/>
      <c r="FW49" s="105"/>
      <c r="FX49" s="105"/>
      <c r="FY49" s="105"/>
      <c r="FZ49" s="105"/>
      <c r="GA49" s="105"/>
      <c r="GB49" s="105"/>
      <c r="GC49" s="105"/>
      <c r="GD49" s="105"/>
      <c r="GE49" s="105"/>
      <c r="GF49" s="105"/>
      <c r="GG49" s="105"/>
      <c r="GH49" s="105"/>
      <c r="GI49" s="105"/>
      <c r="GJ49" s="105"/>
      <c r="GK49" s="105"/>
      <c r="GL49" s="105"/>
      <c r="GM49" s="105"/>
      <c r="GN49" s="105"/>
      <c r="GO49" s="105"/>
      <c r="GP49" s="105"/>
      <c r="GQ49" s="105"/>
      <c r="GR49" s="105"/>
      <c r="GS49" s="105"/>
      <c r="GT49" s="105"/>
      <c r="GU49" s="105"/>
      <c r="GV49" s="105"/>
      <c r="GW49" s="105"/>
      <c r="GX49" s="105"/>
      <c r="GY49" s="105"/>
      <c r="GZ49" s="105"/>
      <c r="HA49" s="105"/>
      <c r="HB49" s="105"/>
      <c r="HC49" s="105"/>
      <c r="HD49" s="105"/>
      <c r="HE49" s="105"/>
      <c r="HF49" s="105"/>
      <c r="HG49" s="105"/>
      <c r="HH49" s="105"/>
      <c r="HI49" s="105"/>
      <c r="HJ49" s="105"/>
      <c r="HK49" s="105"/>
      <c r="HL49" s="105"/>
      <c r="HM49" s="105"/>
      <c r="HN49" s="105"/>
      <c r="HO49" s="105"/>
      <c r="HP49" s="105"/>
      <c r="HQ49" s="105"/>
      <c r="HR49" s="105"/>
      <c r="HS49" s="105"/>
      <c r="HT49" s="105"/>
      <c r="HU49" s="105"/>
      <c r="HV49" s="105"/>
      <c r="HW49" s="105"/>
      <c r="HX49" s="105"/>
      <c r="HY49" s="105"/>
      <c r="HZ49" s="105"/>
      <c r="IA49" s="105"/>
      <c r="IB49" s="105"/>
      <c r="IC49" s="105"/>
      <c r="ID49" s="105"/>
      <c r="IE49" s="105"/>
      <c r="IF49" s="105"/>
      <c r="IG49" s="105"/>
      <c r="IH49" s="105"/>
      <c r="II49" s="105"/>
      <c r="IJ49" s="105"/>
      <c r="IK49" s="105"/>
      <c r="IL49" s="105"/>
      <c r="IM49" s="105"/>
      <c r="IN49" s="105"/>
      <c r="IO49" s="105"/>
      <c r="IP49" s="105"/>
      <c r="IQ49" s="105"/>
      <c r="IR49" s="105"/>
      <c r="IS49" s="105"/>
    </row>
    <row r="50" spans="1:253">
      <c r="A50" s="214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5"/>
      <c r="CT50" s="105"/>
      <c r="CU50" s="105"/>
      <c r="CV50" s="105"/>
      <c r="CW50" s="105"/>
      <c r="CX50" s="105"/>
      <c r="CY50" s="105"/>
      <c r="CZ50" s="105"/>
      <c r="DA50" s="105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105"/>
      <c r="DU50" s="105"/>
      <c r="DV50" s="105"/>
      <c r="DW50" s="105"/>
      <c r="DX50" s="105"/>
      <c r="DY50" s="105"/>
      <c r="DZ50" s="105"/>
      <c r="EA50" s="105"/>
      <c r="EB50" s="105"/>
      <c r="EC50" s="105"/>
      <c r="ED50" s="105"/>
      <c r="EE50" s="105"/>
      <c r="EF50" s="105"/>
      <c r="EG50" s="105"/>
      <c r="EH50" s="105"/>
      <c r="EI50" s="105"/>
      <c r="EJ50" s="105"/>
      <c r="EK50" s="105"/>
      <c r="EL50" s="105"/>
      <c r="EM50" s="105"/>
      <c r="EN50" s="105"/>
      <c r="EO50" s="105"/>
      <c r="EP50" s="105"/>
      <c r="EQ50" s="105"/>
      <c r="ER50" s="105"/>
      <c r="ES50" s="105"/>
      <c r="ET50" s="105"/>
      <c r="EU50" s="105"/>
      <c r="EV50" s="105"/>
      <c r="EW50" s="105"/>
      <c r="EX50" s="105"/>
      <c r="EY50" s="105"/>
      <c r="EZ50" s="105"/>
      <c r="FA50" s="105"/>
      <c r="FB50" s="105"/>
      <c r="FC50" s="105"/>
      <c r="FD50" s="105"/>
      <c r="FE50" s="105"/>
      <c r="FF50" s="105"/>
      <c r="FG50" s="105"/>
      <c r="FH50" s="105"/>
      <c r="FI50" s="105"/>
      <c r="FJ50" s="105"/>
      <c r="FK50" s="105"/>
      <c r="FL50" s="105"/>
      <c r="FM50" s="105"/>
      <c r="FN50" s="105"/>
      <c r="FO50" s="105"/>
      <c r="FP50" s="105"/>
      <c r="FQ50" s="105"/>
      <c r="FR50" s="105"/>
      <c r="FS50" s="105"/>
      <c r="FT50" s="105"/>
      <c r="FU50" s="105"/>
      <c r="FV50" s="105"/>
      <c r="FW50" s="105"/>
      <c r="FX50" s="105"/>
      <c r="FY50" s="105"/>
      <c r="FZ50" s="105"/>
      <c r="GA50" s="105"/>
      <c r="GB50" s="105"/>
      <c r="GC50" s="105"/>
      <c r="GD50" s="105"/>
      <c r="GE50" s="105"/>
      <c r="GF50" s="105"/>
      <c r="GG50" s="105"/>
      <c r="GH50" s="105"/>
      <c r="GI50" s="105"/>
      <c r="GJ50" s="105"/>
      <c r="GK50" s="105"/>
      <c r="GL50" s="105"/>
      <c r="GM50" s="105"/>
      <c r="GN50" s="105"/>
      <c r="GO50" s="105"/>
      <c r="GP50" s="105"/>
      <c r="GQ50" s="105"/>
      <c r="GR50" s="105"/>
      <c r="GS50" s="105"/>
      <c r="GT50" s="105"/>
      <c r="GU50" s="105"/>
      <c r="GV50" s="105"/>
      <c r="GW50" s="105"/>
      <c r="GX50" s="105"/>
      <c r="GY50" s="105"/>
      <c r="GZ50" s="105"/>
      <c r="HA50" s="105"/>
      <c r="HB50" s="105"/>
      <c r="HC50" s="105"/>
      <c r="HD50" s="105"/>
      <c r="HE50" s="105"/>
      <c r="HF50" s="105"/>
      <c r="HG50" s="105"/>
      <c r="HH50" s="105"/>
      <c r="HI50" s="105"/>
      <c r="HJ50" s="105"/>
      <c r="HK50" s="105"/>
      <c r="HL50" s="105"/>
      <c r="HM50" s="105"/>
      <c r="HN50" s="105"/>
      <c r="HO50" s="105"/>
      <c r="HP50" s="105"/>
      <c r="HQ50" s="105"/>
      <c r="HR50" s="105"/>
      <c r="HS50" s="105"/>
      <c r="HT50" s="105"/>
      <c r="HU50" s="105"/>
      <c r="HV50" s="105"/>
      <c r="HW50" s="105"/>
      <c r="HX50" s="105"/>
      <c r="HY50" s="105"/>
      <c r="HZ50" s="105"/>
      <c r="IA50" s="105"/>
      <c r="IB50" s="105"/>
      <c r="IC50" s="105"/>
      <c r="ID50" s="105"/>
      <c r="IE50" s="105"/>
      <c r="IF50" s="105"/>
      <c r="IG50" s="105"/>
      <c r="IH50" s="105"/>
      <c r="II50" s="105"/>
      <c r="IJ50" s="105"/>
      <c r="IK50" s="105"/>
      <c r="IL50" s="105"/>
      <c r="IM50" s="105"/>
      <c r="IN50" s="105"/>
      <c r="IO50" s="105"/>
      <c r="IP50" s="105"/>
      <c r="IQ50" s="105"/>
      <c r="IR50" s="105"/>
      <c r="IS50" s="105"/>
    </row>
    <row r="51" spans="1:253">
      <c r="A51" s="214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5"/>
      <c r="CL51" s="105"/>
      <c r="CM51" s="105"/>
      <c r="CN51" s="105"/>
      <c r="CO51" s="105"/>
      <c r="CP51" s="105"/>
      <c r="CQ51" s="105"/>
      <c r="CR51" s="105"/>
      <c r="CS51" s="105"/>
      <c r="CT51" s="105"/>
      <c r="CU51" s="105"/>
      <c r="CV51" s="105"/>
      <c r="CW51" s="105"/>
      <c r="CX51" s="105"/>
      <c r="CY51" s="105"/>
      <c r="CZ51" s="105"/>
      <c r="DA51" s="105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5"/>
      <c r="DO51" s="105"/>
      <c r="DP51" s="105"/>
      <c r="DQ51" s="105"/>
      <c r="DR51" s="105"/>
      <c r="DS51" s="105"/>
      <c r="DT51" s="105"/>
      <c r="DU51" s="105"/>
      <c r="DV51" s="105"/>
      <c r="DW51" s="105"/>
      <c r="DX51" s="105"/>
      <c r="DY51" s="105"/>
      <c r="DZ51" s="105"/>
      <c r="EA51" s="105"/>
      <c r="EB51" s="105"/>
      <c r="EC51" s="105"/>
      <c r="ED51" s="105"/>
      <c r="EE51" s="105"/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ET51" s="105"/>
      <c r="EU51" s="105"/>
      <c r="EV51" s="105"/>
      <c r="EW51" s="105"/>
      <c r="EX51" s="105"/>
      <c r="EY51" s="105"/>
      <c r="EZ51" s="105"/>
      <c r="FA51" s="105"/>
      <c r="FB51" s="105"/>
      <c r="FC51" s="105"/>
      <c r="FD51" s="105"/>
      <c r="FE51" s="105"/>
      <c r="FF51" s="105"/>
      <c r="FG51" s="105"/>
      <c r="FH51" s="105"/>
      <c r="FI51" s="105"/>
      <c r="FJ51" s="105"/>
      <c r="FK51" s="105"/>
      <c r="FL51" s="105"/>
      <c r="FM51" s="105"/>
      <c r="FN51" s="105"/>
      <c r="FO51" s="105"/>
      <c r="FP51" s="105"/>
      <c r="FQ51" s="105"/>
      <c r="FR51" s="105"/>
      <c r="FS51" s="105"/>
      <c r="FT51" s="105"/>
      <c r="FU51" s="105"/>
      <c r="FV51" s="105"/>
      <c r="FW51" s="105"/>
      <c r="FX51" s="105"/>
      <c r="FY51" s="105"/>
      <c r="FZ51" s="105"/>
      <c r="GA51" s="105"/>
      <c r="GB51" s="105"/>
      <c r="GC51" s="105"/>
      <c r="GD51" s="105"/>
      <c r="GE51" s="105"/>
      <c r="GF51" s="105"/>
      <c r="GG51" s="105"/>
      <c r="GH51" s="105"/>
      <c r="GI51" s="105"/>
      <c r="GJ51" s="105"/>
      <c r="GK51" s="105"/>
      <c r="GL51" s="105"/>
      <c r="GM51" s="105"/>
      <c r="GN51" s="105"/>
      <c r="GO51" s="105"/>
      <c r="GP51" s="105"/>
      <c r="GQ51" s="105"/>
      <c r="GR51" s="105"/>
      <c r="GS51" s="105"/>
      <c r="GT51" s="105"/>
      <c r="GU51" s="105"/>
      <c r="GV51" s="105"/>
      <c r="GW51" s="105"/>
      <c r="GX51" s="105"/>
      <c r="GY51" s="105"/>
      <c r="GZ51" s="105"/>
      <c r="HA51" s="105"/>
      <c r="HB51" s="105"/>
      <c r="HC51" s="105"/>
      <c r="HD51" s="105"/>
      <c r="HE51" s="105"/>
      <c r="HF51" s="105"/>
      <c r="HG51" s="105"/>
      <c r="HH51" s="105"/>
      <c r="HI51" s="105"/>
      <c r="HJ51" s="105"/>
      <c r="HK51" s="105"/>
      <c r="HL51" s="105"/>
      <c r="HM51" s="105"/>
      <c r="HN51" s="105"/>
      <c r="HO51" s="105"/>
      <c r="HP51" s="105"/>
      <c r="HQ51" s="105"/>
      <c r="HR51" s="105"/>
      <c r="HS51" s="105"/>
      <c r="HT51" s="105"/>
      <c r="HU51" s="105"/>
      <c r="HV51" s="105"/>
      <c r="HW51" s="105"/>
      <c r="HX51" s="105"/>
      <c r="HY51" s="105"/>
      <c r="HZ51" s="105"/>
      <c r="IA51" s="105"/>
      <c r="IB51" s="105"/>
      <c r="IC51" s="105"/>
      <c r="ID51" s="105"/>
      <c r="IE51" s="105"/>
      <c r="IF51" s="105"/>
      <c r="IG51" s="105"/>
      <c r="IH51" s="105"/>
      <c r="II51" s="105"/>
      <c r="IJ51" s="105"/>
      <c r="IK51" s="105"/>
      <c r="IL51" s="105"/>
      <c r="IM51" s="105"/>
      <c r="IN51" s="105"/>
      <c r="IO51" s="105"/>
      <c r="IP51" s="105"/>
      <c r="IQ51" s="105"/>
      <c r="IR51" s="105"/>
      <c r="IS51" s="105"/>
    </row>
    <row r="52" spans="1:253">
      <c r="A52" s="214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  <c r="CL52" s="105"/>
      <c r="CM52" s="105"/>
      <c r="CN52" s="105"/>
      <c r="CO52" s="105"/>
      <c r="CP52" s="105"/>
      <c r="CQ52" s="105"/>
      <c r="CR52" s="105"/>
      <c r="CS52" s="105"/>
      <c r="CT52" s="105"/>
      <c r="CU52" s="105"/>
      <c r="CV52" s="105"/>
      <c r="CW52" s="105"/>
      <c r="CX52" s="105"/>
      <c r="CY52" s="105"/>
      <c r="CZ52" s="105"/>
      <c r="DA52" s="105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5"/>
      <c r="DO52" s="105"/>
      <c r="DP52" s="105"/>
      <c r="DQ52" s="105"/>
      <c r="DR52" s="105"/>
      <c r="DS52" s="105"/>
      <c r="DT52" s="105"/>
      <c r="DU52" s="105"/>
      <c r="DV52" s="105"/>
      <c r="DW52" s="105"/>
      <c r="DX52" s="105"/>
      <c r="DY52" s="105"/>
      <c r="DZ52" s="105"/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5"/>
      <c r="FB52" s="105"/>
      <c r="FC52" s="105"/>
      <c r="FD52" s="105"/>
      <c r="FE52" s="105"/>
      <c r="FF52" s="105"/>
      <c r="FG52" s="105"/>
      <c r="FH52" s="105"/>
      <c r="FI52" s="105"/>
      <c r="FJ52" s="105"/>
      <c r="FK52" s="105"/>
      <c r="FL52" s="105"/>
      <c r="FM52" s="105"/>
      <c r="FN52" s="105"/>
      <c r="FO52" s="105"/>
      <c r="FP52" s="105"/>
      <c r="FQ52" s="105"/>
      <c r="FR52" s="105"/>
      <c r="FS52" s="105"/>
      <c r="FT52" s="105"/>
      <c r="FU52" s="105"/>
      <c r="FV52" s="105"/>
      <c r="FW52" s="105"/>
      <c r="FX52" s="105"/>
      <c r="FY52" s="105"/>
      <c r="FZ52" s="105"/>
      <c r="GA52" s="105"/>
      <c r="GB52" s="105"/>
      <c r="GC52" s="105"/>
      <c r="GD52" s="105"/>
      <c r="GE52" s="105"/>
      <c r="GF52" s="105"/>
      <c r="GG52" s="105"/>
      <c r="GH52" s="105"/>
      <c r="GI52" s="105"/>
      <c r="GJ52" s="105"/>
      <c r="GK52" s="105"/>
      <c r="GL52" s="105"/>
      <c r="GM52" s="105"/>
      <c r="GN52" s="105"/>
      <c r="GO52" s="105"/>
      <c r="GP52" s="105"/>
      <c r="GQ52" s="105"/>
      <c r="GR52" s="105"/>
      <c r="GS52" s="105"/>
      <c r="GT52" s="105"/>
      <c r="GU52" s="105"/>
      <c r="GV52" s="105"/>
      <c r="GW52" s="105"/>
      <c r="GX52" s="105"/>
      <c r="GY52" s="105"/>
      <c r="GZ52" s="105"/>
      <c r="HA52" s="105"/>
      <c r="HB52" s="105"/>
      <c r="HC52" s="105"/>
      <c r="HD52" s="105"/>
      <c r="HE52" s="105"/>
      <c r="HF52" s="105"/>
      <c r="HG52" s="105"/>
      <c r="HH52" s="105"/>
      <c r="HI52" s="105"/>
      <c r="HJ52" s="105"/>
      <c r="HK52" s="105"/>
      <c r="HL52" s="105"/>
      <c r="HM52" s="105"/>
      <c r="HN52" s="105"/>
      <c r="HO52" s="105"/>
      <c r="HP52" s="105"/>
      <c r="HQ52" s="105"/>
      <c r="HR52" s="105"/>
      <c r="HS52" s="105"/>
      <c r="HT52" s="105"/>
      <c r="HU52" s="105"/>
      <c r="HV52" s="105"/>
      <c r="HW52" s="105"/>
      <c r="HX52" s="105"/>
      <c r="HY52" s="105"/>
      <c r="HZ52" s="105"/>
      <c r="IA52" s="105"/>
      <c r="IB52" s="105"/>
      <c r="IC52" s="105"/>
      <c r="ID52" s="105"/>
      <c r="IE52" s="105"/>
      <c r="IF52" s="105"/>
      <c r="IG52" s="105"/>
      <c r="IH52" s="105"/>
      <c r="II52" s="105"/>
      <c r="IJ52" s="105"/>
      <c r="IK52" s="105"/>
      <c r="IL52" s="105"/>
      <c r="IM52" s="105"/>
      <c r="IN52" s="105"/>
      <c r="IO52" s="105"/>
      <c r="IP52" s="105"/>
      <c r="IQ52" s="105"/>
      <c r="IR52" s="105"/>
      <c r="IS52" s="105"/>
    </row>
    <row r="53" spans="1:253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5"/>
      <c r="CL53" s="105"/>
      <c r="CM53" s="105"/>
      <c r="CN53" s="105"/>
      <c r="CO53" s="105"/>
      <c r="CP53" s="105"/>
      <c r="CQ53" s="105"/>
      <c r="CR53" s="105"/>
      <c r="CS53" s="105"/>
      <c r="CT53" s="105"/>
      <c r="CU53" s="105"/>
      <c r="CV53" s="105"/>
      <c r="CW53" s="105"/>
      <c r="CX53" s="105"/>
      <c r="CY53" s="105"/>
      <c r="CZ53" s="105"/>
      <c r="DA53" s="105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5"/>
      <c r="DO53" s="105"/>
      <c r="DP53" s="105"/>
      <c r="DQ53" s="105"/>
      <c r="DR53" s="105"/>
      <c r="DS53" s="105"/>
      <c r="DT53" s="105"/>
      <c r="DU53" s="105"/>
      <c r="DV53" s="105"/>
      <c r="DW53" s="105"/>
      <c r="DX53" s="105"/>
      <c r="DY53" s="105"/>
      <c r="DZ53" s="105"/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ET53" s="105"/>
      <c r="EU53" s="105"/>
      <c r="EV53" s="105"/>
      <c r="EW53" s="105"/>
      <c r="EX53" s="105"/>
      <c r="EY53" s="105"/>
      <c r="EZ53" s="105"/>
      <c r="FA53" s="105"/>
      <c r="FB53" s="105"/>
      <c r="FC53" s="105"/>
      <c r="FD53" s="105"/>
      <c r="FE53" s="105"/>
      <c r="FF53" s="105"/>
      <c r="FG53" s="105"/>
      <c r="FH53" s="105"/>
      <c r="FI53" s="105"/>
      <c r="FJ53" s="105"/>
      <c r="FK53" s="105"/>
      <c r="FL53" s="105"/>
      <c r="FM53" s="105"/>
      <c r="FN53" s="105"/>
      <c r="FO53" s="105"/>
      <c r="FP53" s="105"/>
      <c r="FQ53" s="105"/>
      <c r="FR53" s="105"/>
      <c r="FS53" s="105"/>
      <c r="FT53" s="105"/>
      <c r="FU53" s="105"/>
      <c r="FV53" s="105"/>
      <c r="FW53" s="105"/>
      <c r="FX53" s="105"/>
      <c r="FY53" s="105"/>
      <c r="FZ53" s="105"/>
      <c r="GA53" s="105"/>
      <c r="GB53" s="105"/>
      <c r="GC53" s="105"/>
      <c r="GD53" s="105"/>
      <c r="GE53" s="105"/>
      <c r="GF53" s="105"/>
      <c r="GG53" s="105"/>
      <c r="GH53" s="105"/>
      <c r="GI53" s="105"/>
      <c r="GJ53" s="105"/>
      <c r="GK53" s="105"/>
      <c r="GL53" s="105"/>
      <c r="GM53" s="105"/>
      <c r="GN53" s="105"/>
      <c r="GO53" s="105"/>
      <c r="GP53" s="105"/>
      <c r="GQ53" s="105"/>
      <c r="GR53" s="105"/>
      <c r="GS53" s="105"/>
      <c r="GT53" s="105"/>
      <c r="GU53" s="105"/>
      <c r="GV53" s="105"/>
      <c r="GW53" s="105"/>
      <c r="GX53" s="105"/>
      <c r="GY53" s="105"/>
      <c r="GZ53" s="105"/>
      <c r="HA53" s="105"/>
      <c r="HB53" s="105"/>
      <c r="HC53" s="105"/>
      <c r="HD53" s="105"/>
      <c r="HE53" s="105"/>
      <c r="HF53" s="105"/>
      <c r="HG53" s="105"/>
      <c r="HH53" s="105"/>
      <c r="HI53" s="105"/>
      <c r="HJ53" s="105"/>
      <c r="HK53" s="105"/>
      <c r="HL53" s="105"/>
      <c r="HM53" s="105"/>
      <c r="HN53" s="105"/>
      <c r="HO53" s="105"/>
      <c r="HP53" s="105"/>
      <c r="HQ53" s="105"/>
      <c r="HR53" s="105"/>
      <c r="HS53" s="105"/>
      <c r="HT53" s="105"/>
      <c r="HU53" s="105"/>
      <c r="HV53" s="105"/>
      <c r="HW53" s="105"/>
      <c r="HX53" s="105"/>
      <c r="HY53" s="105"/>
      <c r="HZ53" s="105"/>
      <c r="IA53" s="105"/>
      <c r="IB53" s="105"/>
      <c r="IC53" s="105"/>
      <c r="ID53" s="105"/>
      <c r="IE53" s="105"/>
      <c r="IF53" s="105"/>
      <c r="IG53" s="105"/>
      <c r="IH53" s="105"/>
      <c r="II53" s="105"/>
      <c r="IJ53" s="105"/>
      <c r="IK53" s="105"/>
      <c r="IL53" s="105"/>
      <c r="IM53" s="105"/>
      <c r="IN53" s="105"/>
      <c r="IO53" s="105"/>
      <c r="IP53" s="105"/>
      <c r="IQ53" s="105"/>
      <c r="IR53" s="105"/>
      <c r="IS53" s="105"/>
    </row>
    <row r="54" spans="1:253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5"/>
      <c r="CL54" s="105"/>
      <c r="CM54" s="105"/>
      <c r="CN54" s="105"/>
      <c r="CO54" s="105"/>
      <c r="CP54" s="105"/>
      <c r="CQ54" s="105"/>
      <c r="CR54" s="105"/>
      <c r="CS54" s="105"/>
      <c r="CT54" s="105"/>
      <c r="CU54" s="105"/>
      <c r="CV54" s="105"/>
      <c r="CW54" s="105"/>
      <c r="CX54" s="105"/>
      <c r="CY54" s="105"/>
      <c r="CZ54" s="105"/>
      <c r="DA54" s="105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5"/>
      <c r="DV54" s="105"/>
      <c r="DW54" s="105"/>
      <c r="DX54" s="105"/>
      <c r="DY54" s="105"/>
      <c r="DZ54" s="105"/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/>
      <c r="EU54" s="105"/>
      <c r="EV54" s="105"/>
      <c r="EW54" s="105"/>
      <c r="EX54" s="105"/>
      <c r="EY54" s="105"/>
      <c r="EZ54" s="105"/>
      <c r="FA54" s="105"/>
      <c r="FB54" s="105"/>
      <c r="FC54" s="105"/>
      <c r="FD54" s="105"/>
      <c r="FE54" s="105"/>
      <c r="FF54" s="105"/>
      <c r="FG54" s="105"/>
      <c r="FH54" s="105"/>
      <c r="FI54" s="105"/>
      <c r="FJ54" s="105"/>
      <c r="FK54" s="105"/>
      <c r="FL54" s="105"/>
      <c r="FM54" s="105"/>
      <c r="FN54" s="105"/>
      <c r="FO54" s="105"/>
      <c r="FP54" s="105"/>
      <c r="FQ54" s="105"/>
      <c r="FR54" s="105"/>
      <c r="FS54" s="105"/>
      <c r="FT54" s="105"/>
      <c r="FU54" s="105"/>
      <c r="FV54" s="105"/>
      <c r="FW54" s="105"/>
      <c r="FX54" s="105"/>
      <c r="FY54" s="105"/>
      <c r="FZ54" s="105"/>
      <c r="GA54" s="105"/>
      <c r="GB54" s="105"/>
      <c r="GC54" s="105"/>
      <c r="GD54" s="105"/>
      <c r="GE54" s="105"/>
      <c r="GF54" s="105"/>
      <c r="GG54" s="105"/>
      <c r="GH54" s="105"/>
      <c r="GI54" s="105"/>
      <c r="GJ54" s="105"/>
      <c r="GK54" s="105"/>
      <c r="GL54" s="105"/>
      <c r="GM54" s="105"/>
      <c r="GN54" s="105"/>
      <c r="GO54" s="105"/>
      <c r="GP54" s="105"/>
      <c r="GQ54" s="105"/>
      <c r="GR54" s="105"/>
      <c r="GS54" s="105"/>
      <c r="GT54" s="105"/>
      <c r="GU54" s="105"/>
      <c r="GV54" s="105"/>
      <c r="GW54" s="105"/>
      <c r="GX54" s="105"/>
      <c r="GY54" s="105"/>
      <c r="GZ54" s="105"/>
      <c r="HA54" s="105"/>
      <c r="HB54" s="105"/>
      <c r="HC54" s="105"/>
      <c r="HD54" s="105"/>
      <c r="HE54" s="105"/>
      <c r="HF54" s="105"/>
      <c r="HG54" s="105"/>
      <c r="HH54" s="105"/>
      <c r="HI54" s="105"/>
      <c r="HJ54" s="105"/>
      <c r="HK54" s="105"/>
      <c r="HL54" s="105"/>
      <c r="HM54" s="105"/>
      <c r="HN54" s="105"/>
      <c r="HO54" s="105"/>
      <c r="HP54" s="105"/>
      <c r="HQ54" s="105"/>
      <c r="HR54" s="105"/>
      <c r="HS54" s="105"/>
      <c r="HT54" s="105"/>
      <c r="HU54" s="105"/>
      <c r="HV54" s="105"/>
      <c r="HW54" s="105"/>
      <c r="HX54" s="105"/>
      <c r="HY54" s="105"/>
      <c r="HZ54" s="105"/>
      <c r="IA54" s="105"/>
      <c r="IB54" s="105"/>
      <c r="IC54" s="105"/>
      <c r="ID54" s="105"/>
      <c r="IE54" s="105"/>
      <c r="IF54" s="105"/>
      <c r="IG54" s="105"/>
      <c r="IH54" s="105"/>
      <c r="II54" s="105"/>
      <c r="IJ54" s="105"/>
      <c r="IK54" s="105"/>
      <c r="IL54" s="105"/>
      <c r="IM54" s="105"/>
      <c r="IN54" s="105"/>
      <c r="IO54" s="105"/>
      <c r="IP54" s="105"/>
      <c r="IQ54" s="105"/>
      <c r="IR54" s="105"/>
      <c r="IS54" s="105"/>
    </row>
    <row r="55" spans="1:253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  <c r="CK55" s="105"/>
      <c r="CL55" s="105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5"/>
      <c r="CX55" s="105"/>
      <c r="CY55" s="105"/>
      <c r="CZ55" s="105"/>
      <c r="DA55" s="105"/>
      <c r="DB55" s="105"/>
      <c r="DC55" s="105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/>
      <c r="FA55" s="105"/>
      <c r="FB55" s="105"/>
      <c r="FC55" s="105"/>
      <c r="FD55" s="105"/>
      <c r="FE55" s="105"/>
      <c r="FF55" s="105"/>
      <c r="FG55" s="105"/>
      <c r="FH55" s="105"/>
      <c r="FI55" s="105"/>
      <c r="FJ55" s="105"/>
      <c r="FK55" s="105"/>
      <c r="FL55" s="105"/>
      <c r="FM55" s="105"/>
      <c r="FN55" s="105"/>
      <c r="FO55" s="105"/>
      <c r="FP55" s="105"/>
      <c r="FQ55" s="105"/>
      <c r="FR55" s="105"/>
      <c r="FS55" s="105"/>
      <c r="FT55" s="105"/>
      <c r="FU55" s="105"/>
      <c r="FV55" s="105"/>
      <c r="FW55" s="105"/>
      <c r="FX55" s="105"/>
      <c r="FY55" s="105"/>
      <c r="FZ55" s="105"/>
      <c r="GA55" s="105"/>
      <c r="GB55" s="105"/>
      <c r="GC55" s="105"/>
      <c r="GD55" s="105"/>
      <c r="GE55" s="105"/>
      <c r="GF55" s="105"/>
      <c r="GG55" s="105"/>
      <c r="GH55" s="105"/>
      <c r="GI55" s="105"/>
      <c r="GJ55" s="105"/>
      <c r="GK55" s="105"/>
      <c r="GL55" s="105"/>
      <c r="GM55" s="105"/>
      <c r="GN55" s="105"/>
      <c r="GO55" s="105"/>
      <c r="GP55" s="105"/>
      <c r="GQ55" s="105"/>
      <c r="GR55" s="105"/>
      <c r="GS55" s="105"/>
      <c r="GT55" s="105"/>
      <c r="GU55" s="105"/>
      <c r="GV55" s="105"/>
      <c r="GW55" s="105"/>
      <c r="GX55" s="105"/>
      <c r="GY55" s="105"/>
      <c r="GZ55" s="105"/>
      <c r="HA55" s="105"/>
      <c r="HB55" s="105"/>
      <c r="HC55" s="105"/>
      <c r="HD55" s="105"/>
      <c r="HE55" s="105"/>
      <c r="HF55" s="105"/>
      <c r="HG55" s="105"/>
      <c r="HH55" s="105"/>
      <c r="HI55" s="105"/>
      <c r="HJ55" s="105"/>
      <c r="HK55" s="105"/>
      <c r="HL55" s="105"/>
      <c r="HM55" s="105"/>
      <c r="HN55" s="105"/>
      <c r="HO55" s="105"/>
      <c r="HP55" s="105"/>
      <c r="HQ55" s="105"/>
      <c r="HR55" s="105"/>
      <c r="HS55" s="105"/>
      <c r="HT55" s="105"/>
      <c r="HU55" s="105"/>
      <c r="HV55" s="105"/>
      <c r="HW55" s="105"/>
      <c r="HX55" s="105"/>
      <c r="HY55" s="105"/>
      <c r="HZ55" s="105"/>
      <c r="IA55" s="105"/>
      <c r="IB55" s="105"/>
      <c r="IC55" s="105"/>
      <c r="ID55" s="105"/>
      <c r="IE55" s="105"/>
      <c r="IF55" s="105"/>
      <c r="IG55" s="105"/>
      <c r="IH55" s="105"/>
      <c r="II55" s="105"/>
      <c r="IJ55" s="105"/>
      <c r="IK55" s="105"/>
      <c r="IL55" s="105"/>
      <c r="IM55" s="105"/>
      <c r="IN55" s="105"/>
      <c r="IO55" s="105"/>
      <c r="IP55" s="105"/>
      <c r="IQ55" s="105"/>
      <c r="IR55" s="105"/>
      <c r="IS55" s="105"/>
    </row>
    <row r="56" spans="1:253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  <c r="CK56" s="105"/>
      <c r="CL56" s="105"/>
      <c r="CM56" s="105"/>
      <c r="CN56" s="105"/>
      <c r="CO56" s="105"/>
      <c r="CP56" s="105"/>
      <c r="CQ56" s="105"/>
      <c r="CR56" s="105"/>
      <c r="CS56" s="105"/>
      <c r="CT56" s="105"/>
      <c r="CU56" s="105"/>
      <c r="CV56" s="105"/>
      <c r="CW56" s="105"/>
      <c r="CX56" s="105"/>
      <c r="CY56" s="105"/>
      <c r="CZ56" s="105"/>
      <c r="DA56" s="105"/>
      <c r="DB56" s="105"/>
      <c r="DC56" s="105"/>
      <c r="DD56" s="105"/>
      <c r="DE56" s="105"/>
      <c r="DF56" s="105"/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5"/>
      <c r="DS56" s="105"/>
      <c r="DT56" s="105"/>
      <c r="DU56" s="105"/>
      <c r="DV56" s="105"/>
      <c r="DW56" s="105"/>
      <c r="DX56" s="105"/>
      <c r="DY56" s="105"/>
      <c r="DZ56" s="105"/>
      <c r="EA56" s="105"/>
      <c r="EB56" s="105"/>
      <c r="EC56" s="105"/>
      <c r="ED56" s="105"/>
      <c r="EE56" s="105"/>
      <c r="EF56" s="105"/>
      <c r="EG56" s="105"/>
      <c r="EH56" s="105"/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5"/>
      <c r="ET56" s="105"/>
      <c r="EU56" s="105"/>
      <c r="EV56" s="105"/>
      <c r="EW56" s="105"/>
      <c r="EX56" s="105"/>
      <c r="EY56" s="105"/>
      <c r="EZ56" s="105"/>
      <c r="FA56" s="105"/>
      <c r="FB56" s="105"/>
      <c r="FC56" s="105"/>
      <c r="FD56" s="105"/>
      <c r="FE56" s="105"/>
      <c r="FF56" s="105"/>
      <c r="FG56" s="105"/>
      <c r="FH56" s="105"/>
      <c r="FI56" s="105"/>
      <c r="FJ56" s="105"/>
      <c r="FK56" s="105"/>
      <c r="FL56" s="105"/>
      <c r="FM56" s="105"/>
      <c r="FN56" s="105"/>
      <c r="FO56" s="105"/>
      <c r="FP56" s="105"/>
      <c r="FQ56" s="105"/>
      <c r="FR56" s="105"/>
      <c r="FS56" s="105"/>
      <c r="FT56" s="105"/>
      <c r="FU56" s="105"/>
      <c r="FV56" s="105"/>
      <c r="FW56" s="105"/>
      <c r="FX56" s="105"/>
      <c r="FY56" s="105"/>
      <c r="FZ56" s="105"/>
      <c r="GA56" s="105"/>
      <c r="GB56" s="105"/>
      <c r="GC56" s="105"/>
      <c r="GD56" s="105"/>
      <c r="GE56" s="105"/>
      <c r="GF56" s="105"/>
      <c r="GG56" s="105"/>
      <c r="GH56" s="105"/>
      <c r="GI56" s="105"/>
      <c r="GJ56" s="105"/>
      <c r="GK56" s="105"/>
      <c r="GL56" s="105"/>
      <c r="GM56" s="105"/>
      <c r="GN56" s="105"/>
      <c r="GO56" s="105"/>
      <c r="GP56" s="105"/>
      <c r="GQ56" s="105"/>
      <c r="GR56" s="105"/>
      <c r="GS56" s="105"/>
      <c r="GT56" s="105"/>
      <c r="GU56" s="105"/>
      <c r="GV56" s="105"/>
      <c r="GW56" s="105"/>
      <c r="GX56" s="105"/>
      <c r="GY56" s="105"/>
      <c r="GZ56" s="105"/>
      <c r="HA56" s="105"/>
      <c r="HB56" s="105"/>
      <c r="HC56" s="105"/>
      <c r="HD56" s="105"/>
      <c r="HE56" s="105"/>
      <c r="HF56" s="105"/>
      <c r="HG56" s="105"/>
      <c r="HH56" s="105"/>
      <c r="HI56" s="105"/>
      <c r="HJ56" s="105"/>
      <c r="HK56" s="105"/>
      <c r="HL56" s="105"/>
      <c r="HM56" s="105"/>
      <c r="HN56" s="105"/>
      <c r="HO56" s="105"/>
      <c r="HP56" s="105"/>
      <c r="HQ56" s="105"/>
      <c r="HR56" s="105"/>
      <c r="HS56" s="105"/>
      <c r="HT56" s="105"/>
      <c r="HU56" s="105"/>
      <c r="HV56" s="105"/>
      <c r="HW56" s="105"/>
      <c r="HX56" s="105"/>
      <c r="HY56" s="105"/>
      <c r="HZ56" s="105"/>
      <c r="IA56" s="105"/>
      <c r="IB56" s="105"/>
      <c r="IC56" s="105"/>
      <c r="ID56" s="105"/>
      <c r="IE56" s="105"/>
      <c r="IF56" s="105"/>
      <c r="IG56" s="105"/>
      <c r="IH56" s="105"/>
      <c r="II56" s="105"/>
      <c r="IJ56" s="105"/>
      <c r="IK56" s="105"/>
      <c r="IL56" s="105"/>
      <c r="IM56" s="105"/>
      <c r="IN56" s="105"/>
      <c r="IO56" s="105"/>
      <c r="IP56" s="105"/>
      <c r="IQ56" s="105"/>
      <c r="IR56" s="105"/>
      <c r="IS56" s="105"/>
    </row>
    <row r="57" spans="1:253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105"/>
      <c r="CO57" s="105"/>
      <c r="CP57" s="105"/>
      <c r="CQ57" s="105"/>
      <c r="CR57" s="105"/>
      <c r="CS57" s="105"/>
      <c r="CT57" s="105"/>
      <c r="CU57" s="105"/>
      <c r="CV57" s="105"/>
      <c r="CW57" s="105"/>
      <c r="CX57" s="105"/>
      <c r="CY57" s="105"/>
      <c r="CZ57" s="105"/>
      <c r="DA57" s="105"/>
      <c r="DB57" s="105"/>
      <c r="DC57" s="105"/>
      <c r="DD57" s="105"/>
      <c r="DE57" s="105"/>
      <c r="DF57" s="105"/>
      <c r="DG57" s="105"/>
      <c r="DH57" s="105"/>
      <c r="DI57" s="105"/>
      <c r="DJ57" s="105"/>
      <c r="DK57" s="105"/>
      <c r="DL57" s="105"/>
      <c r="DM57" s="105"/>
      <c r="DN57" s="105"/>
      <c r="DO57" s="105"/>
      <c r="DP57" s="105"/>
      <c r="DQ57" s="105"/>
      <c r="DR57" s="105"/>
      <c r="DS57" s="105"/>
      <c r="DT57" s="105"/>
      <c r="DU57" s="105"/>
      <c r="DV57" s="105"/>
      <c r="DW57" s="105"/>
      <c r="DX57" s="105"/>
      <c r="DY57" s="105"/>
      <c r="DZ57" s="105"/>
      <c r="EA57" s="105"/>
      <c r="EB57" s="105"/>
      <c r="EC57" s="105"/>
      <c r="ED57" s="105"/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05"/>
      <c r="ER57" s="105"/>
      <c r="ES57" s="105"/>
      <c r="ET57" s="105"/>
      <c r="EU57" s="105"/>
      <c r="EV57" s="105"/>
      <c r="EW57" s="105"/>
      <c r="EX57" s="105"/>
      <c r="EY57" s="105"/>
      <c r="EZ57" s="105"/>
      <c r="FA57" s="105"/>
      <c r="FB57" s="105"/>
      <c r="FC57" s="105"/>
      <c r="FD57" s="105"/>
      <c r="FE57" s="105"/>
      <c r="FF57" s="105"/>
      <c r="FG57" s="105"/>
      <c r="FH57" s="105"/>
      <c r="FI57" s="105"/>
      <c r="FJ57" s="105"/>
      <c r="FK57" s="105"/>
      <c r="FL57" s="105"/>
      <c r="FM57" s="105"/>
      <c r="FN57" s="105"/>
      <c r="FO57" s="105"/>
      <c r="FP57" s="105"/>
      <c r="FQ57" s="105"/>
      <c r="FR57" s="105"/>
      <c r="FS57" s="105"/>
      <c r="FT57" s="105"/>
      <c r="FU57" s="105"/>
      <c r="FV57" s="105"/>
      <c r="FW57" s="105"/>
      <c r="FX57" s="105"/>
      <c r="FY57" s="105"/>
      <c r="FZ57" s="105"/>
      <c r="GA57" s="105"/>
      <c r="GB57" s="105"/>
      <c r="GC57" s="105"/>
      <c r="GD57" s="105"/>
      <c r="GE57" s="105"/>
      <c r="GF57" s="105"/>
      <c r="GG57" s="105"/>
      <c r="GH57" s="105"/>
      <c r="GI57" s="105"/>
      <c r="GJ57" s="105"/>
      <c r="GK57" s="105"/>
      <c r="GL57" s="105"/>
      <c r="GM57" s="105"/>
      <c r="GN57" s="105"/>
      <c r="GO57" s="105"/>
      <c r="GP57" s="105"/>
      <c r="GQ57" s="105"/>
      <c r="GR57" s="105"/>
      <c r="GS57" s="105"/>
      <c r="GT57" s="105"/>
      <c r="GU57" s="105"/>
      <c r="GV57" s="105"/>
      <c r="GW57" s="105"/>
      <c r="GX57" s="105"/>
      <c r="GY57" s="105"/>
      <c r="GZ57" s="105"/>
      <c r="HA57" s="105"/>
      <c r="HB57" s="105"/>
      <c r="HC57" s="105"/>
      <c r="HD57" s="105"/>
      <c r="HE57" s="105"/>
      <c r="HF57" s="105"/>
      <c r="HG57" s="105"/>
      <c r="HH57" s="105"/>
      <c r="HI57" s="105"/>
      <c r="HJ57" s="105"/>
      <c r="HK57" s="105"/>
      <c r="HL57" s="105"/>
      <c r="HM57" s="105"/>
      <c r="HN57" s="105"/>
      <c r="HO57" s="105"/>
      <c r="HP57" s="105"/>
      <c r="HQ57" s="105"/>
      <c r="HR57" s="105"/>
      <c r="HS57" s="105"/>
      <c r="HT57" s="105"/>
      <c r="HU57" s="105"/>
      <c r="HV57" s="105"/>
      <c r="HW57" s="105"/>
      <c r="HX57" s="105"/>
      <c r="HY57" s="105"/>
      <c r="HZ57" s="105"/>
      <c r="IA57" s="105"/>
      <c r="IB57" s="105"/>
      <c r="IC57" s="105"/>
      <c r="ID57" s="105"/>
      <c r="IE57" s="105"/>
      <c r="IF57" s="105"/>
      <c r="IG57" s="105"/>
      <c r="IH57" s="105"/>
      <c r="II57" s="105"/>
      <c r="IJ57" s="105"/>
      <c r="IK57" s="105"/>
      <c r="IL57" s="105"/>
      <c r="IM57" s="105"/>
      <c r="IN57" s="105"/>
      <c r="IO57" s="105"/>
      <c r="IP57" s="105"/>
      <c r="IQ57" s="105"/>
      <c r="IR57" s="105"/>
      <c r="IS57" s="105"/>
    </row>
    <row r="58" spans="1:253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05"/>
      <c r="CG58" s="105"/>
      <c r="CH58" s="105"/>
      <c r="CI58" s="105"/>
      <c r="CJ58" s="105"/>
      <c r="CK58" s="105"/>
      <c r="CL58" s="105"/>
      <c r="CM58" s="105"/>
      <c r="CN58" s="105"/>
      <c r="CO58" s="105"/>
      <c r="CP58" s="105"/>
      <c r="CQ58" s="105"/>
      <c r="CR58" s="105"/>
      <c r="CS58" s="105"/>
      <c r="CT58" s="105"/>
      <c r="CU58" s="105"/>
      <c r="CV58" s="105"/>
      <c r="CW58" s="105"/>
      <c r="CX58" s="105"/>
      <c r="CY58" s="105"/>
      <c r="CZ58" s="105"/>
      <c r="DA58" s="105"/>
      <c r="DB58" s="105"/>
      <c r="DC58" s="105"/>
      <c r="DD58" s="105"/>
      <c r="DE58" s="105"/>
      <c r="DF58" s="105"/>
      <c r="DG58" s="105"/>
      <c r="DH58" s="105"/>
      <c r="DI58" s="105"/>
      <c r="DJ58" s="105"/>
      <c r="DK58" s="105"/>
      <c r="DL58" s="105"/>
      <c r="DM58" s="105"/>
      <c r="DN58" s="105"/>
      <c r="DO58" s="105"/>
      <c r="DP58" s="105"/>
      <c r="DQ58" s="105"/>
      <c r="DR58" s="105"/>
      <c r="DS58" s="105"/>
      <c r="DT58" s="105"/>
      <c r="DU58" s="105"/>
      <c r="DV58" s="105"/>
      <c r="DW58" s="105"/>
      <c r="DX58" s="105"/>
      <c r="DY58" s="105"/>
      <c r="DZ58" s="105"/>
      <c r="EA58" s="105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05"/>
      <c r="ER58" s="105"/>
      <c r="ES58" s="105"/>
      <c r="ET58" s="105"/>
      <c r="EU58" s="105"/>
      <c r="EV58" s="105"/>
      <c r="EW58" s="105"/>
      <c r="EX58" s="105"/>
      <c r="EY58" s="105"/>
      <c r="EZ58" s="105"/>
      <c r="FA58" s="105"/>
      <c r="FB58" s="105"/>
      <c r="FC58" s="105"/>
      <c r="FD58" s="105"/>
      <c r="FE58" s="105"/>
      <c r="FF58" s="105"/>
      <c r="FG58" s="105"/>
      <c r="FH58" s="105"/>
      <c r="FI58" s="105"/>
      <c r="FJ58" s="105"/>
      <c r="FK58" s="105"/>
      <c r="FL58" s="105"/>
      <c r="FM58" s="105"/>
      <c r="FN58" s="105"/>
      <c r="FO58" s="105"/>
      <c r="FP58" s="105"/>
      <c r="FQ58" s="105"/>
      <c r="FR58" s="105"/>
      <c r="FS58" s="105"/>
      <c r="FT58" s="105"/>
      <c r="FU58" s="105"/>
      <c r="FV58" s="105"/>
      <c r="FW58" s="105"/>
      <c r="FX58" s="105"/>
      <c r="FY58" s="105"/>
      <c r="FZ58" s="105"/>
      <c r="GA58" s="105"/>
      <c r="GB58" s="105"/>
      <c r="GC58" s="105"/>
      <c r="GD58" s="105"/>
      <c r="GE58" s="105"/>
      <c r="GF58" s="105"/>
      <c r="GG58" s="105"/>
      <c r="GH58" s="105"/>
      <c r="GI58" s="105"/>
      <c r="GJ58" s="105"/>
      <c r="GK58" s="105"/>
      <c r="GL58" s="105"/>
      <c r="GM58" s="105"/>
      <c r="GN58" s="105"/>
      <c r="GO58" s="105"/>
      <c r="GP58" s="105"/>
      <c r="GQ58" s="105"/>
      <c r="GR58" s="105"/>
      <c r="GS58" s="105"/>
      <c r="GT58" s="105"/>
      <c r="GU58" s="105"/>
      <c r="GV58" s="105"/>
      <c r="GW58" s="105"/>
      <c r="GX58" s="105"/>
      <c r="GY58" s="105"/>
      <c r="GZ58" s="105"/>
      <c r="HA58" s="105"/>
      <c r="HB58" s="105"/>
      <c r="HC58" s="105"/>
      <c r="HD58" s="105"/>
      <c r="HE58" s="105"/>
      <c r="HF58" s="105"/>
      <c r="HG58" s="105"/>
      <c r="HH58" s="105"/>
      <c r="HI58" s="105"/>
      <c r="HJ58" s="105"/>
      <c r="HK58" s="105"/>
      <c r="HL58" s="105"/>
      <c r="HM58" s="105"/>
      <c r="HN58" s="105"/>
      <c r="HO58" s="105"/>
      <c r="HP58" s="105"/>
      <c r="HQ58" s="105"/>
      <c r="HR58" s="105"/>
      <c r="HS58" s="105"/>
      <c r="HT58" s="105"/>
      <c r="HU58" s="105"/>
      <c r="HV58" s="105"/>
      <c r="HW58" s="105"/>
      <c r="HX58" s="105"/>
      <c r="HY58" s="105"/>
      <c r="HZ58" s="105"/>
      <c r="IA58" s="105"/>
      <c r="IB58" s="105"/>
      <c r="IC58" s="105"/>
      <c r="ID58" s="105"/>
      <c r="IE58" s="105"/>
      <c r="IF58" s="105"/>
      <c r="IG58" s="105"/>
      <c r="IH58" s="105"/>
      <c r="II58" s="105"/>
      <c r="IJ58" s="105"/>
      <c r="IK58" s="105"/>
      <c r="IL58" s="105"/>
      <c r="IM58" s="105"/>
      <c r="IN58" s="105"/>
      <c r="IO58" s="105"/>
      <c r="IP58" s="105"/>
      <c r="IQ58" s="105"/>
      <c r="IR58" s="105"/>
      <c r="IS58" s="105"/>
    </row>
    <row r="59" spans="1:253">
      <c r="A59" s="214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05"/>
      <c r="CL59" s="105"/>
      <c r="CM59" s="105"/>
      <c r="CN59" s="105"/>
      <c r="CO59" s="105"/>
      <c r="CP59" s="105"/>
      <c r="CQ59" s="105"/>
      <c r="CR59" s="105"/>
      <c r="CS59" s="105"/>
      <c r="CT59" s="105"/>
      <c r="CU59" s="105"/>
      <c r="CV59" s="105"/>
      <c r="CW59" s="105"/>
      <c r="CX59" s="105"/>
      <c r="CY59" s="105"/>
      <c r="CZ59" s="105"/>
      <c r="DA59" s="105"/>
      <c r="DB59" s="105"/>
      <c r="DC59" s="105"/>
      <c r="DD59" s="105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5"/>
      <c r="DS59" s="105"/>
      <c r="DT59" s="105"/>
      <c r="DU59" s="105"/>
      <c r="DV59" s="105"/>
      <c r="DW59" s="105"/>
      <c r="DX59" s="105"/>
      <c r="DY59" s="105"/>
      <c r="DZ59" s="105"/>
      <c r="EA59" s="105"/>
      <c r="EB59" s="105"/>
      <c r="EC59" s="105"/>
      <c r="ED59" s="105"/>
      <c r="EE59" s="105"/>
      <c r="EF59" s="105"/>
      <c r="EG59" s="105"/>
      <c r="EH59" s="105"/>
      <c r="EI59" s="105"/>
      <c r="EJ59" s="105"/>
      <c r="EK59" s="105"/>
      <c r="EL59" s="105"/>
      <c r="EM59" s="105"/>
      <c r="EN59" s="105"/>
      <c r="EO59" s="105"/>
      <c r="EP59" s="105"/>
      <c r="EQ59" s="105"/>
      <c r="ER59" s="105"/>
      <c r="ES59" s="105"/>
      <c r="ET59" s="105"/>
      <c r="EU59" s="105"/>
      <c r="EV59" s="105"/>
      <c r="EW59" s="105"/>
      <c r="EX59" s="105"/>
      <c r="EY59" s="105"/>
      <c r="EZ59" s="105"/>
      <c r="FA59" s="105"/>
      <c r="FB59" s="105"/>
      <c r="FC59" s="105"/>
      <c r="FD59" s="105"/>
      <c r="FE59" s="105"/>
      <c r="FF59" s="105"/>
      <c r="FG59" s="105"/>
      <c r="FH59" s="105"/>
      <c r="FI59" s="105"/>
      <c r="FJ59" s="105"/>
      <c r="FK59" s="105"/>
      <c r="FL59" s="105"/>
      <c r="FM59" s="105"/>
      <c r="FN59" s="105"/>
      <c r="FO59" s="105"/>
      <c r="FP59" s="105"/>
      <c r="FQ59" s="105"/>
      <c r="FR59" s="105"/>
      <c r="FS59" s="105"/>
      <c r="FT59" s="105"/>
      <c r="FU59" s="105"/>
      <c r="FV59" s="105"/>
      <c r="FW59" s="105"/>
      <c r="FX59" s="105"/>
      <c r="FY59" s="105"/>
      <c r="FZ59" s="105"/>
      <c r="GA59" s="105"/>
      <c r="GB59" s="105"/>
      <c r="GC59" s="105"/>
      <c r="GD59" s="105"/>
      <c r="GE59" s="105"/>
      <c r="GF59" s="105"/>
      <c r="GG59" s="105"/>
      <c r="GH59" s="105"/>
      <c r="GI59" s="105"/>
      <c r="GJ59" s="105"/>
      <c r="GK59" s="105"/>
      <c r="GL59" s="105"/>
      <c r="GM59" s="105"/>
      <c r="GN59" s="105"/>
      <c r="GO59" s="105"/>
      <c r="GP59" s="105"/>
      <c r="GQ59" s="105"/>
      <c r="GR59" s="105"/>
      <c r="GS59" s="105"/>
      <c r="GT59" s="105"/>
      <c r="GU59" s="105"/>
      <c r="GV59" s="105"/>
      <c r="GW59" s="105"/>
      <c r="GX59" s="105"/>
      <c r="GY59" s="105"/>
      <c r="GZ59" s="105"/>
      <c r="HA59" s="105"/>
      <c r="HB59" s="105"/>
      <c r="HC59" s="105"/>
      <c r="HD59" s="105"/>
      <c r="HE59" s="105"/>
      <c r="HF59" s="105"/>
      <c r="HG59" s="105"/>
      <c r="HH59" s="105"/>
      <c r="HI59" s="105"/>
      <c r="HJ59" s="105"/>
      <c r="HK59" s="105"/>
      <c r="HL59" s="105"/>
      <c r="HM59" s="105"/>
      <c r="HN59" s="105"/>
      <c r="HO59" s="105"/>
      <c r="HP59" s="105"/>
      <c r="HQ59" s="105"/>
      <c r="HR59" s="105"/>
      <c r="HS59" s="105"/>
      <c r="HT59" s="105"/>
      <c r="HU59" s="105"/>
      <c r="HV59" s="105"/>
      <c r="HW59" s="105"/>
      <c r="HX59" s="105"/>
      <c r="HY59" s="105"/>
      <c r="HZ59" s="105"/>
      <c r="IA59" s="105"/>
      <c r="IB59" s="105"/>
      <c r="IC59" s="105"/>
      <c r="ID59" s="105"/>
      <c r="IE59" s="105"/>
      <c r="IF59" s="105"/>
      <c r="IG59" s="105"/>
      <c r="IH59" s="105"/>
      <c r="II59" s="105"/>
      <c r="IJ59" s="105"/>
      <c r="IK59" s="105"/>
      <c r="IL59" s="105"/>
      <c r="IM59" s="105"/>
      <c r="IN59" s="105"/>
      <c r="IO59" s="105"/>
      <c r="IP59" s="105"/>
      <c r="IQ59" s="105"/>
      <c r="IR59" s="105"/>
      <c r="IS59" s="105"/>
    </row>
    <row r="60" spans="1:253">
      <c r="A60" s="214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5"/>
      <c r="CH60" s="105"/>
      <c r="CI60" s="105"/>
      <c r="CJ60" s="105"/>
      <c r="CK60" s="105"/>
      <c r="CL60" s="105"/>
      <c r="CM60" s="105"/>
      <c r="CN60" s="105"/>
      <c r="CO60" s="105"/>
      <c r="CP60" s="105"/>
      <c r="CQ60" s="105"/>
      <c r="CR60" s="105"/>
      <c r="CS60" s="105"/>
      <c r="CT60" s="105"/>
      <c r="CU60" s="105"/>
      <c r="CV60" s="105"/>
      <c r="CW60" s="105"/>
      <c r="CX60" s="105"/>
      <c r="CY60" s="105"/>
      <c r="CZ60" s="105"/>
      <c r="DA60" s="105"/>
      <c r="DB60" s="105"/>
      <c r="DC60" s="105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5"/>
      <c r="DV60" s="105"/>
      <c r="DW60" s="105"/>
      <c r="DX60" s="105"/>
      <c r="DY60" s="105"/>
      <c r="DZ60" s="105"/>
      <c r="EA60" s="105"/>
      <c r="EB60" s="105"/>
      <c r="EC60" s="105"/>
      <c r="ED60" s="105"/>
      <c r="EE60" s="105"/>
      <c r="EF60" s="105"/>
      <c r="EG60" s="105"/>
      <c r="EH60" s="105"/>
      <c r="EI60" s="105"/>
      <c r="EJ60" s="105"/>
      <c r="EK60" s="105"/>
      <c r="EL60" s="105"/>
      <c r="EM60" s="105"/>
      <c r="EN60" s="105"/>
      <c r="EO60" s="105"/>
      <c r="EP60" s="105"/>
      <c r="EQ60" s="105"/>
      <c r="ER60" s="105"/>
      <c r="ES60" s="105"/>
      <c r="ET60" s="105"/>
      <c r="EU60" s="105"/>
      <c r="EV60" s="105"/>
      <c r="EW60" s="105"/>
      <c r="EX60" s="105"/>
      <c r="EY60" s="105"/>
      <c r="EZ60" s="105"/>
      <c r="FA60" s="105"/>
      <c r="FB60" s="105"/>
      <c r="FC60" s="105"/>
      <c r="FD60" s="105"/>
      <c r="FE60" s="105"/>
      <c r="FF60" s="105"/>
      <c r="FG60" s="105"/>
      <c r="FH60" s="105"/>
      <c r="FI60" s="105"/>
      <c r="FJ60" s="105"/>
      <c r="FK60" s="105"/>
      <c r="FL60" s="105"/>
      <c r="FM60" s="105"/>
      <c r="FN60" s="105"/>
      <c r="FO60" s="105"/>
      <c r="FP60" s="105"/>
      <c r="FQ60" s="105"/>
      <c r="FR60" s="105"/>
      <c r="FS60" s="105"/>
      <c r="FT60" s="105"/>
      <c r="FU60" s="105"/>
      <c r="FV60" s="105"/>
      <c r="FW60" s="105"/>
      <c r="FX60" s="105"/>
      <c r="FY60" s="105"/>
      <c r="FZ60" s="105"/>
      <c r="GA60" s="105"/>
      <c r="GB60" s="105"/>
      <c r="GC60" s="105"/>
      <c r="GD60" s="105"/>
      <c r="GE60" s="105"/>
      <c r="GF60" s="105"/>
      <c r="GG60" s="105"/>
      <c r="GH60" s="105"/>
      <c r="GI60" s="105"/>
      <c r="GJ60" s="105"/>
      <c r="GK60" s="105"/>
      <c r="GL60" s="105"/>
      <c r="GM60" s="105"/>
      <c r="GN60" s="105"/>
      <c r="GO60" s="105"/>
      <c r="GP60" s="105"/>
      <c r="GQ60" s="105"/>
      <c r="GR60" s="105"/>
      <c r="GS60" s="105"/>
      <c r="GT60" s="105"/>
      <c r="GU60" s="105"/>
      <c r="GV60" s="105"/>
      <c r="GW60" s="105"/>
      <c r="GX60" s="105"/>
      <c r="GY60" s="105"/>
      <c r="GZ60" s="105"/>
      <c r="HA60" s="105"/>
      <c r="HB60" s="105"/>
      <c r="HC60" s="105"/>
      <c r="HD60" s="105"/>
      <c r="HE60" s="105"/>
      <c r="HF60" s="105"/>
      <c r="HG60" s="105"/>
      <c r="HH60" s="105"/>
      <c r="HI60" s="105"/>
      <c r="HJ60" s="105"/>
      <c r="HK60" s="105"/>
      <c r="HL60" s="105"/>
      <c r="HM60" s="105"/>
      <c r="HN60" s="105"/>
      <c r="HO60" s="105"/>
      <c r="HP60" s="105"/>
      <c r="HQ60" s="105"/>
      <c r="HR60" s="105"/>
      <c r="HS60" s="105"/>
      <c r="HT60" s="105"/>
      <c r="HU60" s="105"/>
      <c r="HV60" s="105"/>
      <c r="HW60" s="105"/>
      <c r="HX60" s="105"/>
      <c r="HY60" s="105"/>
      <c r="HZ60" s="105"/>
      <c r="IA60" s="105"/>
      <c r="IB60" s="105"/>
      <c r="IC60" s="105"/>
      <c r="ID60" s="105"/>
      <c r="IE60" s="105"/>
      <c r="IF60" s="105"/>
      <c r="IG60" s="105"/>
      <c r="IH60" s="105"/>
      <c r="II60" s="105"/>
      <c r="IJ60" s="105"/>
      <c r="IK60" s="105"/>
      <c r="IL60" s="105"/>
      <c r="IM60" s="105"/>
      <c r="IN60" s="105"/>
      <c r="IO60" s="105"/>
      <c r="IP60" s="105"/>
      <c r="IQ60" s="105"/>
      <c r="IR60" s="105"/>
      <c r="IS60" s="105"/>
    </row>
    <row r="61" spans="1:253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05"/>
      <c r="CG61" s="105"/>
      <c r="CH61" s="105"/>
      <c r="CI61" s="105"/>
      <c r="CJ61" s="105"/>
      <c r="CK61" s="105"/>
      <c r="CL61" s="105"/>
      <c r="CM61" s="105"/>
      <c r="CN61" s="105"/>
      <c r="CO61" s="105"/>
      <c r="CP61" s="105"/>
      <c r="CQ61" s="105"/>
      <c r="CR61" s="105"/>
      <c r="CS61" s="105"/>
      <c r="CT61" s="105"/>
      <c r="CU61" s="105"/>
      <c r="CV61" s="105"/>
      <c r="CW61" s="105"/>
      <c r="CX61" s="105"/>
      <c r="CY61" s="105"/>
      <c r="CZ61" s="105"/>
      <c r="DA61" s="105"/>
      <c r="DB61" s="105"/>
      <c r="DC61" s="105"/>
      <c r="DD61" s="105"/>
      <c r="DE61" s="105"/>
      <c r="DF61" s="105"/>
      <c r="DG61" s="105"/>
      <c r="DH61" s="105"/>
      <c r="DI61" s="105"/>
      <c r="DJ61" s="105"/>
      <c r="DK61" s="105"/>
      <c r="DL61" s="105"/>
      <c r="DM61" s="105"/>
      <c r="DN61" s="105"/>
      <c r="DO61" s="105"/>
      <c r="DP61" s="105"/>
      <c r="DQ61" s="105"/>
      <c r="DR61" s="105"/>
      <c r="DS61" s="105"/>
      <c r="DT61" s="105"/>
      <c r="DU61" s="105"/>
      <c r="DV61" s="105"/>
      <c r="DW61" s="105"/>
      <c r="DX61" s="105"/>
      <c r="DY61" s="105"/>
      <c r="DZ61" s="105"/>
      <c r="EA61" s="105"/>
      <c r="EB61" s="105"/>
      <c r="EC61" s="105"/>
      <c r="ED61" s="105"/>
      <c r="EE61" s="105"/>
      <c r="EF61" s="105"/>
      <c r="EG61" s="105"/>
      <c r="EH61" s="105"/>
      <c r="EI61" s="105"/>
      <c r="EJ61" s="105"/>
      <c r="EK61" s="105"/>
      <c r="EL61" s="105"/>
      <c r="EM61" s="105"/>
      <c r="EN61" s="105"/>
      <c r="EO61" s="105"/>
      <c r="EP61" s="105"/>
      <c r="EQ61" s="105"/>
      <c r="ER61" s="105"/>
      <c r="ES61" s="105"/>
      <c r="ET61" s="105"/>
      <c r="EU61" s="105"/>
      <c r="EV61" s="105"/>
      <c r="EW61" s="105"/>
      <c r="EX61" s="105"/>
      <c r="EY61" s="105"/>
      <c r="EZ61" s="105"/>
      <c r="FA61" s="105"/>
      <c r="FB61" s="105"/>
      <c r="FC61" s="105"/>
      <c r="FD61" s="105"/>
      <c r="FE61" s="105"/>
      <c r="FF61" s="105"/>
      <c r="FG61" s="105"/>
      <c r="FH61" s="105"/>
      <c r="FI61" s="105"/>
      <c r="FJ61" s="105"/>
      <c r="FK61" s="105"/>
      <c r="FL61" s="105"/>
      <c r="FM61" s="105"/>
      <c r="FN61" s="105"/>
      <c r="FO61" s="105"/>
      <c r="FP61" s="105"/>
      <c r="FQ61" s="105"/>
      <c r="FR61" s="105"/>
      <c r="FS61" s="105"/>
      <c r="FT61" s="105"/>
      <c r="FU61" s="105"/>
      <c r="FV61" s="105"/>
      <c r="FW61" s="105"/>
      <c r="FX61" s="105"/>
      <c r="FY61" s="105"/>
      <c r="FZ61" s="105"/>
      <c r="GA61" s="105"/>
      <c r="GB61" s="105"/>
      <c r="GC61" s="105"/>
      <c r="GD61" s="105"/>
      <c r="GE61" s="105"/>
      <c r="GF61" s="105"/>
      <c r="GG61" s="105"/>
      <c r="GH61" s="105"/>
      <c r="GI61" s="105"/>
      <c r="GJ61" s="105"/>
      <c r="GK61" s="105"/>
      <c r="GL61" s="105"/>
      <c r="GM61" s="105"/>
      <c r="GN61" s="105"/>
      <c r="GO61" s="105"/>
      <c r="GP61" s="105"/>
      <c r="GQ61" s="105"/>
      <c r="GR61" s="105"/>
      <c r="GS61" s="105"/>
      <c r="GT61" s="105"/>
      <c r="GU61" s="105"/>
      <c r="GV61" s="105"/>
      <c r="GW61" s="105"/>
      <c r="GX61" s="105"/>
      <c r="GY61" s="105"/>
      <c r="GZ61" s="105"/>
      <c r="HA61" s="105"/>
      <c r="HB61" s="105"/>
      <c r="HC61" s="105"/>
      <c r="HD61" s="105"/>
      <c r="HE61" s="105"/>
      <c r="HF61" s="105"/>
      <c r="HG61" s="105"/>
      <c r="HH61" s="105"/>
      <c r="HI61" s="105"/>
      <c r="HJ61" s="105"/>
      <c r="HK61" s="105"/>
      <c r="HL61" s="105"/>
      <c r="HM61" s="105"/>
      <c r="HN61" s="105"/>
      <c r="HO61" s="105"/>
      <c r="HP61" s="105"/>
      <c r="HQ61" s="105"/>
      <c r="HR61" s="105"/>
      <c r="HS61" s="105"/>
      <c r="HT61" s="105"/>
      <c r="HU61" s="105"/>
      <c r="HV61" s="105"/>
      <c r="HW61" s="105"/>
      <c r="HX61" s="105"/>
      <c r="HY61" s="105"/>
      <c r="HZ61" s="105"/>
      <c r="IA61" s="105"/>
      <c r="IB61" s="105"/>
      <c r="IC61" s="105"/>
      <c r="ID61" s="105"/>
      <c r="IE61" s="105"/>
      <c r="IF61" s="105"/>
      <c r="IG61" s="105"/>
      <c r="IH61" s="105"/>
      <c r="II61" s="105"/>
      <c r="IJ61" s="105"/>
      <c r="IK61" s="105"/>
      <c r="IL61" s="105"/>
      <c r="IM61" s="105"/>
      <c r="IN61" s="105"/>
      <c r="IO61" s="105"/>
      <c r="IP61" s="105"/>
      <c r="IQ61" s="105"/>
      <c r="IR61" s="105"/>
      <c r="IS61" s="105"/>
    </row>
    <row r="62" spans="1:253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105"/>
      <c r="CE62" s="105"/>
      <c r="CF62" s="105"/>
      <c r="CG62" s="105"/>
      <c r="CH62" s="105"/>
      <c r="CI62" s="105"/>
      <c r="CJ62" s="105"/>
      <c r="CK62" s="105"/>
      <c r="CL62" s="105"/>
      <c r="CM62" s="105"/>
      <c r="CN62" s="105"/>
      <c r="CO62" s="105"/>
      <c r="CP62" s="105"/>
      <c r="CQ62" s="105"/>
      <c r="CR62" s="105"/>
      <c r="CS62" s="105"/>
      <c r="CT62" s="105"/>
      <c r="CU62" s="105"/>
      <c r="CV62" s="105"/>
      <c r="CW62" s="105"/>
      <c r="CX62" s="105"/>
      <c r="CY62" s="105"/>
      <c r="CZ62" s="105"/>
      <c r="DA62" s="105"/>
      <c r="DB62" s="105"/>
      <c r="DC62" s="105"/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5"/>
      <c r="DV62" s="105"/>
      <c r="DW62" s="105"/>
      <c r="DX62" s="105"/>
      <c r="DY62" s="105"/>
      <c r="DZ62" s="105"/>
      <c r="EA62" s="105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5"/>
      <c r="FB62" s="105"/>
      <c r="FC62" s="105"/>
      <c r="FD62" s="105"/>
      <c r="FE62" s="105"/>
      <c r="FF62" s="105"/>
      <c r="FG62" s="105"/>
      <c r="FH62" s="105"/>
      <c r="FI62" s="105"/>
      <c r="FJ62" s="105"/>
      <c r="FK62" s="105"/>
      <c r="FL62" s="105"/>
      <c r="FM62" s="105"/>
      <c r="FN62" s="105"/>
      <c r="FO62" s="105"/>
      <c r="FP62" s="105"/>
      <c r="FQ62" s="105"/>
      <c r="FR62" s="105"/>
      <c r="FS62" s="105"/>
      <c r="FT62" s="105"/>
      <c r="FU62" s="105"/>
      <c r="FV62" s="105"/>
      <c r="FW62" s="105"/>
      <c r="FX62" s="105"/>
      <c r="FY62" s="105"/>
      <c r="FZ62" s="105"/>
      <c r="GA62" s="105"/>
      <c r="GB62" s="105"/>
      <c r="GC62" s="105"/>
      <c r="GD62" s="105"/>
      <c r="GE62" s="105"/>
      <c r="GF62" s="105"/>
      <c r="GG62" s="105"/>
      <c r="GH62" s="105"/>
      <c r="GI62" s="105"/>
      <c r="GJ62" s="105"/>
      <c r="GK62" s="105"/>
      <c r="GL62" s="105"/>
      <c r="GM62" s="105"/>
      <c r="GN62" s="105"/>
      <c r="GO62" s="105"/>
      <c r="GP62" s="105"/>
      <c r="GQ62" s="105"/>
      <c r="GR62" s="105"/>
      <c r="GS62" s="105"/>
      <c r="GT62" s="105"/>
      <c r="GU62" s="105"/>
      <c r="GV62" s="105"/>
      <c r="GW62" s="105"/>
      <c r="GX62" s="105"/>
      <c r="GY62" s="105"/>
      <c r="GZ62" s="105"/>
      <c r="HA62" s="105"/>
      <c r="HB62" s="105"/>
      <c r="HC62" s="105"/>
      <c r="HD62" s="105"/>
      <c r="HE62" s="105"/>
      <c r="HF62" s="105"/>
      <c r="HG62" s="105"/>
      <c r="HH62" s="105"/>
      <c r="HI62" s="105"/>
      <c r="HJ62" s="105"/>
      <c r="HK62" s="105"/>
      <c r="HL62" s="105"/>
      <c r="HM62" s="105"/>
      <c r="HN62" s="105"/>
      <c r="HO62" s="105"/>
      <c r="HP62" s="105"/>
      <c r="HQ62" s="105"/>
      <c r="HR62" s="105"/>
      <c r="HS62" s="105"/>
      <c r="HT62" s="105"/>
      <c r="HU62" s="105"/>
      <c r="HV62" s="105"/>
      <c r="HW62" s="105"/>
      <c r="HX62" s="105"/>
      <c r="HY62" s="105"/>
      <c r="HZ62" s="105"/>
      <c r="IA62" s="105"/>
      <c r="IB62" s="105"/>
      <c r="IC62" s="105"/>
      <c r="ID62" s="105"/>
      <c r="IE62" s="105"/>
      <c r="IF62" s="105"/>
      <c r="IG62" s="105"/>
      <c r="IH62" s="105"/>
      <c r="II62" s="105"/>
      <c r="IJ62" s="105"/>
      <c r="IK62" s="105"/>
      <c r="IL62" s="105"/>
      <c r="IM62" s="105"/>
      <c r="IN62" s="105"/>
      <c r="IO62" s="105"/>
      <c r="IP62" s="105"/>
      <c r="IQ62" s="105"/>
      <c r="IR62" s="105"/>
      <c r="IS62" s="105"/>
    </row>
    <row r="63" spans="1:253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  <c r="CL63" s="105"/>
      <c r="CM63" s="105"/>
      <c r="CN63" s="105"/>
      <c r="CO63" s="105"/>
      <c r="CP63" s="105"/>
      <c r="CQ63" s="105"/>
      <c r="CR63" s="105"/>
      <c r="CS63" s="105"/>
      <c r="CT63" s="105"/>
      <c r="CU63" s="105"/>
      <c r="CV63" s="105"/>
      <c r="CW63" s="105"/>
      <c r="CX63" s="105"/>
      <c r="CY63" s="105"/>
      <c r="CZ63" s="105"/>
      <c r="DA63" s="105"/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/>
      <c r="EZ63" s="105"/>
      <c r="FA63" s="105"/>
      <c r="FB63" s="105"/>
      <c r="FC63" s="105"/>
      <c r="FD63" s="105"/>
      <c r="FE63" s="105"/>
      <c r="FF63" s="105"/>
      <c r="FG63" s="105"/>
      <c r="FH63" s="105"/>
      <c r="FI63" s="105"/>
      <c r="FJ63" s="105"/>
      <c r="FK63" s="105"/>
      <c r="FL63" s="105"/>
      <c r="FM63" s="105"/>
      <c r="FN63" s="105"/>
      <c r="FO63" s="105"/>
      <c r="FP63" s="105"/>
      <c r="FQ63" s="105"/>
      <c r="FR63" s="105"/>
      <c r="FS63" s="105"/>
      <c r="FT63" s="105"/>
      <c r="FU63" s="105"/>
      <c r="FV63" s="105"/>
      <c r="FW63" s="105"/>
      <c r="FX63" s="105"/>
      <c r="FY63" s="105"/>
      <c r="FZ63" s="105"/>
      <c r="GA63" s="105"/>
      <c r="GB63" s="105"/>
      <c r="GC63" s="105"/>
      <c r="GD63" s="105"/>
      <c r="GE63" s="105"/>
      <c r="GF63" s="105"/>
      <c r="GG63" s="105"/>
      <c r="GH63" s="105"/>
      <c r="GI63" s="105"/>
      <c r="GJ63" s="105"/>
      <c r="GK63" s="105"/>
      <c r="GL63" s="105"/>
      <c r="GM63" s="105"/>
      <c r="GN63" s="105"/>
      <c r="GO63" s="105"/>
      <c r="GP63" s="105"/>
      <c r="GQ63" s="105"/>
      <c r="GR63" s="105"/>
      <c r="GS63" s="105"/>
      <c r="GT63" s="105"/>
      <c r="GU63" s="105"/>
      <c r="GV63" s="105"/>
      <c r="GW63" s="105"/>
      <c r="GX63" s="105"/>
      <c r="GY63" s="105"/>
      <c r="GZ63" s="105"/>
      <c r="HA63" s="105"/>
      <c r="HB63" s="105"/>
      <c r="HC63" s="105"/>
      <c r="HD63" s="105"/>
      <c r="HE63" s="105"/>
      <c r="HF63" s="105"/>
      <c r="HG63" s="105"/>
      <c r="HH63" s="105"/>
      <c r="HI63" s="105"/>
      <c r="HJ63" s="105"/>
      <c r="HK63" s="105"/>
      <c r="HL63" s="105"/>
      <c r="HM63" s="105"/>
      <c r="HN63" s="105"/>
      <c r="HO63" s="105"/>
      <c r="HP63" s="105"/>
      <c r="HQ63" s="105"/>
      <c r="HR63" s="105"/>
      <c r="HS63" s="105"/>
      <c r="HT63" s="105"/>
      <c r="HU63" s="105"/>
      <c r="HV63" s="105"/>
      <c r="HW63" s="105"/>
      <c r="HX63" s="105"/>
      <c r="HY63" s="105"/>
      <c r="HZ63" s="105"/>
      <c r="IA63" s="105"/>
      <c r="IB63" s="105"/>
      <c r="IC63" s="105"/>
      <c r="ID63" s="105"/>
      <c r="IE63" s="105"/>
      <c r="IF63" s="105"/>
      <c r="IG63" s="105"/>
      <c r="IH63" s="105"/>
      <c r="II63" s="105"/>
      <c r="IJ63" s="105"/>
      <c r="IK63" s="105"/>
      <c r="IL63" s="105"/>
      <c r="IM63" s="105"/>
      <c r="IN63" s="105"/>
      <c r="IO63" s="105"/>
      <c r="IP63" s="105"/>
      <c r="IQ63" s="105"/>
      <c r="IR63" s="105"/>
      <c r="IS63" s="105"/>
    </row>
    <row r="64" spans="1:253">
      <c r="A64" s="116"/>
      <c r="B64" s="105"/>
      <c r="C64" s="116"/>
      <c r="D64" s="116"/>
      <c r="E64" s="116"/>
      <c r="F64" s="116"/>
      <c r="G64" s="116"/>
      <c r="H64" s="116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5"/>
      <c r="CT64" s="105"/>
      <c r="CU64" s="105"/>
      <c r="CV64" s="105"/>
      <c r="CW64" s="105"/>
      <c r="CX64" s="105"/>
      <c r="CY64" s="105"/>
      <c r="CZ64" s="105"/>
      <c r="DA64" s="105"/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105"/>
      <c r="FC64" s="105"/>
      <c r="FD64" s="105"/>
      <c r="FE64" s="105"/>
      <c r="FF64" s="105"/>
      <c r="FG64" s="105"/>
      <c r="FH64" s="105"/>
      <c r="FI64" s="105"/>
      <c r="FJ64" s="105"/>
      <c r="FK64" s="105"/>
      <c r="FL64" s="105"/>
      <c r="FM64" s="105"/>
      <c r="FN64" s="105"/>
      <c r="FO64" s="105"/>
      <c r="FP64" s="105"/>
      <c r="FQ64" s="105"/>
      <c r="FR64" s="105"/>
      <c r="FS64" s="105"/>
      <c r="FT64" s="105"/>
      <c r="FU64" s="105"/>
      <c r="FV64" s="105"/>
      <c r="FW64" s="105"/>
      <c r="FX64" s="105"/>
      <c r="FY64" s="105"/>
      <c r="FZ64" s="105"/>
      <c r="GA64" s="105"/>
      <c r="GB64" s="105"/>
      <c r="GC64" s="105"/>
      <c r="GD64" s="105"/>
      <c r="GE64" s="105"/>
      <c r="GF64" s="105"/>
      <c r="GG64" s="105"/>
      <c r="GH64" s="105"/>
      <c r="GI64" s="105"/>
      <c r="GJ64" s="105"/>
      <c r="GK64" s="105"/>
      <c r="GL64" s="105"/>
      <c r="GM64" s="105"/>
      <c r="GN64" s="105"/>
      <c r="GO64" s="105"/>
      <c r="GP64" s="105"/>
      <c r="GQ64" s="105"/>
      <c r="GR64" s="105"/>
      <c r="GS64" s="105"/>
      <c r="GT64" s="105"/>
      <c r="GU64" s="105"/>
      <c r="GV64" s="105"/>
      <c r="GW64" s="105"/>
      <c r="GX64" s="105"/>
      <c r="GY64" s="105"/>
      <c r="GZ64" s="105"/>
      <c r="HA64" s="105"/>
      <c r="HB64" s="105"/>
      <c r="HC64" s="105"/>
      <c r="HD64" s="105"/>
      <c r="HE64" s="105"/>
      <c r="HF64" s="105"/>
      <c r="HG64" s="105"/>
      <c r="HH64" s="105"/>
      <c r="HI64" s="105"/>
      <c r="HJ64" s="105"/>
      <c r="HK64" s="105"/>
      <c r="HL64" s="105"/>
      <c r="HM64" s="105"/>
      <c r="HN64" s="105"/>
      <c r="HO64" s="105"/>
      <c r="HP64" s="105"/>
      <c r="HQ64" s="105"/>
      <c r="HR64" s="105"/>
      <c r="HS64" s="105"/>
      <c r="HT64" s="105"/>
      <c r="HU64" s="105"/>
      <c r="HV64" s="105"/>
      <c r="HW64" s="105"/>
      <c r="HX64" s="105"/>
      <c r="HY64" s="105"/>
      <c r="HZ64" s="105"/>
      <c r="IA64" s="105"/>
      <c r="IB64" s="105"/>
      <c r="IC64" s="105"/>
      <c r="ID64" s="105"/>
      <c r="IE64" s="105"/>
      <c r="IF64" s="105"/>
      <c r="IG64" s="105"/>
      <c r="IH64" s="105"/>
      <c r="II64" s="105"/>
      <c r="IJ64" s="105"/>
      <c r="IK64" s="105"/>
      <c r="IL64" s="105"/>
      <c r="IM64" s="105"/>
      <c r="IN64" s="105"/>
      <c r="IO64" s="105"/>
      <c r="IP64" s="105"/>
      <c r="IQ64" s="105"/>
      <c r="IR64" s="105"/>
      <c r="IS64" s="105"/>
    </row>
    <row r="65" spans="1:253">
      <c r="A65" s="116"/>
      <c r="B65" s="105"/>
      <c r="C65" s="116"/>
      <c r="D65" s="116"/>
      <c r="E65" s="116"/>
      <c r="F65" s="116"/>
      <c r="G65" s="116"/>
      <c r="H65" s="116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  <c r="CL65" s="105"/>
      <c r="CM65" s="105"/>
      <c r="CN65" s="105"/>
      <c r="CO65" s="105"/>
      <c r="CP65" s="105"/>
      <c r="CQ65" s="105"/>
      <c r="CR65" s="105"/>
      <c r="CS65" s="105"/>
      <c r="CT65" s="105"/>
      <c r="CU65" s="105"/>
      <c r="CV65" s="105"/>
      <c r="CW65" s="105"/>
      <c r="CX65" s="105"/>
      <c r="CY65" s="105"/>
      <c r="CZ65" s="105"/>
      <c r="DA65" s="105"/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5"/>
      <c r="DV65" s="105"/>
      <c r="DW65" s="105"/>
      <c r="DX65" s="105"/>
      <c r="DY65" s="105"/>
      <c r="DZ65" s="105"/>
      <c r="EA65" s="105"/>
      <c r="EB65" s="105"/>
      <c r="EC65" s="105"/>
      <c r="ED65" s="105"/>
      <c r="EE65" s="105"/>
      <c r="EF65" s="105"/>
      <c r="EG65" s="105"/>
      <c r="EH65" s="105"/>
      <c r="EI65" s="105"/>
      <c r="EJ65" s="105"/>
      <c r="EK65" s="105"/>
      <c r="EL65" s="105"/>
      <c r="EM65" s="105"/>
      <c r="EN65" s="105"/>
      <c r="EO65" s="105"/>
      <c r="EP65" s="105"/>
      <c r="EQ65" s="105"/>
      <c r="ER65" s="105"/>
      <c r="ES65" s="105"/>
      <c r="ET65" s="105"/>
      <c r="EU65" s="105"/>
      <c r="EV65" s="105"/>
      <c r="EW65" s="105"/>
      <c r="EX65" s="105"/>
      <c r="EY65" s="105"/>
      <c r="EZ65" s="105"/>
      <c r="FA65" s="105"/>
      <c r="FB65" s="105"/>
      <c r="FC65" s="105"/>
      <c r="FD65" s="105"/>
      <c r="FE65" s="105"/>
      <c r="FF65" s="105"/>
      <c r="FG65" s="105"/>
      <c r="FH65" s="105"/>
      <c r="FI65" s="105"/>
      <c r="FJ65" s="105"/>
      <c r="FK65" s="105"/>
      <c r="FL65" s="105"/>
      <c r="FM65" s="105"/>
      <c r="FN65" s="105"/>
      <c r="FO65" s="105"/>
      <c r="FP65" s="105"/>
      <c r="FQ65" s="105"/>
      <c r="FR65" s="105"/>
      <c r="FS65" s="105"/>
      <c r="FT65" s="105"/>
      <c r="FU65" s="105"/>
      <c r="FV65" s="105"/>
      <c r="FW65" s="105"/>
      <c r="FX65" s="105"/>
      <c r="FY65" s="105"/>
      <c r="FZ65" s="105"/>
      <c r="GA65" s="105"/>
      <c r="GB65" s="105"/>
      <c r="GC65" s="105"/>
      <c r="GD65" s="105"/>
      <c r="GE65" s="105"/>
      <c r="GF65" s="105"/>
      <c r="GG65" s="105"/>
      <c r="GH65" s="105"/>
      <c r="GI65" s="105"/>
      <c r="GJ65" s="105"/>
      <c r="GK65" s="105"/>
      <c r="GL65" s="105"/>
      <c r="GM65" s="105"/>
      <c r="GN65" s="105"/>
      <c r="GO65" s="105"/>
      <c r="GP65" s="105"/>
      <c r="GQ65" s="105"/>
      <c r="GR65" s="105"/>
      <c r="GS65" s="105"/>
      <c r="GT65" s="105"/>
      <c r="GU65" s="105"/>
      <c r="GV65" s="105"/>
      <c r="GW65" s="105"/>
      <c r="GX65" s="105"/>
      <c r="GY65" s="105"/>
      <c r="GZ65" s="105"/>
      <c r="HA65" s="105"/>
      <c r="HB65" s="105"/>
      <c r="HC65" s="105"/>
      <c r="HD65" s="105"/>
      <c r="HE65" s="105"/>
      <c r="HF65" s="105"/>
      <c r="HG65" s="105"/>
      <c r="HH65" s="105"/>
      <c r="HI65" s="105"/>
      <c r="HJ65" s="105"/>
      <c r="HK65" s="105"/>
      <c r="HL65" s="105"/>
      <c r="HM65" s="105"/>
      <c r="HN65" s="105"/>
      <c r="HO65" s="105"/>
      <c r="HP65" s="105"/>
      <c r="HQ65" s="105"/>
      <c r="HR65" s="105"/>
      <c r="HS65" s="105"/>
      <c r="HT65" s="105"/>
      <c r="HU65" s="105"/>
      <c r="HV65" s="105"/>
      <c r="HW65" s="105"/>
      <c r="HX65" s="105"/>
      <c r="HY65" s="105"/>
      <c r="HZ65" s="105"/>
      <c r="IA65" s="105"/>
      <c r="IB65" s="105"/>
      <c r="IC65" s="105"/>
      <c r="ID65" s="105"/>
      <c r="IE65" s="105"/>
      <c r="IF65" s="105"/>
      <c r="IG65" s="105"/>
      <c r="IH65" s="105"/>
      <c r="II65" s="105"/>
      <c r="IJ65" s="105"/>
      <c r="IK65" s="105"/>
      <c r="IL65" s="105"/>
      <c r="IM65" s="105"/>
      <c r="IN65" s="105"/>
      <c r="IO65" s="105"/>
      <c r="IP65" s="105"/>
      <c r="IQ65" s="105"/>
      <c r="IR65" s="105"/>
      <c r="IS65" s="105"/>
    </row>
    <row r="66" spans="1:253">
      <c r="A66" s="116"/>
      <c r="B66" s="105"/>
      <c r="C66" s="116"/>
      <c r="D66" s="116"/>
      <c r="E66" s="116"/>
      <c r="F66" s="116"/>
      <c r="G66" s="116"/>
      <c r="H66" s="116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/>
      <c r="BY66" s="105"/>
      <c r="BZ66" s="105"/>
      <c r="CA66" s="105"/>
      <c r="CB66" s="105"/>
      <c r="CC66" s="105"/>
      <c r="CD66" s="105"/>
      <c r="CE66" s="105"/>
      <c r="CF66" s="105"/>
      <c r="CG66" s="105"/>
      <c r="CH66" s="105"/>
      <c r="CI66" s="105"/>
      <c r="CJ66" s="105"/>
      <c r="CK66" s="105"/>
      <c r="CL66" s="105"/>
      <c r="CM66" s="105"/>
      <c r="CN66" s="105"/>
      <c r="CO66" s="105"/>
      <c r="CP66" s="105"/>
      <c r="CQ66" s="105"/>
      <c r="CR66" s="105"/>
      <c r="CS66" s="105"/>
      <c r="CT66" s="105"/>
      <c r="CU66" s="105"/>
      <c r="CV66" s="105"/>
      <c r="CW66" s="105"/>
      <c r="CX66" s="105"/>
      <c r="CY66" s="105"/>
      <c r="CZ66" s="105"/>
      <c r="DA66" s="105"/>
      <c r="DB66" s="105"/>
      <c r="DC66" s="105"/>
      <c r="DD66" s="105"/>
      <c r="DE66" s="105"/>
      <c r="DF66" s="105"/>
      <c r="DG66" s="105"/>
      <c r="DH66" s="105"/>
      <c r="DI66" s="105"/>
      <c r="DJ66" s="105"/>
      <c r="DK66" s="105"/>
      <c r="DL66" s="105"/>
      <c r="DM66" s="105"/>
      <c r="DN66" s="105"/>
      <c r="DO66" s="105"/>
      <c r="DP66" s="105"/>
      <c r="DQ66" s="105"/>
      <c r="DR66" s="105"/>
      <c r="DS66" s="105"/>
      <c r="DT66" s="105"/>
      <c r="DU66" s="105"/>
      <c r="DV66" s="105"/>
      <c r="DW66" s="105"/>
      <c r="DX66" s="105"/>
      <c r="DY66" s="105"/>
      <c r="DZ66" s="105"/>
      <c r="EA66" s="105"/>
      <c r="EB66" s="105"/>
      <c r="EC66" s="105"/>
      <c r="ED66" s="105"/>
      <c r="EE66" s="105"/>
      <c r="EF66" s="105"/>
      <c r="EG66" s="105"/>
      <c r="EH66" s="105"/>
      <c r="EI66" s="105"/>
      <c r="EJ66" s="105"/>
      <c r="EK66" s="105"/>
      <c r="EL66" s="105"/>
      <c r="EM66" s="105"/>
      <c r="EN66" s="105"/>
      <c r="EO66" s="105"/>
      <c r="EP66" s="105"/>
      <c r="EQ66" s="105"/>
      <c r="ER66" s="105"/>
      <c r="ES66" s="105"/>
      <c r="ET66" s="105"/>
      <c r="EU66" s="105"/>
      <c r="EV66" s="105"/>
      <c r="EW66" s="105"/>
      <c r="EX66" s="105"/>
      <c r="EY66" s="105"/>
      <c r="EZ66" s="105"/>
      <c r="FA66" s="105"/>
      <c r="FB66" s="105"/>
      <c r="FC66" s="105"/>
      <c r="FD66" s="105"/>
      <c r="FE66" s="105"/>
      <c r="FF66" s="105"/>
      <c r="FG66" s="105"/>
      <c r="FH66" s="105"/>
      <c r="FI66" s="105"/>
      <c r="FJ66" s="105"/>
      <c r="FK66" s="105"/>
      <c r="FL66" s="105"/>
      <c r="FM66" s="105"/>
      <c r="FN66" s="105"/>
      <c r="FO66" s="105"/>
      <c r="FP66" s="105"/>
      <c r="FQ66" s="105"/>
      <c r="FR66" s="105"/>
      <c r="FS66" s="105"/>
      <c r="FT66" s="105"/>
      <c r="FU66" s="105"/>
      <c r="FV66" s="105"/>
      <c r="FW66" s="105"/>
      <c r="FX66" s="105"/>
      <c r="FY66" s="105"/>
      <c r="FZ66" s="105"/>
      <c r="GA66" s="105"/>
      <c r="GB66" s="105"/>
      <c r="GC66" s="105"/>
      <c r="GD66" s="105"/>
      <c r="GE66" s="105"/>
      <c r="GF66" s="105"/>
      <c r="GG66" s="105"/>
      <c r="GH66" s="105"/>
      <c r="GI66" s="105"/>
      <c r="GJ66" s="105"/>
      <c r="GK66" s="105"/>
      <c r="GL66" s="105"/>
      <c r="GM66" s="105"/>
      <c r="GN66" s="105"/>
      <c r="GO66" s="105"/>
      <c r="GP66" s="105"/>
      <c r="GQ66" s="105"/>
      <c r="GR66" s="105"/>
      <c r="GS66" s="105"/>
      <c r="GT66" s="105"/>
      <c r="GU66" s="105"/>
      <c r="GV66" s="105"/>
      <c r="GW66" s="105"/>
      <c r="GX66" s="105"/>
      <c r="GY66" s="105"/>
      <c r="GZ66" s="105"/>
      <c r="HA66" s="105"/>
      <c r="HB66" s="105"/>
      <c r="HC66" s="105"/>
      <c r="HD66" s="105"/>
      <c r="HE66" s="105"/>
      <c r="HF66" s="105"/>
      <c r="HG66" s="105"/>
      <c r="HH66" s="105"/>
      <c r="HI66" s="105"/>
      <c r="HJ66" s="105"/>
      <c r="HK66" s="105"/>
      <c r="HL66" s="105"/>
      <c r="HM66" s="105"/>
      <c r="HN66" s="105"/>
      <c r="HO66" s="105"/>
      <c r="HP66" s="105"/>
      <c r="HQ66" s="105"/>
      <c r="HR66" s="105"/>
      <c r="HS66" s="105"/>
      <c r="HT66" s="105"/>
      <c r="HU66" s="105"/>
      <c r="HV66" s="105"/>
      <c r="HW66" s="105"/>
      <c r="HX66" s="105"/>
      <c r="HY66" s="105"/>
      <c r="HZ66" s="105"/>
      <c r="IA66" s="105"/>
      <c r="IB66" s="105"/>
      <c r="IC66" s="105"/>
      <c r="ID66" s="105"/>
      <c r="IE66" s="105"/>
      <c r="IF66" s="105"/>
      <c r="IG66" s="105"/>
      <c r="IH66" s="105"/>
      <c r="II66" s="105"/>
      <c r="IJ66" s="105"/>
      <c r="IK66" s="105"/>
      <c r="IL66" s="105"/>
      <c r="IM66" s="105"/>
      <c r="IN66" s="105"/>
      <c r="IO66" s="105"/>
      <c r="IP66" s="105"/>
      <c r="IQ66" s="105"/>
      <c r="IR66" s="105"/>
      <c r="IS66" s="105"/>
    </row>
    <row r="67" spans="1:253">
      <c r="A67" s="116"/>
      <c r="B67" s="105"/>
      <c r="C67" s="116"/>
      <c r="D67" s="116"/>
      <c r="E67" s="116"/>
      <c r="F67" s="116"/>
      <c r="G67" s="116"/>
      <c r="H67" s="116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5"/>
      <c r="DC67" s="105"/>
      <c r="DD67" s="105"/>
      <c r="DE67" s="105"/>
      <c r="DF67" s="105"/>
      <c r="DG67" s="105"/>
      <c r="DH67" s="105"/>
      <c r="DI67" s="105"/>
      <c r="DJ67" s="105"/>
      <c r="DK67" s="105"/>
      <c r="DL67" s="105"/>
      <c r="DM67" s="105"/>
      <c r="DN67" s="105"/>
      <c r="DO67" s="105"/>
      <c r="DP67" s="105"/>
      <c r="DQ67" s="105"/>
      <c r="DR67" s="105"/>
      <c r="DS67" s="105"/>
      <c r="DT67" s="105"/>
      <c r="DU67" s="105"/>
      <c r="DV67" s="105"/>
      <c r="DW67" s="105"/>
      <c r="DX67" s="105"/>
      <c r="DY67" s="105"/>
      <c r="DZ67" s="105"/>
      <c r="EA67" s="105"/>
      <c r="EB67" s="105"/>
      <c r="EC67" s="105"/>
      <c r="ED67" s="105"/>
      <c r="EE67" s="105"/>
      <c r="EF67" s="105"/>
      <c r="EG67" s="105"/>
      <c r="EH67" s="105"/>
      <c r="EI67" s="105"/>
      <c r="EJ67" s="105"/>
      <c r="EK67" s="105"/>
      <c r="EL67" s="105"/>
      <c r="EM67" s="105"/>
      <c r="EN67" s="105"/>
      <c r="EO67" s="105"/>
      <c r="EP67" s="105"/>
      <c r="EQ67" s="105"/>
      <c r="ER67" s="105"/>
      <c r="ES67" s="105"/>
      <c r="ET67" s="105"/>
      <c r="EU67" s="105"/>
      <c r="EV67" s="105"/>
      <c r="EW67" s="105"/>
      <c r="EX67" s="105"/>
      <c r="EY67" s="105"/>
      <c r="EZ67" s="105"/>
      <c r="FA67" s="105"/>
      <c r="FB67" s="105"/>
      <c r="FC67" s="105"/>
      <c r="FD67" s="105"/>
      <c r="FE67" s="105"/>
      <c r="FF67" s="105"/>
      <c r="FG67" s="105"/>
      <c r="FH67" s="105"/>
      <c r="FI67" s="105"/>
      <c r="FJ67" s="105"/>
      <c r="FK67" s="105"/>
      <c r="FL67" s="105"/>
      <c r="FM67" s="105"/>
      <c r="FN67" s="105"/>
      <c r="FO67" s="105"/>
      <c r="FP67" s="105"/>
      <c r="FQ67" s="105"/>
      <c r="FR67" s="105"/>
      <c r="FS67" s="105"/>
      <c r="FT67" s="105"/>
      <c r="FU67" s="105"/>
      <c r="FV67" s="105"/>
      <c r="FW67" s="105"/>
      <c r="FX67" s="105"/>
      <c r="FY67" s="105"/>
      <c r="FZ67" s="105"/>
      <c r="GA67" s="105"/>
      <c r="GB67" s="105"/>
      <c r="GC67" s="105"/>
      <c r="GD67" s="105"/>
      <c r="GE67" s="105"/>
      <c r="GF67" s="105"/>
      <c r="GG67" s="105"/>
      <c r="GH67" s="105"/>
      <c r="GI67" s="105"/>
      <c r="GJ67" s="105"/>
      <c r="GK67" s="105"/>
      <c r="GL67" s="105"/>
      <c r="GM67" s="105"/>
      <c r="GN67" s="105"/>
      <c r="GO67" s="105"/>
      <c r="GP67" s="105"/>
      <c r="GQ67" s="105"/>
      <c r="GR67" s="105"/>
      <c r="GS67" s="105"/>
      <c r="GT67" s="105"/>
      <c r="GU67" s="105"/>
      <c r="GV67" s="105"/>
      <c r="GW67" s="105"/>
      <c r="GX67" s="105"/>
      <c r="GY67" s="105"/>
      <c r="GZ67" s="105"/>
      <c r="HA67" s="105"/>
      <c r="HB67" s="105"/>
      <c r="HC67" s="105"/>
      <c r="HD67" s="105"/>
      <c r="HE67" s="105"/>
      <c r="HF67" s="105"/>
      <c r="HG67" s="105"/>
      <c r="HH67" s="105"/>
      <c r="HI67" s="105"/>
      <c r="HJ67" s="105"/>
      <c r="HK67" s="105"/>
      <c r="HL67" s="105"/>
      <c r="HM67" s="105"/>
      <c r="HN67" s="105"/>
      <c r="HO67" s="105"/>
      <c r="HP67" s="105"/>
      <c r="HQ67" s="105"/>
      <c r="HR67" s="105"/>
      <c r="HS67" s="105"/>
      <c r="HT67" s="105"/>
      <c r="HU67" s="105"/>
      <c r="HV67" s="105"/>
      <c r="HW67" s="105"/>
      <c r="HX67" s="105"/>
      <c r="HY67" s="105"/>
      <c r="HZ67" s="105"/>
      <c r="IA67" s="105"/>
      <c r="IB67" s="105"/>
      <c r="IC67" s="105"/>
      <c r="ID67" s="105"/>
      <c r="IE67" s="105"/>
      <c r="IF67" s="105"/>
      <c r="IG67" s="105"/>
      <c r="IH67" s="105"/>
      <c r="II67" s="105"/>
      <c r="IJ67" s="105"/>
      <c r="IK67" s="105"/>
      <c r="IL67" s="105"/>
      <c r="IM67" s="105"/>
      <c r="IN67" s="105"/>
      <c r="IO67" s="105"/>
      <c r="IP67" s="105"/>
      <c r="IQ67" s="105"/>
      <c r="IR67" s="105"/>
      <c r="IS67" s="105"/>
    </row>
    <row r="68" spans="1:253">
      <c r="A68" s="116"/>
      <c r="B68" s="105"/>
      <c r="C68" s="116"/>
      <c r="D68" s="116"/>
      <c r="E68" s="116"/>
      <c r="F68" s="116"/>
      <c r="G68" s="116"/>
      <c r="H68" s="116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5"/>
      <c r="DC68" s="105"/>
      <c r="DD68" s="105"/>
      <c r="DE68" s="105"/>
      <c r="DF68" s="105"/>
      <c r="DG68" s="105"/>
      <c r="DH68" s="105"/>
      <c r="DI68" s="105"/>
      <c r="DJ68" s="105"/>
      <c r="DK68" s="105"/>
      <c r="DL68" s="105"/>
      <c r="DM68" s="105"/>
      <c r="DN68" s="105"/>
      <c r="DO68" s="105"/>
      <c r="DP68" s="105"/>
      <c r="DQ68" s="105"/>
      <c r="DR68" s="105"/>
      <c r="DS68" s="105"/>
      <c r="DT68" s="105"/>
      <c r="DU68" s="105"/>
      <c r="DV68" s="105"/>
      <c r="DW68" s="105"/>
      <c r="DX68" s="105"/>
      <c r="DY68" s="105"/>
      <c r="DZ68" s="105"/>
      <c r="EA68" s="105"/>
      <c r="EB68" s="105"/>
      <c r="EC68" s="105"/>
      <c r="ED68" s="105"/>
      <c r="EE68" s="105"/>
      <c r="EF68" s="105"/>
      <c r="EG68" s="105"/>
      <c r="EH68" s="105"/>
      <c r="EI68" s="105"/>
      <c r="EJ68" s="105"/>
      <c r="EK68" s="105"/>
      <c r="EL68" s="105"/>
      <c r="EM68" s="105"/>
      <c r="EN68" s="105"/>
      <c r="EO68" s="105"/>
      <c r="EP68" s="105"/>
      <c r="EQ68" s="105"/>
      <c r="ER68" s="105"/>
      <c r="ES68" s="105"/>
      <c r="ET68" s="105"/>
      <c r="EU68" s="105"/>
      <c r="EV68" s="105"/>
      <c r="EW68" s="105"/>
      <c r="EX68" s="105"/>
      <c r="EY68" s="105"/>
      <c r="EZ68" s="105"/>
      <c r="FA68" s="105"/>
      <c r="FB68" s="105"/>
      <c r="FC68" s="105"/>
      <c r="FD68" s="105"/>
      <c r="FE68" s="105"/>
      <c r="FF68" s="105"/>
      <c r="FG68" s="105"/>
      <c r="FH68" s="105"/>
      <c r="FI68" s="105"/>
      <c r="FJ68" s="105"/>
      <c r="FK68" s="105"/>
      <c r="FL68" s="105"/>
      <c r="FM68" s="105"/>
      <c r="FN68" s="105"/>
      <c r="FO68" s="105"/>
      <c r="FP68" s="105"/>
      <c r="FQ68" s="105"/>
      <c r="FR68" s="105"/>
      <c r="FS68" s="105"/>
      <c r="FT68" s="105"/>
      <c r="FU68" s="105"/>
      <c r="FV68" s="105"/>
      <c r="FW68" s="105"/>
      <c r="FX68" s="105"/>
      <c r="FY68" s="105"/>
      <c r="FZ68" s="105"/>
      <c r="GA68" s="105"/>
      <c r="GB68" s="105"/>
      <c r="GC68" s="105"/>
      <c r="GD68" s="105"/>
      <c r="GE68" s="105"/>
      <c r="GF68" s="105"/>
      <c r="GG68" s="105"/>
      <c r="GH68" s="105"/>
      <c r="GI68" s="105"/>
      <c r="GJ68" s="105"/>
      <c r="GK68" s="105"/>
      <c r="GL68" s="105"/>
      <c r="GM68" s="105"/>
      <c r="GN68" s="105"/>
      <c r="GO68" s="105"/>
      <c r="GP68" s="105"/>
      <c r="GQ68" s="105"/>
      <c r="GR68" s="105"/>
      <c r="GS68" s="105"/>
      <c r="GT68" s="105"/>
      <c r="GU68" s="105"/>
      <c r="GV68" s="105"/>
      <c r="GW68" s="105"/>
      <c r="GX68" s="105"/>
      <c r="GY68" s="105"/>
      <c r="GZ68" s="105"/>
      <c r="HA68" s="105"/>
      <c r="HB68" s="105"/>
      <c r="HC68" s="105"/>
      <c r="HD68" s="105"/>
      <c r="HE68" s="105"/>
      <c r="HF68" s="105"/>
      <c r="HG68" s="105"/>
      <c r="HH68" s="105"/>
      <c r="HI68" s="105"/>
      <c r="HJ68" s="105"/>
      <c r="HK68" s="105"/>
      <c r="HL68" s="105"/>
      <c r="HM68" s="105"/>
      <c r="HN68" s="105"/>
      <c r="HO68" s="105"/>
      <c r="HP68" s="105"/>
      <c r="HQ68" s="105"/>
      <c r="HR68" s="105"/>
      <c r="HS68" s="105"/>
      <c r="HT68" s="105"/>
      <c r="HU68" s="105"/>
      <c r="HV68" s="105"/>
      <c r="HW68" s="105"/>
      <c r="HX68" s="105"/>
      <c r="HY68" s="105"/>
      <c r="HZ68" s="105"/>
      <c r="IA68" s="105"/>
      <c r="IB68" s="105"/>
      <c r="IC68" s="105"/>
      <c r="ID68" s="105"/>
      <c r="IE68" s="105"/>
      <c r="IF68" s="105"/>
      <c r="IG68" s="105"/>
      <c r="IH68" s="105"/>
      <c r="II68" s="105"/>
      <c r="IJ68" s="105"/>
      <c r="IK68" s="105"/>
      <c r="IL68" s="105"/>
      <c r="IM68" s="105"/>
      <c r="IN68" s="105"/>
      <c r="IO68" s="105"/>
      <c r="IP68" s="105"/>
      <c r="IQ68" s="105"/>
      <c r="IR68" s="105"/>
      <c r="IS68" s="105"/>
    </row>
    <row r="69" spans="1:253">
      <c r="A69" s="116"/>
      <c r="B69" s="105"/>
      <c r="C69" s="116"/>
      <c r="D69" s="116"/>
      <c r="E69" s="116"/>
      <c r="F69" s="116"/>
      <c r="G69" s="116"/>
      <c r="H69" s="116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5"/>
      <c r="CH69" s="105"/>
      <c r="CI69" s="105"/>
      <c r="CJ69" s="105"/>
      <c r="CK69" s="105"/>
      <c r="CL69" s="105"/>
      <c r="CM69" s="105"/>
      <c r="CN69" s="105"/>
      <c r="CO69" s="105"/>
      <c r="CP69" s="105"/>
      <c r="CQ69" s="105"/>
      <c r="CR69" s="105"/>
      <c r="CS69" s="105"/>
      <c r="CT69" s="105"/>
      <c r="CU69" s="105"/>
      <c r="CV69" s="105"/>
      <c r="CW69" s="105"/>
      <c r="CX69" s="105"/>
      <c r="CY69" s="105"/>
      <c r="CZ69" s="105"/>
      <c r="DA69" s="105"/>
      <c r="DB69" s="105"/>
      <c r="DC69" s="105"/>
      <c r="DD69" s="105"/>
      <c r="DE69" s="105"/>
      <c r="DF69" s="105"/>
      <c r="DG69" s="105"/>
      <c r="DH69" s="105"/>
      <c r="DI69" s="105"/>
      <c r="DJ69" s="105"/>
      <c r="DK69" s="105"/>
      <c r="DL69" s="105"/>
      <c r="DM69" s="105"/>
      <c r="DN69" s="105"/>
      <c r="DO69" s="105"/>
      <c r="DP69" s="105"/>
      <c r="DQ69" s="105"/>
      <c r="DR69" s="105"/>
      <c r="DS69" s="105"/>
      <c r="DT69" s="105"/>
      <c r="DU69" s="105"/>
      <c r="DV69" s="105"/>
      <c r="DW69" s="105"/>
      <c r="DX69" s="105"/>
      <c r="DY69" s="105"/>
      <c r="DZ69" s="105"/>
      <c r="EA69" s="105"/>
      <c r="EB69" s="105"/>
      <c r="EC69" s="105"/>
      <c r="ED69" s="105"/>
      <c r="EE69" s="105"/>
      <c r="EF69" s="105"/>
      <c r="EG69" s="105"/>
      <c r="EH69" s="105"/>
      <c r="EI69" s="105"/>
      <c r="EJ69" s="105"/>
      <c r="EK69" s="105"/>
      <c r="EL69" s="105"/>
      <c r="EM69" s="105"/>
      <c r="EN69" s="105"/>
      <c r="EO69" s="105"/>
      <c r="EP69" s="105"/>
      <c r="EQ69" s="105"/>
      <c r="ER69" s="105"/>
      <c r="ES69" s="105"/>
      <c r="ET69" s="105"/>
      <c r="EU69" s="105"/>
      <c r="EV69" s="105"/>
      <c r="EW69" s="105"/>
      <c r="EX69" s="105"/>
      <c r="EY69" s="105"/>
      <c r="EZ69" s="105"/>
      <c r="FA69" s="105"/>
      <c r="FB69" s="105"/>
      <c r="FC69" s="105"/>
      <c r="FD69" s="105"/>
      <c r="FE69" s="105"/>
      <c r="FF69" s="105"/>
      <c r="FG69" s="105"/>
      <c r="FH69" s="105"/>
      <c r="FI69" s="105"/>
      <c r="FJ69" s="105"/>
      <c r="FK69" s="105"/>
      <c r="FL69" s="105"/>
      <c r="FM69" s="105"/>
      <c r="FN69" s="105"/>
      <c r="FO69" s="105"/>
      <c r="FP69" s="105"/>
      <c r="FQ69" s="105"/>
      <c r="FR69" s="105"/>
      <c r="FS69" s="105"/>
      <c r="FT69" s="105"/>
      <c r="FU69" s="105"/>
      <c r="FV69" s="105"/>
      <c r="FW69" s="105"/>
      <c r="FX69" s="105"/>
      <c r="FY69" s="105"/>
      <c r="FZ69" s="105"/>
      <c r="GA69" s="105"/>
      <c r="GB69" s="105"/>
      <c r="GC69" s="105"/>
      <c r="GD69" s="105"/>
      <c r="GE69" s="105"/>
      <c r="GF69" s="105"/>
      <c r="GG69" s="105"/>
      <c r="GH69" s="105"/>
      <c r="GI69" s="105"/>
      <c r="GJ69" s="105"/>
      <c r="GK69" s="105"/>
      <c r="GL69" s="105"/>
      <c r="GM69" s="105"/>
      <c r="GN69" s="105"/>
      <c r="GO69" s="105"/>
      <c r="GP69" s="105"/>
      <c r="GQ69" s="105"/>
      <c r="GR69" s="105"/>
      <c r="GS69" s="105"/>
      <c r="GT69" s="105"/>
      <c r="GU69" s="105"/>
      <c r="GV69" s="105"/>
      <c r="GW69" s="105"/>
      <c r="GX69" s="105"/>
      <c r="GY69" s="105"/>
      <c r="GZ69" s="105"/>
      <c r="HA69" s="105"/>
      <c r="HB69" s="105"/>
      <c r="HC69" s="105"/>
      <c r="HD69" s="105"/>
      <c r="HE69" s="105"/>
      <c r="HF69" s="105"/>
      <c r="HG69" s="105"/>
      <c r="HH69" s="105"/>
      <c r="HI69" s="105"/>
      <c r="HJ69" s="105"/>
      <c r="HK69" s="105"/>
      <c r="HL69" s="105"/>
      <c r="HM69" s="105"/>
      <c r="HN69" s="105"/>
      <c r="HO69" s="105"/>
      <c r="HP69" s="105"/>
      <c r="HQ69" s="105"/>
      <c r="HR69" s="105"/>
      <c r="HS69" s="105"/>
      <c r="HT69" s="105"/>
      <c r="HU69" s="105"/>
      <c r="HV69" s="105"/>
      <c r="HW69" s="105"/>
      <c r="HX69" s="105"/>
      <c r="HY69" s="105"/>
      <c r="HZ69" s="105"/>
      <c r="IA69" s="105"/>
      <c r="IB69" s="105"/>
      <c r="IC69" s="105"/>
      <c r="ID69" s="105"/>
      <c r="IE69" s="105"/>
      <c r="IF69" s="105"/>
      <c r="IG69" s="105"/>
      <c r="IH69" s="105"/>
      <c r="II69" s="105"/>
      <c r="IJ69" s="105"/>
      <c r="IK69" s="105"/>
      <c r="IL69" s="105"/>
      <c r="IM69" s="105"/>
      <c r="IN69" s="105"/>
      <c r="IO69" s="105"/>
      <c r="IP69" s="105"/>
      <c r="IQ69" s="105"/>
      <c r="IR69" s="105"/>
      <c r="IS69" s="105"/>
    </row>
    <row r="70" spans="1:253">
      <c r="A70" s="116"/>
      <c r="B70" s="105"/>
      <c r="C70" s="116"/>
      <c r="D70" s="116"/>
      <c r="E70" s="116"/>
      <c r="F70" s="116"/>
      <c r="G70" s="116"/>
      <c r="H70" s="116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/>
      <c r="BV70" s="105"/>
      <c r="BW70" s="105"/>
      <c r="BX70" s="105"/>
      <c r="BY70" s="105"/>
      <c r="BZ70" s="105"/>
      <c r="CA70" s="105"/>
      <c r="CB70" s="105"/>
      <c r="CC70" s="105"/>
      <c r="CD70" s="105"/>
      <c r="CE70" s="105"/>
      <c r="CF70" s="105"/>
      <c r="CG70" s="105"/>
      <c r="CH70" s="105"/>
      <c r="CI70" s="105"/>
      <c r="CJ70" s="105"/>
      <c r="CK70" s="105"/>
      <c r="CL70" s="105"/>
      <c r="CM70" s="105"/>
      <c r="CN70" s="105"/>
      <c r="CO70" s="105"/>
      <c r="CP70" s="105"/>
      <c r="CQ70" s="105"/>
      <c r="CR70" s="105"/>
      <c r="CS70" s="105"/>
      <c r="CT70" s="105"/>
      <c r="CU70" s="105"/>
      <c r="CV70" s="105"/>
      <c r="CW70" s="105"/>
      <c r="CX70" s="105"/>
      <c r="CY70" s="105"/>
      <c r="CZ70" s="105"/>
      <c r="DA70" s="105"/>
      <c r="DB70" s="105"/>
      <c r="DC70" s="105"/>
      <c r="DD70" s="105"/>
      <c r="DE70" s="105"/>
      <c r="DF70" s="105"/>
      <c r="DG70" s="105"/>
      <c r="DH70" s="105"/>
      <c r="DI70" s="105"/>
      <c r="DJ70" s="105"/>
      <c r="DK70" s="105"/>
      <c r="DL70" s="105"/>
      <c r="DM70" s="105"/>
      <c r="DN70" s="105"/>
      <c r="DO70" s="105"/>
      <c r="DP70" s="105"/>
      <c r="DQ70" s="105"/>
      <c r="DR70" s="105"/>
      <c r="DS70" s="105"/>
      <c r="DT70" s="105"/>
      <c r="DU70" s="105"/>
      <c r="DV70" s="105"/>
      <c r="DW70" s="105"/>
      <c r="DX70" s="105"/>
      <c r="DY70" s="105"/>
      <c r="DZ70" s="105"/>
      <c r="EA70" s="105"/>
      <c r="EB70" s="105"/>
      <c r="EC70" s="105"/>
      <c r="ED70" s="105"/>
      <c r="EE70" s="105"/>
      <c r="EF70" s="105"/>
      <c r="EG70" s="105"/>
      <c r="EH70" s="105"/>
      <c r="EI70" s="105"/>
      <c r="EJ70" s="105"/>
      <c r="EK70" s="105"/>
      <c r="EL70" s="105"/>
      <c r="EM70" s="105"/>
      <c r="EN70" s="105"/>
      <c r="EO70" s="105"/>
      <c r="EP70" s="105"/>
      <c r="EQ70" s="105"/>
      <c r="ER70" s="105"/>
      <c r="ES70" s="105"/>
      <c r="ET70" s="105"/>
      <c r="EU70" s="105"/>
      <c r="EV70" s="105"/>
      <c r="EW70" s="105"/>
      <c r="EX70" s="105"/>
      <c r="EY70" s="105"/>
      <c r="EZ70" s="105"/>
      <c r="FA70" s="105"/>
      <c r="FB70" s="105"/>
      <c r="FC70" s="105"/>
      <c r="FD70" s="105"/>
      <c r="FE70" s="105"/>
      <c r="FF70" s="105"/>
      <c r="FG70" s="105"/>
      <c r="FH70" s="105"/>
      <c r="FI70" s="105"/>
      <c r="FJ70" s="105"/>
      <c r="FK70" s="105"/>
      <c r="FL70" s="105"/>
      <c r="FM70" s="105"/>
      <c r="FN70" s="105"/>
      <c r="FO70" s="105"/>
      <c r="FP70" s="105"/>
      <c r="FQ70" s="105"/>
      <c r="FR70" s="105"/>
      <c r="FS70" s="105"/>
      <c r="FT70" s="105"/>
      <c r="FU70" s="105"/>
      <c r="FV70" s="105"/>
      <c r="FW70" s="105"/>
      <c r="FX70" s="105"/>
      <c r="FY70" s="105"/>
      <c r="FZ70" s="105"/>
      <c r="GA70" s="105"/>
      <c r="GB70" s="105"/>
      <c r="GC70" s="105"/>
      <c r="GD70" s="105"/>
      <c r="GE70" s="105"/>
      <c r="GF70" s="105"/>
      <c r="GG70" s="105"/>
      <c r="GH70" s="105"/>
      <c r="GI70" s="105"/>
      <c r="GJ70" s="105"/>
      <c r="GK70" s="105"/>
      <c r="GL70" s="105"/>
      <c r="GM70" s="105"/>
      <c r="GN70" s="105"/>
      <c r="GO70" s="105"/>
      <c r="GP70" s="105"/>
      <c r="GQ70" s="105"/>
      <c r="GR70" s="105"/>
      <c r="GS70" s="105"/>
      <c r="GT70" s="105"/>
      <c r="GU70" s="105"/>
      <c r="GV70" s="105"/>
      <c r="GW70" s="105"/>
      <c r="GX70" s="105"/>
      <c r="GY70" s="105"/>
      <c r="GZ70" s="105"/>
      <c r="HA70" s="105"/>
      <c r="HB70" s="105"/>
      <c r="HC70" s="105"/>
      <c r="HD70" s="105"/>
      <c r="HE70" s="105"/>
      <c r="HF70" s="105"/>
      <c r="HG70" s="105"/>
      <c r="HH70" s="105"/>
      <c r="HI70" s="105"/>
      <c r="HJ70" s="105"/>
      <c r="HK70" s="105"/>
      <c r="HL70" s="105"/>
      <c r="HM70" s="105"/>
      <c r="HN70" s="105"/>
      <c r="HO70" s="105"/>
      <c r="HP70" s="105"/>
      <c r="HQ70" s="105"/>
      <c r="HR70" s="105"/>
      <c r="HS70" s="105"/>
      <c r="HT70" s="105"/>
      <c r="HU70" s="105"/>
      <c r="HV70" s="105"/>
      <c r="HW70" s="105"/>
      <c r="HX70" s="105"/>
      <c r="HY70" s="105"/>
      <c r="HZ70" s="105"/>
      <c r="IA70" s="105"/>
      <c r="IB70" s="105"/>
      <c r="IC70" s="105"/>
      <c r="ID70" s="105"/>
      <c r="IE70" s="105"/>
      <c r="IF70" s="105"/>
      <c r="IG70" s="105"/>
      <c r="IH70" s="105"/>
      <c r="II70" s="105"/>
      <c r="IJ70" s="105"/>
      <c r="IK70" s="105"/>
      <c r="IL70" s="105"/>
      <c r="IM70" s="105"/>
      <c r="IN70" s="105"/>
      <c r="IO70" s="105"/>
      <c r="IP70" s="105"/>
      <c r="IQ70" s="105"/>
      <c r="IR70" s="105"/>
      <c r="IS70" s="105"/>
    </row>
    <row r="71" spans="1:253">
      <c r="A71" s="116"/>
      <c r="B71" s="105"/>
      <c r="C71" s="116"/>
      <c r="D71" s="116"/>
      <c r="E71" s="116"/>
      <c r="F71" s="116"/>
      <c r="G71" s="116"/>
      <c r="H71" s="116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5"/>
      <c r="CH71" s="105"/>
      <c r="CI71" s="105"/>
      <c r="CJ71" s="105"/>
      <c r="CK71" s="105"/>
      <c r="CL71" s="105"/>
      <c r="CM71" s="105"/>
      <c r="CN71" s="105"/>
      <c r="CO71" s="105"/>
      <c r="CP71" s="105"/>
      <c r="CQ71" s="105"/>
      <c r="CR71" s="105"/>
      <c r="CS71" s="105"/>
      <c r="CT71" s="105"/>
      <c r="CU71" s="105"/>
      <c r="CV71" s="105"/>
      <c r="CW71" s="105"/>
      <c r="CX71" s="105"/>
      <c r="CY71" s="105"/>
      <c r="CZ71" s="105"/>
      <c r="DA71" s="105"/>
      <c r="DB71" s="105"/>
      <c r="DC71" s="105"/>
      <c r="DD71" s="105"/>
      <c r="DE71" s="105"/>
      <c r="DF71" s="105"/>
      <c r="DG71" s="105"/>
      <c r="DH71" s="105"/>
      <c r="DI71" s="105"/>
      <c r="DJ71" s="105"/>
      <c r="DK71" s="105"/>
      <c r="DL71" s="105"/>
      <c r="DM71" s="105"/>
      <c r="DN71" s="105"/>
      <c r="DO71" s="105"/>
      <c r="DP71" s="105"/>
      <c r="DQ71" s="105"/>
      <c r="DR71" s="105"/>
      <c r="DS71" s="105"/>
      <c r="DT71" s="105"/>
      <c r="DU71" s="105"/>
      <c r="DV71" s="105"/>
      <c r="DW71" s="105"/>
      <c r="DX71" s="105"/>
      <c r="DY71" s="105"/>
      <c r="DZ71" s="105"/>
      <c r="EA71" s="105"/>
      <c r="EB71" s="105"/>
      <c r="EC71" s="105"/>
      <c r="ED71" s="105"/>
      <c r="EE71" s="105"/>
      <c r="EF71" s="105"/>
      <c r="EG71" s="105"/>
      <c r="EH71" s="105"/>
      <c r="EI71" s="105"/>
      <c r="EJ71" s="105"/>
      <c r="EK71" s="105"/>
      <c r="EL71" s="105"/>
      <c r="EM71" s="105"/>
      <c r="EN71" s="105"/>
      <c r="EO71" s="105"/>
      <c r="EP71" s="105"/>
      <c r="EQ71" s="105"/>
      <c r="ER71" s="105"/>
      <c r="ES71" s="105"/>
      <c r="ET71" s="105"/>
      <c r="EU71" s="105"/>
      <c r="EV71" s="105"/>
      <c r="EW71" s="105"/>
      <c r="EX71" s="105"/>
      <c r="EY71" s="105"/>
      <c r="EZ71" s="105"/>
      <c r="FA71" s="105"/>
      <c r="FB71" s="105"/>
      <c r="FC71" s="105"/>
      <c r="FD71" s="105"/>
      <c r="FE71" s="105"/>
      <c r="FF71" s="105"/>
      <c r="FG71" s="105"/>
      <c r="FH71" s="105"/>
      <c r="FI71" s="105"/>
      <c r="FJ71" s="105"/>
      <c r="FK71" s="105"/>
      <c r="FL71" s="105"/>
      <c r="FM71" s="105"/>
      <c r="FN71" s="105"/>
      <c r="FO71" s="105"/>
      <c r="FP71" s="105"/>
      <c r="FQ71" s="105"/>
      <c r="FR71" s="105"/>
      <c r="FS71" s="105"/>
      <c r="FT71" s="105"/>
      <c r="FU71" s="105"/>
      <c r="FV71" s="105"/>
      <c r="FW71" s="105"/>
      <c r="FX71" s="105"/>
      <c r="FY71" s="105"/>
      <c r="FZ71" s="105"/>
      <c r="GA71" s="105"/>
      <c r="GB71" s="105"/>
      <c r="GC71" s="105"/>
      <c r="GD71" s="105"/>
      <c r="GE71" s="105"/>
      <c r="GF71" s="105"/>
      <c r="GG71" s="105"/>
      <c r="GH71" s="105"/>
      <c r="GI71" s="105"/>
      <c r="GJ71" s="105"/>
      <c r="GK71" s="105"/>
      <c r="GL71" s="105"/>
      <c r="GM71" s="105"/>
      <c r="GN71" s="105"/>
      <c r="GO71" s="105"/>
      <c r="GP71" s="105"/>
      <c r="GQ71" s="105"/>
      <c r="GR71" s="105"/>
      <c r="GS71" s="105"/>
      <c r="GT71" s="105"/>
      <c r="GU71" s="105"/>
      <c r="GV71" s="105"/>
      <c r="GW71" s="105"/>
      <c r="GX71" s="105"/>
      <c r="GY71" s="105"/>
      <c r="GZ71" s="105"/>
      <c r="HA71" s="105"/>
      <c r="HB71" s="105"/>
      <c r="HC71" s="105"/>
      <c r="HD71" s="105"/>
      <c r="HE71" s="105"/>
      <c r="HF71" s="105"/>
      <c r="HG71" s="105"/>
      <c r="HH71" s="105"/>
      <c r="HI71" s="105"/>
      <c r="HJ71" s="105"/>
      <c r="HK71" s="105"/>
      <c r="HL71" s="105"/>
      <c r="HM71" s="105"/>
      <c r="HN71" s="105"/>
      <c r="HO71" s="105"/>
      <c r="HP71" s="105"/>
      <c r="HQ71" s="105"/>
      <c r="HR71" s="105"/>
      <c r="HS71" s="105"/>
      <c r="HT71" s="105"/>
      <c r="HU71" s="105"/>
      <c r="HV71" s="105"/>
      <c r="HW71" s="105"/>
      <c r="HX71" s="105"/>
      <c r="HY71" s="105"/>
      <c r="HZ71" s="105"/>
      <c r="IA71" s="105"/>
      <c r="IB71" s="105"/>
      <c r="IC71" s="105"/>
      <c r="ID71" s="105"/>
      <c r="IE71" s="105"/>
      <c r="IF71" s="105"/>
      <c r="IG71" s="105"/>
      <c r="IH71" s="105"/>
      <c r="II71" s="105"/>
      <c r="IJ71" s="105"/>
      <c r="IK71" s="105"/>
      <c r="IL71" s="105"/>
      <c r="IM71" s="105"/>
      <c r="IN71" s="105"/>
      <c r="IO71" s="105"/>
      <c r="IP71" s="105"/>
      <c r="IQ71" s="105"/>
      <c r="IR71" s="105"/>
      <c r="IS71" s="105"/>
    </row>
    <row r="72" spans="1:253">
      <c r="A72" s="116"/>
      <c r="B72" s="105"/>
      <c r="C72" s="116"/>
      <c r="D72" s="116"/>
      <c r="E72" s="116"/>
      <c r="F72" s="116"/>
      <c r="G72" s="116"/>
      <c r="H72" s="116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5"/>
      <c r="CJ72" s="105"/>
      <c r="CK72" s="105"/>
      <c r="CL72" s="105"/>
      <c r="CM72" s="105"/>
      <c r="CN72" s="105"/>
      <c r="CO72" s="105"/>
      <c r="CP72" s="105"/>
      <c r="CQ72" s="105"/>
      <c r="CR72" s="105"/>
      <c r="CS72" s="105"/>
      <c r="CT72" s="105"/>
      <c r="CU72" s="105"/>
      <c r="CV72" s="105"/>
      <c r="CW72" s="105"/>
      <c r="CX72" s="105"/>
      <c r="CY72" s="105"/>
      <c r="CZ72" s="105"/>
      <c r="DA72" s="105"/>
      <c r="DB72" s="105"/>
      <c r="DC72" s="105"/>
      <c r="DD72" s="105"/>
      <c r="DE72" s="105"/>
      <c r="DF72" s="105"/>
      <c r="DG72" s="105"/>
      <c r="DH72" s="105"/>
      <c r="DI72" s="105"/>
      <c r="DJ72" s="105"/>
      <c r="DK72" s="105"/>
      <c r="DL72" s="105"/>
      <c r="DM72" s="105"/>
      <c r="DN72" s="105"/>
      <c r="DO72" s="105"/>
      <c r="DP72" s="105"/>
      <c r="DQ72" s="105"/>
      <c r="DR72" s="105"/>
      <c r="DS72" s="105"/>
      <c r="DT72" s="105"/>
      <c r="DU72" s="105"/>
      <c r="DV72" s="105"/>
      <c r="DW72" s="105"/>
      <c r="DX72" s="105"/>
      <c r="DY72" s="105"/>
      <c r="DZ72" s="105"/>
      <c r="EA72" s="105"/>
      <c r="EB72" s="105"/>
      <c r="EC72" s="105"/>
      <c r="ED72" s="105"/>
      <c r="EE72" s="105"/>
      <c r="EF72" s="105"/>
      <c r="EG72" s="105"/>
      <c r="EH72" s="105"/>
      <c r="EI72" s="105"/>
      <c r="EJ72" s="105"/>
      <c r="EK72" s="105"/>
      <c r="EL72" s="105"/>
      <c r="EM72" s="105"/>
      <c r="EN72" s="105"/>
      <c r="EO72" s="105"/>
      <c r="EP72" s="105"/>
      <c r="EQ72" s="105"/>
      <c r="ER72" s="105"/>
      <c r="ES72" s="105"/>
      <c r="ET72" s="105"/>
      <c r="EU72" s="105"/>
      <c r="EV72" s="105"/>
      <c r="EW72" s="105"/>
      <c r="EX72" s="105"/>
      <c r="EY72" s="105"/>
      <c r="EZ72" s="105"/>
      <c r="FA72" s="105"/>
      <c r="FB72" s="105"/>
      <c r="FC72" s="105"/>
      <c r="FD72" s="105"/>
      <c r="FE72" s="105"/>
      <c r="FF72" s="105"/>
      <c r="FG72" s="105"/>
      <c r="FH72" s="105"/>
      <c r="FI72" s="105"/>
      <c r="FJ72" s="105"/>
      <c r="FK72" s="105"/>
      <c r="FL72" s="105"/>
      <c r="FM72" s="105"/>
      <c r="FN72" s="105"/>
      <c r="FO72" s="105"/>
      <c r="FP72" s="105"/>
      <c r="FQ72" s="105"/>
      <c r="FR72" s="105"/>
      <c r="FS72" s="105"/>
      <c r="FT72" s="105"/>
      <c r="FU72" s="105"/>
      <c r="FV72" s="105"/>
      <c r="FW72" s="105"/>
      <c r="FX72" s="105"/>
      <c r="FY72" s="105"/>
      <c r="FZ72" s="105"/>
      <c r="GA72" s="105"/>
      <c r="GB72" s="105"/>
      <c r="GC72" s="105"/>
      <c r="GD72" s="105"/>
      <c r="GE72" s="105"/>
      <c r="GF72" s="105"/>
      <c r="GG72" s="105"/>
      <c r="GH72" s="105"/>
      <c r="GI72" s="105"/>
      <c r="GJ72" s="105"/>
      <c r="GK72" s="105"/>
      <c r="GL72" s="105"/>
      <c r="GM72" s="105"/>
      <c r="GN72" s="105"/>
      <c r="GO72" s="105"/>
      <c r="GP72" s="105"/>
      <c r="GQ72" s="105"/>
      <c r="GR72" s="105"/>
      <c r="GS72" s="105"/>
      <c r="GT72" s="105"/>
      <c r="GU72" s="105"/>
      <c r="GV72" s="105"/>
      <c r="GW72" s="105"/>
      <c r="GX72" s="105"/>
      <c r="GY72" s="105"/>
      <c r="GZ72" s="105"/>
      <c r="HA72" s="105"/>
      <c r="HB72" s="105"/>
      <c r="HC72" s="105"/>
      <c r="HD72" s="105"/>
      <c r="HE72" s="105"/>
      <c r="HF72" s="105"/>
      <c r="HG72" s="105"/>
      <c r="HH72" s="105"/>
      <c r="HI72" s="105"/>
      <c r="HJ72" s="105"/>
      <c r="HK72" s="105"/>
      <c r="HL72" s="105"/>
      <c r="HM72" s="105"/>
      <c r="HN72" s="105"/>
      <c r="HO72" s="105"/>
      <c r="HP72" s="105"/>
      <c r="HQ72" s="105"/>
      <c r="HR72" s="105"/>
      <c r="HS72" s="105"/>
      <c r="HT72" s="105"/>
      <c r="HU72" s="105"/>
      <c r="HV72" s="105"/>
      <c r="HW72" s="105"/>
      <c r="HX72" s="105"/>
      <c r="HY72" s="105"/>
      <c r="HZ72" s="105"/>
      <c r="IA72" s="105"/>
      <c r="IB72" s="105"/>
      <c r="IC72" s="105"/>
      <c r="ID72" s="105"/>
      <c r="IE72" s="105"/>
      <c r="IF72" s="105"/>
      <c r="IG72" s="105"/>
      <c r="IH72" s="105"/>
      <c r="II72" s="105"/>
      <c r="IJ72" s="105"/>
      <c r="IK72" s="105"/>
      <c r="IL72" s="105"/>
      <c r="IM72" s="105"/>
      <c r="IN72" s="105"/>
      <c r="IO72" s="105"/>
      <c r="IP72" s="105"/>
      <c r="IQ72" s="105"/>
      <c r="IR72" s="105"/>
      <c r="IS72" s="105"/>
    </row>
    <row r="73" spans="1:253">
      <c r="A73" s="116"/>
      <c r="B73" s="105"/>
      <c r="C73" s="116"/>
      <c r="D73" s="116"/>
      <c r="E73" s="116"/>
      <c r="F73" s="116"/>
      <c r="G73" s="116"/>
      <c r="H73" s="116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5"/>
      <c r="CH73" s="105"/>
      <c r="CI73" s="105"/>
      <c r="CJ73" s="105"/>
      <c r="CK73" s="105"/>
      <c r="CL73" s="105"/>
      <c r="CM73" s="105"/>
      <c r="CN73" s="105"/>
      <c r="CO73" s="105"/>
      <c r="CP73" s="105"/>
      <c r="CQ73" s="105"/>
      <c r="CR73" s="105"/>
      <c r="CS73" s="105"/>
      <c r="CT73" s="105"/>
      <c r="CU73" s="105"/>
      <c r="CV73" s="105"/>
      <c r="CW73" s="105"/>
      <c r="CX73" s="105"/>
      <c r="CY73" s="105"/>
      <c r="CZ73" s="105"/>
      <c r="DA73" s="105"/>
      <c r="DB73" s="105"/>
      <c r="DC73" s="105"/>
      <c r="DD73" s="105"/>
      <c r="DE73" s="105"/>
      <c r="DF73" s="105"/>
      <c r="DG73" s="105"/>
      <c r="DH73" s="105"/>
      <c r="DI73" s="105"/>
      <c r="DJ73" s="105"/>
      <c r="DK73" s="105"/>
      <c r="DL73" s="105"/>
      <c r="DM73" s="105"/>
      <c r="DN73" s="105"/>
      <c r="DO73" s="105"/>
      <c r="DP73" s="105"/>
      <c r="DQ73" s="105"/>
      <c r="DR73" s="105"/>
      <c r="DS73" s="105"/>
      <c r="DT73" s="105"/>
      <c r="DU73" s="105"/>
      <c r="DV73" s="105"/>
      <c r="DW73" s="105"/>
      <c r="DX73" s="105"/>
      <c r="DY73" s="105"/>
      <c r="DZ73" s="105"/>
      <c r="EA73" s="105"/>
      <c r="EB73" s="105"/>
      <c r="EC73" s="105"/>
      <c r="ED73" s="105"/>
      <c r="EE73" s="105"/>
      <c r="EF73" s="105"/>
      <c r="EG73" s="105"/>
      <c r="EH73" s="105"/>
      <c r="EI73" s="105"/>
      <c r="EJ73" s="105"/>
      <c r="EK73" s="105"/>
      <c r="EL73" s="105"/>
      <c r="EM73" s="105"/>
      <c r="EN73" s="105"/>
      <c r="EO73" s="105"/>
      <c r="EP73" s="105"/>
      <c r="EQ73" s="105"/>
      <c r="ER73" s="105"/>
      <c r="ES73" s="105"/>
      <c r="ET73" s="105"/>
      <c r="EU73" s="105"/>
      <c r="EV73" s="105"/>
      <c r="EW73" s="105"/>
      <c r="EX73" s="105"/>
      <c r="EY73" s="105"/>
      <c r="EZ73" s="105"/>
      <c r="FA73" s="105"/>
      <c r="FB73" s="105"/>
      <c r="FC73" s="105"/>
      <c r="FD73" s="105"/>
      <c r="FE73" s="105"/>
      <c r="FF73" s="105"/>
      <c r="FG73" s="105"/>
      <c r="FH73" s="105"/>
      <c r="FI73" s="105"/>
      <c r="FJ73" s="105"/>
      <c r="FK73" s="105"/>
      <c r="FL73" s="105"/>
      <c r="FM73" s="105"/>
      <c r="FN73" s="105"/>
      <c r="FO73" s="105"/>
      <c r="FP73" s="105"/>
      <c r="FQ73" s="105"/>
      <c r="FR73" s="105"/>
      <c r="FS73" s="105"/>
      <c r="FT73" s="105"/>
      <c r="FU73" s="105"/>
      <c r="FV73" s="105"/>
      <c r="FW73" s="105"/>
      <c r="FX73" s="105"/>
      <c r="FY73" s="105"/>
      <c r="FZ73" s="105"/>
      <c r="GA73" s="105"/>
      <c r="GB73" s="105"/>
      <c r="GC73" s="105"/>
      <c r="GD73" s="105"/>
      <c r="GE73" s="105"/>
      <c r="GF73" s="105"/>
      <c r="GG73" s="105"/>
      <c r="GH73" s="105"/>
      <c r="GI73" s="105"/>
      <c r="GJ73" s="105"/>
      <c r="GK73" s="105"/>
      <c r="GL73" s="105"/>
      <c r="GM73" s="105"/>
      <c r="GN73" s="105"/>
      <c r="GO73" s="105"/>
      <c r="GP73" s="105"/>
      <c r="GQ73" s="105"/>
      <c r="GR73" s="105"/>
      <c r="GS73" s="105"/>
      <c r="GT73" s="105"/>
      <c r="GU73" s="105"/>
      <c r="GV73" s="105"/>
      <c r="GW73" s="105"/>
      <c r="GX73" s="105"/>
      <c r="GY73" s="105"/>
      <c r="GZ73" s="105"/>
      <c r="HA73" s="105"/>
      <c r="HB73" s="105"/>
      <c r="HC73" s="105"/>
      <c r="HD73" s="105"/>
      <c r="HE73" s="105"/>
      <c r="HF73" s="105"/>
      <c r="HG73" s="105"/>
      <c r="HH73" s="105"/>
      <c r="HI73" s="105"/>
      <c r="HJ73" s="105"/>
      <c r="HK73" s="105"/>
      <c r="HL73" s="105"/>
      <c r="HM73" s="105"/>
      <c r="HN73" s="105"/>
      <c r="HO73" s="105"/>
      <c r="HP73" s="105"/>
      <c r="HQ73" s="105"/>
      <c r="HR73" s="105"/>
      <c r="HS73" s="105"/>
      <c r="HT73" s="105"/>
      <c r="HU73" s="105"/>
      <c r="HV73" s="105"/>
      <c r="HW73" s="105"/>
      <c r="HX73" s="105"/>
      <c r="HY73" s="105"/>
      <c r="HZ73" s="105"/>
      <c r="IA73" s="105"/>
      <c r="IB73" s="105"/>
      <c r="IC73" s="105"/>
      <c r="ID73" s="105"/>
      <c r="IE73" s="105"/>
      <c r="IF73" s="105"/>
      <c r="IG73" s="105"/>
      <c r="IH73" s="105"/>
      <c r="II73" s="105"/>
      <c r="IJ73" s="105"/>
      <c r="IK73" s="105"/>
      <c r="IL73" s="105"/>
      <c r="IM73" s="105"/>
      <c r="IN73" s="105"/>
      <c r="IO73" s="105"/>
      <c r="IP73" s="105"/>
      <c r="IQ73" s="105"/>
      <c r="IR73" s="105"/>
      <c r="IS73" s="105"/>
    </row>
    <row r="74" spans="1:253">
      <c r="A74" s="116"/>
      <c r="B74" s="105"/>
      <c r="C74" s="116"/>
      <c r="D74" s="116"/>
      <c r="E74" s="116"/>
      <c r="F74" s="116"/>
      <c r="G74" s="116"/>
      <c r="H74" s="116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/>
      <c r="BS74" s="105"/>
      <c r="BT74" s="105"/>
      <c r="BU74" s="105"/>
      <c r="BV74" s="105"/>
      <c r="BW74" s="105"/>
      <c r="BX74" s="105"/>
      <c r="BY74" s="105"/>
      <c r="BZ74" s="105"/>
      <c r="CA74" s="105"/>
      <c r="CB74" s="105"/>
      <c r="CC74" s="105"/>
      <c r="CD74" s="105"/>
      <c r="CE74" s="105"/>
      <c r="CF74" s="105"/>
      <c r="CG74" s="105"/>
      <c r="CH74" s="105"/>
      <c r="CI74" s="105"/>
      <c r="CJ74" s="105"/>
      <c r="CK74" s="105"/>
      <c r="CL74" s="105"/>
      <c r="CM74" s="105"/>
      <c r="CN74" s="105"/>
      <c r="CO74" s="105"/>
      <c r="CP74" s="105"/>
      <c r="CQ74" s="105"/>
      <c r="CR74" s="105"/>
      <c r="CS74" s="105"/>
      <c r="CT74" s="105"/>
      <c r="CU74" s="105"/>
      <c r="CV74" s="105"/>
      <c r="CW74" s="105"/>
      <c r="CX74" s="105"/>
      <c r="CY74" s="105"/>
      <c r="CZ74" s="105"/>
      <c r="DA74" s="105"/>
      <c r="DB74" s="105"/>
      <c r="DC74" s="105"/>
      <c r="DD74" s="105"/>
      <c r="DE74" s="105"/>
      <c r="DF74" s="105"/>
      <c r="DG74" s="105"/>
      <c r="DH74" s="105"/>
      <c r="DI74" s="105"/>
      <c r="DJ74" s="105"/>
      <c r="DK74" s="105"/>
      <c r="DL74" s="105"/>
      <c r="DM74" s="105"/>
      <c r="DN74" s="105"/>
      <c r="DO74" s="105"/>
      <c r="DP74" s="105"/>
      <c r="DQ74" s="105"/>
      <c r="DR74" s="105"/>
      <c r="DS74" s="105"/>
      <c r="DT74" s="105"/>
      <c r="DU74" s="105"/>
      <c r="DV74" s="105"/>
      <c r="DW74" s="105"/>
      <c r="DX74" s="105"/>
      <c r="DY74" s="105"/>
      <c r="DZ74" s="105"/>
      <c r="EA74" s="105"/>
      <c r="EB74" s="105"/>
      <c r="EC74" s="105"/>
      <c r="ED74" s="105"/>
      <c r="EE74" s="105"/>
      <c r="EF74" s="105"/>
      <c r="EG74" s="105"/>
      <c r="EH74" s="105"/>
      <c r="EI74" s="105"/>
      <c r="EJ74" s="105"/>
      <c r="EK74" s="105"/>
      <c r="EL74" s="105"/>
      <c r="EM74" s="105"/>
      <c r="EN74" s="105"/>
      <c r="EO74" s="105"/>
      <c r="EP74" s="105"/>
      <c r="EQ74" s="105"/>
      <c r="ER74" s="105"/>
      <c r="ES74" s="105"/>
      <c r="ET74" s="105"/>
      <c r="EU74" s="105"/>
      <c r="EV74" s="105"/>
      <c r="EW74" s="105"/>
      <c r="EX74" s="105"/>
      <c r="EY74" s="105"/>
      <c r="EZ74" s="105"/>
      <c r="FA74" s="105"/>
      <c r="FB74" s="105"/>
      <c r="FC74" s="105"/>
      <c r="FD74" s="105"/>
      <c r="FE74" s="105"/>
      <c r="FF74" s="105"/>
      <c r="FG74" s="105"/>
      <c r="FH74" s="105"/>
      <c r="FI74" s="105"/>
      <c r="FJ74" s="105"/>
      <c r="FK74" s="105"/>
      <c r="FL74" s="105"/>
      <c r="FM74" s="105"/>
      <c r="FN74" s="105"/>
      <c r="FO74" s="105"/>
      <c r="FP74" s="105"/>
      <c r="FQ74" s="105"/>
      <c r="FR74" s="105"/>
      <c r="FS74" s="105"/>
      <c r="FT74" s="105"/>
      <c r="FU74" s="105"/>
      <c r="FV74" s="105"/>
      <c r="FW74" s="105"/>
      <c r="FX74" s="105"/>
      <c r="FY74" s="105"/>
      <c r="FZ74" s="105"/>
      <c r="GA74" s="105"/>
      <c r="GB74" s="105"/>
      <c r="GC74" s="105"/>
      <c r="GD74" s="105"/>
      <c r="GE74" s="105"/>
      <c r="GF74" s="105"/>
      <c r="GG74" s="105"/>
      <c r="GH74" s="105"/>
      <c r="GI74" s="105"/>
      <c r="GJ74" s="105"/>
      <c r="GK74" s="105"/>
      <c r="GL74" s="105"/>
      <c r="GM74" s="105"/>
      <c r="GN74" s="105"/>
      <c r="GO74" s="105"/>
      <c r="GP74" s="105"/>
      <c r="GQ74" s="105"/>
      <c r="GR74" s="105"/>
      <c r="GS74" s="105"/>
      <c r="GT74" s="105"/>
      <c r="GU74" s="105"/>
      <c r="GV74" s="105"/>
      <c r="GW74" s="105"/>
      <c r="GX74" s="105"/>
      <c r="GY74" s="105"/>
      <c r="GZ74" s="105"/>
      <c r="HA74" s="105"/>
      <c r="HB74" s="105"/>
      <c r="HC74" s="105"/>
      <c r="HD74" s="105"/>
      <c r="HE74" s="105"/>
      <c r="HF74" s="105"/>
      <c r="HG74" s="105"/>
      <c r="HH74" s="105"/>
      <c r="HI74" s="105"/>
      <c r="HJ74" s="105"/>
      <c r="HK74" s="105"/>
      <c r="HL74" s="105"/>
      <c r="HM74" s="105"/>
      <c r="HN74" s="105"/>
      <c r="HO74" s="105"/>
      <c r="HP74" s="105"/>
      <c r="HQ74" s="105"/>
      <c r="HR74" s="105"/>
      <c r="HS74" s="105"/>
      <c r="HT74" s="105"/>
      <c r="HU74" s="105"/>
      <c r="HV74" s="105"/>
      <c r="HW74" s="105"/>
      <c r="HX74" s="105"/>
      <c r="HY74" s="105"/>
      <c r="HZ74" s="105"/>
      <c r="IA74" s="105"/>
      <c r="IB74" s="105"/>
      <c r="IC74" s="105"/>
      <c r="ID74" s="105"/>
      <c r="IE74" s="105"/>
      <c r="IF74" s="105"/>
      <c r="IG74" s="105"/>
      <c r="IH74" s="105"/>
      <c r="II74" s="105"/>
      <c r="IJ74" s="105"/>
      <c r="IK74" s="105"/>
      <c r="IL74" s="105"/>
      <c r="IM74" s="105"/>
      <c r="IN74" s="105"/>
      <c r="IO74" s="105"/>
      <c r="IP74" s="105"/>
      <c r="IQ74" s="105"/>
      <c r="IR74" s="105"/>
      <c r="IS74" s="105"/>
    </row>
    <row r="75" spans="1:253">
      <c r="A75" s="116"/>
      <c r="B75" s="105"/>
      <c r="C75" s="116"/>
      <c r="D75" s="116"/>
      <c r="E75" s="116"/>
      <c r="F75" s="116"/>
      <c r="G75" s="116"/>
      <c r="H75" s="116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  <c r="CL75" s="105"/>
      <c r="CM75" s="105"/>
      <c r="CN75" s="105"/>
      <c r="CO75" s="105"/>
      <c r="CP75" s="105"/>
      <c r="CQ75" s="105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5"/>
      <c r="EK75" s="105"/>
      <c r="EL75" s="105"/>
      <c r="EM75" s="105"/>
      <c r="EN75" s="105"/>
      <c r="EO75" s="105"/>
      <c r="EP75" s="105"/>
      <c r="EQ75" s="105"/>
      <c r="ER75" s="105"/>
      <c r="ES75" s="105"/>
      <c r="ET75" s="105"/>
      <c r="EU75" s="105"/>
      <c r="EV75" s="105"/>
      <c r="EW75" s="105"/>
      <c r="EX75" s="105"/>
      <c r="EY75" s="105"/>
      <c r="EZ75" s="105"/>
      <c r="FA75" s="105"/>
      <c r="FB75" s="105"/>
      <c r="FC75" s="105"/>
      <c r="FD75" s="105"/>
      <c r="FE75" s="105"/>
      <c r="FF75" s="105"/>
      <c r="FG75" s="105"/>
      <c r="FH75" s="105"/>
      <c r="FI75" s="105"/>
      <c r="FJ75" s="105"/>
      <c r="FK75" s="105"/>
      <c r="FL75" s="105"/>
      <c r="FM75" s="105"/>
      <c r="FN75" s="105"/>
      <c r="FO75" s="105"/>
      <c r="FP75" s="105"/>
      <c r="FQ75" s="105"/>
      <c r="FR75" s="105"/>
      <c r="FS75" s="105"/>
      <c r="FT75" s="105"/>
      <c r="FU75" s="105"/>
      <c r="FV75" s="105"/>
      <c r="FW75" s="105"/>
      <c r="FX75" s="105"/>
      <c r="FY75" s="105"/>
      <c r="FZ75" s="105"/>
      <c r="GA75" s="105"/>
      <c r="GB75" s="105"/>
      <c r="GC75" s="105"/>
      <c r="GD75" s="105"/>
      <c r="GE75" s="105"/>
      <c r="GF75" s="105"/>
      <c r="GG75" s="105"/>
      <c r="GH75" s="105"/>
      <c r="GI75" s="105"/>
      <c r="GJ75" s="105"/>
      <c r="GK75" s="105"/>
      <c r="GL75" s="105"/>
      <c r="GM75" s="105"/>
      <c r="GN75" s="105"/>
      <c r="GO75" s="105"/>
      <c r="GP75" s="105"/>
      <c r="GQ75" s="105"/>
      <c r="GR75" s="105"/>
      <c r="GS75" s="105"/>
      <c r="GT75" s="105"/>
      <c r="GU75" s="105"/>
      <c r="GV75" s="105"/>
      <c r="GW75" s="105"/>
      <c r="GX75" s="105"/>
      <c r="GY75" s="105"/>
      <c r="GZ75" s="105"/>
      <c r="HA75" s="105"/>
      <c r="HB75" s="105"/>
      <c r="HC75" s="105"/>
      <c r="HD75" s="105"/>
      <c r="HE75" s="105"/>
      <c r="HF75" s="105"/>
      <c r="HG75" s="105"/>
      <c r="HH75" s="105"/>
      <c r="HI75" s="105"/>
      <c r="HJ75" s="105"/>
      <c r="HK75" s="105"/>
      <c r="HL75" s="105"/>
      <c r="HM75" s="105"/>
      <c r="HN75" s="105"/>
      <c r="HO75" s="105"/>
      <c r="HP75" s="105"/>
      <c r="HQ75" s="105"/>
      <c r="HR75" s="105"/>
      <c r="HS75" s="105"/>
      <c r="HT75" s="105"/>
      <c r="HU75" s="105"/>
      <c r="HV75" s="105"/>
      <c r="HW75" s="105"/>
      <c r="HX75" s="105"/>
      <c r="HY75" s="105"/>
      <c r="HZ75" s="105"/>
      <c r="IA75" s="105"/>
      <c r="IB75" s="105"/>
      <c r="IC75" s="105"/>
      <c r="ID75" s="105"/>
      <c r="IE75" s="105"/>
      <c r="IF75" s="105"/>
      <c r="IG75" s="105"/>
      <c r="IH75" s="105"/>
      <c r="II75" s="105"/>
      <c r="IJ75" s="105"/>
      <c r="IK75" s="105"/>
      <c r="IL75" s="105"/>
      <c r="IM75" s="105"/>
      <c r="IN75" s="105"/>
      <c r="IO75" s="105"/>
      <c r="IP75" s="105"/>
      <c r="IQ75" s="105"/>
      <c r="IR75" s="105"/>
      <c r="IS75" s="105"/>
    </row>
    <row r="76" spans="1:253">
      <c r="A76" s="116"/>
      <c r="B76" s="105"/>
      <c r="C76" s="116"/>
      <c r="D76" s="116"/>
      <c r="E76" s="116"/>
      <c r="F76" s="116"/>
      <c r="G76" s="116"/>
      <c r="H76" s="116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5"/>
      <c r="CJ76" s="105"/>
      <c r="CK76" s="105"/>
      <c r="CL76" s="105"/>
      <c r="CM76" s="105"/>
      <c r="CN76" s="105"/>
      <c r="CO76" s="105"/>
      <c r="CP76" s="105"/>
      <c r="CQ76" s="105"/>
      <c r="CR76" s="105"/>
      <c r="CS76" s="105"/>
      <c r="CT76" s="105"/>
      <c r="CU76" s="105"/>
      <c r="CV76" s="105"/>
      <c r="CW76" s="105"/>
      <c r="CX76" s="105"/>
      <c r="CY76" s="105"/>
      <c r="CZ76" s="105"/>
      <c r="DA76" s="105"/>
      <c r="DB76" s="105"/>
      <c r="DC76" s="105"/>
      <c r="DD76" s="105"/>
      <c r="DE76" s="105"/>
      <c r="DF76" s="105"/>
      <c r="DG76" s="105"/>
      <c r="DH76" s="105"/>
      <c r="DI76" s="105"/>
      <c r="DJ76" s="105"/>
      <c r="DK76" s="105"/>
      <c r="DL76" s="105"/>
      <c r="DM76" s="105"/>
      <c r="DN76" s="105"/>
      <c r="DO76" s="105"/>
      <c r="DP76" s="105"/>
      <c r="DQ76" s="105"/>
      <c r="DR76" s="105"/>
      <c r="DS76" s="105"/>
      <c r="DT76" s="105"/>
      <c r="DU76" s="105"/>
      <c r="DV76" s="105"/>
      <c r="DW76" s="105"/>
      <c r="DX76" s="105"/>
      <c r="DY76" s="105"/>
      <c r="DZ76" s="105"/>
      <c r="EA76" s="105"/>
      <c r="EB76" s="105"/>
      <c r="EC76" s="105"/>
      <c r="ED76" s="105"/>
      <c r="EE76" s="105"/>
      <c r="EF76" s="105"/>
      <c r="EG76" s="105"/>
      <c r="EH76" s="105"/>
      <c r="EI76" s="105"/>
      <c r="EJ76" s="105"/>
      <c r="EK76" s="105"/>
      <c r="EL76" s="105"/>
      <c r="EM76" s="105"/>
      <c r="EN76" s="105"/>
      <c r="EO76" s="105"/>
      <c r="EP76" s="105"/>
      <c r="EQ76" s="105"/>
      <c r="ER76" s="105"/>
      <c r="ES76" s="105"/>
      <c r="ET76" s="105"/>
      <c r="EU76" s="105"/>
      <c r="EV76" s="105"/>
      <c r="EW76" s="105"/>
      <c r="EX76" s="105"/>
      <c r="EY76" s="105"/>
      <c r="EZ76" s="105"/>
      <c r="FA76" s="105"/>
      <c r="FB76" s="105"/>
      <c r="FC76" s="105"/>
      <c r="FD76" s="105"/>
      <c r="FE76" s="105"/>
      <c r="FF76" s="105"/>
      <c r="FG76" s="105"/>
      <c r="FH76" s="105"/>
      <c r="FI76" s="105"/>
      <c r="FJ76" s="105"/>
      <c r="FK76" s="105"/>
      <c r="FL76" s="105"/>
      <c r="FM76" s="105"/>
      <c r="FN76" s="105"/>
      <c r="FO76" s="105"/>
      <c r="FP76" s="105"/>
      <c r="FQ76" s="105"/>
      <c r="FR76" s="105"/>
      <c r="FS76" s="105"/>
      <c r="FT76" s="105"/>
      <c r="FU76" s="105"/>
      <c r="FV76" s="105"/>
      <c r="FW76" s="105"/>
      <c r="FX76" s="105"/>
      <c r="FY76" s="105"/>
      <c r="FZ76" s="105"/>
      <c r="GA76" s="105"/>
      <c r="GB76" s="105"/>
      <c r="GC76" s="105"/>
      <c r="GD76" s="105"/>
      <c r="GE76" s="105"/>
      <c r="GF76" s="105"/>
      <c r="GG76" s="105"/>
      <c r="GH76" s="105"/>
      <c r="GI76" s="105"/>
      <c r="GJ76" s="105"/>
      <c r="GK76" s="105"/>
      <c r="GL76" s="105"/>
      <c r="GM76" s="105"/>
      <c r="GN76" s="105"/>
      <c r="GO76" s="105"/>
      <c r="GP76" s="105"/>
      <c r="GQ76" s="105"/>
      <c r="GR76" s="105"/>
      <c r="GS76" s="105"/>
      <c r="GT76" s="105"/>
      <c r="GU76" s="105"/>
      <c r="GV76" s="105"/>
      <c r="GW76" s="105"/>
      <c r="GX76" s="105"/>
      <c r="GY76" s="105"/>
      <c r="GZ76" s="105"/>
      <c r="HA76" s="105"/>
      <c r="HB76" s="105"/>
      <c r="HC76" s="105"/>
      <c r="HD76" s="105"/>
      <c r="HE76" s="105"/>
      <c r="HF76" s="105"/>
      <c r="HG76" s="105"/>
      <c r="HH76" s="105"/>
      <c r="HI76" s="105"/>
      <c r="HJ76" s="105"/>
      <c r="HK76" s="105"/>
      <c r="HL76" s="105"/>
      <c r="HM76" s="105"/>
      <c r="HN76" s="105"/>
      <c r="HO76" s="105"/>
      <c r="HP76" s="105"/>
      <c r="HQ76" s="105"/>
      <c r="HR76" s="105"/>
      <c r="HS76" s="105"/>
      <c r="HT76" s="105"/>
      <c r="HU76" s="105"/>
      <c r="HV76" s="105"/>
      <c r="HW76" s="105"/>
      <c r="HX76" s="105"/>
      <c r="HY76" s="105"/>
      <c r="HZ76" s="105"/>
      <c r="IA76" s="105"/>
      <c r="IB76" s="105"/>
      <c r="IC76" s="105"/>
      <c r="ID76" s="105"/>
      <c r="IE76" s="105"/>
      <c r="IF76" s="105"/>
      <c r="IG76" s="105"/>
      <c r="IH76" s="105"/>
      <c r="II76" s="105"/>
      <c r="IJ76" s="105"/>
      <c r="IK76" s="105"/>
      <c r="IL76" s="105"/>
      <c r="IM76" s="105"/>
      <c r="IN76" s="105"/>
      <c r="IO76" s="105"/>
      <c r="IP76" s="105"/>
      <c r="IQ76" s="105"/>
      <c r="IR76" s="105"/>
      <c r="IS76" s="105"/>
    </row>
    <row r="77" spans="1:253">
      <c r="A77" s="116"/>
      <c r="B77" s="105"/>
      <c r="C77" s="116"/>
      <c r="D77" s="116"/>
      <c r="E77" s="116"/>
      <c r="F77" s="116"/>
      <c r="G77" s="116"/>
      <c r="H77" s="116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  <c r="CK77" s="105"/>
      <c r="CL77" s="105"/>
      <c r="CM77" s="105"/>
      <c r="CN77" s="105"/>
      <c r="CO77" s="105"/>
      <c r="CP77" s="105"/>
      <c r="CQ77" s="105"/>
      <c r="CR77" s="105"/>
      <c r="CS77" s="105"/>
      <c r="CT77" s="105"/>
      <c r="CU77" s="105"/>
      <c r="CV77" s="105"/>
      <c r="CW77" s="105"/>
      <c r="CX77" s="105"/>
      <c r="CY77" s="105"/>
      <c r="CZ77" s="105"/>
      <c r="DA77" s="105"/>
      <c r="DB77" s="105"/>
      <c r="DC77" s="105"/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5"/>
      <c r="DV77" s="105"/>
      <c r="DW77" s="105"/>
      <c r="DX77" s="105"/>
      <c r="DY77" s="105"/>
      <c r="DZ77" s="105"/>
      <c r="EA77" s="105"/>
      <c r="EB77" s="105"/>
      <c r="EC77" s="105"/>
      <c r="ED77" s="105"/>
      <c r="EE77" s="105"/>
      <c r="EF77" s="105"/>
      <c r="EG77" s="105"/>
      <c r="EH77" s="105"/>
      <c r="EI77" s="105"/>
      <c r="EJ77" s="105"/>
      <c r="EK77" s="105"/>
      <c r="EL77" s="105"/>
      <c r="EM77" s="105"/>
      <c r="EN77" s="105"/>
      <c r="EO77" s="105"/>
      <c r="EP77" s="105"/>
      <c r="EQ77" s="105"/>
      <c r="ER77" s="105"/>
      <c r="ES77" s="105"/>
      <c r="ET77" s="105"/>
      <c r="EU77" s="105"/>
      <c r="EV77" s="105"/>
      <c r="EW77" s="105"/>
      <c r="EX77" s="105"/>
      <c r="EY77" s="105"/>
      <c r="EZ77" s="105"/>
      <c r="FA77" s="105"/>
      <c r="FB77" s="105"/>
      <c r="FC77" s="105"/>
      <c r="FD77" s="105"/>
      <c r="FE77" s="105"/>
      <c r="FF77" s="105"/>
      <c r="FG77" s="105"/>
      <c r="FH77" s="105"/>
      <c r="FI77" s="105"/>
      <c r="FJ77" s="105"/>
      <c r="FK77" s="105"/>
      <c r="FL77" s="105"/>
      <c r="FM77" s="105"/>
      <c r="FN77" s="105"/>
      <c r="FO77" s="105"/>
      <c r="FP77" s="105"/>
      <c r="FQ77" s="105"/>
      <c r="FR77" s="105"/>
      <c r="FS77" s="105"/>
      <c r="FT77" s="105"/>
      <c r="FU77" s="105"/>
      <c r="FV77" s="105"/>
      <c r="FW77" s="105"/>
      <c r="FX77" s="105"/>
      <c r="FY77" s="105"/>
      <c r="FZ77" s="105"/>
      <c r="GA77" s="105"/>
      <c r="GB77" s="105"/>
      <c r="GC77" s="105"/>
      <c r="GD77" s="105"/>
      <c r="GE77" s="105"/>
      <c r="GF77" s="105"/>
      <c r="GG77" s="105"/>
      <c r="GH77" s="105"/>
      <c r="GI77" s="105"/>
      <c r="GJ77" s="105"/>
      <c r="GK77" s="105"/>
      <c r="GL77" s="105"/>
      <c r="GM77" s="105"/>
      <c r="GN77" s="105"/>
      <c r="GO77" s="105"/>
      <c r="GP77" s="105"/>
      <c r="GQ77" s="105"/>
      <c r="GR77" s="105"/>
      <c r="GS77" s="105"/>
      <c r="GT77" s="105"/>
      <c r="GU77" s="105"/>
      <c r="GV77" s="105"/>
      <c r="GW77" s="105"/>
      <c r="GX77" s="105"/>
      <c r="GY77" s="105"/>
      <c r="GZ77" s="105"/>
      <c r="HA77" s="105"/>
      <c r="HB77" s="105"/>
      <c r="HC77" s="105"/>
      <c r="HD77" s="105"/>
      <c r="HE77" s="105"/>
      <c r="HF77" s="105"/>
      <c r="HG77" s="105"/>
      <c r="HH77" s="105"/>
      <c r="HI77" s="105"/>
      <c r="HJ77" s="105"/>
      <c r="HK77" s="105"/>
      <c r="HL77" s="105"/>
      <c r="HM77" s="105"/>
      <c r="HN77" s="105"/>
      <c r="HO77" s="105"/>
      <c r="HP77" s="105"/>
      <c r="HQ77" s="105"/>
      <c r="HR77" s="105"/>
      <c r="HS77" s="105"/>
      <c r="HT77" s="105"/>
      <c r="HU77" s="105"/>
      <c r="HV77" s="105"/>
      <c r="HW77" s="105"/>
      <c r="HX77" s="105"/>
      <c r="HY77" s="105"/>
      <c r="HZ77" s="105"/>
      <c r="IA77" s="105"/>
      <c r="IB77" s="105"/>
      <c r="IC77" s="105"/>
      <c r="ID77" s="105"/>
      <c r="IE77" s="105"/>
      <c r="IF77" s="105"/>
      <c r="IG77" s="105"/>
      <c r="IH77" s="105"/>
      <c r="II77" s="105"/>
      <c r="IJ77" s="105"/>
      <c r="IK77" s="105"/>
      <c r="IL77" s="105"/>
      <c r="IM77" s="105"/>
      <c r="IN77" s="105"/>
      <c r="IO77" s="105"/>
      <c r="IP77" s="105"/>
      <c r="IQ77" s="105"/>
      <c r="IR77" s="105"/>
      <c r="IS77" s="105"/>
    </row>
    <row r="78" spans="1:253">
      <c r="A78" s="116"/>
      <c r="B78" s="105"/>
      <c r="C78" s="116"/>
      <c r="D78" s="116"/>
      <c r="E78" s="116"/>
      <c r="F78" s="116"/>
      <c r="G78" s="116"/>
      <c r="H78" s="116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05"/>
      <c r="CB78" s="105"/>
      <c r="CC78" s="105"/>
      <c r="CD78" s="105"/>
      <c r="CE78" s="105"/>
      <c r="CF78" s="105"/>
      <c r="CG78" s="105"/>
      <c r="CH78" s="105"/>
      <c r="CI78" s="105"/>
      <c r="CJ78" s="105"/>
      <c r="CK78" s="105"/>
      <c r="CL78" s="105"/>
      <c r="CM78" s="105"/>
      <c r="CN78" s="105"/>
      <c r="CO78" s="105"/>
      <c r="CP78" s="105"/>
      <c r="CQ78" s="105"/>
      <c r="CR78" s="105"/>
      <c r="CS78" s="105"/>
      <c r="CT78" s="105"/>
      <c r="CU78" s="105"/>
      <c r="CV78" s="105"/>
      <c r="CW78" s="105"/>
      <c r="CX78" s="105"/>
      <c r="CY78" s="105"/>
      <c r="CZ78" s="105"/>
      <c r="DA78" s="105"/>
      <c r="DB78" s="105"/>
      <c r="DC78" s="105"/>
      <c r="DD78" s="105"/>
      <c r="DE78" s="105"/>
      <c r="DF78" s="105"/>
      <c r="DG78" s="105"/>
      <c r="DH78" s="105"/>
      <c r="DI78" s="105"/>
      <c r="DJ78" s="105"/>
      <c r="DK78" s="105"/>
      <c r="DL78" s="105"/>
      <c r="DM78" s="105"/>
      <c r="DN78" s="105"/>
      <c r="DO78" s="105"/>
      <c r="DP78" s="105"/>
      <c r="DQ78" s="105"/>
      <c r="DR78" s="105"/>
      <c r="DS78" s="105"/>
      <c r="DT78" s="105"/>
      <c r="DU78" s="105"/>
      <c r="DV78" s="105"/>
      <c r="DW78" s="105"/>
      <c r="DX78" s="105"/>
      <c r="DY78" s="105"/>
      <c r="DZ78" s="105"/>
      <c r="EA78" s="105"/>
      <c r="EB78" s="105"/>
      <c r="EC78" s="105"/>
      <c r="ED78" s="105"/>
      <c r="EE78" s="105"/>
      <c r="EF78" s="105"/>
      <c r="EG78" s="105"/>
      <c r="EH78" s="105"/>
      <c r="EI78" s="105"/>
      <c r="EJ78" s="105"/>
      <c r="EK78" s="105"/>
      <c r="EL78" s="105"/>
      <c r="EM78" s="105"/>
      <c r="EN78" s="105"/>
      <c r="EO78" s="105"/>
      <c r="EP78" s="105"/>
      <c r="EQ78" s="105"/>
      <c r="ER78" s="105"/>
      <c r="ES78" s="105"/>
      <c r="ET78" s="105"/>
      <c r="EU78" s="105"/>
      <c r="EV78" s="105"/>
      <c r="EW78" s="105"/>
      <c r="EX78" s="105"/>
      <c r="EY78" s="105"/>
      <c r="EZ78" s="105"/>
      <c r="FA78" s="105"/>
      <c r="FB78" s="105"/>
      <c r="FC78" s="105"/>
      <c r="FD78" s="105"/>
      <c r="FE78" s="105"/>
      <c r="FF78" s="105"/>
      <c r="FG78" s="105"/>
      <c r="FH78" s="105"/>
      <c r="FI78" s="105"/>
      <c r="FJ78" s="105"/>
      <c r="FK78" s="105"/>
      <c r="FL78" s="105"/>
      <c r="FM78" s="105"/>
      <c r="FN78" s="105"/>
      <c r="FO78" s="105"/>
      <c r="FP78" s="105"/>
      <c r="FQ78" s="105"/>
      <c r="FR78" s="105"/>
      <c r="FS78" s="105"/>
      <c r="FT78" s="105"/>
      <c r="FU78" s="105"/>
      <c r="FV78" s="105"/>
      <c r="FW78" s="105"/>
      <c r="FX78" s="105"/>
      <c r="FY78" s="105"/>
      <c r="FZ78" s="105"/>
      <c r="GA78" s="105"/>
      <c r="GB78" s="105"/>
      <c r="GC78" s="105"/>
      <c r="GD78" s="105"/>
      <c r="GE78" s="105"/>
      <c r="GF78" s="105"/>
      <c r="GG78" s="105"/>
      <c r="GH78" s="105"/>
      <c r="GI78" s="105"/>
      <c r="GJ78" s="105"/>
      <c r="GK78" s="105"/>
      <c r="GL78" s="105"/>
      <c r="GM78" s="105"/>
      <c r="GN78" s="105"/>
      <c r="GO78" s="105"/>
      <c r="GP78" s="105"/>
      <c r="GQ78" s="105"/>
      <c r="GR78" s="105"/>
      <c r="GS78" s="105"/>
      <c r="GT78" s="105"/>
      <c r="GU78" s="105"/>
      <c r="GV78" s="105"/>
      <c r="GW78" s="105"/>
      <c r="GX78" s="105"/>
      <c r="GY78" s="105"/>
      <c r="GZ78" s="105"/>
      <c r="HA78" s="105"/>
      <c r="HB78" s="105"/>
      <c r="HC78" s="105"/>
      <c r="HD78" s="105"/>
      <c r="HE78" s="105"/>
      <c r="HF78" s="105"/>
      <c r="HG78" s="105"/>
      <c r="HH78" s="105"/>
      <c r="HI78" s="105"/>
      <c r="HJ78" s="105"/>
      <c r="HK78" s="105"/>
      <c r="HL78" s="105"/>
      <c r="HM78" s="105"/>
      <c r="HN78" s="105"/>
      <c r="HO78" s="105"/>
      <c r="HP78" s="105"/>
      <c r="HQ78" s="105"/>
      <c r="HR78" s="105"/>
      <c r="HS78" s="105"/>
      <c r="HT78" s="105"/>
      <c r="HU78" s="105"/>
      <c r="HV78" s="105"/>
      <c r="HW78" s="105"/>
      <c r="HX78" s="105"/>
      <c r="HY78" s="105"/>
      <c r="HZ78" s="105"/>
      <c r="IA78" s="105"/>
      <c r="IB78" s="105"/>
      <c r="IC78" s="105"/>
      <c r="ID78" s="105"/>
      <c r="IE78" s="105"/>
      <c r="IF78" s="105"/>
      <c r="IG78" s="105"/>
      <c r="IH78" s="105"/>
      <c r="II78" s="105"/>
      <c r="IJ78" s="105"/>
      <c r="IK78" s="105"/>
      <c r="IL78" s="105"/>
      <c r="IM78" s="105"/>
      <c r="IN78" s="105"/>
      <c r="IO78" s="105"/>
      <c r="IP78" s="105"/>
      <c r="IQ78" s="105"/>
      <c r="IR78" s="105"/>
      <c r="IS78" s="105"/>
    </row>
    <row r="79" spans="1:253">
      <c r="A79" s="116"/>
      <c r="B79" s="105"/>
      <c r="C79" s="116"/>
      <c r="D79" s="116"/>
      <c r="E79" s="116"/>
      <c r="F79" s="116"/>
      <c r="G79" s="116"/>
      <c r="H79" s="116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05"/>
      <c r="CG79" s="105"/>
      <c r="CH79" s="105"/>
      <c r="CI79" s="105"/>
      <c r="CJ79" s="105"/>
      <c r="CK79" s="105"/>
      <c r="CL79" s="105"/>
      <c r="CM79" s="105"/>
      <c r="CN79" s="105"/>
      <c r="CO79" s="105"/>
      <c r="CP79" s="105"/>
      <c r="CQ79" s="105"/>
      <c r="CR79" s="105"/>
      <c r="CS79" s="105"/>
      <c r="CT79" s="105"/>
      <c r="CU79" s="105"/>
      <c r="CV79" s="105"/>
      <c r="CW79" s="105"/>
      <c r="CX79" s="105"/>
      <c r="CY79" s="105"/>
      <c r="CZ79" s="105"/>
      <c r="DA79" s="105"/>
      <c r="DB79" s="105"/>
      <c r="DC79" s="105"/>
      <c r="DD79" s="105"/>
      <c r="DE79" s="105"/>
      <c r="DF79" s="105"/>
      <c r="DG79" s="105"/>
      <c r="DH79" s="105"/>
      <c r="DI79" s="105"/>
      <c r="DJ79" s="105"/>
      <c r="DK79" s="105"/>
      <c r="DL79" s="105"/>
      <c r="DM79" s="105"/>
      <c r="DN79" s="105"/>
      <c r="DO79" s="105"/>
      <c r="DP79" s="105"/>
      <c r="DQ79" s="105"/>
      <c r="DR79" s="105"/>
      <c r="DS79" s="105"/>
      <c r="DT79" s="105"/>
      <c r="DU79" s="105"/>
      <c r="DV79" s="105"/>
      <c r="DW79" s="105"/>
      <c r="DX79" s="105"/>
      <c r="DY79" s="105"/>
      <c r="DZ79" s="105"/>
      <c r="EA79" s="105"/>
      <c r="EB79" s="105"/>
      <c r="EC79" s="105"/>
      <c r="ED79" s="105"/>
      <c r="EE79" s="105"/>
      <c r="EF79" s="105"/>
      <c r="EG79" s="105"/>
      <c r="EH79" s="105"/>
      <c r="EI79" s="105"/>
      <c r="EJ79" s="105"/>
      <c r="EK79" s="105"/>
      <c r="EL79" s="105"/>
      <c r="EM79" s="105"/>
      <c r="EN79" s="105"/>
      <c r="EO79" s="105"/>
      <c r="EP79" s="105"/>
      <c r="EQ79" s="105"/>
      <c r="ER79" s="105"/>
      <c r="ES79" s="105"/>
      <c r="ET79" s="105"/>
      <c r="EU79" s="105"/>
      <c r="EV79" s="105"/>
      <c r="EW79" s="105"/>
      <c r="EX79" s="105"/>
      <c r="EY79" s="105"/>
      <c r="EZ79" s="105"/>
      <c r="FA79" s="105"/>
      <c r="FB79" s="105"/>
      <c r="FC79" s="105"/>
      <c r="FD79" s="105"/>
      <c r="FE79" s="105"/>
      <c r="FF79" s="105"/>
      <c r="FG79" s="105"/>
      <c r="FH79" s="105"/>
      <c r="FI79" s="105"/>
      <c r="FJ79" s="105"/>
      <c r="FK79" s="105"/>
      <c r="FL79" s="105"/>
      <c r="FM79" s="105"/>
      <c r="FN79" s="105"/>
      <c r="FO79" s="105"/>
      <c r="FP79" s="105"/>
      <c r="FQ79" s="105"/>
      <c r="FR79" s="105"/>
      <c r="FS79" s="105"/>
      <c r="FT79" s="105"/>
      <c r="FU79" s="105"/>
      <c r="FV79" s="105"/>
      <c r="FW79" s="105"/>
      <c r="FX79" s="105"/>
      <c r="FY79" s="105"/>
      <c r="FZ79" s="105"/>
      <c r="GA79" s="105"/>
      <c r="GB79" s="105"/>
      <c r="GC79" s="105"/>
      <c r="GD79" s="105"/>
      <c r="GE79" s="105"/>
      <c r="GF79" s="105"/>
      <c r="GG79" s="105"/>
      <c r="GH79" s="105"/>
      <c r="GI79" s="105"/>
      <c r="GJ79" s="105"/>
      <c r="GK79" s="105"/>
      <c r="GL79" s="105"/>
      <c r="GM79" s="105"/>
      <c r="GN79" s="105"/>
      <c r="GO79" s="105"/>
      <c r="GP79" s="105"/>
      <c r="GQ79" s="105"/>
      <c r="GR79" s="105"/>
      <c r="GS79" s="105"/>
      <c r="GT79" s="105"/>
      <c r="GU79" s="105"/>
      <c r="GV79" s="105"/>
      <c r="GW79" s="105"/>
      <c r="GX79" s="105"/>
      <c r="GY79" s="105"/>
      <c r="GZ79" s="105"/>
      <c r="HA79" s="105"/>
      <c r="HB79" s="105"/>
      <c r="HC79" s="105"/>
      <c r="HD79" s="105"/>
      <c r="HE79" s="105"/>
      <c r="HF79" s="105"/>
      <c r="HG79" s="105"/>
      <c r="HH79" s="105"/>
      <c r="HI79" s="105"/>
      <c r="HJ79" s="105"/>
      <c r="HK79" s="105"/>
      <c r="HL79" s="105"/>
      <c r="HM79" s="105"/>
      <c r="HN79" s="105"/>
      <c r="HO79" s="105"/>
      <c r="HP79" s="105"/>
      <c r="HQ79" s="105"/>
      <c r="HR79" s="105"/>
      <c r="HS79" s="105"/>
      <c r="HT79" s="105"/>
      <c r="HU79" s="105"/>
      <c r="HV79" s="105"/>
      <c r="HW79" s="105"/>
      <c r="HX79" s="105"/>
      <c r="HY79" s="105"/>
      <c r="HZ79" s="105"/>
      <c r="IA79" s="105"/>
      <c r="IB79" s="105"/>
      <c r="IC79" s="105"/>
      <c r="ID79" s="105"/>
      <c r="IE79" s="105"/>
      <c r="IF79" s="105"/>
      <c r="IG79" s="105"/>
      <c r="IH79" s="105"/>
      <c r="II79" s="105"/>
      <c r="IJ79" s="105"/>
      <c r="IK79" s="105"/>
      <c r="IL79" s="105"/>
      <c r="IM79" s="105"/>
      <c r="IN79" s="105"/>
      <c r="IO79" s="105"/>
      <c r="IP79" s="105"/>
      <c r="IQ79" s="105"/>
      <c r="IR79" s="105"/>
      <c r="IS79" s="105"/>
    </row>
    <row r="80" spans="1:253">
      <c r="A80" s="116"/>
      <c r="B80" s="105"/>
      <c r="C80" s="116"/>
      <c r="D80" s="116"/>
      <c r="E80" s="116"/>
      <c r="F80" s="116"/>
      <c r="G80" s="116"/>
      <c r="H80" s="116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  <c r="CA80" s="105"/>
      <c r="CB80" s="105"/>
      <c r="CC80" s="105"/>
      <c r="CD80" s="105"/>
      <c r="CE80" s="105"/>
      <c r="CF80" s="105"/>
      <c r="CG80" s="105"/>
      <c r="CH80" s="105"/>
      <c r="CI80" s="105"/>
      <c r="CJ80" s="105"/>
      <c r="CK80" s="105"/>
      <c r="CL80" s="105"/>
      <c r="CM80" s="105"/>
      <c r="CN80" s="105"/>
      <c r="CO80" s="105"/>
      <c r="CP80" s="105"/>
      <c r="CQ80" s="105"/>
      <c r="CR80" s="105"/>
      <c r="CS80" s="105"/>
      <c r="CT80" s="105"/>
      <c r="CU80" s="105"/>
      <c r="CV80" s="105"/>
      <c r="CW80" s="105"/>
      <c r="CX80" s="105"/>
      <c r="CY80" s="105"/>
      <c r="CZ80" s="105"/>
      <c r="DA80" s="105"/>
      <c r="DB80" s="105"/>
      <c r="DC80" s="105"/>
      <c r="DD80" s="105"/>
      <c r="DE80" s="105"/>
      <c r="DF80" s="105"/>
      <c r="DG80" s="105"/>
      <c r="DH80" s="105"/>
      <c r="DI80" s="105"/>
      <c r="DJ80" s="105"/>
      <c r="DK80" s="105"/>
      <c r="DL80" s="105"/>
      <c r="DM80" s="105"/>
      <c r="DN80" s="105"/>
      <c r="DO80" s="105"/>
      <c r="DP80" s="105"/>
      <c r="DQ80" s="105"/>
      <c r="DR80" s="105"/>
      <c r="DS80" s="105"/>
      <c r="DT80" s="105"/>
      <c r="DU80" s="105"/>
      <c r="DV80" s="105"/>
      <c r="DW80" s="105"/>
      <c r="DX80" s="105"/>
      <c r="DY80" s="105"/>
      <c r="DZ80" s="105"/>
      <c r="EA80" s="105"/>
      <c r="EB80" s="105"/>
      <c r="EC80" s="105"/>
      <c r="ED80" s="105"/>
      <c r="EE80" s="105"/>
      <c r="EF80" s="105"/>
      <c r="EG80" s="105"/>
      <c r="EH80" s="105"/>
      <c r="EI80" s="105"/>
      <c r="EJ80" s="105"/>
      <c r="EK80" s="105"/>
      <c r="EL80" s="105"/>
      <c r="EM80" s="105"/>
      <c r="EN80" s="105"/>
      <c r="EO80" s="105"/>
      <c r="EP80" s="105"/>
      <c r="EQ80" s="105"/>
      <c r="ER80" s="105"/>
      <c r="ES80" s="105"/>
      <c r="ET80" s="105"/>
      <c r="EU80" s="105"/>
      <c r="EV80" s="105"/>
      <c r="EW80" s="105"/>
      <c r="EX80" s="105"/>
      <c r="EY80" s="105"/>
      <c r="EZ80" s="105"/>
      <c r="FA80" s="105"/>
      <c r="FB80" s="105"/>
      <c r="FC80" s="105"/>
      <c r="FD80" s="105"/>
      <c r="FE80" s="105"/>
      <c r="FF80" s="105"/>
      <c r="FG80" s="105"/>
      <c r="FH80" s="105"/>
      <c r="FI80" s="105"/>
      <c r="FJ80" s="105"/>
      <c r="FK80" s="105"/>
      <c r="FL80" s="105"/>
      <c r="FM80" s="105"/>
      <c r="FN80" s="105"/>
      <c r="FO80" s="105"/>
      <c r="FP80" s="105"/>
      <c r="FQ80" s="105"/>
      <c r="FR80" s="105"/>
      <c r="FS80" s="105"/>
      <c r="FT80" s="105"/>
      <c r="FU80" s="105"/>
      <c r="FV80" s="105"/>
      <c r="FW80" s="105"/>
      <c r="FX80" s="105"/>
      <c r="FY80" s="105"/>
      <c r="FZ80" s="105"/>
      <c r="GA80" s="105"/>
      <c r="GB80" s="105"/>
      <c r="GC80" s="105"/>
      <c r="GD80" s="105"/>
      <c r="GE80" s="105"/>
      <c r="GF80" s="105"/>
      <c r="GG80" s="105"/>
      <c r="GH80" s="105"/>
      <c r="GI80" s="105"/>
      <c r="GJ80" s="105"/>
      <c r="GK80" s="105"/>
      <c r="GL80" s="105"/>
      <c r="GM80" s="105"/>
      <c r="GN80" s="105"/>
      <c r="GO80" s="105"/>
      <c r="GP80" s="105"/>
      <c r="GQ80" s="105"/>
      <c r="GR80" s="105"/>
      <c r="GS80" s="105"/>
      <c r="GT80" s="105"/>
      <c r="GU80" s="105"/>
      <c r="GV80" s="105"/>
      <c r="GW80" s="105"/>
      <c r="GX80" s="105"/>
      <c r="GY80" s="105"/>
      <c r="GZ80" s="105"/>
      <c r="HA80" s="105"/>
      <c r="HB80" s="105"/>
      <c r="HC80" s="105"/>
      <c r="HD80" s="105"/>
      <c r="HE80" s="105"/>
      <c r="HF80" s="105"/>
      <c r="HG80" s="105"/>
      <c r="HH80" s="105"/>
      <c r="HI80" s="105"/>
      <c r="HJ80" s="105"/>
      <c r="HK80" s="105"/>
      <c r="HL80" s="105"/>
      <c r="HM80" s="105"/>
      <c r="HN80" s="105"/>
      <c r="HO80" s="105"/>
      <c r="HP80" s="105"/>
      <c r="HQ80" s="105"/>
      <c r="HR80" s="105"/>
      <c r="HS80" s="105"/>
      <c r="HT80" s="105"/>
      <c r="HU80" s="105"/>
      <c r="HV80" s="105"/>
      <c r="HW80" s="105"/>
      <c r="HX80" s="105"/>
      <c r="HY80" s="105"/>
      <c r="HZ80" s="105"/>
      <c r="IA80" s="105"/>
      <c r="IB80" s="105"/>
      <c r="IC80" s="105"/>
      <c r="ID80" s="105"/>
      <c r="IE80" s="105"/>
      <c r="IF80" s="105"/>
      <c r="IG80" s="105"/>
      <c r="IH80" s="105"/>
      <c r="II80" s="105"/>
      <c r="IJ80" s="105"/>
      <c r="IK80" s="105"/>
      <c r="IL80" s="105"/>
      <c r="IM80" s="105"/>
      <c r="IN80" s="105"/>
      <c r="IO80" s="105"/>
      <c r="IP80" s="105"/>
      <c r="IQ80" s="105"/>
      <c r="IR80" s="105"/>
      <c r="IS80" s="105"/>
    </row>
    <row r="81" spans="1:253">
      <c r="A81" s="116"/>
      <c r="B81" s="105"/>
      <c r="C81" s="116"/>
      <c r="D81" s="116"/>
      <c r="E81" s="116"/>
      <c r="F81" s="116"/>
      <c r="G81" s="116"/>
      <c r="H81" s="116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  <c r="CK81" s="105"/>
      <c r="CL81" s="105"/>
      <c r="CM81" s="105"/>
      <c r="CN81" s="105"/>
      <c r="CO81" s="105"/>
      <c r="CP81" s="105"/>
      <c r="CQ81" s="105"/>
      <c r="CR81" s="105"/>
      <c r="CS81" s="105"/>
      <c r="CT81" s="105"/>
      <c r="CU81" s="105"/>
      <c r="CV81" s="105"/>
      <c r="CW81" s="105"/>
      <c r="CX81" s="105"/>
      <c r="CY81" s="105"/>
      <c r="CZ81" s="105"/>
      <c r="DA81" s="105"/>
      <c r="DB81" s="105"/>
      <c r="DC81" s="105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5"/>
      <c r="DV81" s="105"/>
      <c r="DW81" s="105"/>
      <c r="DX81" s="105"/>
      <c r="DY81" s="105"/>
      <c r="DZ81" s="105"/>
      <c r="EA81" s="105"/>
      <c r="EB81" s="105"/>
      <c r="EC81" s="105"/>
      <c r="ED81" s="105"/>
      <c r="EE81" s="105"/>
      <c r="EF81" s="105"/>
      <c r="EG81" s="105"/>
      <c r="EH81" s="105"/>
      <c r="EI81" s="105"/>
      <c r="EJ81" s="105"/>
      <c r="EK81" s="105"/>
      <c r="EL81" s="105"/>
      <c r="EM81" s="105"/>
      <c r="EN81" s="105"/>
      <c r="EO81" s="105"/>
      <c r="EP81" s="105"/>
      <c r="EQ81" s="105"/>
      <c r="ER81" s="105"/>
      <c r="ES81" s="105"/>
      <c r="ET81" s="105"/>
      <c r="EU81" s="105"/>
      <c r="EV81" s="105"/>
      <c r="EW81" s="105"/>
      <c r="EX81" s="105"/>
      <c r="EY81" s="105"/>
      <c r="EZ81" s="105"/>
      <c r="FA81" s="105"/>
      <c r="FB81" s="105"/>
      <c r="FC81" s="105"/>
      <c r="FD81" s="105"/>
      <c r="FE81" s="105"/>
      <c r="FF81" s="105"/>
      <c r="FG81" s="105"/>
      <c r="FH81" s="105"/>
      <c r="FI81" s="105"/>
      <c r="FJ81" s="105"/>
      <c r="FK81" s="105"/>
      <c r="FL81" s="105"/>
      <c r="FM81" s="105"/>
      <c r="FN81" s="105"/>
      <c r="FO81" s="105"/>
      <c r="FP81" s="105"/>
      <c r="FQ81" s="105"/>
      <c r="FR81" s="105"/>
      <c r="FS81" s="105"/>
      <c r="FT81" s="105"/>
      <c r="FU81" s="105"/>
      <c r="FV81" s="105"/>
      <c r="FW81" s="105"/>
      <c r="FX81" s="105"/>
      <c r="FY81" s="105"/>
      <c r="FZ81" s="105"/>
      <c r="GA81" s="105"/>
      <c r="GB81" s="105"/>
      <c r="GC81" s="105"/>
      <c r="GD81" s="105"/>
      <c r="GE81" s="105"/>
      <c r="GF81" s="105"/>
      <c r="GG81" s="105"/>
      <c r="GH81" s="105"/>
      <c r="GI81" s="105"/>
      <c r="GJ81" s="105"/>
      <c r="GK81" s="105"/>
      <c r="GL81" s="105"/>
      <c r="GM81" s="105"/>
      <c r="GN81" s="105"/>
      <c r="GO81" s="105"/>
      <c r="GP81" s="105"/>
      <c r="GQ81" s="105"/>
      <c r="GR81" s="105"/>
      <c r="GS81" s="105"/>
      <c r="GT81" s="105"/>
      <c r="GU81" s="105"/>
      <c r="GV81" s="105"/>
      <c r="GW81" s="105"/>
      <c r="GX81" s="105"/>
      <c r="GY81" s="105"/>
      <c r="GZ81" s="105"/>
      <c r="HA81" s="105"/>
      <c r="HB81" s="105"/>
      <c r="HC81" s="105"/>
      <c r="HD81" s="105"/>
      <c r="HE81" s="105"/>
      <c r="HF81" s="105"/>
      <c r="HG81" s="105"/>
      <c r="HH81" s="105"/>
      <c r="HI81" s="105"/>
      <c r="HJ81" s="105"/>
      <c r="HK81" s="105"/>
      <c r="HL81" s="105"/>
      <c r="HM81" s="105"/>
      <c r="HN81" s="105"/>
      <c r="HO81" s="105"/>
      <c r="HP81" s="105"/>
      <c r="HQ81" s="105"/>
      <c r="HR81" s="105"/>
      <c r="HS81" s="105"/>
      <c r="HT81" s="105"/>
      <c r="HU81" s="105"/>
      <c r="HV81" s="105"/>
      <c r="HW81" s="105"/>
      <c r="HX81" s="105"/>
      <c r="HY81" s="105"/>
      <c r="HZ81" s="105"/>
      <c r="IA81" s="105"/>
      <c r="IB81" s="105"/>
      <c r="IC81" s="105"/>
      <c r="ID81" s="105"/>
      <c r="IE81" s="105"/>
      <c r="IF81" s="105"/>
      <c r="IG81" s="105"/>
      <c r="IH81" s="105"/>
      <c r="II81" s="105"/>
      <c r="IJ81" s="105"/>
      <c r="IK81" s="105"/>
      <c r="IL81" s="105"/>
      <c r="IM81" s="105"/>
      <c r="IN81" s="105"/>
      <c r="IO81" s="105"/>
      <c r="IP81" s="105"/>
      <c r="IQ81" s="105"/>
      <c r="IR81" s="105"/>
      <c r="IS81" s="105"/>
    </row>
    <row r="82" spans="1:253">
      <c r="A82" s="116"/>
      <c r="B82" s="105"/>
      <c r="C82" s="116"/>
      <c r="D82" s="116"/>
      <c r="E82" s="116"/>
      <c r="F82" s="116"/>
      <c r="G82" s="116"/>
      <c r="H82" s="116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  <c r="BO82" s="105"/>
      <c r="BP82" s="105"/>
      <c r="BQ82" s="105"/>
      <c r="BR82" s="105"/>
      <c r="BS82" s="105"/>
      <c r="BT82" s="105"/>
      <c r="BU82" s="105"/>
      <c r="BV82" s="105"/>
      <c r="BW82" s="105"/>
      <c r="BX82" s="105"/>
      <c r="BY82" s="105"/>
      <c r="BZ82" s="105"/>
      <c r="CA82" s="105"/>
      <c r="CB82" s="105"/>
      <c r="CC82" s="105"/>
      <c r="CD82" s="105"/>
      <c r="CE82" s="105"/>
      <c r="CF82" s="105"/>
      <c r="CG82" s="105"/>
      <c r="CH82" s="105"/>
      <c r="CI82" s="105"/>
      <c r="CJ82" s="105"/>
      <c r="CK82" s="105"/>
      <c r="CL82" s="105"/>
      <c r="CM82" s="105"/>
      <c r="CN82" s="105"/>
      <c r="CO82" s="105"/>
      <c r="CP82" s="105"/>
      <c r="CQ82" s="105"/>
      <c r="CR82" s="105"/>
      <c r="CS82" s="105"/>
      <c r="CT82" s="105"/>
      <c r="CU82" s="105"/>
      <c r="CV82" s="105"/>
      <c r="CW82" s="105"/>
      <c r="CX82" s="105"/>
      <c r="CY82" s="105"/>
      <c r="CZ82" s="105"/>
      <c r="DA82" s="105"/>
      <c r="DB82" s="105"/>
      <c r="DC82" s="105"/>
      <c r="DD82" s="105"/>
      <c r="DE82" s="105"/>
      <c r="DF82" s="105"/>
      <c r="DG82" s="105"/>
      <c r="DH82" s="105"/>
      <c r="DI82" s="105"/>
      <c r="DJ82" s="105"/>
      <c r="DK82" s="105"/>
      <c r="DL82" s="105"/>
      <c r="DM82" s="105"/>
      <c r="DN82" s="105"/>
      <c r="DO82" s="105"/>
      <c r="DP82" s="105"/>
      <c r="DQ82" s="105"/>
      <c r="DR82" s="105"/>
      <c r="DS82" s="105"/>
      <c r="DT82" s="105"/>
      <c r="DU82" s="105"/>
      <c r="DV82" s="105"/>
      <c r="DW82" s="105"/>
      <c r="DX82" s="105"/>
      <c r="DY82" s="105"/>
      <c r="DZ82" s="105"/>
      <c r="EA82" s="105"/>
      <c r="EB82" s="105"/>
      <c r="EC82" s="105"/>
      <c r="ED82" s="105"/>
      <c r="EE82" s="105"/>
      <c r="EF82" s="105"/>
      <c r="EG82" s="105"/>
      <c r="EH82" s="105"/>
      <c r="EI82" s="105"/>
      <c r="EJ82" s="105"/>
      <c r="EK82" s="105"/>
      <c r="EL82" s="105"/>
      <c r="EM82" s="105"/>
      <c r="EN82" s="105"/>
      <c r="EO82" s="105"/>
      <c r="EP82" s="105"/>
      <c r="EQ82" s="105"/>
      <c r="ER82" s="105"/>
      <c r="ES82" s="105"/>
      <c r="ET82" s="105"/>
      <c r="EU82" s="105"/>
      <c r="EV82" s="105"/>
      <c r="EW82" s="105"/>
      <c r="EX82" s="105"/>
      <c r="EY82" s="105"/>
      <c r="EZ82" s="105"/>
      <c r="FA82" s="105"/>
      <c r="FB82" s="105"/>
      <c r="FC82" s="105"/>
      <c r="FD82" s="105"/>
      <c r="FE82" s="105"/>
      <c r="FF82" s="105"/>
      <c r="FG82" s="105"/>
      <c r="FH82" s="105"/>
      <c r="FI82" s="105"/>
      <c r="FJ82" s="105"/>
      <c r="FK82" s="105"/>
      <c r="FL82" s="105"/>
      <c r="FM82" s="105"/>
      <c r="FN82" s="105"/>
      <c r="FO82" s="105"/>
      <c r="FP82" s="105"/>
      <c r="FQ82" s="105"/>
      <c r="FR82" s="105"/>
      <c r="FS82" s="105"/>
      <c r="FT82" s="105"/>
      <c r="FU82" s="105"/>
      <c r="FV82" s="105"/>
      <c r="FW82" s="105"/>
      <c r="FX82" s="105"/>
      <c r="FY82" s="105"/>
      <c r="FZ82" s="105"/>
      <c r="GA82" s="105"/>
      <c r="GB82" s="105"/>
      <c r="GC82" s="105"/>
      <c r="GD82" s="105"/>
      <c r="GE82" s="105"/>
      <c r="GF82" s="105"/>
      <c r="GG82" s="105"/>
      <c r="GH82" s="105"/>
      <c r="GI82" s="105"/>
      <c r="GJ82" s="105"/>
      <c r="GK82" s="105"/>
      <c r="GL82" s="105"/>
      <c r="GM82" s="105"/>
      <c r="GN82" s="105"/>
      <c r="GO82" s="105"/>
      <c r="GP82" s="105"/>
      <c r="GQ82" s="105"/>
      <c r="GR82" s="105"/>
      <c r="GS82" s="105"/>
      <c r="GT82" s="105"/>
      <c r="GU82" s="105"/>
      <c r="GV82" s="105"/>
      <c r="GW82" s="105"/>
      <c r="GX82" s="105"/>
      <c r="GY82" s="105"/>
      <c r="GZ82" s="105"/>
      <c r="HA82" s="105"/>
      <c r="HB82" s="105"/>
      <c r="HC82" s="105"/>
      <c r="HD82" s="105"/>
      <c r="HE82" s="105"/>
      <c r="HF82" s="105"/>
      <c r="HG82" s="105"/>
      <c r="HH82" s="105"/>
      <c r="HI82" s="105"/>
      <c r="HJ82" s="105"/>
      <c r="HK82" s="105"/>
      <c r="HL82" s="105"/>
      <c r="HM82" s="105"/>
      <c r="HN82" s="105"/>
      <c r="HO82" s="105"/>
      <c r="HP82" s="105"/>
      <c r="HQ82" s="105"/>
      <c r="HR82" s="105"/>
      <c r="HS82" s="105"/>
      <c r="HT82" s="105"/>
      <c r="HU82" s="105"/>
      <c r="HV82" s="105"/>
      <c r="HW82" s="105"/>
      <c r="HX82" s="105"/>
      <c r="HY82" s="105"/>
      <c r="HZ82" s="105"/>
      <c r="IA82" s="105"/>
      <c r="IB82" s="105"/>
      <c r="IC82" s="105"/>
      <c r="ID82" s="105"/>
      <c r="IE82" s="105"/>
      <c r="IF82" s="105"/>
      <c r="IG82" s="105"/>
      <c r="IH82" s="105"/>
      <c r="II82" s="105"/>
      <c r="IJ82" s="105"/>
      <c r="IK82" s="105"/>
      <c r="IL82" s="105"/>
      <c r="IM82" s="105"/>
      <c r="IN82" s="105"/>
      <c r="IO82" s="105"/>
      <c r="IP82" s="105"/>
      <c r="IQ82" s="105"/>
      <c r="IR82" s="105"/>
      <c r="IS82" s="105"/>
    </row>
    <row r="83" spans="1:253">
      <c r="A83" s="116"/>
      <c r="B83" s="105"/>
      <c r="C83" s="116"/>
      <c r="D83" s="116"/>
      <c r="E83" s="116"/>
      <c r="F83" s="116"/>
      <c r="G83" s="116"/>
      <c r="H83" s="116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05"/>
      <c r="CI83" s="105"/>
      <c r="CJ83" s="105"/>
      <c r="CK83" s="105"/>
      <c r="CL83" s="105"/>
      <c r="CM83" s="105"/>
      <c r="CN83" s="105"/>
      <c r="CO83" s="105"/>
      <c r="CP83" s="105"/>
      <c r="CQ83" s="105"/>
      <c r="CR83" s="105"/>
      <c r="CS83" s="105"/>
      <c r="CT83" s="105"/>
      <c r="CU83" s="105"/>
      <c r="CV83" s="105"/>
      <c r="CW83" s="105"/>
      <c r="CX83" s="105"/>
      <c r="CY83" s="105"/>
      <c r="CZ83" s="105"/>
      <c r="DA83" s="105"/>
      <c r="DB83" s="105"/>
      <c r="DC83" s="105"/>
      <c r="DD83" s="105"/>
      <c r="DE83" s="105"/>
      <c r="DF83" s="105"/>
      <c r="DG83" s="105"/>
      <c r="DH83" s="105"/>
      <c r="DI83" s="105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5"/>
      <c r="DV83" s="105"/>
      <c r="DW83" s="105"/>
      <c r="DX83" s="105"/>
      <c r="DY83" s="105"/>
      <c r="DZ83" s="105"/>
      <c r="EA83" s="105"/>
      <c r="EB83" s="105"/>
      <c r="EC83" s="105"/>
      <c r="ED83" s="105"/>
      <c r="EE83" s="105"/>
      <c r="EF83" s="105"/>
      <c r="EG83" s="105"/>
      <c r="EH83" s="105"/>
      <c r="EI83" s="105"/>
      <c r="EJ83" s="105"/>
      <c r="EK83" s="105"/>
      <c r="EL83" s="105"/>
      <c r="EM83" s="105"/>
      <c r="EN83" s="105"/>
      <c r="EO83" s="105"/>
      <c r="EP83" s="105"/>
      <c r="EQ83" s="105"/>
      <c r="ER83" s="105"/>
      <c r="ES83" s="105"/>
      <c r="ET83" s="105"/>
      <c r="EU83" s="105"/>
      <c r="EV83" s="105"/>
      <c r="EW83" s="105"/>
      <c r="EX83" s="105"/>
      <c r="EY83" s="105"/>
      <c r="EZ83" s="105"/>
      <c r="FA83" s="105"/>
      <c r="FB83" s="105"/>
      <c r="FC83" s="105"/>
      <c r="FD83" s="105"/>
      <c r="FE83" s="105"/>
      <c r="FF83" s="105"/>
      <c r="FG83" s="105"/>
      <c r="FH83" s="105"/>
      <c r="FI83" s="105"/>
      <c r="FJ83" s="105"/>
      <c r="FK83" s="105"/>
      <c r="FL83" s="105"/>
      <c r="FM83" s="105"/>
      <c r="FN83" s="105"/>
      <c r="FO83" s="105"/>
      <c r="FP83" s="105"/>
      <c r="FQ83" s="105"/>
      <c r="FR83" s="105"/>
      <c r="FS83" s="105"/>
      <c r="FT83" s="105"/>
      <c r="FU83" s="105"/>
      <c r="FV83" s="105"/>
      <c r="FW83" s="105"/>
      <c r="FX83" s="105"/>
      <c r="FY83" s="105"/>
      <c r="FZ83" s="105"/>
      <c r="GA83" s="105"/>
      <c r="GB83" s="105"/>
      <c r="GC83" s="105"/>
      <c r="GD83" s="105"/>
      <c r="GE83" s="105"/>
      <c r="GF83" s="105"/>
      <c r="GG83" s="105"/>
      <c r="GH83" s="105"/>
      <c r="GI83" s="105"/>
      <c r="GJ83" s="105"/>
      <c r="GK83" s="105"/>
      <c r="GL83" s="105"/>
      <c r="GM83" s="105"/>
      <c r="GN83" s="105"/>
      <c r="GO83" s="105"/>
      <c r="GP83" s="105"/>
      <c r="GQ83" s="105"/>
      <c r="GR83" s="105"/>
      <c r="GS83" s="105"/>
      <c r="GT83" s="105"/>
      <c r="GU83" s="105"/>
      <c r="GV83" s="105"/>
      <c r="GW83" s="105"/>
      <c r="GX83" s="105"/>
      <c r="GY83" s="105"/>
      <c r="GZ83" s="105"/>
      <c r="HA83" s="105"/>
      <c r="HB83" s="105"/>
      <c r="HC83" s="105"/>
      <c r="HD83" s="105"/>
      <c r="HE83" s="105"/>
      <c r="HF83" s="105"/>
      <c r="HG83" s="105"/>
      <c r="HH83" s="105"/>
      <c r="HI83" s="105"/>
      <c r="HJ83" s="105"/>
      <c r="HK83" s="105"/>
      <c r="HL83" s="105"/>
      <c r="HM83" s="105"/>
      <c r="HN83" s="105"/>
      <c r="HO83" s="105"/>
      <c r="HP83" s="105"/>
      <c r="HQ83" s="105"/>
      <c r="HR83" s="105"/>
      <c r="HS83" s="105"/>
      <c r="HT83" s="105"/>
      <c r="HU83" s="105"/>
      <c r="HV83" s="105"/>
      <c r="HW83" s="105"/>
      <c r="HX83" s="105"/>
      <c r="HY83" s="105"/>
      <c r="HZ83" s="105"/>
      <c r="IA83" s="105"/>
      <c r="IB83" s="105"/>
      <c r="IC83" s="105"/>
      <c r="ID83" s="105"/>
      <c r="IE83" s="105"/>
      <c r="IF83" s="105"/>
      <c r="IG83" s="105"/>
      <c r="IH83" s="105"/>
      <c r="II83" s="105"/>
      <c r="IJ83" s="105"/>
      <c r="IK83" s="105"/>
      <c r="IL83" s="105"/>
      <c r="IM83" s="105"/>
      <c r="IN83" s="105"/>
      <c r="IO83" s="105"/>
      <c r="IP83" s="105"/>
      <c r="IQ83" s="105"/>
      <c r="IR83" s="105"/>
      <c r="IS83" s="105"/>
    </row>
    <row r="84" spans="1:253">
      <c r="A84" s="116"/>
      <c r="B84" s="105"/>
      <c r="C84" s="116"/>
      <c r="D84" s="116"/>
      <c r="E84" s="116"/>
      <c r="F84" s="116"/>
      <c r="G84" s="116"/>
      <c r="H84" s="116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05"/>
      <c r="CG84" s="105"/>
      <c r="CH84" s="105"/>
      <c r="CI84" s="105"/>
      <c r="CJ84" s="105"/>
      <c r="CK84" s="105"/>
      <c r="CL84" s="105"/>
      <c r="CM84" s="105"/>
      <c r="CN84" s="105"/>
      <c r="CO84" s="105"/>
      <c r="CP84" s="105"/>
      <c r="CQ84" s="105"/>
      <c r="CR84" s="105"/>
      <c r="CS84" s="105"/>
      <c r="CT84" s="105"/>
      <c r="CU84" s="105"/>
      <c r="CV84" s="105"/>
      <c r="CW84" s="105"/>
      <c r="CX84" s="105"/>
      <c r="CY84" s="105"/>
      <c r="CZ84" s="105"/>
      <c r="DA84" s="105"/>
      <c r="DB84" s="105"/>
      <c r="DC84" s="105"/>
      <c r="DD84" s="105"/>
      <c r="DE84" s="105"/>
      <c r="DF84" s="105"/>
      <c r="DG84" s="105"/>
      <c r="DH84" s="105"/>
      <c r="DI84" s="105"/>
      <c r="DJ84" s="105"/>
      <c r="DK84" s="105"/>
      <c r="DL84" s="105"/>
      <c r="DM84" s="105"/>
      <c r="DN84" s="105"/>
      <c r="DO84" s="105"/>
      <c r="DP84" s="105"/>
      <c r="DQ84" s="105"/>
      <c r="DR84" s="105"/>
      <c r="DS84" s="105"/>
      <c r="DT84" s="105"/>
      <c r="DU84" s="105"/>
      <c r="DV84" s="105"/>
      <c r="DW84" s="105"/>
      <c r="DX84" s="105"/>
      <c r="DY84" s="105"/>
      <c r="DZ84" s="105"/>
      <c r="EA84" s="105"/>
      <c r="EB84" s="105"/>
      <c r="EC84" s="105"/>
      <c r="ED84" s="105"/>
      <c r="EE84" s="105"/>
      <c r="EF84" s="105"/>
      <c r="EG84" s="105"/>
      <c r="EH84" s="105"/>
      <c r="EI84" s="105"/>
      <c r="EJ84" s="105"/>
      <c r="EK84" s="105"/>
      <c r="EL84" s="105"/>
      <c r="EM84" s="105"/>
      <c r="EN84" s="105"/>
      <c r="EO84" s="105"/>
      <c r="EP84" s="105"/>
      <c r="EQ84" s="105"/>
      <c r="ER84" s="105"/>
      <c r="ES84" s="105"/>
      <c r="ET84" s="105"/>
      <c r="EU84" s="105"/>
      <c r="EV84" s="105"/>
      <c r="EW84" s="105"/>
      <c r="EX84" s="105"/>
      <c r="EY84" s="105"/>
      <c r="EZ84" s="105"/>
      <c r="FA84" s="105"/>
      <c r="FB84" s="105"/>
      <c r="FC84" s="105"/>
      <c r="FD84" s="105"/>
      <c r="FE84" s="105"/>
      <c r="FF84" s="105"/>
      <c r="FG84" s="105"/>
      <c r="FH84" s="105"/>
      <c r="FI84" s="105"/>
      <c r="FJ84" s="105"/>
      <c r="FK84" s="105"/>
      <c r="FL84" s="105"/>
      <c r="FM84" s="105"/>
      <c r="FN84" s="105"/>
      <c r="FO84" s="105"/>
      <c r="FP84" s="105"/>
      <c r="FQ84" s="105"/>
      <c r="FR84" s="105"/>
      <c r="FS84" s="105"/>
      <c r="FT84" s="105"/>
      <c r="FU84" s="105"/>
      <c r="FV84" s="105"/>
      <c r="FW84" s="105"/>
      <c r="FX84" s="105"/>
      <c r="FY84" s="105"/>
      <c r="FZ84" s="105"/>
      <c r="GA84" s="105"/>
      <c r="GB84" s="105"/>
      <c r="GC84" s="105"/>
      <c r="GD84" s="105"/>
      <c r="GE84" s="105"/>
      <c r="GF84" s="105"/>
      <c r="GG84" s="105"/>
      <c r="GH84" s="105"/>
      <c r="GI84" s="105"/>
      <c r="GJ84" s="105"/>
      <c r="GK84" s="105"/>
      <c r="GL84" s="105"/>
      <c r="GM84" s="105"/>
      <c r="GN84" s="105"/>
      <c r="GO84" s="105"/>
      <c r="GP84" s="105"/>
      <c r="GQ84" s="105"/>
      <c r="GR84" s="105"/>
      <c r="GS84" s="105"/>
      <c r="GT84" s="105"/>
      <c r="GU84" s="105"/>
      <c r="GV84" s="105"/>
      <c r="GW84" s="105"/>
      <c r="GX84" s="105"/>
      <c r="GY84" s="105"/>
      <c r="GZ84" s="105"/>
      <c r="HA84" s="105"/>
      <c r="HB84" s="105"/>
      <c r="HC84" s="105"/>
      <c r="HD84" s="105"/>
      <c r="HE84" s="105"/>
      <c r="HF84" s="105"/>
      <c r="HG84" s="105"/>
      <c r="HH84" s="105"/>
      <c r="HI84" s="105"/>
      <c r="HJ84" s="105"/>
      <c r="HK84" s="105"/>
      <c r="HL84" s="105"/>
      <c r="HM84" s="105"/>
      <c r="HN84" s="105"/>
      <c r="HO84" s="105"/>
      <c r="HP84" s="105"/>
      <c r="HQ84" s="105"/>
      <c r="HR84" s="105"/>
      <c r="HS84" s="105"/>
      <c r="HT84" s="105"/>
      <c r="HU84" s="105"/>
      <c r="HV84" s="105"/>
      <c r="HW84" s="105"/>
      <c r="HX84" s="105"/>
      <c r="HY84" s="105"/>
      <c r="HZ84" s="105"/>
      <c r="IA84" s="105"/>
      <c r="IB84" s="105"/>
      <c r="IC84" s="105"/>
      <c r="ID84" s="105"/>
      <c r="IE84" s="105"/>
      <c r="IF84" s="105"/>
      <c r="IG84" s="105"/>
      <c r="IH84" s="105"/>
      <c r="II84" s="105"/>
      <c r="IJ84" s="105"/>
      <c r="IK84" s="105"/>
      <c r="IL84" s="105"/>
      <c r="IM84" s="105"/>
      <c r="IN84" s="105"/>
      <c r="IO84" s="105"/>
      <c r="IP84" s="105"/>
      <c r="IQ84" s="105"/>
      <c r="IR84" s="105"/>
      <c r="IS84" s="105"/>
    </row>
    <row r="85" spans="1:253">
      <c r="A85" s="116"/>
      <c r="B85" s="105"/>
      <c r="C85" s="116"/>
      <c r="D85" s="116"/>
      <c r="E85" s="116"/>
      <c r="F85" s="116"/>
      <c r="G85" s="116"/>
      <c r="H85" s="116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05"/>
      <c r="CG85" s="105"/>
      <c r="CH85" s="105"/>
      <c r="CI85" s="105"/>
      <c r="CJ85" s="105"/>
      <c r="CK85" s="105"/>
      <c r="CL85" s="105"/>
      <c r="CM85" s="105"/>
      <c r="CN85" s="105"/>
      <c r="CO85" s="105"/>
      <c r="CP85" s="105"/>
      <c r="CQ85" s="105"/>
      <c r="CR85" s="105"/>
      <c r="CS85" s="105"/>
      <c r="CT85" s="105"/>
      <c r="CU85" s="105"/>
      <c r="CV85" s="105"/>
      <c r="CW85" s="105"/>
      <c r="CX85" s="105"/>
      <c r="CY85" s="105"/>
      <c r="CZ85" s="105"/>
      <c r="DA85" s="105"/>
      <c r="DB85" s="105"/>
      <c r="DC85" s="105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5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5"/>
      <c r="EG85" s="105"/>
      <c r="EH85" s="105"/>
      <c r="EI85" s="105"/>
      <c r="EJ85" s="105"/>
      <c r="EK85" s="105"/>
      <c r="EL85" s="105"/>
      <c r="EM85" s="105"/>
      <c r="EN85" s="105"/>
      <c r="EO85" s="105"/>
      <c r="EP85" s="105"/>
      <c r="EQ85" s="105"/>
      <c r="ER85" s="105"/>
      <c r="ES85" s="105"/>
      <c r="ET85" s="105"/>
      <c r="EU85" s="105"/>
      <c r="EV85" s="105"/>
      <c r="EW85" s="105"/>
      <c r="EX85" s="105"/>
      <c r="EY85" s="105"/>
      <c r="EZ85" s="105"/>
      <c r="FA85" s="105"/>
      <c r="FB85" s="105"/>
      <c r="FC85" s="105"/>
      <c r="FD85" s="105"/>
      <c r="FE85" s="105"/>
      <c r="FF85" s="105"/>
      <c r="FG85" s="105"/>
      <c r="FH85" s="105"/>
      <c r="FI85" s="105"/>
      <c r="FJ85" s="105"/>
      <c r="FK85" s="105"/>
      <c r="FL85" s="105"/>
      <c r="FM85" s="105"/>
      <c r="FN85" s="105"/>
      <c r="FO85" s="105"/>
      <c r="FP85" s="105"/>
      <c r="FQ85" s="105"/>
      <c r="FR85" s="105"/>
      <c r="FS85" s="105"/>
      <c r="FT85" s="105"/>
      <c r="FU85" s="105"/>
      <c r="FV85" s="105"/>
      <c r="FW85" s="105"/>
      <c r="FX85" s="105"/>
      <c r="FY85" s="105"/>
      <c r="FZ85" s="105"/>
      <c r="GA85" s="105"/>
      <c r="GB85" s="105"/>
      <c r="GC85" s="105"/>
      <c r="GD85" s="105"/>
      <c r="GE85" s="105"/>
      <c r="GF85" s="105"/>
      <c r="GG85" s="105"/>
      <c r="GH85" s="105"/>
      <c r="GI85" s="105"/>
      <c r="GJ85" s="105"/>
      <c r="GK85" s="105"/>
      <c r="GL85" s="105"/>
      <c r="GM85" s="105"/>
      <c r="GN85" s="105"/>
      <c r="GO85" s="105"/>
      <c r="GP85" s="105"/>
      <c r="GQ85" s="105"/>
      <c r="GR85" s="105"/>
      <c r="GS85" s="105"/>
      <c r="GT85" s="105"/>
      <c r="GU85" s="105"/>
      <c r="GV85" s="105"/>
      <c r="GW85" s="105"/>
      <c r="GX85" s="105"/>
      <c r="GY85" s="105"/>
      <c r="GZ85" s="105"/>
      <c r="HA85" s="105"/>
      <c r="HB85" s="105"/>
      <c r="HC85" s="105"/>
      <c r="HD85" s="105"/>
      <c r="HE85" s="105"/>
      <c r="HF85" s="105"/>
      <c r="HG85" s="105"/>
      <c r="HH85" s="105"/>
      <c r="HI85" s="105"/>
      <c r="HJ85" s="105"/>
      <c r="HK85" s="105"/>
      <c r="HL85" s="105"/>
      <c r="HM85" s="105"/>
      <c r="HN85" s="105"/>
      <c r="HO85" s="105"/>
      <c r="HP85" s="105"/>
      <c r="HQ85" s="105"/>
      <c r="HR85" s="105"/>
      <c r="HS85" s="105"/>
      <c r="HT85" s="105"/>
      <c r="HU85" s="105"/>
      <c r="HV85" s="105"/>
      <c r="HW85" s="105"/>
      <c r="HX85" s="105"/>
      <c r="HY85" s="105"/>
      <c r="HZ85" s="105"/>
      <c r="IA85" s="105"/>
      <c r="IB85" s="105"/>
      <c r="IC85" s="105"/>
      <c r="ID85" s="105"/>
      <c r="IE85" s="105"/>
      <c r="IF85" s="105"/>
      <c r="IG85" s="105"/>
      <c r="IH85" s="105"/>
      <c r="II85" s="105"/>
      <c r="IJ85" s="105"/>
      <c r="IK85" s="105"/>
      <c r="IL85" s="105"/>
      <c r="IM85" s="105"/>
      <c r="IN85" s="105"/>
      <c r="IO85" s="105"/>
      <c r="IP85" s="105"/>
      <c r="IQ85" s="105"/>
      <c r="IR85" s="105"/>
      <c r="IS85" s="105"/>
    </row>
    <row r="86" spans="1:253">
      <c r="A86" s="116"/>
      <c r="B86" s="105"/>
      <c r="C86" s="116"/>
      <c r="D86" s="116"/>
      <c r="E86" s="116"/>
      <c r="F86" s="116"/>
      <c r="G86" s="116"/>
      <c r="H86" s="116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  <c r="BO86" s="105"/>
      <c r="BP86" s="105"/>
      <c r="BQ86" s="105"/>
      <c r="BR86" s="105"/>
      <c r="BS86" s="105"/>
      <c r="BT86" s="105"/>
      <c r="BU86" s="105"/>
      <c r="BV86" s="105"/>
      <c r="BW86" s="105"/>
      <c r="BX86" s="105"/>
      <c r="BY86" s="105"/>
      <c r="BZ86" s="105"/>
      <c r="CA86" s="105"/>
      <c r="CB86" s="105"/>
      <c r="CC86" s="105"/>
      <c r="CD86" s="105"/>
      <c r="CE86" s="105"/>
      <c r="CF86" s="105"/>
      <c r="CG86" s="105"/>
      <c r="CH86" s="105"/>
      <c r="CI86" s="105"/>
      <c r="CJ86" s="105"/>
      <c r="CK86" s="105"/>
      <c r="CL86" s="105"/>
      <c r="CM86" s="105"/>
      <c r="CN86" s="105"/>
      <c r="CO86" s="105"/>
      <c r="CP86" s="105"/>
      <c r="CQ86" s="105"/>
      <c r="CR86" s="105"/>
      <c r="CS86" s="105"/>
      <c r="CT86" s="105"/>
      <c r="CU86" s="105"/>
      <c r="CV86" s="105"/>
      <c r="CW86" s="105"/>
      <c r="CX86" s="105"/>
      <c r="CY86" s="105"/>
      <c r="CZ86" s="105"/>
      <c r="DA86" s="105"/>
      <c r="DB86" s="105"/>
      <c r="DC86" s="105"/>
      <c r="DD86" s="105"/>
      <c r="DE86" s="105"/>
      <c r="DF86" s="105"/>
      <c r="DG86" s="105"/>
      <c r="DH86" s="105"/>
      <c r="DI86" s="105"/>
      <c r="DJ86" s="105"/>
      <c r="DK86" s="105"/>
      <c r="DL86" s="105"/>
      <c r="DM86" s="105"/>
      <c r="DN86" s="105"/>
      <c r="DO86" s="105"/>
      <c r="DP86" s="105"/>
      <c r="DQ86" s="105"/>
      <c r="DR86" s="105"/>
      <c r="DS86" s="105"/>
      <c r="DT86" s="105"/>
      <c r="DU86" s="105"/>
      <c r="DV86" s="105"/>
      <c r="DW86" s="105"/>
      <c r="DX86" s="105"/>
      <c r="DY86" s="105"/>
      <c r="DZ86" s="105"/>
      <c r="EA86" s="105"/>
      <c r="EB86" s="105"/>
      <c r="EC86" s="105"/>
      <c r="ED86" s="105"/>
      <c r="EE86" s="105"/>
      <c r="EF86" s="105"/>
      <c r="EG86" s="105"/>
      <c r="EH86" s="105"/>
      <c r="EI86" s="105"/>
      <c r="EJ86" s="105"/>
      <c r="EK86" s="105"/>
      <c r="EL86" s="105"/>
      <c r="EM86" s="105"/>
      <c r="EN86" s="105"/>
      <c r="EO86" s="105"/>
      <c r="EP86" s="105"/>
      <c r="EQ86" s="105"/>
      <c r="ER86" s="105"/>
      <c r="ES86" s="105"/>
      <c r="ET86" s="105"/>
      <c r="EU86" s="105"/>
      <c r="EV86" s="105"/>
      <c r="EW86" s="105"/>
      <c r="EX86" s="105"/>
      <c r="EY86" s="105"/>
      <c r="EZ86" s="105"/>
      <c r="FA86" s="105"/>
      <c r="FB86" s="105"/>
      <c r="FC86" s="105"/>
      <c r="FD86" s="105"/>
      <c r="FE86" s="105"/>
      <c r="FF86" s="105"/>
      <c r="FG86" s="105"/>
      <c r="FH86" s="105"/>
      <c r="FI86" s="105"/>
      <c r="FJ86" s="105"/>
      <c r="FK86" s="105"/>
      <c r="FL86" s="105"/>
      <c r="FM86" s="105"/>
      <c r="FN86" s="105"/>
      <c r="FO86" s="105"/>
      <c r="FP86" s="105"/>
      <c r="FQ86" s="105"/>
      <c r="FR86" s="105"/>
      <c r="FS86" s="105"/>
      <c r="FT86" s="105"/>
      <c r="FU86" s="105"/>
      <c r="FV86" s="105"/>
      <c r="FW86" s="105"/>
      <c r="FX86" s="105"/>
      <c r="FY86" s="105"/>
      <c r="FZ86" s="105"/>
      <c r="GA86" s="105"/>
      <c r="GB86" s="105"/>
      <c r="GC86" s="105"/>
      <c r="GD86" s="105"/>
      <c r="GE86" s="105"/>
      <c r="GF86" s="105"/>
      <c r="GG86" s="105"/>
      <c r="GH86" s="105"/>
      <c r="GI86" s="105"/>
      <c r="GJ86" s="105"/>
      <c r="GK86" s="105"/>
      <c r="GL86" s="105"/>
      <c r="GM86" s="105"/>
      <c r="GN86" s="105"/>
      <c r="GO86" s="105"/>
      <c r="GP86" s="105"/>
      <c r="GQ86" s="105"/>
      <c r="GR86" s="105"/>
      <c r="GS86" s="105"/>
      <c r="GT86" s="105"/>
      <c r="GU86" s="105"/>
      <c r="GV86" s="105"/>
      <c r="GW86" s="105"/>
      <c r="GX86" s="105"/>
      <c r="GY86" s="105"/>
      <c r="GZ86" s="105"/>
      <c r="HA86" s="105"/>
      <c r="HB86" s="105"/>
      <c r="HC86" s="105"/>
      <c r="HD86" s="105"/>
      <c r="HE86" s="105"/>
      <c r="HF86" s="105"/>
      <c r="HG86" s="105"/>
      <c r="HH86" s="105"/>
      <c r="HI86" s="105"/>
      <c r="HJ86" s="105"/>
      <c r="HK86" s="105"/>
      <c r="HL86" s="105"/>
      <c r="HM86" s="105"/>
      <c r="HN86" s="105"/>
      <c r="HO86" s="105"/>
      <c r="HP86" s="105"/>
      <c r="HQ86" s="105"/>
      <c r="HR86" s="105"/>
      <c r="HS86" s="105"/>
      <c r="HT86" s="105"/>
      <c r="HU86" s="105"/>
      <c r="HV86" s="105"/>
      <c r="HW86" s="105"/>
      <c r="HX86" s="105"/>
      <c r="HY86" s="105"/>
      <c r="HZ86" s="105"/>
      <c r="IA86" s="105"/>
      <c r="IB86" s="105"/>
      <c r="IC86" s="105"/>
      <c r="ID86" s="105"/>
      <c r="IE86" s="105"/>
      <c r="IF86" s="105"/>
      <c r="IG86" s="105"/>
      <c r="IH86" s="105"/>
      <c r="II86" s="105"/>
      <c r="IJ86" s="105"/>
      <c r="IK86" s="105"/>
      <c r="IL86" s="105"/>
      <c r="IM86" s="105"/>
      <c r="IN86" s="105"/>
      <c r="IO86" s="105"/>
      <c r="IP86" s="105"/>
      <c r="IQ86" s="105"/>
      <c r="IR86" s="105"/>
      <c r="IS86" s="105"/>
    </row>
    <row r="87" spans="1:253">
      <c r="A87" s="116"/>
      <c r="B87" s="105"/>
      <c r="C87" s="116"/>
      <c r="D87" s="116"/>
      <c r="E87" s="116"/>
      <c r="F87" s="116"/>
      <c r="G87" s="116"/>
      <c r="H87" s="116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  <c r="BO87" s="105"/>
      <c r="BP87" s="105"/>
      <c r="BQ87" s="105"/>
      <c r="BR87" s="105"/>
      <c r="BS87" s="105"/>
      <c r="BT87" s="105"/>
      <c r="BU87" s="105"/>
      <c r="BV87" s="105"/>
      <c r="BW87" s="105"/>
      <c r="BX87" s="105"/>
      <c r="BY87" s="105"/>
      <c r="BZ87" s="105"/>
      <c r="CA87" s="105"/>
      <c r="CB87" s="105"/>
      <c r="CC87" s="105"/>
      <c r="CD87" s="105"/>
      <c r="CE87" s="105"/>
      <c r="CF87" s="105"/>
      <c r="CG87" s="105"/>
      <c r="CH87" s="105"/>
      <c r="CI87" s="105"/>
      <c r="CJ87" s="105"/>
      <c r="CK87" s="105"/>
      <c r="CL87" s="105"/>
      <c r="CM87" s="105"/>
      <c r="CN87" s="105"/>
      <c r="CO87" s="105"/>
      <c r="CP87" s="105"/>
      <c r="CQ87" s="105"/>
      <c r="CR87" s="105"/>
      <c r="CS87" s="105"/>
      <c r="CT87" s="105"/>
      <c r="CU87" s="105"/>
      <c r="CV87" s="105"/>
      <c r="CW87" s="105"/>
      <c r="CX87" s="105"/>
      <c r="CY87" s="105"/>
      <c r="CZ87" s="105"/>
      <c r="DA87" s="105"/>
      <c r="DB87" s="105"/>
      <c r="DC87" s="105"/>
      <c r="DD87" s="105"/>
      <c r="DE87" s="105"/>
      <c r="DF87" s="105"/>
      <c r="DG87" s="105"/>
      <c r="DH87" s="105"/>
      <c r="DI87" s="105"/>
      <c r="DJ87" s="105"/>
      <c r="DK87" s="105"/>
      <c r="DL87" s="105"/>
      <c r="DM87" s="105"/>
      <c r="DN87" s="105"/>
      <c r="DO87" s="105"/>
      <c r="DP87" s="105"/>
      <c r="DQ87" s="105"/>
      <c r="DR87" s="105"/>
      <c r="DS87" s="105"/>
      <c r="DT87" s="105"/>
      <c r="DU87" s="105"/>
      <c r="DV87" s="105"/>
      <c r="DW87" s="105"/>
      <c r="DX87" s="105"/>
      <c r="DY87" s="105"/>
      <c r="DZ87" s="105"/>
      <c r="EA87" s="105"/>
      <c r="EB87" s="105"/>
      <c r="EC87" s="105"/>
      <c r="ED87" s="105"/>
      <c r="EE87" s="105"/>
      <c r="EF87" s="105"/>
      <c r="EG87" s="105"/>
      <c r="EH87" s="105"/>
      <c r="EI87" s="105"/>
      <c r="EJ87" s="105"/>
      <c r="EK87" s="105"/>
      <c r="EL87" s="105"/>
      <c r="EM87" s="105"/>
      <c r="EN87" s="105"/>
      <c r="EO87" s="105"/>
      <c r="EP87" s="105"/>
      <c r="EQ87" s="105"/>
      <c r="ER87" s="105"/>
      <c r="ES87" s="105"/>
      <c r="ET87" s="105"/>
      <c r="EU87" s="105"/>
      <c r="EV87" s="105"/>
      <c r="EW87" s="105"/>
      <c r="EX87" s="105"/>
      <c r="EY87" s="105"/>
      <c r="EZ87" s="105"/>
      <c r="FA87" s="105"/>
      <c r="FB87" s="105"/>
      <c r="FC87" s="105"/>
      <c r="FD87" s="105"/>
      <c r="FE87" s="105"/>
      <c r="FF87" s="105"/>
      <c r="FG87" s="105"/>
      <c r="FH87" s="105"/>
      <c r="FI87" s="105"/>
      <c r="FJ87" s="105"/>
      <c r="FK87" s="105"/>
      <c r="FL87" s="105"/>
      <c r="FM87" s="105"/>
      <c r="FN87" s="105"/>
      <c r="FO87" s="105"/>
      <c r="FP87" s="105"/>
      <c r="FQ87" s="105"/>
      <c r="FR87" s="105"/>
      <c r="FS87" s="105"/>
      <c r="FT87" s="105"/>
      <c r="FU87" s="105"/>
      <c r="FV87" s="105"/>
      <c r="FW87" s="105"/>
      <c r="FX87" s="105"/>
      <c r="FY87" s="105"/>
      <c r="FZ87" s="105"/>
      <c r="GA87" s="105"/>
      <c r="GB87" s="105"/>
      <c r="GC87" s="105"/>
      <c r="GD87" s="105"/>
      <c r="GE87" s="105"/>
      <c r="GF87" s="105"/>
      <c r="GG87" s="105"/>
      <c r="GH87" s="105"/>
      <c r="GI87" s="105"/>
      <c r="GJ87" s="105"/>
      <c r="GK87" s="105"/>
      <c r="GL87" s="105"/>
      <c r="GM87" s="105"/>
      <c r="GN87" s="105"/>
      <c r="GO87" s="105"/>
      <c r="GP87" s="105"/>
      <c r="GQ87" s="105"/>
      <c r="GR87" s="105"/>
      <c r="GS87" s="105"/>
      <c r="GT87" s="105"/>
      <c r="GU87" s="105"/>
      <c r="GV87" s="105"/>
      <c r="GW87" s="105"/>
      <c r="GX87" s="105"/>
      <c r="GY87" s="105"/>
      <c r="GZ87" s="105"/>
      <c r="HA87" s="105"/>
      <c r="HB87" s="105"/>
      <c r="HC87" s="105"/>
      <c r="HD87" s="105"/>
      <c r="HE87" s="105"/>
      <c r="HF87" s="105"/>
      <c r="HG87" s="105"/>
      <c r="HH87" s="105"/>
      <c r="HI87" s="105"/>
      <c r="HJ87" s="105"/>
      <c r="HK87" s="105"/>
      <c r="HL87" s="105"/>
      <c r="HM87" s="105"/>
      <c r="HN87" s="105"/>
      <c r="HO87" s="105"/>
      <c r="HP87" s="105"/>
      <c r="HQ87" s="105"/>
      <c r="HR87" s="105"/>
      <c r="HS87" s="105"/>
      <c r="HT87" s="105"/>
      <c r="HU87" s="105"/>
      <c r="HV87" s="105"/>
      <c r="HW87" s="105"/>
      <c r="HX87" s="105"/>
      <c r="HY87" s="105"/>
      <c r="HZ87" s="105"/>
      <c r="IA87" s="105"/>
      <c r="IB87" s="105"/>
      <c r="IC87" s="105"/>
      <c r="ID87" s="105"/>
      <c r="IE87" s="105"/>
      <c r="IF87" s="105"/>
      <c r="IG87" s="105"/>
      <c r="IH87" s="105"/>
      <c r="II87" s="105"/>
      <c r="IJ87" s="105"/>
      <c r="IK87" s="105"/>
      <c r="IL87" s="105"/>
      <c r="IM87" s="105"/>
      <c r="IN87" s="105"/>
      <c r="IO87" s="105"/>
      <c r="IP87" s="105"/>
      <c r="IQ87" s="105"/>
      <c r="IR87" s="105"/>
      <c r="IS87" s="105"/>
    </row>
    <row r="88" spans="1:253">
      <c r="A88" s="116"/>
      <c r="B88" s="105"/>
      <c r="C88" s="116"/>
      <c r="D88" s="116"/>
      <c r="E88" s="116"/>
      <c r="F88" s="116"/>
      <c r="G88" s="116"/>
      <c r="H88" s="116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  <c r="BO88" s="105"/>
      <c r="BP88" s="105"/>
      <c r="BQ88" s="105"/>
      <c r="BR88" s="105"/>
      <c r="BS88" s="105"/>
      <c r="BT88" s="105"/>
      <c r="BU88" s="105"/>
      <c r="BV88" s="105"/>
      <c r="BW88" s="105"/>
      <c r="BX88" s="105"/>
      <c r="BY88" s="105"/>
      <c r="BZ88" s="105"/>
      <c r="CA88" s="105"/>
      <c r="CB88" s="105"/>
      <c r="CC88" s="105"/>
      <c r="CD88" s="105"/>
      <c r="CE88" s="105"/>
      <c r="CF88" s="105"/>
      <c r="CG88" s="105"/>
      <c r="CH88" s="105"/>
      <c r="CI88" s="105"/>
      <c r="CJ88" s="105"/>
      <c r="CK88" s="105"/>
      <c r="CL88" s="105"/>
      <c r="CM88" s="105"/>
      <c r="CN88" s="105"/>
      <c r="CO88" s="105"/>
      <c r="CP88" s="105"/>
      <c r="CQ88" s="105"/>
      <c r="CR88" s="105"/>
      <c r="CS88" s="105"/>
      <c r="CT88" s="105"/>
      <c r="CU88" s="105"/>
      <c r="CV88" s="105"/>
      <c r="CW88" s="105"/>
      <c r="CX88" s="105"/>
      <c r="CY88" s="105"/>
      <c r="CZ88" s="105"/>
      <c r="DA88" s="105"/>
      <c r="DB88" s="105"/>
      <c r="DC88" s="105"/>
      <c r="DD88" s="105"/>
      <c r="DE88" s="105"/>
      <c r="DF88" s="105"/>
      <c r="DG88" s="105"/>
      <c r="DH88" s="105"/>
      <c r="DI88" s="105"/>
      <c r="DJ88" s="105"/>
      <c r="DK88" s="105"/>
      <c r="DL88" s="105"/>
      <c r="DM88" s="105"/>
      <c r="DN88" s="105"/>
      <c r="DO88" s="105"/>
      <c r="DP88" s="105"/>
      <c r="DQ88" s="105"/>
      <c r="DR88" s="105"/>
      <c r="DS88" s="105"/>
      <c r="DT88" s="105"/>
      <c r="DU88" s="105"/>
      <c r="DV88" s="105"/>
      <c r="DW88" s="105"/>
      <c r="DX88" s="105"/>
      <c r="DY88" s="105"/>
      <c r="DZ88" s="105"/>
      <c r="EA88" s="105"/>
      <c r="EB88" s="105"/>
      <c r="EC88" s="105"/>
      <c r="ED88" s="105"/>
      <c r="EE88" s="105"/>
      <c r="EF88" s="105"/>
      <c r="EG88" s="105"/>
      <c r="EH88" s="105"/>
      <c r="EI88" s="105"/>
      <c r="EJ88" s="105"/>
      <c r="EK88" s="105"/>
      <c r="EL88" s="105"/>
      <c r="EM88" s="105"/>
      <c r="EN88" s="105"/>
      <c r="EO88" s="105"/>
      <c r="EP88" s="105"/>
      <c r="EQ88" s="105"/>
      <c r="ER88" s="105"/>
      <c r="ES88" s="105"/>
      <c r="ET88" s="105"/>
      <c r="EU88" s="105"/>
      <c r="EV88" s="105"/>
      <c r="EW88" s="105"/>
      <c r="EX88" s="105"/>
      <c r="EY88" s="105"/>
      <c r="EZ88" s="105"/>
      <c r="FA88" s="105"/>
      <c r="FB88" s="105"/>
      <c r="FC88" s="105"/>
      <c r="FD88" s="105"/>
      <c r="FE88" s="105"/>
      <c r="FF88" s="105"/>
      <c r="FG88" s="105"/>
      <c r="FH88" s="105"/>
      <c r="FI88" s="105"/>
      <c r="FJ88" s="105"/>
      <c r="FK88" s="105"/>
      <c r="FL88" s="105"/>
      <c r="FM88" s="105"/>
      <c r="FN88" s="105"/>
      <c r="FO88" s="105"/>
      <c r="FP88" s="105"/>
      <c r="FQ88" s="105"/>
      <c r="FR88" s="105"/>
      <c r="FS88" s="105"/>
      <c r="FT88" s="105"/>
      <c r="FU88" s="105"/>
      <c r="FV88" s="105"/>
      <c r="FW88" s="105"/>
      <c r="FX88" s="105"/>
      <c r="FY88" s="105"/>
      <c r="FZ88" s="105"/>
      <c r="GA88" s="105"/>
      <c r="GB88" s="105"/>
      <c r="GC88" s="105"/>
      <c r="GD88" s="105"/>
      <c r="GE88" s="105"/>
      <c r="GF88" s="105"/>
      <c r="GG88" s="105"/>
      <c r="GH88" s="105"/>
      <c r="GI88" s="105"/>
      <c r="GJ88" s="105"/>
      <c r="GK88" s="105"/>
      <c r="GL88" s="105"/>
      <c r="GM88" s="105"/>
      <c r="GN88" s="105"/>
      <c r="GO88" s="105"/>
      <c r="GP88" s="105"/>
      <c r="GQ88" s="105"/>
      <c r="GR88" s="105"/>
      <c r="GS88" s="105"/>
      <c r="GT88" s="105"/>
      <c r="GU88" s="105"/>
      <c r="GV88" s="105"/>
      <c r="GW88" s="105"/>
      <c r="GX88" s="105"/>
      <c r="GY88" s="105"/>
      <c r="GZ88" s="105"/>
      <c r="HA88" s="105"/>
      <c r="HB88" s="105"/>
      <c r="HC88" s="105"/>
      <c r="HD88" s="105"/>
      <c r="HE88" s="105"/>
      <c r="HF88" s="105"/>
      <c r="HG88" s="105"/>
      <c r="HH88" s="105"/>
      <c r="HI88" s="105"/>
      <c r="HJ88" s="105"/>
      <c r="HK88" s="105"/>
      <c r="HL88" s="105"/>
      <c r="HM88" s="105"/>
      <c r="HN88" s="105"/>
      <c r="HO88" s="105"/>
      <c r="HP88" s="105"/>
      <c r="HQ88" s="105"/>
      <c r="HR88" s="105"/>
      <c r="HS88" s="105"/>
      <c r="HT88" s="105"/>
      <c r="HU88" s="105"/>
      <c r="HV88" s="105"/>
      <c r="HW88" s="105"/>
      <c r="HX88" s="105"/>
      <c r="HY88" s="105"/>
      <c r="HZ88" s="105"/>
      <c r="IA88" s="105"/>
      <c r="IB88" s="105"/>
      <c r="IC88" s="105"/>
      <c r="ID88" s="105"/>
      <c r="IE88" s="105"/>
      <c r="IF88" s="105"/>
      <c r="IG88" s="105"/>
      <c r="IH88" s="105"/>
      <c r="II88" s="105"/>
      <c r="IJ88" s="105"/>
      <c r="IK88" s="105"/>
      <c r="IL88" s="105"/>
      <c r="IM88" s="105"/>
      <c r="IN88" s="105"/>
      <c r="IO88" s="105"/>
      <c r="IP88" s="105"/>
      <c r="IQ88" s="105"/>
      <c r="IR88" s="105"/>
      <c r="IS88" s="105"/>
    </row>
    <row r="89" spans="1:253">
      <c r="A89" s="116"/>
      <c r="B89" s="105"/>
      <c r="C89" s="116"/>
      <c r="D89" s="116"/>
      <c r="E89" s="116"/>
      <c r="F89" s="116"/>
      <c r="G89" s="116"/>
      <c r="H89" s="116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  <c r="BO89" s="105"/>
      <c r="BP89" s="105"/>
      <c r="BQ89" s="105"/>
      <c r="BR89" s="105"/>
      <c r="BS89" s="105"/>
      <c r="BT89" s="105"/>
      <c r="BU89" s="105"/>
      <c r="BV89" s="105"/>
      <c r="BW89" s="105"/>
      <c r="BX89" s="105"/>
      <c r="BY89" s="105"/>
      <c r="BZ89" s="105"/>
      <c r="CA89" s="105"/>
      <c r="CB89" s="105"/>
      <c r="CC89" s="105"/>
      <c r="CD89" s="105"/>
      <c r="CE89" s="105"/>
      <c r="CF89" s="105"/>
      <c r="CG89" s="105"/>
      <c r="CH89" s="105"/>
      <c r="CI89" s="105"/>
      <c r="CJ89" s="105"/>
      <c r="CK89" s="105"/>
      <c r="CL89" s="105"/>
      <c r="CM89" s="105"/>
      <c r="CN89" s="105"/>
      <c r="CO89" s="105"/>
      <c r="CP89" s="105"/>
      <c r="CQ89" s="105"/>
      <c r="CR89" s="105"/>
      <c r="CS89" s="105"/>
      <c r="CT89" s="105"/>
      <c r="CU89" s="105"/>
      <c r="CV89" s="105"/>
      <c r="CW89" s="105"/>
      <c r="CX89" s="105"/>
      <c r="CY89" s="105"/>
      <c r="CZ89" s="105"/>
      <c r="DA89" s="105"/>
      <c r="DB89" s="105"/>
      <c r="DC89" s="105"/>
      <c r="DD89" s="105"/>
      <c r="DE89" s="105"/>
      <c r="DF89" s="105"/>
      <c r="DG89" s="105"/>
      <c r="DH89" s="105"/>
      <c r="DI89" s="105"/>
      <c r="DJ89" s="105"/>
      <c r="DK89" s="105"/>
      <c r="DL89" s="105"/>
      <c r="DM89" s="105"/>
      <c r="DN89" s="105"/>
      <c r="DO89" s="105"/>
      <c r="DP89" s="105"/>
      <c r="DQ89" s="105"/>
      <c r="DR89" s="105"/>
      <c r="DS89" s="105"/>
      <c r="DT89" s="105"/>
      <c r="DU89" s="105"/>
      <c r="DV89" s="105"/>
      <c r="DW89" s="105"/>
      <c r="DX89" s="105"/>
      <c r="DY89" s="105"/>
      <c r="DZ89" s="105"/>
      <c r="EA89" s="105"/>
      <c r="EB89" s="105"/>
      <c r="EC89" s="105"/>
      <c r="ED89" s="105"/>
      <c r="EE89" s="105"/>
      <c r="EF89" s="105"/>
      <c r="EG89" s="105"/>
      <c r="EH89" s="105"/>
      <c r="EI89" s="105"/>
      <c r="EJ89" s="105"/>
      <c r="EK89" s="105"/>
      <c r="EL89" s="105"/>
      <c r="EM89" s="105"/>
      <c r="EN89" s="105"/>
      <c r="EO89" s="105"/>
      <c r="EP89" s="105"/>
      <c r="EQ89" s="105"/>
      <c r="ER89" s="105"/>
      <c r="ES89" s="105"/>
      <c r="ET89" s="105"/>
      <c r="EU89" s="105"/>
      <c r="EV89" s="105"/>
      <c r="EW89" s="105"/>
      <c r="EX89" s="105"/>
      <c r="EY89" s="105"/>
      <c r="EZ89" s="105"/>
      <c r="FA89" s="105"/>
      <c r="FB89" s="105"/>
      <c r="FC89" s="105"/>
      <c r="FD89" s="105"/>
      <c r="FE89" s="105"/>
      <c r="FF89" s="105"/>
      <c r="FG89" s="105"/>
      <c r="FH89" s="105"/>
      <c r="FI89" s="105"/>
      <c r="FJ89" s="105"/>
      <c r="FK89" s="105"/>
      <c r="FL89" s="105"/>
      <c r="FM89" s="105"/>
      <c r="FN89" s="105"/>
      <c r="FO89" s="105"/>
      <c r="FP89" s="105"/>
      <c r="FQ89" s="105"/>
      <c r="FR89" s="105"/>
      <c r="FS89" s="105"/>
      <c r="FT89" s="105"/>
      <c r="FU89" s="105"/>
      <c r="FV89" s="105"/>
      <c r="FW89" s="105"/>
      <c r="FX89" s="105"/>
      <c r="FY89" s="105"/>
      <c r="FZ89" s="105"/>
      <c r="GA89" s="105"/>
      <c r="GB89" s="105"/>
      <c r="GC89" s="105"/>
      <c r="GD89" s="105"/>
      <c r="GE89" s="105"/>
      <c r="GF89" s="105"/>
      <c r="GG89" s="105"/>
      <c r="GH89" s="105"/>
      <c r="GI89" s="105"/>
      <c r="GJ89" s="105"/>
      <c r="GK89" s="105"/>
      <c r="GL89" s="105"/>
      <c r="GM89" s="105"/>
      <c r="GN89" s="105"/>
      <c r="GO89" s="105"/>
      <c r="GP89" s="105"/>
      <c r="GQ89" s="105"/>
      <c r="GR89" s="105"/>
      <c r="GS89" s="105"/>
      <c r="GT89" s="105"/>
      <c r="GU89" s="105"/>
      <c r="GV89" s="105"/>
      <c r="GW89" s="105"/>
      <c r="GX89" s="105"/>
      <c r="GY89" s="105"/>
      <c r="GZ89" s="105"/>
      <c r="HA89" s="105"/>
      <c r="HB89" s="105"/>
      <c r="HC89" s="105"/>
      <c r="HD89" s="105"/>
      <c r="HE89" s="105"/>
      <c r="HF89" s="105"/>
      <c r="HG89" s="105"/>
      <c r="HH89" s="105"/>
      <c r="HI89" s="105"/>
      <c r="HJ89" s="105"/>
      <c r="HK89" s="105"/>
      <c r="HL89" s="105"/>
      <c r="HM89" s="105"/>
      <c r="HN89" s="105"/>
      <c r="HO89" s="105"/>
      <c r="HP89" s="105"/>
      <c r="HQ89" s="105"/>
      <c r="HR89" s="105"/>
      <c r="HS89" s="105"/>
      <c r="HT89" s="105"/>
      <c r="HU89" s="105"/>
      <c r="HV89" s="105"/>
      <c r="HW89" s="105"/>
      <c r="HX89" s="105"/>
      <c r="HY89" s="105"/>
      <c r="HZ89" s="105"/>
      <c r="IA89" s="105"/>
      <c r="IB89" s="105"/>
      <c r="IC89" s="105"/>
      <c r="ID89" s="105"/>
      <c r="IE89" s="105"/>
      <c r="IF89" s="105"/>
      <c r="IG89" s="105"/>
      <c r="IH89" s="105"/>
      <c r="II89" s="105"/>
      <c r="IJ89" s="105"/>
      <c r="IK89" s="105"/>
      <c r="IL89" s="105"/>
      <c r="IM89" s="105"/>
      <c r="IN89" s="105"/>
      <c r="IO89" s="105"/>
      <c r="IP89" s="105"/>
      <c r="IQ89" s="105"/>
      <c r="IR89" s="105"/>
      <c r="IS89" s="105"/>
    </row>
    <row r="90" spans="1:253">
      <c r="A90" s="116"/>
      <c r="B90" s="105"/>
      <c r="C90" s="116"/>
      <c r="D90" s="116"/>
      <c r="E90" s="116"/>
      <c r="F90" s="116"/>
      <c r="G90" s="116"/>
      <c r="H90" s="116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  <c r="BO90" s="105"/>
      <c r="BP90" s="105"/>
      <c r="BQ90" s="105"/>
      <c r="BR90" s="105"/>
      <c r="BS90" s="105"/>
      <c r="BT90" s="105"/>
      <c r="BU90" s="105"/>
      <c r="BV90" s="105"/>
      <c r="BW90" s="105"/>
      <c r="BX90" s="105"/>
      <c r="BY90" s="105"/>
      <c r="BZ90" s="105"/>
      <c r="CA90" s="105"/>
      <c r="CB90" s="105"/>
      <c r="CC90" s="105"/>
      <c r="CD90" s="105"/>
      <c r="CE90" s="105"/>
      <c r="CF90" s="105"/>
      <c r="CG90" s="105"/>
      <c r="CH90" s="105"/>
      <c r="CI90" s="105"/>
      <c r="CJ90" s="105"/>
      <c r="CK90" s="105"/>
      <c r="CL90" s="105"/>
      <c r="CM90" s="105"/>
      <c r="CN90" s="105"/>
      <c r="CO90" s="105"/>
      <c r="CP90" s="105"/>
      <c r="CQ90" s="105"/>
      <c r="CR90" s="105"/>
      <c r="CS90" s="105"/>
      <c r="CT90" s="105"/>
      <c r="CU90" s="105"/>
      <c r="CV90" s="105"/>
      <c r="CW90" s="105"/>
      <c r="CX90" s="105"/>
      <c r="CY90" s="105"/>
      <c r="CZ90" s="105"/>
      <c r="DA90" s="105"/>
      <c r="DB90" s="105"/>
      <c r="DC90" s="105"/>
      <c r="DD90" s="105"/>
      <c r="DE90" s="105"/>
      <c r="DF90" s="105"/>
      <c r="DG90" s="105"/>
      <c r="DH90" s="105"/>
      <c r="DI90" s="105"/>
      <c r="DJ90" s="105"/>
      <c r="DK90" s="105"/>
      <c r="DL90" s="105"/>
      <c r="DM90" s="105"/>
      <c r="DN90" s="105"/>
      <c r="DO90" s="105"/>
      <c r="DP90" s="105"/>
      <c r="DQ90" s="105"/>
      <c r="DR90" s="105"/>
      <c r="DS90" s="105"/>
      <c r="DT90" s="105"/>
      <c r="DU90" s="105"/>
      <c r="DV90" s="105"/>
      <c r="DW90" s="105"/>
      <c r="DX90" s="105"/>
      <c r="DY90" s="105"/>
      <c r="DZ90" s="105"/>
      <c r="EA90" s="105"/>
      <c r="EB90" s="105"/>
      <c r="EC90" s="105"/>
      <c r="ED90" s="105"/>
      <c r="EE90" s="105"/>
      <c r="EF90" s="105"/>
      <c r="EG90" s="105"/>
      <c r="EH90" s="105"/>
      <c r="EI90" s="105"/>
      <c r="EJ90" s="105"/>
      <c r="EK90" s="105"/>
      <c r="EL90" s="105"/>
      <c r="EM90" s="105"/>
      <c r="EN90" s="105"/>
      <c r="EO90" s="105"/>
      <c r="EP90" s="105"/>
      <c r="EQ90" s="105"/>
      <c r="ER90" s="105"/>
      <c r="ES90" s="105"/>
      <c r="ET90" s="105"/>
      <c r="EU90" s="105"/>
      <c r="EV90" s="105"/>
      <c r="EW90" s="105"/>
      <c r="EX90" s="105"/>
      <c r="EY90" s="105"/>
      <c r="EZ90" s="105"/>
      <c r="FA90" s="105"/>
      <c r="FB90" s="105"/>
      <c r="FC90" s="105"/>
      <c r="FD90" s="105"/>
      <c r="FE90" s="105"/>
      <c r="FF90" s="105"/>
      <c r="FG90" s="105"/>
      <c r="FH90" s="105"/>
      <c r="FI90" s="105"/>
      <c r="FJ90" s="105"/>
      <c r="FK90" s="105"/>
      <c r="FL90" s="105"/>
      <c r="FM90" s="105"/>
      <c r="FN90" s="105"/>
      <c r="FO90" s="105"/>
      <c r="FP90" s="105"/>
      <c r="FQ90" s="105"/>
      <c r="FR90" s="105"/>
      <c r="FS90" s="105"/>
      <c r="FT90" s="105"/>
      <c r="FU90" s="105"/>
      <c r="FV90" s="105"/>
      <c r="FW90" s="105"/>
      <c r="FX90" s="105"/>
      <c r="FY90" s="105"/>
      <c r="FZ90" s="105"/>
      <c r="GA90" s="105"/>
      <c r="GB90" s="105"/>
      <c r="GC90" s="105"/>
      <c r="GD90" s="105"/>
      <c r="GE90" s="105"/>
      <c r="GF90" s="105"/>
      <c r="GG90" s="105"/>
      <c r="GH90" s="105"/>
      <c r="GI90" s="105"/>
      <c r="GJ90" s="105"/>
      <c r="GK90" s="105"/>
      <c r="GL90" s="105"/>
      <c r="GM90" s="105"/>
      <c r="GN90" s="105"/>
      <c r="GO90" s="105"/>
      <c r="GP90" s="105"/>
      <c r="GQ90" s="105"/>
      <c r="GR90" s="105"/>
      <c r="GS90" s="105"/>
      <c r="GT90" s="105"/>
      <c r="GU90" s="105"/>
      <c r="GV90" s="105"/>
      <c r="GW90" s="105"/>
      <c r="GX90" s="105"/>
      <c r="GY90" s="105"/>
      <c r="GZ90" s="105"/>
      <c r="HA90" s="105"/>
      <c r="HB90" s="105"/>
      <c r="HC90" s="105"/>
      <c r="HD90" s="105"/>
      <c r="HE90" s="105"/>
      <c r="HF90" s="105"/>
      <c r="HG90" s="105"/>
      <c r="HH90" s="105"/>
      <c r="HI90" s="105"/>
      <c r="HJ90" s="105"/>
      <c r="HK90" s="105"/>
      <c r="HL90" s="105"/>
      <c r="HM90" s="105"/>
      <c r="HN90" s="105"/>
      <c r="HO90" s="105"/>
      <c r="HP90" s="105"/>
      <c r="HQ90" s="105"/>
      <c r="HR90" s="105"/>
      <c r="HS90" s="105"/>
      <c r="HT90" s="105"/>
      <c r="HU90" s="105"/>
      <c r="HV90" s="105"/>
      <c r="HW90" s="105"/>
      <c r="HX90" s="105"/>
      <c r="HY90" s="105"/>
      <c r="HZ90" s="105"/>
      <c r="IA90" s="105"/>
      <c r="IB90" s="105"/>
      <c r="IC90" s="105"/>
      <c r="ID90" s="105"/>
      <c r="IE90" s="105"/>
      <c r="IF90" s="105"/>
      <c r="IG90" s="105"/>
      <c r="IH90" s="105"/>
      <c r="II90" s="105"/>
      <c r="IJ90" s="105"/>
      <c r="IK90" s="105"/>
      <c r="IL90" s="105"/>
      <c r="IM90" s="105"/>
      <c r="IN90" s="105"/>
      <c r="IO90" s="105"/>
      <c r="IP90" s="105"/>
      <c r="IQ90" s="105"/>
      <c r="IR90" s="105"/>
      <c r="IS90" s="105"/>
    </row>
    <row r="91" spans="1:253">
      <c r="A91" s="116"/>
      <c r="B91" s="105"/>
      <c r="C91" s="116"/>
      <c r="D91" s="116"/>
      <c r="E91" s="116"/>
      <c r="F91" s="116"/>
      <c r="G91" s="116"/>
      <c r="H91" s="116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  <c r="CL91" s="105"/>
      <c r="CM91" s="105"/>
      <c r="CN91" s="105"/>
      <c r="CO91" s="105"/>
      <c r="CP91" s="105"/>
      <c r="CQ91" s="105"/>
      <c r="CR91" s="105"/>
      <c r="CS91" s="105"/>
      <c r="CT91" s="105"/>
      <c r="CU91" s="105"/>
      <c r="CV91" s="105"/>
      <c r="CW91" s="105"/>
      <c r="CX91" s="105"/>
      <c r="CY91" s="105"/>
      <c r="CZ91" s="105"/>
      <c r="DA91" s="105"/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5"/>
      <c r="EG91" s="105"/>
      <c r="EH91" s="105"/>
      <c r="EI91" s="105"/>
      <c r="EJ91" s="105"/>
      <c r="EK91" s="105"/>
      <c r="EL91" s="105"/>
      <c r="EM91" s="105"/>
      <c r="EN91" s="105"/>
      <c r="EO91" s="105"/>
      <c r="EP91" s="105"/>
      <c r="EQ91" s="105"/>
      <c r="ER91" s="105"/>
      <c r="ES91" s="105"/>
      <c r="ET91" s="105"/>
      <c r="EU91" s="105"/>
      <c r="EV91" s="105"/>
      <c r="EW91" s="105"/>
      <c r="EX91" s="105"/>
      <c r="EY91" s="105"/>
      <c r="EZ91" s="105"/>
      <c r="FA91" s="105"/>
      <c r="FB91" s="105"/>
      <c r="FC91" s="105"/>
      <c r="FD91" s="105"/>
      <c r="FE91" s="105"/>
      <c r="FF91" s="105"/>
      <c r="FG91" s="105"/>
      <c r="FH91" s="105"/>
      <c r="FI91" s="105"/>
      <c r="FJ91" s="105"/>
      <c r="FK91" s="105"/>
      <c r="FL91" s="105"/>
      <c r="FM91" s="105"/>
      <c r="FN91" s="105"/>
      <c r="FO91" s="105"/>
      <c r="FP91" s="105"/>
      <c r="FQ91" s="105"/>
      <c r="FR91" s="105"/>
      <c r="FS91" s="105"/>
      <c r="FT91" s="105"/>
      <c r="FU91" s="105"/>
      <c r="FV91" s="105"/>
      <c r="FW91" s="105"/>
      <c r="FX91" s="105"/>
      <c r="FY91" s="105"/>
      <c r="FZ91" s="105"/>
      <c r="GA91" s="105"/>
      <c r="GB91" s="105"/>
      <c r="GC91" s="105"/>
      <c r="GD91" s="105"/>
      <c r="GE91" s="105"/>
      <c r="GF91" s="105"/>
      <c r="GG91" s="105"/>
      <c r="GH91" s="105"/>
      <c r="GI91" s="105"/>
      <c r="GJ91" s="105"/>
      <c r="GK91" s="105"/>
      <c r="GL91" s="105"/>
      <c r="GM91" s="105"/>
      <c r="GN91" s="105"/>
      <c r="GO91" s="105"/>
      <c r="GP91" s="105"/>
      <c r="GQ91" s="105"/>
      <c r="GR91" s="105"/>
      <c r="GS91" s="105"/>
      <c r="GT91" s="105"/>
      <c r="GU91" s="105"/>
      <c r="GV91" s="105"/>
      <c r="GW91" s="105"/>
      <c r="GX91" s="105"/>
      <c r="GY91" s="105"/>
      <c r="GZ91" s="105"/>
      <c r="HA91" s="105"/>
      <c r="HB91" s="105"/>
      <c r="HC91" s="105"/>
      <c r="HD91" s="105"/>
      <c r="HE91" s="105"/>
      <c r="HF91" s="105"/>
      <c r="HG91" s="105"/>
      <c r="HH91" s="105"/>
      <c r="HI91" s="105"/>
      <c r="HJ91" s="105"/>
      <c r="HK91" s="105"/>
      <c r="HL91" s="105"/>
      <c r="HM91" s="105"/>
      <c r="HN91" s="105"/>
      <c r="HO91" s="105"/>
      <c r="HP91" s="105"/>
      <c r="HQ91" s="105"/>
      <c r="HR91" s="105"/>
      <c r="HS91" s="105"/>
      <c r="HT91" s="105"/>
      <c r="HU91" s="105"/>
      <c r="HV91" s="105"/>
      <c r="HW91" s="105"/>
      <c r="HX91" s="105"/>
      <c r="HY91" s="105"/>
      <c r="HZ91" s="105"/>
      <c r="IA91" s="105"/>
      <c r="IB91" s="105"/>
      <c r="IC91" s="105"/>
      <c r="ID91" s="105"/>
      <c r="IE91" s="105"/>
      <c r="IF91" s="105"/>
      <c r="IG91" s="105"/>
      <c r="IH91" s="105"/>
      <c r="II91" s="105"/>
      <c r="IJ91" s="105"/>
      <c r="IK91" s="105"/>
      <c r="IL91" s="105"/>
      <c r="IM91" s="105"/>
      <c r="IN91" s="105"/>
      <c r="IO91" s="105"/>
      <c r="IP91" s="105"/>
      <c r="IQ91" s="105"/>
      <c r="IR91" s="105"/>
      <c r="IS91" s="105"/>
    </row>
    <row r="92" spans="1:253">
      <c r="A92" s="116"/>
      <c r="B92" s="105"/>
      <c r="C92" s="116"/>
      <c r="D92" s="116"/>
      <c r="E92" s="116"/>
      <c r="F92" s="116"/>
      <c r="G92" s="116"/>
      <c r="H92" s="116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  <c r="CU92" s="105"/>
      <c r="CV92" s="105"/>
      <c r="CW92" s="105"/>
      <c r="CX92" s="105"/>
      <c r="CY92" s="105"/>
      <c r="CZ92" s="105"/>
      <c r="DA92" s="105"/>
      <c r="DB92" s="105"/>
      <c r="DC92" s="105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5"/>
      <c r="DV92" s="105"/>
      <c r="DW92" s="105"/>
      <c r="DX92" s="105"/>
      <c r="DY92" s="105"/>
      <c r="DZ92" s="105"/>
      <c r="EA92" s="105"/>
      <c r="EB92" s="105"/>
      <c r="EC92" s="105"/>
      <c r="ED92" s="105"/>
      <c r="EE92" s="105"/>
      <c r="EF92" s="105"/>
      <c r="EG92" s="105"/>
      <c r="EH92" s="105"/>
      <c r="EI92" s="105"/>
      <c r="EJ92" s="105"/>
      <c r="EK92" s="105"/>
      <c r="EL92" s="105"/>
      <c r="EM92" s="105"/>
      <c r="EN92" s="105"/>
      <c r="EO92" s="105"/>
      <c r="EP92" s="105"/>
      <c r="EQ92" s="105"/>
      <c r="ER92" s="105"/>
      <c r="ES92" s="105"/>
      <c r="ET92" s="105"/>
      <c r="EU92" s="105"/>
      <c r="EV92" s="105"/>
      <c r="EW92" s="105"/>
      <c r="EX92" s="105"/>
      <c r="EY92" s="105"/>
      <c r="EZ92" s="105"/>
      <c r="FA92" s="105"/>
      <c r="FB92" s="105"/>
      <c r="FC92" s="105"/>
      <c r="FD92" s="105"/>
      <c r="FE92" s="105"/>
      <c r="FF92" s="105"/>
      <c r="FG92" s="105"/>
      <c r="FH92" s="105"/>
      <c r="FI92" s="105"/>
      <c r="FJ92" s="105"/>
      <c r="FK92" s="105"/>
      <c r="FL92" s="105"/>
      <c r="FM92" s="105"/>
      <c r="FN92" s="105"/>
      <c r="FO92" s="105"/>
      <c r="FP92" s="105"/>
      <c r="FQ92" s="105"/>
      <c r="FR92" s="105"/>
      <c r="FS92" s="105"/>
      <c r="FT92" s="105"/>
      <c r="FU92" s="105"/>
      <c r="FV92" s="105"/>
      <c r="FW92" s="105"/>
      <c r="FX92" s="105"/>
      <c r="FY92" s="105"/>
      <c r="FZ92" s="105"/>
      <c r="GA92" s="105"/>
      <c r="GB92" s="105"/>
      <c r="GC92" s="105"/>
      <c r="GD92" s="105"/>
      <c r="GE92" s="105"/>
      <c r="GF92" s="105"/>
      <c r="GG92" s="105"/>
      <c r="GH92" s="105"/>
      <c r="GI92" s="105"/>
      <c r="GJ92" s="105"/>
      <c r="GK92" s="105"/>
      <c r="GL92" s="105"/>
      <c r="GM92" s="105"/>
      <c r="GN92" s="105"/>
      <c r="GO92" s="105"/>
      <c r="GP92" s="105"/>
      <c r="GQ92" s="105"/>
      <c r="GR92" s="105"/>
      <c r="GS92" s="105"/>
      <c r="GT92" s="105"/>
      <c r="GU92" s="105"/>
      <c r="GV92" s="105"/>
      <c r="GW92" s="105"/>
      <c r="GX92" s="105"/>
      <c r="GY92" s="105"/>
      <c r="GZ92" s="105"/>
      <c r="HA92" s="105"/>
      <c r="HB92" s="105"/>
      <c r="HC92" s="105"/>
      <c r="HD92" s="105"/>
      <c r="HE92" s="105"/>
      <c r="HF92" s="105"/>
      <c r="HG92" s="105"/>
      <c r="HH92" s="105"/>
      <c r="HI92" s="105"/>
      <c r="HJ92" s="105"/>
      <c r="HK92" s="105"/>
      <c r="HL92" s="105"/>
      <c r="HM92" s="105"/>
      <c r="HN92" s="105"/>
      <c r="HO92" s="105"/>
      <c r="HP92" s="105"/>
      <c r="HQ92" s="105"/>
      <c r="HR92" s="105"/>
      <c r="HS92" s="105"/>
      <c r="HT92" s="105"/>
      <c r="HU92" s="105"/>
      <c r="HV92" s="105"/>
      <c r="HW92" s="105"/>
      <c r="HX92" s="105"/>
      <c r="HY92" s="105"/>
      <c r="HZ92" s="105"/>
      <c r="IA92" s="105"/>
      <c r="IB92" s="105"/>
      <c r="IC92" s="105"/>
      <c r="ID92" s="105"/>
      <c r="IE92" s="105"/>
      <c r="IF92" s="105"/>
      <c r="IG92" s="105"/>
      <c r="IH92" s="105"/>
      <c r="II92" s="105"/>
      <c r="IJ92" s="105"/>
      <c r="IK92" s="105"/>
      <c r="IL92" s="105"/>
      <c r="IM92" s="105"/>
      <c r="IN92" s="105"/>
      <c r="IO92" s="105"/>
      <c r="IP92" s="105"/>
      <c r="IQ92" s="105"/>
      <c r="IR92" s="105"/>
      <c r="IS92" s="105"/>
    </row>
    <row r="93" spans="1:253">
      <c r="A93" s="116"/>
      <c r="B93" s="105"/>
      <c r="C93" s="116"/>
      <c r="D93" s="116"/>
      <c r="E93" s="116"/>
      <c r="F93" s="116"/>
      <c r="G93" s="116"/>
      <c r="H93" s="116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  <c r="CU93" s="105"/>
      <c r="CV93" s="105"/>
      <c r="CW93" s="105"/>
      <c r="CX93" s="105"/>
      <c r="CY93" s="105"/>
      <c r="CZ93" s="105"/>
      <c r="DA93" s="105"/>
      <c r="DB93" s="105"/>
      <c r="DC93" s="105"/>
      <c r="DD93" s="105"/>
      <c r="DE93" s="105"/>
      <c r="DF93" s="105"/>
      <c r="DG93" s="105"/>
      <c r="DH93" s="105"/>
      <c r="DI93" s="105"/>
      <c r="DJ93" s="105"/>
      <c r="DK93" s="105"/>
      <c r="DL93" s="105"/>
      <c r="DM93" s="105"/>
      <c r="DN93" s="105"/>
      <c r="DO93" s="105"/>
      <c r="DP93" s="105"/>
      <c r="DQ93" s="105"/>
      <c r="DR93" s="105"/>
      <c r="DS93" s="105"/>
      <c r="DT93" s="105"/>
      <c r="DU93" s="105"/>
      <c r="DV93" s="105"/>
      <c r="DW93" s="105"/>
      <c r="DX93" s="105"/>
      <c r="DY93" s="105"/>
      <c r="DZ93" s="105"/>
      <c r="EA93" s="105"/>
      <c r="EB93" s="105"/>
      <c r="EC93" s="105"/>
      <c r="ED93" s="105"/>
      <c r="EE93" s="105"/>
      <c r="EF93" s="105"/>
      <c r="EG93" s="105"/>
      <c r="EH93" s="105"/>
      <c r="EI93" s="105"/>
      <c r="EJ93" s="105"/>
      <c r="EK93" s="105"/>
      <c r="EL93" s="105"/>
      <c r="EM93" s="105"/>
      <c r="EN93" s="105"/>
      <c r="EO93" s="105"/>
      <c r="EP93" s="105"/>
      <c r="EQ93" s="105"/>
      <c r="ER93" s="105"/>
      <c r="ES93" s="105"/>
      <c r="ET93" s="105"/>
      <c r="EU93" s="105"/>
      <c r="EV93" s="105"/>
      <c r="EW93" s="105"/>
      <c r="EX93" s="105"/>
      <c r="EY93" s="105"/>
      <c r="EZ93" s="105"/>
      <c r="FA93" s="105"/>
      <c r="FB93" s="105"/>
      <c r="FC93" s="105"/>
      <c r="FD93" s="105"/>
      <c r="FE93" s="105"/>
      <c r="FF93" s="105"/>
      <c r="FG93" s="105"/>
      <c r="FH93" s="105"/>
      <c r="FI93" s="105"/>
      <c r="FJ93" s="105"/>
      <c r="FK93" s="105"/>
      <c r="FL93" s="105"/>
      <c r="FM93" s="105"/>
      <c r="FN93" s="105"/>
      <c r="FO93" s="105"/>
      <c r="FP93" s="105"/>
      <c r="FQ93" s="105"/>
      <c r="FR93" s="105"/>
      <c r="FS93" s="105"/>
      <c r="FT93" s="105"/>
      <c r="FU93" s="105"/>
      <c r="FV93" s="105"/>
      <c r="FW93" s="105"/>
      <c r="FX93" s="105"/>
      <c r="FY93" s="105"/>
      <c r="FZ93" s="105"/>
      <c r="GA93" s="105"/>
      <c r="GB93" s="105"/>
      <c r="GC93" s="105"/>
      <c r="GD93" s="105"/>
      <c r="GE93" s="105"/>
      <c r="GF93" s="105"/>
      <c r="GG93" s="105"/>
      <c r="GH93" s="105"/>
      <c r="GI93" s="105"/>
      <c r="GJ93" s="105"/>
      <c r="GK93" s="105"/>
      <c r="GL93" s="105"/>
      <c r="GM93" s="105"/>
      <c r="GN93" s="105"/>
      <c r="GO93" s="105"/>
      <c r="GP93" s="105"/>
      <c r="GQ93" s="105"/>
      <c r="GR93" s="105"/>
      <c r="GS93" s="105"/>
      <c r="GT93" s="105"/>
      <c r="GU93" s="105"/>
      <c r="GV93" s="105"/>
      <c r="GW93" s="105"/>
      <c r="GX93" s="105"/>
      <c r="GY93" s="105"/>
      <c r="GZ93" s="105"/>
      <c r="HA93" s="105"/>
      <c r="HB93" s="105"/>
      <c r="HC93" s="105"/>
      <c r="HD93" s="105"/>
      <c r="HE93" s="105"/>
      <c r="HF93" s="105"/>
      <c r="HG93" s="105"/>
      <c r="HH93" s="105"/>
      <c r="HI93" s="105"/>
      <c r="HJ93" s="105"/>
      <c r="HK93" s="105"/>
      <c r="HL93" s="105"/>
      <c r="HM93" s="105"/>
      <c r="HN93" s="105"/>
      <c r="HO93" s="105"/>
      <c r="HP93" s="105"/>
      <c r="HQ93" s="105"/>
      <c r="HR93" s="105"/>
      <c r="HS93" s="105"/>
      <c r="HT93" s="105"/>
      <c r="HU93" s="105"/>
      <c r="HV93" s="105"/>
      <c r="HW93" s="105"/>
      <c r="HX93" s="105"/>
      <c r="HY93" s="105"/>
      <c r="HZ93" s="105"/>
      <c r="IA93" s="105"/>
      <c r="IB93" s="105"/>
      <c r="IC93" s="105"/>
      <c r="ID93" s="105"/>
      <c r="IE93" s="105"/>
      <c r="IF93" s="105"/>
      <c r="IG93" s="105"/>
      <c r="IH93" s="105"/>
      <c r="II93" s="105"/>
      <c r="IJ93" s="105"/>
      <c r="IK93" s="105"/>
      <c r="IL93" s="105"/>
      <c r="IM93" s="105"/>
      <c r="IN93" s="105"/>
      <c r="IO93" s="105"/>
      <c r="IP93" s="105"/>
      <c r="IQ93" s="105"/>
      <c r="IR93" s="105"/>
      <c r="IS93" s="105"/>
    </row>
    <row r="94" spans="1:253">
      <c r="A94" s="116"/>
      <c r="B94" s="105"/>
      <c r="C94" s="116"/>
      <c r="D94" s="116"/>
      <c r="E94" s="116"/>
      <c r="F94" s="116"/>
      <c r="G94" s="116"/>
      <c r="H94" s="116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  <c r="CU94" s="105"/>
      <c r="CV94" s="105"/>
      <c r="CW94" s="105"/>
      <c r="CX94" s="105"/>
      <c r="CY94" s="105"/>
      <c r="CZ94" s="105"/>
      <c r="DA94" s="105"/>
      <c r="DB94" s="105"/>
      <c r="DC94" s="105"/>
      <c r="DD94" s="105"/>
      <c r="DE94" s="105"/>
      <c r="DF94" s="105"/>
      <c r="DG94" s="105"/>
      <c r="DH94" s="105"/>
      <c r="DI94" s="105"/>
      <c r="DJ94" s="105"/>
      <c r="DK94" s="105"/>
      <c r="DL94" s="105"/>
      <c r="DM94" s="105"/>
      <c r="DN94" s="105"/>
      <c r="DO94" s="105"/>
      <c r="DP94" s="105"/>
      <c r="DQ94" s="105"/>
      <c r="DR94" s="105"/>
      <c r="DS94" s="105"/>
      <c r="DT94" s="105"/>
      <c r="DU94" s="105"/>
      <c r="DV94" s="105"/>
      <c r="DW94" s="105"/>
      <c r="DX94" s="105"/>
      <c r="DY94" s="105"/>
      <c r="DZ94" s="105"/>
      <c r="EA94" s="105"/>
      <c r="EB94" s="105"/>
      <c r="EC94" s="105"/>
      <c r="ED94" s="105"/>
      <c r="EE94" s="105"/>
      <c r="EF94" s="105"/>
      <c r="EG94" s="105"/>
      <c r="EH94" s="105"/>
      <c r="EI94" s="105"/>
      <c r="EJ94" s="105"/>
      <c r="EK94" s="105"/>
      <c r="EL94" s="105"/>
      <c r="EM94" s="105"/>
      <c r="EN94" s="105"/>
      <c r="EO94" s="105"/>
      <c r="EP94" s="105"/>
      <c r="EQ94" s="105"/>
      <c r="ER94" s="105"/>
      <c r="ES94" s="105"/>
      <c r="ET94" s="105"/>
      <c r="EU94" s="105"/>
      <c r="EV94" s="105"/>
      <c r="EW94" s="105"/>
      <c r="EX94" s="105"/>
      <c r="EY94" s="105"/>
      <c r="EZ94" s="105"/>
      <c r="FA94" s="105"/>
      <c r="FB94" s="105"/>
      <c r="FC94" s="105"/>
      <c r="FD94" s="105"/>
      <c r="FE94" s="105"/>
      <c r="FF94" s="105"/>
      <c r="FG94" s="105"/>
      <c r="FH94" s="105"/>
      <c r="FI94" s="105"/>
      <c r="FJ94" s="105"/>
      <c r="FK94" s="105"/>
      <c r="FL94" s="105"/>
      <c r="FM94" s="105"/>
      <c r="FN94" s="105"/>
      <c r="FO94" s="105"/>
      <c r="FP94" s="105"/>
      <c r="FQ94" s="105"/>
      <c r="FR94" s="105"/>
      <c r="FS94" s="105"/>
      <c r="FT94" s="105"/>
      <c r="FU94" s="105"/>
      <c r="FV94" s="105"/>
      <c r="FW94" s="105"/>
      <c r="FX94" s="105"/>
      <c r="FY94" s="105"/>
      <c r="FZ94" s="105"/>
      <c r="GA94" s="105"/>
      <c r="GB94" s="105"/>
      <c r="GC94" s="105"/>
      <c r="GD94" s="105"/>
      <c r="GE94" s="105"/>
      <c r="GF94" s="105"/>
      <c r="GG94" s="105"/>
      <c r="GH94" s="105"/>
      <c r="GI94" s="105"/>
      <c r="GJ94" s="105"/>
      <c r="GK94" s="105"/>
      <c r="GL94" s="105"/>
      <c r="GM94" s="105"/>
      <c r="GN94" s="105"/>
      <c r="GO94" s="105"/>
      <c r="GP94" s="105"/>
      <c r="GQ94" s="105"/>
      <c r="GR94" s="105"/>
      <c r="GS94" s="105"/>
      <c r="GT94" s="105"/>
      <c r="GU94" s="105"/>
      <c r="GV94" s="105"/>
      <c r="GW94" s="105"/>
      <c r="GX94" s="105"/>
      <c r="GY94" s="105"/>
      <c r="GZ94" s="105"/>
      <c r="HA94" s="105"/>
      <c r="HB94" s="105"/>
      <c r="HC94" s="105"/>
      <c r="HD94" s="105"/>
      <c r="HE94" s="105"/>
      <c r="HF94" s="105"/>
      <c r="HG94" s="105"/>
      <c r="HH94" s="105"/>
      <c r="HI94" s="105"/>
      <c r="HJ94" s="105"/>
      <c r="HK94" s="105"/>
      <c r="HL94" s="105"/>
      <c r="HM94" s="105"/>
      <c r="HN94" s="105"/>
      <c r="HO94" s="105"/>
      <c r="HP94" s="105"/>
      <c r="HQ94" s="105"/>
      <c r="HR94" s="105"/>
      <c r="HS94" s="105"/>
      <c r="HT94" s="105"/>
      <c r="HU94" s="105"/>
      <c r="HV94" s="105"/>
      <c r="HW94" s="105"/>
      <c r="HX94" s="105"/>
      <c r="HY94" s="105"/>
      <c r="HZ94" s="105"/>
      <c r="IA94" s="105"/>
      <c r="IB94" s="105"/>
      <c r="IC94" s="105"/>
      <c r="ID94" s="105"/>
      <c r="IE94" s="105"/>
      <c r="IF94" s="105"/>
      <c r="IG94" s="105"/>
      <c r="IH94" s="105"/>
      <c r="II94" s="105"/>
      <c r="IJ94" s="105"/>
      <c r="IK94" s="105"/>
      <c r="IL94" s="105"/>
      <c r="IM94" s="105"/>
      <c r="IN94" s="105"/>
      <c r="IO94" s="105"/>
      <c r="IP94" s="105"/>
      <c r="IQ94" s="105"/>
      <c r="IR94" s="105"/>
      <c r="IS94" s="105"/>
    </row>
    <row r="95" spans="1:253">
      <c r="A95" s="116"/>
      <c r="B95" s="105"/>
      <c r="C95" s="116"/>
      <c r="D95" s="116"/>
      <c r="E95" s="116"/>
      <c r="F95" s="116"/>
      <c r="G95" s="116"/>
      <c r="H95" s="116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05"/>
      <c r="DV95" s="105"/>
      <c r="DW95" s="105"/>
      <c r="DX95" s="105"/>
      <c r="DY95" s="105"/>
      <c r="DZ95" s="105"/>
      <c r="EA95" s="105"/>
      <c r="EB95" s="105"/>
      <c r="EC95" s="105"/>
      <c r="ED95" s="105"/>
      <c r="EE95" s="105"/>
      <c r="EF95" s="105"/>
      <c r="EG95" s="105"/>
      <c r="EH95" s="105"/>
      <c r="EI95" s="105"/>
      <c r="EJ95" s="105"/>
      <c r="EK95" s="105"/>
      <c r="EL95" s="105"/>
      <c r="EM95" s="105"/>
      <c r="EN95" s="105"/>
      <c r="EO95" s="105"/>
      <c r="EP95" s="105"/>
      <c r="EQ95" s="105"/>
      <c r="ER95" s="105"/>
      <c r="ES95" s="105"/>
      <c r="ET95" s="105"/>
      <c r="EU95" s="105"/>
      <c r="EV95" s="105"/>
      <c r="EW95" s="105"/>
      <c r="EX95" s="105"/>
      <c r="EY95" s="105"/>
      <c r="EZ95" s="105"/>
      <c r="FA95" s="105"/>
      <c r="FB95" s="105"/>
      <c r="FC95" s="105"/>
      <c r="FD95" s="105"/>
      <c r="FE95" s="105"/>
      <c r="FF95" s="105"/>
      <c r="FG95" s="105"/>
      <c r="FH95" s="105"/>
      <c r="FI95" s="105"/>
      <c r="FJ95" s="105"/>
      <c r="FK95" s="105"/>
      <c r="FL95" s="105"/>
      <c r="FM95" s="105"/>
      <c r="FN95" s="105"/>
      <c r="FO95" s="105"/>
      <c r="FP95" s="105"/>
      <c r="FQ95" s="105"/>
      <c r="FR95" s="105"/>
      <c r="FS95" s="105"/>
      <c r="FT95" s="105"/>
      <c r="FU95" s="105"/>
      <c r="FV95" s="105"/>
      <c r="FW95" s="105"/>
      <c r="FX95" s="105"/>
      <c r="FY95" s="105"/>
      <c r="FZ95" s="105"/>
      <c r="GA95" s="105"/>
      <c r="GB95" s="105"/>
      <c r="GC95" s="105"/>
      <c r="GD95" s="105"/>
      <c r="GE95" s="105"/>
      <c r="GF95" s="105"/>
      <c r="GG95" s="105"/>
      <c r="GH95" s="105"/>
      <c r="GI95" s="105"/>
      <c r="GJ95" s="105"/>
      <c r="GK95" s="105"/>
      <c r="GL95" s="105"/>
      <c r="GM95" s="105"/>
      <c r="GN95" s="105"/>
      <c r="GO95" s="105"/>
      <c r="GP95" s="105"/>
      <c r="GQ95" s="105"/>
      <c r="GR95" s="105"/>
      <c r="GS95" s="105"/>
      <c r="GT95" s="105"/>
      <c r="GU95" s="105"/>
      <c r="GV95" s="105"/>
      <c r="GW95" s="105"/>
      <c r="GX95" s="105"/>
      <c r="GY95" s="105"/>
      <c r="GZ95" s="105"/>
      <c r="HA95" s="105"/>
      <c r="HB95" s="105"/>
      <c r="HC95" s="105"/>
      <c r="HD95" s="105"/>
      <c r="HE95" s="105"/>
      <c r="HF95" s="105"/>
      <c r="HG95" s="105"/>
      <c r="HH95" s="105"/>
      <c r="HI95" s="105"/>
      <c r="HJ95" s="105"/>
      <c r="HK95" s="105"/>
      <c r="HL95" s="105"/>
      <c r="HM95" s="105"/>
      <c r="HN95" s="105"/>
      <c r="HO95" s="105"/>
      <c r="HP95" s="105"/>
      <c r="HQ95" s="105"/>
      <c r="HR95" s="105"/>
      <c r="HS95" s="105"/>
      <c r="HT95" s="105"/>
      <c r="HU95" s="105"/>
      <c r="HV95" s="105"/>
      <c r="HW95" s="105"/>
      <c r="HX95" s="105"/>
      <c r="HY95" s="105"/>
      <c r="HZ95" s="105"/>
      <c r="IA95" s="105"/>
      <c r="IB95" s="105"/>
      <c r="IC95" s="105"/>
      <c r="ID95" s="105"/>
      <c r="IE95" s="105"/>
      <c r="IF95" s="105"/>
      <c r="IG95" s="105"/>
      <c r="IH95" s="105"/>
      <c r="II95" s="105"/>
      <c r="IJ95" s="105"/>
      <c r="IK95" s="105"/>
      <c r="IL95" s="105"/>
      <c r="IM95" s="105"/>
      <c r="IN95" s="105"/>
      <c r="IO95" s="105"/>
      <c r="IP95" s="105"/>
      <c r="IQ95" s="105"/>
      <c r="IR95" s="105"/>
      <c r="IS95" s="105"/>
    </row>
    <row r="96" spans="1:253">
      <c r="A96" s="116"/>
      <c r="B96" s="105"/>
      <c r="C96" s="116"/>
      <c r="D96" s="116"/>
      <c r="E96" s="116"/>
      <c r="F96" s="116"/>
      <c r="G96" s="116"/>
      <c r="H96" s="116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  <c r="CU96" s="105"/>
      <c r="CV96" s="105"/>
      <c r="CW96" s="105"/>
      <c r="CX96" s="105"/>
      <c r="CY96" s="105"/>
      <c r="CZ96" s="105"/>
      <c r="DA96" s="105"/>
      <c r="DB96" s="105"/>
      <c r="DC96" s="105"/>
      <c r="DD96" s="105"/>
      <c r="DE96" s="105"/>
      <c r="DF96" s="105"/>
      <c r="DG96" s="105"/>
      <c r="DH96" s="105"/>
      <c r="DI96" s="105"/>
      <c r="DJ96" s="105"/>
      <c r="DK96" s="105"/>
      <c r="DL96" s="105"/>
      <c r="DM96" s="105"/>
      <c r="DN96" s="105"/>
      <c r="DO96" s="105"/>
      <c r="DP96" s="105"/>
      <c r="DQ96" s="105"/>
      <c r="DR96" s="105"/>
      <c r="DS96" s="105"/>
      <c r="DT96" s="105"/>
      <c r="DU96" s="105"/>
      <c r="DV96" s="105"/>
      <c r="DW96" s="105"/>
      <c r="DX96" s="105"/>
      <c r="DY96" s="105"/>
      <c r="DZ96" s="105"/>
      <c r="EA96" s="105"/>
      <c r="EB96" s="105"/>
      <c r="EC96" s="105"/>
      <c r="ED96" s="105"/>
      <c r="EE96" s="105"/>
      <c r="EF96" s="105"/>
      <c r="EG96" s="105"/>
      <c r="EH96" s="105"/>
      <c r="EI96" s="105"/>
      <c r="EJ96" s="105"/>
      <c r="EK96" s="105"/>
      <c r="EL96" s="105"/>
      <c r="EM96" s="105"/>
      <c r="EN96" s="105"/>
      <c r="EO96" s="105"/>
      <c r="EP96" s="105"/>
      <c r="EQ96" s="105"/>
      <c r="ER96" s="105"/>
      <c r="ES96" s="105"/>
      <c r="ET96" s="105"/>
      <c r="EU96" s="105"/>
      <c r="EV96" s="105"/>
      <c r="EW96" s="105"/>
      <c r="EX96" s="105"/>
      <c r="EY96" s="105"/>
      <c r="EZ96" s="105"/>
      <c r="FA96" s="105"/>
      <c r="FB96" s="105"/>
      <c r="FC96" s="105"/>
      <c r="FD96" s="105"/>
      <c r="FE96" s="105"/>
      <c r="FF96" s="105"/>
      <c r="FG96" s="105"/>
      <c r="FH96" s="105"/>
      <c r="FI96" s="105"/>
      <c r="FJ96" s="105"/>
      <c r="FK96" s="105"/>
      <c r="FL96" s="105"/>
      <c r="FM96" s="105"/>
      <c r="FN96" s="105"/>
      <c r="FO96" s="105"/>
      <c r="FP96" s="105"/>
      <c r="FQ96" s="105"/>
      <c r="FR96" s="105"/>
      <c r="FS96" s="105"/>
      <c r="FT96" s="105"/>
      <c r="FU96" s="105"/>
      <c r="FV96" s="105"/>
      <c r="FW96" s="105"/>
      <c r="FX96" s="105"/>
      <c r="FY96" s="105"/>
      <c r="FZ96" s="105"/>
      <c r="GA96" s="105"/>
      <c r="GB96" s="105"/>
      <c r="GC96" s="105"/>
      <c r="GD96" s="105"/>
      <c r="GE96" s="105"/>
      <c r="GF96" s="105"/>
      <c r="GG96" s="105"/>
      <c r="GH96" s="105"/>
      <c r="GI96" s="105"/>
      <c r="GJ96" s="105"/>
      <c r="GK96" s="105"/>
      <c r="GL96" s="105"/>
      <c r="GM96" s="105"/>
      <c r="GN96" s="105"/>
      <c r="GO96" s="105"/>
      <c r="GP96" s="105"/>
      <c r="GQ96" s="105"/>
      <c r="GR96" s="105"/>
      <c r="GS96" s="105"/>
      <c r="GT96" s="105"/>
      <c r="GU96" s="105"/>
      <c r="GV96" s="105"/>
      <c r="GW96" s="105"/>
      <c r="GX96" s="105"/>
      <c r="GY96" s="105"/>
      <c r="GZ96" s="105"/>
      <c r="HA96" s="105"/>
      <c r="HB96" s="105"/>
      <c r="HC96" s="105"/>
      <c r="HD96" s="105"/>
      <c r="HE96" s="105"/>
      <c r="HF96" s="105"/>
      <c r="HG96" s="105"/>
      <c r="HH96" s="105"/>
      <c r="HI96" s="105"/>
      <c r="HJ96" s="105"/>
      <c r="HK96" s="105"/>
      <c r="HL96" s="105"/>
      <c r="HM96" s="105"/>
      <c r="HN96" s="105"/>
      <c r="HO96" s="105"/>
      <c r="HP96" s="105"/>
      <c r="HQ96" s="105"/>
      <c r="HR96" s="105"/>
      <c r="HS96" s="105"/>
      <c r="HT96" s="105"/>
      <c r="HU96" s="105"/>
      <c r="HV96" s="105"/>
      <c r="HW96" s="105"/>
      <c r="HX96" s="105"/>
      <c r="HY96" s="105"/>
      <c r="HZ96" s="105"/>
      <c r="IA96" s="105"/>
      <c r="IB96" s="105"/>
      <c r="IC96" s="105"/>
      <c r="ID96" s="105"/>
      <c r="IE96" s="105"/>
      <c r="IF96" s="105"/>
      <c r="IG96" s="105"/>
      <c r="IH96" s="105"/>
      <c r="II96" s="105"/>
      <c r="IJ96" s="105"/>
      <c r="IK96" s="105"/>
      <c r="IL96" s="105"/>
      <c r="IM96" s="105"/>
      <c r="IN96" s="105"/>
      <c r="IO96" s="105"/>
      <c r="IP96" s="105"/>
      <c r="IQ96" s="105"/>
      <c r="IR96" s="105"/>
      <c r="IS96" s="105"/>
    </row>
    <row r="97" spans="1:253">
      <c r="A97" s="116"/>
      <c r="B97" s="105"/>
      <c r="C97" s="116"/>
      <c r="D97" s="116"/>
      <c r="E97" s="116"/>
      <c r="F97" s="116"/>
      <c r="G97" s="116"/>
      <c r="H97" s="116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  <c r="CU97" s="105"/>
      <c r="CV97" s="105"/>
      <c r="CW97" s="105"/>
      <c r="CX97" s="105"/>
      <c r="CY97" s="105"/>
      <c r="CZ97" s="105"/>
      <c r="DA97" s="105"/>
      <c r="DB97" s="105"/>
      <c r="DC97" s="105"/>
      <c r="DD97" s="105"/>
      <c r="DE97" s="105"/>
      <c r="DF97" s="105"/>
      <c r="DG97" s="105"/>
      <c r="DH97" s="105"/>
      <c r="DI97" s="105"/>
      <c r="DJ97" s="105"/>
      <c r="DK97" s="105"/>
      <c r="DL97" s="105"/>
      <c r="DM97" s="105"/>
      <c r="DN97" s="105"/>
      <c r="DO97" s="105"/>
      <c r="DP97" s="105"/>
      <c r="DQ97" s="105"/>
      <c r="DR97" s="105"/>
      <c r="DS97" s="105"/>
      <c r="DT97" s="105"/>
      <c r="DU97" s="105"/>
      <c r="DV97" s="105"/>
      <c r="DW97" s="105"/>
      <c r="DX97" s="105"/>
      <c r="DY97" s="105"/>
      <c r="DZ97" s="105"/>
      <c r="EA97" s="105"/>
      <c r="EB97" s="105"/>
      <c r="EC97" s="105"/>
      <c r="ED97" s="105"/>
      <c r="EE97" s="105"/>
      <c r="EF97" s="105"/>
      <c r="EG97" s="105"/>
      <c r="EH97" s="105"/>
      <c r="EI97" s="105"/>
      <c r="EJ97" s="105"/>
      <c r="EK97" s="105"/>
      <c r="EL97" s="105"/>
      <c r="EM97" s="105"/>
      <c r="EN97" s="105"/>
      <c r="EO97" s="105"/>
      <c r="EP97" s="105"/>
      <c r="EQ97" s="105"/>
      <c r="ER97" s="105"/>
      <c r="ES97" s="105"/>
      <c r="ET97" s="105"/>
      <c r="EU97" s="105"/>
      <c r="EV97" s="105"/>
      <c r="EW97" s="105"/>
      <c r="EX97" s="105"/>
      <c r="EY97" s="105"/>
      <c r="EZ97" s="105"/>
      <c r="FA97" s="105"/>
      <c r="FB97" s="105"/>
      <c r="FC97" s="105"/>
      <c r="FD97" s="105"/>
      <c r="FE97" s="105"/>
      <c r="FF97" s="105"/>
      <c r="FG97" s="105"/>
      <c r="FH97" s="105"/>
      <c r="FI97" s="105"/>
      <c r="FJ97" s="105"/>
      <c r="FK97" s="105"/>
      <c r="FL97" s="105"/>
      <c r="FM97" s="105"/>
      <c r="FN97" s="105"/>
      <c r="FO97" s="105"/>
      <c r="FP97" s="105"/>
      <c r="FQ97" s="105"/>
      <c r="FR97" s="105"/>
      <c r="FS97" s="105"/>
      <c r="FT97" s="105"/>
      <c r="FU97" s="105"/>
      <c r="FV97" s="105"/>
      <c r="FW97" s="105"/>
      <c r="FX97" s="105"/>
      <c r="FY97" s="105"/>
      <c r="FZ97" s="105"/>
      <c r="GA97" s="105"/>
      <c r="GB97" s="105"/>
      <c r="GC97" s="105"/>
      <c r="GD97" s="105"/>
      <c r="GE97" s="105"/>
      <c r="GF97" s="105"/>
      <c r="GG97" s="105"/>
      <c r="GH97" s="105"/>
      <c r="GI97" s="105"/>
      <c r="GJ97" s="105"/>
      <c r="GK97" s="105"/>
      <c r="GL97" s="105"/>
      <c r="GM97" s="105"/>
      <c r="GN97" s="105"/>
      <c r="GO97" s="105"/>
      <c r="GP97" s="105"/>
      <c r="GQ97" s="105"/>
      <c r="GR97" s="105"/>
      <c r="GS97" s="105"/>
      <c r="GT97" s="105"/>
      <c r="GU97" s="105"/>
      <c r="GV97" s="105"/>
      <c r="GW97" s="105"/>
      <c r="GX97" s="105"/>
      <c r="GY97" s="105"/>
      <c r="GZ97" s="105"/>
      <c r="HA97" s="105"/>
      <c r="HB97" s="105"/>
      <c r="HC97" s="105"/>
      <c r="HD97" s="105"/>
      <c r="HE97" s="105"/>
      <c r="HF97" s="105"/>
      <c r="HG97" s="105"/>
      <c r="HH97" s="105"/>
      <c r="HI97" s="105"/>
      <c r="HJ97" s="105"/>
      <c r="HK97" s="105"/>
      <c r="HL97" s="105"/>
      <c r="HM97" s="105"/>
      <c r="HN97" s="105"/>
      <c r="HO97" s="105"/>
      <c r="HP97" s="105"/>
      <c r="HQ97" s="105"/>
      <c r="HR97" s="105"/>
      <c r="HS97" s="105"/>
      <c r="HT97" s="105"/>
      <c r="HU97" s="105"/>
      <c r="HV97" s="105"/>
      <c r="HW97" s="105"/>
      <c r="HX97" s="105"/>
      <c r="HY97" s="105"/>
      <c r="HZ97" s="105"/>
      <c r="IA97" s="105"/>
      <c r="IB97" s="105"/>
      <c r="IC97" s="105"/>
      <c r="ID97" s="105"/>
      <c r="IE97" s="105"/>
      <c r="IF97" s="105"/>
      <c r="IG97" s="105"/>
      <c r="IH97" s="105"/>
      <c r="II97" s="105"/>
      <c r="IJ97" s="105"/>
      <c r="IK97" s="105"/>
      <c r="IL97" s="105"/>
      <c r="IM97" s="105"/>
      <c r="IN97" s="105"/>
      <c r="IO97" s="105"/>
      <c r="IP97" s="105"/>
      <c r="IQ97" s="105"/>
      <c r="IR97" s="105"/>
      <c r="IS97" s="105"/>
    </row>
    <row r="98" spans="1:253">
      <c r="A98" s="116"/>
      <c r="B98" s="105"/>
      <c r="C98" s="116"/>
      <c r="D98" s="116"/>
      <c r="E98" s="116"/>
      <c r="F98" s="116"/>
      <c r="G98" s="116"/>
      <c r="H98" s="116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  <c r="BO98" s="105"/>
      <c r="BP98" s="105"/>
      <c r="BQ98" s="105"/>
      <c r="BR98" s="105"/>
      <c r="BS98" s="105"/>
      <c r="BT98" s="105"/>
      <c r="BU98" s="105"/>
      <c r="BV98" s="105"/>
      <c r="BW98" s="105"/>
      <c r="BX98" s="105"/>
      <c r="BY98" s="105"/>
      <c r="BZ98" s="105"/>
      <c r="CA98" s="105"/>
      <c r="CB98" s="105"/>
      <c r="CC98" s="105"/>
      <c r="CD98" s="105"/>
      <c r="CE98" s="105"/>
      <c r="CF98" s="105"/>
      <c r="CG98" s="105"/>
      <c r="CH98" s="105"/>
      <c r="CI98" s="105"/>
      <c r="CJ98" s="105"/>
      <c r="CK98" s="105"/>
      <c r="CL98" s="105"/>
      <c r="CM98" s="105"/>
      <c r="CN98" s="105"/>
      <c r="CO98" s="105"/>
      <c r="CP98" s="105"/>
      <c r="CQ98" s="105"/>
      <c r="CR98" s="105"/>
      <c r="CS98" s="105"/>
      <c r="CT98" s="105"/>
      <c r="CU98" s="105"/>
      <c r="CV98" s="105"/>
      <c r="CW98" s="105"/>
      <c r="CX98" s="105"/>
      <c r="CY98" s="105"/>
      <c r="CZ98" s="105"/>
      <c r="DA98" s="105"/>
      <c r="DB98" s="105"/>
      <c r="DC98" s="105"/>
      <c r="DD98" s="105"/>
      <c r="DE98" s="105"/>
      <c r="DF98" s="105"/>
      <c r="DG98" s="105"/>
      <c r="DH98" s="105"/>
      <c r="DI98" s="105"/>
      <c r="DJ98" s="105"/>
      <c r="DK98" s="105"/>
      <c r="DL98" s="105"/>
      <c r="DM98" s="105"/>
      <c r="DN98" s="105"/>
      <c r="DO98" s="105"/>
      <c r="DP98" s="105"/>
      <c r="DQ98" s="105"/>
      <c r="DR98" s="105"/>
      <c r="DS98" s="105"/>
      <c r="DT98" s="105"/>
      <c r="DU98" s="105"/>
      <c r="DV98" s="105"/>
      <c r="DW98" s="105"/>
      <c r="DX98" s="105"/>
      <c r="DY98" s="105"/>
      <c r="DZ98" s="105"/>
      <c r="EA98" s="105"/>
      <c r="EB98" s="105"/>
      <c r="EC98" s="105"/>
      <c r="ED98" s="105"/>
      <c r="EE98" s="105"/>
      <c r="EF98" s="105"/>
      <c r="EG98" s="105"/>
      <c r="EH98" s="105"/>
      <c r="EI98" s="105"/>
      <c r="EJ98" s="105"/>
      <c r="EK98" s="105"/>
      <c r="EL98" s="105"/>
      <c r="EM98" s="105"/>
      <c r="EN98" s="105"/>
      <c r="EO98" s="105"/>
      <c r="EP98" s="105"/>
      <c r="EQ98" s="105"/>
      <c r="ER98" s="105"/>
      <c r="ES98" s="105"/>
      <c r="ET98" s="105"/>
      <c r="EU98" s="105"/>
      <c r="EV98" s="105"/>
      <c r="EW98" s="105"/>
      <c r="EX98" s="105"/>
      <c r="EY98" s="105"/>
      <c r="EZ98" s="105"/>
      <c r="FA98" s="105"/>
      <c r="FB98" s="105"/>
      <c r="FC98" s="105"/>
      <c r="FD98" s="105"/>
      <c r="FE98" s="105"/>
      <c r="FF98" s="105"/>
      <c r="FG98" s="105"/>
      <c r="FH98" s="105"/>
      <c r="FI98" s="105"/>
      <c r="FJ98" s="105"/>
      <c r="FK98" s="105"/>
      <c r="FL98" s="105"/>
      <c r="FM98" s="105"/>
      <c r="FN98" s="105"/>
      <c r="FO98" s="105"/>
      <c r="FP98" s="105"/>
      <c r="FQ98" s="105"/>
      <c r="FR98" s="105"/>
      <c r="FS98" s="105"/>
      <c r="FT98" s="105"/>
      <c r="FU98" s="105"/>
      <c r="FV98" s="105"/>
      <c r="FW98" s="105"/>
      <c r="FX98" s="105"/>
      <c r="FY98" s="105"/>
      <c r="FZ98" s="105"/>
      <c r="GA98" s="105"/>
      <c r="GB98" s="105"/>
      <c r="GC98" s="105"/>
      <c r="GD98" s="105"/>
      <c r="GE98" s="105"/>
      <c r="GF98" s="105"/>
      <c r="GG98" s="105"/>
      <c r="GH98" s="105"/>
      <c r="GI98" s="105"/>
      <c r="GJ98" s="105"/>
      <c r="GK98" s="105"/>
      <c r="GL98" s="105"/>
      <c r="GM98" s="105"/>
      <c r="GN98" s="105"/>
      <c r="GO98" s="105"/>
      <c r="GP98" s="105"/>
      <c r="GQ98" s="105"/>
      <c r="GR98" s="105"/>
      <c r="GS98" s="105"/>
      <c r="GT98" s="105"/>
      <c r="GU98" s="105"/>
      <c r="GV98" s="105"/>
      <c r="GW98" s="105"/>
      <c r="GX98" s="105"/>
      <c r="GY98" s="105"/>
      <c r="GZ98" s="105"/>
      <c r="HA98" s="105"/>
      <c r="HB98" s="105"/>
      <c r="HC98" s="105"/>
      <c r="HD98" s="105"/>
      <c r="HE98" s="105"/>
      <c r="HF98" s="105"/>
      <c r="HG98" s="105"/>
      <c r="HH98" s="105"/>
      <c r="HI98" s="105"/>
      <c r="HJ98" s="105"/>
      <c r="HK98" s="105"/>
      <c r="HL98" s="105"/>
      <c r="HM98" s="105"/>
      <c r="HN98" s="105"/>
      <c r="HO98" s="105"/>
      <c r="HP98" s="105"/>
      <c r="HQ98" s="105"/>
      <c r="HR98" s="105"/>
      <c r="HS98" s="105"/>
      <c r="HT98" s="105"/>
      <c r="HU98" s="105"/>
      <c r="HV98" s="105"/>
      <c r="HW98" s="105"/>
      <c r="HX98" s="105"/>
      <c r="HY98" s="105"/>
      <c r="HZ98" s="105"/>
      <c r="IA98" s="105"/>
      <c r="IB98" s="105"/>
      <c r="IC98" s="105"/>
      <c r="ID98" s="105"/>
      <c r="IE98" s="105"/>
      <c r="IF98" s="105"/>
      <c r="IG98" s="105"/>
      <c r="IH98" s="105"/>
      <c r="II98" s="105"/>
      <c r="IJ98" s="105"/>
      <c r="IK98" s="105"/>
      <c r="IL98" s="105"/>
      <c r="IM98" s="105"/>
      <c r="IN98" s="105"/>
      <c r="IO98" s="105"/>
      <c r="IP98" s="105"/>
      <c r="IQ98" s="105"/>
      <c r="IR98" s="105"/>
      <c r="IS98" s="105"/>
    </row>
    <row r="99" spans="1:253">
      <c r="A99" s="116"/>
      <c r="B99" s="105"/>
      <c r="C99" s="116"/>
      <c r="D99" s="116"/>
      <c r="E99" s="116"/>
      <c r="F99" s="116"/>
      <c r="G99" s="116"/>
      <c r="H99" s="116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/>
      <c r="BR99" s="105"/>
      <c r="BS99" s="105"/>
      <c r="BT99" s="105"/>
      <c r="BU99" s="105"/>
      <c r="BV99" s="105"/>
      <c r="BW99" s="105"/>
      <c r="BX99" s="105"/>
      <c r="BY99" s="105"/>
      <c r="BZ99" s="105"/>
      <c r="CA99" s="105"/>
      <c r="CB99" s="105"/>
      <c r="CC99" s="105"/>
      <c r="CD99" s="105"/>
      <c r="CE99" s="105"/>
      <c r="CF99" s="105"/>
      <c r="CG99" s="105"/>
      <c r="CH99" s="105"/>
      <c r="CI99" s="105"/>
      <c r="CJ99" s="105"/>
      <c r="CK99" s="105"/>
      <c r="CL99" s="105"/>
      <c r="CM99" s="105"/>
      <c r="CN99" s="105"/>
      <c r="CO99" s="105"/>
      <c r="CP99" s="105"/>
      <c r="CQ99" s="105"/>
      <c r="CR99" s="105"/>
      <c r="CS99" s="105"/>
      <c r="CT99" s="105"/>
      <c r="CU99" s="105"/>
      <c r="CV99" s="105"/>
      <c r="CW99" s="105"/>
      <c r="CX99" s="105"/>
      <c r="CY99" s="105"/>
      <c r="CZ99" s="105"/>
      <c r="DA99" s="105"/>
      <c r="DB99" s="105"/>
      <c r="DC99" s="105"/>
      <c r="DD99" s="105"/>
      <c r="DE99" s="105"/>
      <c r="DF99" s="105"/>
      <c r="DG99" s="105"/>
      <c r="DH99" s="105"/>
      <c r="DI99" s="105"/>
      <c r="DJ99" s="105"/>
      <c r="DK99" s="105"/>
      <c r="DL99" s="105"/>
      <c r="DM99" s="105"/>
      <c r="DN99" s="105"/>
      <c r="DO99" s="105"/>
      <c r="DP99" s="105"/>
      <c r="DQ99" s="105"/>
      <c r="DR99" s="105"/>
      <c r="DS99" s="105"/>
      <c r="DT99" s="105"/>
      <c r="DU99" s="105"/>
      <c r="DV99" s="105"/>
      <c r="DW99" s="105"/>
      <c r="DX99" s="105"/>
      <c r="DY99" s="105"/>
      <c r="DZ99" s="105"/>
      <c r="EA99" s="105"/>
      <c r="EB99" s="105"/>
      <c r="EC99" s="105"/>
      <c r="ED99" s="105"/>
      <c r="EE99" s="105"/>
      <c r="EF99" s="105"/>
      <c r="EG99" s="105"/>
      <c r="EH99" s="105"/>
      <c r="EI99" s="105"/>
      <c r="EJ99" s="105"/>
      <c r="EK99" s="105"/>
      <c r="EL99" s="105"/>
      <c r="EM99" s="105"/>
      <c r="EN99" s="105"/>
      <c r="EO99" s="105"/>
      <c r="EP99" s="105"/>
      <c r="EQ99" s="105"/>
      <c r="ER99" s="105"/>
      <c r="ES99" s="105"/>
      <c r="ET99" s="105"/>
      <c r="EU99" s="105"/>
      <c r="EV99" s="105"/>
      <c r="EW99" s="105"/>
      <c r="EX99" s="105"/>
      <c r="EY99" s="105"/>
      <c r="EZ99" s="105"/>
      <c r="FA99" s="105"/>
      <c r="FB99" s="105"/>
      <c r="FC99" s="105"/>
      <c r="FD99" s="105"/>
      <c r="FE99" s="105"/>
      <c r="FF99" s="105"/>
      <c r="FG99" s="105"/>
      <c r="FH99" s="105"/>
      <c r="FI99" s="105"/>
      <c r="FJ99" s="105"/>
      <c r="FK99" s="105"/>
      <c r="FL99" s="105"/>
      <c r="FM99" s="105"/>
      <c r="FN99" s="105"/>
      <c r="FO99" s="105"/>
      <c r="FP99" s="105"/>
      <c r="FQ99" s="105"/>
      <c r="FR99" s="105"/>
      <c r="FS99" s="105"/>
      <c r="FT99" s="105"/>
      <c r="FU99" s="105"/>
      <c r="FV99" s="105"/>
      <c r="FW99" s="105"/>
      <c r="FX99" s="105"/>
      <c r="FY99" s="105"/>
      <c r="FZ99" s="105"/>
      <c r="GA99" s="105"/>
      <c r="GB99" s="105"/>
      <c r="GC99" s="105"/>
      <c r="GD99" s="105"/>
      <c r="GE99" s="105"/>
      <c r="GF99" s="105"/>
      <c r="GG99" s="105"/>
      <c r="GH99" s="105"/>
      <c r="GI99" s="105"/>
      <c r="GJ99" s="105"/>
      <c r="GK99" s="105"/>
      <c r="GL99" s="105"/>
      <c r="GM99" s="105"/>
      <c r="GN99" s="105"/>
      <c r="GO99" s="105"/>
      <c r="GP99" s="105"/>
      <c r="GQ99" s="105"/>
      <c r="GR99" s="105"/>
      <c r="GS99" s="105"/>
      <c r="GT99" s="105"/>
      <c r="GU99" s="105"/>
      <c r="GV99" s="105"/>
      <c r="GW99" s="105"/>
      <c r="GX99" s="105"/>
      <c r="GY99" s="105"/>
      <c r="GZ99" s="105"/>
      <c r="HA99" s="105"/>
      <c r="HB99" s="105"/>
      <c r="HC99" s="105"/>
      <c r="HD99" s="105"/>
      <c r="HE99" s="105"/>
      <c r="HF99" s="105"/>
      <c r="HG99" s="105"/>
      <c r="HH99" s="105"/>
      <c r="HI99" s="105"/>
      <c r="HJ99" s="105"/>
      <c r="HK99" s="105"/>
      <c r="HL99" s="105"/>
      <c r="HM99" s="105"/>
      <c r="HN99" s="105"/>
      <c r="HO99" s="105"/>
      <c r="HP99" s="105"/>
      <c r="HQ99" s="105"/>
      <c r="HR99" s="105"/>
      <c r="HS99" s="105"/>
      <c r="HT99" s="105"/>
      <c r="HU99" s="105"/>
      <c r="HV99" s="105"/>
      <c r="HW99" s="105"/>
      <c r="HX99" s="105"/>
      <c r="HY99" s="105"/>
      <c r="HZ99" s="105"/>
      <c r="IA99" s="105"/>
      <c r="IB99" s="105"/>
      <c r="IC99" s="105"/>
      <c r="ID99" s="105"/>
      <c r="IE99" s="105"/>
      <c r="IF99" s="105"/>
      <c r="IG99" s="105"/>
      <c r="IH99" s="105"/>
      <c r="II99" s="105"/>
      <c r="IJ99" s="105"/>
      <c r="IK99" s="105"/>
      <c r="IL99" s="105"/>
      <c r="IM99" s="105"/>
      <c r="IN99" s="105"/>
      <c r="IO99" s="105"/>
      <c r="IP99" s="105"/>
      <c r="IQ99" s="105"/>
      <c r="IR99" s="105"/>
      <c r="IS99" s="105"/>
    </row>
    <row r="100" spans="1:253">
      <c r="A100" s="116"/>
      <c r="B100" s="105"/>
      <c r="C100" s="116"/>
      <c r="D100" s="116"/>
      <c r="E100" s="116"/>
      <c r="F100" s="116"/>
      <c r="G100" s="116"/>
      <c r="H100" s="116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  <c r="CU100" s="105"/>
      <c r="CV100" s="105"/>
      <c r="CW100" s="105"/>
      <c r="CX100" s="105"/>
      <c r="CY100" s="105"/>
      <c r="CZ100" s="105"/>
      <c r="DA100" s="105"/>
      <c r="DB100" s="105"/>
      <c r="DC100" s="105"/>
      <c r="DD100" s="105"/>
      <c r="DE100" s="105"/>
      <c r="DF100" s="105"/>
      <c r="DG100" s="105"/>
      <c r="DH100" s="105"/>
      <c r="DI100" s="105"/>
      <c r="DJ100" s="105"/>
      <c r="DK100" s="105"/>
      <c r="DL100" s="105"/>
      <c r="DM100" s="105"/>
      <c r="DN100" s="105"/>
      <c r="DO100" s="105"/>
      <c r="DP100" s="105"/>
      <c r="DQ100" s="105"/>
      <c r="DR100" s="105"/>
      <c r="DS100" s="105"/>
      <c r="DT100" s="105"/>
      <c r="DU100" s="105"/>
      <c r="DV100" s="105"/>
      <c r="DW100" s="105"/>
      <c r="DX100" s="105"/>
      <c r="DY100" s="105"/>
      <c r="DZ100" s="105"/>
      <c r="EA100" s="105"/>
      <c r="EB100" s="105"/>
      <c r="EC100" s="105"/>
      <c r="ED100" s="105"/>
      <c r="EE100" s="105"/>
      <c r="EF100" s="105"/>
      <c r="EG100" s="105"/>
      <c r="EH100" s="105"/>
      <c r="EI100" s="105"/>
      <c r="EJ100" s="105"/>
      <c r="EK100" s="105"/>
      <c r="EL100" s="105"/>
      <c r="EM100" s="105"/>
      <c r="EN100" s="105"/>
      <c r="EO100" s="105"/>
      <c r="EP100" s="105"/>
      <c r="EQ100" s="105"/>
      <c r="ER100" s="105"/>
      <c r="ES100" s="105"/>
      <c r="ET100" s="105"/>
      <c r="EU100" s="105"/>
      <c r="EV100" s="105"/>
      <c r="EW100" s="105"/>
      <c r="EX100" s="105"/>
      <c r="EY100" s="105"/>
      <c r="EZ100" s="105"/>
      <c r="FA100" s="105"/>
      <c r="FB100" s="105"/>
      <c r="FC100" s="105"/>
      <c r="FD100" s="105"/>
      <c r="FE100" s="105"/>
      <c r="FF100" s="105"/>
      <c r="FG100" s="105"/>
      <c r="FH100" s="105"/>
      <c r="FI100" s="105"/>
      <c r="FJ100" s="105"/>
      <c r="FK100" s="105"/>
      <c r="FL100" s="105"/>
      <c r="FM100" s="105"/>
      <c r="FN100" s="105"/>
      <c r="FO100" s="105"/>
      <c r="FP100" s="105"/>
      <c r="FQ100" s="105"/>
      <c r="FR100" s="105"/>
      <c r="FS100" s="105"/>
      <c r="FT100" s="105"/>
      <c r="FU100" s="105"/>
      <c r="FV100" s="105"/>
      <c r="FW100" s="105"/>
      <c r="FX100" s="105"/>
      <c r="FY100" s="105"/>
      <c r="FZ100" s="105"/>
      <c r="GA100" s="105"/>
      <c r="GB100" s="105"/>
      <c r="GC100" s="105"/>
      <c r="GD100" s="105"/>
      <c r="GE100" s="105"/>
      <c r="GF100" s="105"/>
      <c r="GG100" s="105"/>
      <c r="GH100" s="105"/>
      <c r="GI100" s="105"/>
      <c r="GJ100" s="105"/>
      <c r="GK100" s="105"/>
      <c r="GL100" s="105"/>
      <c r="GM100" s="105"/>
      <c r="GN100" s="105"/>
      <c r="GO100" s="105"/>
      <c r="GP100" s="105"/>
      <c r="GQ100" s="105"/>
      <c r="GR100" s="105"/>
      <c r="GS100" s="105"/>
      <c r="GT100" s="105"/>
      <c r="GU100" s="105"/>
      <c r="GV100" s="105"/>
      <c r="GW100" s="105"/>
      <c r="GX100" s="105"/>
      <c r="GY100" s="105"/>
      <c r="GZ100" s="105"/>
      <c r="HA100" s="105"/>
      <c r="HB100" s="105"/>
      <c r="HC100" s="105"/>
      <c r="HD100" s="105"/>
      <c r="HE100" s="105"/>
      <c r="HF100" s="105"/>
      <c r="HG100" s="105"/>
      <c r="HH100" s="105"/>
      <c r="HI100" s="105"/>
      <c r="HJ100" s="105"/>
      <c r="HK100" s="105"/>
      <c r="HL100" s="105"/>
      <c r="HM100" s="105"/>
      <c r="HN100" s="105"/>
      <c r="HO100" s="105"/>
      <c r="HP100" s="105"/>
      <c r="HQ100" s="105"/>
      <c r="HR100" s="105"/>
      <c r="HS100" s="105"/>
      <c r="HT100" s="105"/>
      <c r="HU100" s="105"/>
      <c r="HV100" s="105"/>
      <c r="HW100" s="105"/>
      <c r="HX100" s="105"/>
      <c r="HY100" s="105"/>
      <c r="HZ100" s="105"/>
      <c r="IA100" s="105"/>
      <c r="IB100" s="105"/>
      <c r="IC100" s="105"/>
      <c r="ID100" s="105"/>
      <c r="IE100" s="105"/>
      <c r="IF100" s="105"/>
      <c r="IG100" s="105"/>
      <c r="IH100" s="105"/>
      <c r="II100" s="105"/>
      <c r="IJ100" s="105"/>
      <c r="IK100" s="105"/>
      <c r="IL100" s="105"/>
      <c r="IM100" s="105"/>
      <c r="IN100" s="105"/>
      <c r="IO100" s="105"/>
      <c r="IP100" s="105"/>
      <c r="IQ100" s="105"/>
      <c r="IR100" s="105"/>
      <c r="IS100" s="105"/>
    </row>
    <row r="101" spans="1:253">
      <c r="A101" s="116"/>
      <c r="B101" s="105"/>
      <c r="C101" s="116"/>
      <c r="D101" s="116"/>
      <c r="E101" s="116"/>
      <c r="F101" s="116"/>
      <c r="G101" s="116"/>
      <c r="H101" s="116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  <c r="CU101" s="105"/>
      <c r="CV101" s="105"/>
      <c r="CW101" s="105"/>
      <c r="CX101" s="105"/>
      <c r="CY101" s="105"/>
      <c r="CZ101" s="105"/>
      <c r="DA101" s="105"/>
      <c r="DB101" s="105"/>
      <c r="DC101" s="105"/>
      <c r="DD101" s="105"/>
      <c r="DE101" s="105"/>
      <c r="DF101" s="105"/>
      <c r="DG101" s="105"/>
      <c r="DH101" s="105"/>
      <c r="DI101" s="105"/>
      <c r="DJ101" s="105"/>
      <c r="DK101" s="105"/>
      <c r="DL101" s="105"/>
      <c r="DM101" s="105"/>
      <c r="DN101" s="105"/>
      <c r="DO101" s="105"/>
      <c r="DP101" s="105"/>
      <c r="DQ101" s="105"/>
      <c r="DR101" s="105"/>
      <c r="DS101" s="105"/>
      <c r="DT101" s="105"/>
      <c r="DU101" s="105"/>
      <c r="DV101" s="105"/>
      <c r="DW101" s="105"/>
      <c r="DX101" s="105"/>
      <c r="DY101" s="105"/>
      <c r="DZ101" s="105"/>
      <c r="EA101" s="105"/>
      <c r="EB101" s="105"/>
      <c r="EC101" s="105"/>
      <c r="ED101" s="105"/>
      <c r="EE101" s="105"/>
      <c r="EF101" s="105"/>
      <c r="EG101" s="105"/>
      <c r="EH101" s="105"/>
      <c r="EI101" s="105"/>
      <c r="EJ101" s="105"/>
      <c r="EK101" s="105"/>
      <c r="EL101" s="105"/>
      <c r="EM101" s="105"/>
      <c r="EN101" s="105"/>
      <c r="EO101" s="105"/>
      <c r="EP101" s="105"/>
      <c r="EQ101" s="105"/>
      <c r="ER101" s="105"/>
      <c r="ES101" s="105"/>
      <c r="ET101" s="105"/>
      <c r="EU101" s="105"/>
      <c r="EV101" s="105"/>
      <c r="EW101" s="105"/>
      <c r="EX101" s="105"/>
      <c r="EY101" s="105"/>
      <c r="EZ101" s="105"/>
      <c r="FA101" s="105"/>
      <c r="FB101" s="105"/>
      <c r="FC101" s="105"/>
      <c r="FD101" s="105"/>
      <c r="FE101" s="105"/>
      <c r="FF101" s="105"/>
      <c r="FG101" s="105"/>
      <c r="FH101" s="105"/>
      <c r="FI101" s="105"/>
      <c r="FJ101" s="105"/>
      <c r="FK101" s="105"/>
      <c r="FL101" s="105"/>
      <c r="FM101" s="105"/>
      <c r="FN101" s="105"/>
      <c r="FO101" s="105"/>
      <c r="FP101" s="105"/>
      <c r="FQ101" s="105"/>
      <c r="FR101" s="105"/>
      <c r="FS101" s="105"/>
      <c r="FT101" s="105"/>
      <c r="FU101" s="105"/>
      <c r="FV101" s="105"/>
      <c r="FW101" s="105"/>
      <c r="FX101" s="105"/>
      <c r="FY101" s="105"/>
      <c r="FZ101" s="105"/>
      <c r="GA101" s="105"/>
      <c r="GB101" s="105"/>
      <c r="GC101" s="105"/>
      <c r="GD101" s="105"/>
      <c r="GE101" s="105"/>
      <c r="GF101" s="105"/>
      <c r="GG101" s="105"/>
      <c r="GH101" s="105"/>
      <c r="GI101" s="105"/>
      <c r="GJ101" s="105"/>
      <c r="GK101" s="105"/>
      <c r="GL101" s="105"/>
      <c r="GM101" s="105"/>
      <c r="GN101" s="105"/>
      <c r="GO101" s="105"/>
      <c r="GP101" s="105"/>
      <c r="GQ101" s="105"/>
      <c r="GR101" s="105"/>
      <c r="GS101" s="105"/>
      <c r="GT101" s="105"/>
      <c r="GU101" s="105"/>
      <c r="GV101" s="105"/>
      <c r="GW101" s="105"/>
      <c r="GX101" s="105"/>
      <c r="GY101" s="105"/>
      <c r="GZ101" s="105"/>
      <c r="HA101" s="105"/>
      <c r="HB101" s="105"/>
      <c r="HC101" s="105"/>
      <c r="HD101" s="105"/>
      <c r="HE101" s="105"/>
      <c r="HF101" s="105"/>
      <c r="HG101" s="105"/>
      <c r="HH101" s="105"/>
      <c r="HI101" s="105"/>
      <c r="HJ101" s="105"/>
      <c r="HK101" s="105"/>
      <c r="HL101" s="105"/>
      <c r="HM101" s="105"/>
      <c r="HN101" s="105"/>
      <c r="HO101" s="105"/>
      <c r="HP101" s="105"/>
      <c r="HQ101" s="105"/>
      <c r="HR101" s="105"/>
      <c r="HS101" s="105"/>
      <c r="HT101" s="105"/>
      <c r="HU101" s="105"/>
      <c r="HV101" s="105"/>
      <c r="HW101" s="105"/>
      <c r="HX101" s="105"/>
      <c r="HY101" s="105"/>
      <c r="HZ101" s="105"/>
      <c r="IA101" s="105"/>
      <c r="IB101" s="105"/>
      <c r="IC101" s="105"/>
      <c r="ID101" s="105"/>
      <c r="IE101" s="105"/>
      <c r="IF101" s="105"/>
      <c r="IG101" s="105"/>
      <c r="IH101" s="105"/>
      <c r="II101" s="105"/>
      <c r="IJ101" s="105"/>
      <c r="IK101" s="105"/>
      <c r="IL101" s="105"/>
      <c r="IM101" s="105"/>
      <c r="IN101" s="105"/>
      <c r="IO101" s="105"/>
      <c r="IP101" s="105"/>
      <c r="IQ101" s="105"/>
      <c r="IR101" s="105"/>
      <c r="IS101" s="105"/>
    </row>
    <row r="102" spans="1:253">
      <c r="A102" s="116"/>
      <c r="B102" s="105"/>
      <c r="C102" s="116"/>
      <c r="D102" s="116"/>
      <c r="E102" s="116"/>
      <c r="F102" s="116"/>
      <c r="G102" s="116"/>
      <c r="H102" s="116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  <c r="CU102" s="105"/>
      <c r="CV102" s="105"/>
      <c r="CW102" s="105"/>
      <c r="CX102" s="105"/>
      <c r="CY102" s="105"/>
      <c r="CZ102" s="105"/>
      <c r="DA102" s="105"/>
      <c r="DB102" s="105"/>
      <c r="DC102" s="105"/>
      <c r="DD102" s="105"/>
      <c r="DE102" s="105"/>
      <c r="DF102" s="105"/>
      <c r="DG102" s="105"/>
      <c r="DH102" s="105"/>
      <c r="DI102" s="105"/>
      <c r="DJ102" s="105"/>
      <c r="DK102" s="105"/>
      <c r="DL102" s="105"/>
      <c r="DM102" s="105"/>
      <c r="DN102" s="105"/>
      <c r="DO102" s="105"/>
      <c r="DP102" s="105"/>
      <c r="DQ102" s="105"/>
      <c r="DR102" s="105"/>
      <c r="DS102" s="105"/>
      <c r="DT102" s="105"/>
      <c r="DU102" s="105"/>
      <c r="DV102" s="105"/>
      <c r="DW102" s="105"/>
      <c r="DX102" s="105"/>
      <c r="DY102" s="105"/>
      <c r="DZ102" s="105"/>
      <c r="EA102" s="105"/>
      <c r="EB102" s="105"/>
      <c r="EC102" s="105"/>
      <c r="ED102" s="105"/>
      <c r="EE102" s="105"/>
      <c r="EF102" s="105"/>
      <c r="EG102" s="105"/>
      <c r="EH102" s="105"/>
      <c r="EI102" s="105"/>
      <c r="EJ102" s="105"/>
      <c r="EK102" s="105"/>
      <c r="EL102" s="105"/>
      <c r="EM102" s="105"/>
      <c r="EN102" s="105"/>
      <c r="EO102" s="105"/>
      <c r="EP102" s="105"/>
      <c r="EQ102" s="105"/>
      <c r="ER102" s="105"/>
      <c r="ES102" s="105"/>
      <c r="ET102" s="105"/>
      <c r="EU102" s="105"/>
      <c r="EV102" s="105"/>
      <c r="EW102" s="105"/>
      <c r="EX102" s="105"/>
      <c r="EY102" s="105"/>
      <c r="EZ102" s="105"/>
      <c r="FA102" s="105"/>
      <c r="FB102" s="105"/>
      <c r="FC102" s="105"/>
      <c r="FD102" s="105"/>
      <c r="FE102" s="105"/>
      <c r="FF102" s="105"/>
      <c r="FG102" s="105"/>
      <c r="FH102" s="105"/>
      <c r="FI102" s="105"/>
      <c r="FJ102" s="105"/>
      <c r="FK102" s="105"/>
      <c r="FL102" s="105"/>
      <c r="FM102" s="105"/>
      <c r="FN102" s="105"/>
      <c r="FO102" s="105"/>
      <c r="FP102" s="105"/>
      <c r="FQ102" s="105"/>
      <c r="FR102" s="105"/>
      <c r="FS102" s="105"/>
      <c r="FT102" s="105"/>
      <c r="FU102" s="105"/>
      <c r="FV102" s="105"/>
      <c r="FW102" s="105"/>
      <c r="FX102" s="105"/>
      <c r="FY102" s="105"/>
      <c r="FZ102" s="105"/>
      <c r="GA102" s="105"/>
      <c r="GB102" s="105"/>
      <c r="GC102" s="105"/>
      <c r="GD102" s="105"/>
      <c r="GE102" s="105"/>
      <c r="GF102" s="105"/>
      <c r="GG102" s="105"/>
      <c r="GH102" s="105"/>
      <c r="GI102" s="105"/>
      <c r="GJ102" s="105"/>
      <c r="GK102" s="105"/>
      <c r="GL102" s="105"/>
      <c r="GM102" s="105"/>
      <c r="GN102" s="105"/>
      <c r="GO102" s="105"/>
      <c r="GP102" s="105"/>
      <c r="GQ102" s="105"/>
      <c r="GR102" s="105"/>
      <c r="GS102" s="105"/>
      <c r="GT102" s="105"/>
      <c r="GU102" s="105"/>
      <c r="GV102" s="105"/>
      <c r="GW102" s="105"/>
      <c r="GX102" s="105"/>
      <c r="GY102" s="105"/>
      <c r="GZ102" s="105"/>
      <c r="HA102" s="105"/>
      <c r="HB102" s="105"/>
      <c r="HC102" s="105"/>
      <c r="HD102" s="105"/>
      <c r="HE102" s="105"/>
      <c r="HF102" s="105"/>
      <c r="HG102" s="105"/>
      <c r="HH102" s="105"/>
      <c r="HI102" s="105"/>
      <c r="HJ102" s="105"/>
      <c r="HK102" s="105"/>
      <c r="HL102" s="105"/>
      <c r="HM102" s="105"/>
      <c r="HN102" s="105"/>
      <c r="HO102" s="105"/>
      <c r="HP102" s="105"/>
      <c r="HQ102" s="105"/>
      <c r="HR102" s="105"/>
      <c r="HS102" s="105"/>
      <c r="HT102" s="105"/>
      <c r="HU102" s="105"/>
      <c r="HV102" s="105"/>
      <c r="HW102" s="105"/>
      <c r="HX102" s="105"/>
      <c r="HY102" s="105"/>
      <c r="HZ102" s="105"/>
      <c r="IA102" s="105"/>
      <c r="IB102" s="105"/>
      <c r="IC102" s="105"/>
      <c r="ID102" s="105"/>
      <c r="IE102" s="105"/>
      <c r="IF102" s="105"/>
      <c r="IG102" s="105"/>
      <c r="IH102" s="105"/>
      <c r="II102" s="105"/>
      <c r="IJ102" s="105"/>
      <c r="IK102" s="105"/>
      <c r="IL102" s="105"/>
      <c r="IM102" s="105"/>
      <c r="IN102" s="105"/>
      <c r="IO102" s="105"/>
      <c r="IP102" s="105"/>
      <c r="IQ102" s="105"/>
      <c r="IR102" s="105"/>
      <c r="IS102" s="105"/>
    </row>
    <row r="103" spans="1:253">
      <c r="A103" s="116"/>
      <c r="B103" s="105"/>
      <c r="C103" s="116"/>
      <c r="D103" s="116"/>
      <c r="E103" s="116"/>
      <c r="F103" s="116"/>
      <c r="G103" s="116"/>
      <c r="H103" s="116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  <c r="CU103" s="105"/>
      <c r="CV103" s="105"/>
      <c r="CW103" s="105"/>
      <c r="CX103" s="105"/>
      <c r="CY103" s="105"/>
      <c r="CZ103" s="105"/>
      <c r="DA103" s="105"/>
      <c r="DB103" s="105"/>
      <c r="DC103" s="105"/>
      <c r="DD103" s="105"/>
      <c r="DE103" s="105"/>
      <c r="DF103" s="105"/>
      <c r="DG103" s="105"/>
      <c r="DH103" s="105"/>
      <c r="DI103" s="105"/>
      <c r="DJ103" s="105"/>
      <c r="DK103" s="105"/>
      <c r="DL103" s="105"/>
      <c r="DM103" s="105"/>
      <c r="DN103" s="105"/>
      <c r="DO103" s="105"/>
      <c r="DP103" s="105"/>
      <c r="DQ103" s="105"/>
      <c r="DR103" s="105"/>
      <c r="DS103" s="105"/>
      <c r="DT103" s="105"/>
      <c r="DU103" s="105"/>
      <c r="DV103" s="105"/>
      <c r="DW103" s="105"/>
      <c r="DX103" s="105"/>
      <c r="DY103" s="105"/>
      <c r="DZ103" s="105"/>
      <c r="EA103" s="105"/>
      <c r="EB103" s="105"/>
      <c r="EC103" s="105"/>
      <c r="ED103" s="105"/>
      <c r="EE103" s="105"/>
      <c r="EF103" s="105"/>
      <c r="EG103" s="105"/>
      <c r="EH103" s="105"/>
      <c r="EI103" s="105"/>
      <c r="EJ103" s="105"/>
      <c r="EK103" s="105"/>
      <c r="EL103" s="105"/>
      <c r="EM103" s="105"/>
      <c r="EN103" s="105"/>
      <c r="EO103" s="105"/>
      <c r="EP103" s="105"/>
      <c r="EQ103" s="105"/>
      <c r="ER103" s="105"/>
      <c r="ES103" s="105"/>
      <c r="ET103" s="105"/>
      <c r="EU103" s="105"/>
      <c r="EV103" s="105"/>
      <c r="EW103" s="105"/>
      <c r="EX103" s="105"/>
      <c r="EY103" s="105"/>
      <c r="EZ103" s="105"/>
      <c r="FA103" s="105"/>
      <c r="FB103" s="105"/>
      <c r="FC103" s="105"/>
      <c r="FD103" s="105"/>
      <c r="FE103" s="105"/>
      <c r="FF103" s="105"/>
      <c r="FG103" s="105"/>
      <c r="FH103" s="105"/>
      <c r="FI103" s="105"/>
      <c r="FJ103" s="105"/>
      <c r="FK103" s="105"/>
      <c r="FL103" s="105"/>
      <c r="FM103" s="105"/>
      <c r="FN103" s="105"/>
      <c r="FO103" s="105"/>
      <c r="FP103" s="105"/>
      <c r="FQ103" s="105"/>
      <c r="FR103" s="105"/>
      <c r="FS103" s="105"/>
      <c r="FT103" s="105"/>
      <c r="FU103" s="105"/>
      <c r="FV103" s="105"/>
      <c r="FW103" s="105"/>
      <c r="FX103" s="105"/>
      <c r="FY103" s="105"/>
      <c r="FZ103" s="105"/>
      <c r="GA103" s="105"/>
      <c r="GB103" s="105"/>
      <c r="GC103" s="105"/>
      <c r="GD103" s="105"/>
      <c r="GE103" s="105"/>
      <c r="GF103" s="105"/>
      <c r="GG103" s="105"/>
      <c r="GH103" s="105"/>
      <c r="GI103" s="105"/>
      <c r="GJ103" s="105"/>
      <c r="GK103" s="105"/>
      <c r="GL103" s="105"/>
      <c r="GM103" s="105"/>
      <c r="GN103" s="105"/>
      <c r="GO103" s="105"/>
      <c r="GP103" s="105"/>
      <c r="GQ103" s="105"/>
      <c r="GR103" s="105"/>
      <c r="GS103" s="105"/>
      <c r="GT103" s="105"/>
      <c r="GU103" s="105"/>
      <c r="GV103" s="105"/>
      <c r="GW103" s="105"/>
      <c r="GX103" s="105"/>
      <c r="GY103" s="105"/>
      <c r="GZ103" s="105"/>
      <c r="HA103" s="105"/>
      <c r="HB103" s="105"/>
      <c r="HC103" s="105"/>
      <c r="HD103" s="105"/>
      <c r="HE103" s="105"/>
      <c r="HF103" s="105"/>
      <c r="HG103" s="105"/>
      <c r="HH103" s="105"/>
      <c r="HI103" s="105"/>
      <c r="HJ103" s="105"/>
      <c r="HK103" s="105"/>
      <c r="HL103" s="105"/>
      <c r="HM103" s="105"/>
      <c r="HN103" s="105"/>
      <c r="HO103" s="105"/>
      <c r="HP103" s="105"/>
      <c r="HQ103" s="105"/>
      <c r="HR103" s="105"/>
      <c r="HS103" s="105"/>
      <c r="HT103" s="105"/>
      <c r="HU103" s="105"/>
      <c r="HV103" s="105"/>
      <c r="HW103" s="105"/>
      <c r="HX103" s="105"/>
      <c r="HY103" s="105"/>
      <c r="HZ103" s="105"/>
      <c r="IA103" s="105"/>
      <c r="IB103" s="105"/>
      <c r="IC103" s="105"/>
      <c r="ID103" s="105"/>
      <c r="IE103" s="105"/>
      <c r="IF103" s="105"/>
      <c r="IG103" s="105"/>
      <c r="IH103" s="105"/>
      <c r="II103" s="105"/>
      <c r="IJ103" s="105"/>
      <c r="IK103" s="105"/>
      <c r="IL103" s="105"/>
      <c r="IM103" s="105"/>
      <c r="IN103" s="105"/>
      <c r="IO103" s="105"/>
      <c r="IP103" s="105"/>
      <c r="IQ103" s="105"/>
      <c r="IR103" s="105"/>
      <c r="IS103" s="105"/>
    </row>
    <row r="104" spans="1:253">
      <c r="A104" s="116"/>
      <c r="B104" s="105"/>
      <c r="C104" s="116"/>
      <c r="D104" s="116"/>
      <c r="E104" s="116"/>
      <c r="F104" s="116"/>
      <c r="G104" s="116"/>
      <c r="H104" s="116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  <c r="CU104" s="105"/>
      <c r="CV104" s="105"/>
      <c r="CW104" s="105"/>
      <c r="CX104" s="105"/>
      <c r="CY104" s="105"/>
      <c r="CZ104" s="105"/>
      <c r="DA104" s="105"/>
      <c r="DB104" s="105"/>
      <c r="DC104" s="105"/>
      <c r="DD104" s="105"/>
      <c r="DE104" s="105"/>
      <c r="DF104" s="105"/>
      <c r="DG104" s="105"/>
      <c r="DH104" s="105"/>
      <c r="DI104" s="105"/>
      <c r="DJ104" s="105"/>
      <c r="DK104" s="105"/>
      <c r="DL104" s="105"/>
      <c r="DM104" s="105"/>
      <c r="DN104" s="105"/>
      <c r="DO104" s="105"/>
      <c r="DP104" s="105"/>
      <c r="DQ104" s="105"/>
      <c r="DR104" s="105"/>
      <c r="DS104" s="105"/>
      <c r="DT104" s="105"/>
      <c r="DU104" s="105"/>
      <c r="DV104" s="105"/>
      <c r="DW104" s="105"/>
      <c r="DX104" s="105"/>
      <c r="DY104" s="105"/>
      <c r="DZ104" s="105"/>
      <c r="EA104" s="105"/>
      <c r="EB104" s="105"/>
      <c r="EC104" s="105"/>
      <c r="ED104" s="105"/>
      <c r="EE104" s="105"/>
      <c r="EF104" s="105"/>
      <c r="EG104" s="105"/>
      <c r="EH104" s="105"/>
      <c r="EI104" s="105"/>
      <c r="EJ104" s="105"/>
      <c r="EK104" s="105"/>
      <c r="EL104" s="105"/>
      <c r="EM104" s="105"/>
      <c r="EN104" s="105"/>
      <c r="EO104" s="105"/>
      <c r="EP104" s="105"/>
      <c r="EQ104" s="105"/>
      <c r="ER104" s="105"/>
      <c r="ES104" s="105"/>
      <c r="ET104" s="105"/>
      <c r="EU104" s="105"/>
      <c r="EV104" s="105"/>
      <c r="EW104" s="105"/>
      <c r="EX104" s="105"/>
      <c r="EY104" s="105"/>
      <c r="EZ104" s="105"/>
      <c r="FA104" s="105"/>
      <c r="FB104" s="105"/>
      <c r="FC104" s="105"/>
      <c r="FD104" s="105"/>
      <c r="FE104" s="105"/>
      <c r="FF104" s="105"/>
      <c r="FG104" s="105"/>
      <c r="FH104" s="105"/>
      <c r="FI104" s="105"/>
      <c r="FJ104" s="105"/>
      <c r="FK104" s="105"/>
      <c r="FL104" s="105"/>
      <c r="FM104" s="105"/>
      <c r="FN104" s="105"/>
      <c r="FO104" s="105"/>
      <c r="FP104" s="105"/>
      <c r="FQ104" s="105"/>
      <c r="FR104" s="105"/>
      <c r="FS104" s="105"/>
      <c r="FT104" s="105"/>
      <c r="FU104" s="105"/>
      <c r="FV104" s="105"/>
      <c r="FW104" s="105"/>
      <c r="FX104" s="105"/>
      <c r="FY104" s="105"/>
      <c r="FZ104" s="105"/>
      <c r="GA104" s="105"/>
      <c r="GB104" s="105"/>
      <c r="GC104" s="105"/>
      <c r="GD104" s="105"/>
      <c r="GE104" s="105"/>
      <c r="GF104" s="105"/>
      <c r="GG104" s="105"/>
      <c r="GH104" s="105"/>
      <c r="GI104" s="105"/>
      <c r="GJ104" s="105"/>
      <c r="GK104" s="105"/>
      <c r="GL104" s="105"/>
      <c r="GM104" s="105"/>
      <c r="GN104" s="105"/>
      <c r="GO104" s="105"/>
      <c r="GP104" s="105"/>
      <c r="GQ104" s="105"/>
      <c r="GR104" s="105"/>
      <c r="GS104" s="105"/>
      <c r="GT104" s="105"/>
      <c r="GU104" s="105"/>
      <c r="GV104" s="105"/>
      <c r="GW104" s="105"/>
      <c r="GX104" s="105"/>
      <c r="GY104" s="105"/>
      <c r="GZ104" s="105"/>
      <c r="HA104" s="105"/>
      <c r="HB104" s="105"/>
      <c r="HC104" s="105"/>
      <c r="HD104" s="105"/>
      <c r="HE104" s="105"/>
      <c r="HF104" s="105"/>
      <c r="HG104" s="105"/>
      <c r="HH104" s="105"/>
      <c r="HI104" s="105"/>
      <c r="HJ104" s="105"/>
      <c r="HK104" s="105"/>
      <c r="HL104" s="105"/>
      <c r="HM104" s="105"/>
      <c r="HN104" s="105"/>
      <c r="HO104" s="105"/>
      <c r="HP104" s="105"/>
      <c r="HQ104" s="105"/>
      <c r="HR104" s="105"/>
      <c r="HS104" s="105"/>
      <c r="HT104" s="105"/>
      <c r="HU104" s="105"/>
      <c r="HV104" s="105"/>
      <c r="HW104" s="105"/>
      <c r="HX104" s="105"/>
      <c r="HY104" s="105"/>
      <c r="HZ104" s="105"/>
      <c r="IA104" s="105"/>
      <c r="IB104" s="105"/>
      <c r="IC104" s="105"/>
      <c r="ID104" s="105"/>
      <c r="IE104" s="105"/>
      <c r="IF104" s="105"/>
      <c r="IG104" s="105"/>
      <c r="IH104" s="105"/>
      <c r="II104" s="105"/>
      <c r="IJ104" s="105"/>
      <c r="IK104" s="105"/>
      <c r="IL104" s="105"/>
      <c r="IM104" s="105"/>
      <c r="IN104" s="105"/>
      <c r="IO104" s="105"/>
      <c r="IP104" s="105"/>
      <c r="IQ104" s="105"/>
      <c r="IR104" s="105"/>
      <c r="IS104" s="105"/>
    </row>
    <row r="105" spans="1:253">
      <c r="A105" s="116"/>
      <c r="B105" s="105"/>
      <c r="C105" s="116"/>
      <c r="D105" s="116"/>
      <c r="E105" s="116"/>
      <c r="F105" s="116"/>
      <c r="G105" s="116"/>
      <c r="H105" s="116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105"/>
      <c r="BS105" s="105"/>
      <c r="BT105" s="105"/>
      <c r="BU105" s="105"/>
      <c r="BV105" s="105"/>
      <c r="BW105" s="105"/>
      <c r="BX105" s="105"/>
      <c r="BY105" s="105"/>
      <c r="BZ105" s="105"/>
      <c r="CA105" s="105"/>
      <c r="CB105" s="105"/>
      <c r="CC105" s="105"/>
      <c r="CD105" s="105"/>
      <c r="CE105" s="105"/>
      <c r="CF105" s="105"/>
      <c r="CG105" s="105"/>
      <c r="CH105" s="105"/>
      <c r="CI105" s="105"/>
      <c r="CJ105" s="105"/>
      <c r="CK105" s="105"/>
      <c r="CL105" s="105"/>
      <c r="CM105" s="105"/>
      <c r="CN105" s="105"/>
      <c r="CO105" s="105"/>
      <c r="CP105" s="105"/>
      <c r="CQ105" s="105"/>
      <c r="CR105" s="105"/>
      <c r="CS105" s="105"/>
      <c r="CT105" s="105"/>
      <c r="CU105" s="105"/>
      <c r="CV105" s="105"/>
      <c r="CW105" s="105"/>
      <c r="CX105" s="105"/>
      <c r="CY105" s="105"/>
      <c r="CZ105" s="105"/>
      <c r="DA105" s="105"/>
      <c r="DB105" s="105"/>
      <c r="DC105" s="105"/>
      <c r="DD105" s="105"/>
      <c r="DE105" s="105"/>
      <c r="DF105" s="105"/>
      <c r="DG105" s="105"/>
      <c r="DH105" s="105"/>
      <c r="DI105" s="105"/>
      <c r="DJ105" s="105"/>
      <c r="DK105" s="105"/>
      <c r="DL105" s="105"/>
      <c r="DM105" s="105"/>
      <c r="DN105" s="105"/>
      <c r="DO105" s="105"/>
      <c r="DP105" s="105"/>
      <c r="DQ105" s="105"/>
      <c r="DR105" s="105"/>
      <c r="DS105" s="105"/>
      <c r="DT105" s="105"/>
      <c r="DU105" s="105"/>
      <c r="DV105" s="105"/>
      <c r="DW105" s="105"/>
      <c r="DX105" s="105"/>
      <c r="DY105" s="105"/>
      <c r="DZ105" s="105"/>
      <c r="EA105" s="105"/>
      <c r="EB105" s="105"/>
      <c r="EC105" s="105"/>
      <c r="ED105" s="105"/>
      <c r="EE105" s="105"/>
      <c r="EF105" s="105"/>
      <c r="EG105" s="105"/>
      <c r="EH105" s="105"/>
      <c r="EI105" s="105"/>
      <c r="EJ105" s="105"/>
      <c r="EK105" s="105"/>
      <c r="EL105" s="105"/>
      <c r="EM105" s="105"/>
      <c r="EN105" s="105"/>
      <c r="EO105" s="105"/>
      <c r="EP105" s="105"/>
      <c r="EQ105" s="105"/>
      <c r="ER105" s="105"/>
      <c r="ES105" s="105"/>
      <c r="ET105" s="105"/>
      <c r="EU105" s="105"/>
      <c r="EV105" s="105"/>
      <c r="EW105" s="105"/>
      <c r="EX105" s="105"/>
      <c r="EY105" s="105"/>
      <c r="EZ105" s="105"/>
      <c r="FA105" s="105"/>
      <c r="FB105" s="105"/>
      <c r="FC105" s="105"/>
      <c r="FD105" s="105"/>
      <c r="FE105" s="105"/>
      <c r="FF105" s="105"/>
      <c r="FG105" s="105"/>
      <c r="FH105" s="105"/>
      <c r="FI105" s="105"/>
      <c r="FJ105" s="105"/>
      <c r="FK105" s="105"/>
      <c r="FL105" s="105"/>
      <c r="FM105" s="105"/>
      <c r="FN105" s="105"/>
      <c r="FO105" s="105"/>
      <c r="FP105" s="105"/>
      <c r="FQ105" s="105"/>
      <c r="FR105" s="105"/>
      <c r="FS105" s="105"/>
      <c r="FT105" s="105"/>
      <c r="FU105" s="105"/>
      <c r="FV105" s="105"/>
      <c r="FW105" s="105"/>
      <c r="FX105" s="105"/>
      <c r="FY105" s="105"/>
      <c r="FZ105" s="105"/>
      <c r="GA105" s="105"/>
      <c r="GB105" s="105"/>
      <c r="GC105" s="105"/>
      <c r="GD105" s="105"/>
      <c r="GE105" s="105"/>
      <c r="GF105" s="105"/>
      <c r="GG105" s="105"/>
      <c r="GH105" s="105"/>
      <c r="GI105" s="105"/>
      <c r="GJ105" s="105"/>
      <c r="GK105" s="105"/>
      <c r="GL105" s="105"/>
      <c r="GM105" s="105"/>
      <c r="GN105" s="105"/>
      <c r="GO105" s="105"/>
      <c r="GP105" s="105"/>
      <c r="GQ105" s="105"/>
      <c r="GR105" s="105"/>
      <c r="GS105" s="105"/>
      <c r="GT105" s="105"/>
      <c r="GU105" s="105"/>
      <c r="GV105" s="105"/>
      <c r="GW105" s="105"/>
      <c r="GX105" s="105"/>
      <c r="GY105" s="105"/>
      <c r="GZ105" s="105"/>
      <c r="HA105" s="105"/>
      <c r="HB105" s="105"/>
      <c r="HC105" s="105"/>
      <c r="HD105" s="105"/>
      <c r="HE105" s="105"/>
      <c r="HF105" s="105"/>
      <c r="HG105" s="105"/>
      <c r="HH105" s="105"/>
      <c r="HI105" s="105"/>
      <c r="HJ105" s="105"/>
      <c r="HK105" s="105"/>
      <c r="HL105" s="105"/>
      <c r="HM105" s="105"/>
      <c r="HN105" s="105"/>
      <c r="HO105" s="105"/>
      <c r="HP105" s="105"/>
      <c r="HQ105" s="105"/>
      <c r="HR105" s="105"/>
      <c r="HS105" s="105"/>
      <c r="HT105" s="105"/>
      <c r="HU105" s="105"/>
      <c r="HV105" s="105"/>
      <c r="HW105" s="105"/>
      <c r="HX105" s="105"/>
      <c r="HY105" s="105"/>
      <c r="HZ105" s="105"/>
      <c r="IA105" s="105"/>
      <c r="IB105" s="105"/>
      <c r="IC105" s="105"/>
      <c r="ID105" s="105"/>
      <c r="IE105" s="105"/>
      <c r="IF105" s="105"/>
      <c r="IG105" s="105"/>
      <c r="IH105" s="105"/>
      <c r="II105" s="105"/>
      <c r="IJ105" s="105"/>
      <c r="IK105" s="105"/>
      <c r="IL105" s="105"/>
      <c r="IM105" s="105"/>
      <c r="IN105" s="105"/>
      <c r="IO105" s="105"/>
      <c r="IP105" s="105"/>
      <c r="IQ105" s="105"/>
      <c r="IR105" s="105"/>
      <c r="IS105" s="105"/>
    </row>
    <row r="106" spans="1:253">
      <c r="A106" s="116"/>
      <c r="B106" s="105"/>
      <c r="C106" s="116"/>
      <c r="D106" s="116"/>
      <c r="E106" s="116"/>
      <c r="F106" s="116"/>
      <c r="G106" s="116"/>
      <c r="H106" s="116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  <c r="BL106" s="105"/>
      <c r="BM106" s="105"/>
      <c r="BN106" s="105"/>
      <c r="BO106" s="105"/>
      <c r="BP106" s="105"/>
      <c r="BQ106" s="105"/>
      <c r="BR106" s="105"/>
      <c r="BS106" s="105"/>
      <c r="BT106" s="105"/>
      <c r="BU106" s="105"/>
      <c r="BV106" s="105"/>
      <c r="BW106" s="105"/>
      <c r="BX106" s="105"/>
      <c r="BY106" s="105"/>
      <c r="BZ106" s="105"/>
      <c r="CA106" s="105"/>
      <c r="CB106" s="105"/>
      <c r="CC106" s="105"/>
      <c r="CD106" s="105"/>
      <c r="CE106" s="105"/>
      <c r="CF106" s="105"/>
      <c r="CG106" s="105"/>
      <c r="CH106" s="105"/>
      <c r="CI106" s="105"/>
      <c r="CJ106" s="105"/>
      <c r="CK106" s="105"/>
      <c r="CL106" s="105"/>
      <c r="CM106" s="105"/>
      <c r="CN106" s="105"/>
      <c r="CO106" s="105"/>
      <c r="CP106" s="105"/>
      <c r="CQ106" s="105"/>
      <c r="CR106" s="105"/>
      <c r="CS106" s="105"/>
      <c r="CT106" s="105"/>
      <c r="CU106" s="105"/>
      <c r="CV106" s="105"/>
      <c r="CW106" s="105"/>
      <c r="CX106" s="105"/>
      <c r="CY106" s="105"/>
      <c r="CZ106" s="105"/>
      <c r="DA106" s="105"/>
      <c r="DB106" s="105"/>
      <c r="DC106" s="105"/>
      <c r="DD106" s="105"/>
      <c r="DE106" s="105"/>
      <c r="DF106" s="105"/>
      <c r="DG106" s="105"/>
      <c r="DH106" s="105"/>
      <c r="DI106" s="105"/>
      <c r="DJ106" s="105"/>
      <c r="DK106" s="105"/>
      <c r="DL106" s="105"/>
      <c r="DM106" s="105"/>
      <c r="DN106" s="105"/>
      <c r="DO106" s="105"/>
      <c r="DP106" s="105"/>
      <c r="DQ106" s="105"/>
      <c r="DR106" s="105"/>
      <c r="DS106" s="105"/>
      <c r="DT106" s="105"/>
      <c r="DU106" s="105"/>
      <c r="DV106" s="105"/>
      <c r="DW106" s="105"/>
      <c r="DX106" s="105"/>
      <c r="DY106" s="105"/>
      <c r="DZ106" s="105"/>
      <c r="EA106" s="105"/>
      <c r="EB106" s="105"/>
      <c r="EC106" s="105"/>
      <c r="ED106" s="105"/>
      <c r="EE106" s="105"/>
      <c r="EF106" s="105"/>
      <c r="EG106" s="105"/>
      <c r="EH106" s="105"/>
      <c r="EI106" s="105"/>
      <c r="EJ106" s="105"/>
      <c r="EK106" s="105"/>
      <c r="EL106" s="105"/>
      <c r="EM106" s="105"/>
      <c r="EN106" s="105"/>
      <c r="EO106" s="105"/>
      <c r="EP106" s="105"/>
      <c r="EQ106" s="105"/>
      <c r="ER106" s="105"/>
      <c r="ES106" s="105"/>
      <c r="ET106" s="105"/>
      <c r="EU106" s="105"/>
      <c r="EV106" s="105"/>
      <c r="EW106" s="105"/>
      <c r="EX106" s="105"/>
      <c r="EY106" s="105"/>
      <c r="EZ106" s="105"/>
      <c r="FA106" s="105"/>
      <c r="FB106" s="105"/>
      <c r="FC106" s="105"/>
      <c r="FD106" s="105"/>
      <c r="FE106" s="105"/>
      <c r="FF106" s="105"/>
      <c r="FG106" s="105"/>
      <c r="FH106" s="105"/>
      <c r="FI106" s="105"/>
      <c r="FJ106" s="105"/>
      <c r="FK106" s="105"/>
      <c r="FL106" s="105"/>
      <c r="FM106" s="105"/>
      <c r="FN106" s="105"/>
      <c r="FO106" s="105"/>
      <c r="FP106" s="105"/>
      <c r="FQ106" s="105"/>
      <c r="FR106" s="105"/>
      <c r="FS106" s="105"/>
      <c r="FT106" s="105"/>
      <c r="FU106" s="105"/>
      <c r="FV106" s="105"/>
      <c r="FW106" s="105"/>
      <c r="FX106" s="105"/>
      <c r="FY106" s="105"/>
      <c r="FZ106" s="105"/>
      <c r="GA106" s="105"/>
      <c r="GB106" s="105"/>
      <c r="GC106" s="105"/>
      <c r="GD106" s="105"/>
      <c r="GE106" s="105"/>
      <c r="GF106" s="105"/>
      <c r="GG106" s="105"/>
      <c r="GH106" s="105"/>
      <c r="GI106" s="105"/>
      <c r="GJ106" s="105"/>
      <c r="GK106" s="105"/>
      <c r="GL106" s="105"/>
      <c r="GM106" s="105"/>
      <c r="GN106" s="105"/>
      <c r="GO106" s="105"/>
      <c r="GP106" s="105"/>
      <c r="GQ106" s="105"/>
      <c r="GR106" s="105"/>
      <c r="GS106" s="105"/>
      <c r="GT106" s="105"/>
      <c r="GU106" s="105"/>
      <c r="GV106" s="105"/>
      <c r="GW106" s="105"/>
      <c r="GX106" s="105"/>
      <c r="GY106" s="105"/>
      <c r="GZ106" s="105"/>
      <c r="HA106" s="105"/>
      <c r="HB106" s="105"/>
      <c r="HC106" s="105"/>
      <c r="HD106" s="105"/>
      <c r="HE106" s="105"/>
      <c r="HF106" s="105"/>
      <c r="HG106" s="105"/>
      <c r="HH106" s="105"/>
      <c r="HI106" s="105"/>
      <c r="HJ106" s="105"/>
      <c r="HK106" s="105"/>
      <c r="HL106" s="105"/>
      <c r="HM106" s="105"/>
      <c r="HN106" s="105"/>
      <c r="HO106" s="105"/>
      <c r="HP106" s="105"/>
      <c r="HQ106" s="105"/>
      <c r="HR106" s="105"/>
      <c r="HS106" s="105"/>
      <c r="HT106" s="105"/>
      <c r="HU106" s="105"/>
      <c r="HV106" s="105"/>
      <c r="HW106" s="105"/>
      <c r="HX106" s="105"/>
      <c r="HY106" s="105"/>
      <c r="HZ106" s="105"/>
      <c r="IA106" s="105"/>
      <c r="IB106" s="105"/>
      <c r="IC106" s="105"/>
      <c r="ID106" s="105"/>
      <c r="IE106" s="105"/>
      <c r="IF106" s="105"/>
      <c r="IG106" s="105"/>
      <c r="IH106" s="105"/>
      <c r="II106" s="105"/>
      <c r="IJ106" s="105"/>
      <c r="IK106" s="105"/>
      <c r="IL106" s="105"/>
      <c r="IM106" s="105"/>
      <c r="IN106" s="105"/>
      <c r="IO106" s="105"/>
      <c r="IP106" s="105"/>
      <c r="IQ106" s="105"/>
      <c r="IR106" s="105"/>
      <c r="IS106" s="105"/>
    </row>
    <row r="107" spans="1:253">
      <c r="A107" s="116"/>
      <c r="B107" s="105"/>
      <c r="C107" s="116"/>
      <c r="D107" s="116"/>
      <c r="E107" s="116"/>
      <c r="F107" s="116"/>
      <c r="G107" s="116"/>
      <c r="H107" s="116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105"/>
      <c r="BX107" s="105"/>
      <c r="BY107" s="105"/>
      <c r="BZ107" s="105"/>
      <c r="CA107" s="105"/>
      <c r="CB107" s="105"/>
      <c r="CC107" s="105"/>
      <c r="CD107" s="105"/>
      <c r="CE107" s="105"/>
      <c r="CF107" s="105"/>
      <c r="CG107" s="105"/>
      <c r="CH107" s="105"/>
      <c r="CI107" s="105"/>
      <c r="CJ107" s="105"/>
      <c r="CK107" s="105"/>
      <c r="CL107" s="105"/>
      <c r="CM107" s="105"/>
      <c r="CN107" s="105"/>
      <c r="CO107" s="105"/>
      <c r="CP107" s="105"/>
      <c r="CQ107" s="105"/>
      <c r="CR107" s="105"/>
      <c r="CS107" s="105"/>
      <c r="CT107" s="105"/>
      <c r="CU107" s="105"/>
      <c r="CV107" s="105"/>
      <c r="CW107" s="105"/>
      <c r="CX107" s="105"/>
      <c r="CY107" s="105"/>
      <c r="CZ107" s="105"/>
      <c r="DA107" s="105"/>
      <c r="DB107" s="105"/>
      <c r="DC107" s="105"/>
      <c r="DD107" s="105"/>
      <c r="DE107" s="105"/>
      <c r="DF107" s="105"/>
      <c r="DG107" s="105"/>
      <c r="DH107" s="105"/>
      <c r="DI107" s="105"/>
      <c r="DJ107" s="105"/>
      <c r="DK107" s="105"/>
      <c r="DL107" s="105"/>
      <c r="DM107" s="105"/>
      <c r="DN107" s="105"/>
      <c r="DO107" s="105"/>
      <c r="DP107" s="105"/>
      <c r="DQ107" s="105"/>
      <c r="DR107" s="105"/>
      <c r="DS107" s="105"/>
      <c r="DT107" s="105"/>
      <c r="DU107" s="105"/>
      <c r="DV107" s="105"/>
      <c r="DW107" s="105"/>
      <c r="DX107" s="105"/>
      <c r="DY107" s="105"/>
      <c r="DZ107" s="105"/>
      <c r="EA107" s="105"/>
      <c r="EB107" s="105"/>
      <c r="EC107" s="105"/>
      <c r="ED107" s="105"/>
      <c r="EE107" s="105"/>
      <c r="EF107" s="105"/>
      <c r="EG107" s="105"/>
      <c r="EH107" s="105"/>
      <c r="EI107" s="105"/>
      <c r="EJ107" s="105"/>
      <c r="EK107" s="105"/>
      <c r="EL107" s="105"/>
      <c r="EM107" s="105"/>
      <c r="EN107" s="105"/>
      <c r="EO107" s="105"/>
      <c r="EP107" s="105"/>
      <c r="EQ107" s="105"/>
      <c r="ER107" s="105"/>
      <c r="ES107" s="105"/>
      <c r="ET107" s="105"/>
      <c r="EU107" s="105"/>
      <c r="EV107" s="105"/>
      <c r="EW107" s="105"/>
      <c r="EX107" s="105"/>
      <c r="EY107" s="105"/>
      <c r="EZ107" s="105"/>
      <c r="FA107" s="105"/>
      <c r="FB107" s="105"/>
      <c r="FC107" s="105"/>
      <c r="FD107" s="105"/>
      <c r="FE107" s="105"/>
      <c r="FF107" s="105"/>
      <c r="FG107" s="105"/>
      <c r="FH107" s="105"/>
      <c r="FI107" s="105"/>
      <c r="FJ107" s="105"/>
      <c r="FK107" s="105"/>
      <c r="FL107" s="105"/>
      <c r="FM107" s="105"/>
      <c r="FN107" s="105"/>
      <c r="FO107" s="105"/>
      <c r="FP107" s="105"/>
      <c r="FQ107" s="105"/>
      <c r="FR107" s="105"/>
      <c r="FS107" s="105"/>
      <c r="FT107" s="105"/>
      <c r="FU107" s="105"/>
      <c r="FV107" s="105"/>
      <c r="FW107" s="105"/>
      <c r="FX107" s="105"/>
      <c r="FY107" s="105"/>
      <c r="FZ107" s="105"/>
      <c r="GA107" s="105"/>
      <c r="GB107" s="105"/>
      <c r="GC107" s="105"/>
      <c r="GD107" s="105"/>
      <c r="GE107" s="105"/>
      <c r="GF107" s="105"/>
      <c r="GG107" s="105"/>
      <c r="GH107" s="105"/>
      <c r="GI107" s="105"/>
      <c r="GJ107" s="105"/>
      <c r="GK107" s="105"/>
      <c r="GL107" s="105"/>
      <c r="GM107" s="105"/>
      <c r="GN107" s="105"/>
      <c r="GO107" s="105"/>
      <c r="GP107" s="105"/>
      <c r="GQ107" s="105"/>
      <c r="GR107" s="105"/>
      <c r="GS107" s="105"/>
      <c r="GT107" s="105"/>
      <c r="GU107" s="105"/>
      <c r="GV107" s="105"/>
      <c r="GW107" s="105"/>
      <c r="GX107" s="105"/>
      <c r="GY107" s="105"/>
      <c r="GZ107" s="105"/>
      <c r="HA107" s="105"/>
      <c r="HB107" s="105"/>
      <c r="HC107" s="105"/>
      <c r="HD107" s="105"/>
      <c r="HE107" s="105"/>
      <c r="HF107" s="105"/>
      <c r="HG107" s="105"/>
      <c r="HH107" s="105"/>
      <c r="HI107" s="105"/>
      <c r="HJ107" s="105"/>
      <c r="HK107" s="105"/>
      <c r="HL107" s="105"/>
      <c r="HM107" s="105"/>
      <c r="HN107" s="105"/>
      <c r="HO107" s="105"/>
      <c r="HP107" s="105"/>
      <c r="HQ107" s="105"/>
      <c r="HR107" s="105"/>
      <c r="HS107" s="105"/>
      <c r="HT107" s="105"/>
      <c r="HU107" s="105"/>
      <c r="HV107" s="105"/>
      <c r="HW107" s="105"/>
      <c r="HX107" s="105"/>
      <c r="HY107" s="105"/>
      <c r="HZ107" s="105"/>
      <c r="IA107" s="105"/>
      <c r="IB107" s="105"/>
      <c r="IC107" s="105"/>
      <c r="ID107" s="105"/>
      <c r="IE107" s="105"/>
      <c r="IF107" s="105"/>
      <c r="IG107" s="105"/>
      <c r="IH107" s="105"/>
      <c r="II107" s="105"/>
      <c r="IJ107" s="105"/>
      <c r="IK107" s="105"/>
      <c r="IL107" s="105"/>
      <c r="IM107" s="105"/>
      <c r="IN107" s="105"/>
      <c r="IO107" s="105"/>
      <c r="IP107" s="105"/>
      <c r="IQ107" s="105"/>
      <c r="IR107" s="105"/>
      <c r="IS107" s="105"/>
    </row>
    <row r="108" spans="1:253">
      <c r="A108" s="116"/>
      <c r="B108" s="105"/>
      <c r="C108" s="116"/>
      <c r="D108" s="116"/>
      <c r="E108" s="116"/>
      <c r="F108" s="116"/>
      <c r="G108" s="116"/>
      <c r="H108" s="116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  <c r="BO108" s="105"/>
      <c r="BP108" s="105"/>
      <c r="BQ108" s="105"/>
      <c r="BR108" s="105"/>
      <c r="BS108" s="105"/>
      <c r="BT108" s="105"/>
      <c r="BU108" s="105"/>
      <c r="BV108" s="105"/>
      <c r="BW108" s="105"/>
      <c r="BX108" s="105"/>
      <c r="BY108" s="105"/>
      <c r="BZ108" s="105"/>
      <c r="CA108" s="105"/>
      <c r="CB108" s="105"/>
      <c r="CC108" s="105"/>
      <c r="CD108" s="105"/>
      <c r="CE108" s="105"/>
      <c r="CF108" s="105"/>
      <c r="CG108" s="105"/>
      <c r="CH108" s="105"/>
      <c r="CI108" s="105"/>
      <c r="CJ108" s="105"/>
      <c r="CK108" s="105"/>
      <c r="CL108" s="105"/>
      <c r="CM108" s="105"/>
      <c r="CN108" s="105"/>
      <c r="CO108" s="105"/>
      <c r="CP108" s="105"/>
      <c r="CQ108" s="105"/>
      <c r="CR108" s="105"/>
      <c r="CS108" s="105"/>
      <c r="CT108" s="105"/>
      <c r="CU108" s="105"/>
      <c r="CV108" s="105"/>
      <c r="CW108" s="105"/>
      <c r="CX108" s="105"/>
      <c r="CY108" s="105"/>
      <c r="CZ108" s="105"/>
      <c r="DA108" s="105"/>
      <c r="DB108" s="105"/>
      <c r="DC108" s="105"/>
      <c r="DD108" s="105"/>
      <c r="DE108" s="105"/>
      <c r="DF108" s="105"/>
      <c r="DG108" s="105"/>
      <c r="DH108" s="105"/>
      <c r="DI108" s="105"/>
      <c r="DJ108" s="105"/>
      <c r="DK108" s="105"/>
      <c r="DL108" s="105"/>
      <c r="DM108" s="105"/>
      <c r="DN108" s="105"/>
      <c r="DO108" s="105"/>
      <c r="DP108" s="105"/>
      <c r="DQ108" s="105"/>
      <c r="DR108" s="105"/>
      <c r="DS108" s="105"/>
      <c r="DT108" s="105"/>
      <c r="DU108" s="105"/>
      <c r="DV108" s="105"/>
      <c r="DW108" s="105"/>
      <c r="DX108" s="105"/>
      <c r="DY108" s="105"/>
      <c r="DZ108" s="105"/>
      <c r="EA108" s="105"/>
      <c r="EB108" s="105"/>
      <c r="EC108" s="105"/>
      <c r="ED108" s="105"/>
      <c r="EE108" s="105"/>
      <c r="EF108" s="105"/>
      <c r="EG108" s="105"/>
      <c r="EH108" s="105"/>
      <c r="EI108" s="105"/>
      <c r="EJ108" s="105"/>
      <c r="EK108" s="105"/>
      <c r="EL108" s="105"/>
      <c r="EM108" s="105"/>
      <c r="EN108" s="105"/>
      <c r="EO108" s="105"/>
      <c r="EP108" s="105"/>
      <c r="EQ108" s="105"/>
      <c r="ER108" s="105"/>
      <c r="ES108" s="105"/>
      <c r="ET108" s="105"/>
      <c r="EU108" s="105"/>
      <c r="EV108" s="105"/>
      <c r="EW108" s="105"/>
      <c r="EX108" s="105"/>
      <c r="EY108" s="105"/>
      <c r="EZ108" s="105"/>
      <c r="FA108" s="105"/>
      <c r="FB108" s="105"/>
      <c r="FC108" s="105"/>
      <c r="FD108" s="105"/>
      <c r="FE108" s="105"/>
      <c r="FF108" s="105"/>
      <c r="FG108" s="105"/>
      <c r="FH108" s="105"/>
      <c r="FI108" s="105"/>
      <c r="FJ108" s="105"/>
      <c r="FK108" s="105"/>
      <c r="FL108" s="105"/>
      <c r="FM108" s="105"/>
      <c r="FN108" s="105"/>
      <c r="FO108" s="105"/>
      <c r="FP108" s="105"/>
      <c r="FQ108" s="105"/>
      <c r="FR108" s="105"/>
      <c r="FS108" s="105"/>
      <c r="FT108" s="105"/>
      <c r="FU108" s="105"/>
      <c r="FV108" s="105"/>
      <c r="FW108" s="105"/>
      <c r="FX108" s="105"/>
      <c r="FY108" s="105"/>
      <c r="FZ108" s="105"/>
      <c r="GA108" s="105"/>
      <c r="GB108" s="105"/>
      <c r="GC108" s="105"/>
      <c r="GD108" s="105"/>
      <c r="GE108" s="105"/>
      <c r="GF108" s="105"/>
      <c r="GG108" s="105"/>
      <c r="GH108" s="105"/>
      <c r="GI108" s="105"/>
      <c r="GJ108" s="105"/>
      <c r="GK108" s="105"/>
      <c r="GL108" s="105"/>
      <c r="GM108" s="105"/>
      <c r="GN108" s="105"/>
      <c r="GO108" s="105"/>
      <c r="GP108" s="105"/>
      <c r="GQ108" s="105"/>
      <c r="GR108" s="105"/>
      <c r="GS108" s="105"/>
      <c r="GT108" s="105"/>
      <c r="GU108" s="105"/>
      <c r="GV108" s="105"/>
      <c r="GW108" s="105"/>
      <c r="GX108" s="105"/>
      <c r="GY108" s="105"/>
      <c r="GZ108" s="105"/>
      <c r="HA108" s="105"/>
      <c r="HB108" s="105"/>
      <c r="HC108" s="105"/>
      <c r="HD108" s="105"/>
      <c r="HE108" s="105"/>
      <c r="HF108" s="105"/>
      <c r="HG108" s="105"/>
      <c r="HH108" s="105"/>
      <c r="HI108" s="105"/>
      <c r="HJ108" s="105"/>
      <c r="HK108" s="105"/>
      <c r="HL108" s="105"/>
      <c r="HM108" s="105"/>
      <c r="HN108" s="105"/>
      <c r="HO108" s="105"/>
      <c r="HP108" s="105"/>
      <c r="HQ108" s="105"/>
      <c r="HR108" s="105"/>
      <c r="HS108" s="105"/>
      <c r="HT108" s="105"/>
      <c r="HU108" s="105"/>
      <c r="HV108" s="105"/>
      <c r="HW108" s="105"/>
      <c r="HX108" s="105"/>
      <c r="HY108" s="105"/>
      <c r="HZ108" s="105"/>
      <c r="IA108" s="105"/>
      <c r="IB108" s="105"/>
      <c r="IC108" s="105"/>
      <c r="ID108" s="105"/>
      <c r="IE108" s="105"/>
      <c r="IF108" s="105"/>
      <c r="IG108" s="105"/>
      <c r="IH108" s="105"/>
      <c r="II108" s="105"/>
      <c r="IJ108" s="105"/>
      <c r="IK108" s="105"/>
      <c r="IL108" s="105"/>
      <c r="IM108" s="105"/>
      <c r="IN108" s="105"/>
      <c r="IO108" s="105"/>
      <c r="IP108" s="105"/>
      <c r="IQ108" s="105"/>
      <c r="IR108" s="105"/>
      <c r="IS108" s="105"/>
    </row>
    <row r="109" spans="1:253">
      <c r="A109" s="116"/>
      <c r="B109" s="105"/>
      <c r="C109" s="116"/>
      <c r="D109" s="116"/>
      <c r="E109" s="116"/>
      <c r="F109" s="116"/>
      <c r="G109" s="116"/>
      <c r="H109" s="116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05"/>
      <c r="BZ109" s="105"/>
      <c r="CA109" s="105"/>
      <c r="CB109" s="105"/>
      <c r="CC109" s="105"/>
      <c r="CD109" s="105"/>
      <c r="CE109" s="105"/>
      <c r="CF109" s="105"/>
      <c r="CG109" s="105"/>
      <c r="CH109" s="105"/>
      <c r="CI109" s="105"/>
      <c r="CJ109" s="105"/>
      <c r="CK109" s="105"/>
      <c r="CL109" s="105"/>
      <c r="CM109" s="105"/>
      <c r="CN109" s="105"/>
      <c r="CO109" s="105"/>
      <c r="CP109" s="105"/>
      <c r="CQ109" s="105"/>
      <c r="CR109" s="105"/>
      <c r="CS109" s="105"/>
      <c r="CT109" s="105"/>
      <c r="CU109" s="105"/>
      <c r="CV109" s="105"/>
      <c r="CW109" s="105"/>
      <c r="CX109" s="105"/>
      <c r="CY109" s="105"/>
      <c r="CZ109" s="105"/>
      <c r="DA109" s="105"/>
      <c r="DB109" s="105"/>
      <c r="DC109" s="105"/>
      <c r="DD109" s="105"/>
      <c r="DE109" s="105"/>
      <c r="DF109" s="105"/>
      <c r="DG109" s="105"/>
      <c r="DH109" s="105"/>
      <c r="DI109" s="105"/>
      <c r="DJ109" s="105"/>
      <c r="DK109" s="105"/>
      <c r="DL109" s="105"/>
      <c r="DM109" s="105"/>
      <c r="DN109" s="105"/>
      <c r="DO109" s="105"/>
      <c r="DP109" s="105"/>
      <c r="DQ109" s="105"/>
      <c r="DR109" s="105"/>
      <c r="DS109" s="105"/>
      <c r="DT109" s="105"/>
      <c r="DU109" s="105"/>
      <c r="DV109" s="105"/>
      <c r="DW109" s="105"/>
      <c r="DX109" s="105"/>
      <c r="DY109" s="105"/>
      <c r="DZ109" s="105"/>
      <c r="EA109" s="105"/>
      <c r="EB109" s="105"/>
      <c r="EC109" s="105"/>
      <c r="ED109" s="105"/>
      <c r="EE109" s="105"/>
      <c r="EF109" s="105"/>
      <c r="EG109" s="105"/>
      <c r="EH109" s="105"/>
      <c r="EI109" s="105"/>
      <c r="EJ109" s="105"/>
      <c r="EK109" s="105"/>
      <c r="EL109" s="105"/>
      <c r="EM109" s="105"/>
      <c r="EN109" s="105"/>
      <c r="EO109" s="105"/>
      <c r="EP109" s="105"/>
      <c r="EQ109" s="105"/>
      <c r="ER109" s="105"/>
      <c r="ES109" s="105"/>
      <c r="ET109" s="105"/>
      <c r="EU109" s="105"/>
      <c r="EV109" s="105"/>
      <c r="EW109" s="105"/>
      <c r="EX109" s="105"/>
      <c r="EY109" s="105"/>
      <c r="EZ109" s="105"/>
      <c r="FA109" s="105"/>
      <c r="FB109" s="105"/>
      <c r="FC109" s="105"/>
      <c r="FD109" s="105"/>
      <c r="FE109" s="105"/>
      <c r="FF109" s="105"/>
      <c r="FG109" s="105"/>
      <c r="FH109" s="105"/>
      <c r="FI109" s="105"/>
      <c r="FJ109" s="105"/>
      <c r="FK109" s="105"/>
      <c r="FL109" s="105"/>
      <c r="FM109" s="105"/>
      <c r="FN109" s="105"/>
      <c r="FO109" s="105"/>
      <c r="FP109" s="105"/>
      <c r="FQ109" s="105"/>
      <c r="FR109" s="105"/>
      <c r="FS109" s="105"/>
      <c r="FT109" s="105"/>
      <c r="FU109" s="105"/>
      <c r="FV109" s="105"/>
      <c r="FW109" s="105"/>
      <c r="FX109" s="105"/>
      <c r="FY109" s="105"/>
      <c r="FZ109" s="105"/>
      <c r="GA109" s="105"/>
      <c r="GB109" s="105"/>
      <c r="GC109" s="105"/>
      <c r="GD109" s="105"/>
      <c r="GE109" s="105"/>
      <c r="GF109" s="105"/>
      <c r="GG109" s="105"/>
      <c r="GH109" s="105"/>
      <c r="GI109" s="105"/>
      <c r="GJ109" s="105"/>
      <c r="GK109" s="105"/>
      <c r="GL109" s="105"/>
      <c r="GM109" s="105"/>
      <c r="GN109" s="105"/>
      <c r="GO109" s="105"/>
      <c r="GP109" s="105"/>
      <c r="GQ109" s="105"/>
      <c r="GR109" s="105"/>
      <c r="GS109" s="105"/>
      <c r="GT109" s="105"/>
      <c r="GU109" s="105"/>
      <c r="GV109" s="105"/>
      <c r="GW109" s="105"/>
      <c r="GX109" s="105"/>
      <c r="GY109" s="105"/>
      <c r="GZ109" s="105"/>
      <c r="HA109" s="105"/>
      <c r="HB109" s="105"/>
      <c r="HC109" s="105"/>
      <c r="HD109" s="105"/>
      <c r="HE109" s="105"/>
      <c r="HF109" s="105"/>
      <c r="HG109" s="105"/>
      <c r="HH109" s="105"/>
      <c r="HI109" s="105"/>
      <c r="HJ109" s="105"/>
      <c r="HK109" s="105"/>
      <c r="HL109" s="105"/>
      <c r="HM109" s="105"/>
      <c r="HN109" s="105"/>
      <c r="HO109" s="105"/>
      <c r="HP109" s="105"/>
      <c r="HQ109" s="105"/>
      <c r="HR109" s="105"/>
      <c r="HS109" s="105"/>
      <c r="HT109" s="105"/>
      <c r="HU109" s="105"/>
      <c r="HV109" s="105"/>
      <c r="HW109" s="105"/>
      <c r="HX109" s="105"/>
      <c r="HY109" s="105"/>
      <c r="HZ109" s="105"/>
      <c r="IA109" s="105"/>
      <c r="IB109" s="105"/>
      <c r="IC109" s="105"/>
      <c r="ID109" s="105"/>
      <c r="IE109" s="105"/>
      <c r="IF109" s="105"/>
      <c r="IG109" s="105"/>
      <c r="IH109" s="105"/>
      <c r="II109" s="105"/>
      <c r="IJ109" s="105"/>
      <c r="IK109" s="105"/>
      <c r="IL109" s="105"/>
      <c r="IM109" s="105"/>
      <c r="IN109" s="105"/>
      <c r="IO109" s="105"/>
      <c r="IP109" s="105"/>
      <c r="IQ109" s="105"/>
      <c r="IR109" s="105"/>
      <c r="IS109" s="105"/>
    </row>
    <row r="110" spans="1:253">
      <c r="A110" s="116"/>
      <c r="B110" s="105"/>
      <c r="C110" s="116"/>
      <c r="D110" s="116"/>
      <c r="E110" s="116"/>
      <c r="F110" s="116"/>
      <c r="G110" s="116"/>
      <c r="H110" s="116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105"/>
      <c r="BX110" s="105"/>
      <c r="BY110" s="105"/>
      <c r="BZ110" s="105"/>
      <c r="CA110" s="105"/>
      <c r="CB110" s="105"/>
      <c r="CC110" s="105"/>
      <c r="CD110" s="105"/>
      <c r="CE110" s="105"/>
      <c r="CF110" s="105"/>
      <c r="CG110" s="105"/>
      <c r="CH110" s="105"/>
      <c r="CI110" s="105"/>
      <c r="CJ110" s="105"/>
      <c r="CK110" s="105"/>
      <c r="CL110" s="105"/>
      <c r="CM110" s="105"/>
      <c r="CN110" s="105"/>
      <c r="CO110" s="105"/>
      <c r="CP110" s="105"/>
      <c r="CQ110" s="105"/>
      <c r="CR110" s="105"/>
      <c r="CS110" s="105"/>
      <c r="CT110" s="105"/>
      <c r="CU110" s="105"/>
      <c r="CV110" s="105"/>
      <c r="CW110" s="105"/>
      <c r="CX110" s="105"/>
      <c r="CY110" s="105"/>
      <c r="CZ110" s="105"/>
      <c r="DA110" s="105"/>
      <c r="DB110" s="105"/>
      <c r="DC110" s="105"/>
      <c r="DD110" s="105"/>
      <c r="DE110" s="105"/>
      <c r="DF110" s="105"/>
      <c r="DG110" s="105"/>
      <c r="DH110" s="105"/>
      <c r="DI110" s="105"/>
      <c r="DJ110" s="105"/>
      <c r="DK110" s="105"/>
      <c r="DL110" s="105"/>
      <c r="DM110" s="105"/>
      <c r="DN110" s="105"/>
      <c r="DO110" s="105"/>
      <c r="DP110" s="105"/>
      <c r="DQ110" s="105"/>
      <c r="DR110" s="105"/>
      <c r="DS110" s="105"/>
      <c r="DT110" s="105"/>
      <c r="DU110" s="105"/>
      <c r="DV110" s="105"/>
      <c r="DW110" s="105"/>
      <c r="DX110" s="105"/>
      <c r="DY110" s="105"/>
      <c r="DZ110" s="105"/>
      <c r="EA110" s="105"/>
      <c r="EB110" s="105"/>
      <c r="EC110" s="105"/>
      <c r="ED110" s="105"/>
      <c r="EE110" s="105"/>
      <c r="EF110" s="105"/>
      <c r="EG110" s="105"/>
      <c r="EH110" s="105"/>
      <c r="EI110" s="105"/>
      <c r="EJ110" s="105"/>
      <c r="EK110" s="105"/>
      <c r="EL110" s="105"/>
      <c r="EM110" s="105"/>
      <c r="EN110" s="105"/>
      <c r="EO110" s="105"/>
      <c r="EP110" s="105"/>
      <c r="EQ110" s="105"/>
      <c r="ER110" s="105"/>
      <c r="ES110" s="105"/>
      <c r="ET110" s="105"/>
      <c r="EU110" s="105"/>
      <c r="EV110" s="105"/>
      <c r="EW110" s="105"/>
      <c r="EX110" s="105"/>
      <c r="EY110" s="105"/>
      <c r="EZ110" s="105"/>
      <c r="FA110" s="105"/>
      <c r="FB110" s="105"/>
      <c r="FC110" s="105"/>
      <c r="FD110" s="105"/>
      <c r="FE110" s="105"/>
      <c r="FF110" s="105"/>
      <c r="FG110" s="105"/>
      <c r="FH110" s="105"/>
      <c r="FI110" s="105"/>
      <c r="FJ110" s="105"/>
      <c r="FK110" s="105"/>
      <c r="FL110" s="105"/>
      <c r="FM110" s="105"/>
      <c r="FN110" s="105"/>
      <c r="FO110" s="105"/>
      <c r="FP110" s="105"/>
      <c r="FQ110" s="105"/>
      <c r="FR110" s="105"/>
      <c r="FS110" s="105"/>
      <c r="FT110" s="105"/>
      <c r="FU110" s="105"/>
      <c r="FV110" s="105"/>
      <c r="FW110" s="105"/>
      <c r="FX110" s="105"/>
      <c r="FY110" s="105"/>
      <c r="FZ110" s="105"/>
      <c r="GA110" s="105"/>
      <c r="GB110" s="105"/>
      <c r="GC110" s="105"/>
      <c r="GD110" s="105"/>
      <c r="GE110" s="105"/>
      <c r="GF110" s="105"/>
      <c r="GG110" s="105"/>
      <c r="GH110" s="105"/>
      <c r="GI110" s="105"/>
      <c r="GJ110" s="105"/>
      <c r="GK110" s="105"/>
      <c r="GL110" s="105"/>
      <c r="GM110" s="105"/>
      <c r="GN110" s="105"/>
      <c r="GO110" s="105"/>
      <c r="GP110" s="105"/>
      <c r="GQ110" s="105"/>
      <c r="GR110" s="105"/>
      <c r="GS110" s="105"/>
      <c r="GT110" s="105"/>
      <c r="GU110" s="105"/>
      <c r="GV110" s="105"/>
      <c r="GW110" s="105"/>
      <c r="GX110" s="105"/>
      <c r="GY110" s="105"/>
      <c r="GZ110" s="105"/>
      <c r="HA110" s="105"/>
      <c r="HB110" s="105"/>
      <c r="HC110" s="105"/>
      <c r="HD110" s="105"/>
      <c r="HE110" s="105"/>
      <c r="HF110" s="105"/>
      <c r="HG110" s="105"/>
      <c r="HH110" s="105"/>
      <c r="HI110" s="105"/>
      <c r="HJ110" s="105"/>
      <c r="HK110" s="105"/>
      <c r="HL110" s="105"/>
      <c r="HM110" s="105"/>
      <c r="HN110" s="105"/>
      <c r="HO110" s="105"/>
      <c r="HP110" s="105"/>
      <c r="HQ110" s="105"/>
      <c r="HR110" s="105"/>
      <c r="HS110" s="105"/>
      <c r="HT110" s="105"/>
      <c r="HU110" s="105"/>
      <c r="HV110" s="105"/>
      <c r="HW110" s="105"/>
      <c r="HX110" s="105"/>
      <c r="HY110" s="105"/>
      <c r="HZ110" s="105"/>
      <c r="IA110" s="105"/>
      <c r="IB110" s="105"/>
      <c r="IC110" s="105"/>
      <c r="ID110" s="105"/>
      <c r="IE110" s="105"/>
      <c r="IF110" s="105"/>
      <c r="IG110" s="105"/>
      <c r="IH110" s="105"/>
      <c r="II110" s="105"/>
      <c r="IJ110" s="105"/>
      <c r="IK110" s="105"/>
      <c r="IL110" s="105"/>
      <c r="IM110" s="105"/>
      <c r="IN110" s="105"/>
      <c r="IO110" s="105"/>
      <c r="IP110" s="105"/>
      <c r="IQ110" s="105"/>
      <c r="IR110" s="105"/>
      <c r="IS110" s="105"/>
    </row>
    <row r="111" spans="1:253">
      <c r="A111" s="116"/>
      <c r="B111" s="105"/>
      <c r="C111" s="116"/>
      <c r="D111" s="116"/>
      <c r="E111" s="116"/>
      <c r="F111" s="116"/>
      <c r="G111" s="116"/>
      <c r="H111" s="116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  <c r="BS111" s="105"/>
      <c r="BT111" s="105"/>
      <c r="BU111" s="105"/>
      <c r="BV111" s="105"/>
      <c r="BW111" s="105"/>
      <c r="BX111" s="105"/>
      <c r="BY111" s="105"/>
      <c r="BZ111" s="105"/>
      <c r="CA111" s="105"/>
      <c r="CB111" s="105"/>
      <c r="CC111" s="105"/>
      <c r="CD111" s="105"/>
      <c r="CE111" s="105"/>
      <c r="CF111" s="105"/>
      <c r="CG111" s="105"/>
      <c r="CH111" s="105"/>
      <c r="CI111" s="105"/>
      <c r="CJ111" s="105"/>
      <c r="CK111" s="105"/>
      <c r="CL111" s="105"/>
      <c r="CM111" s="105"/>
      <c r="CN111" s="105"/>
      <c r="CO111" s="105"/>
      <c r="CP111" s="105"/>
      <c r="CQ111" s="105"/>
      <c r="CR111" s="105"/>
      <c r="CS111" s="105"/>
      <c r="CT111" s="105"/>
      <c r="CU111" s="105"/>
      <c r="CV111" s="105"/>
      <c r="CW111" s="105"/>
      <c r="CX111" s="105"/>
      <c r="CY111" s="105"/>
      <c r="CZ111" s="105"/>
      <c r="DA111" s="105"/>
      <c r="DB111" s="105"/>
      <c r="DC111" s="105"/>
      <c r="DD111" s="105"/>
      <c r="DE111" s="105"/>
      <c r="DF111" s="105"/>
      <c r="DG111" s="105"/>
      <c r="DH111" s="105"/>
      <c r="DI111" s="105"/>
      <c r="DJ111" s="105"/>
      <c r="DK111" s="105"/>
      <c r="DL111" s="105"/>
      <c r="DM111" s="105"/>
      <c r="DN111" s="105"/>
      <c r="DO111" s="105"/>
      <c r="DP111" s="105"/>
      <c r="DQ111" s="105"/>
      <c r="DR111" s="105"/>
      <c r="DS111" s="105"/>
      <c r="DT111" s="105"/>
      <c r="DU111" s="105"/>
      <c r="DV111" s="105"/>
      <c r="DW111" s="105"/>
      <c r="DX111" s="105"/>
      <c r="DY111" s="105"/>
      <c r="DZ111" s="105"/>
      <c r="EA111" s="105"/>
      <c r="EB111" s="105"/>
      <c r="EC111" s="105"/>
      <c r="ED111" s="105"/>
      <c r="EE111" s="105"/>
      <c r="EF111" s="105"/>
      <c r="EG111" s="105"/>
      <c r="EH111" s="105"/>
      <c r="EI111" s="105"/>
      <c r="EJ111" s="105"/>
      <c r="EK111" s="105"/>
      <c r="EL111" s="105"/>
      <c r="EM111" s="105"/>
      <c r="EN111" s="105"/>
      <c r="EO111" s="105"/>
      <c r="EP111" s="105"/>
      <c r="EQ111" s="105"/>
      <c r="ER111" s="105"/>
      <c r="ES111" s="105"/>
      <c r="ET111" s="105"/>
      <c r="EU111" s="105"/>
      <c r="EV111" s="105"/>
      <c r="EW111" s="105"/>
      <c r="EX111" s="105"/>
      <c r="EY111" s="105"/>
      <c r="EZ111" s="105"/>
      <c r="FA111" s="105"/>
      <c r="FB111" s="105"/>
      <c r="FC111" s="105"/>
      <c r="FD111" s="105"/>
      <c r="FE111" s="105"/>
      <c r="FF111" s="105"/>
      <c r="FG111" s="105"/>
      <c r="FH111" s="105"/>
      <c r="FI111" s="105"/>
      <c r="FJ111" s="105"/>
      <c r="FK111" s="105"/>
      <c r="FL111" s="105"/>
      <c r="FM111" s="105"/>
      <c r="FN111" s="105"/>
      <c r="FO111" s="105"/>
      <c r="FP111" s="105"/>
      <c r="FQ111" s="105"/>
      <c r="FR111" s="105"/>
      <c r="FS111" s="105"/>
      <c r="FT111" s="105"/>
      <c r="FU111" s="105"/>
      <c r="FV111" s="105"/>
      <c r="FW111" s="105"/>
      <c r="FX111" s="105"/>
      <c r="FY111" s="105"/>
      <c r="FZ111" s="105"/>
      <c r="GA111" s="105"/>
      <c r="GB111" s="105"/>
      <c r="GC111" s="105"/>
      <c r="GD111" s="105"/>
      <c r="GE111" s="105"/>
      <c r="GF111" s="105"/>
      <c r="GG111" s="105"/>
      <c r="GH111" s="105"/>
      <c r="GI111" s="105"/>
      <c r="GJ111" s="105"/>
      <c r="GK111" s="105"/>
      <c r="GL111" s="105"/>
      <c r="GM111" s="105"/>
      <c r="GN111" s="105"/>
      <c r="GO111" s="105"/>
      <c r="GP111" s="105"/>
      <c r="GQ111" s="105"/>
      <c r="GR111" s="105"/>
      <c r="GS111" s="105"/>
      <c r="GT111" s="105"/>
      <c r="GU111" s="105"/>
      <c r="GV111" s="105"/>
      <c r="GW111" s="105"/>
      <c r="GX111" s="105"/>
      <c r="GY111" s="105"/>
      <c r="GZ111" s="105"/>
      <c r="HA111" s="105"/>
      <c r="HB111" s="105"/>
      <c r="HC111" s="105"/>
      <c r="HD111" s="105"/>
      <c r="HE111" s="105"/>
      <c r="HF111" s="105"/>
      <c r="HG111" s="105"/>
      <c r="HH111" s="105"/>
      <c r="HI111" s="105"/>
      <c r="HJ111" s="105"/>
      <c r="HK111" s="105"/>
      <c r="HL111" s="105"/>
      <c r="HM111" s="105"/>
      <c r="HN111" s="105"/>
      <c r="HO111" s="105"/>
      <c r="HP111" s="105"/>
      <c r="HQ111" s="105"/>
      <c r="HR111" s="105"/>
      <c r="HS111" s="105"/>
      <c r="HT111" s="105"/>
      <c r="HU111" s="105"/>
      <c r="HV111" s="105"/>
      <c r="HW111" s="105"/>
      <c r="HX111" s="105"/>
      <c r="HY111" s="105"/>
      <c r="HZ111" s="105"/>
      <c r="IA111" s="105"/>
      <c r="IB111" s="105"/>
      <c r="IC111" s="105"/>
      <c r="ID111" s="105"/>
      <c r="IE111" s="105"/>
      <c r="IF111" s="105"/>
      <c r="IG111" s="105"/>
      <c r="IH111" s="105"/>
      <c r="II111" s="105"/>
      <c r="IJ111" s="105"/>
      <c r="IK111" s="105"/>
      <c r="IL111" s="105"/>
      <c r="IM111" s="105"/>
      <c r="IN111" s="105"/>
      <c r="IO111" s="105"/>
      <c r="IP111" s="105"/>
      <c r="IQ111" s="105"/>
      <c r="IR111" s="105"/>
      <c r="IS111" s="105"/>
    </row>
    <row r="112" spans="1:253">
      <c r="A112" s="116"/>
      <c r="B112" s="105"/>
      <c r="C112" s="116"/>
      <c r="D112" s="116"/>
      <c r="E112" s="116"/>
      <c r="F112" s="116"/>
      <c r="G112" s="116"/>
      <c r="H112" s="116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105"/>
      <c r="BX112" s="105"/>
      <c r="BY112" s="105"/>
      <c r="BZ112" s="105"/>
      <c r="CA112" s="105"/>
      <c r="CB112" s="105"/>
      <c r="CC112" s="105"/>
      <c r="CD112" s="105"/>
      <c r="CE112" s="105"/>
      <c r="CF112" s="105"/>
      <c r="CG112" s="105"/>
      <c r="CH112" s="105"/>
      <c r="CI112" s="105"/>
      <c r="CJ112" s="105"/>
      <c r="CK112" s="105"/>
      <c r="CL112" s="105"/>
      <c r="CM112" s="105"/>
      <c r="CN112" s="105"/>
      <c r="CO112" s="105"/>
      <c r="CP112" s="105"/>
      <c r="CQ112" s="105"/>
      <c r="CR112" s="105"/>
      <c r="CS112" s="105"/>
      <c r="CT112" s="105"/>
      <c r="CU112" s="105"/>
      <c r="CV112" s="105"/>
      <c r="CW112" s="105"/>
      <c r="CX112" s="105"/>
      <c r="CY112" s="105"/>
      <c r="CZ112" s="105"/>
      <c r="DA112" s="105"/>
      <c r="DB112" s="105"/>
      <c r="DC112" s="105"/>
      <c r="DD112" s="105"/>
      <c r="DE112" s="105"/>
      <c r="DF112" s="105"/>
      <c r="DG112" s="105"/>
      <c r="DH112" s="105"/>
      <c r="DI112" s="105"/>
      <c r="DJ112" s="105"/>
      <c r="DK112" s="105"/>
      <c r="DL112" s="105"/>
      <c r="DM112" s="105"/>
      <c r="DN112" s="105"/>
      <c r="DO112" s="105"/>
      <c r="DP112" s="105"/>
      <c r="DQ112" s="105"/>
      <c r="DR112" s="105"/>
      <c r="DS112" s="105"/>
      <c r="DT112" s="105"/>
      <c r="DU112" s="105"/>
      <c r="DV112" s="105"/>
      <c r="DW112" s="105"/>
      <c r="DX112" s="105"/>
      <c r="DY112" s="105"/>
      <c r="DZ112" s="105"/>
      <c r="EA112" s="105"/>
      <c r="EB112" s="105"/>
      <c r="EC112" s="105"/>
      <c r="ED112" s="105"/>
      <c r="EE112" s="105"/>
      <c r="EF112" s="105"/>
      <c r="EG112" s="105"/>
      <c r="EH112" s="105"/>
      <c r="EI112" s="105"/>
      <c r="EJ112" s="105"/>
      <c r="EK112" s="105"/>
      <c r="EL112" s="105"/>
      <c r="EM112" s="105"/>
      <c r="EN112" s="105"/>
      <c r="EO112" s="105"/>
      <c r="EP112" s="105"/>
      <c r="EQ112" s="105"/>
      <c r="ER112" s="105"/>
      <c r="ES112" s="105"/>
      <c r="ET112" s="105"/>
      <c r="EU112" s="105"/>
      <c r="EV112" s="105"/>
      <c r="EW112" s="105"/>
      <c r="EX112" s="105"/>
      <c r="EY112" s="105"/>
      <c r="EZ112" s="105"/>
      <c r="FA112" s="105"/>
      <c r="FB112" s="105"/>
      <c r="FC112" s="105"/>
      <c r="FD112" s="105"/>
      <c r="FE112" s="105"/>
      <c r="FF112" s="105"/>
      <c r="FG112" s="105"/>
      <c r="FH112" s="105"/>
      <c r="FI112" s="105"/>
      <c r="FJ112" s="105"/>
      <c r="FK112" s="105"/>
      <c r="FL112" s="105"/>
      <c r="FM112" s="105"/>
      <c r="FN112" s="105"/>
      <c r="FO112" s="105"/>
      <c r="FP112" s="105"/>
      <c r="FQ112" s="105"/>
      <c r="FR112" s="105"/>
      <c r="FS112" s="105"/>
      <c r="FT112" s="105"/>
      <c r="FU112" s="105"/>
      <c r="FV112" s="105"/>
      <c r="FW112" s="105"/>
      <c r="FX112" s="105"/>
      <c r="FY112" s="105"/>
      <c r="FZ112" s="105"/>
      <c r="GA112" s="105"/>
      <c r="GB112" s="105"/>
      <c r="GC112" s="105"/>
      <c r="GD112" s="105"/>
      <c r="GE112" s="105"/>
      <c r="GF112" s="105"/>
      <c r="GG112" s="105"/>
      <c r="GH112" s="105"/>
      <c r="GI112" s="105"/>
      <c r="GJ112" s="105"/>
      <c r="GK112" s="105"/>
      <c r="GL112" s="105"/>
      <c r="GM112" s="105"/>
      <c r="GN112" s="105"/>
      <c r="GO112" s="105"/>
      <c r="GP112" s="105"/>
      <c r="GQ112" s="105"/>
      <c r="GR112" s="105"/>
      <c r="GS112" s="105"/>
      <c r="GT112" s="105"/>
      <c r="GU112" s="105"/>
      <c r="GV112" s="105"/>
      <c r="GW112" s="105"/>
      <c r="GX112" s="105"/>
      <c r="GY112" s="105"/>
      <c r="GZ112" s="105"/>
      <c r="HA112" s="105"/>
      <c r="HB112" s="105"/>
      <c r="HC112" s="105"/>
      <c r="HD112" s="105"/>
      <c r="HE112" s="105"/>
      <c r="HF112" s="105"/>
      <c r="HG112" s="105"/>
      <c r="HH112" s="105"/>
      <c r="HI112" s="105"/>
      <c r="HJ112" s="105"/>
      <c r="HK112" s="105"/>
      <c r="HL112" s="105"/>
      <c r="HM112" s="105"/>
      <c r="HN112" s="105"/>
      <c r="HO112" s="105"/>
      <c r="HP112" s="105"/>
      <c r="HQ112" s="105"/>
      <c r="HR112" s="105"/>
      <c r="HS112" s="105"/>
      <c r="HT112" s="105"/>
      <c r="HU112" s="105"/>
      <c r="HV112" s="105"/>
      <c r="HW112" s="105"/>
      <c r="HX112" s="105"/>
      <c r="HY112" s="105"/>
      <c r="HZ112" s="105"/>
      <c r="IA112" s="105"/>
      <c r="IB112" s="105"/>
      <c r="IC112" s="105"/>
      <c r="ID112" s="105"/>
      <c r="IE112" s="105"/>
      <c r="IF112" s="105"/>
      <c r="IG112" s="105"/>
      <c r="IH112" s="105"/>
      <c r="II112" s="105"/>
      <c r="IJ112" s="105"/>
      <c r="IK112" s="105"/>
      <c r="IL112" s="105"/>
      <c r="IM112" s="105"/>
      <c r="IN112" s="105"/>
      <c r="IO112" s="105"/>
      <c r="IP112" s="105"/>
      <c r="IQ112" s="105"/>
      <c r="IR112" s="105"/>
      <c r="IS112" s="105"/>
    </row>
    <row r="113" spans="1:253">
      <c r="A113" s="116"/>
      <c r="B113" s="105"/>
      <c r="C113" s="116"/>
      <c r="D113" s="116"/>
      <c r="E113" s="116"/>
      <c r="F113" s="116"/>
      <c r="G113" s="116"/>
      <c r="H113" s="116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105"/>
      <c r="BX113" s="105"/>
      <c r="BY113" s="105"/>
      <c r="BZ113" s="105"/>
      <c r="CA113" s="105"/>
      <c r="CB113" s="105"/>
      <c r="CC113" s="105"/>
      <c r="CD113" s="105"/>
      <c r="CE113" s="105"/>
      <c r="CF113" s="105"/>
      <c r="CG113" s="105"/>
      <c r="CH113" s="105"/>
      <c r="CI113" s="105"/>
      <c r="CJ113" s="105"/>
      <c r="CK113" s="105"/>
      <c r="CL113" s="105"/>
      <c r="CM113" s="105"/>
      <c r="CN113" s="105"/>
      <c r="CO113" s="105"/>
      <c r="CP113" s="105"/>
      <c r="CQ113" s="105"/>
      <c r="CR113" s="105"/>
      <c r="CS113" s="105"/>
      <c r="CT113" s="105"/>
      <c r="CU113" s="105"/>
      <c r="CV113" s="105"/>
      <c r="CW113" s="105"/>
      <c r="CX113" s="105"/>
      <c r="CY113" s="105"/>
      <c r="CZ113" s="105"/>
      <c r="DA113" s="105"/>
      <c r="DB113" s="105"/>
      <c r="DC113" s="105"/>
      <c r="DD113" s="105"/>
      <c r="DE113" s="105"/>
      <c r="DF113" s="105"/>
      <c r="DG113" s="105"/>
      <c r="DH113" s="105"/>
      <c r="DI113" s="105"/>
      <c r="DJ113" s="105"/>
      <c r="DK113" s="105"/>
      <c r="DL113" s="105"/>
      <c r="DM113" s="105"/>
      <c r="DN113" s="105"/>
      <c r="DO113" s="105"/>
      <c r="DP113" s="105"/>
      <c r="DQ113" s="105"/>
      <c r="DR113" s="105"/>
      <c r="DS113" s="105"/>
      <c r="DT113" s="105"/>
      <c r="DU113" s="105"/>
      <c r="DV113" s="105"/>
      <c r="DW113" s="105"/>
      <c r="DX113" s="105"/>
      <c r="DY113" s="105"/>
      <c r="DZ113" s="105"/>
      <c r="EA113" s="105"/>
      <c r="EB113" s="105"/>
      <c r="EC113" s="105"/>
      <c r="ED113" s="105"/>
      <c r="EE113" s="105"/>
      <c r="EF113" s="105"/>
      <c r="EG113" s="105"/>
      <c r="EH113" s="105"/>
      <c r="EI113" s="105"/>
      <c r="EJ113" s="105"/>
      <c r="EK113" s="105"/>
      <c r="EL113" s="105"/>
      <c r="EM113" s="105"/>
      <c r="EN113" s="105"/>
      <c r="EO113" s="105"/>
      <c r="EP113" s="105"/>
      <c r="EQ113" s="105"/>
      <c r="ER113" s="105"/>
      <c r="ES113" s="105"/>
      <c r="ET113" s="105"/>
      <c r="EU113" s="105"/>
      <c r="EV113" s="105"/>
      <c r="EW113" s="105"/>
      <c r="EX113" s="105"/>
      <c r="EY113" s="105"/>
      <c r="EZ113" s="105"/>
      <c r="FA113" s="105"/>
      <c r="FB113" s="105"/>
      <c r="FC113" s="105"/>
      <c r="FD113" s="105"/>
      <c r="FE113" s="105"/>
      <c r="FF113" s="105"/>
      <c r="FG113" s="105"/>
      <c r="FH113" s="105"/>
      <c r="FI113" s="105"/>
      <c r="FJ113" s="105"/>
      <c r="FK113" s="105"/>
      <c r="FL113" s="105"/>
      <c r="FM113" s="105"/>
      <c r="FN113" s="105"/>
      <c r="FO113" s="105"/>
      <c r="FP113" s="105"/>
      <c r="FQ113" s="105"/>
      <c r="FR113" s="105"/>
      <c r="FS113" s="105"/>
      <c r="FT113" s="105"/>
      <c r="FU113" s="105"/>
      <c r="FV113" s="105"/>
      <c r="FW113" s="105"/>
      <c r="FX113" s="105"/>
      <c r="FY113" s="105"/>
      <c r="FZ113" s="105"/>
      <c r="GA113" s="105"/>
      <c r="GB113" s="105"/>
      <c r="GC113" s="105"/>
      <c r="GD113" s="105"/>
      <c r="GE113" s="105"/>
      <c r="GF113" s="105"/>
      <c r="GG113" s="105"/>
      <c r="GH113" s="105"/>
      <c r="GI113" s="105"/>
      <c r="GJ113" s="105"/>
      <c r="GK113" s="105"/>
      <c r="GL113" s="105"/>
      <c r="GM113" s="105"/>
      <c r="GN113" s="105"/>
      <c r="GO113" s="105"/>
      <c r="GP113" s="105"/>
      <c r="GQ113" s="105"/>
      <c r="GR113" s="105"/>
      <c r="GS113" s="105"/>
      <c r="GT113" s="105"/>
      <c r="GU113" s="105"/>
      <c r="GV113" s="105"/>
      <c r="GW113" s="105"/>
      <c r="GX113" s="105"/>
      <c r="GY113" s="105"/>
      <c r="GZ113" s="105"/>
      <c r="HA113" s="105"/>
      <c r="HB113" s="105"/>
      <c r="HC113" s="105"/>
      <c r="HD113" s="105"/>
      <c r="HE113" s="105"/>
      <c r="HF113" s="105"/>
      <c r="HG113" s="105"/>
      <c r="HH113" s="105"/>
      <c r="HI113" s="105"/>
      <c r="HJ113" s="105"/>
      <c r="HK113" s="105"/>
      <c r="HL113" s="105"/>
      <c r="HM113" s="105"/>
      <c r="HN113" s="105"/>
      <c r="HO113" s="105"/>
      <c r="HP113" s="105"/>
      <c r="HQ113" s="105"/>
      <c r="HR113" s="105"/>
      <c r="HS113" s="105"/>
      <c r="HT113" s="105"/>
      <c r="HU113" s="105"/>
      <c r="HV113" s="105"/>
      <c r="HW113" s="105"/>
      <c r="HX113" s="105"/>
      <c r="HY113" s="105"/>
      <c r="HZ113" s="105"/>
      <c r="IA113" s="105"/>
      <c r="IB113" s="105"/>
      <c r="IC113" s="105"/>
      <c r="ID113" s="105"/>
      <c r="IE113" s="105"/>
      <c r="IF113" s="105"/>
      <c r="IG113" s="105"/>
      <c r="IH113" s="105"/>
      <c r="II113" s="105"/>
      <c r="IJ113" s="105"/>
      <c r="IK113" s="105"/>
      <c r="IL113" s="105"/>
      <c r="IM113" s="105"/>
      <c r="IN113" s="105"/>
      <c r="IO113" s="105"/>
      <c r="IP113" s="105"/>
      <c r="IQ113" s="105"/>
      <c r="IR113" s="105"/>
      <c r="IS113" s="105"/>
    </row>
    <row r="114" spans="1:253">
      <c r="A114" s="116"/>
      <c r="B114" s="105"/>
      <c r="C114" s="116"/>
      <c r="D114" s="116"/>
      <c r="E114" s="116"/>
      <c r="F114" s="116"/>
      <c r="G114" s="116"/>
      <c r="H114" s="116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105"/>
      <c r="BX114" s="105"/>
      <c r="BY114" s="105"/>
      <c r="BZ114" s="105"/>
      <c r="CA114" s="105"/>
      <c r="CB114" s="105"/>
      <c r="CC114" s="105"/>
      <c r="CD114" s="105"/>
      <c r="CE114" s="105"/>
      <c r="CF114" s="105"/>
      <c r="CG114" s="105"/>
      <c r="CH114" s="105"/>
      <c r="CI114" s="105"/>
      <c r="CJ114" s="105"/>
      <c r="CK114" s="105"/>
      <c r="CL114" s="105"/>
      <c r="CM114" s="105"/>
      <c r="CN114" s="105"/>
      <c r="CO114" s="105"/>
      <c r="CP114" s="105"/>
      <c r="CQ114" s="105"/>
      <c r="CR114" s="105"/>
      <c r="CS114" s="105"/>
      <c r="CT114" s="105"/>
      <c r="CU114" s="105"/>
      <c r="CV114" s="105"/>
      <c r="CW114" s="105"/>
      <c r="CX114" s="105"/>
      <c r="CY114" s="105"/>
      <c r="CZ114" s="105"/>
      <c r="DA114" s="105"/>
      <c r="DB114" s="105"/>
      <c r="DC114" s="105"/>
      <c r="DD114" s="105"/>
      <c r="DE114" s="105"/>
      <c r="DF114" s="105"/>
      <c r="DG114" s="105"/>
      <c r="DH114" s="105"/>
      <c r="DI114" s="105"/>
      <c r="DJ114" s="105"/>
      <c r="DK114" s="105"/>
      <c r="DL114" s="105"/>
      <c r="DM114" s="105"/>
      <c r="DN114" s="105"/>
      <c r="DO114" s="105"/>
      <c r="DP114" s="105"/>
      <c r="DQ114" s="105"/>
      <c r="DR114" s="105"/>
      <c r="DS114" s="105"/>
      <c r="DT114" s="105"/>
      <c r="DU114" s="105"/>
      <c r="DV114" s="105"/>
      <c r="DW114" s="105"/>
      <c r="DX114" s="105"/>
      <c r="DY114" s="105"/>
      <c r="DZ114" s="105"/>
      <c r="EA114" s="105"/>
      <c r="EB114" s="105"/>
      <c r="EC114" s="105"/>
      <c r="ED114" s="105"/>
      <c r="EE114" s="105"/>
      <c r="EF114" s="105"/>
      <c r="EG114" s="105"/>
      <c r="EH114" s="105"/>
      <c r="EI114" s="105"/>
      <c r="EJ114" s="105"/>
      <c r="EK114" s="105"/>
      <c r="EL114" s="105"/>
      <c r="EM114" s="105"/>
      <c r="EN114" s="105"/>
      <c r="EO114" s="105"/>
      <c r="EP114" s="105"/>
      <c r="EQ114" s="105"/>
      <c r="ER114" s="105"/>
      <c r="ES114" s="105"/>
      <c r="ET114" s="105"/>
      <c r="EU114" s="105"/>
      <c r="EV114" s="105"/>
      <c r="EW114" s="105"/>
      <c r="EX114" s="105"/>
      <c r="EY114" s="105"/>
      <c r="EZ114" s="105"/>
      <c r="FA114" s="105"/>
      <c r="FB114" s="105"/>
      <c r="FC114" s="105"/>
      <c r="FD114" s="105"/>
      <c r="FE114" s="105"/>
      <c r="FF114" s="105"/>
      <c r="FG114" s="105"/>
      <c r="FH114" s="105"/>
      <c r="FI114" s="105"/>
      <c r="FJ114" s="105"/>
      <c r="FK114" s="105"/>
      <c r="FL114" s="105"/>
      <c r="FM114" s="105"/>
      <c r="FN114" s="105"/>
      <c r="FO114" s="105"/>
      <c r="FP114" s="105"/>
      <c r="FQ114" s="105"/>
      <c r="FR114" s="105"/>
      <c r="FS114" s="105"/>
      <c r="FT114" s="105"/>
      <c r="FU114" s="105"/>
      <c r="FV114" s="105"/>
      <c r="FW114" s="105"/>
      <c r="FX114" s="105"/>
      <c r="FY114" s="105"/>
      <c r="FZ114" s="105"/>
      <c r="GA114" s="105"/>
      <c r="GB114" s="105"/>
      <c r="GC114" s="105"/>
      <c r="GD114" s="105"/>
      <c r="GE114" s="105"/>
      <c r="GF114" s="105"/>
      <c r="GG114" s="105"/>
      <c r="GH114" s="105"/>
      <c r="GI114" s="105"/>
      <c r="GJ114" s="105"/>
      <c r="GK114" s="105"/>
      <c r="GL114" s="105"/>
      <c r="GM114" s="105"/>
      <c r="GN114" s="105"/>
      <c r="GO114" s="105"/>
      <c r="GP114" s="105"/>
      <c r="GQ114" s="105"/>
      <c r="GR114" s="105"/>
      <c r="GS114" s="105"/>
      <c r="GT114" s="105"/>
      <c r="GU114" s="105"/>
      <c r="GV114" s="105"/>
      <c r="GW114" s="105"/>
      <c r="GX114" s="105"/>
      <c r="GY114" s="105"/>
      <c r="GZ114" s="105"/>
      <c r="HA114" s="105"/>
      <c r="HB114" s="105"/>
      <c r="HC114" s="105"/>
      <c r="HD114" s="105"/>
      <c r="HE114" s="105"/>
      <c r="HF114" s="105"/>
      <c r="HG114" s="105"/>
      <c r="HH114" s="105"/>
      <c r="HI114" s="105"/>
      <c r="HJ114" s="105"/>
      <c r="HK114" s="105"/>
      <c r="HL114" s="105"/>
      <c r="HM114" s="105"/>
      <c r="HN114" s="105"/>
      <c r="HO114" s="105"/>
      <c r="HP114" s="105"/>
      <c r="HQ114" s="105"/>
      <c r="HR114" s="105"/>
      <c r="HS114" s="105"/>
      <c r="HT114" s="105"/>
      <c r="HU114" s="105"/>
      <c r="HV114" s="105"/>
      <c r="HW114" s="105"/>
      <c r="HX114" s="105"/>
      <c r="HY114" s="105"/>
      <c r="HZ114" s="105"/>
      <c r="IA114" s="105"/>
      <c r="IB114" s="105"/>
      <c r="IC114" s="105"/>
      <c r="ID114" s="105"/>
      <c r="IE114" s="105"/>
      <c r="IF114" s="105"/>
      <c r="IG114" s="105"/>
      <c r="IH114" s="105"/>
      <c r="II114" s="105"/>
      <c r="IJ114" s="105"/>
      <c r="IK114" s="105"/>
      <c r="IL114" s="105"/>
      <c r="IM114" s="105"/>
      <c r="IN114" s="105"/>
      <c r="IO114" s="105"/>
      <c r="IP114" s="105"/>
      <c r="IQ114" s="105"/>
      <c r="IR114" s="105"/>
      <c r="IS114" s="105"/>
    </row>
    <row r="115" spans="1:253">
      <c r="A115" s="116"/>
      <c r="B115" s="105"/>
      <c r="C115" s="116"/>
      <c r="D115" s="116"/>
      <c r="E115" s="116"/>
      <c r="F115" s="116"/>
      <c r="G115" s="116"/>
      <c r="H115" s="116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105"/>
      <c r="BX115" s="105"/>
      <c r="BY115" s="105"/>
      <c r="BZ115" s="105"/>
      <c r="CA115" s="105"/>
      <c r="CB115" s="105"/>
      <c r="CC115" s="105"/>
      <c r="CD115" s="105"/>
      <c r="CE115" s="105"/>
      <c r="CF115" s="105"/>
      <c r="CG115" s="105"/>
      <c r="CH115" s="105"/>
      <c r="CI115" s="105"/>
      <c r="CJ115" s="105"/>
      <c r="CK115" s="105"/>
      <c r="CL115" s="105"/>
      <c r="CM115" s="105"/>
      <c r="CN115" s="105"/>
      <c r="CO115" s="105"/>
      <c r="CP115" s="105"/>
      <c r="CQ115" s="105"/>
      <c r="CR115" s="105"/>
      <c r="CS115" s="105"/>
      <c r="CT115" s="105"/>
      <c r="CU115" s="105"/>
      <c r="CV115" s="105"/>
      <c r="CW115" s="105"/>
      <c r="CX115" s="105"/>
      <c r="CY115" s="105"/>
      <c r="CZ115" s="105"/>
      <c r="DA115" s="105"/>
      <c r="DB115" s="105"/>
      <c r="DC115" s="105"/>
      <c r="DD115" s="105"/>
      <c r="DE115" s="105"/>
      <c r="DF115" s="105"/>
      <c r="DG115" s="105"/>
      <c r="DH115" s="105"/>
      <c r="DI115" s="105"/>
      <c r="DJ115" s="105"/>
      <c r="DK115" s="105"/>
      <c r="DL115" s="105"/>
      <c r="DM115" s="105"/>
      <c r="DN115" s="105"/>
      <c r="DO115" s="105"/>
      <c r="DP115" s="105"/>
      <c r="DQ115" s="105"/>
      <c r="DR115" s="105"/>
      <c r="DS115" s="105"/>
      <c r="DT115" s="105"/>
      <c r="DU115" s="105"/>
      <c r="DV115" s="105"/>
      <c r="DW115" s="105"/>
      <c r="DX115" s="105"/>
      <c r="DY115" s="105"/>
      <c r="DZ115" s="105"/>
      <c r="EA115" s="105"/>
      <c r="EB115" s="105"/>
      <c r="EC115" s="105"/>
      <c r="ED115" s="105"/>
      <c r="EE115" s="105"/>
      <c r="EF115" s="105"/>
      <c r="EG115" s="105"/>
      <c r="EH115" s="105"/>
      <c r="EI115" s="105"/>
      <c r="EJ115" s="105"/>
      <c r="EK115" s="105"/>
      <c r="EL115" s="105"/>
      <c r="EM115" s="105"/>
      <c r="EN115" s="105"/>
      <c r="EO115" s="105"/>
      <c r="EP115" s="105"/>
      <c r="EQ115" s="105"/>
      <c r="ER115" s="105"/>
      <c r="ES115" s="105"/>
      <c r="ET115" s="105"/>
      <c r="EU115" s="105"/>
      <c r="EV115" s="105"/>
      <c r="EW115" s="105"/>
      <c r="EX115" s="105"/>
      <c r="EY115" s="105"/>
      <c r="EZ115" s="105"/>
      <c r="FA115" s="105"/>
      <c r="FB115" s="105"/>
      <c r="FC115" s="105"/>
      <c r="FD115" s="105"/>
      <c r="FE115" s="105"/>
      <c r="FF115" s="105"/>
      <c r="FG115" s="105"/>
      <c r="FH115" s="105"/>
      <c r="FI115" s="105"/>
      <c r="FJ115" s="105"/>
      <c r="FK115" s="105"/>
      <c r="FL115" s="105"/>
      <c r="FM115" s="105"/>
      <c r="FN115" s="105"/>
      <c r="FO115" s="105"/>
      <c r="FP115" s="105"/>
      <c r="FQ115" s="105"/>
      <c r="FR115" s="105"/>
      <c r="FS115" s="105"/>
      <c r="FT115" s="105"/>
      <c r="FU115" s="105"/>
      <c r="FV115" s="105"/>
      <c r="FW115" s="105"/>
      <c r="FX115" s="105"/>
      <c r="FY115" s="105"/>
      <c r="FZ115" s="105"/>
      <c r="GA115" s="105"/>
      <c r="GB115" s="105"/>
      <c r="GC115" s="105"/>
      <c r="GD115" s="105"/>
      <c r="GE115" s="105"/>
      <c r="GF115" s="105"/>
      <c r="GG115" s="105"/>
      <c r="GH115" s="105"/>
      <c r="GI115" s="105"/>
      <c r="GJ115" s="105"/>
      <c r="GK115" s="105"/>
      <c r="GL115" s="105"/>
      <c r="GM115" s="105"/>
      <c r="GN115" s="105"/>
      <c r="GO115" s="105"/>
      <c r="GP115" s="105"/>
      <c r="GQ115" s="105"/>
      <c r="GR115" s="105"/>
      <c r="GS115" s="105"/>
      <c r="GT115" s="105"/>
      <c r="GU115" s="105"/>
      <c r="GV115" s="105"/>
      <c r="GW115" s="105"/>
      <c r="GX115" s="105"/>
      <c r="GY115" s="105"/>
      <c r="GZ115" s="105"/>
      <c r="HA115" s="105"/>
      <c r="HB115" s="105"/>
      <c r="HC115" s="105"/>
      <c r="HD115" s="105"/>
      <c r="HE115" s="105"/>
      <c r="HF115" s="105"/>
      <c r="HG115" s="105"/>
      <c r="HH115" s="105"/>
      <c r="HI115" s="105"/>
      <c r="HJ115" s="105"/>
      <c r="HK115" s="105"/>
      <c r="HL115" s="105"/>
      <c r="HM115" s="105"/>
      <c r="HN115" s="105"/>
      <c r="HO115" s="105"/>
      <c r="HP115" s="105"/>
      <c r="HQ115" s="105"/>
      <c r="HR115" s="105"/>
      <c r="HS115" s="105"/>
      <c r="HT115" s="105"/>
      <c r="HU115" s="105"/>
      <c r="HV115" s="105"/>
      <c r="HW115" s="105"/>
      <c r="HX115" s="105"/>
      <c r="HY115" s="105"/>
      <c r="HZ115" s="105"/>
      <c r="IA115" s="105"/>
      <c r="IB115" s="105"/>
      <c r="IC115" s="105"/>
      <c r="ID115" s="105"/>
      <c r="IE115" s="105"/>
      <c r="IF115" s="105"/>
      <c r="IG115" s="105"/>
      <c r="IH115" s="105"/>
      <c r="II115" s="105"/>
      <c r="IJ115" s="105"/>
      <c r="IK115" s="105"/>
      <c r="IL115" s="105"/>
      <c r="IM115" s="105"/>
      <c r="IN115" s="105"/>
      <c r="IO115" s="105"/>
      <c r="IP115" s="105"/>
      <c r="IQ115" s="105"/>
      <c r="IR115" s="105"/>
      <c r="IS115" s="105"/>
    </row>
    <row r="116" spans="1:253">
      <c r="A116" s="116"/>
      <c r="B116" s="105"/>
      <c r="C116" s="116"/>
      <c r="D116" s="116"/>
      <c r="E116" s="116"/>
      <c r="F116" s="116"/>
      <c r="G116" s="116"/>
      <c r="H116" s="116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  <c r="BO116" s="105"/>
      <c r="BP116" s="105"/>
      <c r="BQ116" s="105"/>
      <c r="BR116" s="105"/>
      <c r="BS116" s="105"/>
      <c r="BT116" s="105"/>
      <c r="BU116" s="105"/>
      <c r="BV116" s="105"/>
      <c r="BW116" s="105"/>
      <c r="BX116" s="105"/>
      <c r="BY116" s="105"/>
      <c r="BZ116" s="105"/>
      <c r="CA116" s="105"/>
      <c r="CB116" s="105"/>
      <c r="CC116" s="105"/>
      <c r="CD116" s="105"/>
      <c r="CE116" s="105"/>
      <c r="CF116" s="105"/>
      <c r="CG116" s="105"/>
      <c r="CH116" s="105"/>
      <c r="CI116" s="105"/>
      <c r="CJ116" s="105"/>
      <c r="CK116" s="105"/>
      <c r="CL116" s="105"/>
      <c r="CM116" s="105"/>
      <c r="CN116" s="105"/>
      <c r="CO116" s="105"/>
      <c r="CP116" s="105"/>
      <c r="CQ116" s="105"/>
      <c r="CR116" s="105"/>
      <c r="CS116" s="105"/>
      <c r="CT116" s="105"/>
      <c r="CU116" s="105"/>
      <c r="CV116" s="105"/>
      <c r="CW116" s="105"/>
      <c r="CX116" s="105"/>
      <c r="CY116" s="105"/>
      <c r="CZ116" s="105"/>
      <c r="DA116" s="105"/>
      <c r="DB116" s="105"/>
      <c r="DC116" s="105"/>
      <c r="DD116" s="105"/>
      <c r="DE116" s="105"/>
      <c r="DF116" s="105"/>
      <c r="DG116" s="105"/>
      <c r="DH116" s="105"/>
      <c r="DI116" s="105"/>
      <c r="DJ116" s="105"/>
      <c r="DK116" s="105"/>
      <c r="DL116" s="105"/>
      <c r="DM116" s="105"/>
      <c r="DN116" s="105"/>
      <c r="DO116" s="105"/>
      <c r="DP116" s="105"/>
      <c r="DQ116" s="105"/>
      <c r="DR116" s="105"/>
      <c r="DS116" s="105"/>
      <c r="DT116" s="105"/>
      <c r="DU116" s="105"/>
      <c r="DV116" s="105"/>
      <c r="DW116" s="105"/>
      <c r="DX116" s="105"/>
      <c r="DY116" s="105"/>
      <c r="DZ116" s="105"/>
      <c r="EA116" s="105"/>
      <c r="EB116" s="105"/>
      <c r="EC116" s="105"/>
      <c r="ED116" s="105"/>
      <c r="EE116" s="105"/>
      <c r="EF116" s="105"/>
      <c r="EG116" s="105"/>
      <c r="EH116" s="105"/>
      <c r="EI116" s="105"/>
      <c r="EJ116" s="105"/>
      <c r="EK116" s="105"/>
      <c r="EL116" s="105"/>
      <c r="EM116" s="105"/>
      <c r="EN116" s="105"/>
      <c r="EO116" s="105"/>
      <c r="EP116" s="105"/>
      <c r="EQ116" s="105"/>
      <c r="ER116" s="105"/>
      <c r="ES116" s="105"/>
      <c r="ET116" s="105"/>
      <c r="EU116" s="105"/>
      <c r="EV116" s="105"/>
      <c r="EW116" s="105"/>
      <c r="EX116" s="105"/>
      <c r="EY116" s="105"/>
      <c r="EZ116" s="105"/>
      <c r="FA116" s="105"/>
      <c r="FB116" s="105"/>
      <c r="FC116" s="105"/>
      <c r="FD116" s="105"/>
      <c r="FE116" s="105"/>
      <c r="FF116" s="105"/>
      <c r="FG116" s="105"/>
      <c r="FH116" s="105"/>
      <c r="FI116" s="105"/>
      <c r="FJ116" s="105"/>
      <c r="FK116" s="105"/>
      <c r="FL116" s="105"/>
      <c r="FM116" s="105"/>
      <c r="FN116" s="105"/>
      <c r="FO116" s="105"/>
      <c r="FP116" s="105"/>
      <c r="FQ116" s="105"/>
      <c r="FR116" s="105"/>
      <c r="FS116" s="105"/>
      <c r="FT116" s="105"/>
      <c r="FU116" s="105"/>
      <c r="FV116" s="105"/>
      <c r="FW116" s="105"/>
      <c r="FX116" s="105"/>
      <c r="FY116" s="105"/>
      <c r="FZ116" s="105"/>
      <c r="GA116" s="105"/>
      <c r="GB116" s="105"/>
      <c r="GC116" s="105"/>
      <c r="GD116" s="105"/>
      <c r="GE116" s="105"/>
      <c r="GF116" s="105"/>
      <c r="GG116" s="105"/>
      <c r="GH116" s="105"/>
      <c r="GI116" s="105"/>
      <c r="GJ116" s="105"/>
      <c r="GK116" s="105"/>
      <c r="GL116" s="105"/>
      <c r="GM116" s="105"/>
      <c r="GN116" s="105"/>
      <c r="GO116" s="105"/>
      <c r="GP116" s="105"/>
      <c r="GQ116" s="105"/>
      <c r="GR116" s="105"/>
      <c r="GS116" s="105"/>
      <c r="GT116" s="105"/>
      <c r="GU116" s="105"/>
      <c r="GV116" s="105"/>
      <c r="GW116" s="105"/>
      <c r="GX116" s="105"/>
      <c r="GY116" s="105"/>
      <c r="GZ116" s="105"/>
      <c r="HA116" s="105"/>
      <c r="HB116" s="105"/>
      <c r="HC116" s="105"/>
      <c r="HD116" s="105"/>
      <c r="HE116" s="105"/>
      <c r="HF116" s="105"/>
      <c r="HG116" s="105"/>
      <c r="HH116" s="105"/>
      <c r="HI116" s="105"/>
      <c r="HJ116" s="105"/>
      <c r="HK116" s="105"/>
      <c r="HL116" s="105"/>
      <c r="HM116" s="105"/>
      <c r="HN116" s="105"/>
      <c r="HO116" s="105"/>
      <c r="HP116" s="105"/>
      <c r="HQ116" s="105"/>
      <c r="HR116" s="105"/>
      <c r="HS116" s="105"/>
      <c r="HT116" s="105"/>
      <c r="HU116" s="105"/>
      <c r="HV116" s="105"/>
      <c r="HW116" s="105"/>
      <c r="HX116" s="105"/>
      <c r="HY116" s="105"/>
      <c r="HZ116" s="105"/>
      <c r="IA116" s="105"/>
      <c r="IB116" s="105"/>
      <c r="IC116" s="105"/>
      <c r="ID116" s="105"/>
      <c r="IE116" s="105"/>
      <c r="IF116" s="105"/>
      <c r="IG116" s="105"/>
      <c r="IH116" s="105"/>
      <c r="II116" s="105"/>
      <c r="IJ116" s="105"/>
      <c r="IK116" s="105"/>
      <c r="IL116" s="105"/>
      <c r="IM116" s="105"/>
      <c r="IN116" s="105"/>
      <c r="IO116" s="105"/>
      <c r="IP116" s="105"/>
      <c r="IQ116" s="105"/>
      <c r="IR116" s="105"/>
      <c r="IS116" s="105"/>
    </row>
    <row r="117" spans="1:253">
      <c r="A117" s="116"/>
      <c r="B117" s="105"/>
      <c r="C117" s="116"/>
      <c r="D117" s="116"/>
      <c r="E117" s="116"/>
      <c r="F117" s="116"/>
      <c r="G117" s="116"/>
      <c r="H117" s="116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05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  <c r="CH117" s="105"/>
      <c r="CI117" s="105"/>
      <c r="CJ117" s="105"/>
      <c r="CK117" s="105"/>
      <c r="CL117" s="105"/>
      <c r="CM117" s="105"/>
      <c r="CN117" s="105"/>
      <c r="CO117" s="105"/>
      <c r="CP117" s="105"/>
      <c r="CQ117" s="105"/>
      <c r="CR117" s="105"/>
      <c r="CS117" s="105"/>
      <c r="CT117" s="105"/>
      <c r="CU117" s="105"/>
      <c r="CV117" s="105"/>
      <c r="CW117" s="105"/>
      <c r="CX117" s="105"/>
      <c r="CY117" s="105"/>
      <c r="CZ117" s="105"/>
      <c r="DA117" s="105"/>
      <c r="DB117" s="105"/>
      <c r="DC117" s="105"/>
      <c r="DD117" s="105"/>
      <c r="DE117" s="105"/>
      <c r="DF117" s="105"/>
      <c r="DG117" s="105"/>
      <c r="DH117" s="105"/>
      <c r="DI117" s="105"/>
      <c r="DJ117" s="105"/>
      <c r="DK117" s="105"/>
      <c r="DL117" s="105"/>
      <c r="DM117" s="105"/>
      <c r="DN117" s="105"/>
      <c r="DO117" s="105"/>
      <c r="DP117" s="105"/>
      <c r="DQ117" s="105"/>
      <c r="DR117" s="105"/>
      <c r="DS117" s="105"/>
      <c r="DT117" s="105"/>
      <c r="DU117" s="105"/>
      <c r="DV117" s="105"/>
      <c r="DW117" s="105"/>
      <c r="DX117" s="105"/>
      <c r="DY117" s="105"/>
      <c r="DZ117" s="105"/>
      <c r="EA117" s="105"/>
      <c r="EB117" s="105"/>
      <c r="EC117" s="105"/>
      <c r="ED117" s="105"/>
      <c r="EE117" s="105"/>
      <c r="EF117" s="105"/>
      <c r="EG117" s="105"/>
      <c r="EH117" s="105"/>
      <c r="EI117" s="105"/>
      <c r="EJ117" s="105"/>
      <c r="EK117" s="105"/>
      <c r="EL117" s="105"/>
      <c r="EM117" s="105"/>
      <c r="EN117" s="105"/>
      <c r="EO117" s="105"/>
      <c r="EP117" s="105"/>
      <c r="EQ117" s="105"/>
      <c r="ER117" s="105"/>
      <c r="ES117" s="105"/>
      <c r="ET117" s="105"/>
      <c r="EU117" s="105"/>
      <c r="EV117" s="105"/>
      <c r="EW117" s="105"/>
      <c r="EX117" s="105"/>
      <c r="EY117" s="105"/>
      <c r="EZ117" s="105"/>
      <c r="FA117" s="105"/>
      <c r="FB117" s="105"/>
      <c r="FC117" s="105"/>
      <c r="FD117" s="105"/>
      <c r="FE117" s="105"/>
      <c r="FF117" s="105"/>
      <c r="FG117" s="105"/>
      <c r="FH117" s="105"/>
      <c r="FI117" s="105"/>
      <c r="FJ117" s="105"/>
      <c r="FK117" s="105"/>
      <c r="FL117" s="105"/>
      <c r="FM117" s="105"/>
      <c r="FN117" s="105"/>
      <c r="FO117" s="105"/>
      <c r="FP117" s="105"/>
      <c r="FQ117" s="105"/>
      <c r="FR117" s="105"/>
      <c r="FS117" s="105"/>
      <c r="FT117" s="105"/>
      <c r="FU117" s="105"/>
      <c r="FV117" s="105"/>
      <c r="FW117" s="105"/>
      <c r="FX117" s="105"/>
      <c r="FY117" s="105"/>
      <c r="FZ117" s="105"/>
      <c r="GA117" s="105"/>
      <c r="GB117" s="105"/>
      <c r="GC117" s="105"/>
      <c r="GD117" s="105"/>
      <c r="GE117" s="105"/>
      <c r="GF117" s="105"/>
      <c r="GG117" s="105"/>
      <c r="GH117" s="105"/>
      <c r="GI117" s="105"/>
      <c r="GJ117" s="105"/>
      <c r="GK117" s="105"/>
      <c r="GL117" s="105"/>
      <c r="GM117" s="105"/>
      <c r="GN117" s="105"/>
      <c r="GO117" s="105"/>
      <c r="GP117" s="105"/>
      <c r="GQ117" s="105"/>
      <c r="GR117" s="105"/>
      <c r="GS117" s="105"/>
      <c r="GT117" s="105"/>
      <c r="GU117" s="105"/>
      <c r="GV117" s="105"/>
      <c r="GW117" s="105"/>
      <c r="GX117" s="105"/>
      <c r="GY117" s="105"/>
      <c r="GZ117" s="105"/>
      <c r="HA117" s="105"/>
      <c r="HB117" s="105"/>
      <c r="HC117" s="105"/>
      <c r="HD117" s="105"/>
      <c r="HE117" s="105"/>
      <c r="HF117" s="105"/>
      <c r="HG117" s="105"/>
      <c r="HH117" s="105"/>
      <c r="HI117" s="105"/>
      <c r="HJ117" s="105"/>
      <c r="HK117" s="105"/>
      <c r="HL117" s="105"/>
      <c r="HM117" s="105"/>
      <c r="HN117" s="105"/>
      <c r="HO117" s="105"/>
      <c r="HP117" s="105"/>
      <c r="HQ117" s="105"/>
      <c r="HR117" s="105"/>
      <c r="HS117" s="105"/>
      <c r="HT117" s="105"/>
      <c r="HU117" s="105"/>
      <c r="HV117" s="105"/>
      <c r="HW117" s="105"/>
      <c r="HX117" s="105"/>
      <c r="HY117" s="105"/>
      <c r="HZ117" s="105"/>
      <c r="IA117" s="105"/>
      <c r="IB117" s="105"/>
      <c r="IC117" s="105"/>
      <c r="ID117" s="105"/>
      <c r="IE117" s="105"/>
      <c r="IF117" s="105"/>
      <c r="IG117" s="105"/>
      <c r="IH117" s="105"/>
      <c r="II117" s="105"/>
      <c r="IJ117" s="105"/>
      <c r="IK117" s="105"/>
      <c r="IL117" s="105"/>
      <c r="IM117" s="105"/>
      <c r="IN117" s="105"/>
      <c r="IO117" s="105"/>
      <c r="IP117" s="105"/>
      <c r="IQ117" s="105"/>
      <c r="IR117" s="105"/>
      <c r="IS117" s="105"/>
    </row>
    <row r="118" spans="1:253">
      <c r="A118" s="116"/>
      <c r="B118" s="105"/>
      <c r="C118" s="116"/>
      <c r="D118" s="116"/>
      <c r="E118" s="116"/>
      <c r="F118" s="116"/>
      <c r="G118" s="116"/>
      <c r="H118" s="116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05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05"/>
      <c r="BZ118" s="105"/>
      <c r="CA118" s="105"/>
      <c r="CB118" s="105"/>
      <c r="CC118" s="105"/>
      <c r="CD118" s="105"/>
      <c r="CE118" s="105"/>
      <c r="CF118" s="105"/>
      <c r="CG118" s="105"/>
      <c r="CH118" s="105"/>
      <c r="CI118" s="105"/>
      <c r="CJ118" s="105"/>
      <c r="CK118" s="105"/>
      <c r="CL118" s="105"/>
      <c r="CM118" s="105"/>
      <c r="CN118" s="105"/>
      <c r="CO118" s="105"/>
      <c r="CP118" s="105"/>
      <c r="CQ118" s="105"/>
      <c r="CR118" s="105"/>
      <c r="CS118" s="105"/>
      <c r="CT118" s="105"/>
      <c r="CU118" s="105"/>
      <c r="CV118" s="105"/>
      <c r="CW118" s="105"/>
      <c r="CX118" s="105"/>
      <c r="CY118" s="105"/>
      <c r="CZ118" s="105"/>
      <c r="DA118" s="105"/>
      <c r="DB118" s="105"/>
      <c r="DC118" s="105"/>
      <c r="DD118" s="105"/>
      <c r="DE118" s="105"/>
      <c r="DF118" s="105"/>
      <c r="DG118" s="105"/>
      <c r="DH118" s="105"/>
      <c r="DI118" s="105"/>
      <c r="DJ118" s="105"/>
      <c r="DK118" s="105"/>
      <c r="DL118" s="105"/>
      <c r="DM118" s="105"/>
      <c r="DN118" s="105"/>
      <c r="DO118" s="105"/>
      <c r="DP118" s="105"/>
      <c r="DQ118" s="105"/>
      <c r="DR118" s="105"/>
      <c r="DS118" s="105"/>
      <c r="DT118" s="105"/>
      <c r="DU118" s="105"/>
      <c r="DV118" s="105"/>
      <c r="DW118" s="105"/>
      <c r="DX118" s="105"/>
      <c r="DY118" s="105"/>
      <c r="DZ118" s="105"/>
      <c r="EA118" s="105"/>
      <c r="EB118" s="105"/>
      <c r="EC118" s="105"/>
      <c r="ED118" s="105"/>
      <c r="EE118" s="105"/>
      <c r="EF118" s="105"/>
      <c r="EG118" s="105"/>
      <c r="EH118" s="105"/>
      <c r="EI118" s="105"/>
      <c r="EJ118" s="105"/>
      <c r="EK118" s="105"/>
      <c r="EL118" s="105"/>
      <c r="EM118" s="105"/>
      <c r="EN118" s="105"/>
      <c r="EO118" s="105"/>
      <c r="EP118" s="105"/>
      <c r="EQ118" s="105"/>
      <c r="ER118" s="105"/>
      <c r="ES118" s="105"/>
      <c r="ET118" s="105"/>
      <c r="EU118" s="105"/>
      <c r="EV118" s="105"/>
      <c r="EW118" s="105"/>
      <c r="EX118" s="105"/>
      <c r="EY118" s="105"/>
      <c r="EZ118" s="105"/>
      <c r="FA118" s="105"/>
      <c r="FB118" s="105"/>
      <c r="FC118" s="105"/>
      <c r="FD118" s="105"/>
      <c r="FE118" s="105"/>
      <c r="FF118" s="105"/>
      <c r="FG118" s="105"/>
      <c r="FH118" s="105"/>
      <c r="FI118" s="105"/>
      <c r="FJ118" s="105"/>
      <c r="FK118" s="105"/>
      <c r="FL118" s="105"/>
      <c r="FM118" s="105"/>
      <c r="FN118" s="105"/>
      <c r="FO118" s="105"/>
      <c r="FP118" s="105"/>
      <c r="FQ118" s="105"/>
      <c r="FR118" s="105"/>
      <c r="FS118" s="105"/>
      <c r="FT118" s="105"/>
      <c r="FU118" s="105"/>
      <c r="FV118" s="105"/>
      <c r="FW118" s="105"/>
      <c r="FX118" s="105"/>
      <c r="FY118" s="105"/>
      <c r="FZ118" s="105"/>
      <c r="GA118" s="105"/>
      <c r="GB118" s="105"/>
      <c r="GC118" s="105"/>
      <c r="GD118" s="105"/>
      <c r="GE118" s="105"/>
      <c r="GF118" s="105"/>
      <c r="GG118" s="105"/>
      <c r="GH118" s="105"/>
      <c r="GI118" s="105"/>
      <c r="GJ118" s="105"/>
      <c r="GK118" s="105"/>
      <c r="GL118" s="105"/>
      <c r="GM118" s="105"/>
      <c r="GN118" s="105"/>
      <c r="GO118" s="105"/>
      <c r="GP118" s="105"/>
      <c r="GQ118" s="105"/>
      <c r="GR118" s="105"/>
      <c r="GS118" s="105"/>
      <c r="GT118" s="105"/>
      <c r="GU118" s="105"/>
      <c r="GV118" s="105"/>
      <c r="GW118" s="105"/>
      <c r="GX118" s="105"/>
      <c r="GY118" s="105"/>
      <c r="GZ118" s="105"/>
      <c r="HA118" s="105"/>
      <c r="HB118" s="105"/>
      <c r="HC118" s="105"/>
      <c r="HD118" s="105"/>
      <c r="HE118" s="105"/>
      <c r="HF118" s="105"/>
      <c r="HG118" s="105"/>
      <c r="HH118" s="105"/>
      <c r="HI118" s="105"/>
      <c r="HJ118" s="105"/>
      <c r="HK118" s="105"/>
      <c r="HL118" s="105"/>
      <c r="HM118" s="105"/>
      <c r="HN118" s="105"/>
      <c r="HO118" s="105"/>
      <c r="HP118" s="105"/>
      <c r="HQ118" s="105"/>
      <c r="HR118" s="105"/>
      <c r="HS118" s="105"/>
      <c r="HT118" s="105"/>
      <c r="HU118" s="105"/>
      <c r="HV118" s="105"/>
      <c r="HW118" s="105"/>
      <c r="HX118" s="105"/>
      <c r="HY118" s="105"/>
      <c r="HZ118" s="105"/>
      <c r="IA118" s="105"/>
      <c r="IB118" s="105"/>
      <c r="IC118" s="105"/>
      <c r="ID118" s="105"/>
      <c r="IE118" s="105"/>
      <c r="IF118" s="105"/>
      <c r="IG118" s="105"/>
      <c r="IH118" s="105"/>
      <c r="II118" s="105"/>
      <c r="IJ118" s="105"/>
      <c r="IK118" s="105"/>
      <c r="IL118" s="105"/>
      <c r="IM118" s="105"/>
      <c r="IN118" s="105"/>
      <c r="IO118" s="105"/>
      <c r="IP118" s="105"/>
      <c r="IQ118" s="105"/>
      <c r="IR118" s="105"/>
      <c r="IS118" s="105"/>
    </row>
    <row r="119" spans="1:253">
      <c r="A119" s="116"/>
      <c r="B119" s="105"/>
      <c r="C119" s="116"/>
      <c r="D119" s="116"/>
      <c r="E119" s="116"/>
      <c r="F119" s="116"/>
      <c r="G119" s="116"/>
      <c r="H119" s="116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5"/>
      <c r="CT119" s="105"/>
      <c r="CU119" s="105"/>
      <c r="CV119" s="105"/>
      <c r="CW119" s="105"/>
      <c r="CX119" s="105"/>
      <c r="CY119" s="105"/>
      <c r="CZ119" s="105"/>
      <c r="DA119" s="105"/>
      <c r="DB119" s="105"/>
      <c r="DC119" s="105"/>
      <c r="DD119" s="105"/>
      <c r="DE119" s="105"/>
      <c r="DF119" s="105"/>
      <c r="DG119" s="105"/>
      <c r="DH119" s="105"/>
      <c r="DI119" s="105"/>
      <c r="DJ119" s="105"/>
      <c r="DK119" s="105"/>
      <c r="DL119" s="105"/>
      <c r="DM119" s="105"/>
      <c r="DN119" s="105"/>
      <c r="DO119" s="105"/>
      <c r="DP119" s="105"/>
      <c r="DQ119" s="105"/>
      <c r="DR119" s="105"/>
      <c r="DS119" s="105"/>
      <c r="DT119" s="105"/>
      <c r="DU119" s="105"/>
      <c r="DV119" s="105"/>
      <c r="DW119" s="105"/>
      <c r="DX119" s="105"/>
      <c r="DY119" s="105"/>
      <c r="DZ119" s="105"/>
      <c r="EA119" s="105"/>
      <c r="EB119" s="105"/>
      <c r="EC119" s="105"/>
      <c r="ED119" s="105"/>
      <c r="EE119" s="105"/>
      <c r="EF119" s="105"/>
      <c r="EG119" s="105"/>
      <c r="EH119" s="105"/>
      <c r="EI119" s="105"/>
      <c r="EJ119" s="105"/>
      <c r="EK119" s="105"/>
      <c r="EL119" s="105"/>
      <c r="EM119" s="105"/>
      <c r="EN119" s="105"/>
      <c r="EO119" s="105"/>
      <c r="EP119" s="105"/>
      <c r="EQ119" s="105"/>
      <c r="ER119" s="105"/>
      <c r="ES119" s="105"/>
      <c r="ET119" s="105"/>
      <c r="EU119" s="105"/>
      <c r="EV119" s="105"/>
      <c r="EW119" s="105"/>
      <c r="EX119" s="105"/>
      <c r="EY119" s="105"/>
      <c r="EZ119" s="105"/>
      <c r="FA119" s="105"/>
      <c r="FB119" s="105"/>
      <c r="FC119" s="105"/>
      <c r="FD119" s="105"/>
      <c r="FE119" s="105"/>
      <c r="FF119" s="105"/>
      <c r="FG119" s="105"/>
      <c r="FH119" s="105"/>
      <c r="FI119" s="105"/>
      <c r="FJ119" s="105"/>
      <c r="FK119" s="105"/>
      <c r="FL119" s="105"/>
      <c r="FM119" s="105"/>
      <c r="FN119" s="105"/>
      <c r="FO119" s="105"/>
      <c r="FP119" s="105"/>
      <c r="FQ119" s="105"/>
      <c r="FR119" s="105"/>
      <c r="FS119" s="105"/>
      <c r="FT119" s="105"/>
      <c r="FU119" s="105"/>
      <c r="FV119" s="105"/>
      <c r="FW119" s="105"/>
      <c r="FX119" s="105"/>
      <c r="FY119" s="105"/>
      <c r="FZ119" s="105"/>
      <c r="GA119" s="105"/>
      <c r="GB119" s="105"/>
      <c r="GC119" s="105"/>
      <c r="GD119" s="105"/>
      <c r="GE119" s="105"/>
      <c r="GF119" s="105"/>
      <c r="GG119" s="105"/>
      <c r="GH119" s="105"/>
      <c r="GI119" s="105"/>
      <c r="GJ119" s="105"/>
      <c r="GK119" s="105"/>
      <c r="GL119" s="105"/>
      <c r="GM119" s="105"/>
      <c r="GN119" s="105"/>
      <c r="GO119" s="105"/>
      <c r="GP119" s="105"/>
      <c r="GQ119" s="105"/>
      <c r="GR119" s="105"/>
      <c r="GS119" s="105"/>
      <c r="GT119" s="105"/>
      <c r="GU119" s="105"/>
      <c r="GV119" s="105"/>
      <c r="GW119" s="105"/>
      <c r="GX119" s="105"/>
      <c r="GY119" s="105"/>
      <c r="GZ119" s="105"/>
      <c r="HA119" s="105"/>
      <c r="HB119" s="105"/>
      <c r="HC119" s="105"/>
      <c r="HD119" s="105"/>
      <c r="HE119" s="105"/>
      <c r="HF119" s="105"/>
      <c r="HG119" s="105"/>
      <c r="HH119" s="105"/>
      <c r="HI119" s="105"/>
      <c r="HJ119" s="105"/>
      <c r="HK119" s="105"/>
      <c r="HL119" s="105"/>
      <c r="HM119" s="105"/>
      <c r="HN119" s="105"/>
      <c r="HO119" s="105"/>
      <c r="HP119" s="105"/>
      <c r="HQ119" s="105"/>
      <c r="HR119" s="105"/>
      <c r="HS119" s="105"/>
      <c r="HT119" s="105"/>
      <c r="HU119" s="105"/>
      <c r="HV119" s="105"/>
      <c r="HW119" s="105"/>
      <c r="HX119" s="105"/>
      <c r="HY119" s="105"/>
      <c r="HZ119" s="105"/>
      <c r="IA119" s="105"/>
      <c r="IB119" s="105"/>
      <c r="IC119" s="105"/>
      <c r="ID119" s="105"/>
      <c r="IE119" s="105"/>
      <c r="IF119" s="105"/>
      <c r="IG119" s="105"/>
      <c r="IH119" s="105"/>
      <c r="II119" s="105"/>
      <c r="IJ119" s="105"/>
      <c r="IK119" s="105"/>
      <c r="IL119" s="105"/>
      <c r="IM119" s="105"/>
      <c r="IN119" s="105"/>
      <c r="IO119" s="105"/>
      <c r="IP119" s="105"/>
      <c r="IQ119" s="105"/>
      <c r="IR119" s="105"/>
      <c r="IS119" s="105"/>
    </row>
    <row r="120" spans="1:253">
      <c r="A120" s="116"/>
      <c r="B120" s="105"/>
      <c r="C120" s="116"/>
      <c r="D120" s="116"/>
      <c r="E120" s="116"/>
      <c r="F120" s="116"/>
      <c r="G120" s="116"/>
      <c r="H120" s="116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05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  <c r="CH120" s="105"/>
      <c r="CI120" s="105"/>
      <c r="CJ120" s="105"/>
      <c r="CK120" s="105"/>
      <c r="CL120" s="105"/>
      <c r="CM120" s="105"/>
      <c r="CN120" s="105"/>
      <c r="CO120" s="105"/>
      <c r="CP120" s="105"/>
      <c r="CQ120" s="105"/>
      <c r="CR120" s="105"/>
      <c r="CS120" s="105"/>
      <c r="CT120" s="105"/>
      <c r="CU120" s="105"/>
      <c r="CV120" s="105"/>
      <c r="CW120" s="105"/>
      <c r="CX120" s="105"/>
      <c r="CY120" s="105"/>
      <c r="CZ120" s="105"/>
      <c r="DA120" s="105"/>
      <c r="DB120" s="105"/>
      <c r="DC120" s="105"/>
      <c r="DD120" s="105"/>
      <c r="DE120" s="105"/>
      <c r="DF120" s="105"/>
      <c r="DG120" s="105"/>
      <c r="DH120" s="105"/>
      <c r="DI120" s="105"/>
      <c r="DJ120" s="105"/>
      <c r="DK120" s="105"/>
      <c r="DL120" s="105"/>
      <c r="DM120" s="105"/>
      <c r="DN120" s="105"/>
      <c r="DO120" s="105"/>
      <c r="DP120" s="105"/>
      <c r="DQ120" s="105"/>
      <c r="DR120" s="105"/>
      <c r="DS120" s="105"/>
      <c r="DT120" s="105"/>
      <c r="DU120" s="105"/>
      <c r="DV120" s="105"/>
      <c r="DW120" s="105"/>
      <c r="DX120" s="105"/>
      <c r="DY120" s="105"/>
      <c r="DZ120" s="105"/>
      <c r="EA120" s="105"/>
      <c r="EB120" s="105"/>
      <c r="EC120" s="105"/>
      <c r="ED120" s="105"/>
      <c r="EE120" s="105"/>
      <c r="EF120" s="105"/>
      <c r="EG120" s="105"/>
      <c r="EH120" s="105"/>
      <c r="EI120" s="105"/>
      <c r="EJ120" s="105"/>
      <c r="EK120" s="105"/>
      <c r="EL120" s="105"/>
      <c r="EM120" s="105"/>
      <c r="EN120" s="105"/>
      <c r="EO120" s="105"/>
      <c r="EP120" s="105"/>
      <c r="EQ120" s="105"/>
      <c r="ER120" s="105"/>
      <c r="ES120" s="105"/>
      <c r="ET120" s="105"/>
      <c r="EU120" s="105"/>
      <c r="EV120" s="105"/>
      <c r="EW120" s="105"/>
      <c r="EX120" s="105"/>
      <c r="EY120" s="105"/>
      <c r="EZ120" s="105"/>
      <c r="FA120" s="105"/>
      <c r="FB120" s="105"/>
      <c r="FC120" s="105"/>
      <c r="FD120" s="105"/>
      <c r="FE120" s="105"/>
      <c r="FF120" s="105"/>
      <c r="FG120" s="105"/>
      <c r="FH120" s="105"/>
      <c r="FI120" s="105"/>
      <c r="FJ120" s="105"/>
      <c r="FK120" s="105"/>
      <c r="FL120" s="105"/>
      <c r="FM120" s="105"/>
      <c r="FN120" s="105"/>
      <c r="FO120" s="105"/>
      <c r="FP120" s="105"/>
      <c r="FQ120" s="105"/>
      <c r="FR120" s="105"/>
      <c r="FS120" s="105"/>
      <c r="FT120" s="105"/>
      <c r="FU120" s="105"/>
      <c r="FV120" s="105"/>
      <c r="FW120" s="105"/>
      <c r="FX120" s="105"/>
      <c r="FY120" s="105"/>
      <c r="FZ120" s="105"/>
      <c r="GA120" s="105"/>
      <c r="GB120" s="105"/>
      <c r="GC120" s="105"/>
      <c r="GD120" s="105"/>
      <c r="GE120" s="105"/>
      <c r="GF120" s="105"/>
      <c r="GG120" s="105"/>
      <c r="GH120" s="105"/>
      <c r="GI120" s="105"/>
      <c r="GJ120" s="105"/>
      <c r="GK120" s="105"/>
      <c r="GL120" s="105"/>
      <c r="GM120" s="105"/>
      <c r="GN120" s="105"/>
      <c r="GO120" s="105"/>
      <c r="GP120" s="105"/>
      <c r="GQ120" s="105"/>
      <c r="GR120" s="105"/>
      <c r="GS120" s="105"/>
      <c r="GT120" s="105"/>
      <c r="GU120" s="105"/>
      <c r="GV120" s="105"/>
      <c r="GW120" s="105"/>
      <c r="GX120" s="105"/>
      <c r="GY120" s="105"/>
      <c r="GZ120" s="105"/>
      <c r="HA120" s="105"/>
      <c r="HB120" s="105"/>
      <c r="HC120" s="105"/>
      <c r="HD120" s="105"/>
      <c r="HE120" s="105"/>
      <c r="HF120" s="105"/>
      <c r="HG120" s="105"/>
      <c r="HH120" s="105"/>
      <c r="HI120" s="105"/>
      <c r="HJ120" s="105"/>
      <c r="HK120" s="105"/>
      <c r="HL120" s="105"/>
      <c r="HM120" s="105"/>
      <c r="HN120" s="105"/>
      <c r="HO120" s="105"/>
      <c r="HP120" s="105"/>
      <c r="HQ120" s="105"/>
      <c r="HR120" s="105"/>
      <c r="HS120" s="105"/>
      <c r="HT120" s="105"/>
      <c r="HU120" s="105"/>
      <c r="HV120" s="105"/>
      <c r="HW120" s="105"/>
      <c r="HX120" s="105"/>
      <c r="HY120" s="105"/>
      <c r="HZ120" s="105"/>
      <c r="IA120" s="105"/>
      <c r="IB120" s="105"/>
      <c r="IC120" s="105"/>
      <c r="ID120" s="105"/>
      <c r="IE120" s="105"/>
      <c r="IF120" s="105"/>
      <c r="IG120" s="105"/>
      <c r="IH120" s="105"/>
      <c r="II120" s="105"/>
      <c r="IJ120" s="105"/>
      <c r="IK120" s="105"/>
      <c r="IL120" s="105"/>
      <c r="IM120" s="105"/>
      <c r="IN120" s="105"/>
      <c r="IO120" s="105"/>
      <c r="IP120" s="105"/>
      <c r="IQ120" s="105"/>
      <c r="IR120" s="105"/>
      <c r="IS120" s="105"/>
    </row>
    <row r="121" spans="1:253">
      <c r="A121" s="116"/>
      <c r="B121" s="105"/>
      <c r="C121" s="116"/>
      <c r="D121" s="116"/>
      <c r="E121" s="116"/>
      <c r="F121" s="116"/>
      <c r="G121" s="116"/>
      <c r="H121" s="116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  <c r="BO121" s="105"/>
      <c r="BP121" s="105"/>
      <c r="BQ121" s="105"/>
      <c r="BR121" s="105"/>
      <c r="BS121" s="105"/>
      <c r="BT121" s="105"/>
      <c r="BU121" s="105"/>
      <c r="BV121" s="105"/>
      <c r="BW121" s="105"/>
      <c r="BX121" s="105"/>
      <c r="BY121" s="105"/>
      <c r="BZ121" s="105"/>
      <c r="CA121" s="105"/>
      <c r="CB121" s="105"/>
      <c r="CC121" s="105"/>
      <c r="CD121" s="105"/>
      <c r="CE121" s="105"/>
      <c r="CF121" s="105"/>
      <c r="CG121" s="105"/>
      <c r="CH121" s="105"/>
      <c r="CI121" s="105"/>
      <c r="CJ121" s="105"/>
      <c r="CK121" s="105"/>
      <c r="CL121" s="105"/>
      <c r="CM121" s="105"/>
      <c r="CN121" s="105"/>
      <c r="CO121" s="105"/>
      <c r="CP121" s="105"/>
      <c r="CQ121" s="105"/>
      <c r="CR121" s="105"/>
      <c r="CS121" s="105"/>
      <c r="CT121" s="105"/>
      <c r="CU121" s="105"/>
      <c r="CV121" s="105"/>
      <c r="CW121" s="105"/>
      <c r="CX121" s="105"/>
      <c r="CY121" s="105"/>
      <c r="CZ121" s="105"/>
      <c r="DA121" s="105"/>
      <c r="DB121" s="105"/>
      <c r="DC121" s="105"/>
      <c r="DD121" s="105"/>
      <c r="DE121" s="105"/>
      <c r="DF121" s="105"/>
      <c r="DG121" s="105"/>
      <c r="DH121" s="105"/>
      <c r="DI121" s="105"/>
      <c r="DJ121" s="105"/>
      <c r="DK121" s="105"/>
      <c r="DL121" s="105"/>
      <c r="DM121" s="105"/>
      <c r="DN121" s="105"/>
      <c r="DO121" s="105"/>
      <c r="DP121" s="105"/>
      <c r="DQ121" s="105"/>
      <c r="DR121" s="105"/>
      <c r="DS121" s="105"/>
      <c r="DT121" s="105"/>
      <c r="DU121" s="105"/>
      <c r="DV121" s="105"/>
      <c r="DW121" s="105"/>
      <c r="DX121" s="105"/>
      <c r="DY121" s="105"/>
      <c r="DZ121" s="105"/>
      <c r="EA121" s="105"/>
      <c r="EB121" s="105"/>
      <c r="EC121" s="105"/>
      <c r="ED121" s="105"/>
      <c r="EE121" s="105"/>
      <c r="EF121" s="105"/>
      <c r="EG121" s="105"/>
      <c r="EH121" s="105"/>
      <c r="EI121" s="105"/>
      <c r="EJ121" s="105"/>
      <c r="EK121" s="105"/>
      <c r="EL121" s="105"/>
      <c r="EM121" s="105"/>
      <c r="EN121" s="105"/>
      <c r="EO121" s="105"/>
      <c r="EP121" s="105"/>
      <c r="EQ121" s="105"/>
      <c r="ER121" s="105"/>
      <c r="ES121" s="105"/>
      <c r="ET121" s="105"/>
      <c r="EU121" s="105"/>
      <c r="EV121" s="105"/>
      <c r="EW121" s="105"/>
      <c r="EX121" s="105"/>
      <c r="EY121" s="105"/>
      <c r="EZ121" s="105"/>
      <c r="FA121" s="105"/>
      <c r="FB121" s="105"/>
      <c r="FC121" s="105"/>
      <c r="FD121" s="105"/>
      <c r="FE121" s="105"/>
      <c r="FF121" s="105"/>
      <c r="FG121" s="105"/>
      <c r="FH121" s="105"/>
      <c r="FI121" s="105"/>
      <c r="FJ121" s="105"/>
      <c r="FK121" s="105"/>
      <c r="FL121" s="105"/>
      <c r="FM121" s="105"/>
      <c r="FN121" s="105"/>
      <c r="FO121" s="105"/>
      <c r="FP121" s="105"/>
      <c r="FQ121" s="105"/>
      <c r="FR121" s="105"/>
      <c r="FS121" s="105"/>
      <c r="FT121" s="105"/>
      <c r="FU121" s="105"/>
      <c r="FV121" s="105"/>
      <c r="FW121" s="105"/>
      <c r="FX121" s="105"/>
      <c r="FY121" s="105"/>
      <c r="FZ121" s="105"/>
      <c r="GA121" s="105"/>
      <c r="GB121" s="105"/>
      <c r="GC121" s="105"/>
      <c r="GD121" s="105"/>
      <c r="GE121" s="105"/>
      <c r="GF121" s="105"/>
      <c r="GG121" s="105"/>
      <c r="GH121" s="105"/>
      <c r="GI121" s="105"/>
      <c r="GJ121" s="105"/>
      <c r="GK121" s="105"/>
      <c r="GL121" s="105"/>
      <c r="GM121" s="105"/>
      <c r="GN121" s="105"/>
      <c r="GO121" s="105"/>
      <c r="GP121" s="105"/>
      <c r="GQ121" s="105"/>
      <c r="GR121" s="105"/>
      <c r="GS121" s="105"/>
      <c r="GT121" s="105"/>
      <c r="GU121" s="105"/>
      <c r="GV121" s="105"/>
      <c r="GW121" s="105"/>
      <c r="GX121" s="105"/>
      <c r="GY121" s="105"/>
      <c r="GZ121" s="105"/>
      <c r="HA121" s="105"/>
      <c r="HB121" s="105"/>
      <c r="HC121" s="105"/>
      <c r="HD121" s="105"/>
      <c r="HE121" s="105"/>
      <c r="HF121" s="105"/>
      <c r="HG121" s="105"/>
      <c r="HH121" s="105"/>
      <c r="HI121" s="105"/>
      <c r="HJ121" s="105"/>
      <c r="HK121" s="105"/>
      <c r="HL121" s="105"/>
      <c r="HM121" s="105"/>
      <c r="HN121" s="105"/>
      <c r="HO121" s="105"/>
      <c r="HP121" s="105"/>
      <c r="HQ121" s="105"/>
      <c r="HR121" s="105"/>
      <c r="HS121" s="105"/>
      <c r="HT121" s="105"/>
      <c r="HU121" s="105"/>
      <c r="HV121" s="105"/>
      <c r="HW121" s="105"/>
      <c r="HX121" s="105"/>
      <c r="HY121" s="105"/>
      <c r="HZ121" s="105"/>
      <c r="IA121" s="105"/>
      <c r="IB121" s="105"/>
      <c r="IC121" s="105"/>
      <c r="ID121" s="105"/>
      <c r="IE121" s="105"/>
      <c r="IF121" s="105"/>
      <c r="IG121" s="105"/>
      <c r="IH121" s="105"/>
      <c r="II121" s="105"/>
      <c r="IJ121" s="105"/>
      <c r="IK121" s="105"/>
      <c r="IL121" s="105"/>
      <c r="IM121" s="105"/>
      <c r="IN121" s="105"/>
      <c r="IO121" s="105"/>
      <c r="IP121" s="105"/>
      <c r="IQ121" s="105"/>
      <c r="IR121" s="105"/>
      <c r="IS121" s="105"/>
    </row>
    <row r="122" spans="1:253">
      <c r="A122" s="116"/>
      <c r="B122" s="105"/>
      <c r="C122" s="116"/>
      <c r="D122" s="116"/>
      <c r="E122" s="116"/>
      <c r="F122" s="116"/>
      <c r="G122" s="116"/>
      <c r="H122" s="116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  <c r="BO122" s="105"/>
      <c r="BP122" s="105"/>
      <c r="BQ122" s="105"/>
      <c r="BR122" s="105"/>
      <c r="BS122" s="105"/>
      <c r="BT122" s="105"/>
      <c r="BU122" s="105"/>
      <c r="BV122" s="105"/>
      <c r="BW122" s="105"/>
      <c r="BX122" s="105"/>
      <c r="BY122" s="105"/>
      <c r="BZ122" s="105"/>
      <c r="CA122" s="105"/>
      <c r="CB122" s="105"/>
      <c r="CC122" s="105"/>
      <c r="CD122" s="105"/>
      <c r="CE122" s="105"/>
      <c r="CF122" s="105"/>
      <c r="CG122" s="105"/>
      <c r="CH122" s="105"/>
      <c r="CI122" s="105"/>
      <c r="CJ122" s="105"/>
      <c r="CK122" s="105"/>
      <c r="CL122" s="105"/>
      <c r="CM122" s="105"/>
      <c r="CN122" s="105"/>
      <c r="CO122" s="105"/>
      <c r="CP122" s="105"/>
      <c r="CQ122" s="105"/>
      <c r="CR122" s="105"/>
      <c r="CS122" s="105"/>
      <c r="CT122" s="105"/>
      <c r="CU122" s="105"/>
      <c r="CV122" s="105"/>
      <c r="CW122" s="105"/>
      <c r="CX122" s="105"/>
      <c r="CY122" s="105"/>
      <c r="CZ122" s="105"/>
      <c r="DA122" s="105"/>
      <c r="DB122" s="105"/>
      <c r="DC122" s="105"/>
      <c r="DD122" s="105"/>
      <c r="DE122" s="105"/>
      <c r="DF122" s="105"/>
      <c r="DG122" s="105"/>
      <c r="DH122" s="105"/>
      <c r="DI122" s="105"/>
      <c r="DJ122" s="105"/>
      <c r="DK122" s="105"/>
      <c r="DL122" s="105"/>
      <c r="DM122" s="105"/>
      <c r="DN122" s="105"/>
      <c r="DO122" s="105"/>
      <c r="DP122" s="105"/>
      <c r="DQ122" s="105"/>
      <c r="DR122" s="105"/>
      <c r="DS122" s="105"/>
      <c r="DT122" s="105"/>
      <c r="DU122" s="105"/>
      <c r="DV122" s="105"/>
      <c r="DW122" s="105"/>
      <c r="DX122" s="105"/>
      <c r="DY122" s="105"/>
      <c r="DZ122" s="105"/>
      <c r="EA122" s="105"/>
      <c r="EB122" s="105"/>
      <c r="EC122" s="105"/>
      <c r="ED122" s="105"/>
      <c r="EE122" s="105"/>
      <c r="EF122" s="105"/>
      <c r="EG122" s="105"/>
      <c r="EH122" s="105"/>
      <c r="EI122" s="105"/>
      <c r="EJ122" s="105"/>
      <c r="EK122" s="105"/>
      <c r="EL122" s="105"/>
      <c r="EM122" s="105"/>
      <c r="EN122" s="105"/>
      <c r="EO122" s="105"/>
      <c r="EP122" s="105"/>
      <c r="EQ122" s="105"/>
      <c r="ER122" s="105"/>
      <c r="ES122" s="105"/>
      <c r="ET122" s="105"/>
      <c r="EU122" s="105"/>
      <c r="EV122" s="105"/>
      <c r="EW122" s="105"/>
      <c r="EX122" s="105"/>
      <c r="EY122" s="105"/>
      <c r="EZ122" s="105"/>
      <c r="FA122" s="105"/>
      <c r="FB122" s="105"/>
      <c r="FC122" s="105"/>
      <c r="FD122" s="105"/>
      <c r="FE122" s="105"/>
      <c r="FF122" s="105"/>
      <c r="FG122" s="105"/>
      <c r="FH122" s="105"/>
      <c r="FI122" s="105"/>
      <c r="FJ122" s="105"/>
      <c r="FK122" s="105"/>
      <c r="FL122" s="105"/>
      <c r="FM122" s="105"/>
      <c r="FN122" s="105"/>
      <c r="FO122" s="105"/>
      <c r="FP122" s="105"/>
      <c r="FQ122" s="105"/>
      <c r="FR122" s="105"/>
      <c r="FS122" s="105"/>
      <c r="FT122" s="105"/>
      <c r="FU122" s="105"/>
      <c r="FV122" s="105"/>
      <c r="FW122" s="105"/>
      <c r="FX122" s="105"/>
      <c r="FY122" s="105"/>
      <c r="FZ122" s="105"/>
      <c r="GA122" s="105"/>
      <c r="GB122" s="105"/>
      <c r="GC122" s="105"/>
      <c r="GD122" s="105"/>
      <c r="GE122" s="105"/>
      <c r="GF122" s="105"/>
      <c r="GG122" s="105"/>
      <c r="GH122" s="105"/>
      <c r="GI122" s="105"/>
      <c r="GJ122" s="105"/>
      <c r="GK122" s="105"/>
      <c r="GL122" s="105"/>
      <c r="GM122" s="105"/>
      <c r="GN122" s="105"/>
      <c r="GO122" s="105"/>
      <c r="GP122" s="105"/>
      <c r="GQ122" s="105"/>
      <c r="GR122" s="105"/>
      <c r="GS122" s="105"/>
      <c r="GT122" s="105"/>
      <c r="GU122" s="105"/>
      <c r="GV122" s="105"/>
      <c r="GW122" s="105"/>
      <c r="GX122" s="105"/>
      <c r="GY122" s="105"/>
      <c r="GZ122" s="105"/>
      <c r="HA122" s="105"/>
      <c r="HB122" s="105"/>
      <c r="HC122" s="105"/>
      <c r="HD122" s="105"/>
      <c r="HE122" s="105"/>
      <c r="HF122" s="105"/>
      <c r="HG122" s="105"/>
      <c r="HH122" s="105"/>
      <c r="HI122" s="105"/>
      <c r="HJ122" s="105"/>
      <c r="HK122" s="105"/>
      <c r="HL122" s="105"/>
      <c r="HM122" s="105"/>
      <c r="HN122" s="105"/>
      <c r="HO122" s="105"/>
      <c r="HP122" s="105"/>
      <c r="HQ122" s="105"/>
      <c r="HR122" s="105"/>
      <c r="HS122" s="105"/>
      <c r="HT122" s="105"/>
      <c r="HU122" s="105"/>
      <c r="HV122" s="105"/>
      <c r="HW122" s="105"/>
      <c r="HX122" s="105"/>
      <c r="HY122" s="105"/>
      <c r="HZ122" s="105"/>
      <c r="IA122" s="105"/>
      <c r="IB122" s="105"/>
      <c r="IC122" s="105"/>
      <c r="ID122" s="105"/>
      <c r="IE122" s="105"/>
      <c r="IF122" s="105"/>
      <c r="IG122" s="105"/>
      <c r="IH122" s="105"/>
      <c r="II122" s="105"/>
      <c r="IJ122" s="105"/>
      <c r="IK122" s="105"/>
      <c r="IL122" s="105"/>
      <c r="IM122" s="105"/>
      <c r="IN122" s="105"/>
      <c r="IO122" s="105"/>
      <c r="IP122" s="105"/>
      <c r="IQ122" s="105"/>
      <c r="IR122" s="105"/>
      <c r="IS122" s="105"/>
    </row>
    <row r="123" spans="1:253">
      <c r="A123" s="116"/>
      <c r="B123" s="105"/>
      <c r="C123" s="116"/>
      <c r="D123" s="116"/>
      <c r="E123" s="116"/>
      <c r="F123" s="116"/>
      <c r="G123" s="116"/>
      <c r="H123" s="116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105"/>
      <c r="BX123" s="105"/>
      <c r="BY123" s="105"/>
      <c r="BZ123" s="105"/>
      <c r="CA123" s="105"/>
      <c r="CB123" s="105"/>
      <c r="CC123" s="105"/>
      <c r="CD123" s="105"/>
      <c r="CE123" s="105"/>
      <c r="CF123" s="105"/>
      <c r="CG123" s="105"/>
      <c r="CH123" s="105"/>
      <c r="CI123" s="105"/>
      <c r="CJ123" s="105"/>
      <c r="CK123" s="105"/>
      <c r="CL123" s="105"/>
      <c r="CM123" s="105"/>
      <c r="CN123" s="105"/>
      <c r="CO123" s="105"/>
      <c r="CP123" s="105"/>
      <c r="CQ123" s="105"/>
      <c r="CR123" s="105"/>
      <c r="CS123" s="105"/>
      <c r="CT123" s="105"/>
      <c r="CU123" s="105"/>
      <c r="CV123" s="105"/>
      <c r="CW123" s="105"/>
      <c r="CX123" s="105"/>
      <c r="CY123" s="105"/>
      <c r="CZ123" s="105"/>
      <c r="DA123" s="105"/>
      <c r="DB123" s="105"/>
      <c r="DC123" s="105"/>
      <c r="DD123" s="105"/>
      <c r="DE123" s="105"/>
      <c r="DF123" s="105"/>
      <c r="DG123" s="105"/>
      <c r="DH123" s="105"/>
      <c r="DI123" s="105"/>
      <c r="DJ123" s="105"/>
      <c r="DK123" s="105"/>
      <c r="DL123" s="105"/>
      <c r="DM123" s="105"/>
      <c r="DN123" s="105"/>
      <c r="DO123" s="105"/>
      <c r="DP123" s="105"/>
      <c r="DQ123" s="105"/>
      <c r="DR123" s="105"/>
      <c r="DS123" s="105"/>
      <c r="DT123" s="105"/>
      <c r="DU123" s="105"/>
      <c r="DV123" s="105"/>
      <c r="DW123" s="105"/>
      <c r="DX123" s="105"/>
      <c r="DY123" s="105"/>
      <c r="DZ123" s="105"/>
      <c r="EA123" s="105"/>
      <c r="EB123" s="105"/>
      <c r="EC123" s="105"/>
      <c r="ED123" s="105"/>
      <c r="EE123" s="105"/>
      <c r="EF123" s="105"/>
      <c r="EG123" s="105"/>
      <c r="EH123" s="105"/>
      <c r="EI123" s="105"/>
      <c r="EJ123" s="105"/>
      <c r="EK123" s="105"/>
      <c r="EL123" s="105"/>
      <c r="EM123" s="105"/>
      <c r="EN123" s="105"/>
      <c r="EO123" s="105"/>
      <c r="EP123" s="105"/>
      <c r="EQ123" s="105"/>
      <c r="ER123" s="105"/>
      <c r="ES123" s="105"/>
      <c r="ET123" s="105"/>
      <c r="EU123" s="105"/>
      <c r="EV123" s="105"/>
      <c r="EW123" s="105"/>
      <c r="EX123" s="105"/>
      <c r="EY123" s="105"/>
      <c r="EZ123" s="105"/>
      <c r="FA123" s="105"/>
      <c r="FB123" s="105"/>
      <c r="FC123" s="105"/>
      <c r="FD123" s="105"/>
      <c r="FE123" s="105"/>
      <c r="FF123" s="105"/>
      <c r="FG123" s="105"/>
      <c r="FH123" s="105"/>
      <c r="FI123" s="105"/>
      <c r="FJ123" s="105"/>
      <c r="FK123" s="105"/>
      <c r="FL123" s="105"/>
      <c r="FM123" s="105"/>
      <c r="FN123" s="105"/>
      <c r="FO123" s="105"/>
      <c r="FP123" s="105"/>
      <c r="FQ123" s="105"/>
      <c r="FR123" s="105"/>
      <c r="FS123" s="105"/>
      <c r="FT123" s="105"/>
      <c r="FU123" s="105"/>
      <c r="FV123" s="105"/>
      <c r="FW123" s="105"/>
      <c r="FX123" s="105"/>
      <c r="FY123" s="105"/>
      <c r="FZ123" s="105"/>
      <c r="GA123" s="105"/>
      <c r="GB123" s="105"/>
      <c r="GC123" s="105"/>
      <c r="GD123" s="105"/>
      <c r="GE123" s="105"/>
      <c r="GF123" s="105"/>
      <c r="GG123" s="105"/>
      <c r="GH123" s="105"/>
      <c r="GI123" s="105"/>
      <c r="GJ123" s="105"/>
      <c r="GK123" s="105"/>
      <c r="GL123" s="105"/>
      <c r="GM123" s="105"/>
      <c r="GN123" s="105"/>
      <c r="GO123" s="105"/>
      <c r="GP123" s="105"/>
      <c r="GQ123" s="105"/>
      <c r="GR123" s="105"/>
      <c r="GS123" s="105"/>
      <c r="GT123" s="105"/>
      <c r="GU123" s="105"/>
      <c r="GV123" s="105"/>
      <c r="GW123" s="105"/>
      <c r="GX123" s="105"/>
      <c r="GY123" s="105"/>
      <c r="GZ123" s="105"/>
      <c r="HA123" s="105"/>
      <c r="HB123" s="105"/>
      <c r="HC123" s="105"/>
      <c r="HD123" s="105"/>
      <c r="HE123" s="105"/>
      <c r="HF123" s="105"/>
      <c r="HG123" s="105"/>
      <c r="HH123" s="105"/>
      <c r="HI123" s="105"/>
      <c r="HJ123" s="105"/>
      <c r="HK123" s="105"/>
      <c r="HL123" s="105"/>
      <c r="HM123" s="105"/>
      <c r="HN123" s="105"/>
      <c r="HO123" s="105"/>
      <c r="HP123" s="105"/>
      <c r="HQ123" s="105"/>
      <c r="HR123" s="105"/>
      <c r="HS123" s="105"/>
      <c r="HT123" s="105"/>
      <c r="HU123" s="105"/>
      <c r="HV123" s="105"/>
      <c r="HW123" s="105"/>
      <c r="HX123" s="105"/>
      <c r="HY123" s="105"/>
      <c r="HZ123" s="105"/>
      <c r="IA123" s="105"/>
      <c r="IB123" s="105"/>
      <c r="IC123" s="105"/>
      <c r="ID123" s="105"/>
      <c r="IE123" s="105"/>
      <c r="IF123" s="105"/>
      <c r="IG123" s="105"/>
      <c r="IH123" s="105"/>
      <c r="II123" s="105"/>
      <c r="IJ123" s="105"/>
      <c r="IK123" s="105"/>
      <c r="IL123" s="105"/>
      <c r="IM123" s="105"/>
      <c r="IN123" s="105"/>
      <c r="IO123" s="105"/>
      <c r="IP123" s="105"/>
      <c r="IQ123" s="105"/>
      <c r="IR123" s="105"/>
      <c r="IS123" s="105"/>
    </row>
    <row r="124" spans="1:253">
      <c r="A124" s="116"/>
      <c r="B124" s="105"/>
      <c r="C124" s="116"/>
      <c r="D124" s="116"/>
      <c r="E124" s="116"/>
      <c r="F124" s="116"/>
      <c r="G124" s="116"/>
      <c r="H124" s="116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5"/>
      <c r="BR124" s="105"/>
      <c r="BS124" s="105"/>
      <c r="BT124" s="105"/>
      <c r="BU124" s="105"/>
      <c r="BV124" s="105"/>
      <c r="BW124" s="105"/>
      <c r="BX124" s="105"/>
      <c r="BY124" s="105"/>
      <c r="BZ124" s="105"/>
      <c r="CA124" s="105"/>
      <c r="CB124" s="105"/>
      <c r="CC124" s="105"/>
      <c r="CD124" s="105"/>
      <c r="CE124" s="105"/>
      <c r="CF124" s="105"/>
      <c r="CG124" s="105"/>
      <c r="CH124" s="105"/>
      <c r="CI124" s="105"/>
      <c r="CJ124" s="105"/>
      <c r="CK124" s="105"/>
      <c r="CL124" s="105"/>
      <c r="CM124" s="105"/>
      <c r="CN124" s="105"/>
      <c r="CO124" s="105"/>
      <c r="CP124" s="105"/>
      <c r="CQ124" s="105"/>
      <c r="CR124" s="105"/>
      <c r="CS124" s="105"/>
      <c r="CT124" s="105"/>
      <c r="CU124" s="105"/>
      <c r="CV124" s="105"/>
      <c r="CW124" s="105"/>
      <c r="CX124" s="105"/>
      <c r="CY124" s="105"/>
      <c r="CZ124" s="105"/>
      <c r="DA124" s="105"/>
      <c r="DB124" s="105"/>
      <c r="DC124" s="105"/>
      <c r="DD124" s="105"/>
      <c r="DE124" s="105"/>
      <c r="DF124" s="105"/>
      <c r="DG124" s="105"/>
      <c r="DH124" s="105"/>
      <c r="DI124" s="105"/>
      <c r="DJ124" s="105"/>
      <c r="DK124" s="105"/>
      <c r="DL124" s="105"/>
      <c r="DM124" s="105"/>
      <c r="DN124" s="105"/>
      <c r="DO124" s="105"/>
      <c r="DP124" s="105"/>
      <c r="DQ124" s="105"/>
      <c r="DR124" s="105"/>
      <c r="DS124" s="105"/>
      <c r="DT124" s="105"/>
      <c r="DU124" s="105"/>
      <c r="DV124" s="105"/>
      <c r="DW124" s="105"/>
      <c r="DX124" s="105"/>
      <c r="DY124" s="105"/>
      <c r="DZ124" s="105"/>
      <c r="EA124" s="105"/>
      <c r="EB124" s="105"/>
      <c r="EC124" s="105"/>
      <c r="ED124" s="105"/>
      <c r="EE124" s="105"/>
      <c r="EF124" s="105"/>
      <c r="EG124" s="105"/>
      <c r="EH124" s="105"/>
      <c r="EI124" s="105"/>
      <c r="EJ124" s="105"/>
      <c r="EK124" s="105"/>
      <c r="EL124" s="105"/>
      <c r="EM124" s="105"/>
      <c r="EN124" s="105"/>
      <c r="EO124" s="105"/>
      <c r="EP124" s="105"/>
      <c r="EQ124" s="105"/>
      <c r="ER124" s="105"/>
      <c r="ES124" s="105"/>
      <c r="ET124" s="105"/>
      <c r="EU124" s="105"/>
      <c r="EV124" s="105"/>
      <c r="EW124" s="105"/>
      <c r="EX124" s="105"/>
      <c r="EY124" s="105"/>
      <c r="EZ124" s="105"/>
      <c r="FA124" s="105"/>
      <c r="FB124" s="105"/>
      <c r="FC124" s="105"/>
      <c r="FD124" s="105"/>
      <c r="FE124" s="105"/>
      <c r="FF124" s="105"/>
      <c r="FG124" s="105"/>
      <c r="FH124" s="105"/>
      <c r="FI124" s="105"/>
      <c r="FJ124" s="105"/>
      <c r="FK124" s="105"/>
      <c r="FL124" s="105"/>
      <c r="FM124" s="105"/>
      <c r="FN124" s="105"/>
      <c r="FO124" s="105"/>
      <c r="FP124" s="105"/>
      <c r="FQ124" s="105"/>
      <c r="FR124" s="105"/>
      <c r="FS124" s="105"/>
      <c r="FT124" s="105"/>
      <c r="FU124" s="105"/>
      <c r="FV124" s="105"/>
      <c r="FW124" s="105"/>
      <c r="FX124" s="105"/>
      <c r="FY124" s="105"/>
      <c r="FZ124" s="105"/>
      <c r="GA124" s="105"/>
      <c r="GB124" s="105"/>
      <c r="GC124" s="105"/>
      <c r="GD124" s="105"/>
      <c r="GE124" s="105"/>
      <c r="GF124" s="105"/>
      <c r="GG124" s="105"/>
      <c r="GH124" s="105"/>
      <c r="GI124" s="105"/>
      <c r="GJ124" s="105"/>
      <c r="GK124" s="105"/>
      <c r="GL124" s="105"/>
      <c r="GM124" s="105"/>
      <c r="GN124" s="105"/>
      <c r="GO124" s="105"/>
      <c r="GP124" s="105"/>
      <c r="GQ124" s="105"/>
      <c r="GR124" s="105"/>
      <c r="GS124" s="105"/>
      <c r="GT124" s="105"/>
      <c r="GU124" s="105"/>
      <c r="GV124" s="105"/>
      <c r="GW124" s="105"/>
      <c r="GX124" s="105"/>
      <c r="GY124" s="105"/>
      <c r="GZ124" s="105"/>
      <c r="HA124" s="105"/>
      <c r="HB124" s="105"/>
      <c r="HC124" s="105"/>
      <c r="HD124" s="105"/>
      <c r="HE124" s="105"/>
      <c r="HF124" s="105"/>
      <c r="HG124" s="105"/>
      <c r="HH124" s="105"/>
      <c r="HI124" s="105"/>
      <c r="HJ124" s="105"/>
      <c r="HK124" s="105"/>
      <c r="HL124" s="105"/>
      <c r="HM124" s="105"/>
      <c r="HN124" s="105"/>
      <c r="HO124" s="105"/>
      <c r="HP124" s="105"/>
      <c r="HQ124" s="105"/>
      <c r="HR124" s="105"/>
      <c r="HS124" s="105"/>
      <c r="HT124" s="105"/>
      <c r="HU124" s="105"/>
      <c r="HV124" s="105"/>
      <c r="HW124" s="105"/>
      <c r="HX124" s="105"/>
      <c r="HY124" s="105"/>
      <c r="HZ124" s="105"/>
      <c r="IA124" s="105"/>
      <c r="IB124" s="105"/>
      <c r="IC124" s="105"/>
      <c r="ID124" s="105"/>
      <c r="IE124" s="105"/>
      <c r="IF124" s="105"/>
      <c r="IG124" s="105"/>
      <c r="IH124" s="105"/>
      <c r="II124" s="105"/>
      <c r="IJ124" s="105"/>
      <c r="IK124" s="105"/>
      <c r="IL124" s="105"/>
      <c r="IM124" s="105"/>
      <c r="IN124" s="105"/>
      <c r="IO124" s="105"/>
      <c r="IP124" s="105"/>
      <c r="IQ124" s="105"/>
      <c r="IR124" s="105"/>
      <c r="IS124" s="105"/>
    </row>
    <row r="125" spans="1:253">
      <c r="A125" s="116"/>
      <c r="B125" s="105"/>
      <c r="C125" s="116"/>
      <c r="D125" s="116"/>
      <c r="E125" s="116"/>
      <c r="F125" s="116"/>
      <c r="G125" s="116"/>
      <c r="H125" s="116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  <c r="BO125" s="105"/>
      <c r="BP125" s="105"/>
      <c r="BQ125" s="105"/>
      <c r="BR125" s="105"/>
      <c r="BS125" s="105"/>
      <c r="BT125" s="105"/>
      <c r="BU125" s="105"/>
      <c r="BV125" s="105"/>
      <c r="BW125" s="105"/>
      <c r="BX125" s="105"/>
      <c r="BY125" s="105"/>
      <c r="BZ125" s="105"/>
      <c r="CA125" s="105"/>
      <c r="CB125" s="105"/>
      <c r="CC125" s="105"/>
      <c r="CD125" s="105"/>
      <c r="CE125" s="105"/>
      <c r="CF125" s="105"/>
      <c r="CG125" s="105"/>
      <c r="CH125" s="105"/>
      <c r="CI125" s="105"/>
      <c r="CJ125" s="105"/>
      <c r="CK125" s="105"/>
      <c r="CL125" s="105"/>
      <c r="CM125" s="105"/>
      <c r="CN125" s="105"/>
      <c r="CO125" s="105"/>
      <c r="CP125" s="105"/>
      <c r="CQ125" s="105"/>
      <c r="CR125" s="105"/>
      <c r="CS125" s="105"/>
      <c r="CT125" s="105"/>
      <c r="CU125" s="105"/>
      <c r="CV125" s="105"/>
      <c r="CW125" s="105"/>
      <c r="CX125" s="105"/>
      <c r="CY125" s="105"/>
      <c r="CZ125" s="105"/>
      <c r="DA125" s="105"/>
      <c r="DB125" s="105"/>
      <c r="DC125" s="105"/>
      <c r="DD125" s="105"/>
      <c r="DE125" s="105"/>
      <c r="DF125" s="105"/>
      <c r="DG125" s="105"/>
      <c r="DH125" s="105"/>
      <c r="DI125" s="105"/>
      <c r="DJ125" s="105"/>
      <c r="DK125" s="105"/>
      <c r="DL125" s="105"/>
      <c r="DM125" s="105"/>
      <c r="DN125" s="105"/>
      <c r="DO125" s="105"/>
      <c r="DP125" s="105"/>
      <c r="DQ125" s="105"/>
      <c r="DR125" s="105"/>
      <c r="DS125" s="105"/>
      <c r="DT125" s="105"/>
      <c r="DU125" s="105"/>
      <c r="DV125" s="105"/>
      <c r="DW125" s="105"/>
      <c r="DX125" s="105"/>
      <c r="DY125" s="105"/>
      <c r="DZ125" s="105"/>
      <c r="EA125" s="105"/>
      <c r="EB125" s="105"/>
      <c r="EC125" s="105"/>
      <c r="ED125" s="105"/>
      <c r="EE125" s="105"/>
      <c r="EF125" s="105"/>
      <c r="EG125" s="105"/>
      <c r="EH125" s="105"/>
      <c r="EI125" s="105"/>
      <c r="EJ125" s="105"/>
      <c r="EK125" s="105"/>
      <c r="EL125" s="105"/>
      <c r="EM125" s="105"/>
      <c r="EN125" s="105"/>
      <c r="EO125" s="105"/>
      <c r="EP125" s="105"/>
      <c r="EQ125" s="105"/>
      <c r="ER125" s="105"/>
      <c r="ES125" s="105"/>
      <c r="ET125" s="105"/>
      <c r="EU125" s="105"/>
      <c r="EV125" s="105"/>
      <c r="EW125" s="105"/>
      <c r="EX125" s="105"/>
      <c r="EY125" s="105"/>
      <c r="EZ125" s="105"/>
      <c r="FA125" s="105"/>
      <c r="FB125" s="105"/>
      <c r="FC125" s="105"/>
      <c r="FD125" s="105"/>
      <c r="FE125" s="105"/>
      <c r="FF125" s="105"/>
      <c r="FG125" s="105"/>
      <c r="FH125" s="105"/>
      <c r="FI125" s="105"/>
      <c r="FJ125" s="105"/>
      <c r="FK125" s="105"/>
      <c r="FL125" s="105"/>
      <c r="FM125" s="105"/>
      <c r="FN125" s="105"/>
      <c r="FO125" s="105"/>
      <c r="FP125" s="105"/>
      <c r="FQ125" s="105"/>
      <c r="FR125" s="105"/>
      <c r="FS125" s="105"/>
      <c r="FT125" s="105"/>
      <c r="FU125" s="105"/>
      <c r="FV125" s="105"/>
      <c r="FW125" s="105"/>
      <c r="FX125" s="105"/>
      <c r="FY125" s="105"/>
      <c r="FZ125" s="105"/>
      <c r="GA125" s="105"/>
      <c r="GB125" s="105"/>
      <c r="GC125" s="105"/>
      <c r="GD125" s="105"/>
      <c r="GE125" s="105"/>
      <c r="GF125" s="105"/>
      <c r="GG125" s="105"/>
      <c r="GH125" s="105"/>
      <c r="GI125" s="105"/>
      <c r="GJ125" s="105"/>
      <c r="GK125" s="105"/>
      <c r="GL125" s="105"/>
      <c r="GM125" s="105"/>
      <c r="GN125" s="105"/>
      <c r="GO125" s="105"/>
      <c r="GP125" s="105"/>
      <c r="GQ125" s="105"/>
      <c r="GR125" s="105"/>
      <c r="GS125" s="105"/>
      <c r="GT125" s="105"/>
      <c r="GU125" s="105"/>
      <c r="GV125" s="105"/>
      <c r="GW125" s="105"/>
      <c r="GX125" s="105"/>
      <c r="GY125" s="105"/>
      <c r="GZ125" s="105"/>
      <c r="HA125" s="105"/>
      <c r="HB125" s="105"/>
      <c r="HC125" s="105"/>
      <c r="HD125" s="105"/>
      <c r="HE125" s="105"/>
      <c r="HF125" s="105"/>
      <c r="HG125" s="105"/>
      <c r="HH125" s="105"/>
      <c r="HI125" s="105"/>
      <c r="HJ125" s="105"/>
      <c r="HK125" s="105"/>
      <c r="HL125" s="105"/>
      <c r="HM125" s="105"/>
      <c r="HN125" s="105"/>
      <c r="HO125" s="105"/>
      <c r="HP125" s="105"/>
      <c r="HQ125" s="105"/>
      <c r="HR125" s="105"/>
      <c r="HS125" s="105"/>
      <c r="HT125" s="105"/>
      <c r="HU125" s="105"/>
      <c r="HV125" s="105"/>
      <c r="HW125" s="105"/>
      <c r="HX125" s="105"/>
      <c r="HY125" s="105"/>
      <c r="HZ125" s="105"/>
      <c r="IA125" s="105"/>
      <c r="IB125" s="105"/>
      <c r="IC125" s="105"/>
      <c r="ID125" s="105"/>
      <c r="IE125" s="105"/>
      <c r="IF125" s="105"/>
      <c r="IG125" s="105"/>
      <c r="IH125" s="105"/>
      <c r="II125" s="105"/>
      <c r="IJ125" s="105"/>
      <c r="IK125" s="105"/>
      <c r="IL125" s="105"/>
      <c r="IM125" s="105"/>
      <c r="IN125" s="105"/>
      <c r="IO125" s="105"/>
      <c r="IP125" s="105"/>
      <c r="IQ125" s="105"/>
      <c r="IR125" s="105"/>
      <c r="IS125" s="105"/>
    </row>
    <row r="126" spans="1:253">
      <c r="A126" s="116"/>
      <c r="B126" s="105"/>
      <c r="C126" s="116"/>
      <c r="D126" s="116"/>
      <c r="E126" s="116"/>
      <c r="F126" s="116"/>
      <c r="G126" s="116"/>
      <c r="H126" s="116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05"/>
      <c r="BZ126" s="105"/>
      <c r="CA126" s="105"/>
      <c r="CB126" s="105"/>
      <c r="CC126" s="105"/>
      <c r="CD126" s="105"/>
      <c r="CE126" s="105"/>
      <c r="CF126" s="105"/>
      <c r="CG126" s="105"/>
      <c r="CH126" s="105"/>
      <c r="CI126" s="105"/>
      <c r="CJ126" s="105"/>
      <c r="CK126" s="105"/>
      <c r="CL126" s="105"/>
      <c r="CM126" s="105"/>
      <c r="CN126" s="105"/>
      <c r="CO126" s="105"/>
      <c r="CP126" s="105"/>
      <c r="CQ126" s="105"/>
      <c r="CR126" s="105"/>
      <c r="CS126" s="105"/>
      <c r="CT126" s="105"/>
      <c r="CU126" s="105"/>
      <c r="CV126" s="105"/>
      <c r="CW126" s="105"/>
      <c r="CX126" s="105"/>
      <c r="CY126" s="105"/>
      <c r="CZ126" s="105"/>
      <c r="DA126" s="105"/>
      <c r="DB126" s="105"/>
      <c r="DC126" s="105"/>
      <c r="DD126" s="105"/>
      <c r="DE126" s="105"/>
      <c r="DF126" s="105"/>
      <c r="DG126" s="105"/>
      <c r="DH126" s="105"/>
      <c r="DI126" s="105"/>
      <c r="DJ126" s="105"/>
      <c r="DK126" s="105"/>
      <c r="DL126" s="105"/>
      <c r="DM126" s="105"/>
      <c r="DN126" s="105"/>
      <c r="DO126" s="105"/>
      <c r="DP126" s="105"/>
      <c r="DQ126" s="105"/>
      <c r="DR126" s="105"/>
      <c r="DS126" s="105"/>
      <c r="DT126" s="105"/>
      <c r="DU126" s="105"/>
      <c r="DV126" s="105"/>
      <c r="DW126" s="105"/>
      <c r="DX126" s="105"/>
      <c r="DY126" s="105"/>
      <c r="DZ126" s="105"/>
      <c r="EA126" s="105"/>
      <c r="EB126" s="105"/>
      <c r="EC126" s="105"/>
      <c r="ED126" s="105"/>
      <c r="EE126" s="105"/>
      <c r="EF126" s="105"/>
      <c r="EG126" s="105"/>
      <c r="EH126" s="105"/>
      <c r="EI126" s="105"/>
      <c r="EJ126" s="105"/>
      <c r="EK126" s="105"/>
      <c r="EL126" s="105"/>
      <c r="EM126" s="105"/>
      <c r="EN126" s="105"/>
      <c r="EO126" s="105"/>
      <c r="EP126" s="105"/>
      <c r="EQ126" s="105"/>
      <c r="ER126" s="105"/>
      <c r="ES126" s="105"/>
      <c r="ET126" s="105"/>
      <c r="EU126" s="105"/>
      <c r="EV126" s="105"/>
      <c r="EW126" s="105"/>
      <c r="EX126" s="105"/>
      <c r="EY126" s="105"/>
      <c r="EZ126" s="105"/>
      <c r="FA126" s="105"/>
      <c r="FB126" s="105"/>
      <c r="FC126" s="105"/>
      <c r="FD126" s="105"/>
      <c r="FE126" s="105"/>
      <c r="FF126" s="105"/>
      <c r="FG126" s="105"/>
      <c r="FH126" s="105"/>
      <c r="FI126" s="105"/>
      <c r="FJ126" s="105"/>
      <c r="FK126" s="105"/>
      <c r="FL126" s="105"/>
      <c r="FM126" s="105"/>
      <c r="FN126" s="105"/>
      <c r="FO126" s="105"/>
      <c r="FP126" s="105"/>
      <c r="FQ126" s="105"/>
      <c r="FR126" s="105"/>
      <c r="FS126" s="105"/>
      <c r="FT126" s="105"/>
      <c r="FU126" s="105"/>
      <c r="FV126" s="105"/>
      <c r="FW126" s="105"/>
      <c r="FX126" s="105"/>
      <c r="FY126" s="105"/>
      <c r="FZ126" s="105"/>
      <c r="GA126" s="105"/>
      <c r="GB126" s="105"/>
      <c r="GC126" s="105"/>
      <c r="GD126" s="105"/>
      <c r="GE126" s="105"/>
      <c r="GF126" s="105"/>
      <c r="GG126" s="105"/>
      <c r="GH126" s="105"/>
      <c r="GI126" s="105"/>
      <c r="GJ126" s="105"/>
      <c r="GK126" s="105"/>
      <c r="GL126" s="105"/>
      <c r="GM126" s="105"/>
      <c r="GN126" s="105"/>
      <c r="GO126" s="105"/>
      <c r="GP126" s="105"/>
      <c r="GQ126" s="105"/>
      <c r="GR126" s="105"/>
      <c r="GS126" s="105"/>
      <c r="GT126" s="105"/>
      <c r="GU126" s="105"/>
      <c r="GV126" s="105"/>
      <c r="GW126" s="105"/>
      <c r="GX126" s="105"/>
      <c r="GY126" s="105"/>
      <c r="GZ126" s="105"/>
      <c r="HA126" s="105"/>
      <c r="HB126" s="105"/>
      <c r="HC126" s="105"/>
      <c r="HD126" s="105"/>
      <c r="HE126" s="105"/>
      <c r="HF126" s="105"/>
      <c r="HG126" s="105"/>
      <c r="HH126" s="105"/>
      <c r="HI126" s="105"/>
      <c r="HJ126" s="105"/>
      <c r="HK126" s="105"/>
      <c r="HL126" s="105"/>
      <c r="HM126" s="105"/>
      <c r="HN126" s="105"/>
      <c r="HO126" s="105"/>
      <c r="HP126" s="105"/>
      <c r="HQ126" s="105"/>
      <c r="HR126" s="105"/>
      <c r="HS126" s="105"/>
      <c r="HT126" s="105"/>
      <c r="HU126" s="105"/>
      <c r="HV126" s="105"/>
      <c r="HW126" s="105"/>
      <c r="HX126" s="105"/>
      <c r="HY126" s="105"/>
      <c r="HZ126" s="105"/>
      <c r="IA126" s="105"/>
      <c r="IB126" s="105"/>
      <c r="IC126" s="105"/>
      <c r="ID126" s="105"/>
      <c r="IE126" s="105"/>
      <c r="IF126" s="105"/>
      <c r="IG126" s="105"/>
      <c r="IH126" s="105"/>
      <c r="II126" s="105"/>
      <c r="IJ126" s="105"/>
      <c r="IK126" s="105"/>
      <c r="IL126" s="105"/>
      <c r="IM126" s="105"/>
      <c r="IN126" s="105"/>
      <c r="IO126" s="105"/>
      <c r="IP126" s="105"/>
      <c r="IQ126" s="105"/>
      <c r="IR126" s="105"/>
      <c r="IS126" s="105"/>
    </row>
    <row r="127" spans="1:253">
      <c r="A127" s="116"/>
      <c r="B127" s="105"/>
      <c r="C127" s="116"/>
      <c r="D127" s="116"/>
      <c r="E127" s="116"/>
      <c r="F127" s="116"/>
      <c r="G127" s="116"/>
      <c r="H127" s="116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  <c r="BO127" s="105"/>
      <c r="BP127" s="105"/>
      <c r="BQ127" s="105"/>
      <c r="BR127" s="105"/>
      <c r="BS127" s="105"/>
      <c r="BT127" s="105"/>
      <c r="BU127" s="105"/>
      <c r="BV127" s="105"/>
      <c r="BW127" s="105"/>
      <c r="BX127" s="105"/>
      <c r="BY127" s="105"/>
      <c r="BZ127" s="105"/>
      <c r="CA127" s="105"/>
      <c r="CB127" s="105"/>
      <c r="CC127" s="105"/>
      <c r="CD127" s="105"/>
      <c r="CE127" s="105"/>
      <c r="CF127" s="105"/>
      <c r="CG127" s="105"/>
      <c r="CH127" s="105"/>
      <c r="CI127" s="105"/>
      <c r="CJ127" s="105"/>
      <c r="CK127" s="105"/>
      <c r="CL127" s="105"/>
      <c r="CM127" s="105"/>
      <c r="CN127" s="105"/>
      <c r="CO127" s="105"/>
      <c r="CP127" s="105"/>
      <c r="CQ127" s="105"/>
      <c r="CR127" s="105"/>
      <c r="CS127" s="105"/>
      <c r="CT127" s="105"/>
      <c r="CU127" s="105"/>
      <c r="CV127" s="105"/>
      <c r="CW127" s="105"/>
      <c r="CX127" s="105"/>
      <c r="CY127" s="105"/>
      <c r="CZ127" s="105"/>
      <c r="DA127" s="105"/>
      <c r="DB127" s="105"/>
      <c r="DC127" s="105"/>
      <c r="DD127" s="105"/>
      <c r="DE127" s="105"/>
      <c r="DF127" s="105"/>
      <c r="DG127" s="105"/>
      <c r="DH127" s="105"/>
      <c r="DI127" s="105"/>
      <c r="DJ127" s="105"/>
      <c r="DK127" s="105"/>
      <c r="DL127" s="105"/>
      <c r="DM127" s="105"/>
      <c r="DN127" s="105"/>
      <c r="DO127" s="105"/>
      <c r="DP127" s="105"/>
      <c r="DQ127" s="105"/>
      <c r="DR127" s="105"/>
      <c r="DS127" s="105"/>
      <c r="DT127" s="105"/>
      <c r="DU127" s="105"/>
      <c r="DV127" s="105"/>
      <c r="DW127" s="105"/>
      <c r="DX127" s="105"/>
      <c r="DY127" s="105"/>
      <c r="DZ127" s="105"/>
      <c r="EA127" s="105"/>
      <c r="EB127" s="105"/>
      <c r="EC127" s="105"/>
      <c r="ED127" s="105"/>
      <c r="EE127" s="105"/>
      <c r="EF127" s="105"/>
      <c r="EG127" s="105"/>
      <c r="EH127" s="105"/>
      <c r="EI127" s="105"/>
      <c r="EJ127" s="105"/>
      <c r="EK127" s="105"/>
      <c r="EL127" s="105"/>
      <c r="EM127" s="105"/>
      <c r="EN127" s="105"/>
      <c r="EO127" s="105"/>
      <c r="EP127" s="105"/>
      <c r="EQ127" s="105"/>
      <c r="ER127" s="105"/>
      <c r="ES127" s="105"/>
      <c r="ET127" s="105"/>
      <c r="EU127" s="105"/>
      <c r="EV127" s="105"/>
      <c r="EW127" s="105"/>
      <c r="EX127" s="105"/>
      <c r="EY127" s="105"/>
      <c r="EZ127" s="105"/>
      <c r="FA127" s="105"/>
      <c r="FB127" s="105"/>
      <c r="FC127" s="105"/>
      <c r="FD127" s="105"/>
      <c r="FE127" s="105"/>
      <c r="FF127" s="105"/>
      <c r="FG127" s="105"/>
      <c r="FH127" s="105"/>
      <c r="FI127" s="105"/>
      <c r="FJ127" s="105"/>
      <c r="FK127" s="105"/>
      <c r="FL127" s="105"/>
      <c r="FM127" s="105"/>
      <c r="FN127" s="105"/>
      <c r="FO127" s="105"/>
      <c r="FP127" s="105"/>
      <c r="FQ127" s="105"/>
      <c r="FR127" s="105"/>
      <c r="FS127" s="105"/>
      <c r="FT127" s="105"/>
      <c r="FU127" s="105"/>
      <c r="FV127" s="105"/>
      <c r="FW127" s="105"/>
      <c r="FX127" s="105"/>
      <c r="FY127" s="105"/>
      <c r="FZ127" s="105"/>
      <c r="GA127" s="105"/>
      <c r="GB127" s="105"/>
      <c r="GC127" s="105"/>
      <c r="GD127" s="105"/>
      <c r="GE127" s="105"/>
      <c r="GF127" s="105"/>
      <c r="GG127" s="105"/>
      <c r="GH127" s="105"/>
      <c r="GI127" s="105"/>
      <c r="GJ127" s="105"/>
      <c r="GK127" s="105"/>
      <c r="GL127" s="105"/>
      <c r="GM127" s="105"/>
      <c r="GN127" s="105"/>
      <c r="GO127" s="105"/>
      <c r="GP127" s="105"/>
      <c r="GQ127" s="105"/>
      <c r="GR127" s="105"/>
      <c r="GS127" s="105"/>
      <c r="GT127" s="105"/>
      <c r="GU127" s="105"/>
      <c r="GV127" s="105"/>
      <c r="GW127" s="105"/>
      <c r="GX127" s="105"/>
      <c r="GY127" s="105"/>
      <c r="GZ127" s="105"/>
      <c r="HA127" s="105"/>
      <c r="HB127" s="105"/>
      <c r="HC127" s="105"/>
      <c r="HD127" s="105"/>
      <c r="HE127" s="105"/>
      <c r="HF127" s="105"/>
      <c r="HG127" s="105"/>
      <c r="HH127" s="105"/>
      <c r="HI127" s="105"/>
      <c r="HJ127" s="105"/>
      <c r="HK127" s="105"/>
      <c r="HL127" s="105"/>
      <c r="HM127" s="105"/>
      <c r="HN127" s="105"/>
      <c r="HO127" s="105"/>
      <c r="HP127" s="105"/>
      <c r="HQ127" s="105"/>
      <c r="HR127" s="105"/>
      <c r="HS127" s="105"/>
      <c r="HT127" s="105"/>
      <c r="HU127" s="105"/>
      <c r="HV127" s="105"/>
      <c r="HW127" s="105"/>
      <c r="HX127" s="105"/>
      <c r="HY127" s="105"/>
      <c r="HZ127" s="105"/>
      <c r="IA127" s="105"/>
      <c r="IB127" s="105"/>
      <c r="IC127" s="105"/>
      <c r="ID127" s="105"/>
      <c r="IE127" s="105"/>
      <c r="IF127" s="105"/>
      <c r="IG127" s="105"/>
      <c r="IH127" s="105"/>
      <c r="II127" s="105"/>
      <c r="IJ127" s="105"/>
      <c r="IK127" s="105"/>
      <c r="IL127" s="105"/>
      <c r="IM127" s="105"/>
      <c r="IN127" s="105"/>
      <c r="IO127" s="105"/>
      <c r="IP127" s="105"/>
      <c r="IQ127" s="105"/>
      <c r="IR127" s="105"/>
      <c r="IS127" s="105"/>
    </row>
    <row r="128" spans="1:253">
      <c r="A128" s="116"/>
      <c r="B128" s="105"/>
      <c r="C128" s="116"/>
      <c r="D128" s="116"/>
      <c r="E128" s="116"/>
      <c r="F128" s="116"/>
      <c r="G128" s="116"/>
      <c r="H128" s="116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  <c r="BO128" s="105"/>
      <c r="BP128" s="105"/>
      <c r="BQ128" s="105"/>
      <c r="BR128" s="105"/>
      <c r="BS128" s="105"/>
      <c r="BT128" s="105"/>
      <c r="BU128" s="105"/>
      <c r="BV128" s="105"/>
      <c r="BW128" s="105"/>
      <c r="BX128" s="105"/>
      <c r="BY128" s="105"/>
      <c r="BZ128" s="105"/>
      <c r="CA128" s="105"/>
      <c r="CB128" s="105"/>
      <c r="CC128" s="105"/>
      <c r="CD128" s="105"/>
      <c r="CE128" s="105"/>
      <c r="CF128" s="105"/>
      <c r="CG128" s="105"/>
      <c r="CH128" s="105"/>
      <c r="CI128" s="105"/>
      <c r="CJ128" s="105"/>
      <c r="CK128" s="105"/>
      <c r="CL128" s="105"/>
      <c r="CM128" s="105"/>
      <c r="CN128" s="105"/>
      <c r="CO128" s="105"/>
      <c r="CP128" s="105"/>
      <c r="CQ128" s="105"/>
      <c r="CR128" s="105"/>
      <c r="CS128" s="105"/>
      <c r="CT128" s="105"/>
      <c r="CU128" s="105"/>
      <c r="CV128" s="105"/>
      <c r="CW128" s="105"/>
      <c r="CX128" s="105"/>
      <c r="CY128" s="105"/>
      <c r="CZ128" s="105"/>
      <c r="DA128" s="105"/>
      <c r="DB128" s="105"/>
      <c r="DC128" s="105"/>
      <c r="DD128" s="105"/>
      <c r="DE128" s="105"/>
      <c r="DF128" s="105"/>
      <c r="DG128" s="105"/>
      <c r="DH128" s="105"/>
      <c r="DI128" s="105"/>
      <c r="DJ128" s="105"/>
      <c r="DK128" s="105"/>
      <c r="DL128" s="105"/>
      <c r="DM128" s="105"/>
      <c r="DN128" s="105"/>
      <c r="DO128" s="105"/>
      <c r="DP128" s="105"/>
      <c r="DQ128" s="105"/>
      <c r="DR128" s="105"/>
      <c r="DS128" s="105"/>
      <c r="DT128" s="105"/>
      <c r="DU128" s="105"/>
      <c r="DV128" s="105"/>
      <c r="DW128" s="105"/>
      <c r="DX128" s="105"/>
      <c r="DY128" s="105"/>
      <c r="DZ128" s="105"/>
      <c r="EA128" s="105"/>
      <c r="EB128" s="105"/>
      <c r="EC128" s="105"/>
      <c r="ED128" s="105"/>
      <c r="EE128" s="105"/>
      <c r="EF128" s="105"/>
      <c r="EG128" s="105"/>
      <c r="EH128" s="105"/>
      <c r="EI128" s="105"/>
      <c r="EJ128" s="105"/>
      <c r="EK128" s="105"/>
      <c r="EL128" s="105"/>
      <c r="EM128" s="105"/>
      <c r="EN128" s="105"/>
      <c r="EO128" s="105"/>
      <c r="EP128" s="105"/>
      <c r="EQ128" s="105"/>
      <c r="ER128" s="105"/>
      <c r="ES128" s="105"/>
      <c r="ET128" s="105"/>
      <c r="EU128" s="105"/>
      <c r="EV128" s="105"/>
      <c r="EW128" s="105"/>
      <c r="EX128" s="105"/>
      <c r="EY128" s="105"/>
      <c r="EZ128" s="105"/>
      <c r="FA128" s="105"/>
      <c r="FB128" s="105"/>
      <c r="FC128" s="105"/>
      <c r="FD128" s="105"/>
      <c r="FE128" s="105"/>
      <c r="FF128" s="105"/>
      <c r="FG128" s="105"/>
      <c r="FH128" s="105"/>
      <c r="FI128" s="105"/>
      <c r="FJ128" s="105"/>
      <c r="FK128" s="105"/>
      <c r="FL128" s="105"/>
      <c r="FM128" s="105"/>
      <c r="FN128" s="105"/>
      <c r="FO128" s="105"/>
      <c r="FP128" s="105"/>
      <c r="FQ128" s="105"/>
      <c r="FR128" s="105"/>
      <c r="FS128" s="105"/>
      <c r="FT128" s="105"/>
      <c r="FU128" s="105"/>
      <c r="FV128" s="105"/>
      <c r="FW128" s="105"/>
      <c r="FX128" s="105"/>
      <c r="FY128" s="105"/>
      <c r="FZ128" s="105"/>
      <c r="GA128" s="105"/>
      <c r="GB128" s="105"/>
      <c r="GC128" s="105"/>
      <c r="GD128" s="105"/>
      <c r="GE128" s="105"/>
      <c r="GF128" s="105"/>
      <c r="GG128" s="105"/>
      <c r="GH128" s="105"/>
      <c r="GI128" s="105"/>
      <c r="GJ128" s="105"/>
      <c r="GK128" s="105"/>
      <c r="GL128" s="105"/>
      <c r="GM128" s="105"/>
      <c r="GN128" s="105"/>
      <c r="GO128" s="105"/>
      <c r="GP128" s="105"/>
      <c r="GQ128" s="105"/>
      <c r="GR128" s="105"/>
      <c r="GS128" s="105"/>
      <c r="GT128" s="105"/>
      <c r="GU128" s="105"/>
      <c r="GV128" s="105"/>
      <c r="GW128" s="105"/>
      <c r="GX128" s="105"/>
      <c r="GY128" s="105"/>
      <c r="GZ128" s="105"/>
      <c r="HA128" s="105"/>
      <c r="HB128" s="105"/>
      <c r="HC128" s="105"/>
      <c r="HD128" s="105"/>
      <c r="HE128" s="105"/>
      <c r="HF128" s="105"/>
      <c r="HG128" s="105"/>
      <c r="HH128" s="105"/>
      <c r="HI128" s="105"/>
      <c r="HJ128" s="105"/>
      <c r="HK128" s="105"/>
      <c r="HL128" s="105"/>
      <c r="HM128" s="105"/>
      <c r="HN128" s="105"/>
      <c r="HO128" s="105"/>
      <c r="HP128" s="105"/>
      <c r="HQ128" s="105"/>
      <c r="HR128" s="105"/>
      <c r="HS128" s="105"/>
      <c r="HT128" s="105"/>
      <c r="HU128" s="105"/>
      <c r="HV128" s="105"/>
      <c r="HW128" s="105"/>
      <c r="HX128" s="105"/>
      <c r="HY128" s="105"/>
      <c r="HZ128" s="105"/>
      <c r="IA128" s="105"/>
      <c r="IB128" s="105"/>
      <c r="IC128" s="105"/>
      <c r="ID128" s="105"/>
      <c r="IE128" s="105"/>
      <c r="IF128" s="105"/>
      <c r="IG128" s="105"/>
      <c r="IH128" s="105"/>
      <c r="II128" s="105"/>
      <c r="IJ128" s="105"/>
      <c r="IK128" s="105"/>
      <c r="IL128" s="105"/>
      <c r="IM128" s="105"/>
      <c r="IN128" s="105"/>
      <c r="IO128" s="105"/>
      <c r="IP128" s="105"/>
      <c r="IQ128" s="105"/>
      <c r="IR128" s="105"/>
      <c r="IS128" s="105"/>
    </row>
    <row r="129" spans="1:253">
      <c r="A129" s="116"/>
      <c r="B129" s="105"/>
      <c r="C129" s="116"/>
      <c r="D129" s="116"/>
      <c r="E129" s="116"/>
      <c r="F129" s="116"/>
      <c r="G129" s="116"/>
      <c r="H129" s="116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  <c r="BO129" s="105"/>
      <c r="BP129" s="105"/>
      <c r="BQ129" s="105"/>
      <c r="BR129" s="105"/>
      <c r="BS129" s="105"/>
      <c r="BT129" s="105"/>
      <c r="BU129" s="105"/>
      <c r="BV129" s="105"/>
      <c r="BW129" s="105"/>
      <c r="BX129" s="105"/>
      <c r="BY129" s="105"/>
      <c r="BZ129" s="105"/>
      <c r="CA129" s="105"/>
      <c r="CB129" s="105"/>
      <c r="CC129" s="105"/>
      <c r="CD129" s="105"/>
      <c r="CE129" s="105"/>
      <c r="CF129" s="105"/>
      <c r="CG129" s="105"/>
      <c r="CH129" s="105"/>
      <c r="CI129" s="105"/>
      <c r="CJ129" s="105"/>
      <c r="CK129" s="105"/>
      <c r="CL129" s="105"/>
      <c r="CM129" s="105"/>
      <c r="CN129" s="105"/>
      <c r="CO129" s="105"/>
      <c r="CP129" s="105"/>
      <c r="CQ129" s="105"/>
      <c r="CR129" s="105"/>
      <c r="CS129" s="105"/>
      <c r="CT129" s="105"/>
      <c r="CU129" s="105"/>
      <c r="CV129" s="105"/>
      <c r="CW129" s="105"/>
      <c r="CX129" s="105"/>
      <c r="CY129" s="105"/>
      <c r="CZ129" s="105"/>
      <c r="DA129" s="105"/>
      <c r="DB129" s="105"/>
      <c r="DC129" s="105"/>
      <c r="DD129" s="105"/>
      <c r="DE129" s="105"/>
      <c r="DF129" s="105"/>
      <c r="DG129" s="105"/>
      <c r="DH129" s="105"/>
      <c r="DI129" s="105"/>
      <c r="DJ129" s="105"/>
      <c r="DK129" s="105"/>
      <c r="DL129" s="105"/>
      <c r="DM129" s="105"/>
      <c r="DN129" s="105"/>
      <c r="DO129" s="105"/>
      <c r="DP129" s="105"/>
      <c r="DQ129" s="105"/>
      <c r="DR129" s="105"/>
      <c r="DS129" s="105"/>
      <c r="DT129" s="105"/>
      <c r="DU129" s="105"/>
      <c r="DV129" s="105"/>
      <c r="DW129" s="105"/>
      <c r="DX129" s="105"/>
      <c r="DY129" s="105"/>
      <c r="DZ129" s="105"/>
      <c r="EA129" s="105"/>
      <c r="EB129" s="105"/>
      <c r="EC129" s="105"/>
      <c r="ED129" s="105"/>
      <c r="EE129" s="105"/>
      <c r="EF129" s="105"/>
      <c r="EG129" s="105"/>
      <c r="EH129" s="105"/>
      <c r="EI129" s="105"/>
      <c r="EJ129" s="105"/>
      <c r="EK129" s="105"/>
      <c r="EL129" s="105"/>
      <c r="EM129" s="105"/>
      <c r="EN129" s="105"/>
      <c r="EO129" s="105"/>
      <c r="EP129" s="105"/>
      <c r="EQ129" s="105"/>
      <c r="ER129" s="105"/>
      <c r="ES129" s="105"/>
      <c r="ET129" s="105"/>
      <c r="EU129" s="105"/>
      <c r="EV129" s="105"/>
      <c r="EW129" s="105"/>
      <c r="EX129" s="105"/>
      <c r="EY129" s="105"/>
      <c r="EZ129" s="105"/>
      <c r="FA129" s="105"/>
      <c r="FB129" s="105"/>
      <c r="FC129" s="105"/>
      <c r="FD129" s="105"/>
      <c r="FE129" s="105"/>
      <c r="FF129" s="105"/>
      <c r="FG129" s="105"/>
      <c r="FH129" s="105"/>
      <c r="FI129" s="105"/>
      <c r="FJ129" s="105"/>
      <c r="FK129" s="105"/>
      <c r="FL129" s="105"/>
      <c r="FM129" s="105"/>
      <c r="FN129" s="105"/>
      <c r="FO129" s="105"/>
      <c r="FP129" s="105"/>
      <c r="FQ129" s="105"/>
      <c r="FR129" s="105"/>
      <c r="FS129" s="105"/>
      <c r="FT129" s="105"/>
      <c r="FU129" s="105"/>
      <c r="FV129" s="105"/>
      <c r="FW129" s="105"/>
      <c r="FX129" s="105"/>
      <c r="FY129" s="105"/>
      <c r="FZ129" s="105"/>
      <c r="GA129" s="105"/>
      <c r="GB129" s="105"/>
      <c r="GC129" s="105"/>
      <c r="GD129" s="105"/>
      <c r="GE129" s="105"/>
      <c r="GF129" s="105"/>
      <c r="GG129" s="105"/>
      <c r="GH129" s="105"/>
      <c r="GI129" s="105"/>
      <c r="GJ129" s="105"/>
      <c r="GK129" s="105"/>
      <c r="GL129" s="105"/>
      <c r="GM129" s="105"/>
      <c r="GN129" s="105"/>
      <c r="GO129" s="105"/>
      <c r="GP129" s="105"/>
      <c r="GQ129" s="105"/>
      <c r="GR129" s="105"/>
      <c r="GS129" s="105"/>
      <c r="GT129" s="105"/>
      <c r="GU129" s="105"/>
      <c r="GV129" s="105"/>
      <c r="GW129" s="105"/>
      <c r="GX129" s="105"/>
      <c r="GY129" s="105"/>
      <c r="GZ129" s="105"/>
      <c r="HA129" s="105"/>
      <c r="HB129" s="105"/>
      <c r="HC129" s="105"/>
      <c r="HD129" s="105"/>
      <c r="HE129" s="105"/>
      <c r="HF129" s="105"/>
      <c r="HG129" s="105"/>
      <c r="HH129" s="105"/>
      <c r="HI129" s="105"/>
      <c r="HJ129" s="105"/>
      <c r="HK129" s="105"/>
      <c r="HL129" s="105"/>
      <c r="HM129" s="105"/>
      <c r="HN129" s="105"/>
      <c r="HO129" s="105"/>
      <c r="HP129" s="105"/>
      <c r="HQ129" s="105"/>
      <c r="HR129" s="105"/>
      <c r="HS129" s="105"/>
      <c r="HT129" s="105"/>
      <c r="HU129" s="105"/>
      <c r="HV129" s="105"/>
      <c r="HW129" s="105"/>
      <c r="HX129" s="105"/>
      <c r="HY129" s="105"/>
      <c r="HZ129" s="105"/>
      <c r="IA129" s="105"/>
      <c r="IB129" s="105"/>
      <c r="IC129" s="105"/>
      <c r="ID129" s="105"/>
      <c r="IE129" s="105"/>
      <c r="IF129" s="105"/>
      <c r="IG129" s="105"/>
      <c r="IH129" s="105"/>
      <c r="II129" s="105"/>
      <c r="IJ129" s="105"/>
      <c r="IK129" s="105"/>
      <c r="IL129" s="105"/>
      <c r="IM129" s="105"/>
      <c r="IN129" s="105"/>
      <c r="IO129" s="105"/>
      <c r="IP129" s="105"/>
      <c r="IQ129" s="105"/>
      <c r="IR129" s="105"/>
      <c r="IS129" s="105"/>
    </row>
    <row r="130" spans="1:253">
      <c r="A130" s="116"/>
      <c r="B130" s="105"/>
      <c r="C130" s="116"/>
      <c r="D130" s="116"/>
      <c r="E130" s="116"/>
      <c r="F130" s="116"/>
      <c r="G130" s="116"/>
      <c r="H130" s="116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  <c r="BO130" s="105"/>
      <c r="BP130" s="105"/>
      <c r="BQ130" s="105"/>
      <c r="BR130" s="105"/>
      <c r="BS130" s="105"/>
      <c r="BT130" s="105"/>
      <c r="BU130" s="105"/>
      <c r="BV130" s="105"/>
      <c r="BW130" s="105"/>
      <c r="BX130" s="105"/>
      <c r="BY130" s="105"/>
      <c r="BZ130" s="105"/>
      <c r="CA130" s="105"/>
      <c r="CB130" s="105"/>
      <c r="CC130" s="105"/>
      <c r="CD130" s="105"/>
      <c r="CE130" s="105"/>
      <c r="CF130" s="105"/>
      <c r="CG130" s="105"/>
      <c r="CH130" s="105"/>
      <c r="CI130" s="105"/>
      <c r="CJ130" s="105"/>
      <c r="CK130" s="105"/>
      <c r="CL130" s="105"/>
      <c r="CM130" s="105"/>
      <c r="CN130" s="105"/>
      <c r="CO130" s="105"/>
      <c r="CP130" s="105"/>
      <c r="CQ130" s="105"/>
      <c r="CR130" s="105"/>
      <c r="CS130" s="105"/>
      <c r="CT130" s="105"/>
      <c r="CU130" s="105"/>
      <c r="CV130" s="105"/>
      <c r="CW130" s="105"/>
      <c r="CX130" s="105"/>
      <c r="CY130" s="105"/>
      <c r="CZ130" s="105"/>
      <c r="DA130" s="105"/>
      <c r="DB130" s="105"/>
      <c r="DC130" s="105"/>
      <c r="DD130" s="105"/>
      <c r="DE130" s="105"/>
      <c r="DF130" s="105"/>
      <c r="DG130" s="105"/>
      <c r="DH130" s="105"/>
      <c r="DI130" s="105"/>
      <c r="DJ130" s="105"/>
      <c r="DK130" s="105"/>
      <c r="DL130" s="105"/>
      <c r="DM130" s="105"/>
      <c r="DN130" s="105"/>
      <c r="DO130" s="105"/>
      <c r="DP130" s="105"/>
      <c r="DQ130" s="105"/>
      <c r="DR130" s="105"/>
      <c r="DS130" s="105"/>
      <c r="DT130" s="105"/>
      <c r="DU130" s="105"/>
      <c r="DV130" s="105"/>
      <c r="DW130" s="105"/>
      <c r="DX130" s="105"/>
      <c r="DY130" s="105"/>
      <c r="DZ130" s="105"/>
      <c r="EA130" s="105"/>
      <c r="EB130" s="105"/>
      <c r="EC130" s="105"/>
      <c r="ED130" s="105"/>
      <c r="EE130" s="105"/>
      <c r="EF130" s="105"/>
      <c r="EG130" s="105"/>
      <c r="EH130" s="105"/>
      <c r="EI130" s="105"/>
      <c r="EJ130" s="105"/>
      <c r="EK130" s="105"/>
      <c r="EL130" s="105"/>
      <c r="EM130" s="105"/>
      <c r="EN130" s="105"/>
      <c r="EO130" s="105"/>
      <c r="EP130" s="105"/>
      <c r="EQ130" s="105"/>
      <c r="ER130" s="105"/>
      <c r="ES130" s="105"/>
      <c r="ET130" s="105"/>
      <c r="EU130" s="105"/>
      <c r="EV130" s="105"/>
      <c r="EW130" s="105"/>
      <c r="EX130" s="105"/>
      <c r="EY130" s="105"/>
      <c r="EZ130" s="105"/>
      <c r="FA130" s="105"/>
      <c r="FB130" s="105"/>
      <c r="FC130" s="105"/>
      <c r="FD130" s="105"/>
      <c r="FE130" s="105"/>
      <c r="FF130" s="105"/>
      <c r="FG130" s="105"/>
      <c r="FH130" s="105"/>
      <c r="FI130" s="105"/>
      <c r="FJ130" s="105"/>
      <c r="FK130" s="105"/>
      <c r="FL130" s="105"/>
      <c r="FM130" s="105"/>
      <c r="FN130" s="105"/>
      <c r="FO130" s="105"/>
      <c r="FP130" s="105"/>
      <c r="FQ130" s="105"/>
      <c r="FR130" s="105"/>
      <c r="FS130" s="105"/>
      <c r="FT130" s="105"/>
      <c r="FU130" s="105"/>
      <c r="FV130" s="105"/>
      <c r="FW130" s="105"/>
      <c r="FX130" s="105"/>
      <c r="FY130" s="105"/>
      <c r="FZ130" s="105"/>
      <c r="GA130" s="105"/>
      <c r="GB130" s="105"/>
      <c r="GC130" s="105"/>
      <c r="GD130" s="105"/>
      <c r="GE130" s="105"/>
      <c r="GF130" s="105"/>
      <c r="GG130" s="105"/>
      <c r="GH130" s="105"/>
      <c r="GI130" s="105"/>
      <c r="GJ130" s="105"/>
      <c r="GK130" s="105"/>
      <c r="GL130" s="105"/>
      <c r="GM130" s="105"/>
      <c r="GN130" s="105"/>
      <c r="GO130" s="105"/>
      <c r="GP130" s="105"/>
      <c r="GQ130" s="105"/>
      <c r="GR130" s="105"/>
      <c r="GS130" s="105"/>
      <c r="GT130" s="105"/>
      <c r="GU130" s="105"/>
      <c r="GV130" s="105"/>
      <c r="GW130" s="105"/>
      <c r="GX130" s="105"/>
      <c r="GY130" s="105"/>
      <c r="GZ130" s="105"/>
      <c r="HA130" s="105"/>
      <c r="HB130" s="105"/>
      <c r="HC130" s="105"/>
      <c r="HD130" s="105"/>
      <c r="HE130" s="105"/>
      <c r="HF130" s="105"/>
      <c r="HG130" s="105"/>
      <c r="HH130" s="105"/>
      <c r="HI130" s="105"/>
      <c r="HJ130" s="105"/>
      <c r="HK130" s="105"/>
      <c r="HL130" s="105"/>
      <c r="HM130" s="105"/>
      <c r="HN130" s="105"/>
      <c r="HO130" s="105"/>
      <c r="HP130" s="105"/>
      <c r="HQ130" s="105"/>
      <c r="HR130" s="105"/>
      <c r="HS130" s="105"/>
      <c r="HT130" s="105"/>
      <c r="HU130" s="105"/>
      <c r="HV130" s="105"/>
      <c r="HW130" s="105"/>
      <c r="HX130" s="105"/>
      <c r="HY130" s="105"/>
      <c r="HZ130" s="105"/>
      <c r="IA130" s="105"/>
      <c r="IB130" s="105"/>
      <c r="IC130" s="105"/>
      <c r="ID130" s="105"/>
      <c r="IE130" s="105"/>
      <c r="IF130" s="105"/>
      <c r="IG130" s="105"/>
      <c r="IH130" s="105"/>
      <c r="II130" s="105"/>
      <c r="IJ130" s="105"/>
      <c r="IK130" s="105"/>
      <c r="IL130" s="105"/>
      <c r="IM130" s="105"/>
      <c r="IN130" s="105"/>
      <c r="IO130" s="105"/>
      <c r="IP130" s="105"/>
      <c r="IQ130" s="105"/>
      <c r="IR130" s="105"/>
      <c r="IS130" s="105"/>
    </row>
    <row r="131" spans="1:253">
      <c r="A131" s="116"/>
      <c r="B131" s="105"/>
      <c r="C131" s="116"/>
      <c r="D131" s="116"/>
      <c r="E131" s="116"/>
      <c r="F131" s="116"/>
      <c r="G131" s="116"/>
      <c r="H131" s="116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05"/>
      <c r="CI131" s="105"/>
      <c r="CJ131" s="105"/>
      <c r="CK131" s="105"/>
      <c r="CL131" s="105"/>
      <c r="CM131" s="105"/>
      <c r="CN131" s="105"/>
      <c r="CO131" s="105"/>
      <c r="CP131" s="105"/>
      <c r="CQ131" s="105"/>
      <c r="CR131" s="105"/>
      <c r="CS131" s="105"/>
      <c r="CT131" s="105"/>
      <c r="CU131" s="105"/>
      <c r="CV131" s="105"/>
      <c r="CW131" s="105"/>
      <c r="CX131" s="105"/>
      <c r="CY131" s="105"/>
      <c r="CZ131" s="105"/>
      <c r="DA131" s="105"/>
      <c r="DB131" s="105"/>
      <c r="DC131" s="105"/>
      <c r="DD131" s="105"/>
      <c r="DE131" s="105"/>
      <c r="DF131" s="105"/>
      <c r="DG131" s="105"/>
      <c r="DH131" s="105"/>
      <c r="DI131" s="105"/>
      <c r="DJ131" s="105"/>
      <c r="DK131" s="105"/>
      <c r="DL131" s="105"/>
      <c r="DM131" s="105"/>
      <c r="DN131" s="105"/>
      <c r="DO131" s="105"/>
      <c r="DP131" s="105"/>
      <c r="DQ131" s="105"/>
      <c r="DR131" s="105"/>
      <c r="DS131" s="105"/>
      <c r="DT131" s="105"/>
      <c r="DU131" s="105"/>
      <c r="DV131" s="105"/>
      <c r="DW131" s="105"/>
      <c r="DX131" s="105"/>
      <c r="DY131" s="105"/>
      <c r="DZ131" s="105"/>
      <c r="EA131" s="105"/>
      <c r="EB131" s="105"/>
      <c r="EC131" s="105"/>
      <c r="ED131" s="105"/>
      <c r="EE131" s="105"/>
      <c r="EF131" s="105"/>
      <c r="EG131" s="105"/>
      <c r="EH131" s="105"/>
      <c r="EI131" s="105"/>
      <c r="EJ131" s="105"/>
      <c r="EK131" s="105"/>
      <c r="EL131" s="105"/>
      <c r="EM131" s="105"/>
      <c r="EN131" s="105"/>
      <c r="EO131" s="105"/>
      <c r="EP131" s="105"/>
      <c r="EQ131" s="105"/>
      <c r="ER131" s="105"/>
      <c r="ES131" s="105"/>
      <c r="ET131" s="105"/>
      <c r="EU131" s="105"/>
      <c r="EV131" s="105"/>
      <c r="EW131" s="105"/>
      <c r="EX131" s="105"/>
      <c r="EY131" s="105"/>
      <c r="EZ131" s="105"/>
      <c r="FA131" s="105"/>
      <c r="FB131" s="105"/>
      <c r="FC131" s="105"/>
      <c r="FD131" s="105"/>
      <c r="FE131" s="105"/>
      <c r="FF131" s="105"/>
      <c r="FG131" s="105"/>
      <c r="FH131" s="105"/>
      <c r="FI131" s="105"/>
      <c r="FJ131" s="105"/>
      <c r="FK131" s="105"/>
      <c r="FL131" s="105"/>
      <c r="FM131" s="105"/>
      <c r="FN131" s="105"/>
      <c r="FO131" s="105"/>
      <c r="FP131" s="105"/>
      <c r="FQ131" s="105"/>
      <c r="FR131" s="105"/>
      <c r="FS131" s="105"/>
      <c r="FT131" s="105"/>
      <c r="FU131" s="105"/>
      <c r="FV131" s="105"/>
      <c r="FW131" s="105"/>
      <c r="FX131" s="105"/>
      <c r="FY131" s="105"/>
      <c r="FZ131" s="105"/>
      <c r="GA131" s="105"/>
      <c r="GB131" s="105"/>
      <c r="GC131" s="105"/>
      <c r="GD131" s="105"/>
      <c r="GE131" s="105"/>
      <c r="GF131" s="105"/>
      <c r="GG131" s="105"/>
      <c r="GH131" s="105"/>
      <c r="GI131" s="105"/>
      <c r="GJ131" s="105"/>
      <c r="GK131" s="105"/>
      <c r="GL131" s="105"/>
      <c r="GM131" s="105"/>
      <c r="GN131" s="105"/>
      <c r="GO131" s="105"/>
      <c r="GP131" s="105"/>
      <c r="GQ131" s="105"/>
      <c r="GR131" s="105"/>
      <c r="GS131" s="105"/>
      <c r="GT131" s="105"/>
      <c r="GU131" s="105"/>
      <c r="GV131" s="105"/>
      <c r="GW131" s="105"/>
      <c r="GX131" s="105"/>
      <c r="GY131" s="105"/>
      <c r="GZ131" s="105"/>
      <c r="HA131" s="105"/>
      <c r="HB131" s="105"/>
      <c r="HC131" s="105"/>
      <c r="HD131" s="105"/>
      <c r="HE131" s="105"/>
      <c r="HF131" s="105"/>
      <c r="HG131" s="105"/>
      <c r="HH131" s="105"/>
      <c r="HI131" s="105"/>
      <c r="HJ131" s="105"/>
      <c r="HK131" s="105"/>
      <c r="HL131" s="105"/>
      <c r="HM131" s="105"/>
      <c r="HN131" s="105"/>
      <c r="HO131" s="105"/>
      <c r="HP131" s="105"/>
      <c r="HQ131" s="105"/>
      <c r="HR131" s="105"/>
      <c r="HS131" s="105"/>
      <c r="HT131" s="105"/>
      <c r="HU131" s="105"/>
      <c r="HV131" s="105"/>
      <c r="HW131" s="105"/>
      <c r="HX131" s="105"/>
      <c r="HY131" s="105"/>
      <c r="HZ131" s="105"/>
      <c r="IA131" s="105"/>
      <c r="IB131" s="105"/>
      <c r="IC131" s="105"/>
      <c r="ID131" s="105"/>
      <c r="IE131" s="105"/>
      <c r="IF131" s="105"/>
      <c r="IG131" s="105"/>
      <c r="IH131" s="105"/>
      <c r="II131" s="105"/>
      <c r="IJ131" s="105"/>
      <c r="IK131" s="105"/>
      <c r="IL131" s="105"/>
      <c r="IM131" s="105"/>
      <c r="IN131" s="105"/>
      <c r="IO131" s="105"/>
      <c r="IP131" s="105"/>
      <c r="IQ131" s="105"/>
      <c r="IR131" s="105"/>
      <c r="IS131" s="105"/>
    </row>
    <row r="132" spans="1:253">
      <c r="A132" s="116"/>
      <c r="B132" s="105"/>
      <c r="C132" s="116"/>
      <c r="D132" s="116"/>
      <c r="E132" s="116"/>
      <c r="F132" s="116"/>
      <c r="G132" s="116"/>
      <c r="H132" s="116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  <c r="CH132" s="105"/>
      <c r="CI132" s="105"/>
      <c r="CJ132" s="105"/>
      <c r="CK132" s="105"/>
      <c r="CL132" s="105"/>
      <c r="CM132" s="105"/>
      <c r="CN132" s="105"/>
      <c r="CO132" s="105"/>
      <c r="CP132" s="105"/>
      <c r="CQ132" s="105"/>
      <c r="CR132" s="105"/>
      <c r="CS132" s="105"/>
      <c r="CT132" s="105"/>
      <c r="CU132" s="105"/>
      <c r="CV132" s="105"/>
      <c r="CW132" s="105"/>
      <c r="CX132" s="105"/>
      <c r="CY132" s="105"/>
      <c r="CZ132" s="105"/>
      <c r="DA132" s="105"/>
      <c r="DB132" s="105"/>
      <c r="DC132" s="105"/>
      <c r="DD132" s="105"/>
      <c r="DE132" s="105"/>
      <c r="DF132" s="105"/>
      <c r="DG132" s="105"/>
      <c r="DH132" s="105"/>
      <c r="DI132" s="105"/>
      <c r="DJ132" s="105"/>
      <c r="DK132" s="105"/>
      <c r="DL132" s="105"/>
      <c r="DM132" s="105"/>
      <c r="DN132" s="105"/>
      <c r="DO132" s="105"/>
      <c r="DP132" s="105"/>
      <c r="DQ132" s="105"/>
      <c r="DR132" s="105"/>
      <c r="DS132" s="105"/>
      <c r="DT132" s="105"/>
      <c r="DU132" s="105"/>
      <c r="DV132" s="105"/>
      <c r="DW132" s="105"/>
      <c r="DX132" s="105"/>
      <c r="DY132" s="105"/>
      <c r="DZ132" s="105"/>
      <c r="EA132" s="105"/>
      <c r="EB132" s="105"/>
      <c r="EC132" s="105"/>
      <c r="ED132" s="105"/>
      <c r="EE132" s="105"/>
      <c r="EF132" s="105"/>
      <c r="EG132" s="105"/>
      <c r="EH132" s="105"/>
      <c r="EI132" s="105"/>
      <c r="EJ132" s="105"/>
      <c r="EK132" s="105"/>
      <c r="EL132" s="105"/>
      <c r="EM132" s="105"/>
      <c r="EN132" s="105"/>
      <c r="EO132" s="105"/>
      <c r="EP132" s="105"/>
      <c r="EQ132" s="105"/>
      <c r="ER132" s="105"/>
      <c r="ES132" s="105"/>
      <c r="ET132" s="105"/>
      <c r="EU132" s="105"/>
      <c r="EV132" s="105"/>
      <c r="EW132" s="105"/>
      <c r="EX132" s="105"/>
      <c r="EY132" s="105"/>
      <c r="EZ132" s="105"/>
      <c r="FA132" s="105"/>
      <c r="FB132" s="105"/>
      <c r="FC132" s="105"/>
      <c r="FD132" s="105"/>
      <c r="FE132" s="105"/>
      <c r="FF132" s="105"/>
      <c r="FG132" s="105"/>
      <c r="FH132" s="105"/>
      <c r="FI132" s="105"/>
      <c r="FJ132" s="105"/>
      <c r="FK132" s="105"/>
      <c r="FL132" s="105"/>
      <c r="FM132" s="105"/>
      <c r="FN132" s="105"/>
      <c r="FO132" s="105"/>
      <c r="FP132" s="105"/>
      <c r="FQ132" s="105"/>
      <c r="FR132" s="105"/>
      <c r="FS132" s="105"/>
      <c r="FT132" s="105"/>
      <c r="FU132" s="105"/>
      <c r="FV132" s="105"/>
      <c r="FW132" s="105"/>
      <c r="FX132" s="105"/>
      <c r="FY132" s="105"/>
      <c r="FZ132" s="105"/>
      <c r="GA132" s="105"/>
      <c r="GB132" s="105"/>
      <c r="GC132" s="105"/>
      <c r="GD132" s="105"/>
      <c r="GE132" s="105"/>
      <c r="GF132" s="105"/>
      <c r="GG132" s="105"/>
      <c r="GH132" s="105"/>
      <c r="GI132" s="105"/>
      <c r="GJ132" s="105"/>
      <c r="GK132" s="105"/>
      <c r="GL132" s="105"/>
      <c r="GM132" s="105"/>
      <c r="GN132" s="105"/>
      <c r="GO132" s="105"/>
      <c r="GP132" s="105"/>
      <c r="GQ132" s="105"/>
      <c r="GR132" s="105"/>
      <c r="GS132" s="105"/>
      <c r="GT132" s="105"/>
      <c r="GU132" s="105"/>
      <c r="GV132" s="105"/>
      <c r="GW132" s="105"/>
      <c r="GX132" s="105"/>
      <c r="GY132" s="105"/>
      <c r="GZ132" s="105"/>
      <c r="HA132" s="105"/>
      <c r="HB132" s="105"/>
      <c r="HC132" s="105"/>
      <c r="HD132" s="105"/>
      <c r="HE132" s="105"/>
      <c r="HF132" s="105"/>
      <c r="HG132" s="105"/>
      <c r="HH132" s="105"/>
      <c r="HI132" s="105"/>
      <c r="HJ132" s="105"/>
      <c r="HK132" s="105"/>
      <c r="HL132" s="105"/>
      <c r="HM132" s="105"/>
      <c r="HN132" s="105"/>
      <c r="HO132" s="105"/>
      <c r="HP132" s="105"/>
      <c r="HQ132" s="105"/>
      <c r="HR132" s="105"/>
      <c r="HS132" s="105"/>
      <c r="HT132" s="105"/>
      <c r="HU132" s="105"/>
      <c r="HV132" s="105"/>
      <c r="HW132" s="105"/>
      <c r="HX132" s="105"/>
      <c r="HY132" s="105"/>
      <c r="HZ132" s="105"/>
      <c r="IA132" s="105"/>
      <c r="IB132" s="105"/>
      <c r="IC132" s="105"/>
      <c r="ID132" s="105"/>
      <c r="IE132" s="105"/>
      <c r="IF132" s="105"/>
      <c r="IG132" s="105"/>
      <c r="IH132" s="105"/>
      <c r="II132" s="105"/>
      <c r="IJ132" s="105"/>
      <c r="IK132" s="105"/>
      <c r="IL132" s="105"/>
      <c r="IM132" s="105"/>
      <c r="IN132" s="105"/>
      <c r="IO132" s="105"/>
      <c r="IP132" s="105"/>
      <c r="IQ132" s="105"/>
      <c r="IR132" s="105"/>
      <c r="IS132" s="105"/>
    </row>
    <row r="133" spans="1:253">
      <c r="A133" s="116"/>
      <c r="B133" s="105"/>
      <c r="C133" s="116"/>
      <c r="D133" s="116"/>
      <c r="E133" s="116"/>
      <c r="F133" s="116"/>
      <c r="G133" s="116"/>
      <c r="H133" s="116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  <c r="BO133" s="105"/>
      <c r="BP133" s="105"/>
      <c r="BQ133" s="105"/>
      <c r="BR133" s="105"/>
      <c r="BS133" s="105"/>
      <c r="BT133" s="105"/>
      <c r="BU133" s="105"/>
      <c r="BV133" s="105"/>
      <c r="BW133" s="105"/>
      <c r="BX133" s="105"/>
      <c r="BY133" s="105"/>
      <c r="BZ133" s="105"/>
      <c r="CA133" s="105"/>
      <c r="CB133" s="105"/>
      <c r="CC133" s="105"/>
      <c r="CD133" s="105"/>
      <c r="CE133" s="105"/>
      <c r="CF133" s="105"/>
      <c r="CG133" s="105"/>
      <c r="CH133" s="105"/>
      <c r="CI133" s="105"/>
      <c r="CJ133" s="105"/>
      <c r="CK133" s="105"/>
      <c r="CL133" s="105"/>
      <c r="CM133" s="105"/>
      <c r="CN133" s="105"/>
      <c r="CO133" s="105"/>
      <c r="CP133" s="105"/>
      <c r="CQ133" s="105"/>
      <c r="CR133" s="105"/>
      <c r="CS133" s="105"/>
      <c r="CT133" s="105"/>
      <c r="CU133" s="105"/>
      <c r="CV133" s="105"/>
      <c r="CW133" s="105"/>
      <c r="CX133" s="105"/>
      <c r="CY133" s="105"/>
      <c r="CZ133" s="105"/>
      <c r="DA133" s="105"/>
      <c r="DB133" s="105"/>
      <c r="DC133" s="105"/>
      <c r="DD133" s="105"/>
      <c r="DE133" s="105"/>
      <c r="DF133" s="105"/>
      <c r="DG133" s="105"/>
      <c r="DH133" s="105"/>
      <c r="DI133" s="105"/>
      <c r="DJ133" s="105"/>
      <c r="DK133" s="105"/>
      <c r="DL133" s="105"/>
      <c r="DM133" s="105"/>
      <c r="DN133" s="105"/>
      <c r="DO133" s="105"/>
      <c r="DP133" s="105"/>
      <c r="DQ133" s="105"/>
      <c r="DR133" s="105"/>
      <c r="DS133" s="105"/>
      <c r="DT133" s="105"/>
      <c r="DU133" s="105"/>
      <c r="DV133" s="105"/>
      <c r="DW133" s="105"/>
      <c r="DX133" s="105"/>
      <c r="DY133" s="105"/>
      <c r="DZ133" s="105"/>
      <c r="EA133" s="105"/>
      <c r="EB133" s="105"/>
      <c r="EC133" s="105"/>
      <c r="ED133" s="105"/>
      <c r="EE133" s="105"/>
      <c r="EF133" s="105"/>
      <c r="EG133" s="105"/>
      <c r="EH133" s="105"/>
      <c r="EI133" s="105"/>
      <c r="EJ133" s="105"/>
      <c r="EK133" s="105"/>
      <c r="EL133" s="105"/>
      <c r="EM133" s="105"/>
      <c r="EN133" s="105"/>
      <c r="EO133" s="105"/>
      <c r="EP133" s="105"/>
      <c r="EQ133" s="105"/>
      <c r="ER133" s="105"/>
      <c r="ES133" s="105"/>
      <c r="ET133" s="105"/>
      <c r="EU133" s="105"/>
      <c r="EV133" s="105"/>
      <c r="EW133" s="105"/>
      <c r="EX133" s="105"/>
      <c r="EY133" s="105"/>
      <c r="EZ133" s="105"/>
      <c r="FA133" s="105"/>
      <c r="FB133" s="105"/>
      <c r="FC133" s="105"/>
      <c r="FD133" s="105"/>
      <c r="FE133" s="105"/>
      <c r="FF133" s="105"/>
      <c r="FG133" s="105"/>
      <c r="FH133" s="105"/>
      <c r="FI133" s="105"/>
      <c r="FJ133" s="105"/>
      <c r="FK133" s="105"/>
      <c r="FL133" s="105"/>
      <c r="FM133" s="105"/>
      <c r="FN133" s="105"/>
      <c r="FO133" s="105"/>
      <c r="FP133" s="105"/>
      <c r="FQ133" s="105"/>
      <c r="FR133" s="105"/>
      <c r="FS133" s="105"/>
      <c r="FT133" s="105"/>
      <c r="FU133" s="105"/>
      <c r="FV133" s="105"/>
      <c r="FW133" s="105"/>
      <c r="FX133" s="105"/>
      <c r="FY133" s="105"/>
      <c r="FZ133" s="105"/>
      <c r="GA133" s="105"/>
      <c r="GB133" s="105"/>
      <c r="GC133" s="105"/>
      <c r="GD133" s="105"/>
      <c r="GE133" s="105"/>
      <c r="GF133" s="105"/>
      <c r="GG133" s="105"/>
      <c r="GH133" s="105"/>
      <c r="GI133" s="105"/>
      <c r="GJ133" s="105"/>
      <c r="GK133" s="105"/>
      <c r="GL133" s="105"/>
      <c r="GM133" s="105"/>
      <c r="GN133" s="105"/>
      <c r="GO133" s="105"/>
      <c r="GP133" s="105"/>
      <c r="GQ133" s="105"/>
      <c r="GR133" s="105"/>
      <c r="GS133" s="105"/>
      <c r="GT133" s="105"/>
      <c r="GU133" s="105"/>
      <c r="GV133" s="105"/>
      <c r="GW133" s="105"/>
      <c r="GX133" s="105"/>
      <c r="GY133" s="105"/>
      <c r="GZ133" s="105"/>
      <c r="HA133" s="105"/>
      <c r="HB133" s="105"/>
      <c r="HC133" s="105"/>
      <c r="HD133" s="105"/>
      <c r="HE133" s="105"/>
      <c r="HF133" s="105"/>
      <c r="HG133" s="105"/>
      <c r="HH133" s="105"/>
      <c r="HI133" s="105"/>
      <c r="HJ133" s="105"/>
      <c r="HK133" s="105"/>
      <c r="HL133" s="105"/>
      <c r="HM133" s="105"/>
      <c r="HN133" s="105"/>
      <c r="HO133" s="105"/>
      <c r="HP133" s="105"/>
      <c r="HQ133" s="105"/>
      <c r="HR133" s="105"/>
      <c r="HS133" s="105"/>
      <c r="HT133" s="105"/>
      <c r="HU133" s="105"/>
      <c r="HV133" s="105"/>
      <c r="HW133" s="105"/>
      <c r="HX133" s="105"/>
      <c r="HY133" s="105"/>
      <c r="HZ133" s="105"/>
      <c r="IA133" s="105"/>
      <c r="IB133" s="105"/>
      <c r="IC133" s="105"/>
      <c r="ID133" s="105"/>
      <c r="IE133" s="105"/>
      <c r="IF133" s="105"/>
      <c r="IG133" s="105"/>
      <c r="IH133" s="105"/>
      <c r="II133" s="105"/>
      <c r="IJ133" s="105"/>
      <c r="IK133" s="105"/>
      <c r="IL133" s="105"/>
      <c r="IM133" s="105"/>
      <c r="IN133" s="105"/>
      <c r="IO133" s="105"/>
      <c r="IP133" s="105"/>
      <c r="IQ133" s="105"/>
      <c r="IR133" s="105"/>
      <c r="IS133" s="105"/>
    </row>
    <row r="134" spans="1:253">
      <c r="A134" s="116"/>
      <c r="B134" s="105"/>
      <c r="C134" s="116"/>
      <c r="D134" s="116"/>
      <c r="E134" s="116"/>
      <c r="F134" s="116"/>
      <c r="G134" s="116"/>
      <c r="H134" s="116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  <c r="BO134" s="105"/>
      <c r="BP134" s="105"/>
      <c r="BQ134" s="105"/>
      <c r="BR134" s="105"/>
      <c r="BS134" s="105"/>
      <c r="BT134" s="105"/>
      <c r="BU134" s="105"/>
      <c r="BV134" s="105"/>
      <c r="BW134" s="105"/>
      <c r="BX134" s="105"/>
      <c r="BY134" s="105"/>
      <c r="BZ134" s="105"/>
      <c r="CA134" s="105"/>
      <c r="CB134" s="105"/>
      <c r="CC134" s="105"/>
      <c r="CD134" s="105"/>
      <c r="CE134" s="105"/>
      <c r="CF134" s="105"/>
      <c r="CG134" s="105"/>
      <c r="CH134" s="105"/>
      <c r="CI134" s="105"/>
      <c r="CJ134" s="105"/>
      <c r="CK134" s="105"/>
      <c r="CL134" s="105"/>
      <c r="CM134" s="105"/>
      <c r="CN134" s="105"/>
      <c r="CO134" s="105"/>
      <c r="CP134" s="105"/>
      <c r="CQ134" s="105"/>
      <c r="CR134" s="105"/>
      <c r="CS134" s="105"/>
      <c r="CT134" s="105"/>
      <c r="CU134" s="105"/>
      <c r="CV134" s="105"/>
      <c r="CW134" s="105"/>
      <c r="CX134" s="105"/>
      <c r="CY134" s="105"/>
      <c r="CZ134" s="105"/>
      <c r="DA134" s="105"/>
      <c r="DB134" s="105"/>
      <c r="DC134" s="105"/>
      <c r="DD134" s="105"/>
      <c r="DE134" s="105"/>
      <c r="DF134" s="105"/>
      <c r="DG134" s="105"/>
      <c r="DH134" s="105"/>
      <c r="DI134" s="105"/>
      <c r="DJ134" s="105"/>
      <c r="DK134" s="105"/>
      <c r="DL134" s="105"/>
      <c r="DM134" s="105"/>
      <c r="DN134" s="105"/>
      <c r="DO134" s="105"/>
      <c r="DP134" s="105"/>
      <c r="DQ134" s="105"/>
      <c r="DR134" s="105"/>
      <c r="DS134" s="105"/>
      <c r="DT134" s="105"/>
      <c r="DU134" s="105"/>
      <c r="DV134" s="105"/>
      <c r="DW134" s="105"/>
      <c r="DX134" s="105"/>
      <c r="DY134" s="105"/>
      <c r="DZ134" s="105"/>
      <c r="EA134" s="105"/>
      <c r="EB134" s="105"/>
      <c r="EC134" s="105"/>
      <c r="ED134" s="105"/>
      <c r="EE134" s="105"/>
      <c r="EF134" s="105"/>
      <c r="EG134" s="105"/>
      <c r="EH134" s="105"/>
      <c r="EI134" s="105"/>
      <c r="EJ134" s="105"/>
      <c r="EK134" s="105"/>
      <c r="EL134" s="105"/>
      <c r="EM134" s="105"/>
      <c r="EN134" s="105"/>
      <c r="EO134" s="105"/>
      <c r="EP134" s="105"/>
      <c r="EQ134" s="105"/>
      <c r="ER134" s="105"/>
      <c r="ES134" s="105"/>
      <c r="ET134" s="105"/>
      <c r="EU134" s="105"/>
      <c r="EV134" s="105"/>
      <c r="EW134" s="105"/>
      <c r="EX134" s="105"/>
      <c r="EY134" s="105"/>
      <c r="EZ134" s="105"/>
      <c r="FA134" s="105"/>
      <c r="FB134" s="105"/>
      <c r="FC134" s="105"/>
      <c r="FD134" s="105"/>
      <c r="FE134" s="105"/>
      <c r="FF134" s="105"/>
      <c r="FG134" s="105"/>
      <c r="FH134" s="105"/>
      <c r="FI134" s="105"/>
      <c r="FJ134" s="105"/>
      <c r="FK134" s="105"/>
      <c r="FL134" s="105"/>
      <c r="FM134" s="105"/>
      <c r="FN134" s="105"/>
      <c r="FO134" s="105"/>
      <c r="FP134" s="105"/>
      <c r="FQ134" s="105"/>
      <c r="FR134" s="105"/>
      <c r="FS134" s="105"/>
      <c r="FT134" s="105"/>
      <c r="FU134" s="105"/>
      <c r="FV134" s="105"/>
      <c r="FW134" s="105"/>
      <c r="FX134" s="105"/>
      <c r="FY134" s="105"/>
      <c r="FZ134" s="105"/>
      <c r="GA134" s="105"/>
      <c r="GB134" s="105"/>
      <c r="GC134" s="105"/>
      <c r="GD134" s="105"/>
      <c r="GE134" s="105"/>
      <c r="GF134" s="105"/>
      <c r="GG134" s="105"/>
      <c r="GH134" s="105"/>
      <c r="GI134" s="105"/>
      <c r="GJ134" s="105"/>
      <c r="GK134" s="105"/>
      <c r="GL134" s="105"/>
      <c r="GM134" s="105"/>
      <c r="GN134" s="105"/>
      <c r="GO134" s="105"/>
      <c r="GP134" s="105"/>
      <c r="GQ134" s="105"/>
      <c r="GR134" s="105"/>
      <c r="GS134" s="105"/>
      <c r="GT134" s="105"/>
      <c r="GU134" s="105"/>
      <c r="GV134" s="105"/>
      <c r="GW134" s="105"/>
      <c r="GX134" s="105"/>
      <c r="GY134" s="105"/>
      <c r="GZ134" s="105"/>
      <c r="HA134" s="105"/>
      <c r="HB134" s="105"/>
      <c r="HC134" s="105"/>
      <c r="HD134" s="105"/>
      <c r="HE134" s="105"/>
      <c r="HF134" s="105"/>
      <c r="HG134" s="105"/>
      <c r="HH134" s="105"/>
      <c r="HI134" s="105"/>
      <c r="HJ134" s="105"/>
      <c r="HK134" s="105"/>
      <c r="HL134" s="105"/>
      <c r="HM134" s="105"/>
      <c r="HN134" s="105"/>
      <c r="HO134" s="105"/>
      <c r="HP134" s="105"/>
      <c r="HQ134" s="105"/>
      <c r="HR134" s="105"/>
      <c r="HS134" s="105"/>
      <c r="HT134" s="105"/>
      <c r="HU134" s="105"/>
      <c r="HV134" s="105"/>
      <c r="HW134" s="105"/>
      <c r="HX134" s="105"/>
      <c r="HY134" s="105"/>
      <c r="HZ134" s="105"/>
      <c r="IA134" s="105"/>
      <c r="IB134" s="105"/>
      <c r="IC134" s="105"/>
      <c r="ID134" s="105"/>
      <c r="IE134" s="105"/>
      <c r="IF134" s="105"/>
      <c r="IG134" s="105"/>
      <c r="IH134" s="105"/>
      <c r="II134" s="105"/>
      <c r="IJ134" s="105"/>
      <c r="IK134" s="105"/>
      <c r="IL134" s="105"/>
      <c r="IM134" s="105"/>
      <c r="IN134" s="105"/>
      <c r="IO134" s="105"/>
      <c r="IP134" s="105"/>
      <c r="IQ134" s="105"/>
      <c r="IR134" s="105"/>
      <c r="IS134" s="105"/>
    </row>
    <row r="135" spans="1:253">
      <c r="A135" s="116"/>
      <c r="B135" s="105"/>
      <c r="C135" s="116"/>
      <c r="D135" s="116"/>
      <c r="E135" s="116"/>
      <c r="F135" s="116"/>
      <c r="G135" s="116"/>
      <c r="H135" s="116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  <c r="BO135" s="105"/>
      <c r="BP135" s="105"/>
      <c r="BQ135" s="105"/>
      <c r="BR135" s="105"/>
      <c r="BS135" s="105"/>
      <c r="BT135" s="105"/>
      <c r="BU135" s="105"/>
      <c r="BV135" s="105"/>
      <c r="BW135" s="105"/>
      <c r="BX135" s="105"/>
      <c r="BY135" s="105"/>
      <c r="BZ135" s="105"/>
      <c r="CA135" s="105"/>
      <c r="CB135" s="105"/>
      <c r="CC135" s="105"/>
      <c r="CD135" s="105"/>
      <c r="CE135" s="105"/>
      <c r="CF135" s="105"/>
      <c r="CG135" s="105"/>
      <c r="CH135" s="105"/>
      <c r="CI135" s="105"/>
      <c r="CJ135" s="105"/>
      <c r="CK135" s="105"/>
      <c r="CL135" s="105"/>
      <c r="CM135" s="105"/>
      <c r="CN135" s="105"/>
      <c r="CO135" s="105"/>
      <c r="CP135" s="105"/>
      <c r="CQ135" s="105"/>
      <c r="CR135" s="105"/>
      <c r="CS135" s="105"/>
      <c r="CT135" s="105"/>
      <c r="CU135" s="105"/>
      <c r="CV135" s="105"/>
      <c r="CW135" s="105"/>
      <c r="CX135" s="105"/>
      <c r="CY135" s="105"/>
      <c r="CZ135" s="105"/>
      <c r="DA135" s="105"/>
      <c r="DB135" s="105"/>
      <c r="DC135" s="105"/>
      <c r="DD135" s="105"/>
      <c r="DE135" s="105"/>
      <c r="DF135" s="105"/>
      <c r="DG135" s="105"/>
      <c r="DH135" s="105"/>
      <c r="DI135" s="105"/>
      <c r="DJ135" s="105"/>
      <c r="DK135" s="105"/>
      <c r="DL135" s="105"/>
      <c r="DM135" s="105"/>
      <c r="DN135" s="105"/>
      <c r="DO135" s="105"/>
      <c r="DP135" s="105"/>
      <c r="DQ135" s="105"/>
      <c r="DR135" s="105"/>
      <c r="DS135" s="105"/>
      <c r="DT135" s="105"/>
      <c r="DU135" s="105"/>
      <c r="DV135" s="105"/>
      <c r="DW135" s="105"/>
      <c r="DX135" s="105"/>
      <c r="DY135" s="105"/>
      <c r="DZ135" s="105"/>
      <c r="EA135" s="105"/>
      <c r="EB135" s="105"/>
      <c r="EC135" s="105"/>
      <c r="ED135" s="105"/>
      <c r="EE135" s="105"/>
      <c r="EF135" s="105"/>
      <c r="EG135" s="105"/>
      <c r="EH135" s="105"/>
      <c r="EI135" s="105"/>
      <c r="EJ135" s="105"/>
      <c r="EK135" s="105"/>
      <c r="EL135" s="105"/>
      <c r="EM135" s="105"/>
      <c r="EN135" s="105"/>
      <c r="EO135" s="105"/>
      <c r="EP135" s="105"/>
      <c r="EQ135" s="105"/>
      <c r="ER135" s="105"/>
      <c r="ES135" s="105"/>
      <c r="ET135" s="105"/>
      <c r="EU135" s="105"/>
      <c r="EV135" s="105"/>
      <c r="EW135" s="105"/>
      <c r="EX135" s="105"/>
      <c r="EY135" s="105"/>
      <c r="EZ135" s="105"/>
      <c r="FA135" s="105"/>
      <c r="FB135" s="105"/>
      <c r="FC135" s="105"/>
      <c r="FD135" s="105"/>
      <c r="FE135" s="105"/>
      <c r="FF135" s="105"/>
      <c r="FG135" s="105"/>
      <c r="FH135" s="105"/>
      <c r="FI135" s="105"/>
      <c r="FJ135" s="105"/>
      <c r="FK135" s="105"/>
      <c r="FL135" s="105"/>
      <c r="FM135" s="105"/>
      <c r="FN135" s="105"/>
      <c r="FO135" s="105"/>
      <c r="FP135" s="105"/>
      <c r="FQ135" s="105"/>
      <c r="FR135" s="105"/>
      <c r="FS135" s="105"/>
      <c r="FT135" s="105"/>
      <c r="FU135" s="105"/>
      <c r="FV135" s="105"/>
      <c r="FW135" s="105"/>
      <c r="FX135" s="105"/>
      <c r="FY135" s="105"/>
      <c r="FZ135" s="105"/>
      <c r="GA135" s="105"/>
      <c r="GB135" s="105"/>
      <c r="GC135" s="105"/>
      <c r="GD135" s="105"/>
      <c r="GE135" s="105"/>
      <c r="GF135" s="105"/>
      <c r="GG135" s="105"/>
      <c r="GH135" s="105"/>
      <c r="GI135" s="105"/>
      <c r="GJ135" s="105"/>
      <c r="GK135" s="105"/>
      <c r="GL135" s="105"/>
      <c r="GM135" s="105"/>
      <c r="GN135" s="105"/>
      <c r="GO135" s="105"/>
      <c r="GP135" s="105"/>
      <c r="GQ135" s="105"/>
      <c r="GR135" s="105"/>
      <c r="GS135" s="105"/>
      <c r="GT135" s="105"/>
      <c r="GU135" s="105"/>
      <c r="GV135" s="105"/>
      <c r="GW135" s="105"/>
      <c r="GX135" s="105"/>
      <c r="GY135" s="105"/>
      <c r="GZ135" s="105"/>
      <c r="HA135" s="105"/>
      <c r="HB135" s="105"/>
      <c r="HC135" s="105"/>
      <c r="HD135" s="105"/>
      <c r="HE135" s="105"/>
      <c r="HF135" s="105"/>
      <c r="HG135" s="105"/>
      <c r="HH135" s="105"/>
      <c r="HI135" s="105"/>
      <c r="HJ135" s="105"/>
      <c r="HK135" s="105"/>
      <c r="HL135" s="105"/>
      <c r="HM135" s="105"/>
      <c r="HN135" s="105"/>
      <c r="HO135" s="105"/>
      <c r="HP135" s="105"/>
      <c r="HQ135" s="105"/>
      <c r="HR135" s="105"/>
      <c r="HS135" s="105"/>
      <c r="HT135" s="105"/>
      <c r="HU135" s="105"/>
      <c r="HV135" s="105"/>
      <c r="HW135" s="105"/>
      <c r="HX135" s="105"/>
      <c r="HY135" s="105"/>
      <c r="HZ135" s="105"/>
      <c r="IA135" s="105"/>
      <c r="IB135" s="105"/>
      <c r="IC135" s="105"/>
      <c r="ID135" s="105"/>
      <c r="IE135" s="105"/>
      <c r="IF135" s="105"/>
      <c r="IG135" s="105"/>
      <c r="IH135" s="105"/>
      <c r="II135" s="105"/>
      <c r="IJ135" s="105"/>
      <c r="IK135" s="105"/>
      <c r="IL135" s="105"/>
      <c r="IM135" s="105"/>
      <c r="IN135" s="105"/>
      <c r="IO135" s="105"/>
      <c r="IP135" s="105"/>
      <c r="IQ135" s="105"/>
      <c r="IR135" s="105"/>
      <c r="IS135" s="105"/>
    </row>
    <row r="136" spans="1:253">
      <c r="A136" s="116"/>
      <c r="B136" s="105"/>
      <c r="C136" s="116"/>
      <c r="D136" s="116"/>
      <c r="E136" s="116"/>
      <c r="F136" s="116"/>
      <c r="G136" s="116"/>
      <c r="H136" s="116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  <c r="BO136" s="105"/>
      <c r="BP136" s="105"/>
      <c r="BQ136" s="105"/>
      <c r="BR136" s="105"/>
      <c r="BS136" s="105"/>
      <c r="BT136" s="105"/>
      <c r="BU136" s="105"/>
      <c r="BV136" s="105"/>
      <c r="BW136" s="105"/>
      <c r="BX136" s="105"/>
      <c r="BY136" s="105"/>
      <c r="BZ136" s="105"/>
      <c r="CA136" s="105"/>
      <c r="CB136" s="105"/>
      <c r="CC136" s="105"/>
      <c r="CD136" s="105"/>
      <c r="CE136" s="105"/>
      <c r="CF136" s="105"/>
      <c r="CG136" s="105"/>
      <c r="CH136" s="105"/>
      <c r="CI136" s="105"/>
      <c r="CJ136" s="105"/>
      <c r="CK136" s="105"/>
      <c r="CL136" s="105"/>
      <c r="CM136" s="105"/>
      <c r="CN136" s="105"/>
      <c r="CO136" s="105"/>
      <c r="CP136" s="105"/>
      <c r="CQ136" s="105"/>
      <c r="CR136" s="105"/>
      <c r="CS136" s="105"/>
      <c r="CT136" s="105"/>
      <c r="CU136" s="105"/>
      <c r="CV136" s="105"/>
      <c r="CW136" s="105"/>
      <c r="CX136" s="105"/>
      <c r="CY136" s="105"/>
      <c r="CZ136" s="105"/>
      <c r="DA136" s="105"/>
      <c r="DB136" s="105"/>
      <c r="DC136" s="105"/>
      <c r="DD136" s="105"/>
      <c r="DE136" s="105"/>
      <c r="DF136" s="105"/>
      <c r="DG136" s="105"/>
      <c r="DH136" s="105"/>
      <c r="DI136" s="105"/>
      <c r="DJ136" s="105"/>
      <c r="DK136" s="105"/>
      <c r="DL136" s="105"/>
      <c r="DM136" s="105"/>
      <c r="DN136" s="105"/>
      <c r="DO136" s="105"/>
      <c r="DP136" s="105"/>
      <c r="DQ136" s="105"/>
      <c r="DR136" s="105"/>
      <c r="DS136" s="105"/>
      <c r="DT136" s="105"/>
      <c r="DU136" s="105"/>
      <c r="DV136" s="105"/>
      <c r="DW136" s="105"/>
      <c r="DX136" s="105"/>
      <c r="DY136" s="105"/>
      <c r="DZ136" s="105"/>
      <c r="EA136" s="105"/>
      <c r="EB136" s="105"/>
      <c r="EC136" s="105"/>
      <c r="ED136" s="105"/>
      <c r="EE136" s="105"/>
      <c r="EF136" s="105"/>
      <c r="EG136" s="105"/>
      <c r="EH136" s="105"/>
      <c r="EI136" s="105"/>
      <c r="EJ136" s="105"/>
      <c r="EK136" s="105"/>
      <c r="EL136" s="105"/>
      <c r="EM136" s="105"/>
      <c r="EN136" s="105"/>
      <c r="EO136" s="105"/>
      <c r="EP136" s="105"/>
      <c r="EQ136" s="105"/>
      <c r="ER136" s="105"/>
      <c r="ES136" s="105"/>
      <c r="ET136" s="105"/>
      <c r="EU136" s="105"/>
      <c r="EV136" s="105"/>
      <c r="EW136" s="105"/>
      <c r="EX136" s="105"/>
      <c r="EY136" s="105"/>
      <c r="EZ136" s="105"/>
      <c r="FA136" s="105"/>
      <c r="FB136" s="105"/>
      <c r="FC136" s="105"/>
      <c r="FD136" s="105"/>
      <c r="FE136" s="105"/>
      <c r="FF136" s="105"/>
      <c r="FG136" s="105"/>
      <c r="FH136" s="105"/>
      <c r="FI136" s="105"/>
      <c r="FJ136" s="105"/>
      <c r="FK136" s="105"/>
      <c r="FL136" s="105"/>
      <c r="FM136" s="105"/>
      <c r="FN136" s="105"/>
      <c r="FO136" s="105"/>
      <c r="FP136" s="105"/>
      <c r="FQ136" s="105"/>
      <c r="FR136" s="105"/>
      <c r="FS136" s="105"/>
      <c r="FT136" s="105"/>
      <c r="FU136" s="105"/>
      <c r="FV136" s="105"/>
      <c r="FW136" s="105"/>
      <c r="FX136" s="105"/>
      <c r="FY136" s="105"/>
      <c r="FZ136" s="105"/>
      <c r="GA136" s="105"/>
      <c r="GB136" s="105"/>
      <c r="GC136" s="105"/>
      <c r="GD136" s="105"/>
      <c r="GE136" s="105"/>
      <c r="GF136" s="105"/>
      <c r="GG136" s="105"/>
      <c r="GH136" s="105"/>
      <c r="GI136" s="105"/>
      <c r="GJ136" s="105"/>
      <c r="GK136" s="105"/>
      <c r="GL136" s="105"/>
      <c r="GM136" s="105"/>
      <c r="GN136" s="105"/>
      <c r="GO136" s="105"/>
      <c r="GP136" s="105"/>
      <c r="GQ136" s="105"/>
      <c r="GR136" s="105"/>
      <c r="GS136" s="105"/>
      <c r="GT136" s="105"/>
      <c r="GU136" s="105"/>
      <c r="GV136" s="105"/>
      <c r="GW136" s="105"/>
      <c r="GX136" s="105"/>
      <c r="GY136" s="105"/>
      <c r="GZ136" s="105"/>
      <c r="HA136" s="105"/>
      <c r="HB136" s="105"/>
      <c r="HC136" s="105"/>
      <c r="HD136" s="105"/>
      <c r="HE136" s="105"/>
      <c r="HF136" s="105"/>
      <c r="HG136" s="105"/>
      <c r="HH136" s="105"/>
      <c r="HI136" s="105"/>
      <c r="HJ136" s="105"/>
      <c r="HK136" s="105"/>
      <c r="HL136" s="105"/>
      <c r="HM136" s="105"/>
      <c r="HN136" s="105"/>
      <c r="HO136" s="105"/>
      <c r="HP136" s="105"/>
      <c r="HQ136" s="105"/>
      <c r="HR136" s="105"/>
      <c r="HS136" s="105"/>
      <c r="HT136" s="105"/>
      <c r="HU136" s="105"/>
      <c r="HV136" s="105"/>
      <c r="HW136" s="105"/>
      <c r="HX136" s="105"/>
      <c r="HY136" s="105"/>
      <c r="HZ136" s="105"/>
      <c r="IA136" s="105"/>
      <c r="IB136" s="105"/>
      <c r="IC136" s="105"/>
      <c r="ID136" s="105"/>
      <c r="IE136" s="105"/>
      <c r="IF136" s="105"/>
      <c r="IG136" s="105"/>
      <c r="IH136" s="105"/>
      <c r="II136" s="105"/>
      <c r="IJ136" s="105"/>
      <c r="IK136" s="105"/>
      <c r="IL136" s="105"/>
      <c r="IM136" s="105"/>
      <c r="IN136" s="105"/>
      <c r="IO136" s="105"/>
      <c r="IP136" s="105"/>
      <c r="IQ136" s="105"/>
      <c r="IR136" s="105"/>
      <c r="IS136" s="105"/>
    </row>
    <row r="137" spans="1:253">
      <c r="A137" s="116"/>
      <c r="B137" s="105"/>
      <c r="C137" s="116"/>
      <c r="D137" s="116"/>
      <c r="E137" s="116"/>
      <c r="F137" s="116"/>
      <c r="G137" s="116"/>
      <c r="H137" s="116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105"/>
      <c r="BX137" s="105"/>
      <c r="BY137" s="105"/>
      <c r="BZ137" s="105"/>
      <c r="CA137" s="105"/>
      <c r="CB137" s="105"/>
      <c r="CC137" s="105"/>
      <c r="CD137" s="105"/>
      <c r="CE137" s="105"/>
      <c r="CF137" s="105"/>
      <c r="CG137" s="105"/>
      <c r="CH137" s="105"/>
      <c r="CI137" s="105"/>
      <c r="CJ137" s="105"/>
      <c r="CK137" s="105"/>
      <c r="CL137" s="105"/>
      <c r="CM137" s="105"/>
      <c r="CN137" s="105"/>
      <c r="CO137" s="105"/>
      <c r="CP137" s="105"/>
      <c r="CQ137" s="105"/>
      <c r="CR137" s="105"/>
      <c r="CS137" s="105"/>
      <c r="CT137" s="105"/>
      <c r="CU137" s="105"/>
      <c r="CV137" s="105"/>
      <c r="CW137" s="105"/>
      <c r="CX137" s="105"/>
      <c r="CY137" s="105"/>
      <c r="CZ137" s="105"/>
      <c r="DA137" s="105"/>
      <c r="DB137" s="105"/>
      <c r="DC137" s="105"/>
      <c r="DD137" s="105"/>
      <c r="DE137" s="105"/>
      <c r="DF137" s="105"/>
      <c r="DG137" s="105"/>
      <c r="DH137" s="105"/>
      <c r="DI137" s="105"/>
      <c r="DJ137" s="105"/>
      <c r="DK137" s="105"/>
      <c r="DL137" s="105"/>
      <c r="DM137" s="105"/>
      <c r="DN137" s="105"/>
      <c r="DO137" s="105"/>
      <c r="DP137" s="105"/>
      <c r="DQ137" s="105"/>
      <c r="DR137" s="105"/>
      <c r="DS137" s="105"/>
      <c r="DT137" s="105"/>
      <c r="DU137" s="105"/>
      <c r="DV137" s="105"/>
      <c r="DW137" s="105"/>
      <c r="DX137" s="105"/>
      <c r="DY137" s="105"/>
      <c r="DZ137" s="105"/>
      <c r="EA137" s="105"/>
      <c r="EB137" s="105"/>
      <c r="EC137" s="105"/>
      <c r="ED137" s="105"/>
      <c r="EE137" s="105"/>
      <c r="EF137" s="105"/>
      <c r="EG137" s="105"/>
      <c r="EH137" s="105"/>
      <c r="EI137" s="105"/>
      <c r="EJ137" s="105"/>
      <c r="EK137" s="105"/>
      <c r="EL137" s="105"/>
      <c r="EM137" s="105"/>
      <c r="EN137" s="105"/>
      <c r="EO137" s="105"/>
      <c r="EP137" s="105"/>
      <c r="EQ137" s="105"/>
      <c r="ER137" s="105"/>
      <c r="ES137" s="105"/>
      <c r="ET137" s="105"/>
      <c r="EU137" s="105"/>
      <c r="EV137" s="105"/>
      <c r="EW137" s="105"/>
      <c r="EX137" s="105"/>
      <c r="EY137" s="105"/>
      <c r="EZ137" s="105"/>
      <c r="FA137" s="105"/>
      <c r="FB137" s="105"/>
      <c r="FC137" s="105"/>
      <c r="FD137" s="105"/>
      <c r="FE137" s="105"/>
      <c r="FF137" s="105"/>
      <c r="FG137" s="105"/>
      <c r="FH137" s="105"/>
      <c r="FI137" s="105"/>
      <c r="FJ137" s="105"/>
      <c r="FK137" s="105"/>
      <c r="FL137" s="105"/>
      <c r="FM137" s="105"/>
      <c r="FN137" s="105"/>
      <c r="FO137" s="105"/>
      <c r="FP137" s="105"/>
      <c r="FQ137" s="105"/>
      <c r="FR137" s="105"/>
      <c r="FS137" s="105"/>
      <c r="FT137" s="105"/>
      <c r="FU137" s="105"/>
      <c r="FV137" s="105"/>
      <c r="FW137" s="105"/>
      <c r="FX137" s="105"/>
      <c r="FY137" s="105"/>
      <c r="FZ137" s="105"/>
      <c r="GA137" s="105"/>
      <c r="GB137" s="105"/>
      <c r="GC137" s="105"/>
      <c r="GD137" s="105"/>
      <c r="GE137" s="105"/>
      <c r="GF137" s="105"/>
      <c r="GG137" s="105"/>
      <c r="GH137" s="105"/>
      <c r="GI137" s="105"/>
      <c r="GJ137" s="105"/>
      <c r="GK137" s="105"/>
      <c r="GL137" s="105"/>
      <c r="GM137" s="105"/>
      <c r="GN137" s="105"/>
      <c r="GO137" s="105"/>
      <c r="GP137" s="105"/>
      <c r="GQ137" s="105"/>
      <c r="GR137" s="105"/>
      <c r="GS137" s="105"/>
      <c r="GT137" s="105"/>
      <c r="GU137" s="105"/>
      <c r="GV137" s="105"/>
      <c r="GW137" s="105"/>
      <c r="GX137" s="105"/>
      <c r="GY137" s="105"/>
      <c r="GZ137" s="105"/>
      <c r="HA137" s="105"/>
      <c r="HB137" s="105"/>
      <c r="HC137" s="105"/>
      <c r="HD137" s="105"/>
      <c r="HE137" s="105"/>
      <c r="HF137" s="105"/>
      <c r="HG137" s="105"/>
      <c r="HH137" s="105"/>
      <c r="HI137" s="105"/>
      <c r="HJ137" s="105"/>
      <c r="HK137" s="105"/>
      <c r="HL137" s="105"/>
      <c r="HM137" s="105"/>
      <c r="HN137" s="105"/>
      <c r="HO137" s="105"/>
      <c r="HP137" s="105"/>
      <c r="HQ137" s="105"/>
      <c r="HR137" s="105"/>
      <c r="HS137" s="105"/>
      <c r="HT137" s="105"/>
      <c r="HU137" s="105"/>
      <c r="HV137" s="105"/>
      <c r="HW137" s="105"/>
      <c r="HX137" s="105"/>
      <c r="HY137" s="105"/>
      <c r="HZ137" s="105"/>
      <c r="IA137" s="105"/>
      <c r="IB137" s="105"/>
      <c r="IC137" s="105"/>
      <c r="ID137" s="105"/>
      <c r="IE137" s="105"/>
      <c r="IF137" s="105"/>
      <c r="IG137" s="105"/>
      <c r="IH137" s="105"/>
      <c r="II137" s="105"/>
      <c r="IJ137" s="105"/>
      <c r="IK137" s="105"/>
      <c r="IL137" s="105"/>
      <c r="IM137" s="105"/>
      <c r="IN137" s="105"/>
      <c r="IO137" s="105"/>
      <c r="IP137" s="105"/>
      <c r="IQ137" s="105"/>
      <c r="IR137" s="105"/>
      <c r="IS137" s="105"/>
    </row>
    <row r="138" spans="1:253">
      <c r="A138" s="116"/>
      <c r="B138" s="105"/>
      <c r="C138" s="116"/>
      <c r="D138" s="116"/>
      <c r="E138" s="116"/>
      <c r="F138" s="116"/>
      <c r="G138" s="116"/>
      <c r="H138" s="116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  <c r="BO138" s="105"/>
      <c r="BP138" s="105"/>
      <c r="BQ138" s="105"/>
      <c r="BR138" s="105"/>
      <c r="BS138" s="105"/>
      <c r="BT138" s="105"/>
      <c r="BU138" s="105"/>
      <c r="BV138" s="105"/>
      <c r="BW138" s="105"/>
      <c r="BX138" s="105"/>
      <c r="BY138" s="105"/>
      <c r="BZ138" s="105"/>
      <c r="CA138" s="105"/>
      <c r="CB138" s="105"/>
      <c r="CC138" s="105"/>
      <c r="CD138" s="105"/>
      <c r="CE138" s="105"/>
      <c r="CF138" s="105"/>
      <c r="CG138" s="105"/>
      <c r="CH138" s="105"/>
      <c r="CI138" s="105"/>
      <c r="CJ138" s="105"/>
      <c r="CK138" s="105"/>
      <c r="CL138" s="105"/>
      <c r="CM138" s="105"/>
      <c r="CN138" s="105"/>
      <c r="CO138" s="105"/>
      <c r="CP138" s="105"/>
      <c r="CQ138" s="105"/>
      <c r="CR138" s="105"/>
      <c r="CS138" s="105"/>
      <c r="CT138" s="105"/>
      <c r="CU138" s="105"/>
      <c r="CV138" s="105"/>
      <c r="CW138" s="105"/>
      <c r="CX138" s="105"/>
      <c r="CY138" s="105"/>
      <c r="CZ138" s="105"/>
      <c r="DA138" s="105"/>
      <c r="DB138" s="105"/>
      <c r="DC138" s="105"/>
      <c r="DD138" s="105"/>
      <c r="DE138" s="105"/>
      <c r="DF138" s="105"/>
      <c r="DG138" s="105"/>
      <c r="DH138" s="105"/>
      <c r="DI138" s="105"/>
      <c r="DJ138" s="105"/>
      <c r="DK138" s="105"/>
      <c r="DL138" s="105"/>
      <c r="DM138" s="105"/>
      <c r="DN138" s="105"/>
      <c r="DO138" s="105"/>
      <c r="DP138" s="105"/>
      <c r="DQ138" s="105"/>
      <c r="DR138" s="105"/>
      <c r="DS138" s="105"/>
      <c r="DT138" s="105"/>
      <c r="DU138" s="105"/>
      <c r="DV138" s="105"/>
      <c r="DW138" s="105"/>
      <c r="DX138" s="105"/>
      <c r="DY138" s="105"/>
      <c r="DZ138" s="105"/>
      <c r="EA138" s="105"/>
      <c r="EB138" s="105"/>
      <c r="EC138" s="105"/>
      <c r="ED138" s="105"/>
      <c r="EE138" s="105"/>
      <c r="EF138" s="105"/>
      <c r="EG138" s="105"/>
      <c r="EH138" s="105"/>
      <c r="EI138" s="105"/>
      <c r="EJ138" s="105"/>
      <c r="EK138" s="105"/>
      <c r="EL138" s="105"/>
      <c r="EM138" s="105"/>
      <c r="EN138" s="105"/>
      <c r="EO138" s="105"/>
      <c r="EP138" s="105"/>
      <c r="EQ138" s="105"/>
      <c r="ER138" s="105"/>
      <c r="ES138" s="105"/>
      <c r="ET138" s="105"/>
      <c r="EU138" s="105"/>
      <c r="EV138" s="105"/>
      <c r="EW138" s="105"/>
      <c r="EX138" s="105"/>
      <c r="EY138" s="105"/>
      <c r="EZ138" s="105"/>
      <c r="FA138" s="105"/>
      <c r="FB138" s="105"/>
      <c r="FC138" s="105"/>
      <c r="FD138" s="105"/>
      <c r="FE138" s="105"/>
      <c r="FF138" s="105"/>
      <c r="FG138" s="105"/>
      <c r="FH138" s="105"/>
      <c r="FI138" s="105"/>
      <c r="FJ138" s="105"/>
      <c r="FK138" s="105"/>
      <c r="FL138" s="105"/>
      <c r="FM138" s="105"/>
      <c r="FN138" s="105"/>
      <c r="FO138" s="105"/>
      <c r="FP138" s="105"/>
      <c r="FQ138" s="105"/>
      <c r="FR138" s="105"/>
      <c r="FS138" s="105"/>
      <c r="FT138" s="105"/>
      <c r="FU138" s="105"/>
      <c r="FV138" s="105"/>
      <c r="FW138" s="105"/>
      <c r="FX138" s="105"/>
      <c r="FY138" s="105"/>
      <c r="FZ138" s="105"/>
      <c r="GA138" s="105"/>
      <c r="GB138" s="105"/>
      <c r="GC138" s="105"/>
      <c r="GD138" s="105"/>
      <c r="GE138" s="105"/>
      <c r="GF138" s="105"/>
      <c r="GG138" s="105"/>
      <c r="GH138" s="105"/>
      <c r="GI138" s="105"/>
      <c r="GJ138" s="105"/>
      <c r="GK138" s="105"/>
      <c r="GL138" s="105"/>
      <c r="GM138" s="105"/>
      <c r="GN138" s="105"/>
      <c r="GO138" s="105"/>
      <c r="GP138" s="105"/>
      <c r="GQ138" s="105"/>
      <c r="GR138" s="105"/>
      <c r="GS138" s="105"/>
      <c r="GT138" s="105"/>
      <c r="GU138" s="105"/>
      <c r="GV138" s="105"/>
      <c r="GW138" s="105"/>
      <c r="GX138" s="105"/>
      <c r="GY138" s="105"/>
      <c r="GZ138" s="105"/>
      <c r="HA138" s="105"/>
      <c r="HB138" s="105"/>
      <c r="HC138" s="105"/>
      <c r="HD138" s="105"/>
      <c r="HE138" s="105"/>
      <c r="HF138" s="105"/>
      <c r="HG138" s="105"/>
      <c r="HH138" s="105"/>
      <c r="HI138" s="105"/>
      <c r="HJ138" s="105"/>
      <c r="HK138" s="105"/>
      <c r="HL138" s="105"/>
      <c r="HM138" s="105"/>
      <c r="HN138" s="105"/>
      <c r="HO138" s="105"/>
      <c r="HP138" s="105"/>
      <c r="HQ138" s="105"/>
      <c r="HR138" s="105"/>
      <c r="HS138" s="105"/>
      <c r="HT138" s="105"/>
      <c r="HU138" s="105"/>
      <c r="HV138" s="105"/>
      <c r="HW138" s="105"/>
      <c r="HX138" s="105"/>
      <c r="HY138" s="105"/>
      <c r="HZ138" s="105"/>
      <c r="IA138" s="105"/>
      <c r="IB138" s="105"/>
      <c r="IC138" s="105"/>
      <c r="ID138" s="105"/>
      <c r="IE138" s="105"/>
      <c r="IF138" s="105"/>
      <c r="IG138" s="105"/>
      <c r="IH138" s="105"/>
      <c r="II138" s="105"/>
      <c r="IJ138" s="105"/>
      <c r="IK138" s="105"/>
      <c r="IL138" s="105"/>
      <c r="IM138" s="105"/>
      <c r="IN138" s="105"/>
      <c r="IO138" s="105"/>
      <c r="IP138" s="105"/>
      <c r="IQ138" s="105"/>
      <c r="IR138" s="105"/>
      <c r="IS138" s="105"/>
    </row>
    <row r="139" spans="1:253">
      <c r="A139" s="116"/>
      <c r="B139" s="105"/>
      <c r="C139" s="116"/>
      <c r="D139" s="116"/>
      <c r="E139" s="116"/>
      <c r="F139" s="116"/>
      <c r="G139" s="116"/>
      <c r="H139" s="116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05"/>
      <c r="BZ139" s="105"/>
      <c r="CA139" s="105"/>
      <c r="CB139" s="105"/>
      <c r="CC139" s="105"/>
      <c r="CD139" s="105"/>
      <c r="CE139" s="105"/>
      <c r="CF139" s="105"/>
      <c r="CG139" s="105"/>
      <c r="CH139" s="105"/>
      <c r="CI139" s="105"/>
      <c r="CJ139" s="105"/>
      <c r="CK139" s="105"/>
      <c r="CL139" s="105"/>
      <c r="CM139" s="105"/>
      <c r="CN139" s="105"/>
      <c r="CO139" s="105"/>
      <c r="CP139" s="105"/>
      <c r="CQ139" s="105"/>
      <c r="CR139" s="105"/>
      <c r="CS139" s="105"/>
      <c r="CT139" s="105"/>
      <c r="CU139" s="105"/>
      <c r="CV139" s="105"/>
      <c r="CW139" s="105"/>
      <c r="CX139" s="105"/>
      <c r="CY139" s="105"/>
      <c r="CZ139" s="105"/>
      <c r="DA139" s="105"/>
      <c r="DB139" s="105"/>
      <c r="DC139" s="105"/>
      <c r="DD139" s="105"/>
      <c r="DE139" s="105"/>
      <c r="DF139" s="105"/>
      <c r="DG139" s="105"/>
      <c r="DH139" s="105"/>
      <c r="DI139" s="105"/>
      <c r="DJ139" s="105"/>
      <c r="DK139" s="105"/>
      <c r="DL139" s="105"/>
      <c r="DM139" s="105"/>
      <c r="DN139" s="105"/>
      <c r="DO139" s="105"/>
      <c r="DP139" s="105"/>
      <c r="DQ139" s="105"/>
      <c r="DR139" s="105"/>
      <c r="DS139" s="105"/>
      <c r="DT139" s="105"/>
      <c r="DU139" s="105"/>
      <c r="DV139" s="105"/>
      <c r="DW139" s="105"/>
      <c r="DX139" s="105"/>
      <c r="DY139" s="105"/>
      <c r="DZ139" s="105"/>
      <c r="EA139" s="105"/>
      <c r="EB139" s="105"/>
      <c r="EC139" s="105"/>
      <c r="ED139" s="105"/>
      <c r="EE139" s="105"/>
      <c r="EF139" s="105"/>
      <c r="EG139" s="105"/>
      <c r="EH139" s="105"/>
      <c r="EI139" s="105"/>
      <c r="EJ139" s="105"/>
      <c r="EK139" s="105"/>
      <c r="EL139" s="105"/>
      <c r="EM139" s="105"/>
      <c r="EN139" s="105"/>
      <c r="EO139" s="105"/>
      <c r="EP139" s="105"/>
      <c r="EQ139" s="105"/>
      <c r="ER139" s="105"/>
      <c r="ES139" s="105"/>
      <c r="ET139" s="105"/>
      <c r="EU139" s="105"/>
      <c r="EV139" s="105"/>
      <c r="EW139" s="105"/>
      <c r="EX139" s="105"/>
      <c r="EY139" s="105"/>
      <c r="EZ139" s="105"/>
      <c r="FA139" s="105"/>
      <c r="FB139" s="105"/>
      <c r="FC139" s="105"/>
      <c r="FD139" s="105"/>
      <c r="FE139" s="105"/>
      <c r="FF139" s="105"/>
      <c r="FG139" s="105"/>
      <c r="FH139" s="105"/>
      <c r="FI139" s="105"/>
      <c r="FJ139" s="105"/>
      <c r="FK139" s="105"/>
      <c r="FL139" s="105"/>
      <c r="FM139" s="105"/>
      <c r="FN139" s="105"/>
      <c r="FO139" s="105"/>
      <c r="FP139" s="105"/>
      <c r="FQ139" s="105"/>
      <c r="FR139" s="105"/>
      <c r="FS139" s="105"/>
      <c r="FT139" s="105"/>
      <c r="FU139" s="105"/>
      <c r="FV139" s="105"/>
      <c r="FW139" s="105"/>
      <c r="FX139" s="105"/>
      <c r="FY139" s="105"/>
      <c r="FZ139" s="105"/>
      <c r="GA139" s="105"/>
      <c r="GB139" s="105"/>
      <c r="GC139" s="105"/>
      <c r="GD139" s="105"/>
      <c r="GE139" s="105"/>
      <c r="GF139" s="105"/>
      <c r="GG139" s="105"/>
      <c r="GH139" s="105"/>
      <c r="GI139" s="105"/>
      <c r="GJ139" s="105"/>
      <c r="GK139" s="105"/>
      <c r="GL139" s="105"/>
      <c r="GM139" s="105"/>
      <c r="GN139" s="105"/>
      <c r="GO139" s="105"/>
      <c r="GP139" s="105"/>
      <c r="GQ139" s="105"/>
      <c r="GR139" s="105"/>
      <c r="GS139" s="105"/>
      <c r="GT139" s="105"/>
      <c r="GU139" s="105"/>
      <c r="GV139" s="105"/>
      <c r="GW139" s="105"/>
      <c r="GX139" s="105"/>
      <c r="GY139" s="105"/>
      <c r="GZ139" s="105"/>
      <c r="HA139" s="105"/>
      <c r="HB139" s="105"/>
      <c r="HC139" s="105"/>
      <c r="HD139" s="105"/>
      <c r="HE139" s="105"/>
      <c r="HF139" s="105"/>
      <c r="HG139" s="105"/>
      <c r="HH139" s="105"/>
      <c r="HI139" s="105"/>
      <c r="HJ139" s="105"/>
      <c r="HK139" s="105"/>
      <c r="HL139" s="105"/>
      <c r="HM139" s="105"/>
      <c r="HN139" s="105"/>
      <c r="HO139" s="105"/>
      <c r="HP139" s="105"/>
      <c r="HQ139" s="105"/>
      <c r="HR139" s="105"/>
      <c r="HS139" s="105"/>
      <c r="HT139" s="105"/>
      <c r="HU139" s="105"/>
      <c r="HV139" s="105"/>
      <c r="HW139" s="105"/>
      <c r="HX139" s="105"/>
      <c r="HY139" s="105"/>
      <c r="HZ139" s="105"/>
      <c r="IA139" s="105"/>
      <c r="IB139" s="105"/>
      <c r="IC139" s="105"/>
      <c r="ID139" s="105"/>
      <c r="IE139" s="105"/>
      <c r="IF139" s="105"/>
      <c r="IG139" s="105"/>
      <c r="IH139" s="105"/>
      <c r="II139" s="105"/>
      <c r="IJ139" s="105"/>
      <c r="IK139" s="105"/>
      <c r="IL139" s="105"/>
      <c r="IM139" s="105"/>
      <c r="IN139" s="105"/>
      <c r="IO139" s="105"/>
      <c r="IP139" s="105"/>
      <c r="IQ139" s="105"/>
      <c r="IR139" s="105"/>
      <c r="IS139" s="105"/>
    </row>
    <row r="140" spans="1:253">
      <c r="A140" s="116"/>
      <c r="B140" s="105"/>
      <c r="C140" s="116"/>
      <c r="D140" s="116"/>
      <c r="E140" s="116"/>
      <c r="F140" s="116"/>
      <c r="G140" s="116"/>
      <c r="H140" s="116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  <c r="BO140" s="105"/>
      <c r="BP140" s="105"/>
      <c r="BQ140" s="105"/>
      <c r="BR140" s="105"/>
      <c r="BS140" s="105"/>
      <c r="BT140" s="105"/>
      <c r="BU140" s="105"/>
      <c r="BV140" s="105"/>
      <c r="BW140" s="105"/>
      <c r="BX140" s="105"/>
      <c r="BY140" s="105"/>
      <c r="BZ140" s="105"/>
      <c r="CA140" s="105"/>
      <c r="CB140" s="105"/>
      <c r="CC140" s="105"/>
      <c r="CD140" s="105"/>
      <c r="CE140" s="105"/>
      <c r="CF140" s="105"/>
      <c r="CG140" s="105"/>
      <c r="CH140" s="105"/>
      <c r="CI140" s="105"/>
      <c r="CJ140" s="105"/>
      <c r="CK140" s="105"/>
      <c r="CL140" s="105"/>
      <c r="CM140" s="105"/>
      <c r="CN140" s="105"/>
      <c r="CO140" s="105"/>
      <c r="CP140" s="105"/>
      <c r="CQ140" s="105"/>
      <c r="CR140" s="105"/>
      <c r="CS140" s="105"/>
      <c r="CT140" s="105"/>
      <c r="CU140" s="105"/>
      <c r="CV140" s="105"/>
      <c r="CW140" s="105"/>
      <c r="CX140" s="105"/>
      <c r="CY140" s="105"/>
      <c r="CZ140" s="105"/>
      <c r="DA140" s="105"/>
      <c r="DB140" s="105"/>
      <c r="DC140" s="105"/>
      <c r="DD140" s="105"/>
      <c r="DE140" s="105"/>
      <c r="DF140" s="105"/>
      <c r="DG140" s="105"/>
      <c r="DH140" s="105"/>
      <c r="DI140" s="105"/>
      <c r="DJ140" s="105"/>
      <c r="DK140" s="105"/>
      <c r="DL140" s="105"/>
      <c r="DM140" s="105"/>
      <c r="DN140" s="105"/>
      <c r="DO140" s="105"/>
      <c r="DP140" s="105"/>
      <c r="DQ140" s="105"/>
      <c r="DR140" s="105"/>
      <c r="DS140" s="105"/>
      <c r="DT140" s="105"/>
      <c r="DU140" s="105"/>
      <c r="DV140" s="105"/>
      <c r="DW140" s="105"/>
      <c r="DX140" s="105"/>
      <c r="DY140" s="105"/>
      <c r="DZ140" s="105"/>
      <c r="EA140" s="105"/>
      <c r="EB140" s="105"/>
      <c r="EC140" s="105"/>
      <c r="ED140" s="105"/>
      <c r="EE140" s="105"/>
      <c r="EF140" s="105"/>
      <c r="EG140" s="105"/>
      <c r="EH140" s="105"/>
      <c r="EI140" s="105"/>
      <c r="EJ140" s="105"/>
      <c r="EK140" s="105"/>
      <c r="EL140" s="105"/>
      <c r="EM140" s="105"/>
      <c r="EN140" s="105"/>
      <c r="EO140" s="105"/>
      <c r="EP140" s="105"/>
      <c r="EQ140" s="105"/>
      <c r="ER140" s="105"/>
      <c r="ES140" s="105"/>
      <c r="ET140" s="105"/>
      <c r="EU140" s="105"/>
      <c r="EV140" s="105"/>
      <c r="EW140" s="105"/>
      <c r="EX140" s="105"/>
      <c r="EY140" s="105"/>
      <c r="EZ140" s="105"/>
      <c r="FA140" s="105"/>
      <c r="FB140" s="105"/>
      <c r="FC140" s="105"/>
      <c r="FD140" s="105"/>
      <c r="FE140" s="105"/>
      <c r="FF140" s="105"/>
      <c r="FG140" s="105"/>
      <c r="FH140" s="105"/>
      <c r="FI140" s="105"/>
      <c r="FJ140" s="105"/>
      <c r="FK140" s="105"/>
      <c r="FL140" s="105"/>
      <c r="FM140" s="105"/>
      <c r="FN140" s="105"/>
      <c r="FO140" s="105"/>
      <c r="FP140" s="105"/>
      <c r="FQ140" s="105"/>
      <c r="FR140" s="105"/>
      <c r="FS140" s="105"/>
      <c r="FT140" s="105"/>
      <c r="FU140" s="105"/>
      <c r="FV140" s="105"/>
      <c r="FW140" s="105"/>
      <c r="FX140" s="105"/>
      <c r="FY140" s="105"/>
      <c r="FZ140" s="105"/>
      <c r="GA140" s="105"/>
      <c r="GB140" s="105"/>
      <c r="GC140" s="105"/>
      <c r="GD140" s="105"/>
      <c r="GE140" s="105"/>
      <c r="GF140" s="105"/>
      <c r="GG140" s="105"/>
      <c r="GH140" s="105"/>
      <c r="GI140" s="105"/>
      <c r="GJ140" s="105"/>
      <c r="GK140" s="105"/>
      <c r="GL140" s="105"/>
      <c r="GM140" s="105"/>
      <c r="GN140" s="105"/>
      <c r="GO140" s="105"/>
      <c r="GP140" s="105"/>
      <c r="GQ140" s="105"/>
      <c r="GR140" s="105"/>
      <c r="GS140" s="105"/>
      <c r="GT140" s="105"/>
      <c r="GU140" s="105"/>
      <c r="GV140" s="105"/>
      <c r="GW140" s="105"/>
      <c r="GX140" s="105"/>
      <c r="GY140" s="105"/>
      <c r="GZ140" s="105"/>
      <c r="HA140" s="105"/>
      <c r="HB140" s="105"/>
      <c r="HC140" s="105"/>
      <c r="HD140" s="105"/>
      <c r="HE140" s="105"/>
      <c r="HF140" s="105"/>
      <c r="HG140" s="105"/>
      <c r="HH140" s="105"/>
      <c r="HI140" s="105"/>
      <c r="HJ140" s="105"/>
      <c r="HK140" s="105"/>
      <c r="HL140" s="105"/>
      <c r="HM140" s="105"/>
      <c r="HN140" s="105"/>
      <c r="HO140" s="105"/>
      <c r="HP140" s="105"/>
      <c r="HQ140" s="105"/>
      <c r="HR140" s="105"/>
      <c r="HS140" s="105"/>
      <c r="HT140" s="105"/>
      <c r="HU140" s="105"/>
      <c r="HV140" s="105"/>
      <c r="HW140" s="105"/>
      <c r="HX140" s="105"/>
      <c r="HY140" s="105"/>
      <c r="HZ140" s="105"/>
      <c r="IA140" s="105"/>
      <c r="IB140" s="105"/>
      <c r="IC140" s="105"/>
      <c r="ID140" s="105"/>
      <c r="IE140" s="105"/>
      <c r="IF140" s="105"/>
      <c r="IG140" s="105"/>
      <c r="IH140" s="105"/>
      <c r="II140" s="105"/>
      <c r="IJ140" s="105"/>
      <c r="IK140" s="105"/>
      <c r="IL140" s="105"/>
      <c r="IM140" s="105"/>
      <c r="IN140" s="105"/>
      <c r="IO140" s="105"/>
      <c r="IP140" s="105"/>
      <c r="IQ140" s="105"/>
      <c r="IR140" s="105"/>
      <c r="IS140" s="105"/>
    </row>
    <row r="141" spans="1:253">
      <c r="A141" s="116"/>
      <c r="B141" s="105"/>
      <c r="C141" s="116"/>
      <c r="D141" s="116"/>
      <c r="E141" s="116"/>
      <c r="F141" s="116"/>
      <c r="G141" s="116"/>
      <c r="H141" s="116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5"/>
      <c r="BN141" s="105"/>
      <c r="BO141" s="105"/>
      <c r="BP141" s="105"/>
      <c r="BQ141" s="105"/>
      <c r="BR141" s="105"/>
      <c r="BS141" s="105"/>
      <c r="BT141" s="105"/>
      <c r="BU141" s="105"/>
      <c r="BV141" s="105"/>
      <c r="BW141" s="105"/>
      <c r="BX141" s="105"/>
      <c r="BY141" s="105"/>
      <c r="BZ141" s="105"/>
      <c r="CA141" s="105"/>
      <c r="CB141" s="105"/>
      <c r="CC141" s="105"/>
      <c r="CD141" s="105"/>
      <c r="CE141" s="105"/>
      <c r="CF141" s="105"/>
      <c r="CG141" s="105"/>
      <c r="CH141" s="105"/>
      <c r="CI141" s="105"/>
      <c r="CJ141" s="105"/>
      <c r="CK141" s="105"/>
      <c r="CL141" s="105"/>
      <c r="CM141" s="105"/>
      <c r="CN141" s="105"/>
      <c r="CO141" s="105"/>
      <c r="CP141" s="105"/>
      <c r="CQ141" s="105"/>
      <c r="CR141" s="105"/>
      <c r="CS141" s="105"/>
      <c r="CT141" s="105"/>
      <c r="CU141" s="105"/>
      <c r="CV141" s="105"/>
      <c r="CW141" s="105"/>
      <c r="CX141" s="105"/>
      <c r="CY141" s="105"/>
      <c r="CZ141" s="105"/>
      <c r="DA141" s="105"/>
      <c r="DB141" s="105"/>
      <c r="DC141" s="105"/>
      <c r="DD141" s="105"/>
      <c r="DE141" s="105"/>
      <c r="DF141" s="105"/>
      <c r="DG141" s="105"/>
      <c r="DH141" s="105"/>
      <c r="DI141" s="105"/>
      <c r="DJ141" s="105"/>
      <c r="DK141" s="105"/>
      <c r="DL141" s="105"/>
      <c r="DM141" s="105"/>
      <c r="DN141" s="105"/>
      <c r="DO141" s="105"/>
      <c r="DP141" s="105"/>
      <c r="DQ141" s="105"/>
      <c r="DR141" s="105"/>
      <c r="DS141" s="105"/>
      <c r="DT141" s="105"/>
      <c r="DU141" s="105"/>
      <c r="DV141" s="105"/>
      <c r="DW141" s="105"/>
      <c r="DX141" s="105"/>
      <c r="DY141" s="105"/>
      <c r="DZ141" s="105"/>
      <c r="EA141" s="105"/>
      <c r="EB141" s="105"/>
      <c r="EC141" s="105"/>
      <c r="ED141" s="105"/>
      <c r="EE141" s="105"/>
      <c r="EF141" s="105"/>
      <c r="EG141" s="105"/>
      <c r="EH141" s="105"/>
      <c r="EI141" s="105"/>
      <c r="EJ141" s="105"/>
      <c r="EK141" s="105"/>
      <c r="EL141" s="105"/>
      <c r="EM141" s="105"/>
      <c r="EN141" s="105"/>
      <c r="EO141" s="105"/>
      <c r="EP141" s="105"/>
      <c r="EQ141" s="105"/>
      <c r="ER141" s="105"/>
      <c r="ES141" s="105"/>
      <c r="ET141" s="105"/>
      <c r="EU141" s="105"/>
      <c r="EV141" s="105"/>
      <c r="EW141" s="105"/>
      <c r="EX141" s="105"/>
      <c r="EY141" s="105"/>
      <c r="EZ141" s="105"/>
      <c r="FA141" s="105"/>
      <c r="FB141" s="105"/>
      <c r="FC141" s="105"/>
      <c r="FD141" s="105"/>
      <c r="FE141" s="105"/>
      <c r="FF141" s="105"/>
      <c r="FG141" s="105"/>
      <c r="FH141" s="105"/>
      <c r="FI141" s="105"/>
      <c r="FJ141" s="105"/>
      <c r="FK141" s="105"/>
      <c r="FL141" s="105"/>
      <c r="FM141" s="105"/>
      <c r="FN141" s="105"/>
      <c r="FO141" s="105"/>
      <c r="FP141" s="105"/>
      <c r="FQ141" s="105"/>
      <c r="FR141" s="105"/>
      <c r="FS141" s="105"/>
      <c r="FT141" s="105"/>
      <c r="FU141" s="105"/>
      <c r="FV141" s="105"/>
      <c r="FW141" s="105"/>
      <c r="FX141" s="105"/>
      <c r="FY141" s="105"/>
      <c r="FZ141" s="105"/>
      <c r="GA141" s="105"/>
      <c r="GB141" s="105"/>
      <c r="GC141" s="105"/>
      <c r="GD141" s="105"/>
      <c r="GE141" s="105"/>
      <c r="GF141" s="105"/>
      <c r="GG141" s="105"/>
      <c r="GH141" s="105"/>
      <c r="GI141" s="105"/>
      <c r="GJ141" s="105"/>
      <c r="GK141" s="105"/>
      <c r="GL141" s="105"/>
      <c r="GM141" s="105"/>
      <c r="GN141" s="105"/>
      <c r="GO141" s="105"/>
      <c r="GP141" s="105"/>
      <c r="GQ141" s="105"/>
      <c r="GR141" s="105"/>
      <c r="GS141" s="105"/>
      <c r="GT141" s="105"/>
      <c r="GU141" s="105"/>
      <c r="GV141" s="105"/>
      <c r="GW141" s="105"/>
      <c r="GX141" s="105"/>
      <c r="GY141" s="105"/>
      <c r="GZ141" s="105"/>
      <c r="HA141" s="105"/>
      <c r="HB141" s="105"/>
      <c r="HC141" s="105"/>
      <c r="HD141" s="105"/>
      <c r="HE141" s="105"/>
      <c r="HF141" s="105"/>
      <c r="HG141" s="105"/>
      <c r="HH141" s="105"/>
      <c r="HI141" s="105"/>
      <c r="HJ141" s="105"/>
      <c r="HK141" s="105"/>
      <c r="HL141" s="105"/>
      <c r="HM141" s="105"/>
      <c r="HN141" s="105"/>
      <c r="HO141" s="105"/>
      <c r="HP141" s="105"/>
      <c r="HQ141" s="105"/>
      <c r="HR141" s="105"/>
      <c r="HS141" s="105"/>
      <c r="HT141" s="105"/>
      <c r="HU141" s="105"/>
      <c r="HV141" s="105"/>
      <c r="HW141" s="105"/>
      <c r="HX141" s="105"/>
      <c r="HY141" s="105"/>
      <c r="HZ141" s="105"/>
      <c r="IA141" s="105"/>
      <c r="IB141" s="105"/>
      <c r="IC141" s="105"/>
      <c r="ID141" s="105"/>
      <c r="IE141" s="105"/>
      <c r="IF141" s="105"/>
      <c r="IG141" s="105"/>
      <c r="IH141" s="105"/>
      <c r="II141" s="105"/>
      <c r="IJ141" s="105"/>
      <c r="IK141" s="105"/>
      <c r="IL141" s="105"/>
      <c r="IM141" s="105"/>
      <c r="IN141" s="105"/>
      <c r="IO141" s="105"/>
      <c r="IP141" s="105"/>
      <c r="IQ141" s="105"/>
      <c r="IR141" s="105"/>
      <c r="IS141" s="105"/>
    </row>
    <row r="142" spans="1:253">
      <c r="A142" s="116"/>
      <c r="B142" s="105"/>
      <c r="C142" s="116"/>
      <c r="D142" s="116"/>
      <c r="E142" s="116"/>
      <c r="F142" s="116"/>
      <c r="G142" s="116"/>
      <c r="H142" s="116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5"/>
      <c r="BN142" s="105"/>
      <c r="BO142" s="105"/>
      <c r="BP142" s="105"/>
      <c r="BQ142" s="105"/>
      <c r="BR142" s="105"/>
      <c r="BS142" s="105"/>
      <c r="BT142" s="105"/>
      <c r="BU142" s="105"/>
      <c r="BV142" s="105"/>
      <c r="BW142" s="105"/>
      <c r="BX142" s="105"/>
      <c r="BY142" s="105"/>
      <c r="BZ142" s="105"/>
      <c r="CA142" s="105"/>
      <c r="CB142" s="105"/>
      <c r="CC142" s="105"/>
      <c r="CD142" s="105"/>
      <c r="CE142" s="105"/>
      <c r="CF142" s="105"/>
      <c r="CG142" s="105"/>
      <c r="CH142" s="105"/>
      <c r="CI142" s="105"/>
      <c r="CJ142" s="105"/>
      <c r="CK142" s="105"/>
      <c r="CL142" s="105"/>
      <c r="CM142" s="105"/>
      <c r="CN142" s="105"/>
      <c r="CO142" s="105"/>
      <c r="CP142" s="105"/>
      <c r="CQ142" s="105"/>
      <c r="CR142" s="105"/>
      <c r="CS142" s="105"/>
      <c r="CT142" s="105"/>
      <c r="CU142" s="105"/>
      <c r="CV142" s="105"/>
      <c r="CW142" s="105"/>
      <c r="CX142" s="105"/>
      <c r="CY142" s="105"/>
      <c r="CZ142" s="105"/>
      <c r="DA142" s="105"/>
      <c r="DB142" s="105"/>
      <c r="DC142" s="105"/>
      <c r="DD142" s="105"/>
      <c r="DE142" s="105"/>
      <c r="DF142" s="105"/>
      <c r="DG142" s="105"/>
      <c r="DH142" s="105"/>
      <c r="DI142" s="105"/>
      <c r="DJ142" s="105"/>
      <c r="DK142" s="105"/>
      <c r="DL142" s="105"/>
      <c r="DM142" s="105"/>
      <c r="DN142" s="105"/>
      <c r="DO142" s="105"/>
      <c r="DP142" s="105"/>
      <c r="DQ142" s="105"/>
      <c r="DR142" s="105"/>
      <c r="DS142" s="105"/>
      <c r="DT142" s="105"/>
      <c r="DU142" s="105"/>
      <c r="DV142" s="105"/>
      <c r="DW142" s="105"/>
      <c r="DX142" s="105"/>
      <c r="DY142" s="105"/>
      <c r="DZ142" s="105"/>
      <c r="EA142" s="105"/>
      <c r="EB142" s="105"/>
      <c r="EC142" s="105"/>
      <c r="ED142" s="105"/>
      <c r="EE142" s="105"/>
      <c r="EF142" s="105"/>
      <c r="EG142" s="105"/>
      <c r="EH142" s="105"/>
      <c r="EI142" s="105"/>
      <c r="EJ142" s="105"/>
      <c r="EK142" s="105"/>
      <c r="EL142" s="105"/>
      <c r="EM142" s="105"/>
      <c r="EN142" s="105"/>
      <c r="EO142" s="105"/>
      <c r="EP142" s="105"/>
      <c r="EQ142" s="105"/>
      <c r="ER142" s="105"/>
      <c r="ES142" s="105"/>
      <c r="ET142" s="105"/>
      <c r="EU142" s="105"/>
      <c r="EV142" s="105"/>
      <c r="EW142" s="105"/>
      <c r="EX142" s="105"/>
      <c r="EY142" s="105"/>
      <c r="EZ142" s="105"/>
      <c r="FA142" s="105"/>
      <c r="FB142" s="105"/>
      <c r="FC142" s="105"/>
      <c r="FD142" s="105"/>
      <c r="FE142" s="105"/>
      <c r="FF142" s="105"/>
      <c r="FG142" s="105"/>
      <c r="FH142" s="105"/>
      <c r="FI142" s="105"/>
      <c r="FJ142" s="105"/>
      <c r="FK142" s="105"/>
      <c r="FL142" s="105"/>
      <c r="FM142" s="105"/>
      <c r="FN142" s="105"/>
      <c r="FO142" s="105"/>
      <c r="FP142" s="105"/>
      <c r="FQ142" s="105"/>
      <c r="FR142" s="105"/>
      <c r="FS142" s="105"/>
      <c r="FT142" s="105"/>
      <c r="FU142" s="105"/>
      <c r="FV142" s="105"/>
      <c r="FW142" s="105"/>
      <c r="FX142" s="105"/>
      <c r="FY142" s="105"/>
      <c r="FZ142" s="105"/>
      <c r="GA142" s="105"/>
      <c r="GB142" s="105"/>
      <c r="GC142" s="105"/>
      <c r="GD142" s="105"/>
      <c r="GE142" s="105"/>
      <c r="GF142" s="105"/>
      <c r="GG142" s="105"/>
      <c r="GH142" s="105"/>
      <c r="GI142" s="105"/>
      <c r="GJ142" s="105"/>
      <c r="GK142" s="105"/>
      <c r="GL142" s="105"/>
      <c r="GM142" s="105"/>
      <c r="GN142" s="105"/>
      <c r="GO142" s="105"/>
      <c r="GP142" s="105"/>
      <c r="GQ142" s="105"/>
      <c r="GR142" s="105"/>
      <c r="GS142" s="105"/>
      <c r="GT142" s="105"/>
      <c r="GU142" s="105"/>
      <c r="GV142" s="105"/>
      <c r="GW142" s="105"/>
      <c r="GX142" s="105"/>
      <c r="GY142" s="105"/>
      <c r="GZ142" s="105"/>
      <c r="HA142" s="105"/>
      <c r="HB142" s="105"/>
      <c r="HC142" s="105"/>
      <c r="HD142" s="105"/>
      <c r="HE142" s="105"/>
      <c r="HF142" s="105"/>
      <c r="HG142" s="105"/>
      <c r="HH142" s="105"/>
      <c r="HI142" s="105"/>
      <c r="HJ142" s="105"/>
      <c r="HK142" s="105"/>
      <c r="HL142" s="105"/>
      <c r="HM142" s="105"/>
      <c r="HN142" s="105"/>
      <c r="HO142" s="105"/>
      <c r="HP142" s="105"/>
      <c r="HQ142" s="105"/>
      <c r="HR142" s="105"/>
      <c r="HS142" s="105"/>
      <c r="HT142" s="105"/>
      <c r="HU142" s="105"/>
      <c r="HV142" s="105"/>
      <c r="HW142" s="105"/>
      <c r="HX142" s="105"/>
      <c r="HY142" s="105"/>
      <c r="HZ142" s="105"/>
      <c r="IA142" s="105"/>
      <c r="IB142" s="105"/>
      <c r="IC142" s="105"/>
      <c r="ID142" s="105"/>
      <c r="IE142" s="105"/>
      <c r="IF142" s="105"/>
      <c r="IG142" s="105"/>
      <c r="IH142" s="105"/>
      <c r="II142" s="105"/>
      <c r="IJ142" s="105"/>
      <c r="IK142" s="105"/>
      <c r="IL142" s="105"/>
      <c r="IM142" s="105"/>
      <c r="IN142" s="105"/>
      <c r="IO142" s="105"/>
      <c r="IP142" s="105"/>
      <c r="IQ142" s="105"/>
      <c r="IR142" s="105"/>
      <c r="IS142" s="105"/>
    </row>
    <row r="143" spans="1:253">
      <c r="A143" s="116"/>
      <c r="B143" s="105"/>
      <c r="C143" s="116"/>
      <c r="D143" s="116"/>
      <c r="E143" s="116"/>
      <c r="F143" s="116"/>
      <c r="G143" s="116"/>
      <c r="H143" s="116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  <c r="BO143" s="105"/>
      <c r="BP143" s="105"/>
      <c r="BQ143" s="105"/>
      <c r="BR143" s="105"/>
      <c r="BS143" s="105"/>
      <c r="BT143" s="105"/>
      <c r="BU143" s="105"/>
      <c r="BV143" s="105"/>
      <c r="BW143" s="105"/>
      <c r="BX143" s="105"/>
      <c r="BY143" s="105"/>
      <c r="BZ143" s="105"/>
      <c r="CA143" s="105"/>
      <c r="CB143" s="105"/>
      <c r="CC143" s="105"/>
      <c r="CD143" s="105"/>
      <c r="CE143" s="105"/>
      <c r="CF143" s="105"/>
      <c r="CG143" s="105"/>
      <c r="CH143" s="105"/>
      <c r="CI143" s="105"/>
      <c r="CJ143" s="105"/>
      <c r="CK143" s="105"/>
      <c r="CL143" s="105"/>
      <c r="CM143" s="105"/>
      <c r="CN143" s="105"/>
      <c r="CO143" s="105"/>
      <c r="CP143" s="105"/>
      <c r="CQ143" s="105"/>
      <c r="CR143" s="105"/>
      <c r="CS143" s="105"/>
      <c r="CT143" s="105"/>
      <c r="CU143" s="105"/>
      <c r="CV143" s="105"/>
      <c r="CW143" s="105"/>
      <c r="CX143" s="105"/>
      <c r="CY143" s="105"/>
      <c r="CZ143" s="105"/>
      <c r="DA143" s="105"/>
      <c r="DB143" s="105"/>
      <c r="DC143" s="105"/>
      <c r="DD143" s="105"/>
      <c r="DE143" s="105"/>
      <c r="DF143" s="105"/>
      <c r="DG143" s="105"/>
      <c r="DH143" s="105"/>
      <c r="DI143" s="105"/>
      <c r="DJ143" s="105"/>
      <c r="DK143" s="105"/>
      <c r="DL143" s="105"/>
      <c r="DM143" s="105"/>
      <c r="DN143" s="105"/>
      <c r="DO143" s="105"/>
      <c r="DP143" s="105"/>
      <c r="DQ143" s="105"/>
      <c r="DR143" s="105"/>
      <c r="DS143" s="105"/>
      <c r="DT143" s="105"/>
      <c r="DU143" s="105"/>
      <c r="DV143" s="105"/>
      <c r="DW143" s="105"/>
      <c r="DX143" s="105"/>
      <c r="DY143" s="105"/>
      <c r="DZ143" s="105"/>
      <c r="EA143" s="105"/>
      <c r="EB143" s="105"/>
      <c r="EC143" s="105"/>
      <c r="ED143" s="105"/>
      <c r="EE143" s="105"/>
      <c r="EF143" s="105"/>
      <c r="EG143" s="105"/>
      <c r="EH143" s="105"/>
      <c r="EI143" s="105"/>
      <c r="EJ143" s="105"/>
      <c r="EK143" s="105"/>
      <c r="EL143" s="105"/>
      <c r="EM143" s="105"/>
      <c r="EN143" s="105"/>
      <c r="EO143" s="105"/>
      <c r="EP143" s="105"/>
      <c r="EQ143" s="105"/>
      <c r="ER143" s="105"/>
      <c r="ES143" s="105"/>
      <c r="ET143" s="105"/>
      <c r="EU143" s="105"/>
      <c r="EV143" s="105"/>
      <c r="EW143" s="105"/>
      <c r="EX143" s="105"/>
      <c r="EY143" s="105"/>
      <c r="EZ143" s="105"/>
      <c r="FA143" s="105"/>
      <c r="FB143" s="105"/>
      <c r="FC143" s="105"/>
      <c r="FD143" s="105"/>
      <c r="FE143" s="105"/>
      <c r="FF143" s="105"/>
      <c r="FG143" s="105"/>
      <c r="FH143" s="105"/>
      <c r="FI143" s="105"/>
      <c r="FJ143" s="105"/>
      <c r="FK143" s="105"/>
      <c r="FL143" s="105"/>
      <c r="FM143" s="105"/>
      <c r="FN143" s="105"/>
      <c r="FO143" s="105"/>
      <c r="FP143" s="105"/>
      <c r="FQ143" s="105"/>
      <c r="FR143" s="105"/>
      <c r="FS143" s="105"/>
      <c r="FT143" s="105"/>
      <c r="FU143" s="105"/>
      <c r="FV143" s="105"/>
      <c r="FW143" s="105"/>
      <c r="FX143" s="105"/>
      <c r="FY143" s="105"/>
      <c r="FZ143" s="105"/>
      <c r="GA143" s="105"/>
      <c r="GB143" s="105"/>
      <c r="GC143" s="105"/>
      <c r="GD143" s="105"/>
      <c r="GE143" s="105"/>
      <c r="GF143" s="105"/>
      <c r="GG143" s="105"/>
      <c r="GH143" s="105"/>
      <c r="GI143" s="105"/>
      <c r="GJ143" s="105"/>
      <c r="GK143" s="105"/>
      <c r="GL143" s="105"/>
      <c r="GM143" s="105"/>
      <c r="GN143" s="105"/>
      <c r="GO143" s="105"/>
      <c r="GP143" s="105"/>
      <c r="GQ143" s="105"/>
      <c r="GR143" s="105"/>
      <c r="GS143" s="105"/>
      <c r="GT143" s="105"/>
      <c r="GU143" s="105"/>
      <c r="GV143" s="105"/>
      <c r="GW143" s="105"/>
      <c r="GX143" s="105"/>
      <c r="GY143" s="105"/>
      <c r="GZ143" s="105"/>
      <c r="HA143" s="105"/>
      <c r="HB143" s="105"/>
      <c r="HC143" s="105"/>
      <c r="HD143" s="105"/>
      <c r="HE143" s="105"/>
      <c r="HF143" s="105"/>
      <c r="HG143" s="105"/>
      <c r="HH143" s="105"/>
      <c r="HI143" s="105"/>
      <c r="HJ143" s="105"/>
      <c r="HK143" s="105"/>
      <c r="HL143" s="105"/>
      <c r="HM143" s="105"/>
      <c r="HN143" s="105"/>
      <c r="HO143" s="105"/>
      <c r="HP143" s="105"/>
      <c r="HQ143" s="105"/>
      <c r="HR143" s="105"/>
      <c r="HS143" s="105"/>
      <c r="HT143" s="105"/>
      <c r="HU143" s="105"/>
      <c r="HV143" s="105"/>
      <c r="HW143" s="105"/>
      <c r="HX143" s="105"/>
      <c r="HY143" s="105"/>
      <c r="HZ143" s="105"/>
      <c r="IA143" s="105"/>
      <c r="IB143" s="105"/>
      <c r="IC143" s="105"/>
      <c r="ID143" s="105"/>
      <c r="IE143" s="105"/>
      <c r="IF143" s="105"/>
      <c r="IG143" s="105"/>
      <c r="IH143" s="105"/>
      <c r="II143" s="105"/>
      <c r="IJ143" s="105"/>
      <c r="IK143" s="105"/>
      <c r="IL143" s="105"/>
      <c r="IM143" s="105"/>
      <c r="IN143" s="105"/>
      <c r="IO143" s="105"/>
      <c r="IP143" s="105"/>
      <c r="IQ143" s="105"/>
      <c r="IR143" s="105"/>
      <c r="IS143" s="105"/>
    </row>
    <row r="144" spans="1:253">
      <c r="A144" s="116"/>
      <c r="B144" s="105"/>
      <c r="C144" s="116"/>
      <c r="D144" s="116"/>
      <c r="E144" s="116"/>
      <c r="F144" s="116"/>
      <c r="G144" s="116"/>
      <c r="H144" s="116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105"/>
      <c r="BX144" s="105"/>
      <c r="BY144" s="105"/>
      <c r="BZ144" s="105"/>
      <c r="CA144" s="105"/>
      <c r="CB144" s="105"/>
      <c r="CC144" s="105"/>
      <c r="CD144" s="105"/>
      <c r="CE144" s="105"/>
      <c r="CF144" s="105"/>
      <c r="CG144" s="105"/>
      <c r="CH144" s="105"/>
      <c r="CI144" s="105"/>
      <c r="CJ144" s="105"/>
      <c r="CK144" s="105"/>
      <c r="CL144" s="105"/>
      <c r="CM144" s="105"/>
      <c r="CN144" s="105"/>
      <c r="CO144" s="105"/>
      <c r="CP144" s="105"/>
      <c r="CQ144" s="105"/>
      <c r="CR144" s="105"/>
      <c r="CS144" s="105"/>
      <c r="CT144" s="105"/>
      <c r="CU144" s="105"/>
      <c r="CV144" s="105"/>
      <c r="CW144" s="105"/>
      <c r="CX144" s="105"/>
      <c r="CY144" s="105"/>
      <c r="CZ144" s="105"/>
      <c r="DA144" s="105"/>
      <c r="DB144" s="105"/>
      <c r="DC144" s="105"/>
      <c r="DD144" s="105"/>
      <c r="DE144" s="105"/>
      <c r="DF144" s="105"/>
      <c r="DG144" s="105"/>
      <c r="DH144" s="105"/>
      <c r="DI144" s="105"/>
      <c r="DJ144" s="105"/>
      <c r="DK144" s="105"/>
      <c r="DL144" s="105"/>
      <c r="DM144" s="105"/>
      <c r="DN144" s="105"/>
      <c r="DO144" s="105"/>
      <c r="DP144" s="105"/>
      <c r="DQ144" s="105"/>
      <c r="DR144" s="105"/>
      <c r="DS144" s="105"/>
      <c r="DT144" s="105"/>
      <c r="DU144" s="105"/>
      <c r="DV144" s="105"/>
      <c r="DW144" s="105"/>
      <c r="DX144" s="105"/>
      <c r="DY144" s="105"/>
      <c r="DZ144" s="105"/>
      <c r="EA144" s="105"/>
      <c r="EB144" s="105"/>
      <c r="EC144" s="105"/>
      <c r="ED144" s="105"/>
      <c r="EE144" s="105"/>
      <c r="EF144" s="105"/>
      <c r="EG144" s="105"/>
      <c r="EH144" s="105"/>
      <c r="EI144" s="105"/>
      <c r="EJ144" s="105"/>
      <c r="EK144" s="105"/>
      <c r="EL144" s="105"/>
      <c r="EM144" s="105"/>
      <c r="EN144" s="105"/>
      <c r="EO144" s="105"/>
      <c r="EP144" s="105"/>
      <c r="EQ144" s="105"/>
      <c r="ER144" s="105"/>
      <c r="ES144" s="105"/>
      <c r="ET144" s="105"/>
      <c r="EU144" s="105"/>
      <c r="EV144" s="105"/>
      <c r="EW144" s="105"/>
      <c r="EX144" s="105"/>
      <c r="EY144" s="105"/>
      <c r="EZ144" s="105"/>
      <c r="FA144" s="105"/>
      <c r="FB144" s="105"/>
      <c r="FC144" s="105"/>
      <c r="FD144" s="105"/>
      <c r="FE144" s="105"/>
      <c r="FF144" s="105"/>
      <c r="FG144" s="105"/>
      <c r="FH144" s="105"/>
      <c r="FI144" s="105"/>
      <c r="FJ144" s="105"/>
      <c r="FK144" s="105"/>
      <c r="FL144" s="105"/>
      <c r="FM144" s="105"/>
      <c r="FN144" s="105"/>
      <c r="FO144" s="105"/>
      <c r="FP144" s="105"/>
      <c r="FQ144" s="105"/>
      <c r="FR144" s="105"/>
      <c r="FS144" s="105"/>
      <c r="FT144" s="105"/>
      <c r="FU144" s="105"/>
      <c r="FV144" s="105"/>
      <c r="FW144" s="105"/>
      <c r="FX144" s="105"/>
      <c r="FY144" s="105"/>
      <c r="FZ144" s="105"/>
      <c r="GA144" s="105"/>
      <c r="GB144" s="105"/>
      <c r="GC144" s="105"/>
      <c r="GD144" s="105"/>
      <c r="GE144" s="105"/>
      <c r="GF144" s="105"/>
      <c r="GG144" s="105"/>
      <c r="GH144" s="105"/>
      <c r="GI144" s="105"/>
      <c r="GJ144" s="105"/>
      <c r="GK144" s="105"/>
      <c r="GL144" s="105"/>
      <c r="GM144" s="105"/>
      <c r="GN144" s="105"/>
      <c r="GO144" s="105"/>
      <c r="GP144" s="105"/>
      <c r="GQ144" s="105"/>
      <c r="GR144" s="105"/>
      <c r="GS144" s="105"/>
      <c r="GT144" s="105"/>
      <c r="GU144" s="105"/>
      <c r="GV144" s="105"/>
      <c r="GW144" s="105"/>
      <c r="GX144" s="105"/>
      <c r="GY144" s="105"/>
      <c r="GZ144" s="105"/>
      <c r="HA144" s="105"/>
      <c r="HB144" s="105"/>
      <c r="HC144" s="105"/>
      <c r="HD144" s="105"/>
      <c r="HE144" s="105"/>
      <c r="HF144" s="105"/>
      <c r="HG144" s="105"/>
      <c r="HH144" s="105"/>
      <c r="HI144" s="105"/>
      <c r="HJ144" s="105"/>
      <c r="HK144" s="105"/>
      <c r="HL144" s="105"/>
      <c r="HM144" s="105"/>
      <c r="HN144" s="105"/>
      <c r="HO144" s="105"/>
      <c r="HP144" s="105"/>
      <c r="HQ144" s="105"/>
      <c r="HR144" s="105"/>
      <c r="HS144" s="105"/>
      <c r="HT144" s="105"/>
      <c r="HU144" s="105"/>
      <c r="HV144" s="105"/>
      <c r="HW144" s="105"/>
      <c r="HX144" s="105"/>
      <c r="HY144" s="105"/>
      <c r="HZ144" s="105"/>
      <c r="IA144" s="105"/>
      <c r="IB144" s="105"/>
      <c r="IC144" s="105"/>
      <c r="ID144" s="105"/>
      <c r="IE144" s="105"/>
      <c r="IF144" s="105"/>
      <c r="IG144" s="105"/>
      <c r="IH144" s="105"/>
      <c r="II144" s="105"/>
      <c r="IJ144" s="105"/>
      <c r="IK144" s="105"/>
      <c r="IL144" s="105"/>
      <c r="IM144" s="105"/>
      <c r="IN144" s="105"/>
      <c r="IO144" s="105"/>
      <c r="IP144" s="105"/>
      <c r="IQ144" s="105"/>
      <c r="IR144" s="105"/>
      <c r="IS144" s="105"/>
    </row>
    <row r="145" spans="1:253">
      <c r="A145" s="116"/>
      <c r="B145" s="105"/>
      <c r="C145" s="116"/>
      <c r="D145" s="116"/>
      <c r="E145" s="116"/>
      <c r="F145" s="116"/>
      <c r="G145" s="116"/>
      <c r="H145" s="116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  <c r="BO145" s="105"/>
      <c r="BP145" s="105"/>
      <c r="BQ145" s="105"/>
      <c r="BR145" s="105"/>
      <c r="BS145" s="105"/>
      <c r="BT145" s="105"/>
      <c r="BU145" s="105"/>
      <c r="BV145" s="105"/>
      <c r="BW145" s="105"/>
      <c r="BX145" s="105"/>
      <c r="BY145" s="105"/>
      <c r="BZ145" s="105"/>
      <c r="CA145" s="105"/>
      <c r="CB145" s="105"/>
      <c r="CC145" s="105"/>
      <c r="CD145" s="105"/>
      <c r="CE145" s="105"/>
      <c r="CF145" s="105"/>
      <c r="CG145" s="105"/>
      <c r="CH145" s="105"/>
      <c r="CI145" s="105"/>
      <c r="CJ145" s="105"/>
      <c r="CK145" s="105"/>
      <c r="CL145" s="105"/>
      <c r="CM145" s="105"/>
      <c r="CN145" s="105"/>
      <c r="CO145" s="105"/>
      <c r="CP145" s="105"/>
      <c r="CQ145" s="105"/>
      <c r="CR145" s="105"/>
      <c r="CS145" s="105"/>
      <c r="CT145" s="105"/>
      <c r="CU145" s="105"/>
      <c r="CV145" s="105"/>
      <c r="CW145" s="105"/>
      <c r="CX145" s="105"/>
      <c r="CY145" s="105"/>
      <c r="CZ145" s="105"/>
      <c r="DA145" s="105"/>
      <c r="DB145" s="105"/>
      <c r="DC145" s="105"/>
      <c r="DD145" s="105"/>
      <c r="DE145" s="105"/>
      <c r="DF145" s="105"/>
      <c r="DG145" s="105"/>
      <c r="DH145" s="105"/>
      <c r="DI145" s="105"/>
      <c r="DJ145" s="105"/>
      <c r="DK145" s="105"/>
      <c r="DL145" s="105"/>
      <c r="DM145" s="105"/>
      <c r="DN145" s="105"/>
      <c r="DO145" s="105"/>
      <c r="DP145" s="105"/>
      <c r="DQ145" s="105"/>
      <c r="DR145" s="105"/>
      <c r="DS145" s="105"/>
      <c r="DT145" s="105"/>
      <c r="DU145" s="105"/>
      <c r="DV145" s="105"/>
      <c r="DW145" s="105"/>
      <c r="DX145" s="105"/>
      <c r="DY145" s="105"/>
      <c r="DZ145" s="105"/>
      <c r="EA145" s="105"/>
      <c r="EB145" s="105"/>
      <c r="EC145" s="105"/>
      <c r="ED145" s="105"/>
      <c r="EE145" s="105"/>
      <c r="EF145" s="105"/>
      <c r="EG145" s="105"/>
      <c r="EH145" s="105"/>
      <c r="EI145" s="105"/>
      <c r="EJ145" s="105"/>
      <c r="EK145" s="105"/>
      <c r="EL145" s="105"/>
      <c r="EM145" s="105"/>
      <c r="EN145" s="105"/>
      <c r="EO145" s="105"/>
      <c r="EP145" s="105"/>
      <c r="EQ145" s="105"/>
      <c r="ER145" s="105"/>
      <c r="ES145" s="105"/>
      <c r="ET145" s="105"/>
      <c r="EU145" s="105"/>
      <c r="EV145" s="105"/>
      <c r="EW145" s="105"/>
      <c r="EX145" s="105"/>
      <c r="EY145" s="105"/>
      <c r="EZ145" s="105"/>
      <c r="FA145" s="105"/>
      <c r="FB145" s="105"/>
      <c r="FC145" s="105"/>
      <c r="FD145" s="105"/>
      <c r="FE145" s="105"/>
      <c r="FF145" s="105"/>
      <c r="FG145" s="105"/>
      <c r="FH145" s="105"/>
      <c r="FI145" s="105"/>
      <c r="FJ145" s="105"/>
      <c r="FK145" s="105"/>
      <c r="FL145" s="105"/>
      <c r="FM145" s="105"/>
      <c r="FN145" s="105"/>
      <c r="FO145" s="105"/>
      <c r="FP145" s="105"/>
      <c r="FQ145" s="105"/>
      <c r="FR145" s="105"/>
      <c r="FS145" s="105"/>
      <c r="FT145" s="105"/>
      <c r="FU145" s="105"/>
      <c r="FV145" s="105"/>
      <c r="FW145" s="105"/>
      <c r="FX145" s="105"/>
      <c r="FY145" s="105"/>
      <c r="FZ145" s="105"/>
      <c r="GA145" s="105"/>
      <c r="GB145" s="105"/>
      <c r="GC145" s="105"/>
      <c r="GD145" s="105"/>
      <c r="GE145" s="105"/>
      <c r="GF145" s="105"/>
      <c r="GG145" s="105"/>
      <c r="GH145" s="105"/>
      <c r="GI145" s="105"/>
      <c r="GJ145" s="105"/>
      <c r="GK145" s="105"/>
      <c r="GL145" s="105"/>
      <c r="GM145" s="105"/>
      <c r="GN145" s="105"/>
      <c r="GO145" s="105"/>
      <c r="GP145" s="105"/>
      <c r="GQ145" s="105"/>
      <c r="GR145" s="105"/>
      <c r="GS145" s="105"/>
      <c r="GT145" s="105"/>
      <c r="GU145" s="105"/>
      <c r="GV145" s="105"/>
      <c r="GW145" s="105"/>
      <c r="GX145" s="105"/>
      <c r="GY145" s="105"/>
      <c r="GZ145" s="105"/>
      <c r="HA145" s="105"/>
      <c r="HB145" s="105"/>
      <c r="HC145" s="105"/>
      <c r="HD145" s="105"/>
      <c r="HE145" s="105"/>
      <c r="HF145" s="105"/>
      <c r="HG145" s="105"/>
      <c r="HH145" s="105"/>
      <c r="HI145" s="105"/>
      <c r="HJ145" s="105"/>
      <c r="HK145" s="105"/>
      <c r="HL145" s="105"/>
      <c r="HM145" s="105"/>
      <c r="HN145" s="105"/>
      <c r="HO145" s="105"/>
      <c r="HP145" s="105"/>
      <c r="HQ145" s="105"/>
      <c r="HR145" s="105"/>
      <c r="HS145" s="105"/>
      <c r="HT145" s="105"/>
      <c r="HU145" s="105"/>
      <c r="HV145" s="105"/>
      <c r="HW145" s="105"/>
      <c r="HX145" s="105"/>
      <c r="HY145" s="105"/>
      <c r="HZ145" s="105"/>
      <c r="IA145" s="105"/>
      <c r="IB145" s="105"/>
      <c r="IC145" s="105"/>
      <c r="ID145" s="105"/>
      <c r="IE145" s="105"/>
      <c r="IF145" s="105"/>
      <c r="IG145" s="105"/>
      <c r="IH145" s="105"/>
      <c r="II145" s="105"/>
      <c r="IJ145" s="105"/>
      <c r="IK145" s="105"/>
      <c r="IL145" s="105"/>
      <c r="IM145" s="105"/>
      <c r="IN145" s="105"/>
      <c r="IO145" s="105"/>
      <c r="IP145" s="105"/>
      <c r="IQ145" s="105"/>
      <c r="IR145" s="105"/>
      <c r="IS145" s="105"/>
    </row>
    <row r="146" spans="1:253">
      <c r="A146" s="116"/>
      <c r="B146" s="105"/>
      <c r="C146" s="116"/>
      <c r="D146" s="116"/>
      <c r="E146" s="116"/>
      <c r="F146" s="116"/>
      <c r="G146" s="116"/>
      <c r="H146" s="116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  <c r="BO146" s="105"/>
      <c r="BP146" s="105"/>
      <c r="BQ146" s="105"/>
      <c r="BR146" s="105"/>
      <c r="BS146" s="105"/>
      <c r="BT146" s="105"/>
      <c r="BU146" s="105"/>
      <c r="BV146" s="105"/>
      <c r="BW146" s="105"/>
      <c r="BX146" s="105"/>
      <c r="BY146" s="105"/>
      <c r="BZ146" s="105"/>
      <c r="CA146" s="105"/>
      <c r="CB146" s="105"/>
      <c r="CC146" s="105"/>
      <c r="CD146" s="105"/>
      <c r="CE146" s="105"/>
      <c r="CF146" s="105"/>
      <c r="CG146" s="105"/>
      <c r="CH146" s="105"/>
      <c r="CI146" s="105"/>
      <c r="CJ146" s="105"/>
      <c r="CK146" s="105"/>
      <c r="CL146" s="105"/>
      <c r="CM146" s="105"/>
      <c r="CN146" s="105"/>
      <c r="CO146" s="105"/>
      <c r="CP146" s="105"/>
      <c r="CQ146" s="105"/>
      <c r="CR146" s="105"/>
      <c r="CS146" s="105"/>
      <c r="CT146" s="105"/>
      <c r="CU146" s="105"/>
      <c r="CV146" s="105"/>
      <c r="CW146" s="105"/>
      <c r="CX146" s="105"/>
      <c r="CY146" s="105"/>
      <c r="CZ146" s="105"/>
      <c r="DA146" s="105"/>
      <c r="DB146" s="105"/>
      <c r="DC146" s="105"/>
      <c r="DD146" s="105"/>
      <c r="DE146" s="105"/>
      <c r="DF146" s="105"/>
      <c r="DG146" s="105"/>
      <c r="DH146" s="105"/>
      <c r="DI146" s="105"/>
      <c r="DJ146" s="105"/>
      <c r="DK146" s="105"/>
      <c r="DL146" s="105"/>
      <c r="DM146" s="105"/>
      <c r="DN146" s="105"/>
      <c r="DO146" s="105"/>
      <c r="DP146" s="105"/>
      <c r="DQ146" s="105"/>
      <c r="DR146" s="105"/>
      <c r="DS146" s="105"/>
      <c r="DT146" s="105"/>
      <c r="DU146" s="105"/>
      <c r="DV146" s="105"/>
      <c r="DW146" s="105"/>
      <c r="DX146" s="105"/>
      <c r="DY146" s="105"/>
      <c r="DZ146" s="105"/>
      <c r="EA146" s="105"/>
      <c r="EB146" s="105"/>
      <c r="EC146" s="105"/>
      <c r="ED146" s="105"/>
      <c r="EE146" s="105"/>
      <c r="EF146" s="105"/>
      <c r="EG146" s="105"/>
      <c r="EH146" s="105"/>
      <c r="EI146" s="105"/>
      <c r="EJ146" s="105"/>
      <c r="EK146" s="105"/>
      <c r="EL146" s="105"/>
      <c r="EM146" s="105"/>
      <c r="EN146" s="105"/>
      <c r="EO146" s="105"/>
      <c r="EP146" s="105"/>
      <c r="EQ146" s="105"/>
      <c r="ER146" s="105"/>
      <c r="ES146" s="105"/>
      <c r="ET146" s="105"/>
      <c r="EU146" s="105"/>
      <c r="EV146" s="105"/>
      <c r="EW146" s="105"/>
      <c r="EX146" s="105"/>
      <c r="EY146" s="105"/>
      <c r="EZ146" s="105"/>
      <c r="FA146" s="105"/>
      <c r="FB146" s="105"/>
      <c r="FC146" s="105"/>
      <c r="FD146" s="105"/>
      <c r="FE146" s="105"/>
      <c r="FF146" s="105"/>
      <c r="FG146" s="105"/>
      <c r="FH146" s="105"/>
      <c r="FI146" s="105"/>
      <c r="FJ146" s="105"/>
      <c r="FK146" s="105"/>
      <c r="FL146" s="105"/>
      <c r="FM146" s="105"/>
      <c r="FN146" s="105"/>
      <c r="FO146" s="105"/>
      <c r="FP146" s="105"/>
      <c r="FQ146" s="105"/>
      <c r="FR146" s="105"/>
      <c r="FS146" s="105"/>
      <c r="FT146" s="105"/>
      <c r="FU146" s="105"/>
      <c r="FV146" s="105"/>
      <c r="FW146" s="105"/>
      <c r="FX146" s="105"/>
      <c r="FY146" s="105"/>
      <c r="FZ146" s="105"/>
      <c r="GA146" s="105"/>
      <c r="GB146" s="105"/>
      <c r="GC146" s="105"/>
      <c r="GD146" s="105"/>
      <c r="GE146" s="105"/>
      <c r="GF146" s="105"/>
      <c r="GG146" s="105"/>
      <c r="GH146" s="105"/>
      <c r="GI146" s="105"/>
      <c r="GJ146" s="105"/>
      <c r="GK146" s="105"/>
      <c r="GL146" s="105"/>
      <c r="GM146" s="105"/>
      <c r="GN146" s="105"/>
      <c r="GO146" s="105"/>
      <c r="GP146" s="105"/>
      <c r="GQ146" s="105"/>
      <c r="GR146" s="105"/>
      <c r="GS146" s="105"/>
      <c r="GT146" s="105"/>
      <c r="GU146" s="105"/>
      <c r="GV146" s="105"/>
      <c r="GW146" s="105"/>
      <c r="GX146" s="105"/>
      <c r="GY146" s="105"/>
      <c r="GZ146" s="105"/>
      <c r="HA146" s="105"/>
      <c r="HB146" s="105"/>
      <c r="HC146" s="105"/>
      <c r="HD146" s="105"/>
      <c r="HE146" s="105"/>
      <c r="HF146" s="105"/>
      <c r="HG146" s="105"/>
      <c r="HH146" s="105"/>
      <c r="HI146" s="105"/>
      <c r="HJ146" s="105"/>
      <c r="HK146" s="105"/>
      <c r="HL146" s="105"/>
      <c r="HM146" s="105"/>
      <c r="HN146" s="105"/>
      <c r="HO146" s="105"/>
      <c r="HP146" s="105"/>
      <c r="HQ146" s="105"/>
      <c r="HR146" s="105"/>
      <c r="HS146" s="105"/>
      <c r="HT146" s="105"/>
      <c r="HU146" s="105"/>
      <c r="HV146" s="105"/>
      <c r="HW146" s="105"/>
      <c r="HX146" s="105"/>
      <c r="HY146" s="105"/>
      <c r="HZ146" s="105"/>
      <c r="IA146" s="105"/>
      <c r="IB146" s="105"/>
      <c r="IC146" s="105"/>
      <c r="ID146" s="105"/>
      <c r="IE146" s="105"/>
      <c r="IF146" s="105"/>
      <c r="IG146" s="105"/>
      <c r="IH146" s="105"/>
      <c r="II146" s="105"/>
      <c r="IJ146" s="105"/>
      <c r="IK146" s="105"/>
      <c r="IL146" s="105"/>
      <c r="IM146" s="105"/>
      <c r="IN146" s="105"/>
      <c r="IO146" s="105"/>
      <c r="IP146" s="105"/>
      <c r="IQ146" s="105"/>
      <c r="IR146" s="105"/>
      <c r="IS146" s="105"/>
    </row>
    <row r="147" spans="1:253">
      <c r="A147" s="116"/>
      <c r="B147" s="105"/>
      <c r="C147" s="116"/>
      <c r="D147" s="116"/>
      <c r="E147" s="116"/>
      <c r="F147" s="116"/>
      <c r="G147" s="116"/>
      <c r="H147" s="116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/>
      <c r="BY147" s="105"/>
      <c r="BZ147" s="105"/>
      <c r="CA147" s="105"/>
      <c r="CB147" s="105"/>
      <c r="CC147" s="105"/>
      <c r="CD147" s="105"/>
      <c r="CE147" s="105"/>
      <c r="CF147" s="105"/>
      <c r="CG147" s="105"/>
      <c r="CH147" s="105"/>
      <c r="CI147" s="105"/>
      <c r="CJ147" s="105"/>
      <c r="CK147" s="105"/>
      <c r="CL147" s="105"/>
      <c r="CM147" s="105"/>
      <c r="CN147" s="105"/>
      <c r="CO147" s="105"/>
      <c r="CP147" s="105"/>
      <c r="CQ147" s="105"/>
      <c r="CR147" s="105"/>
      <c r="CS147" s="105"/>
      <c r="CT147" s="105"/>
      <c r="CU147" s="105"/>
      <c r="CV147" s="105"/>
      <c r="CW147" s="105"/>
      <c r="CX147" s="105"/>
      <c r="CY147" s="105"/>
      <c r="CZ147" s="105"/>
      <c r="DA147" s="105"/>
      <c r="DB147" s="105"/>
      <c r="DC147" s="105"/>
      <c r="DD147" s="105"/>
      <c r="DE147" s="105"/>
      <c r="DF147" s="105"/>
      <c r="DG147" s="105"/>
      <c r="DH147" s="105"/>
      <c r="DI147" s="105"/>
      <c r="DJ147" s="105"/>
      <c r="DK147" s="105"/>
      <c r="DL147" s="105"/>
      <c r="DM147" s="105"/>
      <c r="DN147" s="105"/>
      <c r="DO147" s="105"/>
      <c r="DP147" s="105"/>
      <c r="DQ147" s="105"/>
      <c r="DR147" s="105"/>
      <c r="DS147" s="105"/>
      <c r="DT147" s="105"/>
      <c r="DU147" s="105"/>
      <c r="DV147" s="105"/>
      <c r="DW147" s="105"/>
      <c r="DX147" s="105"/>
      <c r="DY147" s="105"/>
      <c r="DZ147" s="105"/>
      <c r="EA147" s="105"/>
      <c r="EB147" s="105"/>
      <c r="EC147" s="105"/>
      <c r="ED147" s="105"/>
      <c r="EE147" s="105"/>
      <c r="EF147" s="105"/>
      <c r="EG147" s="105"/>
      <c r="EH147" s="105"/>
      <c r="EI147" s="105"/>
      <c r="EJ147" s="105"/>
      <c r="EK147" s="105"/>
      <c r="EL147" s="105"/>
      <c r="EM147" s="105"/>
      <c r="EN147" s="105"/>
      <c r="EO147" s="105"/>
      <c r="EP147" s="105"/>
      <c r="EQ147" s="105"/>
      <c r="ER147" s="105"/>
      <c r="ES147" s="105"/>
      <c r="ET147" s="105"/>
      <c r="EU147" s="105"/>
      <c r="EV147" s="105"/>
      <c r="EW147" s="105"/>
      <c r="EX147" s="105"/>
      <c r="EY147" s="105"/>
      <c r="EZ147" s="105"/>
      <c r="FA147" s="105"/>
      <c r="FB147" s="105"/>
      <c r="FC147" s="105"/>
      <c r="FD147" s="105"/>
      <c r="FE147" s="105"/>
      <c r="FF147" s="105"/>
      <c r="FG147" s="105"/>
      <c r="FH147" s="105"/>
      <c r="FI147" s="105"/>
      <c r="FJ147" s="105"/>
      <c r="FK147" s="105"/>
      <c r="FL147" s="105"/>
      <c r="FM147" s="105"/>
      <c r="FN147" s="105"/>
      <c r="FO147" s="105"/>
      <c r="FP147" s="105"/>
      <c r="FQ147" s="105"/>
      <c r="FR147" s="105"/>
      <c r="FS147" s="105"/>
      <c r="FT147" s="105"/>
      <c r="FU147" s="105"/>
      <c r="FV147" s="105"/>
      <c r="FW147" s="105"/>
      <c r="FX147" s="105"/>
      <c r="FY147" s="105"/>
      <c r="FZ147" s="105"/>
      <c r="GA147" s="105"/>
      <c r="GB147" s="105"/>
      <c r="GC147" s="105"/>
      <c r="GD147" s="105"/>
      <c r="GE147" s="105"/>
      <c r="GF147" s="105"/>
      <c r="GG147" s="105"/>
      <c r="GH147" s="105"/>
      <c r="GI147" s="105"/>
      <c r="GJ147" s="105"/>
      <c r="GK147" s="105"/>
      <c r="GL147" s="105"/>
      <c r="GM147" s="105"/>
      <c r="GN147" s="105"/>
      <c r="GO147" s="105"/>
      <c r="GP147" s="105"/>
      <c r="GQ147" s="105"/>
      <c r="GR147" s="105"/>
      <c r="GS147" s="105"/>
      <c r="GT147" s="105"/>
      <c r="GU147" s="105"/>
      <c r="GV147" s="105"/>
      <c r="GW147" s="105"/>
      <c r="GX147" s="105"/>
      <c r="GY147" s="105"/>
      <c r="GZ147" s="105"/>
      <c r="HA147" s="105"/>
      <c r="HB147" s="105"/>
      <c r="HC147" s="105"/>
      <c r="HD147" s="105"/>
      <c r="HE147" s="105"/>
      <c r="HF147" s="105"/>
      <c r="HG147" s="105"/>
      <c r="HH147" s="105"/>
      <c r="HI147" s="105"/>
      <c r="HJ147" s="105"/>
      <c r="HK147" s="105"/>
      <c r="HL147" s="105"/>
      <c r="HM147" s="105"/>
      <c r="HN147" s="105"/>
      <c r="HO147" s="105"/>
      <c r="HP147" s="105"/>
      <c r="HQ147" s="105"/>
      <c r="HR147" s="105"/>
      <c r="HS147" s="105"/>
      <c r="HT147" s="105"/>
      <c r="HU147" s="105"/>
      <c r="HV147" s="105"/>
      <c r="HW147" s="105"/>
      <c r="HX147" s="105"/>
      <c r="HY147" s="105"/>
      <c r="HZ147" s="105"/>
      <c r="IA147" s="105"/>
      <c r="IB147" s="105"/>
      <c r="IC147" s="105"/>
      <c r="ID147" s="105"/>
      <c r="IE147" s="105"/>
      <c r="IF147" s="105"/>
      <c r="IG147" s="105"/>
      <c r="IH147" s="105"/>
      <c r="II147" s="105"/>
      <c r="IJ147" s="105"/>
      <c r="IK147" s="105"/>
      <c r="IL147" s="105"/>
      <c r="IM147" s="105"/>
      <c r="IN147" s="105"/>
      <c r="IO147" s="105"/>
      <c r="IP147" s="105"/>
      <c r="IQ147" s="105"/>
      <c r="IR147" s="105"/>
      <c r="IS147" s="105"/>
    </row>
    <row r="148" spans="1:253">
      <c r="A148" s="116"/>
      <c r="B148" s="105"/>
      <c r="C148" s="116"/>
      <c r="D148" s="116"/>
      <c r="E148" s="116"/>
      <c r="F148" s="116"/>
      <c r="G148" s="116"/>
      <c r="H148" s="116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  <c r="BO148" s="105"/>
      <c r="BP148" s="105"/>
      <c r="BQ148" s="105"/>
      <c r="BR148" s="105"/>
      <c r="BS148" s="105"/>
      <c r="BT148" s="105"/>
      <c r="BU148" s="105"/>
      <c r="BV148" s="105"/>
      <c r="BW148" s="105"/>
      <c r="BX148" s="105"/>
      <c r="BY148" s="105"/>
      <c r="BZ148" s="105"/>
      <c r="CA148" s="105"/>
      <c r="CB148" s="105"/>
      <c r="CC148" s="105"/>
      <c r="CD148" s="105"/>
      <c r="CE148" s="105"/>
      <c r="CF148" s="105"/>
      <c r="CG148" s="105"/>
      <c r="CH148" s="105"/>
      <c r="CI148" s="105"/>
      <c r="CJ148" s="105"/>
      <c r="CK148" s="105"/>
      <c r="CL148" s="105"/>
      <c r="CM148" s="105"/>
      <c r="CN148" s="105"/>
      <c r="CO148" s="105"/>
      <c r="CP148" s="105"/>
      <c r="CQ148" s="105"/>
      <c r="CR148" s="105"/>
      <c r="CS148" s="105"/>
      <c r="CT148" s="105"/>
      <c r="CU148" s="105"/>
      <c r="CV148" s="105"/>
      <c r="CW148" s="105"/>
      <c r="CX148" s="105"/>
      <c r="CY148" s="105"/>
      <c r="CZ148" s="105"/>
      <c r="DA148" s="105"/>
      <c r="DB148" s="105"/>
      <c r="DC148" s="105"/>
      <c r="DD148" s="105"/>
      <c r="DE148" s="105"/>
      <c r="DF148" s="105"/>
      <c r="DG148" s="105"/>
      <c r="DH148" s="105"/>
      <c r="DI148" s="105"/>
      <c r="DJ148" s="105"/>
      <c r="DK148" s="105"/>
      <c r="DL148" s="105"/>
      <c r="DM148" s="105"/>
      <c r="DN148" s="105"/>
      <c r="DO148" s="105"/>
      <c r="DP148" s="105"/>
      <c r="DQ148" s="105"/>
      <c r="DR148" s="105"/>
      <c r="DS148" s="105"/>
      <c r="DT148" s="105"/>
      <c r="DU148" s="105"/>
      <c r="DV148" s="105"/>
      <c r="DW148" s="105"/>
      <c r="DX148" s="105"/>
      <c r="DY148" s="105"/>
      <c r="DZ148" s="105"/>
      <c r="EA148" s="105"/>
      <c r="EB148" s="105"/>
      <c r="EC148" s="105"/>
      <c r="ED148" s="105"/>
      <c r="EE148" s="105"/>
      <c r="EF148" s="105"/>
      <c r="EG148" s="105"/>
      <c r="EH148" s="105"/>
      <c r="EI148" s="105"/>
      <c r="EJ148" s="105"/>
      <c r="EK148" s="105"/>
      <c r="EL148" s="105"/>
      <c r="EM148" s="105"/>
      <c r="EN148" s="105"/>
      <c r="EO148" s="105"/>
      <c r="EP148" s="105"/>
      <c r="EQ148" s="105"/>
      <c r="ER148" s="105"/>
      <c r="ES148" s="105"/>
      <c r="ET148" s="105"/>
      <c r="EU148" s="105"/>
      <c r="EV148" s="105"/>
      <c r="EW148" s="105"/>
      <c r="EX148" s="105"/>
      <c r="EY148" s="105"/>
      <c r="EZ148" s="105"/>
      <c r="FA148" s="105"/>
      <c r="FB148" s="105"/>
      <c r="FC148" s="105"/>
      <c r="FD148" s="105"/>
      <c r="FE148" s="105"/>
      <c r="FF148" s="105"/>
      <c r="FG148" s="105"/>
      <c r="FH148" s="105"/>
      <c r="FI148" s="105"/>
      <c r="FJ148" s="105"/>
      <c r="FK148" s="105"/>
      <c r="FL148" s="105"/>
      <c r="FM148" s="105"/>
      <c r="FN148" s="105"/>
      <c r="FO148" s="105"/>
      <c r="FP148" s="105"/>
      <c r="FQ148" s="105"/>
      <c r="FR148" s="105"/>
      <c r="FS148" s="105"/>
      <c r="FT148" s="105"/>
      <c r="FU148" s="105"/>
      <c r="FV148" s="105"/>
      <c r="FW148" s="105"/>
      <c r="FX148" s="105"/>
      <c r="FY148" s="105"/>
      <c r="FZ148" s="105"/>
      <c r="GA148" s="105"/>
      <c r="GB148" s="105"/>
      <c r="GC148" s="105"/>
      <c r="GD148" s="105"/>
      <c r="GE148" s="105"/>
      <c r="GF148" s="105"/>
      <c r="GG148" s="105"/>
      <c r="GH148" s="105"/>
      <c r="GI148" s="105"/>
      <c r="GJ148" s="105"/>
      <c r="GK148" s="105"/>
      <c r="GL148" s="105"/>
      <c r="GM148" s="105"/>
      <c r="GN148" s="105"/>
      <c r="GO148" s="105"/>
      <c r="GP148" s="105"/>
      <c r="GQ148" s="105"/>
      <c r="GR148" s="105"/>
      <c r="GS148" s="105"/>
      <c r="GT148" s="105"/>
      <c r="GU148" s="105"/>
      <c r="GV148" s="105"/>
      <c r="GW148" s="105"/>
      <c r="GX148" s="105"/>
      <c r="GY148" s="105"/>
      <c r="GZ148" s="105"/>
      <c r="HA148" s="105"/>
      <c r="HB148" s="105"/>
      <c r="HC148" s="105"/>
      <c r="HD148" s="105"/>
      <c r="HE148" s="105"/>
      <c r="HF148" s="105"/>
      <c r="HG148" s="105"/>
      <c r="HH148" s="105"/>
      <c r="HI148" s="105"/>
      <c r="HJ148" s="105"/>
      <c r="HK148" s="105"/>
      <c r="HL148" s="105"/>
      <c r="HM148" s="105"/>
      <c r="HN148" s="105"/>
      <c r="HO148" s="105"/>
      <c r="HP148" s="105"/>
      <c r="HQ148" s="105"/>
      <c r="HR148" s="105"/>
      <c r="HS148" s="105"/>
      <c r="HT148" s="105"/>
      <c r="HU148" s="105"/>
      <c r="HV148" s="105"/>
      <c r="HW148" s="105"/>
      <c r="HX148" s="105"/>
      <c r="HY148" s="105"/>
      <c r="HZ148" s="105"/>
      <c r="IA148" s="105"/>
      <c r="IB148" s="105"/>
      <c r="IC148" s="105"/>
      <c r="ID148" s="105"/>
      <c r="IE148" s="105"/>
      <c r="IF148" s="105"/>
      <c r="IG148" s="105"/>
      <c r="IH148" s="105"/>
      <c r="II148" s="105"/>
      <c r="IJ148" s="105"/>
      <c r="IK148" s="105"/>
      <c r="IL148" s="105"/>
      <c r="IM148" s="105"/>
      <c r="IN148" s="105"/>
      <c r="IO148" s="105"/>
      <c r="IP148" s="105"/>
      <c r="IQ148" s="105"/>
      <c r="IR148" s="105"/>
      <c r="IS148" s="105"/>
    </row>
    <row r="149" spans="1:253">
      <c r="A149" s="116"/>
      <c r="B149" s="105"/>
      <c r="C149" s="116"/>
      <c r="D149" s="116"/>
      <c r="E149" s="116"/>
      <c r="F149" s="116"/>
      <c r="G149" s="116"/>
      <c r="H149" s="116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  <c r="BO149" s="105"/>
      <c r="BP149" s="105"/>
      <c r="BQ149" s="105"/>
      <c r="BR149" s="105"/>
      <c r="BS149" s="105"/>
      <c r="BT149" s="105"/>
      <c r="BU149" s="105"/>
      <c r="BV149" s="105"/>
      <c r="BW149" s="105"/>
      <c r="BX149" s="105"/>
      <c r="BY149" s="105"/>
      <c r="BZ149" s="105"/>
      <c r="CA149" s="105"/>
      <c r="CB149" s="105"/>
      <c r="CC149" s="105"/>
      <c r="CD149" s="105"/>
      <c r="CE149" s="105"/>
      <c r="CF149" s="105"/>
      <c r="CG149" s="105"/>
      <c r="CH149" s="105"/>
      <c r="CI149" s="105"/>
      <c r="CJ149" s="105"/>
      <c r="CK149" s="105"/>
      <c r="CL149" s="105"/>
      <c r="CM149" s="105"/>
      <c r="CN149" s="105"/>
      <c r="CO149" s="105"/>
      <c r="CP149" s="105"/>
      <c r="CQ149" s="105"/>
      <c r="CR149" s="105"/>
      <c r="CS149" s="105"/>
      <c r="CT149" s="105"/>
      <c r="CU149" s="105"/>
      <c r="CV149" s="105"/>
      <c r="CW149" s="105"/>
      <c r="CX149" s="105"/>
      <c r="CY149" s="105"/>
      <c r="CZ149" s="105"/>
      <c r="DA149" s="105"/>
      <c r="DB149" s="105"/>
      <c r="DC149" s="105"/>
      <c r="DD149" s="105"/>
      <c r="DE149" s="105"/>
      <c r="DF149" s="105"/>
      <c r="DG149" s="105"/>
      <c r="DH149" s="105"/>
      <c r="DI149" s="105"/>
      <c r="DJ149" s="105"/>
      <c r="DK149" s="105"/>
      <c r="DL149" s="105"/>
      <c r="DM149" s="105"/>
      <c r="DN149" s="105"/>
      <c r="DO149" s="105"/>
      <c r="DP149" s="105"/>
      <c r="DQ149" s="105"/>
      <c r="DR149" s="105"/>
      <c r="DS149" s="105"/>
      <c r="DT149" s="105"/>
      <c r="DU149" s="105"/>
      <c r="DV149" s="105"/>
      <c r="DW149" s="105"/>
      <c r="DX149" s="105"/>
      <c r="DY149" s="105"/>
      <c r="DZ149" s="105"/>
      <c r="EA149" s="105"/>
      <c r="EB149" s="105"/>
      <c r="EC149" s="105"/>
      <c r="ED149" s="105"/>
      <c r="EE149" s="105"/>
      <c r="EF149" s="105"/>
      <c r="EG149" s="105"/>
      <c r="EH149" s="105"/>
      <c r="EI149" s="105"/>
      <c r="EJ149" s="105"/>
      <c r="EK149" s="105"/>
      <c r="EL149" s="105"/>
      <c r="EM149" s="105"/>
      <c r="EN149" s="105"/>
      <c r="EO149" s="105"/>
      <c r="EP149" s="105"/>
      <c r="EQ149" s="105"/>
      <c r="ER149" s="105"/>
      <c r="ES149" s="105"/>
      <c r="ET149" s="105"/>
      <c r="EU149" s="105"/>
      <c r="EV149" s="105"/>
      <c r="EW149" s="105"/>
      <c r="EX149" s="105"/>
      <c r="EY149" s="105"/>
      <c r="EZ149" s="105"/>
      <c r="FA149" s="105"/>
      <c r="FB149" s="105"/>
      <c r="FC149" s="105"/>
      <c r="FD149" s="105"/>
      <c r="FE149" s="105"/>
      <c r="FF149" s="105"/>
      <c r="FG149" s="105"/>
      <c r="FH149" s="105"/>
      <c r="FI149" s="105"/>
      <c r="FJ149" s="105"/>
      <c r="FK149" s="105"/>
      <c r="FL149" s="105"/>
      <c r="FM149" s="105"/>
      <c r="FN149" s="105"/>
      <c r="FO149" s="105"/>
      <c r="FP149" s="105"/>
      <c r="FQ149" s="105"/>
      <c r="FR149" s="105"/>
      <c r="FS149" s="105"/>
      <c r="FT149" s="105"/>
      <c r="FU149" s="105"/>
      <c r="FV149" s="105"/>
      <c r="FW149" s="105"/>
      <c r="FX149" s="105"/>
      <c r="FY149" s="105"/>
      <c r="FZ149" s="105"/>
      <c r="GA149" s="105"/>
      <c r="GB149" s="105"/>
      <c r="GC149" s="105"/>
      <c r="GD149" s="105"/>
      <c r="GE149" s="105"/>
      <c r="GF149" s="105"/>
      <c r="GG149" s="105"/>
      <c r="GH149" s="105"/>
      <c r="GI149" s="105"/>
      <c r="GJ149" s="105"/>
      <c r="GK149" s="105"/>
      <c r="GL149" s="105"/>
      <c r="GM149" s="105"/>
      <c r="GN149" s="105"/>
      <c r="GO149" s="105"/>
      <c r="GP149" s="105"/>
      <c r="GQ149" s="105"/>
      <c r="GR149" s="105"/>
      <c r="GS149" s="105"/>
      <c r="GT149" s="105"/>
      <c r="GU149" s="105"/>
      <c r="GV149" s="105"/>
      <c r="GW149" s="105"/>
      <c r="GX149" s="105"/>
      <c r="GY149" s="105"/>
      <c r="GZ149" s="105"/>
      <c r="HA149" s="105"/>
      <c r="HB149" s="105"/>
      <c r="HC149" s="105"/>
      <c r="HD149" s="105"/>
      <c r="HE149" s="105"/>
      <c r="HF149" s="105"/>
      <c r="HG149" s="105"/>
      <c r="HH149" s="105"/>
      <c r="HI149" s="105"/>
      <c r="HJ149" s="105"/>
      <c r="HK149" s="105"/>
      <c r="HL149" s="105"/>
      <c r="HM149" s="105"/>
      <c r="HN149" s="105"/>
      <c r="HO149" s="105"/>
      <c r="HP149" s="105"/>
      <c r="HQ149" s="105"/>
      <c r="HR149" s="105"/>
      <c r="HS149" s="105"/>
      <c r="HT149" s="105"/>
      <c r="HU149" s="105"/>
      <c r="HV149" s="105"/>
      <c r="HW149" s="105"/>
      <c r="HX149" s="105"/>
      <c r="HY149" s="105"/>
      <c r="HZ149" s="105"/>
      <c r="IA149" s="105"/>
      <c r="IB149" s="105"/>
      <c r="IC149" s="105"/>
      <c r="ID149" s="105"/>
      <c r="IE149" s="105"/>
      <c r="IF149" s="105"/>
      <c r="IG149" s="105"/>
      <c r="IH149" s="105"/>
      <c r="II149" s="105"/>
      <c r="IJ149" s="105"/>
      <c r="IK149" s="105"/>
      <c r="IL149" s="105"/>
      <c r="IM149" s="105"/>
      <c r="IN149" s="105"/>
      <c r="IO149" s="105"/>
      <c r="IP149" s="105"/>
      <c r="IQ149" s="105"/>
      <c r="IR149" s="105"/>
      <c r="IS149" s="105"/>
    </row>
    <row r="150" spans="1:253">
      <c r="A150" s="116"/>
      <c r="B150" s="105"/>
      <c r="C150" s="116"/>
      <c r="D150" s="116"/>
      <c r="E150" s="116"/>
      <c r="F150" s="116"/>
      <c r="G150" s="116"/>
      <c r="H150" s="116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5"/>
      <c r="BN150" s="105"/>
      <c r="BO150" s="105"/>
      <c r="BP150" s="105"/>
      <c r="BQ150" s="105"/>
      <c r="BR150" s="105"/>
      <c r="BS150" s="105"/>
      <c r="BT150" s="105"/>
      <c r="BU150" s="105"/>
      <c r="BV150" s="105"/>
      <c r="BW150" s="105"/>
      <c r="BX150" s="105"/>
      <c r="BY150" s="105"/>
      <c r="BZ150" s="105"/>
      <c r="CA150" s="105"/>
      <c r="CB150" s="105"/>
      <c r="CC150" s="105"/>
      <c r="CD150" s="105"/>
      <c r="CE150" s="105"/>
      <c r="CF150" s="105"/>
      <c r="CG150" s="105"/>
      <c r="CH150" s="105"/>
      <c r="CI150" s="105"/>
      <c r="CJ150" s="105"/>
      <c r="CK150" s="105"/>
      <c r="CL150" s="105"/>
      <c r="CM150" s="105"/>
      <c r="CN150" s="105"/>
      <c r="CO150" s="105"/>
      <c r="CP150" s="105"/>
      <c r="CQ150" s="105"/>
      <c r="CR150" s="105"/>
      <c r="CS150" s="105"/>
      <c r="CT150" s="105"/>
      <c r="CU150" s="105"/>
      <c r="CV150" s="105"/>
      <c r="CW150" s="105"/>
      <c r="CX150" s="105"/>
      <c r="CY150" s="105"/>
      <c r="CZ150" s="105"/>
      <c r="DA150" s="105"/>
      <c r="DB150" s="105"/>
      <c r="DC150" s="105"/>
      <c r="DD150" s="105"/>
      <c r="DE150" s="105"/>
      <c r="DF150" s="105"/>
      <c r="DG150" s="105"/>
      <c r="DH150" s="105"/>
      <c r="DI150" s="105"/>
      <c r="DJ150" s="105"/>
      <c r="DK150" s="105"/>
      <c r="DL150" s="105"/>
      <c r="DM150" s="105"/>
      <c r="DN150" s="105"/>
      <c r="DO150" s="105"/>
      <c r="DP150" s="105"/>
      <c r="DQ150" s="105"/>
      <c r="DR150" s="105"/>
      <c r="DS150" s="105"/>
      <c r="DT150" s="105"/>
      <c r="DU150" s="105"/>
      <c r="DV150" s="105"/>
      <c r="DW150" s="105"/>
      <c r="DX150" s="105"/>
      <c r="DY150" s="105"/>
      <c r="DZ150" s="105"/>
      <c r="EA150" s="105"/>
      <c r="EB150" s="105"/>
      <c r="EC150" s="105"/>
      <c r="ED150" s="105"/>
      <c r="EE150" s="105"/>
      <c r="EF150" s="105"/>
      <c r="EG150" s="105"/>
      <c r="EH150" s="105"/>
      <c r="EI150" s="105"/>
      <c r="EJ150" s="105"/>
      <c r="EK150" s="105"/>
      <c r="EL150" s="105"/>
      <c r="EM150" s="105"/>
      <c r="EN150" s="105"/>
      <c r="EO150" s="105"/>
      <c r="EP150" s="105"/>
      <c r="EQ150" s="105"/>
      <c r="ER150" s="105"/>
      <c r="ES150" s="105"/>
      <c r="ET150" s="105"/>
      <c r="EU150" s="105"/>
      <c r="EV150" s="105"/>
      <c r="EW150" s="105"/>
      <c r="EX150" s="105"/>
      <c r="EY150" s="105"/>
      <c r="EZ150" s="105"/>
      <c r="FA150" s="105"/>
      <c r="FB150" s="105"/>
      <c r="FC150" s="105"/>
      <c r="FD150" s="105"/>
      <c r="FE150" s="105"/>
      <c r="FF150" s="105"/>
      <c r="FG150" s="105"/>
      <c r="FH150" s="105"/>
      <c r="FI150" s="105"/>
      <c r="FJ150" s="105"/>
      <c r="FK150" s="105"/>
      <c r="FL150" s="105"/>
      <c r="FM150" s="105"/>
      <c r="FN150" s="105"/>
      <c r="FO150" s="105"/>
      <c r="FP150" s="105"/>
      <c r="FQ150" s="105"/>
      <c r="FR150" s="105"/>
      <c r="FS150" s="105"/>
      <c r="FT150" s="105"/>
      <c r="FU150" s="105"/>
      <c r="FV150" s="105"/>
      <c r="FW150" s="105"/>
      <c r="FX150" s="105"/>
      <c r="FY150" s="105"/>
      <c r="FZ150" s="105"/>
      <c r="GA150" s="105"/>
      <c r="GB150" s="105"/>
      <c r="GC150" s="105"/>
      <c r="GD150" s="105"/>
      <c r="GE150" s="105"/>
      <c r="GF150" s="105"/>
      <c r="GG150" s="105"/>
      <c r="GH150" s="105"/>
      <c r="GI150" s="105"/>
      <c r="GJ150" s="105"/>
      <c r="GK150" s="105"/>
      <c r="GL150" s="105"/>
      <c r="GM150" s="105"/>
      <c r="GN150" s="105"/>
      <c r="GO150" s="105"/>
      <c r="GP150" s="105"/>
      <c r="GQ150" s="105"/>
      <c r="GR150" s="105"/>
      <c r="GS150" s="105"/>
      <c r="GT150" s="105"/>
      <c r="GU150" s="105"/>
      <c r="GV150" s="105"/>
      <c r="GW150" s="105"/>
      <c r="GX150" s="105"/>
      <c r="GY150" s="105"/>
      <c r="GZ150" s="105"/>
      <c r="HA150" s="105"/>
      <c r="HB150" s="105"/>
      <c r="HC150" s="105"/>
      <c r="HD150" s="105"/>
      <c r="HE150" s="105"/>
      <c r="HF150" s="105"/>
      <c r="HG150" s="105"/>
      <c r="HH150" s="105"/>
      <c r="HI150" s="105"/>
      <c r="HJ150" s="105"/>
      <c r="HK150" s="105"/>
      <c r="HL150" s="105"/>
      <c r="HM150" s="105"/>
      <c r="HN150" s="105"/>
      <c r="HO150" s="105"/>
      <c r="HP150" s="105"/>
      <c r="HQ150" s="105"/>
      <c r="HR150" s="105"/>
      <c r="HS150" s="105"/>
      <c r="HT150" s="105"/>
      <c r="HU150" s="105"/>
      <c r="HV150" s="105"/>
      <c r="HW150" s="105"/>
      <c r="HX150" s="105"/>
      <c r="HY150" s="105"/>
      <c r="HZ150" s="105"/>
      <c r="IA150" s="105"/>
      <c r="IB150" s="105"/>
      <c r="IC150" s="105"/>
      <c r="ID150" s="105"/>
      <c r="IE150" s="105"/>
      <c r="IF150" s="105"/>
      <c r="IG150" s="105"/>
      <c r="IH150" s="105"/>
      <c r="II150" s="105"/>
      <c r="IJ150" s="105"/>
      <c r="IK150" s="105"/>
      <c r="IL150" s="105"/>
      <c r="IM150" s="105"/>
      <c r="IN150" s="105"/>
      <c r="IO150" s="105"/>
      <c r="IP150" s="105"/>
      <c r="IQ150" s="105"/>
      <c r="IR150" s="105"/>
      <c r="IS150" s="105"/>
    </row>
    <row r="151" spans="1:253">
      <c r="A151" s="116"/>
      <c r="B151" s="105"/>
      <c r="C151" s="116"/>
      <c r="D151" s="116"/>
      <c r="E151" s="116"/>
      <c r="F151" s="116"/>
      <c r="G151" s="116"/>
      <c r="H151" s="116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  <c r="BO151" s="105"/>
      <c r="BP151" s="105"/>
      <c r="BQ151" s="105"/>
      <c r="BR151" s="105"/>
      <c r="BS151" s="105"/>
      <c r="BT151" s="105"/>
      <c r="BU151" s="105"/>
      <c r="BV151" s="105"/>
      <c r="BW151" s="105"/>
      <c r="BX151" s="105"/>
      <c r="BY151" s="105"/>
      <c r="BZ151" s="105"/>
      <c r="CA151" s="105"/>
      <c r="CB151" s="105"/>
      <c r="CC151" s="105"/>
      <c r="CD151" s="105"/>
      <c r="CE151" s="105"/>
      <c r="CF151" s="105"/>
      <c r="CG151" s="105"/>
      <c r="CH151" s="105"/>
      <c r="CI151" s="105"/>
      <c r="CJ151" s="105"/>
      <c r="CK151" s="105"/>
      <c r="CL151" s="105"/>
      <c r="CM151" s="105"/>
      <c r="CN151" s="105"/>
      <c r="CO151" s="105"/>
      <c r="CP151" s="105"/>
      <c r="CQ151" s="105"/>
      <c r="CR151" s="105"/>
      <c r="CS151" s="105"/>
      <c r="CT151" s="105"/>
      <c r="CU151" s="105"/>
      <c r="CV151" s="105"/>
      <c r="CW151" s="105"/>
      <c r="CX151" s="105"/>
      <c r="CY151" s="105"/>
      <c r="CZ151" s="105"/>
      <c r="DA151" s="105"/>
      <c r="DB151" s="105"/>
      <c r="DC151" s="105"/>
      <c r="DD151" s="105"/>
      <c r="DE151" s="105"/>
      <c r="DF151" s="105"/>
      <c r="DG151" s="105"/>
      <c r="DH151" s="105"/>
      <c r="DI151" s="105"/>
      <c r="DJ151" s="105"/>
      <c r="DK151" s="105"/>
      <c r="DL151" s="105"/>
      <c r="DM151" s="105"/>
      <c r="DN151" s="105"/>
      <c r="DO151" s="105"/>
      <c r="DP151" s="105"/>
      <c r="DQ151" s="105"/>
      <c r="DR151" s="105"/>
      <c r="DS151" s="105"/>
      <c r="DT151" s="105"/>
      <c r="DU151" s="105"/>
      <c r="DV151" s="105"/>
      <c r="DW151" s="105"/>
      <c r="DX151" s="105"/>
      <c r="DY151" s="105"/>
      <c r="DZ151" s="105"/>
      <c r="EA151" s="105"/>
      <c r="EB151" s="105"/>
      <c r="EC151" s="105"/>
      <c r="ED151" s="105"/>
      <c r="EE151" s="105"/>
      <c r="EF151" s="105"/>
      <c r="EG151" s="105"/>
      <c r="EH151" s="105"/>
      <c r="EI151" s="105"/>
      <c r="EJ151" s="105"/>
      <c r="EK151" s="105"/>
      <c r="EL151" s="105"/>
      <c r="EM151" s="105"/>
      <c r="EN151" s="105"/>
      <c r="EO151" s="105"/>
      <c r="EP151" s="105"/>
      <c r="EQ151" s="105"/>
      <c r="ER151" s="105"/>
      <c r="ES151" s="105"/>
      <c r="ET151" s="105"/>
      <c r="EU151" s="105"/>
      <c r="EV151" s="105"/>
      <c r="EW151" s="105"/>
      <c r="EX151" s="105"/>
      <c r="EY151" s="105"/>
      <c r="EZ151" s="105"/>
      <c r="FA151" s="105"/>
      <c r="FB151" s="105"/>
      <c r="FC151" s="105"/>
      <c r="FD151" s="105"/>
      <c r="FE151" s="105"/>
      <c r="FF151" s="105"/>
      <c r="FG151" s="105"/>
      <c r="FH151" s="105"/>
      <c r="FI151" s="105"/>
      <c r="FJ151" s="105"/>
      <c r="FK151" s="105"/>
      <c r="FL151" s="105"/>
      <c r="FM151" s="105"/>
      <c r="FN151" s="105"/>
      <c r="FO151" s="105"/>
      <c r="FP151" s="105"/>
      <c r="FQ151" s="105"/>
      <c r="FR151" s="105"/>
      <c r="FS151" s="105"/>
      <c r="FT151" s="105"/>
      <c r="FU151" s="105"/>
      <c r="FV151" s="105"/>
      <c r="FW151" s="105"/>
      <c r="FX151" s="105"/>
      <c r="FY151" s="105"/>
      <c r="FZ151" s="105"/>
      <c r="GA151" s="105"/>
      <c r="GB151" s="105"/>
      <c r="GC151" s="105"/>
      <c r="GD151" s="105"/>
      <c r="GE151" s="105"/>
      <c r="GF151" s="105"/>
      <c r="GG151" s="105"/>
      <c r="GH151" s="105"/>
      <c r="GI151" s="105"/>
      <c r="GJ151" s="105"/>
      <c r="GK151" s="105"/>
      <c r="GL151" s="105"/>
      <c r="GM151" s="105"/>
      <c r="GN151" s="105"/>
      <c r="GO151" s="105"/>
      <c r="GP151" s="105"/>
      <c r="GQ151" s="105"/>
      <c r="GR151" s="105"/>
      <c r="GS151" s="105"/>
      <c r="GT151" s="105"/>
      <c r="GU151" s="105"/>
      <c r="GV151" s="105"/>
      <c r="GW151" s="105"/>
      <c r="GX151" s="105"/>
      <c r="GY151" s="105"/>
      <c r="GZ151" s="105"/>
      <c r="HA151" s="105"/>
      <c r="HB151" s="105"/>
      <c r="HC151" s="105"/>
      <c r="HD151" s="105"/>
      <c r="HE151" s="105"/>
      <c r="HF151" s="105"/>
      <c r="HG151" s="105"/>
      <c r="HH151" s="105"/>
      <c r="HI151" s="105"/>
      <c r="HJ151" s="105"/>
      <c r="HK151" s="105"/>
      <c r="HL151" s="105"/>
      <c r="HM151" s="105"/>
      <c r="HN151" s="105"/>
      <c r="HO151" s="105"/>
      <c r="HP151" s="105"/>
      <c r="HQ151" s="105"/>
      <c r="HR151" s="105"/>
      <c r="HS151" s="105"/>
      <c r="HT151" s="105"/>
      <c r="HU151" s="105"/>
      <c r="HV151" s="105"/>
      <c r="HW151" s="105"/>
      <c r="HX151" s="105"/>
      <c r="HY151" s="105"/>
      <c r="HZ151" s="105"/>
      <c r="IA151" s="105"/>
      <c r="IB151" s="105"/>
      <c r="IC151" s="105"/>
      <c r="ID151" s="105"/>
      <c r="IE151" s="105"/>
      <c r="IF151" s="105"/>
      <c r="IG151" s="105"/>
      <c r="IH151" s="105"/>
      <c r="II151" s="105"/>
      <c r="IJ151" s="105"/>
      <c r="IK151" s="105"/>
      <c r="IL151" s="105"/>
      <c r="IM151" s="105"/>
      <c r="IN151" s="105"/>
      <c r="IO151" s="105"/>
      <c r="IP151" s="105"/>
      <c r="IQ151" s="105"/>
      <c r="IR151" s="105"/>
      <c r="IS151" s="105"/>
    </row>
    <row r="152" spans="1:253">
      <c r="A152" s="116"/>
      <c r="B152" s="105"/>
      <c r="C152" s="116"/>
      <c r="D152" s="116"/>
      <c r="E152" s="116"/>
      <c r="F152" s="116"/>
      <c r="G152" s="116"/>
      <c r="H152" s="116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105"/>
      <c r="BO152" s="105"/>
      <c r="BP152" s="105"/>
      <c r="BQ152" s="105"/>
      <c r="BR152" s="105"/>
      <c r="BS152" s="105"/>
      <c r="BT152" s="105"/>
      <c r="BU152" s="105"/>
      <c r="BV152" s="105"/>
      <c r="BW152" s="105"/>
      <c r="BX152" s="105"/>
      <c r="BY152" s="105"/>
      <c r="BZ152" s="105"/>
      <c r="CA152" s="105"/>
      <c r="CB152" s="105"/>
      <c r="CC152" s="105"/>
      <c r="CD152" s="105"/>
      <c r="CE152" s="105"/>
      <c r="CF152" s="105"/>
      <c r="CG152" s="105"/>
      <c r="CH152" s="105"/>
      <c r="CI152" s="105"/>
      <c r="CJ152" s="105"/>
      <c r="CK152" s="105"/>
      <c r="CL152" s="105"/>
      <c r="CM152" s="105"/>
      <c r="CN152" s="105"/>
      <c r="CO152" s="105"/>
      <c r="CP152" s="105"/>
      <c r="CQ152" s="105"/>
      <c r="CR152" s="105"/>
      <c r="CS152" s="105"/>
      <c r="CT152" s="105"/>
      <c r="CU152" s="105"/>
      <c r="CV152" s="105"/>
      <c r="CW152" s="105"/>
      <c r="CX152" s="105"/>
      <c r="CY152" s="105"/>
      <c r="CZ152" s="105"/>
      <c r="DA152" s="105"/>
      <c r="DB152" s="105"/>
      <c r="DC152" s="105"/>
      <c r="DD152" s="105"/>
      <c r="DE152" s="105"/>
      <c r="DF152" s="105"/>
      <c r="DG152" s="105"/>
      <c r="DH152" s="105"/>
      <c r="DI152" s="105"/>
      <c r="DJ152" s="105"/>
      <c r="DK152" s="105"/>
      <c r="DL152" s="105"/>
      <c r="DM152" s="105"/>
      <c r="DN152" s="105"/>
      <c r="DO152" s="105"/>
      <c r="DP152" s="105"/>
      <c r="DQ152" s="105"/>
      <c r="DR152" s="105"/>
      <c r="DS152" s="105"/>
      <c r="DT152" s="105"/>
      <c r="DU152" s="105"/>
      <c r="DV152" s="105"/>
      <c r="DW152" s="105"/>
      <c r="DX152" s="105"/>
      <c r="DY152" s="105"/>
      <c r="DZ152" s="105"/>
      <c r="EA152" s="105"/>
      <c r="EB152" s="105"/>
      <c r="EC152" s="105"/>
      <c r="ED152" s="105"/>
      <c r="EE152" s="105"/>
      <c r="EF152" s="105"/>
      <c r="EG152" s="105"/>
      <c r="EH152" s="105"/>
      <c r="EI152" s="105"/>
      <c r="EJ152" s="105"/>
      <c r="EK152" s="105"/>
      <c r="EL152" s="105"/>
      <c r="EM152" s="105"/>
      <c r="EN152" s="105"/>
      <c r="EO152" s="105"/>
      <c r="EP152" s="105"/>
      <c r="EQ152" s="105"/>
      <c r="ER152" s="105"/>
      <c r="ES152" s="105"/>
      <c r="ET152" s="105"/>
      <c r="EU152" s="105"/>
      <c r="EV152" s="105"/>
      <c r="EW152" s="105"/>
      <c r="EX152" s="105"/>
      <c r="EY152" s="105"/>
      <c r="EZ152" s="105"/>
      <c r="FA152" s="105"/>
      <c r="FB152" s="105"/>
      <c r="FC152" s="105"/>
      <c r="FD152" s="105"/>
      <c r="FE152" s="105"/>
      <c r="FF152" s="105"/>
      <c r="FG152" s="105"/>
      <c r="FH152" s="105"/>
      <c r="FI152" s="105"/>
      <c r="FJ152" s="105"/>
      <c r="FK152" s="105"/>
      <c r="FL152" s="105"/>
      <c r="FM152" s="105"/>
      <c r="FN152" s="105"/>
      <c r="FO152" s="105"/>
      <c r="FP152" s="105"/>
      <c r="FQ152" s="105"/>
      <c r="FR152" s="105"/>
      <c r="FS152" s="105"/>
      <c r="FT152" s="105"/>
      <c r="FU152" s="105"/>
      <c r="FV152" s="105"/>
      <c r="FW152" s="105"/>
      <c r="FX152" s="105"/>
      <c r="FY152" s="105"/>
      <c r="FZ152" s="105"/>
      <c r="GA152" s="105"/>
      <c r="GB152" s="105"/>
      <c r="GC152" s="105"/>
      <c r="GD152" s="105"/>
      <c r="GE152" s="105"/>
      <c r="GF152" s="105"/>
      <c r="GG152" s="105"/>
      <c r="GH152" s="105"/>
      <c r="GI152" s="105"/>
      <c r="GJ152" s="105"/>
      <c r="GK152" s="105"/>
      <c r="GL152" s="105"/>
      <c r="GM152" s="105"/>
      <c r="GN152" s="105"/>
      <c r="GO152" s="105"/>
      <c r="GP152" s="105"/>
      <c r="GQ152" s="105"/>
      <c r="GR152" s="105"/>
      <c r="GS152" s="105"/>
      <c r="GT152" s="105"/>
      <c r="GU152" s="105"/>
      <c r="GV152" s="105"/>
      <c r="GW152" s="105"/>
      <c r="GX152" s="105"/>
      <c r="GY152" s="105"/>
      <c r="GZ152" s="105"/>
      <c r="HA152" s="105"/>
      <c r="HB152" s="105"/>
      <c r="HC152" s="105"/>
      <c r="HD152" s="105"/>
      <c r="HE152" s="105"/>
      <c r="HF152" s="105"/>
      <c r="HG152" s="105"/>
      <c r="HH152" s="105"/>
      <c r="HI152" s="105"/>
      <c r="HJ152" s="105"/>
      <c r="HK152" s="105"/>
      <c r="HL152" s="105"/>
      <c r="HM152" s="105"/>
      <c r="HN152" s="105"/>
      <c r="HO152" s="105"/>
      <c r="HP152" s="105"/>
      <c r="HQ152" s="105"/>
      <c r="HR152" s="105"/>
      <c r="HS152" s="105"/>
      <c r="HT152" s="105"/>
      <c r="HU152" s="105"/>
      <c r="HV152" s="105"/>
      <c r="HW152" s="105"/>
      <c r="HX152" s="105"/>
      <c r="HY152" s="105"/>
      <c r="HZ152" s="105"/>
      <c r="IA152" s="105"/>
      <c r="IB152" s="105"/>
      <c r="IC152" s="105"/>
      <c r="ID152" s="105"/>
      <c r="IE152" s="105"/>
      <c r="IF152" s="105"/>
      <c r="IG152" s="105"/>
      <c r="IH152" s="105"/>
      <c r="II152" s="105"/>
      <c r="IJ152" s="105"/>
      <c r="IK152" s="105"/>
      <c r="IL152" s="105"/>
      <c r="IM152" s="105"/>
      <c r="IN152" s="105"/>
      <c r="IO152" s="105"/>
      <c r="IP152" s="105"/>
      <c r="IQ152" s="105"/>
      <c r="IR152" s="105"/>
      <c r="IS152" s="105"/>
    </row>
    <row r="153" spans="1:253">
      <c r="A153" s="116"/>
      <c r="B153" s="105"/>
      <c r="C153" s="116"/>
      <c r="D153" s="116"/>
      <c r="E153" s="116"/>
      <c r="F153" s="116"/>
      <c r="G153" s="116"/>
      <c r="H153" s="116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105"/>
      <c r="BX153" s="105"/>
      <c r="BY153" s="105"/>
      <c r="BZ153" s="105"/>
      <c r="CA153" s="105"/>
      <c r="CB153" s="105"/>
      <c r="CC153" s="105"/>
      <c r="CD153" s="105"/>
      <c r="CE153" s="105"/>
      <c r="CF153" s="105"/>
      <c r="CG153" s="105"/>
      <c r="CH153" s="105"/>
      <c r="CI153" s="105"/>
      <c r="CJ153" s="105"/>
      <c r="CK153" s="105"/>
      <c r="CL153" s="105"/>
      <c r="CM153" s="105"/>
      <c r="CN153" s="105"/>
      <c r="CO153" s="105"/>
      <c r="CP153" s="105"/>
      <c r="CQ153" s="105"/>
      <c r="CR153" s="105"/>
      <c r="CS153" s="105"/>
      <c r="CT153" s="105"/>
      <c r="CU153" s="105"/>
      <c r="CV153" s="105"/>
      <c r="CW153" s="105"/>
      <c r="CX153" s="105"/>
      <c r="CY153" s="105"/>
      <c r="CZ153" s="105"/>
      <c r="DA153" s="105"/>
      <c r="DB153" s="105"/>
      <c r="DC153" s="105"/>
      <c r="DD153" s="105"/>
      <c r="DE153" s="105"/>
      <c r="DF153" s="105"/>
      <c r="DG153" s="105"/>
      <c r="DH153" s="105"/>
      <c r="DI153" s="105"/>
      <c r="DJ153" s="105"/>
      <c r="DK153" s="105"/>
      <c r="DL153" s="105"/>
      <c r="DM153" s="105"/>
      <c r="DN153" s="105"/>
      <c r="DO153" s="105"/>
      <c r="DP153" s="105"/>
      <c r="DQ153" s="105"/>
      <c r="DR153" s="105"/>
      <c r="DS153" s="105"/>
      <c r="DT153" s="105"/>
      <c r="DU153" s="105"/>
      <c r="DV153" s="105"/>
      <c r="DW153" s="105"/>
      <c r="DX153" s="105"/>
      <c r="DY153" s="105"/>
      <c r="DZ153" s="105"/>
      <c r="EA153" s="105"/>
      <c r="EB153" s="105"/>
      <c r="EC153" s="105"/>
      <c r="ED153" s="105"/>
      <c r="EE153" s="105"/>
      <c r="EF153" s="105"/>
      <c r="EG153" s="105"/>
      <c r="EH153" s="105"/>
      <c r="EI153" s="105"/>
      <c r="EJ153" s="105"/>
      <c r="EK153" s="105"/>
      <c r="EL153" s="105"/>
      <c r="EM153" s="105"/>
      <c r="EN153" s="105"/>
      <c r="EO153" s="105"/>
      <c r="EP153" s="105"/>
      <c r="EQ153" s="105"/>
      <c r="ER153" s="105"/>
      <c r="ES153" s="105"/>
      <c r="ET153" s="105"/>
      <c r="EU153" s="105"/>
      <c r="EV153" s="105"/>
      <c r="EW153" s="105"/>
      <c r="EX153" s="105"/>
      <c r="EY153" s="105"/>
      <c r="EZ153" s="105"/>
      <c r="FA153" s="105"/>
      <c r="FB153" s="105"/>
      <c r="FC153" s="105"/>
      <c r="FD153" s="105"/>
      <c r="FE153" s="105"/>
      <c r="FF153" s="105"/>
      <c r="FG153" s="105"/>
      <c r="FH153" s="105"/>
      <c r="FI153" s="105"/>
      <c r="FJ153" s="105"/>
      <c r="FK153" s="105"/>
      <c r="FL153" s="105"/>
      <c r="FM153" s="105"/>
      <c r="FN153" s="105"/>
      <c r="FO153" s="105"/>
      <c r="FP153" s="105"/>
      <c r="FQ153" s="105"/>
      <c r="FR153" s="105"/>
      <c r="FS153" s="105"/>
      <c r="FT153" s="105"/>
      <c r="FU153" s="105"/>
      <c r="FV153" s="105"/>
      <c r="FW153" s="105"/>
      <c r="FX153" s="105"/>
      <c r="FY153" s="105"/>
      <c r="FZ153" s="105"/>
      <c r="GA153" s="105"/>
      <c r="GB153" s="105"/>
      <c r="GC153" s="105"/>
      <c r="GD153" s="105"/>
      <c r="GE153" s="105"/>
      <c r="GF153" s="105"/>
      <c r="GG153" s="105"/>
      <c r="GH153" s="105"/>
      <c r="GI153" s="105"/>
      <c r="GJ153" s="105"/>
      <c r="GK153" s="105"/>
      <c r="GL153" s="105"/>
      <c r="GM153" s="105"/>
      <c r="GN153" s="105"/>
      <c r="GO153" s="105"/>
      <c r="GP153" s="105"/>
      <c r="GQ153" s="105"/>
      <c r="GR153" s="105"/>
      <c r="GS153" s="105"/>
      <c r="GT153" s="105"/>
      <c r="GU153" s="105"/>
      <c r="GV153" s="105"/>
      <c r="GW153" s="105"/>
      <c r="GX153" s="105"/>
      <c r="GY153" s="105"/>
      <c r="GZ153" s="105"/>
      <c r="HA153" s="105"/>
      <c r="HB153" s="105"/>
      <c r="HC153" s="105"/>
      <c r="HD153" s="105"/>
      <c r="HE153" s="105"/>
      <c r="HF153" s="105"/>
      <c r="HG153" s="105"/>
      <c r="HH153" s="105"/>
      <c r="HI153" s="105"/>
      <c r="HJ153" s="105"/>
      <c r="HK153" s="105"/>
      <c r="HL153" s="105"/>
      <c r="HM153" s="105"/>
      <c r="HN153" s="105"/>
      <c r="HO153" s="105"/>
      <c r="HP153" s="105"/>
      <c r="HQ153" s="105"/>
      <c r="HR153" s="105"/>
      <c r="HS153" s="105"/>
      <c r="HT153" s="105"/>
      <c r="HU153" s="105"/>
      <c r="HV153" s="105"/>
      <c r="HW153" s="105"/>
      <c r="HX153" s="105"/>
      <c r="HY153" s="105"/>
      <c r="HZ153" s="105"/>
      <c r="IA153" s="105"/>
      <c r="IB153" s="105"/>
      <c r="IC153" s="105"/>
      <c r="ID153" s="105"/>
      <c r="IE153" s="105"/>
      <c r="IF153" s="105"/>
      <c r="IG153" s="105"/>
      <c r="IH153" s="105"/>
      <c r="II153" s="105"/>
      <c r="IJ153" s="105"/>
      <c r="IK153" s="105"/>
      <c r="IL153" s="105"/>
      <c r="IM153" s="105"/>
      <c r="IN153" s="105"/>
      <c r="IO153" s="105"/>
      <c r="IP153" s="105"/>
      <c r="IQ153" s="105"/>
      <c r="IR153" s="105"/>
      <c r="IS153" s="105"/>
    </row>
    <row r="154" spans="1:253">
      <c r="A154" s="116"/>
      <c r="B154" s="105"/>
      <c r="C154" s="116"/>
      <c r="D154" s="116"/>
      <c r="E154" s="116"/>
      <c r="F154" s="116"/>
      <c r="G154" s="116"/>
      <c r="H154" s="116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  <c r="BL154" s="105"/>
      <c r="BM154" s="105"/>
      <c r="BN154" s="105"/>
      <c r="BO154" s="105"/>
      <c r="BP154" s="105"/>
      <c r="BQ154" s="105"/>
      <c r="BR154" s="105"/>
      <c r="BS154" s="105"/>
      <c r="BT154" s="105"/>
      <c r="BU154" s="105"/>
      <c r="BV154" s="105"/>
      <c r="BW154" s="105"/>
      <c r="BX154" s="105"/>
      <c r="BY154" s="105"/>
      <c r="BZ154" s="105"/>
      <c r="CA154" s="105"/>
      <c r="CB154" s="105"/>
      <c r="CC154" s="105"/>
      <c r="CD154" s="105"/>
      <c r="CE154" s="105"/>
      <c r="CF154" s="105"/>
      <c r="CG154" s="105"/>
      <c r="CH154" s="105"/>
      <c r="CI154" s="105"/>
      <c r="CJ154" s="105"/>
      <c r="CK154" s="105"/>
      <c r="CL154" s="105"/>
      <c r="CM154" s="105"/>
      <c r="CN154" s="105"/>
      <c r="CO154" s="105"/>
      <c r="CP154" s="105"/>
      <c r="CQ154" s="105"/>
      <c r="CR154" s="105"/>
      <c r="CS154" s="105"/>
      <c r="CT154" s="105"/>
      <c r="CU154" s="105"/>
      <c r="CV154" s="105"/>
      <c r="CW154" s="105"/>
      <c r="CX154" s="105"/>
      <c r="CY154" s="105"/>
      <c r="CZ154" s="105"/>
      <c r="DA154" s="105"/>
      <c r="DB154" s="105"/>
      <c r="DC154" s="105"/>
      <c r="DD154" s="105"/>
      <c r="DE154" s="105"/>
      <c r="DF154" s="105"/>
      <c r="DG154" s="105"/>
      <c r="DH154" s="105"/>
      <c r="DI154" s="105"/>
      <c r="DJ154" s="105"/>
      <c r="DK154" s="105"/>
      <c r="DL154" s="105"/>
      <c r="DM154" s="105"/>
      <c r="DN154" s="105"/>
      <c r="DO154" s="105"/>
      <c r="DP154" s="105"/>
      <c r="DQ154" s="105"/>
      <c r="DR154" s="105"/>
      <c r="DS154" s="105"/>
      <c r="DT154" s="105"/>
      <c r="DU154" s="105"/>
      <c r="DV154" s="105"/>
      <c r="DW154" s="105"/>
      <c r="DX154" s="105"/>
      <c r="DY154" s="105"/>
      <c r="DZ154" s="105"/>
      <c r="EA154" s="105"/>
      <c r="EB154" s="105"/>
      <c r="EC154" s="105"/>
      <c r="ED154" s="105"/>
      <c r="EE154" s="105"/>
      <c r="EF154" s="105"/>
      <c r="EG154" s="105"/>
      <c r="EH154" s="105"/>
      <c r="EI154" s="105"/>
      <c r="EJ154" s="105"/>
      <c r="EK154" s="105"/>
      <c r="EL154" s="105"/>
      <c r="EM154" s="105"/>
      <c r="EN154" s="105"/>
      <c r="EO154" s="105"/>
      <c r="EP154" s="105"/>
      <c r="EQ154" s="105"/>
      <c r="ER154" s="105"/>
      <c r="ES154" s="105"/>
      <c r="ET154" s="105"/>
      <c r="EU154" s="105"/>
      <c r="EV154" s="105"/>
      <c r="EW154" s="105"/>
      <c r="EX154" s="105"/>
      <c r="EY154" s="105"/>
      <c r="EZ154" s="105"/>
      <c r="FA154" s="105"/>
      <c r="FB154" s="105"/>
      <c r="FC154" s="105"/>
      <c r="FD154" s="105"/>
      <c r="FE154" s="105"/>
      <c r="FF154" s="105"/>
      <c r="FG154" s="105"/>
      <c r="FH154" s="105"/>
      <c r="FI154" s="105"/>
      <c r="FJ154" s="105"/>
      <c r="FK154" s="105"/>
      <c r="FL154" s="105"/>
      <c r="FM154" s="105"/>
      <c r="FN154" s="105"/>
      <c r="FO154" s="105"/>
      <c r="FP154" s="105"/>
      <c r="FQ154" s="105"/>
      <c r="FR154" s="105"/>
      <c r="FS154" s="105"/>
      <c r="FT154" s="105"/>
      <c r="FU154" s="105"/>
      <c r="FV154" s="105"/>
      <c r="FW154" s="105"/>
      <c r="FX154" s="105"/>
      <c r="FY154" s="105"/>
      <c r="FZ154" s="105"/>
      <c r="GA154" s="105"/>
      <c r="GB154" s="105"/>
      <c r="GC154" s="105"/>
      <c r="GD154" s="105"/>
      <c r="GE154" s="105"/>
      <c r="GF154" s="105"/>
      <c r="GG154" s="105"/>
      <c r="GH154" s="105"/>
      <c r="GI154" s="105"/>
      <c r="GJ154" s="105"/>
      <c r="GK154" s="105"/>
      <c r="GL154" s="105"/>
      <c r="GM154" s="105"/>
      <c r="GN154" s="105"/>
      <c r="GO154" s="105"/>
      <c r="GP154" s="105"/>
      <c r="GQ154" s="105"/>
      <c r="GR154" s="105"/>
      <c r="GS154" s="105"/>
      <c r="GT154" s="105"/>
      <c r="GU154" s="105"/>
      <c r="GV154" s="105"/>
      <c r="GW154" s="105"/>
      <c r="GX154" s="105"/>
      <c r="GY154" s="105"/>
      <c r="GZ154" s="105"/>
      <c r="HA154" s="105"/>
      <c r="HB154" s="105"/>
      <c r="HC154" s="105"/>
      <c r="HD154" s="105"/>
      <c r="HE154" s="105"/>
      <c r="HF154" s="105"/>
      <c r="HG154" s="105"/>
      <c r="HH154" s="105"/>
      <c r="HI154" s="105"/>
      <c r="HJ154" s="105"/>
      <c r="HK154" s="105"/>
      <c r="HL154" s="105"/>
      <c r="HM154" s="105"/>
      <c r="HN154" s="105"/>
      <c r="HO154" s="105"/>
      <c r="HP154" s="105"/>
      <c r="HQ154" s="105"/>
      <c r="HR154" s="105"/>
      <c r="HS154" s="105"/>
      <c r="HT154" s="105"/>
      <c r="HU154" s="105"/>
      <c r="HV154" s="105"/>
      <c r="HW154" s="105"/>
      <c r="HX154" s="105"/>
      <c r="HY154" s="105"/>
      <c r="HZ154" s="105"/>
      <c r="IA154" s="105"/>
      <c r="IB154" s="105"/>
      <c r="IC154" s="105"/>
      <c r="ID154" s="105"/>
      <c r="IE154" s="105"/>
      <c r="IF154" s="105"/>
      <c r="IG154" s="105"/>
      <c r="IH154" s="105"/>
      <c r="II154" s="105"/>
      <c r="IJ154" s="105"/>
      <c r="IK154" s="105"/>
      <c r="IL154" s="105"/>
      <c r="IM154" s="105"/>
      <c r="IN154" s="105"/>
      <c r="IO154" s="105"/>
      <c r="IP154" s="105"/>
      <c r="IQ154" s="105"/>
      <c r="IR154" s="105"/>
      <c r="IS154" s="105"/>
    </row>
    <row r="155" spans="1:253">
      <c r="A155" s="116"/>
      <c r="B155" s="105"/>
      <c r="C155" s="116"/>
      <c r="D155" s="116"/>
      <c r="E155" s="116"/>
      <c r="F155" s="116"/>
      <c r="G155" s="116"/>
      <c r="H155" s="116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105"/>
      <c r="BX155" s="105"/>
      <c r="BY155" s="105"/>
      <c r="BZ155" s="105"/>
      <c r="CA155" s="105"/>
      <c r="CB155" s="105"/>
      <c r="CC155" s="105"/>
      <c r="CD155" s="105"/>
      <c r="CE155" s="105"/>
      <c r="CF155" s="105"/>
      <c r="CG155" s="105"/>
      <c r="CH155" s="105"/>
      <c r="CI155" s="105"/>
      <c r="CJ155" s="105"/>
      <c r="CK155" s="105"/>
      <c r="CL155" s="105"/>
      <c r="CM155" s="105"/>
      <c r="CN155" s="105"/>
      <c r="CO155" s="105"/>
      <c r="CP155" s="105"/>
      <c r="CQ155" s="105"/>
      <c r="CR155" s="105"/>
      <c r="CS155" s="105"/>
      <c r="CT155" s="105"/>
      <c r="CU155" s="105"/>
      <c r="CV155" s="105"/>
      <c r="CW155" s="105"/>
      <c r="CX155" s="105"/>
      <c r="CY155" s="105"/>
      <c r="CZ155" s="105"/>
      <c r="DA155" s="105"/>
      <c r="DB155" s="105"/>
      <c r="DC155" s="105"/>
      <c r="DD155" s="105"/>
      <c r="DE155" s="105"/>
      <c r="DF155" s="105"/>
      <c r="DG155" s="105"/>
      <c r="DH155" s="105"/>
      <c r="DI155" s="105"/>
      <c r="DJ155" s="105"/>
      <c r="DK155" s="105"/>
      <c r="DL155" s="105"/>
      <c r="DM155" s="105"/>
      <c r="DN155" s="105"/>
      <c r="DO155" s="105"/>
      <c r="DP155" s="105"/>
      <c r="DQ155" s="105"/>
      <c r="DR155" s="105"/>
      <c r="DS155" s="105"/>
      <c r="DT155" s="105"/>
      <c r="DU155" s="105"/>
      <c r="DV155" s="105"/>
      <c r="DW155" s="105"/>
      <c r="DX155" s="105"/>
      <c r="DY155" s="105"/>
      <c r="DZ155" s="105"/>
      <c r="EA155" s="105"/>
      <c r="EB155" s="105"/>
      <c r="EC155" s="105"/>
      <c r="ED155" s="105"/>
      <c r="EE155" s="105"/>
      <c r="EF155" s="105"/>
      <c r="EG155" s="105"/>
      <c r="EH155" s="105"/>
      <c r="EI155" s="105"/>
      <c r="EJ155" s="105"/>
      <c r="EK155" s="105"/>
      <c r="EL155" s="105"/>
      <c r="EM155" s="105"/>
      <c r="EN155" s="105"/>
      <c r="EO155" s="105"/>
      <c r="EP155" s="105"/>
      <c r="EQ155" s="105"/>
      <c r="ER155" s="105"/>
      <c r="ES155" s="105"/>
      <c r="ET155" s="105"/>
      <c r="EU155" s="105"/>
      <c r="EV155" s="105"/>
      <c r="EW155" s="105"/>
      <c r="EX155" s="105"/>
      <c r="EY155" s="105"/>
      <c r="EZ155" s="105"/>
      <c r="FA155" s="105"/>
      <c r="FB155" s="105"/>
      <c r="FC155" s="105"/>
      <c r="FD155" s="105"/>
      <c r="FE155" s="105"/>
      <c r="FF155" s="105"/>
      <c r="FG155" s="105"/>
      <c r="FH155" s="105"/>
      <c r="FI155" s="105"/>
      <c r="FJ155" s="105"/>
      <c r="FK155" s="105"/>
      <c r="FL155" s="105"/>
      <c r="FM155" s="105"/>
      <c r="FN155" s="105"/>
      <c r="FO155" s="105"/>
      <c r="FP155" s="105"/>
      <c r="FQ155" s="105"/>
      <c r="FR155" s="105"/>
      <c r="FS155" s="105"/>
      <c r="FT155" s="105"/>
      <c r="FU155" s="105"/>
      <c r="FV155" s="105"/>
      <c r="FW155" s="105"/>
      <c r="FX155" s="105"/>
      <c r="FY155" s="105"/>
      <c r="FZ155" s="105"/>
      <c r="GA155" s="105"/>
      <c r="GB155" s="105"/>
      <c r="GC155" s="105"/>
      <c r="GD155" s="105"/>
      <c r="GE155" s="105"/>
      <c r="GF155" s="105"/>
      <c r="GG155" s="105"/>
      <c r="GH155" s="105"/>
      <c r="GI155" s="105"/>
      <c r="GJ155" s="105"/>
      <c r="GK155" s="105"/>
      <c r="GL155" s="105"/>
      <c r="GM155" s="105"/>
      <c r="GN155" s="105"/>
      <c r="GO155" s="105"/>
      <c r="GP155" s="105"/>
      <c r="GQ155" s="105"/>
      <c r="GR155" s="105"/>
      <c r="GS155" s="105"/>
      <c r="GT155" s="105"/>
      <c r="GU155" s="105"/>
      <c r="GV155" s="105"/>
      <c r="GW155" s="105"/>
      <c r="GX155" s="105"/>
      <c r="GY155" s="105"/>
      <c r="GZ155" s="105"/>
      <c r="HA155" s="105"/>
      <c r="HB155" s="105"/>
      <c r="HC155" s="105"/>
      <c r="HD155" s="105"/>
      <c r="HE155" s="105"/>
      <c r="HF155" s="105"/>
      <c r="HG155" s="105"/>
      <c r="HH155" s="105"/>
      <c r="HI155" s="105"/>
      <c r="HJ155" s="105"/>
      <c r="HK155" s="105"/>
      <c r="HL155" s="105"/>
      <c r="HM155" s="105"/>
      <c r="HN155" s="105"/>
      <c r="HO155" s="105"/>
      <c r="HP155" s="105"/>
      <c r="HQ155" s="105"/>
      <c r="HR155" s="105"/>
      <c r="HS155" s="105"/>
      <c r="HT155" s="105"/>
      <c r="HU155" s="105"/>
      <c r="HV155" s="105"/>
      <c r="HW155" s="105"/>
      <c r="HX155" s="105"/>
      <c r="HY155" s="105"/>
      <c r="HZ155" s="105"/>
      <c r="IA155" s="105"/>
      <c r="IB155" s="105"/>
      <c r="IC155" s="105"/>
      <c r="ID155" s="105"/>
      <c r="IE155" s="105"/>
      <c r="IF155" s="105"/>
      <c r="IG155" s="105"/>
      <c r="IH155" s="105"/>
      <c r="II155" s="105"/>
      <c r="IJ155" s="105"/>
      <c r="IK155" s="105"/>
      <c r="IL155" s="105"/>
      <c r="IM155" s="105"/>
      <c r="IN155" s="105"/>
      <c r="IO155" s="105"/>
      <c r="IP155" s="105"/>
      <c r="IQ155" s="105"/>
      <c r="IR155" s="105"/>
      <c r="IS155" s="105"/>
    </row>
    <row r="156" spans="1:253">
      <c r="A156" s="116"/>
      <c r="B156" s="105"/>
      <c r="C156" s="116"/>
      <c r="D156" s="116"/>
      <c r="E156" s="116"/>
      <c r="F156" s="116"/>
      <c r="G156" s="116"/>
      <c r="H156" s="116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105"/>
      <c r="CA156" s="105"/>
      <c r="CB156" s="105"/>
      <c r="CC156" s="105"/>
      <c r="CD156" s="105"/>
      <c r="CE156" s="105"/>
      <c r="CF156" s="105"/>
      <c r="CG156" s="105"/>
      <c r="CH156" s="105"/>
      <c r="CI156" s="105"/>
      <c r="CJ156" s="105"/>
      <c r="CK156" s="105"/>
      <c r="CL156" s="105"/>
      <c r="CM156" s="105"/>
      <c r="CN156" s="105"/>
      <c r="CO156" s="105"/>
      <c r="CP156" s="105"/>
      <c r="CQ156" s="105"/>
      <c r="CR156" s="105"/>
      <c r="CS156" s="105"/>
      <c r="CT156" s="105"/>
      <c r="CU156" s="105"/>
      <c r="CV156" s="105"/>
      <c r="CW156" s="105"/>
      <c r="CX156" s="105"/>
      <c r="CY156" s="105"/>
      <c r="CZ156" s="105"/>
      <c r="DA156" s="105"/>
      <c r="DB156" s="105"/>
      <c r="DC156" s="105"/>
      <c r="DD156" s="105"/>
      <c r="DE156" s="105"/>
      <c r="DF156" s="105"/>
      <c r="DG156" s="105"/>
      <c r="DH156" s="105"/>
      <c r="DI156" s="105"/>
      <c r="DJ156" s="105"/>
      <c r="DK156" s="105"/>
      <c r="DL156" s="105"/>
      <c r="DM156" s="105"/>
      <c r="DN156" s="105"/>
      <c r="DO156" s="105"/>
      <c r="DP156" s="105"/>
      <c r="DQ156" s="105"/>
      <c r="DR156" s="105"/>
      <c r="DS156" s="105"/>
      <c r="DT156" s="105"/>
      <c r="DU156" s="105"/>
      <c r="DV156" s="105"/>
      <c r="DW156" s="105"/>
      <c r="DX156" s="105"/>
      <c r="DY156" s="105"/>
      <c r="DZ156" s="105"/>
      <c r="EA156" s="105"/>
      <c r="EB156" s="105"/>
      <c r="EC156" s="105"/>
      <c r="ED156" s="105"/>
      <c r="EE156" s="105"/>
      <c r="EF156" s="105"/>
      <c r="EG156" s="105"/>
      <c r="EH156" s="105"/>
      <c r="EI156" s="105"/>
      <c r="EJ156" s="105"/>
      <c r="EK156" s="105"/>
      <c r="EL156" s="105"/>
      <c r="EM156" s="105"/>
      <c r="EN156" s="105"/>
      <c r="EO156" s="105"/>
      <c r="EP156" s="105"/>
      <c r="EQ156" s="105"/>
      <c r="ER156" s="105"/>
      <c r="ES156" s="105"/>
      <c r="ET156" s="105"/>
      <c r="EU156" s="105"/>
      <c r="EV156" s="105"/>
      <c r="EW156" s="105"/>
      <c r="EX156" s="105"/>
      <c r="EY156" s="105"/>
      <c r="EZ156" s="105"/>
      <c r="FA156" s="105"/>
      <c r="FB156" s="105"/>
      <c r="FC156" s="105"/>
      <c r="FD156" s="105"/>
      <c r="FE156" s="105"/>
      <c r="FF156" s="105"/>
      <c r="FG156" s="105"/>
      <c r="FH156" s="105"/>
      <c r="FI156" s="105"/>
      <c r="FJ156" s="105"/>
      <c r="FK156" s="105"/>
      <c r="FL156" s="105"/>
      <c r="FM156" s="105"/>
      <c r="FN156" s="105"/>
      <c r="FO156" s="105"/>
      <c r="FP156" s="105"/>
      <c r="FQ156" s="105"/>
      <c r="FR156" s="105"/>
      <c r="FS156" s="105"/>
      <c r="FT156" s="105"/>
      <c r="FU156" s="105"/>
      <c r="FV156" s="105"/>
      <c r="FW156" s="105"/>
      <c r="FX156" s="105"/>
      <c r="FY156" s="105"/>
      <c r="FZ156" s="105"/>
      <c r="GA156" s="105"/>
      <c r="GB156" s="105"/>
      <c r="GC156" s="105"/>
      <c r="GD156" s="105"/>
      <c r="GE156" s="105"/>
      <c r="GF156" s="105"/>
      <c r="GG156" s="105"/>
      <c r="GH156" s="105"/>
      <c r="GI156" s="105"/>
      <c r="GJ156" s="105"/>
      <c r="GK156" s="105"/>
      <c r="GL156" s="105"/>
      <c r="GM156" s="105"/>
      <c r="GN156" s="105"/>
      <c r="GO156" s="105"/>
      <c r="GP156" s="105"/>
      <c r="GQ156" s="105"/>
      <c r="GR156" s="105"/>
      <c r="GS156" s="105"/>
      <c r="GT156" s="105"/>
      <c r="GU156" s="105"/>
      <c r="GV156" s="105"/>
      <c r="GW156" s="105"/>
      <c r="GX156" s="105"/>
      <c r="GY156" s="105"/>
      <c r="GZ156" s="105"/>
      <c r="HA156" s="105"/>
      <c r="HB156" s="105"/>
      <c r="HC156" s="105"/>
      <c r="HD156" s="105"/>
      <c r="HE156" s="105"/>
      <c r="HF156" s="105"/>
      <c r="HG156" s="105"/>
      <c r="HH156" s="105"/>
      <c r="HI156" s="105"/>
      <c r="HJ156" s="105"/>
      <c r="HK156" s="105"/>
      <c r="HL156" s="105"/>
      <c r="HM156" s="105"/>
      <c r="HN156" s="105"/>
      <c r="HO156" s="105"/>
      <c r="HP156" s="105"/>
      <c r="HQ156" s="105"/>
      <c r="HR156" s="105"/>
      <c r="HS156" s="105"/>
      <c r="HT156" s="105"/>
      <c r="HU156" s="105"/>
      <c r="HV156" s="105"/>
      <c r="HW156" s="105"/>
      <c r="HX156" s="105"/>
      <c r="HY156" s="105"/>
      <c r="HZ156" s="105"/>
      <c r="IA156" s="105"/>
      <c r="IB156" s="105"/>
      <c r="IC156" s="105"/>
      <c r="ID156" s="105"/>
      <c r="IE156" s="105"/>
      <c r="IF156" s="105"/>
      <c r="IG156" s="105"/>
      <c r="IH156" s="105"/>
      <c r="II156" s="105"/>
      <c r="IJ156" s="105"/>
      <c r="IK156" s="105"/>
      <c r="IL156" s="105"/>
      <c r="IM156" s="105"/>
      <c r="IN156" s="105"/>
      <c r="IO156" s="105"/>
      <c r="IP156" s="105"/>
      <c r="IQ156" s="105"/>
      <c r="IR156" s="105"/>
      <c r="IS156" s="105"/>
    </row>
    <row r="157" spans="1:253">
      <c r="A157" s="116"/>
      <c r="B157" s="105"/>
      <c r="C157" s="116"/>
      <c r="D157" s="116"/>
      <c r="E157" s="116"/>
      <c r="F157" s="116"/>
      <c r="G157" s="116"/>
      <c r="H157" s="116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105"/>
      <c r="CD157" s="105"/>
      <c r="CE157" s="105"/>
      <c r="CF157" s="105"/>
      <c r="CG157" s="105"/>
      <c r="CH157" s="105"/>
      <c r="CI157" s="105"/>
      <c r="CJ157" s="105"/>
      <c r="CK157" s="105"/>
      <c r="CL157" s="105"/>
      <c r="CM157" s="105"/>
      <c r="CN157" s="105"/>
      <c r="CO157" s="105"/>
      <c r="CP157" s="105"/>
      <c r="CQ157" s="105"/>
      <c r="CR157" s="105"/>
      <c r="CS157" s="105"/>
      <c r="CT157" s="105"/>
      <c r="CU157" s="105"/>
      <c r="CV157" s="105"/>
      <c r="CW157" s="105"/>
      <c r="CX157" s="105"/>
      <c r="CY157" s="105"/>
      <c r="CZ157" s="105"/>
      <c r="DA157" s="105"/>
      <c r="DB157" s="105"/>
      <c r="DC157" s="105"/>
      <c r="DD157" s="105"/>
      <c r="DE157" s="105"/>
      <c r="DF157" s="105"/>
      <c r="DG157" s="105"/>
      <c r="DH157" s="105"/>
      <c r="DI157" s="105"/>
      <c r="DJ157" s="105"/>
      <c r="DK157" s="105"/>
      <c r="DL157" s="105"/>
      <c r="DM157" s="105"/>
      <c r="DN157" s="105"/>
      <c r="DO157" s="105"/>
      <c r="DP157" s="105"/>
      <c r="DQ157" s="105"/>
      <c r="DR157" s="105"/>
      <c r="DS157" s="105"/>
      <c r="DT157" s="105"/>
      <c r="DU157" s="105"/>
      <c r="DV157" s="105"/>
      <c r="DW157" s="105"/>
      <c r="DX157" s="105"/>
      <c r="DY157" s="105"/>
      <c r="DZ157" s="105"/>
      <c r="EA157" s="105"/>
      <c r="EB157" s="105"/>
      <c r="EC157" s="105"/>
      <c r="ED157" s="105"/>
      <c r="EE157" s="105"/>
      <c r="EF157" s="105"/>
      <c r="EG157" s="105"/>
      <c r="EH157" s="105"/>
      <c r="EI157" s="105"/>
      <c r="EJ157" s="105"/>
      <c r="EK157" s="105"/>
      <c r="EL157" s="105"/>
      <c r="EM157" s="105"/>
      <c r="EN157" s="105"/>
      <c r="EO157" s="105"/>
      <c r="EP157" s="105"/>
      <c r="EQ157" s="105"/>
      <c r="ER157" s="105"/>
      <c r="ES157" s="105"/>
      <c r="ET157" s="105"/>
      <c r="EU157" s="105"/>
      <c r="EV157" s="105"/>
      <c r="EW157" s="105"/>
      <c r="EX157" s="105"/>
      <c r="EY157" s="105"/>
      <c r="EZ157" s="105"/>
      <c r="FA157" s="105"/>
      <c r="FB157" s="105"/>
      <c r="FC157" s="105"/>
      <c r="FD157" s="105"/>
      <c r="FE157" s="105"/>
      <c r="FF157" s="105"/>
      <c r="FG157" s="105"/>
      <c r="FH157" s="105"/>
      <c r="FI157" s="105"/>
      <c r="FJ157" s="105"/>
      <c r="FK157" s="105"/>
      <c r="FL157" s="105"/>
      <c r="FM157" s="105"/>
      <c r="FN157" s="105"/>
      <c r="FO157" s="105"/>
      <c r="FP157" s="105"/>
      <c r="FQ157" s="105"/>
      <c r="FR157" s="105"/>
      <c r="FS157" s="105"/>
      <c r="FT157" s="105"/>
      <c r="FU157" s="105"/>
      <c r="FV157" s="105"/>
      <c r="FW157" s="105"/>
      <c r="FX157" s="105"/>
      <c r="FY157" s="105"/>
      <c r="FZ157" s="105"/>
      <c r="GA157" s="105"/>
      <c r="GB157" s="105"/>
      <c r="GC157" s="105"/>
      <c r="GD157" s="105"/>
      <c r="GE157" s="105"/>
      <c r="GF157" s="105"/>
      <c r="GG157" s="105"/>
      <c r="GH157" s="105"/>
      <c r="GI157" s="105"/>
      <c r="GJ157" s="105"/>
      <c r="GK157" s="105"/>
      <c r="GL157" s="105"/>
      <c r="GM157" s="105"/>
      <c r="GN157" s="105"/>
      <c r="GO157" s="105"/>
      <c r="GP157" s="105"/>
      <c r="GQ157" s="105"/>
      <c r="GR157" s="105"/>
      <c r="GS157" s="105"/>
      <c r="GT157" s="105"/>
      <c r="GU157" s="105"/>
      <c r="GV157" s="105"/>
      <c r="GW157" s="105"/>
      <c r="GX157" s="105"/>
      <c r="GY157" s="105"/>
      <c r="GZ157" s="105"/>
      <c r="HA157" s="105"/>
      <c r="HB157" s="105"/>
      <c r="HC157" s="105"/>
      <c r="HD157" s="105"/>
      <c r="HE157" s="105"/>
      <c r="HF157" s="105"/>
      <c r="HG157" s="105"/>
      <c r="HH157" s="105"/>
      <c r="HI157" s="105"/>
      <c r="HJ157" s="105"/>
      <c r="HK157" s="105"/>
      <c r="HL157" s="105"/>
      <c r="HM157" s="105"/>
      <c r="HN157" s="105"/>
      <c r="HO157" s="105"/>
      <c r="HP157" s="105"/>
      <c r="HQ157" s="105"/>
      <c r="HR157" s="105"/>
      <c r="HS157" s="105"/>
      <c r="HT157" s="105"/>
      <c r="HU157" s="105"/>
      <c r="HV157" s="105"/>
      <c r="HW157" s="105"/>
      <c r="HX157" s="105"/>
      <c r="HY157" s="105"/>
      <c r="HZ157" s="105"/>
      <c r="IA157" s="105"/>
      <c r="IB157" s="105"/>
      <c r="IC157" s="105"/>
      <c r="ID157" s="105"/>
      <c r="IE157" s="105"/>
      <c r="IF157" s="105"/>
      <c r="IG157" s="105"/>
      <c r="IH157" s="105"/>
      <c r="II157" s="105"/>
      <c r="IJ157" s="105"/>
      <c r="IK157" s="105"/>
      <c r="IL157" s="105"/>
      <c r="IM157" s="105"/>
      <c r="IN157" s="105"/>
      <c r="IO157" s="105"/>
      <c r="IP157" s="105"/>
      <c r="IQ157" s="105"/>
      <c r="IR157" s="105"/>
      <c r="IS157" s="105"/>
    </row>
    <row r="158" spans="1:253">
      <c r="A158" s="116"/>
      <c r="B158" s="105"/>
      <c r="C158" s="116"/>
      <c r="D158" s="116"/>
      <c r="E158" s="116"/>
      <c r="F158" s="116"/>
      <c r="G158" s="116"/>
      <c r="H158" s="116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105"/>
      <c r="BX158" s="105"/>
      <c r="BY158" s="105"/>
      <c r="BZ158" s="105"/>
      <c r="CA158" s="105"/>
      <c r="CB158" s="105"/>
      <c r="CC158" s="105"/>
      <c r="CD158" s="105"/>
      <c r="CE158" s="105"/>
      <c r="CF158" s="105"/>
      <c r="CG158" s="105"/>
      <c r="CH158" s="105"/>
      <c r="CI158" s="105"/>
      <c r="CJ158" s="105"/>
      <c r="CK158" s="105"/>
      <c r="CL158" s="105"/>
      <c r="CM158" s="105"/>
      <c r="CN158" s="105"/>
      <c r="CO158" s="105"/>
      <c r="CP158" s="105"/>
      <c r="CQ158" s="105"/>
      <c r="CR158" s="105"/>
      <c r="CS158" s="105"/>
      <c r="CT158" s="105"/>
      <c r="CU158" s="105"/>
      <c r="CV158" s="105"/>
      <c r="CW158" s="105"/>
      <c r="CX158" s="105"/>
      <c r="CY158" s="105"/>
      <c r="CZ158" s="105"/>
      <c r="DA158" s="105"/>
      <c r="DB158" s="105"/>
      <c r="DC158" s="105"/>
      <c r="DD158" s="105"/>
      <c r="DE158" s="105"/>
      <c r="DF158" s="105"/>
      <c r="DG158" s="105"/>
      <c r="DH158" s="105"/>
      <c r="DI158" s="105"/>
      <c r="DJ158" s="105"/>
      <c r="DK158" s="105"/>
      <c r="DL158" s="105"/>
      <c r="DM158" s="105"/>
      <c r="DN158" s="105"/>
      <c r="DO158" s="105"/>
      <c r="DP158" s="105"/>
      <c r="DQ158" s="105"/>
      <c r="DR158" s="105"/>
      <c r="DS158" s="105"/>
      <c r="DT158" s="105"/>
      <c r="DU158" s="105"/>
      <c r="DV158" s="105"/>
      <c r="DW158" s="105"/>
      <c r="DX158" s="105"/>
      <c r="DY158" s="105"/>
      <c r="DZ158" s="105"/>
      <c r="EA158" s="105"/>
      <c r="EB158" s="105"/>
      <c r="EC158" s="105"/>
      <c r="ED158" s="105"/>
      <c r="EE158" s="105"/>
      <c r="EF158" s="105"/>
      <c r="EG158" s="105"/>
      <c r="EH158" s="105"/>
      <c r="EI158" s="105"/>
      <c r="EJ158" s="105"/>
      <c r="EK158" s="105"/>
      <c r="EL158" s="105"/>
      <c r="EM158" s="105"/>
      <c r="EN158" s="105"/>
      <c r="EO158" s="105"/>
      <c r="EP158" s="105"/>
      <c r="EQ158" s="105"/>
      <c r="ER158" s="105"/>
      <c r="ES158" s="105"/>
      <c r="ET158" s="105"/>
      <c r="EU158" s="105"/>
      <c r="EV158" s="105"/>
      <c r="EW158" s="105"/>
      <c r="EX158" s="105"/>
      <c r="EY158" s="105"/>
      <c r="EZ158" s="105"/>
      <c r="FA158" s="105"/>
      <c r="FB158" s="105"/>
      <c r="FC158" s="105"/>
      <c r="FD158" s="105"/>
      <c r="FE158" s="105"/>
      <c r="FF158" s="105"/>
      <c r="FG158" s="105"/>
      <c r="FH158" s="105"/>
      <c r="FI158" s="105"/>
      <c r="FJ158" s="105"/>
      <c r="FK158" s="105"/>
      <c r="FL158" s="105"/>
      <c r="FM158" s="105"/>
      <c r="FN158" s="105"/>
      <c r="FO158" s="105"/>
      <c r="FP158" s="105"/>
      <c r="FQ158" s="105"/>
      <c r="FR158" s="105"/>
      <c r="FS158" s="105"/>
      <c r="FT158" s="105"/>
      <c r="FU158" s="105"/>
      <c r="FV158" s="105"/>
      <c r="FW158" s="105"/>
      <c r="FX158" s="105"/>
      <c r="FY158" s="105"/>
      <c r="FZ158" s="105"/>
      <c r="GA158" s="105"/>
      <c r="GB158" s="105"/>
      <c r="GC158" s="105"/>
      <c r="GD158" s="105"/>
      <c r="GE158" s="105"/>
      <c r="GF158" s="105"/>
      <c r="GG158" s="105"/>
      <c r="GH158" s="105"/>
      <c r="GI158" s="105"/>
      <c r="GJ158" s="105"/>
      <c r="GK158" s="105"/>
      <c r="GL158" s="105"/>
      <c r="GM158" s="105"/>
      <c r="GN158" s="105"/>
      <c r="GO158" s="105"/>
      <c r="GP158" s="105"/>
      <c r="GQ158" s="105"/>
      <c r="GR158" s="105"/>
      <c r="GS158" s="105"/>
      <c r="GT158" s="105"/>
      <c r="GU158" s="105"/>
      <c r="GV158" s="105"/>
      <c r="GW158" s="105"/>
      <c r="GX158" s="105"/>
      <c r="GY158" s="105"/>
      <c r="GZ158" s="105"/>
      <c r="HA158" s="105"/>
      <c r="HB158" s="105"/>
      <c r="HC158" s="105"/>
      <c r="HD158" s="105"/>
      <c r="HE158" s="105"/>
      <c r="HF158" s="105"/>
      <c r="HG158" s="105"/>
      <c r="HH158" s="105"/>
      <c r="HI158" s="105"/>
      <c r="HJ158" s="105"/>
      <c r="HK158" s="105"/>
      <c r="HL158" s="105"/>
      <c r="HM158" s="105"/>
      <c r="HN158" s="105"/>
      <c r="HO158" s="105"/>
      <c r="HP158" s="105"/>
      <c r="HQ158" s="105"/>
      <c r="HR158" s="105"/>
      <c r="HS158" s="105"/>
      <c r="HT158" s="105"/>
      <c r="HU158" s="105"/>
      <c r="HV158" s="105"/>
      <c r="HW158" s="105"/>
      <c r="HX158" s="105"/>
      <c r="HY158" s="105"/>
      <c r="HZ158" s="105"/>
      <c r="IA158" s="105"/>
      <c r="IB158" s="105"/>
      <c r="IC158" s="105"/>
      <c r="ID158" s="105"/>
      <c r="IE158" s="105"/>
      <c r="IF158" s="105"/>
      <c r="IG158" s="105"/>
      <c r="IH158" s="105"/>
      <c r="II158" s="105"/>
      <c r="IJ158" s="105"/>
      <c r="IK158" s="105"/>
      <c r="IL158" s="105"/>
      <c r="IM158" s="105"/>
      <c r="IN158" s="105"/>
      <c r="IO158" s="105"/>
      <c r="IP158" s="105"/>
      <c r="IQ158" s="105"/>
      <c r="IR158" s="105"/>
      <c r="IS158" s="105"/>
    </row>
    <row r="159" spans="1:253">
      <c r="A159" s="116"/>
      <c r="B159" s="105"/>
      <c r="C159" s="116"/>
      <c r="D159" s="116"/>
      <c r="E159" s="116"/>
      <c r="F159" s="116"/>
      <c r="G159" s="116"/>
      <c r="H159" s="116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105"/>
      <c r="CD159" s="105"/>
      <c r="CE159" s="105"/>
      <c r="CF159" s="105"/>
      <c r="CG159" s="105"/>
      <c r="CH159" s="105"/>
      <c r="CI159" s="105"/>
      <c r="CJ159" s="105"/>
      <c r="CK159" s="105"/>
      <c r="CL159" s="105"/>
      <c r="CM159" s="105"/>
      <c r="CN159" s="105"/>
      <c r="CO159" s="105"/>
      <c r="CP159" s="105"/>
      <c r="CQ159" s="105"/>
      <c r="CR159" s="105"/>
      <c r="CS159" s="105"/>
      <c r="CT159" s="105"/>
      <c r="CU159" s="105"/>
      <c r="CV159" s="105"/>
      <c r="CW159" s="105"/>
      <c r="CX159" s="105"/>
      <c r="CY159" s="105"/>
      <c r="CZ159" s="105"/>
      <c r="DA159" s="105"/>
      <c r="DB159" s="105"/>
      <c r="DC159" s="105"/>
      <c r="DD159" s="105"/>
      <c r="DE159" s="105"/>
      <c r="DF159" s="105"/>
      <c r="DG159" s="105"/>
      <c r="DH159" s="105"/>
      <c r="DI159" s="105"/>
      <c r="DJ159" s="105"/>
      <c r="DK159" s="105"/>
      <c r="DL159" s="105"/>
      <c r="DM159" s="105"/>
      <c r="DN159" s="105"/>
      <c r="DO159" s="105"/>
      <c r="DP159" s="105"/>
      <c r="DQ159" s="105"/>
      <c r="DR159" s="105"/>
      <c r="DS159" s="105"/>
      <c r="DT159" s="105"/>
      <c r="DU159" s="105"/>
      <c r="DV159" s="105"/>
      <c r="DW159" s="105"/>
      <c r="DX159" s="105"/>
      <c r="DY159" s="105"/>
      <c r="DZ159" s="105"/>
      <c r="EA159" s="105"/>
      <c r="EB159" s="105"/>
      <c r="EC159" s="105"/>
      <c r="ED159" s="105"/>
      <c r="EE159" s="105"/>
      <c r="EF159" s="105"/>
      <c r="EG159" s="105"/>
      <c r="EH159" s="105"/>
      <c r="EI159" s="105"/>
      <c r="EJ159" s="105"/>
      <c r="EK159" s="105"/>
      <c r="EL159" s="105"/>
      <c r="EM159" s="105"/>
      <c r="EN159" s="105"/>
      <c r="EO159" s="105"/>
      <c r="EP159" s="105"/>
      <c r="EQ159" s="105"/>
      <c r="ER159" s="105"/>
      <c r="ES159" s="105"/>
      <c r="ET159" s="105"/>
      <c r="EU159" s="105"/>
      <c r="EV159" s="105"/>
      <c r="EW159" s="105"/>
      <c r="EX159" s="105"/>
      <c r="EY159" s="105"/>
      <c r="EZ159" s="105"/>
      <c r="FA159" s="105"/>
      <c r="FB159" s="105"/>
      <c r="FC159" s="105"/>
      <c r="FD159" s="105"/>
      <c r="FE159" s="105"/>
      <c r="FF159" s="105"/>
      <c r="FG159" s="105"/>
      <c r="FH159" s="105"/>
      <c r="FI159" s="105"/>
      <c r="FJ159" s="105"/>
      <c r="FK159" s="105"/>
      <c r="FL159" s="105"/>
      <c r="FM159" s="105"/>
      <c r="FN159" s="105"/>
      <c r="FO159" s="105"/>
      <c r="FP159" s="105"/>
      <c r="FQ159" s="105"/>
      <c r="FR159" s="105"/>
      <c r="FS159" s="105"/>
      <c r="FT159" s="105"/>
      <c r="FU159" s="105"/>
      <c r="FV159" s="105"/>
      <c r="FW159" s="105"/>
      <c r="FX159" s="105"/>
      <c r="FY159" s="105"/>
      <c r="FZ159" s="105"/>
      <c r="GA159" s="105"/>
      <c r="GB159" s="105"/>
      <c r="GC159" s="105"/>
      <c r="GD159" s="105"/>
      <c r="GE159" s="105"/>
      <c r="GF159" s="105"/>
      <c r="GG159" s="105"/>
      <c r="GH159" s="105"/>
      <c r="GI159" s="105"/>
      <c r="GJ159" s="105"/>
      <c r="GK159" s="105"/>
      <c r="GL159" s="105"/>
      <c r="GM159" s="105"/>
      <c r="GN159" s="105"/>
      <c r="GO159" s="105"/>
      <c r="GP159" s="105"/>
      <c r="GQ159" s="105"/>
      <c r="GR159" s="105"/>
      <c r="GS159" s="105"/>
      <c r="GT159" s="105"/>
      <c r="GU159" s="105"/>
      <c r="GV159" s="105"/>
      <c r="GW159" s="105"/>
      <c r="GX159" s="105"/>
      <c r="GY159" s="105"/>
      <c r="GZ159" s="105"/>
      <c r="HA159" s="105"/>
      <c r="HB159" s="105"/>
      <c r="HC159" s="105"/>
      <c r="HD159" s="105"/>
      <c r="HE159" s="105"/>
      <c r="HF159" s="105"/>
      <c r="HG159" s="105"/>
      <c r="HH159" s="105"/>
      <c r="HI159" s="105"/>
      <c r="HJ159" s="105"/>
      <c r="HK159" s="105"/>
      <c r="HL159" s="105"/>
      <c r="HM159" s="105"/>
      <c r="HN159" s="105"/>
      <c r="HO159" s="105"/>
      <c r="HP159" s="105"/>
      <c r="HQ159" s="105"/>
      <c r="HR159" s="105"/>
      <c r="HS159" s="105"/>
      <c r="HT159" s="105"/>
      <c r="HU159" s="105"/>
      <c r="HV159" s="105"/>
      <c r="HW159" s="105"/>
      <c r="HX159" s="105"/>
      <c r="HY159" s="105"/>
      <c r="HZ159" s="105"/>
      <c r="IA159" s="105"/>
      <c r="IB159" s="105"/>
      <c r="IC159" s="105"/>
      <c r="ID159" s="105"/>
      <c r="IE159" s="105"/>
      <c r="IF159" s="105"/>
      <c r="IG159" s="105"/>
      <c r="IH159" s="105"/>
      <c r="II159" s="105"/>
      <c r="IJ159" s="105"/>
      <c r="IK159" s="105"/>
      <c r="IL159" s="105"/>
      <c r="IM159" s="105"/>
      <c r="IN159" s="105"/>
      <c r="IO159" s="105"/>
      <c r="IP159" s="105"/>
      <c r="IQ159" s="105"/>
      <c r="IR159" s="105"/>
      <c r="IS159" s="105"/>
    </row>
    <row r="160" spans="1:253">
      <c r="A160" s="116"/>
      <c r="B160" s="105"/>
      <c r="C160" s="116"/>
      <c r="D160" s="116"/>
      <c r="E160" s="116"/>
      <c r="F160" s="116"/>
      <c r="G160" s="116"/>
      <c r="H160" s="116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105"/>
      <c r="CA160" s="105"/>
      <c r="CB160" s="105"/>
      <c r="CC160" s="105"/>
      <c r="CD160" s="105"/>
      <c r="CE160" s="105"/>
      <c r="CF160" s="105"/>
      <c r="CG160" s="105"/>
      <c r="CH160" s="105"/>
      <c r="CI160" s="105"/>
      <c r="CJ160" s="105"/>
      <c r="CK160" s="105"/>
      <c r="CL160" s="105"/>
      <c r="CM160" s="105"/>
      <c r="CN160" s="105"/>
      <c r="CO160" s="105"/>
      <c r="CP160" s="105"/>
      <c r="CQ160" s="105"/>
      <c r="CR160" s="105"/>
      <c r="CS160" s="105"/>
      <c r="CT160" s="105"/>
      <c r="CU160" s="105"/>
      <c r="CV160" s="105"/>
      <c r="CW160" s="105"/>
      <c r="CX160" s="105"/>
      <c r="CY160" s="105"/>
      <c r="CZ160" s="105"/>
      <c r="DA160" s="105"/>
      <c r="DB160" s="105"/>
      <c r="DC160" s="105"/>
      <c r="DD160" s="105"/>
      <c r="DE160" s="105"/>
      <c r="DF160" s="105"/>
      <c r="DG160" s="105"/>
      <c r="DH160" s="105"/>
      <c r="DI160" s="105"/>
      <c r="DJ160" s="105"/>
      <c r="DK160" s="105"/>
      <c r="DL160" s="105"/>
      <c r="DM160" s="105"/>
      <c r="DN160" s="105"/>
      <c r="DO160" s="105"/>
      <c r="DP160" s="105"/>
      <c r="DQ160" s="105"/>
      <c r="DR160" s="105"/>
      <c r="DS160" s="105"/>
      <c r="DT160" s="105"/>
      <c r="DU160" s="105"/>
      <c r="DV160" s="105"/>
      <c r="DW160" s="105"/>
      <c r="DX160" s="105"/>
      <c r="DY160" s="105"/>
      <c r="DZ160" s="105"/>
      <c r="EA160" s="105"/>
      <c r="EB160" s="105"/>
      <c r="EC160" s="105"/>
      <c r="ED160" s="105"/>
      <c r="EE160" s="105"/>
      <c r="EF160" s="105"/>
      <c r="EG160" s="105"/>
      <c r="EH160" s="105"/>
      <c r="EI160" s="105"/>
      <c r="EJ160" s="105"/>
      <c r="EK160" s="105"/>
      <c r="EL160" s="105"/>
      <c r="EM160" s="105"/>
      <c r="EN160" s="105"/>
      <c r="EO160" s="105"/>
      <c r="EP160" s="105"/>
      <c r="EQ160" s="105"/>
      <c r="ER160" s="105"/>
      <c r="ES160" s="105"/>
      <c r="ET160" s="105"/>
      <c r="EU160" s="105"/>
      <c r="EV160" s="105"/>
      <c r="EW160" s="105"/>
      <c r="EX160" s="105"/>
      <c r="EY160" s="105"/>
      <c r="EZ160" s="105"/>
      <c r="FA160" s="105"/>
      <c r="FB160" s="105"/>
      <c r="FC160" s="105"/>
      <c r="FD160" s="105"/>
      <c r="FE160" s="105"/>
      <c r="FF160" s="105"/>
      <c r="FG160" s="105"/>
      <c r="FH160" s="105"/>
      <c r="FI160" s="105"/>
      <c r="FJ160" s="105"/>
      <c r="FK160" s="105"/>
      <c r="FL160" s="105"/>
      <c r="FM160" s="105"/>
      <c r="FN160" s="105"/>
      <c r="FO160" s="105"/>
      <c r="FP160" s="105"/>
      <c r="FQ160" s="105"/>
      <c r="FR160" s="105"/>
      <c r="FS160" s="105"/>
      <c r="FT160" s="105"/>
      <c r="FU160" s="105"/>
      <c r="FV160" s="105"/>
      <c r="FW160" s="105"/>
      <c r="FX160" s="105"/>
      <c r="FY160" s="105"/>
      <c r="FZ160" s="105"/>
      <c r="GA160" s="105"/>
      <c r="GB160" s="105"/>
      <c r="GC160" s="105"/>
      <c r="GD160" s="105"/>
      <c r="GE160" s="105"/>
      <c r="GF160" s="105"/>
      <c r="GG160" s="105"/>
      <c r="GH160" s="105"/>
      <c r="GI160" s="105"/>
      <c r="GJ160" s="105"/>
      <c r="GK160" s="105"/>
      <c r="GL160" s="105"/>
      <c r="GM160" s="105"/>
      <c r="GN160" s="105"/>
      <c r="GO160" s="105"/>
      <c r="GP160" s="105"/>
      <c r="GQ160" s="105"/>
      <c r="GR160" s="105"/>
      <c r="GS160" s="105"/>
      <c r="GT160" s="105"/>
      <c r="GU160" s="105"/>
      <c r="GV160" s="105"/>
      <c r="GW160" s="105"/>
      <c r="GX160" s="105"/>
      <c r="GY160" s="105"/>
      <c r="GZ160" s="105"/>
      <c r="HA160" s="105"/>
      <c r="HB160" s="105"/>
      <c r="HC160" s="105"/>
      <c r="HD160" s="105"/>
      <c r="HE160" s="105"/>
      <c r="HF160" s="105"/>
      <c r="HG160" s="105"/>
      <c r="HH160" s="105"/>
      <c r="HI160" s="105"/>
      <c r="HJ160" s="105"/>
      <c r="HK160" s="105"/>
      <c r="HL160" s="105"/>
      <c r="HM160" s="105"/>
      <c r="HN160" s="105"/>
      <c r="HO160" s="105"/>
      <c r="HP160" s="105"/>
      <c r="HQ160" s="105"/>
      <c r="HR160" s="105"/>
      <c r="HS160" s="105"/>
      <c r="HT160" s="105"/>
      <c r="HU160" s="105"/>
      <c r="HV160" s="105"/>
      <c r="HW160" s="105"/>
      <c r="HX160" s="105"/>
      <c r="HY160" s="105"/>
      <c r="HZ160" s="105"/>
      <c r="IA160" s="105"/>
      <c r="IB160" s="105"/>
      <c r="IC160" s="105"/>
      <c r="ID160" s="105"/>
      <c r="IE160" s="105"/>
      <c r="IF160" s="105"/>
      <c r="IG160" s="105"/>
      <c r="IH160" s="105"/>
      <c r="II160" s="105"/>
      <c r="IJ160" s="105"/>
      <c r="IK160" s="105"/>
      <c r="IL160" s="105"/>
      <c r="IM160" s="105"/>
      <c r="IN160" s="105"/>
      <c r="IO160" s="105"/>
      <c r="IP160" s="105"/>
      <c r="IQ160" s="105"/>
      <c r="IR160" s="105"/>
      <c r="IS160" s="105"/>
    </row>
    <row r="161" spans="1:253">
      <c r="A161" s="116"/>
      <c r="B161" s="105"/>
      <c r="C161" s="116"/>
      <c r="D161" s="116"/>
      <c r="E161" s="116"/>
      <c r="F161" s="116"/>
      <c r="G161" s="116"/>
      <c r="H161" s="116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105"/>
      <c r="CD161" s="105"/>
      <c r="CE161" s="105"/>
      <c r="CF161" s="105"/>
      <c r="CG161" s="105"/>
      <c r="CH161" s="105"/>
      <c r="CI161" s="105"/>
      <c r="CJ161" s="105"/>
      <c r="CK161" s="105"/>
      <c r="CL161" s="105"/>
      <c r="CM161" s="105"/>
      <c r="CN161" s="105"/>
      <c r="CO161" s="105"/>
      <c r="CP161" s="105"/>
      <c r="CQ161" s="105"/>
      <c r="CR161" s="105"/>
      <c r="CS161" s="105"/>
      <c r="CT161" s="105"/>
      <c r="CU161" s="105"/>
      <c r="CV161" s="105"/>
      <c r="CW161" s="105"/>
      <c r="CX161" s="105"/>
      <c r="CY161" s="105"/>
      <c r="CZ161" s="105"/>
      <c r="DA161" s="105"/>
      <c r="DB161" s="105"/>
      <c r="DC161" s="105"/>
      <c r="DD161" s="105"/>
      <c r="DE161" s="105"/>
      <c r="DF161" s="105"/>
      <c r="DG161" s="105"/>
      <c r="DH161" s="105"/>
      <c r="DI161" s="105"/>
      <c r="DJ161" s="105"/>
      <c r="DK161" s="105"/>
      <c r="DL161" s="105"/>
      <c r="DM161" s="105"/>
      <c r="DN161" s="105"/>
      <c r="DO161" s="105"/>
      <c r="DP161" s="105"/>
      <c r="DQ161" s="105"/>
      <c r="DR161" s="105"/>
      <c r="DS161" s="105"/>
      <c r="DT161" s="105"/>
      <c r="DU161" s="105"/>
      <c r="DV161" s="105"/>
      <c r="DW161" s="105"/>
      <c r="DX161" s="105"/>
      <c r="DY161" s="105"/>
      <c r="DZ161" s="105"/>
      <c r="EA161" s="105"/>
      <c r="EB161" s="105"/>
      <c r="EC161" s="105"/>
      <c r="ED161" s="105"/>
      <c r="EE161" s="105"/>
      <c r="EF161" s="105"/>
      <c r="EG161" s="105"/>
      <c r="EH161" s="105"/>
      <c r="EI161" s="105"/>
      <c r="EJ161" s="105"/>
      <c r="EK161" s="105"/>
      <c r="EL161" s="105"/>
      <c r="EM161" s="105"/>
      <c r="EN161" s="105"/>
      <c r="EO161" s="105"/>
      <c r="EP161" s="105"/>
      <c r="EQ161" s="105"/>
      <c r="ER161" s="105"/>
      <c r="ES161" s="105"/>
      <c r="ET161" s="105"/>
      <c r="EU161" s="105"/>
      <c r="EV161" s="105"/>
      <c r="EW161" s="105"/>
      <c r="EX161" s="105"/>
      <c r="EY161" s="105"/>
      <c r="EZ161" s="105"/>
      <c r="FA161" s="105"/>
      <c r="FB161" s="105"/>
      <c r="FC161" s="105"/>
      <c r="FD161" s="105"/>
      <c r="FE161" s="105"/>
      <c r="FF161" s="105"/>
      <c r="FG161" s="105"/>
      <c r="FH161" s="105"/>
      <c r="FI161" s="105"/>
      <c r="FJ161" s="105"/>
      <c r="FK161" s="105"/>
      <c r="FL161" s="105"/>
      <c r="FM161" s="105"/>
      <c r="FN161" s="105"/>
      <c r="FO161" s="105"/>
      <c r="FP161" s="105"/>
      <c r="FQ161" s="105"/>
      <c r="FR161" s="105"/>
      <c r="FS161" s="105"/>
      <c r="FT161" s="105"/>
      <c r="FU161" s="105"/>
      <c r="FV161" s="105"/>
      <c r="FW161" s="105"/>
      <c r="FX161" s="105"/>
      <c r="FY161" s="105"/>
      <c r="FZ161" s="105"/>
      <c r="GA161" s="105"/>
      <c r="GB161" s="105"/>
      <c r="GC161" s="105"/>
      <c r="GD161" s="105"/>
      <c r="GE161" s="105"/>
      <c r="GF161" s="105"/>
      <c r="GG161" s="105"/>
      <c r="GH161" s="105"/>
      <c r="GI161" s="105"/>
      <c r="GJ161" s="105"/>
      <c r="GK161" s="105"/>
      <c r="GL161" s="105"/>
      <c r="GM161" s="105"/>
      <c r="GN161" s="105"/>
      <c r="GO161" s="105"/>
      <c r="GP161" s="105"/>
      <c r="GQ161" s="105"/>
      <c r="GR161" s="105"/>
      <c r="GS161" s="105"/>
      <c r="GT161" s="105"/>
      <c r="GU161" s="105"/>
      <c r="GV161" s="105"/>
      <c r="GW161" s="105"/>
      <c r="GX161" s="105"/>
      <c r="GY161" s="105"/>
      <c r="GZ161" s="105"/>
      <c r="HA161" s="105"/>
      <c r="HB161" s="105"/>
      <c r="HC161" s="105"/>
      <c r="HD161" s="105"/>
      <c r="HE161" s="105"/>
      <c r="HF161" s="105"/>
      <c r="HG161" s="105"/>
      <c r="HH161" s="105"/>
      <c r="HI161" s="105"/>
      <c r="HJ161" s="105"/>
      <c r="HK161" s="105"/>
      <c r="HL161" s="105"/>
      <c r="HM161" s="105"/>
      <c r="HN161" s="105"/>
      <c r="HO161" s="105"/>
      <c r="HP161" s="105"/>
      <c r="HQ161" s="105"/>
      <c r="HR161" s="105"/>
      <c r="HS161" s="105"/>
      <c r="HT161" s="105"/>
      <c r="HU161" s="105"/>
      <c r="HV161" s="105"/>
      <c r="HW161" s="105"/>
      <c r="HX161" s="105"/>
      <c r="HY161" s="105"/>
      <c r="HZ161" s="105"/>
      <c r="IA161" s="105"/>
      <c r="IB161" s="105"/>
      <c r="IC161" s="105"/>
      <c r="ID161" s="105"/>
      <c r="IE161" s="105"/>
      <c r="IF161" s="105"/>
      <c r="IG161" s="105"/>
      <c r="IH161" s="105"/>
      <c r="II161" s="105"/>
      <c r="IJ161" s="105"/>
      <c r="IK161" s="105"/>
      <c r="IL161" s="105"/>
      <c r="IM161" s="105"/>
      <c r="IN161" s="105"/>
      <c r="IO161" s="105"/>
      <c r="IP161" s="105"/>
      <c r="IQ161" s="105"/>
      <c r="IR161" s="105"/>
      <c r="IS161" s="105"/>
    </row>
    <row r="162" spans="1:253">
      <c r="A162" s="116"/>
      <c r="B162" s="105"/>
      <c r="C162" s="116"/>
      <c r="D162" s="116"/>
      <c r="E162" s="116"/>
      <c r="F162" s="116"/>
      <c r="G162" s="116"/>
      <c r="H162" s="116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105"/>
      <c r="BX162" s="105"/>
      <c r="BY162" s="105"/>
      <c r="BZ162" s="105"/>
      <c r="CA162" s="105"/>
      <c r="CB162" s="105"/>
      <c r="CC162" s="105"/>
      <c r="CD162" s="105"/>
      <c r="CE162" s="105"/>
      <c r="CF162" s="105"/>
      <c r="CG162" s="105"/>
      <c r="CH162" s="105"/>
      <c r="CI162" s="105"/>
      <c r="CJ162" s="105"/>
      <c r="CK162" s="105"/>
      <c r="CL162" s="105"/>
      <c r="CM162" s="105"/>
      <c r="CN162" s="105"/>
      <c r="CO162" s="105"/>
      <c r="CP162" s="105"/>
      <c r="CQ162" s="105"/>
      <c r="CR162" s="105"/>
      <c r="CS162" s="105"/>
      <c r="CT162" s="105"/>
      <c r="CU162" s="105"/>
      <c r="CV162" s="105"/>
      <c r="CW162" s="105"/>
      <c r="CX162" s="105"/>
      <c r="CY162" s="105"/>
      <c r="CZ162" s="105"/>
      <c r="DA162" s="105"/>
      <c r="DB162" s="105"/>
      <c r="DC162" s="105"/>
      <c r="DD162" s="105"/>
      <c r="DE162" s="105"/>
      <c r="DF162" s="105"/>
      <c r="DG162" s="105"/>
      <c r="DH162" s="105"/>
      <c r="DI162" s="105"/>
      <c r="DJ162" s="105"/>
      <c r="DK162" s="105"/>
      <c r="DL162" s="105"/>
      <c r="DM162" s="105"/>
      <c r="DN162" s="105"/>
      <c r="DO162" s="105"/>
      <c r="DP162" s="105"/>
      <c r="DQ162" s="105"/>
      <c r="DR162" s="105"/>
      <c r="DS162" s="105"/>
      <c r="DT162" s="105"/>
      <c r="DU162" s="105"/>
      <c r="DV162" s="105"/>
      <c r="DW162" s="105"/>
      <c r="DX162" s="105"/>
      <c r="DY162" s="105"/>
      <c r="DZ162" s="105"/>
      <c r="EA162" s="105"/>
      <c r="EB162" s="105"/>
      <c r="EC162" s="105"/>
      <c r="ED162" s="105"/>
      <c r="EE162" s="105"/>
      <c r="EF162" s="105"/>
      <c r="EG162" s="105"/>
      <c r="EH162" s="105"/>
      <c r="EI162" s="105"/>
      <c r="EJ162" s="105"/>
      <c r="EK162" s="105"/>
      <c r="EL162" s="105"/>
      <c r="EM162" s="105"/>
      <c r="EN162" s="105"/>
      <c r="EO162" s="105"/>
      <c r="EP162" s="105"/>
      <c r="EQ162" s="105"/>
      <c r="ER162" s="105"/>
      <c r="ES162" s="105"/>
      <c r="ET162" s="105"/>
      <c r="EU162" s="105"/>
      <c r="EV162" s="105"/>
      <c r="EW162" s="105"/>
      <c r="EX162" s="105"/>
      <c r="EY162" s="105"/>
      <c r="EZ162" s="105"/>
      <c r="FA162" s="105"/>
      <c r="FB162" s="105"/>
      <c r="FC162" s="105"/>
      <c r="FD162" s="105"/>
      <c r="FE162" s="105"/>
      <c r="FF162" s="105"/>
      <c r="FG162" s="105"/>
      <c r="FH162" s="105"/>
      <c r="FI162" s="105"/>
      <c r="FJ162" s="105"/>
      <c r="FK162" s="105"/>
      <c r="FL162" s="105"/>
      <c r="FM162" s="105"/>
      <c r="FN162" s="105"/>
      <c r="FO162" s="105"/>
      <c r="FP162" s="105"/>
      <c r="FQ162" s="105"/>
      <c r="FR162" s="105"/>
      <c r="FS162" s="105"/>
      <c r="FT162" s="105"/>
      <c r="FU162" s="105"/>
      <c r="FV162" s="105"/>
      <c r="FW162" s="105"/>
      <c r="FX162" s="105"/>
      <c r="FY162" s="105"/>
      <c r="FZ162" s="105"/>
      <c r="GA162" s="105"/>
      <c r="GB162" s="105"/>
      <c r="GC162" s="105"/>
      <c r="GD162" s="105"/>
      <c r="GE162" s="105"/>
      <c r="GF162" s="105"/>
      <c r="GG162" s="105"/>
      <c r="GH162" s="105"/>
      <c r="GI162" s="105"/>
      <c r="GJ162" s="105"/>
      <c r="GK162" s="105"/>
      <c r="GL162" s="105"/>
      <c r="GM162" s="105"/>
      <c r="GN162" s="105"/>
      <c r="GO162" s="105"/>
      <c r="GP162" s="105"/>
      <c r="GQ162" s="105"/>
      <c r="GR162" s="105"/>
      <c r="GS162" s="105"/>
      <c r="GT162" s="105"/>
      <c r="GU162" s="105"/>
      <c r="GV162" s="105"/>
      <c r="GW162" s="105"/>
      <c r="GX162" s="105"/>
      <c r="GY162" s="105"/>
      <c r="GZ162" s="105"/>
      <c r="HA162" s="105"/>
      <c r="HB162" s="105"/>
      <c r="HC162" s="105"/>
      <c r="HD162" s="105"/>
      <c r="HE162" s="105"/>
      <c r="HF162" s="105"/>
      <c r="HG162" s="105"/>
      <c r="HH162" s="105"/>
      <c r="HI162" s="105"/>
      <c r="HJ162" s="105"/>
      <c r="HK162" s="105"/>
      <c r="HL162" s="105"/>
      <c r="HM162" s="105"/>
      <c r="HN162" s="105"/>
      <c r="HO162" s="105"/>
      <c r="HP162" s="105"/>
      <c r="HQ162" s="105"/>
      <c r="HR162" s="105"/>
      <c r="HS162" s="105"/>
      <c r="HT162" s="105"/>
      <c r="HU162" s="105"/>
      <c r="HV162" s="105"/>
      <c r="HW162" s="105"/>
      <c r="HX162" s="105"/>
      <c r="HY162" s="105"/>
      <c r="HZ162" s="105"/>
      <c r="IA162" s="105"/>
      <c r="IB162" s="105"/>
      <c r="IC162" s="105"/>
      <c r="ID162" s="105"/>
      <c r="IE162" s="105"/>
      <c r="IF162" s="105"/>
      <c r="IG162" s="105"/>
      <c r="IH162" s="105"/>
      <c r="II162" s="105"/>
      <c r="IJ162" s="105"/>
      <c r="IK162" s="105"/>
      <c r="IL162" s="105"/>
      <c r="IM162" s="105"/>
      <c r="IN162" s="105"/>
      <c r="IO162" s="105"/>
      <c r="IP162" s="105"/>
      <c r="IQ162" s="105"/>
      <c r="IR162" s="105"/>
      <c r="IS162" s="105"/>
    </row>
    <row r="163" spans="1:253">
      <c r="A163" s="116"/>
      <c r="B163" s="105"/>
      <c r="C163" s="116"/>
      <c r="D163" s="116"/>
      <c r="E163" s="116"/>
      <c r="F163" s="116"/>
      <c r="G163" s="116"/>
      <c r="H163" s="116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105"/>
      <c r="CD163" s="105"/>
      <c r="CE163" s="105"/>
      <c r="CF163" s="105"/>
      <c r="CG163" s="105"/>
      <c r="CH163" s="105"/>
      <c r="CI163" s="105"/>
      <c r="CJ163" s="105"/>
      <c r="CK163" s="105"/>
      <c r="CL163" s="105"/>
      <c r="CM163" s="105"/>
      <c r="CN163" s="105"/>
      <c r="CO163" s="105"/>
      <c r="CP163" s="105"/>
      <c r="CQ163" s="105"/>
      <c r="CR163" s="105"/>
      <c r="CS163" s="105"/>
      <c r="CT163" s="105"/>
      <c r="CU163" s="105"/>
      <c r="CV163" s="105"/>
      <c r="CW163" s="105"/>
      <c r="CX163" s="105"/>
      <c r="CY163" s="105"/>
      <c r="CZ163" s="105"/>
      <c r="DA163" s="105"/>
      <c r="DB163" s="105"/>
      <c r="DC163" s="105"/>
      <c r="DD163" s="105"/>
      <c r="DE163" s="105"/>
      <c r="DF163" s="105"/>
      <c r="DG163" s="105"/>
      <c r="DH163" s="105"/>
      <c r="DI163" s="105"/>
      <c r="DJ163" s="105"/>
      <c r="DK163" s="105"/>
      <c r="DL163" s="105"/>
      <c r="DM163" s="105"/>
      <c r="DN163" s="105"/>
      <c r="DO163" s="105"/>
      <c r="DP163" s="105"/>
      <c r="DQ163" s="105"/>
      <c r="DR163" s="105"/>
      <c r="DS163" s="105"/>
      <c r="DT163" s="105"/>
      <c r="DU163" s="105"/>
      <c r="DV163" s="105"/>
      <c r="DW163" s="105"/>
      <c r="DX163" s="105"/>
      <c r="DY163" s="105"/>
      <c r="DZ163" s="105"/>
      <c r="EA163" s="105"/>
      <c r="EB163" s="105"/>
      <c r="EC163" s="105"/>
      <c r="ED163" s="105"/>
      <c r="EE163" s="105"/>
      <c r="EF163" s="105"/>
      <c r="EG163" s="105"/>
      <c r="EH163" s="105"/>
      <c r="EI163" s="105"/>
      <c r="EJ163" s="105"/>
      <c r="EK163" s="105"/>
      <c r="EL163" s="105"/>
      <c r="EM163" s="105"/>
      <c r="EN163" s="105"/>
      <c r="EO163" s="105"/>
      <c r="EP163" s="105"/>
      <c r="EQ163" s="105"/>
      <c r="ER163" s="105"/>
      <c r="ES163" s="105"/>
      <c r="ET163" s="105"/>
      <c r="EU163" s="105"/>
      <c r="EV163" s="105"/>
      <c r="EW163" s="105"/>
      <c r="EX163" s="105"/>
      <c r="EY163" s="105"/>
      <c r="EZ163" s="105"/>
      <c r="FA163" s="105"/>
      <c r="FB163" s="105"/>
      <c r="FC163" s="105"/>
      <c r="FD163" s="105"/>
      <c r="FE163" s="105"/>
      <c r="FF163" s="105"/>
      <c r="FG163" s="105"/>
      <c r="FH163" s="105"/>
      <c r="FI163" s="105"/>
      <c r="FJ163" s="105"/>
      <c r="FK163" s="105"/>
      <c r="FL163" s="105"/>
      <c r="FM163" s="105"/>
      <c r="FN163" s="105"/>
      <c r="FO163" s="105"/>
      <c r="FP163" s="105"/>
      <c r="FQ163" s="105"/>
      <c r="FR163" s="105"/>
      <c r="FS163" s="105"/>
      <c r="FT163" s="105"/>
      <c r="FU163" s="105"/>
      <c r="FV163" s="105"/>
      <c r="FW163" s="105"/>
      <c r="FX163" s="105"/>
      <c r="FY163" s="105"/>
      <c r="FZ163" s="105"/>
      <c r="GA163" s="105"/>
      <c r="GB163" s="105"/>
      <c r="GC163" s="105"/>
      <c r="GD163" s="105"/>
      <c r="GE163" s="105"/>
      <c r="GF163" s="105"/>
      <c r="GG163" s="105"/>
      <c r="GH163" s="105"/>
      <c r="GI163" s="105"/>
      <c r="GJ163" s="105"/>
      <c r="GK163" s="105"/>
      <c r="GL163" s="105"/>
      <c r="GM163" s="105"/>
      <c r="GN163" s="105"/>
      <c r="GO163" s="105"/>
      <c r="GP163" s="105"/>
      <c r="GQ163" s="105"/>
      <c r="GR163" s="105"/>
      <c r="GS163" s="105"/>
      <c r="GT163" s="105"/>
      <c r="GU163" s="105"/>
      <c r="GV163" s="105"/>
      <c r="GW163" s="105"/>
      <c r="GX163" s="105"/>
      <c r="GY163" s="105"/>
      <c r="GZ163" s="105"/>
      <c r="HA163" s="105"/>
      <c r="HB163" s="105"/>
      <c r="HC163" s="105"/>
      <c r="HD163" s="105"/>
      <c r="HE163" s="105"/>
      <c r="HF163" s="105"/>
      <c r="HG163" s="105"/>
      <c r="HH163" s="105"/>
      <c r="HI163" s="105"/>
      <c r="HJ163" s="105"/>
      <c r="HK163" s="105"/>
      <c r="HL163" s="105"/>
      <c r="HM163" s="105"/>
      <c r="HN163" s="105"/>
      <c r="HO163" s="105"/>
      <c r="HP163" s="105"/>
      <c r="HQ163" s="105"/>
      <c r="HR163" s="105"/>
      <c r="HS163" s="105"/>
      <c r="HT163" s="105"/>
      <c r="HU163" s="105"/>
      <c r="HV163" s="105"/>
      <c r="HW163" s="105"/>
      <c r="HX163" s="105"/>
      <c r="HY163" s="105"/>
      <c r="HZ163" s="105"/>
      <c r="IA163" s="105"/>
      <c r="IB163" s="105"/>
      <c r="IC163" s="105"/>
      <c r="ID163" s="105"/>
      <c r="IE163" s="105"/>
      <c r="IF163" s="105"/>
      <c r="IG163" s="105"/>
      <c r="IH163" s="105"/>
      <c r="II163" s="105"/>
      <c r="IJ163" s="105"/>
      <c r="IK163" s="105"/>
      <c r="IL163" s="105"/>
      <c r="IM163" s="105"/>
      <c r="IN163" s="105"/>
      <c r="IO163" s="105"/>
      <c r="IP163" s="105"/>
      <c r="IQ163" s="105"/>
      <c r="IR163" s="105"/>
      <c r="IS163" s="105"/>
    </row>
    <row r="164" spans="1:253">
      <c r="A164" s="116"/>
      <c r="B164" s="105"/>
      <c r="C164" s="116"/>
      <c r="D164" s="116"/>
      <c r="E164" s="116"/>
      <c r="F164" s="116"/>
      <c r="G164" s="116"/>
      <c r="H164" s="116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105"/>
      <c r="BX164" s="105"/>
      <c r="BY164" s="105"/>
      <c r="BZ164" s="105"/>
      <c r="CA164" s="105"/>
      <c r="CB164" s="105"/>
      <c r="CC164" s="105"/>
      <c r="CD164" s="105"/>
      <c r="CE164" s="105"/>
      <c r="CF164" s="105"/>
      <c r="CG164" s="105"/>
      <c r="CH164" s="105"/>
      <c r="CI164" s="105"/>
      <c r="CJ164" s="105"/>
      <c r="CK164" s="105"/>
      <c r="CL164" s="105"/>
      <c r="CM164" s="105"/>
      <c r="CN164" s="105"/>
      <c r="CO164" s="105"/>
      <c r="CP164" s="105"/>
      <c r="CQ164" s="105"/>
      <c r="CR164" s="105"/>
      <c r="CS164" s="105"/>
      <c r="CT164" s="105"/>
      <c r="CU164" s="105"/>
      <c r="CV164" s="105"/>
      <c r="CW164" s="105"/>
      <c r="CX164" s="105"/>
      <c r="CY164" s="105"/>
      <c r="CZ164" s="105"/>
      <c r="DA164" s="105"/>
      <c r="DB164" s="105"/>
      <c r="DC164" s="105"/>
      <c r="DD164" s="105"/>
      <c r="DE164" s="105"/>
      <c r="DF164" s="105"/>
      <c r="DG164" s="105"/>
      <c r="DH164" s="105"/>
      <c r="DI164" s="105"/>
      <c r="DJ164" s="105"/>
      <c r="DK164" s="105"/>
      <c r="DL164" s="105"/>
      <c r="DM164" s="105"/>
      <c r="DN164" s="105"/>
      <c r="DO164" s="105"/>
      <c r="DP164" s="105"/>
      <c r="DQ164" s="105"/>
      <c r="DR164" s="105"/>
      <c r="DS164" s="105"/>
      <c r="DT164" s="105"/>
      <c r="DU164" s="105"/>
      <c r="DV164" s="105"/>
      <c r="DW164" s="105"/>
      <c r="DX164" s="105"/>
      <c r="DY164" s="105"/>
      <c r="DZ164" s="105"/>
      <c r="EA164" s="105"/>
      <c r="EB164" s="105"/>
      <c r="EC164" s="105"/>
      <c r="ED164" s="105"/>
      <c r="EE164" s="105"/>
      <c r="EF164" s="105"/>
      <c r="EG164" s="105"/>
      <c r="EH164" s="105"/>
      <c r="EI164" s="105"/>
      <c r="EJ164" s="105"/>
      <c r="EK164" s="105"/>
      <c r="EL164" s="105"/>
      <c r="EM164" s="105"/>
      <c r="EN164" s="105"/>
      <c r="EO164" s="105"/>
      <c r="EP164" s="105"/>
      <c r="EQ164" s="105"/>
      <c r="ER164" s="105"/>
      <c r="ES164" s="105"/>
      <c r="ET164" s="105"/>
      <c r="EU164" s="105"/>
      <c r="EV164" s="105"/>
      <c r="EW164" s="105"/>
      <c r="EX164" s="105"/>
      <c r="EY164" s="105"/>
      <c r="EZ164" s="105"/>
      <c r="FA164" s="105"/>
      <c r="FB164" s="105"/>
      <c r="FC164" s="105"/>
      <c r="FD164" s="105"/>
      <c r="FE164" s="105"/>
      <c r="FF164" s="105"/>
      <c r="FG164" s="105"/>
      <c r="FH164" s="105"/>
      <c r="FI164" s="105"/>
      <c r="FJ164" s="105"/>
      <c r="FK164" s="105"/>
      <c r="FL164" s="105"/>
      <c r="FM164" s="105"/>
      <c r="FN164" s="105"/>
      <c r="FO164" s="105"/>
      <c r="FP164" s="105"/>
      <c r="FQ164" s="105"/>
      <c r="FR164" s="105"/>
      <c r="FS164" s="105"/>
      <c r="FT164" s="105"/>
      <c r="FU164" s="105"/>
      <c r="FV164" s="105"/>
      <c r="FW164" s="105"/>
      <c r="FX164" s="105"/>
      <c r="FY164" s="105"/>
      <c r="FZ164" s="105"/>
      <c r="GA164" s="105"/>
      <c r="GB164" s="105"/>
      <c r="GC164" s="105"/>
      <c r="GD164" s="105"/>
      <c r="GE164" s="105"/>
      <c r="GF164" s="105"/>
      <c r="GG164" s="105"/>
      <c r="GH164" s="105"/>
      <c r="GI164" s="105"/>
      <c r="GJ164" s="105"/>
      <c r="GK164" s="105"/>
      <c r="GL164" s="105"/>
      <c r="GM164" s="105"/>
      <c r="GN164" s="105"/>
      <c r="GO164" s="105"/>
      <c r="GP164" s="105"/>
      <c r="GQ164" s="105"/>
      <c r="GR164" s="105"/>
      <c r="GS164" s="105"/>
      <c r="GT164" s="105"/>
      <c r="GU164" s="105"/>
      <c r="GV164" s="105"/>
      <c r="GW164" s="105"/>
      <c r="GX164" s="105"/>
      <c r="GY164" s="105"/>
      <c r="GZ164" s="105"/>
      <c r="HA164" s="105"/>
      <c r="HB164" s="105"/>
      <c r="HC164" s="105"/>
      <c r="HD164" s="105"/>
      <c r="HE164" s="105"/>
      <c r="HF164" s="105"/>
      <c r="HG164" s="105"/>
      <c r="HH164" s="105"/>
      <c r="HI164" s="105"/>
      <c r="HJ164" s="105"/>
      <c r="HK164" s="105"/>
      <c r="HL164" s="105"/>
      <c r="HM164" s="105"/>
      <c r="HN164" s="105"/>
      <c r="HO164" s="105"/>
      <c r="HP164" s="105"/>
      <c r="HQ164" s="105"/>
      <c r="HR164" s="105"/>
      <c r="HS164" s="105"/>
      <c r="HT164" s="105"/>
      <c r="HU164" s="105"/>
      <c r="HV164" s="105"/>
      <c r="HW164" s="105"/>
      <c r="HX164" s="105"/>
      <c r="HY164" s="105"/>
      <c r="HZ164" s="105"/>
      <c r="IA164" s="105"/>
      <c r="IB164" s="105"/>
      <c r="IC164" s="105"/>
      <c r="ID164" s="105"/>
      <c r="IE164" s="105"/>
      <c r="IF164" s="105"/>
      <c r="IG164" s="105"/>
      <c r="IH164" s="105"/>
      <c r="II164" s="105"/>
      <c r="IJ164" s="105"/>
      <c r="IK164" s="105"/>
      <c r="IL164" s="105"/>
      <c r="IM164" s="105"/>
      <c r="IN164" s="105"/>
      <c r="IO164" s="105"/>
      <c r="IP164" s="105"/>
      <c r="IQ164" s="105"/>
      <c r="IR164" s="105"/>
      <c r="IS164" s="105"/>
    </row>
    <row r="165" spans="1:253">
      <c r="A165" s="116"/>
      <c r="B165" s="105"/>
      <c r="C165" s="116"/>
      <c r="D165" s="116"/>
      <c r="E165" s="116"/>
      <c r="F165" s="116"/>
      <c r="G165" s="116"/>
      <c r="H165" s="116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105"/>
      <c r="BX165" s="105"/>
      <c r="BY165" s="105"/>
      <c r="BZ165" s="105"/>
      <c r="CA165" s="105"/>
      <c r="CB165" s="105"/>
      <c r="CC165" s="105"/>
      <c r="CD165" s="105"/>
      <c r="CE165" s="105"/>
      <c r="CF165" s="105"/>
      <c r="CG165" s="105"/>
      <c r="CH165" s="105"/>
      <c r="CI165" s="105"/>
      <c r="CJ165" s="105"/>
      <c r="CK165" s="105"/>
      <c r="CL165" s="105"/>
      <c r="CM165" s="105"/>
      <c r="CN165" s="105"/>
      <c r="CO165" s="105"/>
      <c r="CP165" s="105"/>
      <c r="CQ165" s="105"/>
      <c r="CR165" s="105"/>
      <c r="CS165" s="105"/>
      <c r="CT165" s="105"/>
      <c r="CU165" s="105"/>
      <c r="CV165" s="105"/>
      <c r="CW165" s="105"/>
      <c r="CX165" s="105"/>
      <c r="CY165" s="105"/>
      <c r="CZ165" s="105"/>
      <c r="DA165" s="105"/>
      <c r="DB165" s="105"/>
      <c r="DC165" s="105"/>
      <c r="DD165" s="105"/>
      <c r="DE165" s="105"/>
      <c r="DF165" s="105"/>
      <c r="DG165" s="105"/>
      <c r="DH165" s="105"/>
      <c r="DI165" s="105"/>
      <c r="DJ165" s="105"/>
      <c r="DK165" s="105"/>
      <c r="DL165" s="105"/>
      <c r="DM165" s="105"/>
      <c r="DN165" s="105"/>
      <c r="DO165" s="105"/>
      <c r="DP165" s="105"/>
      <c r="DQ165" s="105"/>
      <c r="DR165" s="105"/>
      <c r="DS165" s="105"/>
      <c r="DT165" s="105"/>
      <c r="DU165" s="105"/>
      <c r="DV165" s="105"/>
      <c r="DW165" s="105"/>
      <c r="DX165" s="105"/>
      <c r="DY165" s="105"/>
      <c r="DZ165" s="105"/>
      <c r="EA165" s="105"/>
      <c r="EB165" s="105"/>
      <c r="EC165" s="105"/>
      <c r="ED165" s="105"/>
      <c r="EE165" s="105"/>
      <c r="EF165" s="105"/>
      <c r="EG165" s="105"/>
      <c r="EH165" s="105"/>
      <c r="EI165" s="105"/>
      <c r="EJ165" s="105"/>
      <c r="EK165" s="105"/>
      <c r="EL165" s="105"/>
      <c r="EM165" s="105"/>
      <c r="EN165" s="105"/>
      <c r="EO165" s="105"/>
      <c r="EP165" s="105"/>
      <c r="EQ165" s="105"/>
      <c r="ER165" s="105"/>
      <c r="ES165" s="105"/>
      <c r="ET165" s="105"/>
      <c r="EU165" s="105"/>
      <c r="EV165" s="105"/>
      <c r="EW165" s="105"/>
      <c r="EX165" s="105"/>
      <c r="EY165" s="105"/>
      <c r="EZ165" s="105"/>
      <c r="FA165" s="105"/>
      <c r="FB165" s="105"/>
      <c r="FC165" s="105"/>
      <c r="FD165" s="105"/>
      <c r="FE165" s="105"/>
      <c r="FF165" s="105"/>
      <c r="FG165" s="105"/>
      <c r="FH165" s="105"/>
      <c r="FI165" s="105"/>
      <c r="FJ165" s="105"/>
      <c r="FK165" s="105"/>
      <c r="FL165" s="105"/>
      <c r="FM165" s="105"/>
      <c r="FN165" s="105"/>
      <c r="FO165" s="105"/>
      <c r="FP165" s="105"/>
      <c r="FQ165" s="105"/>
      <c r="FR165" s="105"/>
      <c r="FS165" s="105"/>
      <c r="FT165" s="105"/>
      <c r="FU165" s="105"/>
      <c r="FV165" s="105"/>
      <c r="FW165" s="105"/>
      <c r="FX165" s="105"/>
      <c r="FY165" s="105"/>
      <c r="FZ165" s="105"/>
      <c r="GA165" s="105"/>
      <c r="GB165" s="105"/>
      <c r="GC165" s="105"/>
      <c r="GD165" s="105"/>
      <c r="GE165" s="105"/>
      <c r="GF165" s="105"/>
      <c r="GG165" s="105"/>
      <c r="GH165" s="105"/>
      <c r="GI165" s="105"/>
      <c r="GJ165" s="105"/>
      <c r="GK165" s="105"/>
      <c r="GL165" s="105"/>
      <c r="GM165" s="105"/>
      <c r="GN165" s="105"/>
      <c r="GO165" s="105"/>
      <c r="GP165" s="105"/>
      <c r="GQ165" s="105"/>
      <c r="GR165" s="105"/>
      <c r="GS165" s="105"/>
      <c r="GT165" s="105"/>
      <c r="GU165" s="105"/>
      <c r="GV165" s="105"/>
      <c r="GW165" s="105"/>
      <c r="GX165" s="105"/>
      <c r="GY165" s="105"/>
      <c r="GZ165" s="105"/>
      <c r="HA165" s="105"/>
      <c r="HB165" s="105"/>
      <c r="HC165" s="105"/>
      <c r="HD165" s="105"/>
      <c r="HE165" s="105"/>
      <c r="HF165" s="105"/>
      <c r="HG165" s="105"/>
      <c r="HH165" s="105"/>
      <c r="HI165" s="105"/>
      <c r="HJ165" s="105"/>
      <c r="HK165" s="105"/>
      <c r="HL165" s="105"/>
      <c r="HM165" s="105"/>
      <c r="HN165" s="105"/>
      <c r="HO165" s="105"/>
      <c r="HP165" s="105"/>
      <c r="HQ165" s="105"/>
      <c r="HR165" s="105"/>
      <c r="HS165" s="105"/>
      <c r="HT165" s="105"/>
      <c r="HU165" s="105"/>
      <c r="HV165" s="105"/>
      <c r="HW165" s="105"/>
      <c r="HX165" s="105"/>
      <c r="HY165" s="105"/>
      <c r="HZ165" s="105"/>
      <c r="IA165" s="105"/>
      <c r="IB165" s="105"/>
      <c r="IC165" s="105"/>
      <c r="ID165" s="105"/>
      <c r="IE165" s="105"/>
      <c r="IF165" s="105"/>
      <c r="IG165" s="105"/>
      <c r="IH165" s="105"/>
      <c r="II165" s="105"/>
      <c r="IJ165" s="105"/>
      <c r="IK165" s="105"/>
      <c r="IL165" s="105"/>
      <c r="IM165" s="105"/>
      <c r="IN165" s="105"/>
      <c r="IO165" s="105"/>
      <c r="IP165" s="105"/>
      <c r="IQ165" s="105"/>
      <c r="IR165" s="105"/>
      <c r="IS165" s="105"/>
    </row>
    <row r="166" spans="1:253">
      <c r="A166" s="116"/>
      <c r="B166" s="105"/>
      <c r="C166" s="116"/>
      <c r="D166" s="116"/>
      <c r="E166" s="116"/>
      <c r="F166" s="116"/>
      <c r="G166" s="116"/>
      <c r="H166" s="116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  <c r="BL166" s="105"/>
      <c r="BM166" s="105"/>
      <c r="BN166" s="105"/>
      <c r="BO166" s="105"/>
      <c r="BP166" s="105"/>
      <c r="BQ166" s="105"/>
      <c r="BR166" s="105"/>
      <c r="BS166" s="105"/>
      <c r="BT166" s="105"/>
      <c r="BU166" s="105"/>
      <c r="BV166" s="105"/>
      <c r="BW166" s="105"/>
      <c r="BX166" s="105"/>
      <c r="BY166" s="105"/>
      <c r="BZ166" s="105"/>
      <c r="CA166" s="105"/>
      <c r="CB166" s="105"/>
      <c r="CC166" s="105"/>
      <c r="CD166" s="105"/>
      <c r="CE166" s="105"/>
      <c r="CF166" s="105"/>
      <c r="CG166" s="105"/>
      <c r="CH166" s="105"/>
      <c r="CI166" s="105"/>
      <c r="CJ166" s="105"/>
      <c r="CK166" s="105"/>
      <c r="CL166" s="105"/>
      <c r="CM166" s="105"/>
      <c r="CN166" s="105"/>
      <c r="CO166" s="105"/>
      <c r="CP166" s="105"/>
      <c r="CQ166" s="105"/>
      <c r="CR166" s="105"/>
      <c r="CS166" s="105"/>
      <c r="CT166" s="105"/>
      <c r="CU166" s="105"/>
      <c r="CV166" s="105"/>
      <c r="CW166" s="105"/>
      <c r="CX166" s="105"/>
      <c r="CY166" s="105"/>
      <c r="CZ166" s="105"/>
      <c r="DA166" s="105"/>
      <c r="DB166" s="105"/>
      <c r="DC166" s="105"/>
      <c r="DD166" s="105"/>
      <c r="DE166" s="105"/>
      <c r="DF166" s="105"/>
      <c r="DG166" s="105"/>
      <c r="DH166" s="105"/>
      <c r="DI166" s="105"/>
      <c r="DJ166" s="105"/>
      <c r="DK166" s="105"/>
      <c r="DL166" s="105"/>
      <c r="DM166" s="105"/>
      <c r="DN166" s="105"/>
      <c r="DO166" s="105"/>
      <c r="DP166" s="105"/>
      <c r="DQ166" s="105"/>
      <c r="DR166" s="105"/>
      <c r="DS166" s="105"/>
      <c r="DT166" s="105"/>
      <c r="DU166" s="105"/>
      <c r="DV166" s="105"/>
      <c r="DW166" s="105"/>
      <c r="DX166" s="105"/>
      <c r="DY166" s="105"/>
      <c r="DZ166" s="105"/>
      <c r="EA166" s="105"/>
      <c r="EB166" s="105"/>
      <c r="EC166" s="105"/>
      <c r="ED166" s="105"/>
      <c r="EE166" s="105"/>
      <c r="EF166" s="105"/>
      <c r="EG166" s="105"/>
      <c r="EH166" s="105"/>
      <c r="EI166" s="105"/>
      <c r="EJ166" s="105"/>
      <c r="EK166" s="105"/>
      <c r="EL166" s="105"/>
      <c r="EM166" s="105"/>
      <c r="EN166" s="105"/>
      <c r="EO166" s="105"/>
      <c r="EP166" s="105"/>
      <c r="EQ166" s="105"/>
      <c r="ER166" s="105"/>
      <c r="ES166" s="105"/>
      <c r="ET166" s="105"/>
      <c r="EU166" s="105"/>
      <c r="EV166" s="105"/>
      <c r="EW166" s="105"/>
      <c r="EX166" s="105"/>
      <c r="EY166" s="105"/>
      <c r="EZ166" s="105"/>
      <c r="FA166" s="105"/>
      <c r="FB166" s="105"/>
      <c r="FC166" s="105"/>
      <c r="FD166" s="105"/>
      <c r="FE166" s="105"/>
      <c r="FF166" s="105"/>
      <c r="FG166" s="105"/>
      <c r="FH166" s="105"/>
      <c r="FI166" s="105"/>
      <c r="FJ166" s="105"/>
      <c r="FK166" s="105"/>
      <c r="FL166" s="105"/>
      <c r="FM166" s="105"/>
      <c r="FN166" s="105"/>
      <c r="FO166" s="105"/>
      <c r="FP166" s="105"/>
      <c r="FQ166" s="105"/>
      <c r="FR166" s="105"/>
      <c r="FS166" s="105"/>
      <c r="FT166" s="105"/>
      <c r="FU166" s="105"/>
      <c r="FV166" s="105"/>
      <c r="FW166" s="105"/>
      <c r="FX166" s="105"/>
      <c r="FY166" s="105"/>
      <c r="FZ166" s="105"/>
      <c r="GA166" s="105"/>
      <c r="GB166" s="105"/>
      <c r="GC166" s="105"/>
      <c r="GD166" s="105"/>
      <c r="GE166" s="105"/>
      <c r="GF166" s="105"/>
      <c r="GG166" s="105"/>
      <c r="GH166" s="105"/>
      <c r="GI166" s="105"/>
      <c r="GJ166" s="105"/>
      <c r="GK166" s="105"/>
      <c r="GL166" s="105"/>
      <c r="GM166" s="105"/>
      <c r="GN166" s="105"/>
      <c r="GO166" s="105"/>
      <c r="GP166" s="105"/>
      <c r="GQ166" s="105"/>
      <c r="GR166" s="105"/>
      <c r="GS166" s="105"/>
      <c r="GT166" s="105"/>
      <c r="GU166" s="105"/>
      <c r="GV166" s="105"/>
      <c r="GW166" s="105"/>
      <c r="GX166" s="105"/>
      <c r="GY166" s="105"/>
      <c r="GZ166" s="105"/>
      <c r="HA166" s="105"/>
      <c r="HB166" s="105"/>
      <c r="HC166" s="105"/>
      <c r="HD166" s="105"/>
      <c r="HE166" s="105"/>
      <c r="HF166" s="105"/>
      <c r="HG166" s="105"/>
      <c r="HH166" s="105"/>
      <c r="HI166" s="105"/>
      <c r="HJ166" s="105"/>
      <c r="HK166" s="105"/>
      <c r="HL166" s="105"/>
      <c r="HM166" s="105"/>
      <c r="HN166" s="105"/>
      <c r="HO166" s="105"/>
      <c r="HP166" s="105"/>
      <c r="HQ166" s="105"/>
      <c r="HR166" s="105"/>
      <c r="HS166" s="105"/>
      <c r="HT166" s="105"/>
      <c r="HU166" s="105"/>
      <c r="HV166" s="105"/>
      <c r="HW166" s="105"/>
      <c r="HX166" s="105"/>
      <c r="HY166" s="105"/>
      <c r="HZ166" s="105"/>
      <c r="IA166" s="105"/>
      <c r="IB166" s="105"/>
      <c r="IC166" s="105"/>
      <c r="ID166" s="105"/>
      <c r="IE166" s="105"/>
      <c r="IF166" s="105"/>
      <c r="IG166" s="105"/>
      <c r="IH166" s="105"/>
      <c r="II166" s="105"/>
      <c r="IJ166" s="105"/>
      <c r="IK166" s="105"/>
      <c r="IL166" s="105"/>
      <c r="IM166" s="105"/>
      <c r="IN166" s="105"/>
      <c r="IO166" s="105"/>
      <c r="IP166" s="105"/>
      <c r="IQ166" s="105"/>
      <c r="IR166" s="105"/>
      <c r="IS166" s="105"/>
    </row>
    <row r="167" spans="1:253">
      <c r="A167" s="116"/>
      <c r="B167" s="105"/>
      <c r="C167" s="116"/>
      <c r="D167" s="116"/>
      <c r="E167" s="116"/>
      <c r="F167" s="116"/>
      <c r="G167" s="116"/>
      <c r="H167" s="116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5"/>
      <c r="BN167" s="105"/>
      <c r="BO167" s="105"/>
      <c r="BP167" s="105"/>
      <c r="BQ167" s="105"/>
      <c r="BR167" s="105"/>
      <c r="BS167" s="105"/>
      <c r="BT167" s="105"/>
      <c r="BU167" s="105"/>
      <c r="BV167" s="105"/>
      <c r="BW167" s="105"/>
      <c r="BX167" s="105"/>
      <c r="BY167" s="105"/>
      <c r="BZ167" s="105"/>
      <c r="CA167" s="105"/>
      <c r="CB167" s="105"/>
      <c r="CC167" s="105"/>
      <c r="CD167" s="105"/>
      <c r="CE167" s="105"/>
      <c r="CF167" s="105"/>
      <c r="CG167" s="105"/>
      <c r="CH167" s="105"/>
      <c r="CI167" s="105"/>
      <c r="CJ167" s="105"/>
      <c r="CK167" s="105"/>
      <c r="CL167" s="105"/>
      <c r="CM167" s="105"/>
      <c r="CN167" s="105"/>
      <c r="CO167" s="105"/>
      <c r="CP167" s="105"/>
      <c r="CQ167" s="105"/>
      <c r="CR167" s="105"/>
      <c r="CS167" s="105"/>
      <c r="CT167" s="105"/>
      <c r="CU167" s="105"/>
      <c r="CV167" s="105"/>
      <c r="CW167" s="105"/>
      <c r="CX167" s="105"/>
      <c r="CY167" s="105"/>
      <c r="CZ167" s="105"/>
      <c r="DA167" s="105"/>
      <c r="DB167" s="105"/>
      <c r="DC167" s="105"/>
      <c r="DD167" s="105"/>
      <c r="DE167" s="105"/>
      <c r="DF167" s="105"/>
      <c r="DG167" s="105"/>
      <c r="DH167" s="105"/>
      <c r="DI167" s="105"/>
      <c r="DJ167" s="105"/>
      <c r="DK167" s="105"/>
      <c r="DL167" s="105"/>
      <c r="DM167" s="105"/>
      <c r="DN167" s="105"/>
      <c r="DO167" s="105"/>
      <c r="DP167" s="105"/>
      <c r="DQ167" s="105"/>
      <c r="DR167" s="105"/>
      <c r="DS167" s="105"/>
      <c r="DT167" s="105"/>
      <c r="DU167" s="105"/>
      <c r="DV167" s="105"/>
      <c r="DW167" s="105"/>
      <c r="DX167" s="105"/>
      <c r="DY167" s="105"/>
      <c r="DZ167" s="105"/>
      <c r="EA167" s="105"/>
      <c r="EB167" s="105"/>
      <c r="EC167" s="105"/>
      <c r="ED167" s="105"/>
      <c r="EE167" s="105"/>
      <c r="EF167" s="105"/>
      <c r="EG167" s="105"/>
      <c r="EH167" s="105"/>
      <c r="EI167" s="105"/>
      <c r="EJ167" s="105"/>
      <c r="EK167" s="105"/>
      <c r="EL167" s="105"/>
      <c r="EM167" s="105"/>
      <c r="EN167" s="105"/>
      <c r="EO167" s="105"/>
      <c r="EP167" s="105"/>
      <c r="EQ167" s="105"/>
      <c r="ER167" s="105"/>
      <c r="ES167" s="105"/>
      <c r="ET167" s="105"/>
      <c r="EU167" s="105"/>
      <c r="EV167" s="105"/>
      <c r="EW167" s="105"/>
      <c r="EX167" s="105"/>
      <c r="EY167" s="105"/>
      <c r="EZ167" s="105"/>
      <c r="FA167" s="105"/>
      <c r="FB167" s="105"/>
      <c r="FC167" s="105"/>
      <c r="FD167" s="105"/>
      <c r="FE167" s="105"/>
      <c r="FF167" s="105"/>
      <c r="FG167" s="105"/>
      <c r="FH167" s="105"/>
      <c r="FI167" s="105"/>
      <c r="FJ167" s="105"/>
      <c r="FK167" s="105"/>
      <c r="FL167" s="105"/>
      <c r="FM167" s="105"/>
      <c r="FN167" s="105"/>
      <c r="FO167" s="105"/>
      <c r="FP167" s="105"/>
      <c r="FQ167" s="105"/>
      <c r="FR167" s="105"/>
      <c r="FS167" s="105"/>
      <c r="FT167" s="105"/>
      <c r="FU167" s="105"/>
      <c r="FV167" s="105"/>
      <c r="FW167" s="105"/>
      <c r="FX167" s="105"/>
      <c r="FY167" s="105"/>
      <c r="FZ167" s="105"/>
      <c r="GA167" s="105"/>
      <c r="GB167" s="105"/>
      <c r="GC167" s="105"/>
      <c r="GD167" s="105"/>
      <c r="GE167" s="105"/>
      <c r="GF167" s="105"/>
      <c r="GG167" s="105"/>
      <c r="GH167" s="105"/>
      <c r="GI167" s="105"/>
      <c r="GJ167" s="105"/>
      <c r="GK167" s="105"/>
      <c r="GL167" s="105"/>
      <c r="GM167" s="105"/>
      <c r="GN167" s="105"/>
      <c r="GO167" s="105"/>
      <c r="GP167" s="105"/>
      <c r="GQ167" s="105"/>
      <c r="GR167" s="105"/>
      <c r="GS167" s="105"/>
      <c r="GT167" s="105"/>
      <c r="GU167" s="105"/>
      <c r="GV167" s="105"/>
      <c r="GW167" s="105"/>
      <c r="GX167" s="105"/>
      <c r="GY167" s="105"/>
      <c r="GZ167" s="105"/>
      <c r="HA167" s="105"/>
      <c r="HB167" s="105"/>
      <c r="HC167" s="105"/>
      <c r="HD167" s="105"/>
      <c r="HE167" s="105"/>
      <c r="HF167" s="105"/>
      <c r="HG167" s="105"/>
      <c r="HH167" s="105"/>
      <c r="HI167" s="105"/>
      <c r="HJ167" s="105"/>
      <c r="HK167" s="105"/>
      <c r="HL167" s="105"/>
      <c r="HM167" s="105"/>
      <c r="HN167" s="105"/>
      <c r="HO167" s="105"/>
      <c r="HP167" s="105"/>
      <c r="HQ167" s="105"/>
      <c r="HR167" s="105"/>
      <c r="HS167" s="105"/>
      <c r="HT167" s="105"/>
      <c r="HU167" s="105"/>
      <c r="HV167" s="105"/>
      <c r="HW167" s="105"/>
      <c r="HX167" s="105"/>
      <c r="HY167" s="105"/>
      <c r="HZ167" s="105"/>
      <c r="IA167" s="105"/>
      <c r="IB167" s="105"/>
      <c r="IC167" s="105"/>
      <c r="ID167" s="105"/>
      <c r="IE167" s="105"/>
      <c r="IF167" s="105"/>
      <c r="IG167" s="105"/>
      <c r="IH167" s="105"/>
      <c r="II167" s="105"/>
      <c r="IJ167" s="105"/>
      <c r="IK167" s="105"/>
      <c r="IL167" s="105"/>
      <c r="IM167" s="105"/>
      <c r="IN167" s="105"/>
      <c r="IO167" s="105"/>
      <c r="IP167" s="105"/>
      <c r="IQ167" s="105"/>
      <c r="IR167" s="105"/>
      <c r="IS167" s="105"/>
    </row>
    <row r="168" spans="1:253">
      <c r="A168" s="116"/>
      <c r="B168" s="105"/>
      <c r="C168" s="116"/>
      <c r="D168" s="116"/>
      <c r="E168" s="116"/>
      <c r="F168" s="116"/>
      <c r="G168" s="116"/>
      <c r="H168" s="116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105"/>
      <c r="FG168" s="105"/>
      <c r="FH168" s="105"/>
      <c r="FI168" s="105"/>
      <c r="FJ168" s="105"/>
      <c r="FK168" s="105"/>
      <c r="FL168" s="105"/>
      <c r="FM168" s="105"/>
      <c r="FN168" s="105"/>
      <c r="FO168" s="105"/>
      <c r="FP168" s="105"/>
      <c r="FQ168" s="105"/>
      <c r="FR168" s="105"/>
      <c r="FS168" s="105"/>
      <c r="FT168" s="105"/>
      <c r="FU168" s="105"/>
      <c r="FV168" s="105"/>
      <c r="FW168" s="105"/>
      <c r="FX168" s="105"/>
      <c r="FY168" s="105"/>
      <c r="FZ168" s="105"/>
      <c r="GA168" s="105"/>
      <c r="GB168" s="105"/>
      <c r="GC168" s="105"/>
      <c r="GD168" s="105"/>
      <c r="GE168" s="105"/>
      <c r="GF168" s="105"/>
      <c r="GG168" s="105"/>
      <c r="GH168" s="105"/>
      <c r="GI168" s="105"/>
      <c r="GJ168" s="105"/>
      <c r="GK168" s="105"/>
      <c r="GL168" s="105"/>
      <c r="GM168" s="105"/>
      <c r="GN168" s="105"/>
      <c r="GO168" s="105"/>
      <c r="GP168" s="105"/>
      <c r="GQ168" s="105"/>
      <c r="GR168" s="105"/>
      <c r="GS168" s="105"/>
      <c r="GT168" s="105"/>
      <c r="GU168" s="105"/>
      <c r="GV168" s="105"/>
      <c r="GW168" s="105"/>
      <c r="GX168" s="105"/>
      <c r="GY168" s="105"/>
      <c r="GZ168" s="105"/>
      <c r="HA168" s="105"/>
      <c r="HB168" s="105"/>
      <c r="HC168" s="105"/>
      <c r="HD168" s="105"/>
      <c r="HE168" s="105"/>
      <c r="HF168" s="105"/>
      <c r="HG168" s="105"/>
      <c r="HH168" s="105"/>
      <c r="HI168" s="105"/>
      <c r="HJ168" s="105"/>
      <c r="HK168" s="105"/>
      <c r="HL168" s="105"/>
      <c r="HM168" s="105"/>
      <c r="HN168" s="105"/>
      <c r="HO168" s="105"/>
      <c r="HP168" s="105"/>
      <c r="HQ168" s="105"/>
      <c r="HR168" s="105"/>
      <c r="HS168" s="105"/>
      <c r="HT168" s="105"/>
      <c r="HU168" s="105"/>
      <c r="HV168" s="105"/>
      <c r="HW168" s="105"/>
      <c r="HX168" s="105"/>
      <c r="HY168" s="105"/>
      <c r="HZ168" s="105"/>
      <c r="IA168" s="105"/>
      <c r="IB168" s="105"/>
      <c r="IC168" s="105"/>
      <c r="ID168" s="105"/>
      <c r="IE168" s="105"/>
      <c r="IF168" s="105"/>
      <c r="IG168" s="105"/>
      <c r="IH168" s="105"/>
      <c r="II168" s="105"/>
      <c r="IJ168" s="105"/>
      <c r="IK168" s="105"/>
      <c r="IL168" s="105"/>
      <c r="IM168" s="105"/>
      <c r="IN168" s="105"/>
      <c r="IO168" s="105"/>
      <c r="IP168" s="105"/>
      <c r="IQ168" s="105"/>
      <c r="IR168" s="105"/>
      <c r="IS168" s="105"/>
    </row>
    <row r="169" spans="1:253">
      <c r="A169" s="116"/>
      <c r="B169" s="105"/>
      <c r="C169" s="116"/>
      <c r="D169" s="116"/>
      <c r="E169" s="116"/>
      <c r="F169" s="116"/>
      <c r="G169" s="116"/>
      <c r="H169" s="116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105"/>
      <c r="FG169" s="105"/>
      <c r="FH169" s="105"/>
      <c r="FI169" s="105"/>
      <c r="FJ169" s="105"/>
      <c r="FK169" s="105"/>
      <c r="FL169" s="105"/>
      <c r="FM169" s="105"/>
      <c r="FN169" s="105"/>
      <c r="FO169" s="105"/>
      <c r="FP169" s="105"/>
      <c r="FQ169" s="105"/>
      <c r="FR169" s="105"/>
      <c r="FS169" s="105"/>
      <c r="FT169" s="105"/>
      <c r="FU169" s="105"/>
      <c r="FV169" s="105"/>
      <c r="FW169" s="105"/>
      <c r="FX169" s="105"/>
      <c r="FY169" s="105"/>
      <c r="FZ169" s="105"/>
      <c r="GA169" s="105"/>
      <c r="GB169" s="105"/>
      <c r="GC169" s="105"/>
      <c r="GD169" s="105"/>
      <c r="GE169" s="105"/>
      <c r="GF169" s="105"/>
      <c r="GG169" s="105"/>
      <c r="GH169" s="105"/>
      <c r="GI169" s="105"/>
      <c r="GJ169" s="105"/>
      <c r="GK169" s="105"/>
      <c r="GL169" s="105"/>
      <c r="GM169" s="105"/>
      <c r="GN169" s="105"/>
      <c r="GO169" s="105"/>
      <c r="GP169" s="105"/>
      <c r="GQ169" s="105"/>
      <c r="GR169" s="105"/>
      <c r="GS169" s="105"/>
      <c r="GT169" s="105"/>
      <c r="GU169" s="105"/>
      <c r="GV169" s="105"/>
      <c r="GW169" s="105"/>
      <c r="GX169" s="105"/>
      <c r="GY169" s="105"/>
      <c r="GZ169" s="105"/>
      <c r="HA169" s="105"/>
      <c r="HB169" s="105"/>
      <c r="HC169" s="105"/>
      <c r="HD169" s="105"/>
      <c r="HE169" s="105"/>
      <c r="HF169" s="105"/>
      <c r="HG169" s="105"/>
      <c r="HH169" s="105"/>
      <c r="HI169" s="105"/>
      <c r="HJ169" s="105"/>
      <c r="HK169" s="105"/>
      <c r="HL169" s="105"/>
      <c r="HM169" s="105"/>
      <c r="HN169" s="105"/>
      <c r="HO169" s="105"/>
      <c r="HP169" s="105"/>
      <c r="HQ169" s="105"/>
      <c r="HR169" s="105"/>
      <c r="HS169" s="105"/>
      <c r="HT169" s="105"/>
      <c r="HU169" s="105"/>
      <c r="HV169" s="105"/>
      <c r="HW169" s="105"/>
      <c r="HX169" s="105"/>
      <c r="HY169" s="105"/>
      <c r="HZ169" s="105"/>
      <c r="IA169" s="105"/>
      <c r="IB169" s="105"/>
      <c r="IC169" s="105"/>
      <c r="ID169" s="105"/>
      <c r="IE169" s="105"/>
      <c r="IF169" s="105"/>
      <c r="IG169" s="105"/>
      <c r="IH169" s="105"/>
      <c r="II169" s="105"/>
      <c r="IJ169" s="105"/>
      <c r="IK169" s="105"/>
      <c r="IL169" s="105"/>
      <c r="IM169" s="105"/>
      <c r="IN169" s="105"/>
      <c r="IO169" s="105"/>
      <c r="IP169" s="105"/>
      <c r="IQ169" s="105"/>
      <c r="IR169" s="105"/>
      <c r="IS169" s="105"/>
    </row>
    <row r="170" spans="1:253">
      <c r="A170" s="116"/>
      <c r="B170" s="105"/>
      <c r="C170" s="116"/>
      <c r="D170" s="116"/>
      <c r="E170" s="116"/>
      <c r="F170" s="116"/>
      <c r="G170" s="116"/>
      <c r="H170" s="116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105"/>
      <c r="FG170" s="105"/>
      <c r="FH170" s="105"/>
      <c r="FI170" s="105"/>
      <c r="FJ170" s="105"/>
      <c r="FK170" s="105"/>
      <c r="FL170" s="105"/>
      <c r="FM170" s="105"/>
      <c r="FN170" s="105"/>
      <c r="FO170" s="105"/>
      <c r="FP170" s="105"/>
      <c r="FQ170" s="105"/>
      <c r="FR170" s="105"/>
      <c r="FS170" s="105"/>
      <c r="FT170" s="105"/>
      <c r="FU170" s="105"/>
      <c r="FV170" s="105"/>
      <c r="FW170" s="105"/>
      <c r="FX170" s="105"/>
      <c r="FY170" s="105"/>
      <c r="FZ170" s="105"/>
      <c r="GA170" s="105"/>
      <c r="GB170" s="105"/>
      <c r="GC170" s="105"/>
      <c r="GD170" s="105"/>
      <c r="GE170" s="105"/>
      <c r="GF170" s="105"/>
      <c r="GG170" s="105"/>
      <c r="GH170" s="105"/>
      <c r="GI170" s="105"/>
      <c r="GJ170" s="105"/>
      <c r="GK170" s="105"/>
      <c r="GL170" s="105"/>
      <c r="GM170" s="105"/>
      <c r="GN170" s="105"/>
      <c r="GO170" s="105"/>
      <c r="GP170" s="105"/>
      <c r="GQ170" s="105"/>
      <c r="GR170" s="105"/>
      <c r="GS170" s="105"/>
      <c r="GT170" s="105"/>
      <c r="GU170" s="105"/>
      <c r="GV170" s="105"/>
      <c r="GW170" s="105"/>
      <c r="GX170" s="105"/>
      <c r="GY170" s="105"/>
      <c r="GZ170" s="105"/>
      <c r="HA170" s="105"/>
      <c r="HB170" s="105"/>
      <c r="HC170" s="105"/>
      <c r="HD170" s="105"/>
      <c r="HE170" s="105"/>
      <c r="HF170" s="105"/>
      <c r="HG170" s="105"/>
      <c r="HH170" s="105"/>
      <c r="HI170" s="105"/>
      <c r="HJ170" s="105"/>
      <c r="HK170" s="105"/>
      <c r="HL170" s="105"/>
      <c r="HM170" s="105"/>
      <c r="HN170" s="105"/>
      <c r="HO170" s="105"/>
      <c r="HP170" s="105"/>
      <c r="HQ170" s="105"/>
      <c r="HR170" s="105"/>
      <c r="HS170" s="105"/>
      <c r="HT170" s="105"/>
      <c r="HU170" s="105"/>
      <c r="HV170" s="105"/>
      <c r="HW170" s="105"/>
      <c r="HX170" s="105"/>
      <c r="HY170" s="105"/>
      <c r="HZ170" s="105"/>
      <c r="IA170" s="105"/>
      <c r="IB170" s="105"/>
      <c r="IC170" s="105"/>
      <c r="ID170" s="105"/>
      <c r="IE170" s="105"/>
      <c r="IF170" s="105"/>
      <c r="IG170" s="105"/>
      <c r="IH170" s="105"/>
      <c r="II170" s="105"/>
      <c r="IJ170" s="105"/>
      <c r="IK170" s="105"/>
      <c r="IL170" s="105"/>
      <c r="IM170" s="105"/>
      <c r="IN170" s="105"/>
      <c r="IO170" s="105"/>
      <c r="IP170" s="105"/>
      <c r="IQ170" s="105"/>
      <c r="IR170" s="105"/>
      <c r="IS170" s="105"/>
    </row>
    <row r="171" spans="1:253">
      <c r="A171" s="116"/>
      <c r="B171" s="105"/>
      <c r="C171" s="116"/>
      <c r="D171" s="116"/>
      <c r="E171" s="116"/>
      <c r="F171" s="116"/>
      <c r="G171" s="116"/>
      <c r="H171" s="116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105"/>
      <c r="FG171" s="105"/>
      <c r="FH171" s="105"/>
      <c r="FI171" s="105"/>
      <c r="FJ171" s="105"/>
      <c r="FK171" s="105"/>
      <c r="FL171" s="105"/>
      <c r="FM171" s="105"/>
      <c r="FN171" s="105"/>
      <c r="FO171" s="105"/>
      <c r="FP171" s="105"/>
      <c r="FQ171" s="105"/>
      <c r="FR171" s="105"/>
      <c r="FS171" s="105"/>
      <c r="FT171" s="105"/>
      <c r="FU171" s="105"/>
      <c r="FV171" s="105"/>
      <c r="FW171" s="105"/>
      <c r="FX171" s="105"/>
      <c r="FY171" s="105"/>
      <c r="FZ171" s="105"/>
      <c r="GA171" s="105"/>
      <c r="GB171" s="105"/>
      <c r="GC171" s="105"/>
      <c r="GD171" s="105"/>
      <c r="GE171" s="105"/>
      <c r="GF171" s="105"/>
      <c r="GG171" s="105"/>
      <c r="GH171" s="105"/>
      <c r="GI171" s="105"/>
      <c r="GJ171" s="105"/>
      <c r="GK171" s="105"/>
      <c r="GL171" s="105"/>
      <c r="GM171" s="105"/>
      <c r="GN171" s="105"/>
      <c r="GO171" s="105"/>
      <c r="GP171" s="105"/>
      <c r="GQ171" s="105"/>
      <c r="GR171" s="105"/>
      <c r="GS171" s="105"/>
      <c r="GT171" s="105"/>
      <c r="GU171" s="105"/>
      <c r="GV171" s="105"/>
      <c r="GW171" s="105"/>
      <c r="GX171" s="105"/>
      <c r="GY171" s="105"/>
      <c r="GZ171" s="105"/>
      <c r="HA171" s="105"/>
      <c r="HB171" s="105"/>
      <c r="HC171" s="105"/>
      <c r="HD171" s="105"/>
      <c r="HE171" s="105"/>
      <c r="HF171" s="105"/>
      <c r="HG171" s="105"/>
      <c r="HH171" s="105"/>
      <c r="HI171" s="105"/>
      <c r="HJ171" s="105"/>
      <c r="HK171" s="105"/>
      <c r="HL171" s="105"/>
      <c r="HM171" s="105"/>
      <c r="HN171" s="105"/>
      <c r="HO171" s="105"/>
      <c r="HP171" s="105"/>
      <c r="HQ171" s="105"/>
      <c r="HR171" s="105"/>
      <c r="HS171" s="105"/>
      <c r="HT171" s="105"/>
      <c r="HU171" s="105"/>
      <c r="HV171" s="105"/>
      <c r="HW171" s="105"/>
      <c r="HX171" s="105"/>
      <c r="HY171" s="105"/>
      <c r="HZ171" s="105"/>
      <c r="IA171" s="105"/>
      <c r="IB171" s="105"/>
      <c r="IC171" s="105"/>
      <c r="ID171" s="105"/>
      <c r="IE171" s="105"/>
      <c r="IF171" s="105"/>
      <c r="IG171" s="105"/>
      <c r="IH171" s="105"/>
      <c r="II171" s="105"/>
      <c r="IJ171" s="105"/>
      <c r="IK171" s="105"/>
      <c r="IL171" s="105"/>
      <c r="IM171" s="105"/>
      <c r="IN171" s="105"/>
      <c r="IO171" s="105"/>
      <c r="IP171" s="105"/>
      <c r="IQ171" s="105"/>
      <c r="IR171" s="105"/>
      <c r="IS171" s="105"/>
    </row>
    <row r="172" spans="1:253">
      <c r="A172" s="116"/>
      <c r="B172" s="105"/>
      <c r="C172" s="116"/>
      <c r="D172" s="116"/>
      <c r="E172" s="116"/>
      <c r="F172" s="116"/>
      <c r="G172" s="116"/>
      <c r="H172" s="116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105"/>
      <c r="BO172" s="105"/>
      <c r="BP172" s="105"/>
      <c r="BQ172" s="105"/>
      <c r="BR172" s="105"/>
      <c r="BS172" s="105"/>
      <c r="BT172" s="105"/>
      <c r="BU172" s="105"/>
      <c r="BV172" s="105"/>
      <c r="BW172" s="105"/>
      <c r="BX172" s="105"/>
      <c r="BY172" s="105"/>
      <c r="BZ172" s="105"/>
      <c r="CA172" s="105"/>
      <c r="CB172" s="105"/>
      <c r="CC172" s="105"/>
      <c r="CD172" s="105"/>
      <c r="CE172" s="105"/>
      <c r="CF172" s="105"/>
      <c r="CG172" s="105"/>
      <c r="CH172" s="105"/>
      <c r="CI172" s="105"/>
      <c r="CJ172" s="105"/>
      <c r="CK172" s="105"/>
      <c r="CL172" s="105"/>
      <c r="CM172" s="105"/>
      <c r="CN172" s="105"/>
      <c r="CO172" s="105"/>
      <c r="CP172" s="105"/>
      <c r="CQ172" s="105"/>
      <c r="CR172" s="105"/>
      <c r="CS172" s="105"/>
      <c r="CT172" s="105"/>
      <c r="CU172" s="105"/>
      <c r="CV172" s="105"/>
      <c r="CW172" s="105"/>
      <c r="CX172" s="105"/>
      <c r="CY172" s="105"/>
      <c r="CZ172" s="105"/>
      <c r="DA172" s="105"/>
      <c r="DB172" s="105"/>
      <c r="DC172" s="105"/>
      <c r="DD172" s="105"/>
      <c r="DE172" s="105"/>
      <c r="DF172" s="105"/>
      <c r="DG172" s="105"/>
      <c r="DH172" s="105"/>
      <c r="DI172" s="105"/>
      <c r="DJ172" s="105"/>
      <c r="DK172" s="105"/>
      <c r="DL172" s="105"/>
      <c r="DM172" s="105"/>
      <c r="DN172" s="105"/>
      <c r="DO172" s="105"/>
      <c r="DP172" s="105"/>
      <c r="DQ172" s="105"/>
      <c r="DR172" s="105"/>
      <c r="DS172" s="105"/>
      <c r="DT172" s="105"/>
      <c r="DU172" s="105"/>
      <c r="DV172" s="105"/>
      <c r="DW172" s="105"/>
      <c r="DX172" s="105"/>
      <c r="DY172" s="105"/>
      <c r="DZ172" s="105"/>
      <c r="EA172" s="105"/>
      <c r="EB172" s="105"/>
      <c r="EC172" s="105"/>
      <c r="ED172" s="105"/>
      <c r="EE172" s="105"/>
      <c r="EF172" s="105"/>
      <c r="EG172" s="105"/>
      <c r="EH172" s="105"/>
      <c r="EI172" s="105"/>
      <c r="EJ172" s="105"/>
      <c r="EK172" s="105"/>
      <c r="EL172" s="105"/>
      <c r="EM172" s="105"/>
      <c r="EN172" s="105"/>
      <c r="EO172" s="105"/>
      <c r="EP172" s="105"/>
      <c r="EQ172" s="105"/>
      <c r="ER172" s="105"/>
      <c r="ES172" s="105"/>
      <c r="ET172" s="105"/>
      <c r="EU172" s="105"/>
      <c r="EV172" s="105"/>
      <c r="EW172" s="105"/>
      <c r="EX172" s="105"/>
      <c r="EY172" s="105"/>
      <c r="EZ172" s="105"/>
      <c r="FA172" s="105"/>
      <c r="FB172" s="105"/>
      <c r="FC172" s="105"/>
      <c r="FD172" s="105"/>
      <c r="FE172" s="105"/>
      <c r="FF172" s="105"/>
      <c r="FG172" s="105"/>
      <c r="FH172" s="105"/>
      <c r="FI172" s="105"/>
      <c r="FJ172" s="105"/>
      <c r="FK172" s="105"/>
      <c r="FL172" s="105"/>
      <c r="FM172" s="105"/>
      <c r="FN172" s="105"/>
      <c r="FO172" s="105"/>
      <c r="FP172" s="105"/>
      <c r="FQ172" s="105"/>
      <c r="FR172" s="105"/>
      <c r="FS172" s="105"/>
      <c r="FT172" s="105"/>
      <c r="FU172" s="105"/>
      <c r="FV172" s="105"/>
      <c r="FW172" s="105"/>
      <c r="FX172" s="105"/>
      <c r="FY172" s="105"/>
      <c r="FZ172" s="105"/>
      <c r="GA172" s="105"/>
      <c r="GB172" s="105"/>
      <c r="GC172" s="105"/>
      <c r="GD172" s="105"/>
      <c r="GE172" s="105"/>
      <c r="GF172" s="105"/>
      <c r="GG172" s="105"/>
      <c r="GH172" s="105"/>
      <c r="GI172" s="105"/>
      <c r="GJ172" s="105"/>
      <c r="GK172" s="105"/>
      <c r="GL172" s="105"/>
      <c r="GM172" s="105"/>
      <c r="GN172" s="105"/>
      <c r="GO172" s="105"/>
      <c r="GP172" s="105"/>
      <c r="GQ172" s="105"/>
      <c r="GR172" s="105"/>
      <c r="GS172" s="105"/>
      <c r="GT172" s="105"/>
      <c r="GU172" s="105"/>
      <c r="GV172" s="105"/>
      <c r="GW172" s="105"/>
      <c r="GX172" s="105"/>
      <c r="GY172" s="105"/>
      <c r="GZ172" s="105"/>
      <c r="HA172" s="105"/>
      <c r="HB172" s="105"/>
      <c r="HC172" s="105"/>
      <c r="HD172" s="105"/>
      <c r="HE172" s="105"/>
      <c r="HF172" s="105"/>
      <c r="HG172" s="105"/>
      <c r="HH172" s="105"/>
      <c r="HI172" s="105"/>
      <c r="HJ172" s="105"/>
      <c r="HK172" s="105"/>
      <c r="HL172" s="105"/>
      <c r="HM172" s="105"/>
      <c r="HN172" s="105"/>
      <c r="HO172" s="105"/>
      <c r="HP172" s="105"/>
      <c r="HQ172" s="105"/>
      <c r="HR172" s="105"/>
      <c r="HS172" s="105"/>
      <c r="HT172" s="105"/>
      <c r="HU172" s="105"/>
      <c r="HV172" s="105"/>
      <c r="HW172" s="105"/>
      <c r="HX172" s="105"/>
      <c r="HY172" s="105"/>
      <c r="HZ172" s="105"/>
      <c r="IA172" s="105"/>
      <c r="IB172" s="105"/>
      <c r="IC172" s="105"/>
      <c r="ID172" s="105"/>
      <c r="IE172" s="105"/>
      <c r="IF172" s="105"/>
      <c r="IG172" s="105"/>
      <c r="IH172" s="105"/>
      <c r="II172" s="105"/>
      <c r="IJ172" s="105"/>
      <c r="IK172" s="105"/>
      <c r="IL172" s="105"/>
      <c r="IM172" s="105"/>
      <c r="IN172" s="105"/>
      <c r="IO172" s="105"/>
      <c r="IP172" s="105"/>
      <c r="IQ172" s="105"/>
      <c r="IR172" s="105"/>
      <c r="IS172" s="105"/>
    </row>
    <row r="173" spans="1:253">
      <c r="A173" s="116"/>
      <c r="B173" s="105"/>
      <c r="C173" s="116"/>
      <c r="D173" s="116"/>
      <c r="E173" s="116"/>
      <c r="F173" s="116"/>
      <c r="G173" s="116"/>
      <c r="H173" s="116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5"/>
      <c r="BN173" s="105"/>
      <c r="BO173" s="105"/>
      <c r="BP173" s="105"/>
      <c r="BQ173" s="105"/>
      <c r="BR173" s="105"/>
      <c r="BS173" s="105"/>
      <c r="BT173" s="105"/>
      <c r="BU173" s="105"/>
      <c r="BV173" s="105"/>
      <c r="BW173" s="105"/>
      <c r="BX173" s="105"/>
      <c r="BY173" s="105"/>
      <c r="BZ173" s="105"/>
      <c r="CA173" s="105"/>
      <c r="CB173" s="105"/>
      <c r="CC173" s="105"/>
      <c r="CD173" s="105"/>
      <c r="CE173" s="105"/>
      <c r="CF173" s="105"/>
      <c r="CG173" s="105"/>
      <c r="CH173" s="105"/>
      <c r="CI173" s="105"/>
      <c r="CJ173" s="105"/>
      <c r="CK173" s="105"/>
      <c r="CL173" s="105"/>
      <c r="CM173" s="105"/>
      <c r="CN173" s="105"/>
      <c r="CO173" s="105"/>
      <c r="CP173" s="105"/>
      <c r="CQ173" s="105"/>
      <c r="CR173" s="105"/>
      <c r="CS173" s="105"/>
      <c r="CT173" s="105"/>
      <c r="CU173" s="105"/>
      <c r="CV173" s="105"/>
      <c r="CW173" s="105"/>
      <c r="CX173" s="105"/>
      <c r="CY173" s="105"/>
      <c r="CZ173" s="105"/>
      <c r="DA173" s="105"/>
      <c r="DB173" s="105"/>
      <c r="DC173" s="105"/>
      <c r="DD173" s="105"/>
      <c r="DE173" s="105"/>
      <c r="DF173" s="105"/>
      <c r="DG173" s="105"/>
      <c r="DH173" s="105"/>
      <c r="DI173" s="105"/>
      <c r="DJ173" s="105"/>
      <c r="DK173" s="105"/>
      <c r="DL173" s="105"/>
      <c r="DM173" s="105"/>
      <c r="DN173" s="105"/>
      <c r="DO173" s="105"/>
      <c r="DP173" s="105"/>
      <c r="DQ173" s="105"/>
      <c r="DR173" s="105"/>
      <c r="DS173" s="105"/>
      <c r="DT173" s="105"/>
      <c r="DU173" s="105"/>
      <c r="DV173" s="105"/>
      <c r="DW173" s="105"/>
      <c r="DX173" s="105"/>
      <c r="DY173" s="105"/>
      <c r="DZ173" s="105"/>
      <c r="EA173" s="105"/>
      <c r="EB173" s="105"/>
      <c r="EC173" s="105"/>
      <c r="ED173" s="105"/>
      <c r="EE173" s="105"/>
      <c r="EF173" s="105"/>
      <c r="EG173" s="105"/>
      <c r="EH173" s="105"/>
      <c r="EI173" s="105"/>
      <c r="EJ173" s="105"/>
      <c r="EK173" s="105"/>
      <c r="EL173" s="105"/>
      <c r="EM173" s="105"/>
      <c r="EN173" s="105"/>
      <c r="EO173" s="105"/>
      <c r="EP173" s="105"/>
      <c r="EQ173" s="105"/>
      <c r="ER173" s="105"/>
      <c r="ES173" s="105"/>
      <c r="ET173" s="105"/>
      <c r="EU173" s="105"/>
      <c r="EV173" s="105"/>
      <c r="EW173" s="105"/>
      <c r="EX173" s="105"/>
      <c r="EY173" s="105"/>
      <c r="EZ173" s="105"/>
      <c r="FA173" s="105"/>
      <c r="FB173" s="105"/>
      <c r="FC173" s="105"/>
      <c r="FD173" s="105"/>
      <c r="FE173" s="105"/>
      <c r="FF173" s="105"/>
      <c r="FG173" s="105"/>
      <c r="FH173" s="105"/>
      <c r="FI173" s="105"/>
      <c r="FJ173" s="105"/>
      <c r="FK173" s="105"/>
      <c r="FL173" s="105"/>
      <c r="FM173" s="105"/>
      <c r="FN173" s="105"/>
      <c r="FO173" s="105"/>
      <c r="FP173" s="105"/>
      <c r="FQ173" s="105"/>
      <c r="FR173" s="105"/>
      <c r="FS173" s="105"/>
      <c r="FT173" s="105"/>
      <c r="FU173" s="105"/>
      <c r="FV173" s="105"/>
      <c r="FW173" s="105"/>
      <c r="FX173" s="105"/>
      <c r="FY173" s="105"/>
      <c r="FZ173" s="105"/>
      <c r="GA173" s="105"/>
      <c r="GB173" s="105"/>
      <c r="GC173" s="105"/>
      <c r="GD173" s="105"/>
      <c r="GE173" s="105"/>
      <c r="GF173" s="105"/>
      <c r="GG173" s="105"/>
      <c r="GH173" s="105"/>
      <c r="GI173" s="105"/>
      <c r="GJ173" s="105"/>
      <c r="GK173" s="105"/>
      <c r="GL173" s="105"/>
      <c r="GM173" s="105"/>
      <c r="GN173" s="105"/>
      <c r="GO173" s="105"/>
      <c r="GP173" s="105"/>
      <c r="GQ173" s="105"/>
      <c r="GR173" s="105"/>
      <c r="GS173" s="105"/>
      <c r="GT173" s="105"/>
      <c r="GU173" s="105"/>
      <c r="GV173" s="105"/>
      <c r="GW173" s="105"/>
      <c r="GX173" s="105"/>
      <c r="GY173" s="105"/>
      <c r="GZ173" s="105"/>
      <c r="HA173" s="105"/>
      <c r="HB173" s="105"/>
      <c r="HC173" s="105"/>
      <c r="HD173" s="105"/>
      <c r="HE173" s="105"/>
      <c r="HF173" s="105"/>
      <c r="HG173" s="105"/>
      <c r="HH173" s="105"/>
      <c r="HI173" s="105"/>
      <c r="HJ173" s="105"/>
      <c r="HK173" s="105"/>
      <c r="HL173" s="105"/>
      <c r="HM173" s="105"/>
      <c r="HN173" s="105"/>
      <c r="HO173" s="105"/>
      <c r="HP173" s="105"/>
      <c r="HQ173" s="105"/>
      <c r="HR173" s="105"/>
      <c r="HS173" s="105"/>
      <c r="HT173" s="105"/>
      <c r="HU173" s="105"/>
      <c r="HV173" s="105"/>
      <c r="HW173" s="105"/>
      <c r="HX173" s="105"/>
      <c r="HY173" s="105"/>
      <c r="HZ173" s="105"/>
      <c r="IA173" s="105"/>
      <c r="IB173" s="105"/>
      <c r="IC173" s="105"/>
      <c r="ID173" s="105"/>
      <c r="IE173" s="105"/>
      <c r="IF173" s="105"/>
      <c r="IG173" s="105"/>
      <c r="IH173" s="105"/>
      <c r="II173" s="105"/>
      <c r="IJ173" s="105"/>
      <c r="IK173" s="105"/>
      <c r="IL173" s="105"/>
      <c r="IM173" s="105"/>
      <c r="IN173" s="105"/>
      <c r="IO173" s="105"/>
      <c r="IP173" s="105"/>
      <c r="IQ173" s="105"/>
      <c r="IR173" s="105"/>
      <c r="IS173" s="105"/>
    </row>
    <row r="174" spans="1:253">
      <c r="A174" s="116"/>
      <c r="B174" s="105"/>
      <c r="C174" s="116"/>
      <c r="D174" s="116"/>
      <c r="E174" s="116"/>
      <c r="F174" s="116"/>
      <c r="G174" s="116"/>
      <c r="H174" s="116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  <c r="BL174" s="105"/>
      <c r="BM174" s="105"/>
      <c r="BN174" s="105"/>
      <c r="BO174" s="105"/>
      <c r="BP174" s="105"/>
      <c r="BQ174" s="105"/>
      <c r="BR174" s="105"/>
      <c r="BS174" s="105"/>
      <c r="BT174" s="105"/>
      <c r="BU174" s="105"/>
      <c r="BV174" s="105"/>
      <c r="BW174" s="105"/>
      <c r="BX174" s="105"/>
      <c r="BY174" s="105"/>
      <c r="BZ174" s="105"/>
      <c r="CA174" s="105"/>
      <c r="CB174" s="105"/>
      <c r="CC174" s="105"/>
      <c r="CD174" s="105"/>
      <c r="CE174" s="105"/>
      <c r="CF174" s="105"/>
      <c r="CG174" s="105"/>
      <c r="CH174" s="105"/>
      <c r="CI174" s="105"/>
      <c r="CJ174" s="105"/>
      <c r="CK174" s="105"/>
      <c r="CL174" s="105"/>
      <c r="CM174" s="105"/>
      <c r="CN174" s="105"/>
      <c r="CO174" s="105"/>
      <c r="CP174" s="105"/>
      <c r="CQ174" s="105"/>
      <c r="CR174" s="105"/>
      <c r="CS174" s="105"/>
      <c r="CT174" s="105"/>
      <c r="CU174" s="105"/>
      <c r="CV174" s="105"/>
      <c r="CW174" s="105"/>
      <c r="CX174" s="105"/>
      <c r="CY174" s="105"/>
      <c r="CZ174" s="105"/>
      <c r="DA174" s="105"/>
      <c r="DB174" s="105"/>
      <c r="DC174" s="105"/>
      <c r="DD174" s="105"/>
      <c r="DE174" s="105"/>
      <c r="DF174" s="105"/>
      <c r="DG174" s="105"/>
      <c r="DH174" s="105"/>
      <c r="DI174" s="105"/>
      <c r="DJ174" s="105"/>
      <c r="DK174" s="105"/>
      <c r="DL174" s="105"/>
      <c r="DM174" s="105"/>
      <c r="DN174" s="105"/>
      <c r="DO174" s="105"/>
      <c r="DP174" s="105"/>
      <c r="DQ174" s="105"/>
      <c r="DR174" s="105"/>
      <c r="DS174" s="105"/>
      <c r="DT174" s="105"/>
      <c r="DU174" s="105"/>
      <c r="DV174" s="105"/>
      <c r="DW174" s="105"/>
      <c r="DX174" s="105"/>
      <c r="DY174" s="105"/>
      <c r="DZ174" s="105"/>
      <c r="EA174" s="105"/>
      <c r="EB174" s="105"/>
      <c r="EC174" s="105"/>
      <c r="ED174" s="105"/>
      <c r="EE174" s="105"/>
      <c r="EF174" s="105"/>
      <c r="EG174" s="105"/>
      <c r="EH174" s="105"/>
      <c r="EI174" s="105"/>
      <c r="EJ174" s="105"/>
      <c r="EK174" s="105"/>
      <c r="EL174" s="105"/>
      <c r="EM174" s="105"/>
      <c r="EN174" s="105"/>
      <c r="EO174" s="105"/>
      <c r="EP174" s="105"/>
      <c r="EQ174" s="105"/>
      <c r="ER174" s="105"/>
      <c r="ES174" s="105"/>
      <c r="ET174" s="105"/>
      <c r="EU174" s="105"/>
      <c r="EV174" s="105"/>
      <c r="EW174" s="105"/>
      <c r="EX174" s="105"/>
      <c r="EY174" s="105"/>
      <c r="EZ174" s="105"/>
      <c r="FA174" s="105"/>
      <c r="FB174" s="105"/>
      <c r="FC174" s="105"/>
      <c r="FD174" s="105"/>
      <c r="FE174" s="105"/>
      <c r="FF174" s="105"/>
      <c r="FG174" s="105"/>
      <c r="FH174" s="105"/>
      <c r="FI174" s="105"/>
      <c r="FJ174" s="105"/>
      <c r="FK174" s="105"/>
      <c r="FL174" s="105"/>
      <c r="FM174" s="105"/>
      <c r="FN174" s="105"/>
      <c r="FO174" s="105"/>
      <c r="FP174" s="105"/>
      <c r="FQ174" s="105"/>
      <c r="FR174" s="105"/>
      <c r="FS174" s="105"/>
      <c r="FT174" s="105"/>
      <c r="FU174" s="105"/>
      <c r="FV174" s="105"/>
      <c r="FW174" s="105"/>
      <c r="FX174" s="105"/>
      <c r="FY174" s="105"/>
      <c r="FZ174" s="105"/>
      <c r="GA174" s="105"/>
      <c r="GB174" s="105"/>
      <c r="GC174" s="105"/>
      <c r="GD174" s="105"/>
      <c r="GE174" s="105"/>
      <c r="GF174" s="105"/>
      <c r="GG174" s="105"/>
      <c r="GH174" s="105"/>
      <c r="GI174" s="105"/>
      <c r="GJ174" s="105"/>
      <c r="GK174" s="105"/>
      <c r="GL174" s="105"/>
      <c r="GM174" s="105"/>
      <c r="GN174" s="105"/>
      <c r="GO174" s="105"/>
      <c r="GP174" s="105"/>
      <c r="GQ174" s="105"/>
      <c r="GR174" s="105"/>
      <c r="GS174" s="105"/>
      <c r="GT174" s="105"/>
      <c r="GU174" s="105"/>
      <c r="GV174" s="105"/>
      <c r="GW174" s="105"/>
      <c r="GX174" s="105"/>
      <c r="GY174" s="105"/>
      <c r="GZ174" s="105"/>
      <c r="HA174" s="105"/>
      <c r="HB174" s="105"/>
      <c r="HC174" s="105"/>
      <c r="HD174" s="105"/>
      <c r="HE174" s="105"/>
      <c r="HF174" s="105"/>
      <c r="HG174" s="105"/>
      <c r="HH174" s="105"/>
      <c r="HI174" s="105"/>
      <c r="HJ174" s="105"/>
      <c r="HK174" s="105"/>
      <c r="HL174" s="105"/>
      <c r="HM174" s="105"/>
      <c r="HN174" s="105"/>
      <c r="HO174" s="105"/>
      <c r="HP174" s="105"/>
      <c r="HQ174" s="105"/>
      <c r="HR174" s="105"/>
      <c r="HS174" s="105"/>
      <c r="HT174" s="105"/>
      <c r="HU174" s="105"/>
      <c r="HV174" s="105"/>
      <c r="HW174" s="105"/>
      <c r="HX174" s="105"/>
      <c r="HY174" s="105"/>
      <c r="HZ174" s="105"/>
      <c r="IA174" s="105"/>
      <c r="IB174" s="105"/>
      <c r="IC174" s="105"/>
      <c r="ID174" s="105"/>
      <c r="IE174" s="105"/>
      <c r="IF174" s="105"/>
      <c r="IG174" s="105"/>
      <c r="IH174" s="105"/>
      <c r="II174" s="105"/>
      <c r="IJ174" s="105"/>
      <c r="IK174" s="105"/>
      <c r="IL174" s="105"/>
      <c r="IM174" s="105"/>
      <c r="IN174" s="105"/>
      <c r="IO174" s="105"/>
      <c r="IP174" s="105"/>
      <c r="IQ174" s="105"/>
      <c r="IR174" s="105"/>
      <c r="IS174" s="105"/>
    </row>
    <row r="175" spans="1:253">
      <c r="A175" s="116"/>
      <c r="B175" s="105"/>
      <c r="C175" s="116"/>
      <c r="D175" s="116"/>
      <c r="E175" s="116"/>
      <c r="F175" s="116"/>
      <c r="G175" s="116"/>
      <c r="H175" s="116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5"/>
      <c r="BN175" s="105"/>
      <c r="BO175" s="105"/>
      <c r="BP175" s="105"/>
      <c r="BQ175" s="105"/>
      <c r="BR175" s="105"/>
      <c r="BS175" s="105"/>
      <c r="BT175" s="105"/>
      <c r="BU175" s="105"/>
      <c r="BV175" s="105"/>
      <c r="BW175" s="105"/>
      <c r="BX175" s="105"/>
      <c r="BY175" s="105"/>
      <c r="BZ175" s="105"/>
      <c r="CA175" s="105"/>
      <c r="CB175" s="105"/>
      <c r="CC175" s="105"/>
      <c r="CD175" s="105"/>
      <c r="CE175" s="105"/>
      <c r="CF175" s="105"/>
      <c r="CG175" s="105"/>
      <c r="CH175" s="105"/>
      <c r="CI175" s="105"/>
      <c r="CJ175" s="105"/>
      <c r="CK175" s="105"/>
      <c r="CL175" s="105"/>
      <c r="CM175" s="105"/>
      <c r="CN175" s="105"/>
      <c r="CO175" s="105"/>
      <c r="CP175" s="105"/>
      <c r="CQ175" s="105"/>
      <c r="CR175" s="105"/>
      <c r="CS175" s="105"/>
      <c r="CT175" s="105"/>
      <c r="CU175" s="105"/>
      <c r="CV175" s="105"/>
      <c r="CW175" s="105"/>
      <c r="CX175" s="105"/>
      <c r="CY175" s="105"/>
      <c r="CZ175" s="105"/>
      <c r="DA175" s="105"/>
      <c r="DB175" s="105"/>
      <c r="DC175" s="105"/>
      <c r="DD175" s="105"/>
      <c r="DE175" s="105"/>
      <c r="DF175" s="105"/>
      <c r="DG175" s="105"/>
      <c r="DH175" s="105"/>
      <c r="DI175" s="105"/>
      <c r="DJ175" s="105"/>
      <c r="DK175" s="105"/>
      <c r="DL175" s="105"/>
      <c r="DM175" s="105"/>
      <c r="DN175" s="105"/>
      <c r="DO175" s="105"/>
      <c r="DP175" s="105"/>
      <c r="DQ175" s="105"/>
      <c r="DR175" s="105"/>
      <c r="DS175" s="105"/>
      <c r="DT175" s="105"/>
      <c r="DU175" s="105"/>
      <c r="DV175" s="105"/>
      <c r="DW175" s="105"/>
      <c r="DX175" s="105"/>
      <c r="DY175" s="105"/>
      <c r="DZ175" s="105"/>
      <c r="EA175" s="105"/>
      <c r="EB175" s="105"/>
      <c r="EC175" s="105"/>
      <c r="ED175" s="105"/>
      <c r="EE175" s="105"/>
      <c r="EF175" s="105"/>
      <c r="EG175" s="105"/>
      <c r="EH175" s="105"/>
      <c r="EI175" s="105"/>
      <c r="EJ175" s="105"/>
      <c r="EK175" s="105"/>
      <c r="EL175" s="105"/>
      <c r="EM175" s="105"/>
      <c r="EN175" s="105"/>
      <c r="EO175" s="105"/>
      <c r="EP175" s="105"/>
      <c r="EQ175" s="105"/>
      <c r="ER175" s="105"/>
      <c r="ES175" s="105"/>
      <c r="ET175" s="105"/>
      <c r="EU175" s="105"/>
      <c r="EV175" s="105"/>
      <c r="EW175" s="105"/>
      <c r="EX175" s="105"/>
      <c r="EY175" s="105"/>
      <c r="EZ175" s="105"/>
      <c r="FA175" s="105"/>
      <c r="FB175" s="105"/>
      <c r="FC175" s="105"/>
      <c r="FD175" s="105"/>
      <c r="FE175" s="105"/>
      <c r="FF175" s="105"/>
      <c r="FG175" s="105"/>
      <c r="FH175" s="105"/>
      <c r="FI175" s="105"/>
      <c r="FJ175" s="105"/>
      <c r="FK175" s="105"/>
      <c r="FL175" s="105"/>
      <c r="FM175" s="105"/>
      <c r="FN175" s="105"/>
      <c r="FO175" s="105"/>
      <c r="FP175" s="105"/>
      <c r="FQ175" s="105"/>
      <c r="FR175" s="105"/>
      <c r="FS175" s="105"/>
      <c r="FT175" s="105"/>
      <c r="FU175" s="105"/>
      <c r="FV175" s="105"/>
      <c r="FW175" s="105"/>
      <c r="FX175" s="105"/>
      <c r="FY175" s="105"/>
      <c r="FZ175" s="105"/>
      <c r="GA175" s="105"/>
      <c r="GB175" s="105"/>
      <c r="GC175" s="105"/>
      <c r="GD175" s="105"/>
      <c r="GE175" s="105"/>
      <c r="GF175" s="105"/>
      <c r="GG175" s="105"/>
      <c r="GH175" s="105"/>
      <c r="GI175" s="105"/>
      <c r="GJ175" s="105"/>
      <c r="GK175" s="105"/>
      <c r="GL175" s="105"/>
      <c r="GM175" s="105"/>
      <c r="GN175" s="105"/>
      <c r="GO175" s="105"/>
      <c r="GP175" s="105"/>
      <c r="GQ175" s="105"/>
      <c r="GR175" s="105"/>
      <c r="GS175" s="105"/>
      <c r="GT175" s="105"/>
      <c r="GU175" s="105"/>
      <c r="GV175" s="105"/>
      <c r="GW175" s="105"/>
      <c r="GX175" s="105"/>
      <c r="GY175" s="105"/>
      <c r="GZ175" s="105"/>
      <c r="HA175" s="105"/>
      <c r="HB175" s="105"/>
      <c r="HC175" s="105"/>
      <c r="HD175" s="105"/>
      <c r="HE175" s="105"/>
      <c r="HF175" s="105"/>
      <c r="HG175" s="105"/>
      <c r="HH175" s="105"/>
      <c r="HI175" s="105"/>
      <c r="HJ175" s="105"/>
      <c r="HK175" s="105"/>
      <c r="HL175" s="105"/>
      <c r="HM175" s="105"/>
      <c r="HN175" s="105"/>
      <c r="HO175" s="105"/>
      <c r="HP175" s="105"/>
      <c r="HQ175" s="105"/>
      <c r="HR175" s="105"/>
      <c r="HS175" s="105"/>
      <c r="HT175" s="105"/>
      <c r="HU175" s="105"/>
      <c r="HV175" s="105"/>
      <c r="HW175" s="105"/>
      <c r="HX175" s="105"/>
      <c r="HY175" s="105"/>
      <c r="HZ175" s="105"/>
      <c r="IA175" s="105"/>
      <c r="IB175" s="105"/>
      <c r="IC175" s="105"/>
      <c r="ID175" s="105"/>
      <c r="IE175" s="105"/>
      <c r="IF175" s="105"/>
      <c r="IG175" s="105"/>
      <c r="IH175" s="105"/>
      <c r="II175" s="105"/>
      <c r="IJ175" s="105"/>
      <c r="IK175" s="105"/>
      <c r="IL175" s="105"/>
      <c r="IM175" s="105"/>
      <c r="IN175" s="105"/>
      <c r="IO175" s="105"/>
      <c r="IP175" s="105"/>
      <c r="IQ175" s="105"/>
      <c r="IR175" s="105"/>
      <c r="IS175" s="105"/>
    </row>
    <row r="176" spans="1:253">
      <c r="A176" s="116"/>
      <c r="B176" s="105"/>
      <c r="C176" s="116"/>
      <c r="D176" s="116"/>
      <c r="E176" s="116"/>
      <c r="F176" s="116"/>
      <c r="G176" s="116"/>
      <c r="H176" s="116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  <c r="BO176" s="105"/>
      <c r="BP176" s="105"/>
      <c r="BQ176" s="105"/>
      <c r="BR176" s="105"/>
      <c r="BS176" s="105"/>
      <c r="BT176" s="105"/>
      <c r="BU176" s="105"/>
      <c r="BV176" s="105"/>
      <c r="BW176" s="105"/>
      <c r="BX176" s="105"/>
      <c r="BY176" s="105"/>
      <c r="BZ176" s="105"/>
      <c r="CA176" s="105"/>
      <c r="CB176" s="105"/>
      <c r="CC176" s="105"/>
      <c r="CD176" s="105"/>
      <c r="CE176" s="105"/>
      <c r="CF176" s="105"/>
      <c r="CG176" s="105"/>
      <c r="CH176" s="105"/>
      <c r="CI176" s="105"/>
      <c r="CJ176" s="105"/>
      <c r="CK176" s="105"/>
      <c r="CL176" s="105"/>
      <c r="CM176" s="105"/>
      <c r="CN176" s="105"/>
      <c r="CO176" s="105"/>
      <c r="CP176" s="105"/>
      <c r="CQ176" s="105"/>
      <c r="CR176" s="105"/>
      <c r="CS176" s="105"/>
      <c r="CT176" s="105"/>
      <c r="CU176" s="105"/>
      <c r="CV176" s="105"/>
      <c r="CW176" s="105"/>
      <c r="CX176" s="105"/>
      <c r="CY176" s="105"/>
      <c r="CZ176" s="105"/>
      <c r="DA176" s="105"/>
      <c r="DB176" s="105"/>
      <c r="DC176" s="105"/>
      <c r="DD176" s="105"/>
      <c r="DE176" s="105"/>
      <c r="DF176" s="105"/>
      <c r="DG176" s="105"/>
      <c r="DH176" s="105"/>
      <c r="DI176" s="105"/>
      <c r="DJ176" s="105"/>
      <c r="DK176" s="105"/>
      <c r="DL176" s="105"/>
      <c r="DM176" s="105"/>
      <c r="DN176" s="105"/>
      <c r="DO176" s="105"/>
      <c r="DP176" s="105"/>
      <c r="DQ176" s="105"/>
      <c r="DR176" s="105"/>
      <c r="DS176" s="105"/>
      <c r="DT176" s="105"/>
      <c r="DU176" s="105"/>
      <c r="DV176" s="105"/>
      <c r="DW176" s="105"/>
      <c r="DX176" s="105"/>
      <c r="DY176" s="105"/>
      <c r="DZ176" s="105"/>
      <c r="EA176" s="105"/>
      <c r="EB176" s="105"/>
      <c r="EC176" s="105"/>
      <c r="ED176" s="105"/>
      <c r="EE176" s="105"/>
      <c r="EF176" s="105"/>
      <c r="EG176" s="105"/>
      <c r="EH176" s="105"/>
      <c r="EI176" s="105"/>
      <c r="EJ176" s="105"/>
      <c r="EK176" s="105"/>
      <c r="EL176" s="105"/>
      <c r="EM176" s="105"/>
      <c r="EN176" s="105"/>
      <c r="EO176" s="105"/>
      <c r="EP176" s="105"/>
      <c r="EQ176" s="105"/>
      <c r="ER176" s="105"/>
      <c r="ES176" s="105"/>
      <c r="ET176" s="105"/>
      <c r="EU176" s="105"/>
      <c r="EV176" s="105"/>
      <c r="EW176" s="105"/>
      <c r="EX176" s="105"/>
      <c r="EY176" s="105"/>
      <c r="EZ176" s="105"/>
      <c r="FA176" s="105"/>
      <c r="FB176" s="105"/>
      <c r="FC176" s="105"/>
      <c r="FD176" s="105"/>
      <c r="FE176" s="105"/>
      <c r="FF176" s="105"/>
      <c r="FG176" s="105"/>
      <c r="FH176" s="105"/>
      <c r="FI176" s="105"/>
      <c r="FJ176" s="105"/>
      <c r="FK176" s="105"/>
      <c r="FL176" s="105"/>
      <c r="FM176" s="105"/>
      <c r="FN176" s="105"/>
      <c r="FO176" s="105"/>
      <c r="FP176" s="105"/>
      <c r="FQ176" s="105"/>
      <c r="FR176" s="105"/>
      <c r="FS176" s="105"/>
      <c r="FT176" s="105"/>
      <c r="FU176" s="105"/>
      <c r="FV176" s="105"/>
      <c r="FW176" s="105"/>
      <c r="FX176" s="105"/>
      <c r="FY176" s="105"/>
      <c r="FZ176" s="105"/>
      <c r="GA176" s="105"/>
      <c r="GB176" s="105"/>
      <c r="GC176" s="105"/>
      <c r="GD176" s="105"/>
      <c r="GE176" s="105"/>
      <c r="GF176" s="105"/>
      <c r="GG176" s="105"/>
      <c r="GH176" s="105"/>
      <c r="GI176" s="105"/>
      <c r="GJ176" s="105"/>
      <c r="GK176" s="105"/>
      <c r="GL176" s="105"/>
      <c r="GM176" s="105"/>
      <c r="GN176" s="105"/>
      <c r="GO176" s="105"/>
      <c r="GP176" s="105"/>
      <c r="GQ176" s="105"/>
      <c r="GR176" s="105"/>
      <c r="GS176" s="105"/>
      <c r="GT176" s="105"/>
      <c r="GU176" s="105"/>
      <c r="GV176" s="105"/>
      <c r="GW176" s="105"/>
      <c r="GX176" s="105"/>
      <c r="GY176" s="105"/>
      <c r="GZ176" s="105"/>
      <c r="HA176" s="105"/>
      <c r="HB176" s="105"/>
      <c r="HC176" s="105"/>
      <c r="HD176" s="105"/>
      <c r="HE176" s="105"/>
      <c r="HF176" s="105"/>
      <c r="HG176" s="105"/>
      <c r="HH176" s="105"/>
      <c r="HI176" s="105"/>
      <c r="HJ176" s="105"/>
      <c r="HK176" s="105"/>
      <c r="HL176" s="105"/>
      <c r="HM176" s="105"/>
      <c r="HN176" s="105"/>
      <c r="HO176" s="105"/>
      <c r="HP176" s="105"/>
      <c r="HQ176" s="105"/>
      <c r="HR176" s="105"/>
      <c r="HS176" s="105"/>
      <c r="HT176" s="105"/>
      <c r="HU176" s="105"/>
      <c r="HV176" s="105"/>
      <c r="HW176" s="105"/>
      <c r="HX176" s="105"/>
      <c r="HY176" s="105"/>
      <c r="HZ176" s="105"/>
      <c r="IA176" s="105"/>
      <c r="IB176" s="105"/>
      <c r="IC176" s="105"/>
      <c r="ID176" s="105"/>
      <c r="IE176" s="105"/>
      <c r="IF176" s="105"/>
      <c r="IG176" s="105"/>
      <c r="IH176" s="105"/>
      <c r="II176" s="105"/>
      <c r="IJ176" s="105"/>
      <c r="IK176" s="105"/>
      <c r="IL176" s="105"/>
      <c r="IM176" s="105"/>
      <c r="IN176" s="105"/>
      <c r="IO176" s="105"/>
      <c r="IP176" s="105"/>
      <c r="IQ176" s="105"/>
      <c r="IR176" s="105"/>
      <c r="IS176" s="105"/>
    </row>
    <row r="177" spans="1:253">
      <c r="A177" s="116"/>
      <c r="B177" s="105"/>
      <c r="C177" s="116"/>
      <c r="D177" s="116"/>
      <c r="E177" s="116"/>
      <c r="F177" s="116"/>
      <c r="G177" s="116"/>
      <c r="H177" s="116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  <c r="BO177" s="105"/>
      <c r="BP177" s="105"/>
      <c r="BQ177" s="105"/>
      <c r="BR177" s="105"/>
      <c r="BS177" s="105"/>
      <c r="BT177" s="105"/>
      <c r="BU177" s="105"/>
      <c r="BV177" s="105"/>
      <c r="BW177" s="105"/>
      <c r="BX177" s="105"/>
      <c r="BY177" s="105"/>
      <c r="BZ177" s="105"/>
      <c r="CA177" s="105"/>
      <c r="CB177" s="105"/>
      <c r="CC177" s="105"/>
      <c r="CD177" s="105"/>
      <c r="CE177" s="105"/>
      <c r="CF177" s="105"/>
      <c r="CG177" s="105"/>
      <c r="CH177" s="105"/>
      <c r="CI177" s="105"/>
      <c r="CJ177" s="105"/>
      <c r="CK177" s="105"/>
      <c r="CL177" s="105"/>
      <c r="CM177" s="105"/>
      <c r="CN177" s="105"/>
      <c r="CO177" s="105"/>
      <c r="CP177" s="105"/>
      <c r="CQ177" s="105"/>
      <c r="CR177" s="105"/>
      <c r="CS177" s="105"/>
      <c r="CT177" s="105"/>
      <c r="CU177" s="105"/>
      <c r="CV177" s="105"/>
      <c r="CW177" s="105"/>
      <c r="CX177" s="105"/>
      <c r="CY177" s="105"/>
      <c r="CZ177" s="105"/>
      <c r="DA177" s="105"/>
      <c r="DB177" s="105"/>
      <c r="DC177" s="105"/>
      <c r="DD177" s="105"/>
      <c r="DE177" s="105"/>
      <c r="DF177" s="105"/>
      <c r="DG177" s="105"/>
      <c r="DH177" s="105"/>
      <c r="DI177" s="105"/>
      <c r="DJ177" s="105"/>
      <c r="DK177" s="105"/>
      <c r="DL177" s="105"/>
      <c r="DM177" s="105"/>
      <c r="DN177" s="105"/>
      <c r="DO177" s="105"/>
      <c r="DP177" s="105"/>
      <c r="DQ177" s="105"/>
      <c r="DR177" s="105"/>
      <c r="DS177" s="105"/>
      <c r="DT177" s="105"/>
      <c r="DU177" s="105"/>
      <c r="DV177" s="105"/>
      <c r="DW177" s="105"/>
      <c r="DX177" s="105"/>
      <c r="DY177" s="105"/>
      <c r="DZ177" s="105"/>
      <c r="EA177" s="105"/>
      <c r="EB177" s="105"/>
      <c r="EC177" s="105"/>
      <c r="ED177" s="105"/>
      <c r="EE177" s="105"/>
      <c r="EF177" s="105"/>
      <c r="EG177" s="105"/>
      <c r="EH177" s="105"/>
      <c r="EI177" s="105"/>
      <c r="EJ177" s="105"/>
      <c r="EK177" s="105"/>
      <c r="EL177" s="105"/>
      <c r="EM177" s="105"/>
      <c r="EN177" s="105"/>
      <c r="EO177" s="105"/>
      <c r="EP177" s="105"/>
      <c r="EQ177" s="105"/>
      <c r="ER177" s="105"/>
      <c r="ES177" s="105"/>
      <c r="ET177" s="105"/>
      <c r="EU177" s="105"/>
      <c r="EV177" s="105"/>
      <c r="EW177" s="105"/>
      <c r="EX177" s="105"/>
      <c r="EY177" s="105"/>
      <c r="EZ177" s="105"/>
      <c r="FA177" s="105"/>
      <c r="FB177" s="105"/>
      <c r="FC177" s="105"/>
      <c r="FD177" s="105"/>
      <c r="FE177" s="105"/>
      <c r="FF177" s="105"/>
      <c r="FG177" s="105"/>
      <c r="FH177" s="105"/>
      <c r="FI177" s="105"/>
      <c r="FJ177" s="105"/>
      <c r="FK177" s="105"/>
      <c r="FL177" s="105"/>
      <c r="FM177" s="105"/>
      <c r="FN177" s="105"/>
      <c r="FO177" s="105"/>
      <c r="FP177" s="105"/>
      <c r="FQ177" s="105"/>
      <c r="FR177" s="105"/>
      <c r="FS177" s="105"/>
      <c r="FT177" s="105"/>
      <c r="FU177" s="105"/>
      <c r="FV177" s="105"/>
      <c r="FW177" s="105"/>
      <c r="FX177" s="105"/>
      <c r="FY177" s="105"/>
      <c r="FZ177" s="105"/>
      <c r="GA177" s="105"/>
      <c r="GB177" s="105"/>
      <c r="GC177" s="105"/>
      <c r="GD177" s="105"/>
      <c r="GE177" s="105"/>
      <c r="GF177" s="105"/>
      <c r="GG177" s="105"/>
      <c r="GH177" s="105"/>
      <c r="GI177" s="105"/>
      <c r="GJ177" s="105"/>
      <c r="GK177" s="105"/>
      <c r="GL177" s="105"/>
      <c r="GM177" s="105"/>
      <c r="GN177" s="105"/>
      <c r="GO177" s="105"/>
      <c r="GP177" s="105"/>
      <c r="GQ177" s="105"/>
      <c r="GR177" s="105"/>
      <c r="GS177" s="105"/>
      <c r="GT177" s="105"/>
      <c r="GU177" s="105"/>
      <c r="GV177" s="105"/>
      <c r="GW177" s="105"/>
      <c r="GX177" s="105"/>
      <c r="GY177" s="105"/>
      <c r="GZ177" s="105"/>
      <c r="HA177" s="105"/>
      <c r="HB177" s="105"/>
      <c r="HC177" s="105"/>
      <c r="HD177" s="105"/>
      <c r="HE177" s="105"/>
      <c r="HF177" s="105"/>
      <c r="HG177" s="105"/>
      <c r="HH177" s="105"/>
      <c r="HI177" s="105"/>
      <c r="HJ177" s="105"/>
      <c r="HK177" s="105"/>
      <c r="HL177" s="105"/>
      <c r="HM177" s="105"/>
      <c r="HN177" s="105"/>
      <c r="HO177" s="105"/>
      <c r="HP177" s="105"/>
      <c r="HQ177" s="105"/>
      <c r="HR177" s="105"/>
      <c r="HS177" s="105"/>
      <c r="HT177" s="105"/>
      <c r="HU177" s="105"/>
      <c r="HV177" s="105"/>
      <c r="HW177" s="105"/>
      <c r="HX177" s="105"/>
      <c r="HY177" s="105"/>
      <c r="HZ177" s="105"/>
      <c r="IA177" s="105"/>
      <c r="IB177" s="105"/>
      <c r="IC177" s="105"/>
      <c r="ID177" s="105"/>
      <c r="IE177" s="105"/>
      <c r="IF177" s="105"/>
      <c r="IG177" s="105"/>
      <c r="IH177" s="105"/>
      <c r="II177" s="105"/>
      <c r="IJ177" s="105"/>
      <c r="IK177" s="105"/>
      <c r="IL177" s="105"/>
      <c r="IM177" s="105"/>
      <c r="IN177" s="105"/>
      <c r="IO177" s="105"/>
      <c r="IP177" s="105"/>
      <c r="IQ177" s="105"/>
      <c r="IR177" s="105"/>
      <c r="IS177" s="105"/>
    </row>
    <row r="178" spans="1:253">
      <c r="A178" s="116"/>
      <c r="B178" s="105"/>
      <c r="C178" s="116"/>
      <c r="D178" s="116"/>
      <c r="E178" s="116"/>
      <c r="F178" s="116"/>
      <c r="G178" s="116"/>
      <c r="H178" s="116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  <c r="BL178" s="105"/>
      <c r="BM178" s="105"/>
      <c r="BN178" s="105"/>
      <c r="BO178" s="105"/>
      <c r="BP178" s="105"/>
      <c r="BQ178" s="105"/>
      <c r="BR178" s="105"/>
      <c r="BS178" s="105"/>
      <c r="BT178" s="105"/>
      <c r="BU178" s="105"/>
      <c r="BV178" s="105"/>
      <c r="BW178" s="105"/>
      <c r="BX178" s="105"/>
      <c r="BY178" s="105"/>
      <c r="BZ178" s="105"/>
      <c r="CA178" s="105"/>
      <c r="CB178" s="105"/>
      <c r="CC178" s="105"/>
      <c r="CD178" s="105"/>
      <c r="CE178" s="105"/>
      <c r="CF178" s="105"/>
      <c r="CG178" s="105"/>
      <c r="CH178" s="105"/>
      <c r="CI178" s="105"/>
      <c r="CJ178" s="105"/>
      <c r="CK178" s="105"/>
      <c r="CL178" s="105"/>
      <c r="CM178" s="105"/>
      <c r="CN178" s="105"/>
      <c r="CO178" s="105"/>
      <c r="CP178" s="105"/>
      <c r="CQ178" s="105"/>
      <c r="CR178" s="105"/>
      <c r="CS178" s="105"/>
      <c r="CT178" s="105"/>
      <c r="CU178" s="105"/>
      <c r="CV178" s="105"/>
      <c r="CW178" s="105"/>
      <c r="CX178" s="105"/>
      <c r="CY178" s="105"/>
      <c r="CZ178" s="105"/>
      <c r="DA178" s="105"/>
      <c r="DB178" s="105"/>
      <c r="DC178" s="105"/>
      <c r="DD178" s="105"/>
      <c r="DE178" s="105"/>
      <c r="DF178" s="105"/>
      <c r="DG178" s="105"/>
      <c r="DH178" s="105"/>
      <c r="DI178" s="105"/>
      <c r="DJ178" s="105"/>
      <c r="DK178" s="105"/>
      <c r="DL178" s="105"/>
      <c r="DM178" s="105"/>
      <c r="DN178" s="105"/>
      <c r="DO178" s="105"/>
      <c r="DP178" s="105"/>
      <c r="DQ178" s="105"/>
      <c r="DR178" s="105"/>
      <c r="DS178" s="105"/>
      <c r="DT178" s="105"/>
      <c r="DU178" s="105"/>
      <c r="DV178" s="105"/>
      <c r="DW178" s="105"/>
      <c r="DX178" s="105"/>
      <c r="DY178" s="105"/>
      <c r="DZ178" s="105"/>
      <c r="EA178" s="105"/>
      <c r="EB178" s="105"/>
      <c r="EC178" s="105"/>
      <c r="ED178" s="105"/>
      <c r="EE178" s="105"/>
      <c r="EF178" s="105"/>
      <c r="EG178" s="105"/>
      <c r="EH178" s="105"/>
      <c r="EI178" s="105"/>
      <c r="EJ178" s="105"/>
      <c r="EK178" s="105"/>
      <c r="EL178" s="105"/>
      <c r="EM178" s="105"/>
      <c r="EN178" s="105"/>
      <c r="EO178" s="105"/>
      <c r="EP178" s="105"/>
      <c r="EQ178" s="105"/>
      <c r="ER178" s="105"/>
      <c r="ES178" s="105"/>
      <c r="ET178" s="105"/>
      <c r="EU178" s="105"/>
      <c r="EV178" s="105"/>
      <c r="EW178" s="105"/>
      <c r="EX178" s="105"/>
      <c r="EY178" s="105"/>
      <c r="EZ178" s="105"/>
      <c r="FA178" s="105"/>
      <c r="FB178" s="105"/>
      <c r="FC178" s="105"/>
      <c r="FD178" s="105"/>
      <c r="FE178" s="105"/>
      <c r="FF178" s="105"/>
      <c r="FG178" s="105"/>
      <c r="FH178" s="105"/>
      <c r="FI178" s="105"/>
      <c r="FJ178" s="105"/>
      <c r="FK178" s="105"/>
      <c r="FL178" s="105"/>
      <c r="FM178" s="105"/>
      <c r="FN178" s="105"/>
      <c r="FO178" s="105"/>
      <c r="FP178" s="105"/>
      <c r="FQ178" s="105"/>
      <c r="FR178" s="105"/>
      <c r="FS178" s="105"/>
      <c r="FT178" s="105"/>
      <c r="FU178" s="105"/>
      <c r="FV178" s="105"/>
      <c r="FW178" s="105"/>
      <c r="FX178" s="105"/>
      <c r="FY178" s="105"/>
      <c r="FZ178" s="105"/>
      <c r="GA178" s="105"/>
      <c r="GB178" s="105"/>
      <c r="GC178" s="105"/>
      <c r="GD178" s="105"/>
      <c r="GE178" s="105"/>
      <c r="GF178" s="105"/>
      <c r="GG178" s="105"/>
      <c r="GH178" s="105"/>
      <c r="GI178" s="105"/>
      <c r="GJ178" s="105"/>
      <c r="GK178" s="105"/>
      <c r="GL178" s="105"/>
      <c r="GM178" s="105"/>
      <c r="GN178" s="105"/>
      <c r="GO178" s="105"/>
      <c r="GP178" s="105"/>
      <c r="GQ178" s="105"/>
      <c r="GR178" s="105"/>
      <c r="GS178" s="105"/>
      <c r="GT178" s="105"/>
      <c r="GU178" s="105"/>
      <c r="GV178" s="105"/>
      <c r="GW178" s="105"/>
      <c r="GX178" s="105"/>
      <c r="GY178" s="105"/>
      <c r="GZ178" s="105"/>
      <c r="HA178" s="105"/>
      <c r="HB178" s="105"/>
      <c r="HC178" s="105"/>
      <c r="HD178" s="105"/>
      <c r="HE178" s="105"/>
      <c r="HF178" s="105"/>
      <c r="HG178" s="105"/>
      <c r="HH178" s="105"/>
      <c r="HI178" s="105"/>
      <c r="HJ178" s="105"/>
      <c r="HK178" s="105"/>
      <c r="HL178" s="105"/>
      <c r="HM178" s="105"/>
      <c r="HN178" s="105"/>
      <c r="HO178" s="105"/>
      <c r="HP178" s="105"/>
      <c r="HQ178" s="105"/>
      <c r="HR178" s="105"/>
      <c r="HS178" s="105"/>
      <c r="HT178" s="105"/>
      <c r="HU178" s="105"/>
      <c r="HV178" s="105"/>
      <c r="HW178" s="105"/>
      <c r="HX178" s="105"/>
      <c r="HY178" s="105"/>
      <c r="HZ178" s="105"/>
      <c r="IA178" s="105"/>
      <c r="IB178" s="105"/>
      <c r="IC178" s="105"/>
      <c r="ID178" s="105"/>
      <c r="IE178" s="105"/>
      <c r="IF178" s="105"/>
      <c r="IG178" s="105"/>
      <c r="IH178" s="105"/>
      <c r="II178" s="105"/>
      <c r="IJ178" s="105"/>
      <c r="IK178" s="105"/>
      <c r="IL178" s="105"/>
      <c r="IM178" s="105"/>
      <c r="IN178" s="105"/>
      <c r="IO178" s="105"/>
      <c r="IP178" s="105"/>
      <c r="IQ178" s="105"/>
      <c r="IR178" s="105"/>
      <c r="IS178" s="105"/>
    </row>
    <row r="179" spans="1:253">
      <c r="A179" s="116"/>
      <c r="B179" s="105"/>
      <c r="C179" s="116"/>
      <c r="D179" s="116"/>
      <c r="E179" s="116"/>
      <c r="F179" s="116"/>
      <c r="G179" s="116"/>
      <c r="H179" s="116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5"/>
      <c r="BN179" s="105"/>
      <c r="BO179" s="105"/>
      <c r="BP179" s="105"/>
      <c r="BQ179" s="105"/>
      <c r="BR179" s="105"/>
      <c r="BS179" s="105"/>
      <c r="BT179" s="105"/>
      <c r="BU179" s="105"/>
      <c r="BV179" s="105"/>
      <c r="BW179" s="105"/>
      <c r="BX179" s="105"/>
      <c r="BY179" s="105"/>
      <c r="BZ179" s="105"/>
      <c r="CA179" s="105"/>
      <c r="CB179" s="105"/>
      <c r="CC179" s="105"/>
      <c r="CD179" s="105"/>
      <c r="CE179" s="105"/>
      <c r="CF179" s="105"/>
      <c r="CG179" s="105"/>
      <c r="CH179" s="105"/>
      <c r="CI179" s="105"/>
      <c r="CJ179" s="105"/>
      <c r="CK179" s="105"/>
      <c r="CL179" s="105"/>
      <c r="CM179" s="105"/>
      <c r="CN179" s="105"/>
      <c r="CO179" s="105"/>
      <c r="CP179" s="105"/>
      <c r="CQ179" s="105"/>
      <c r="CR179" s="105"/>
      <c r="CS179" s="105"/>
      <c r="CT179" s="105"/>
      <c r="CU179" s="105"/>
      <c r="CV179" s="105"/>
      <c r="CW179" s="105"/>
      <c r="CX179" s="105"/>
      <c r="CY179" s="105"/>
      <c r="CZ179" s="105"/>
      <c r="DA179" s="105"/>
      <c r="DB179" s="105"/>
      <c r="DC179" s="105"/>
      <c r="DD179" s="105"/>
      <c r="DE179" s="105"/>
      <c r="DF179" s="105"/>
      <c r="DG179" s="105"/>
      <c r="DH179" s="105"/>
      <c r="DI179" s="105"/>
      <c r="DJ179" s="105"/>
      <c r="DK179" s="105"/>
      <c r="DL179" s="105"/>
      <c r="DM179" s="105"/>
      <c r="DN179" s="105"/>
      <c r="DO179" s="105"/>
      <c r="DP179" s="105"/>
      <c r="DQ179" s="105"/>
      <c r="DR179" s="105"/>
      <c r="DS179" s="105"/>
      <c r="DT179" s="105"/>
      <c r="DU179" s="105"/>
      <c r="DV179" s="105"/>
      <c r="DW179" s="105"/>
      <c r="DX179" s="105"/>
      <c r="DY179" s="105"/>
      <c r="DZ179" s="105"/>
      <c r="EA179" s="105"/>
      <c r="EB179" s="105"/>
      <c r="EC179" s="105"/>
      <c r="ED179" s="105"/>
      <c r="EE179" s="105"/>
      <c r="EF179" s="105"/>
      <c r="EG179" s="105"/>
      <c r="EH179" s="105"/>
      <c r="EI179" s="105"/>
      <c r="EJ179" s="105"/>
      <c r="EK179" s="105"/>
      <c r="EL179" s="105"/>
      <c r="EM179" s="105"/>
      <c r="EN179" s="105"/>
      <c r="EO179" s="105"/>
      <c r="EP179" s="105"/>
      <c r="EQ179" s="105"/>
      <c r="ER179" s="105"/>
      <c r="ES179" s="105"/>
      <c r="ET179" s="105"/>
      <c r="EU179" s="105"/>
      <c r="EV179" s="105"/>
      <c r="EW179" s="105"/>
      <c r="EX179" s="105"/>
      <c r="EY179" s="105"/>
      <c r="EZ179" s="105"/>
      <c r="FA179" s="105"/>
      <c r="FB179" s="105"/>
      <c r="FC179" s="105"/>
      <c r="FD179" s="105"/>
      <c r="FE179" s="105"/>
      <c r="FF179" s="105"/>
      <c r="FG179" s="105"/>
      <c r="FH179" s="105"/>
      <c r="FI179" s="105"/>
      <c r="FJ179" s="105"/>
      <c r="FK179" s="105"/>
      <c r="FL179" s="105"/>
      <c r="FM179" s="105"/>
      <c r="FN179" s="105"/>
      <c r="FO179" s="105"/>
      <c r="FP179" s="105"/>
      <c r="FQ179" s="105"/>
      <c r="FR179" s="105"/>
      <c r="FS179" s="105"/>
      <c r="FT179" s="105"/>
      <c r="FU179" s="105"/>
      <c r="FV179" s="105"/>
      <c r="FW179" s="105"/>
      <c r="FX179" s="105"/>
      <c r="FY179" s="105"/>
      <c r="FZ179" s="105"/>
      <c r="GA179" s="105"/>
      <c r="GB179" s="105"/>
      <c r="GC179" s="105"/>
      <c r="GD179" s="105"/>
      <c r="GE179" s="105"/>
      <c r="GF179" s="105"/>
      <c r="GG179" s="105"/>
      <c r="GH179" s="105"/>
      <c r="GI179" s="105"/>
      <c r="GJ179" s="105"/>
      <c r="GK179" s="105"/>
      <c r="GL179" s="105"/>
      <c r="GM179" s="105"/>
      <c r="GN179" s="105"/>
      <c r="GO179" s="105"/>
      <c r="GP179" s="105"/>
      <c r="GQ179" s="105"/>
      <c r="GR179" s="105"/>
      <c r="GS179" s="105"/>
      <c r="GT179" s="105"/>
      <c r="GU179" s="105"/>
      <c r="GV179" s="105"/>
      <c r="GW179" s="105"/>
      <c r="GX179" s="105"/>
      <c r="GY179" s="105"/>
      <c r="GZ179" s="105"/>
      <c r="HA179" s="105"/>
      <c r="HB179" s="105"/>
      <c r="HC179" s="105"/>
      <c r="HD179" s="105"/>
      <c r="HE179" s="105"/>
      <c r="HF179" s="105"/>
      <c r="HG179" s="105"/>
      <c r="HH179" s="105"/>
      <c r="HI179" s="105"/>
      <c r="HJ179" s="105"/>
      <c r="HK179" s="105"/>
      <c r="HL179" s="105"/>
      <c r="HM179" s="105"/>
      <c r="HN179" s="105"/>
      <c r="HO179" s="105"/>
      <c r="HP179" s="105"/>
      <c r="HQ179" s="105"/>
      <c r="HR179" s="105"/>
      <c r="HS179" s="105"/>
      <c r="HT179" s="105"/>
      <c r="HU179" s="105"/>
      <c r="HV179" s="105"/>
      <c r="HW179" s="105"/>
      <c r="HX179" s="105"/>
      <c r="HY179" s="105"/>
      <c r="HZ179" s="105"/>
      <c r="IA179" s="105"/>
      <c r="IB179" s="105"/>
      <c r="IC179" s="105"/>
      <c r="ID179" s="105"/>
      <c r="IE179" s="105"/>
      <c r="IF179" s="105"/>
      <c r="IG179" s="105"/>
      <c r="IH179" s="105"/>
      <c r="II179" s="105"/>
      <c r="IJ179" s="105"/>
      <c r="IK179" s="105"/>
      <c r="IL179" s="105"/>
      <c r="IM179" s="105"/>
      <c r="IN179" s="105"/>
      <c r="IO179" s="105"/>
      <c r="IP179" s="105"/>
      <c r="IQ179" s="105"/>
      <c r="IR179" s="105"/>
      <c r="IS179" s="105"/>
    </row>
    <row r="180" spans="1:253">
      <c r="A180" s="116"/>
      <c r="B180" s="105"/>
      <c r="C180" s="116"/>
      <c r="D180" s="116"/>
      <c r="E180" s="116"/>
      <c r="F180" s="116"/>
      <c r="G180" s="116"/>
      <c r="H180" s="116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5"/>
      <c r="BN180" s="105"/>
      <c r="BO180" s="105"/>
      <c r="BP180" s="105"/>
      <c r="BQ180" s="105"/>
      <c r="BR180" s="105"/>
      <c r="BS180" s="105"/>
      <c r="BT180" s="105"/>
      <c r="BU180" s="105"/>
      <c r="BV180" s="105"/>
      <c r="BW180" s="105"/>
      <c r="BX180" s="105"/>
      <c r="BY180" s="105"/>
      <c r="BZ180" s="105"/>
      <c r="CA180" s="105"/>
      <c r="CB180" s="105"/>
      <c r="CC180" s="105"/>
      <c r="CD180" s="105"/>
      <c r="CE180" s="105"/>
      <c r="CF180" s="105"/>
      <c r="CG180" s="105"/>
      <c r="CH180" s="105"/>
      <c r="CI180" s="105"/>
      <c r="CJ180" s="105"/>
      <c r="CK180" s="105"/>
      <c r="CL180" s="105"/>
      <c r="CM180" s="105"/>
      <c r="CN180" s="105"/>
      <c r="CO180" s="105"/>
      <c r="CP180" s="105"/>
      <c r="CQ180" s="105"/>
      <c r="CR180" s="105"/>
      <c r="CS180" s="105"/>
      <c r="CT180" s="105"/>
      <c r="CU180" s="105"/>
      <c r="CV180" s="105"/>
      <c r="CW180" s="105"/>
      <c r="CX180" s="105"/>
      <c r="CY180" s="105"/>
      <c r="CZ180" s="105"/>
      <c r="DA180" s="105"/>
      <c r="DB180" s="105"/>
      <c r="DC180" s="105"/>
      <c r="DD180" s="105"/>
      <c r="DE180" s="105"/>
      <c r="DF180" s="105"/>
      <c r="DG180" s="105"/>
      <c r="DH180" s="105"/>
      <c r="DI180" s="105"/>
      <c r="DJ180" s="105"/>
      <c r="DK180" s="105"/>
      <c r="DL180" s="105"/>
      <c r="DM180" s="105"/>
      <c r="DN180" s="105"/>
      <c r="DO180" s="105"/>
      <c r="DP180" s="105"/>
      <c r="DQ180" s="105"/>
      <c r="DR180" s="105"/>
      <c r="DS180" s="105"/>
      <c r="DT180" s="105"/>
      <c r="DU180" s="105"/>
      <c r="DV180" s="105"/>
      <c r="DW180" s="105"/>
      <c r="DX180" s="105"/>
      <c r="DY180" s="105"/>
      <c r="DZ180" s="105"/>
      <c r="EA180" s="105"/>
      <c r="EB180" s="105"/>
      <c r="EC180" s="105"/>
      <c r="ED180" s="105"/>
      <c r="EE180" s="105"/>
      <c r="EF180" s="105"/>
      <c r="EG180" s="105"/>
      <c r="EH180" s="105"/>
      <c r="EI180" s="105"/>
      <c r="EJ180" s="105"/>
      <c r="EK180" s="105"/>
      <c r="EL180" s="105"/>
      <c r="EM180" s="105"/>
      <c r="EN180" s="105"/>
      <c r="EO180" s="105"/>
      <c r="EP180" s="105"/>
      <c r="EQ180" s="105"/>
      <c r="ER180" s="105"/>
      <c r="ES180" s="105"/>
      <c r="ET180" s="105"/>
      <c r="EU180" s="105"/>
      <c r="EV180" s="105"/>
      <c r="EW180" s="105"/>
      <c r="EX180" s="105"/>
      <c r="EY180" s="105"/>
      <c r="EZ180" s="105"/>
      <c r="FA180" s="105"/>
      <c r="FB180" s="105"/>
      <c r="FC180" s="105"/>
      <c r="FD180" s="105"/>
      <c r="FE180" s="105"/>
      <c r="FF180" s="105"/>
      <c r="FG180" s="105"/>
      <c r="FH180" s="105"/>
      <c r="FI180" s="105"/>
      <c r="FJ180" s="105"/>
      <c r="FK180" s="105"/>
      <c r="FL180" s="105"/>
      <c r="FM180" s="105"/>
      <c r="FN180" s="105"/>
      <c r="FO180" s="105"/>
      <c r="FP180" s="105"/>
      <c r="FQ180" s="105"/>
      <c r="FR180" s="105"/>
      <c r="FS180" s="105"/>
      <c r="FT180" s="105"/>
      <c r="FU180" s="105"/>
      <c r="FV180" s="105"/>
      <c r="FW180" s="105"/>
      <c r="FX180" s="105"/>
      <c r="FY180" s="105"/>
      <c r="FZ180" s="105"/>
      <c r="GA180" s="105"/>
      <c r="GB180" s="105"/>
      <c r="GC180" s="105"/>
      <c r="GD180" s="105"/>
      <c r="GE180" s="105"/>
      <c r="GF180" s="105"/>
      <c r="GG180" s="105"/>
      <c r="GH180" s="105"/>
      <c r="GI180" s="105"/>
      <c r="GJ180" s="105"/>
      <c r="GK180" s="105"/>
      <c r="GL180" s="105"/>
      <c r="GM180" s="105"/>
      <c r="GN180" s="105"/>
      <c r="GO180" s="105"/>
      <c r="GP180" s="105"/>
      <c r="GQ180" s="105"/>
      <c r="GR180" s="105"/>
      <c r="GS180" s="105"/>
      <c r="GT180" s="105"/>
      <c r="GU180" s="105"/>
      <c r="GV180" s="105"/>
      <c r="GW180" s="105"/>
      <c r="GX180" s="105"/>
      <c r="GY180" s="105"/>
      <c r="GZ180" s="105"/>
      <c r="HA180" s="105"/>
      <c r="HB180" s="105"/>
      <c r="HC180" s="105"/>
      <c r="HD180" s="105"/>
      <c r="HE180" s="105"/>
      <c r="HF180" s="105"/>
      <c r="HG180" s="105"/>
      <c r="HH180" s="105"/>
      <c r="HI180" s="105"/>
      <c r="HJ180" s="105"/>
      <c r="HK180" s="105"/>
      <c r="HL180" s="105"/>
      <c r="HM180" s="105"/>
      <c r="HN180" s="105"/>
      <c r="HO180" s="105"/>
      <c r="HP180" s="105"/>
      <c r="HQ180" s="105"/>
      <c r="HR180" s="105"/>
      <c r="HS180" s="105"/>
      <c r="HT180" s="105"/>
      <c r="HU180" s="105"/>
      <c r="HV180" s="105"/>
      <c r="HW180" s="105"/>
      <c r="HX180" s="105"/>
      <c r="HY180" s="105"/>
      <c r="HZ180" s="105"/>
      <c r="IA180" s="105"/>
      <c r="IB180" s="105"/>
      <c r="IC180" s="105"/>
      <c r="ID180" s="105"/>
      <c r="IE180" s="105"/>
      <c r="IF180" s="105"/>
      <c r="IG180" s="105"/>
      <c r="IH180" s="105"/>
      <c r="II180" s="105"/>
      <c r="IJ180" s="105"/>
      <c r="IK180" s="105"/>
      <c r="IL180" s="105"/>
      <c r="IM180" s="105"/>
      <c r="IN180" s="105"/>
      <c r="IO180" s="105"/>
      <c r="IP180" s="105"/>
      <c r="IQ180" s="105"/>
      <c r="IR180" s="105"/>
      <c r="IS180" s="105"/>
    </row>
    <row r="181" spans="1:253">
      <c r="A181" s="116"/>
      <c r="B181" s="105"/>
      <c r="C181" s="116"/>
      <c r="D181" s="116"/>
      <c r="E181" s="116"/>
      <c r="F181" s="116"/>
      <c r="G181" s="116"/>
      <c r="H181" s="116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5"/>
      <c r="BN181" s="105"/>
      <c r="BO181" s="105"/>
      <c r="BP181" s="105"/>
      <c r="BQ181" s="105"/>
      <c r="BR181" s="105"/>
      <c r="BS181" s="105"/>
      <c r="BT181" s="105"/>
      <c r="BU181" s="105"/>
      <c r="BV181" s="105"/>
      <c r="BW181" s="105"/>
      <c r="BX181" s="105"/>
      <c r="BY181" s="105"/>
      <c r="BZ181" s="105"/>
      <c r="CA181" s="105"/>
      <c r="CB181" s="105"/>
      <c r="CC181" s="105"/>
      <c r="CD181" s="105"/>
      <c r="CE181" s="105"/>
      <c r="CF181" s="105"/>
      <c r="CG181" s="105"/>
      <c r="CH181" s="105"/>
      <c r="CI181" s="105"/>
      <c r="CJ181" s="105"/>
      <c r="CK181" s="105"/>
      <c r="CL181" s="105"/>
      <c r="CM181" s="105"/>
      <c r="CN181" s="105"/>
      <c r="CO181" s="105"/>
      <c r="CP181" s="105"/>
      <c r="CQ181" s="105"/>
      <c r="CR181" s="105"/>
      <c r="CS181" s="105"/>
      <c r="CT181" s="105"/>
      <c r="CU181" s="105"/>
      <c r="CV181" s="105"/>
      <c r="CW181" s="105"/>
      <c r="CX181" s="105"/>
      <c r="CY181" s="105"/>
      <c r="CZ181" s="105"/>
      <c r="DA181" s="105"/>
      <c r="DB181" s="105"/>
      <c r="DC181" s="105"/>
      <c r="DD181" s="105"/>
      <c r="DE181" s="105"/>
      <c r="DF181" s="105"/>
      <c r="DG181" s="105"/>
      <c r="DH181" s="105"/>
      <c r="DI181" s="105"/>
      <c r="DJ181" s="105"/>
      <c r="DK181" s="105"/>
      <c r="DL181" s="105"/>
      <c r="DM181" s="105"/>
      <c r="DN181" s="105"/>
      <c r="DO181" s="105"/>
      <c r="DP181" s="105"/>
      <c r="DQ181" s="105"/>
      <c r="DR181" s="105"/>
      <c r="DS181" s="105"/>
      <c r="DT181" s="105"/>
      <c r="DU181" s="105"/>
      <c r="DV181" s="105"/>
      <c r="DW181" s="105"/>
      <c r="DX181" s="105"/>
      <c r="DY181" s="105"/>
      <c r="DZ181" s="105"/>
      <c r="EA181" s="105"/>
      <c r="EB181" s="105"/>
      <c r="EC181" s="105"/>
      <c r="ED181" s="105"/>
      <c r="EE181" s="105"/>
      <c r="EF181" s="105"/>
      <c r="EG181" s="105"/>
      <c r="EH181" s="105"/>
      <c r="EI181" s="105"/>
      <c r="EJ181" s="105"/>
      <c r="EK181" s="105"/>
      <c r="EL181" s="105"/>
      <c r="EM181" s="105"/>
      <c r="EN181" s="105"/>
      <c r="EO181" s="105"/>
      <c r="EP181" s="105"/>
      <c r="EQ181" s="105"/>
      <c r="ER181" s="105"/>
      <c r="ES181" s="105"/>
      <c r="ET181" s="105"/>
      <c r="EU181" s="105"/>
      <c r="EV181" s="105"/>
      <c r="EW181" s="105"/>
      <c r="EX181" s="105"/>
      <c r="EY181" s="105"/>
      <c r="EZ181" s="105"/>
      <c r="FA181" s="105"/>
      <c r="FB181" s="105"/>
      <c r="FC181" s="105"/>
      <c r="FD181" s="105"/>
      <c r="FE181" s="105"/>
      <c r="FF181" s="105"/>
      <c r="FG181" s="105"/>
      <c r="FH181" s="105"/>
      <c r="FI181" s="105"/>
      <c r="FJ181" s="105"/>
      <c r="FK181" s="105"/>
      <c r="FL181" s="105"/>
      <c r="FM181" s="105"/>
      <c r="FN181" s="105"/>
      <c r="FO181" s="105"/>
      <c r="FP181" s="105"/>
      <c r="FQ181" s="105"/>
      <c r="FR181" s="105"/>
      <c r="FS181" s="105"/>
      <c r="FT181" s="105"/>
      <c r="FU181" s="105"/>
      <c r="FV181" s="105"/>
      <c r="FW181" s="105"/>
      <c r="FX181" s="105"/>
      <c r="FY181" s="105"/>
      <c r="FZ181" s="105"/>
      <c r="GA181" s="105"/>
      <c r="GB181" s="105"/>
      <c r="GC181" s="105"/>
      <c r="GD181" s="105"/>
      <c r="GE181" s="105"/>
      <c r="GF181" s="105"/>
      <c r="GG181" s="105"/>
      <c r="GH181" s="105"/>
      <c r="GI181" s="105"/>
      <c r="GJ181" s="105"/>
      <c r="GK181" s="105"/>
      <c r="GL181" s="105"/>
      <c r="GM181" s="105"/>
      <c r="GN181" s="105"/>
      <c r="GO181" s="105"/>
      <c r="GP181" s="105"/>
      <c r="GQ181" s="105"/>
      <c r="GR181" s="105"/>
      <c r="GS181" s="105"/>
      <c r="GT181" s="105"/>
      <c r="GU181" s="105"/>
      <c r="GV181" s="105"/>
      <c r="GW181" s="105"/>
      <c r="GX181" s="105"/>
      <c r="GY181" s="105"/>
      <c r="GZ181" s="105"/>
      <c r="HA181" s="105"/>
      <c r="HB181" s="105"/>
      <c r="HC181" s="105"/>
      <c r="HD181" s="105"/>
      <c r="HE181" s="105"/>
      <c r="HF181" s="105"/>
      <c r="HG181" s="105"/>
      <c r="HH181" s="105"/>
      <c r="HI181" s="105"/>
      <c r="HJ181" s="105"/>
      <c r="HK181" s="105"/>
      <c r="HL181" s="105"/>
      <c r="HM181" s="105"/>
      <c r="HN181" s="105"/>
      <c r="HO181" s="105"/>
      <c r="HP181" s="105"/>
      <c r="HQ181" s="105"/>
      <c r="HR181" s="105"/>
      <c r="HS181" s="105"/>
      <c r="HT181" s="105"/>
      <c r="HU181" s="105"/>
      <c r="HV181" s="105"/>
      <c r="HW181" s="105"/>
      <c r="HX181" s="105"/>
      <c r="HY181" s="105"/>
      <c r="HZ181" s="105"/>
      <c r="IA181" s="105"/>
      <c r="IB181" s="105"/>
      <c r="IC181" s="105"/>
      <c r="ID181" s="105"/>
      <c r="IE181" s="105"/>
      <c r="IF181" s="105"/>
      <c r="IG181" s="105"/>
      <c r="IH181" s="105"/>
      <c r="II181" s="105"/>
      <c r="IJ181" s="105"/>
      <c r="IK181" s="105"/>
      <c r="IL181" s="105"/>
      <c r="IM181" s="105"/>
      <c r="IN181" s="105"/>
      <c r="IO181" s="105"/>
      <c r="IP181" s="105"/>
      <c r="IQ181" s="105"/>
      <c r="IR181" s="105"/>
      <c r="IS181" s="105"/>
    </row>
    <row r="182" spans="1:253">
      <c r="A182" s="116"/>
      <c r="B182" s="105"/>
      <c r="C182" s="116"/>
      <c r="D182" s="116"/>
      <c r="E182" s="116"/>
      <c r="F182" s="116"/>
      <c r="G182" s="116"/>
      <c r="H182" s="116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  <c r="BL182" s="105"/>
      <c r="BM182" s="105"/>
      <c r="BN182" s="105"/>
      <c r="BO182" s="105"/>
      <c r="BP182" s="105"/>
      <c r="BQ182" s="105"/>
      <c r="BR182" s="105"/>
      <c r="BS182" s="105"/>
      <c r="BT182" s="105"/>
      <c r="BU182" s="105"/>
      <c r="BV182" s="105"/>
      <c r="BW182" s="105"/>
      <c r="BX182" s="105"/>
      <c r="BY182" s="105"/>
      <c r="BZ182" s="105"/>
      <c r="CA182" s="105"/>
      <c r="CB182" s="105"/>
      <c r="CC182" s="105"/>
      <c r="CD182" s="105"/>
      <c r="CE182" s="105"/>
      <c r="CF182" s="105"/>
      <c r="CG182" s="105"/>
      <c r="CH182" s="105"/>
      <c r="CI182" s="105"/>
      <c r="CJ182" s="105"/>
      <c r="CK182" s="105"/>
      <c r="CL182" s="105"/>
      <c r="CM182" s="105"/>
      <c r="CN182" s="105"/>
      <c r="CO182" s="105"/>
      <c r="CP182" s="105"/>
      <c r="CQ182" s="105"/>
      <c r="CR182" s="105"/>
      <c r="CS182" s="105"/>
      <c r="CT182" s="105"/>
      <c r="CU182" s="105"/>
      <c r="CV182" s="105"/>
      <c r="CW182" s="105"/>
      <c r="CX182" s="105"/>
      <c r="CY182" s="105"/>
      <c r="CZ182" s="105"/>
      <c r="DA182" s="105"/>
      <c r="DB182" s="105"/>
      <c r="DC182" s="105"/>
      <c r="DD182" s="105"/>
      <c r="DE182" s="105"/>
      <c r="DF182" s="105"/>
      <c r="DG182" s="105"/>
      <c r="DH182" s="105"/>
      <c r="DI182" s="105"/>
      <c r="DJ182" s="105"/>
      <c r="DK182" s="105"/>
      <c r="DL182" s="105"/>
      <c r="DM182" s="105"/>
      <c r="DN182" s="105"/>
      <c r="DO182" s="105"/>
      <c r="DP182" s="105"/>
      <c r="DQ182" s="105"/>
      <c r="DR182" s="105"/>
      <c r="DS182" s="105"/>
      <c r="DT182" s="105"/>
      <c r="DU182" s="105"/>
      <c r="DV182" s="105"/>
      <c r="DW182" s="105"/>
      <c r="DX182" s="105"/>
      <c r="DY182" s="105"/>
      <c r="DZ182" s="105"/>
      <c r="EA182" s="105"/>
      <c r="EB182" s="105"/>
      <c r="EC182" s="105"/>
      <c r="ED182" s="105"/>
      <c r="EE182" s="105"/>
      <c r="EF182" s="105"/>
      <c r="EG182" s="105"/>
      <c r="EH182" s="105"/>
      <c r="EI182" s="105"/>
      <c r="EJ182" s="105"/>
      <c r="EK182" s="105"/>
      <c r="EL182" s="105"/>
      <c r="EM182" s="105"/>
      <c r="EN182" s="105"/>
      <c r="EO182" s="105"/>
      <c r="EP182" s="105"/>
      <c r="EQ182" s="105"/>
      <c r="ER182" s="105"/>
      <c r="ES182" s="105"/>
      <c r="ET182" s="105"/>
      <c r="EU182" s="105"/>
      <c r="EV182" s="105"/>
      <c r="EW182" s="105"/>
      <c r="EX182" s="105"/>
      <c r="EY182" s="105"/>
      <c r="EZ182" s="105"/>
      <c r="FA182" s="105"/>
      <c r="FB182" s="105"/>
      <c r="FC182" s="105"/>
      <c r="FD182" s="105"/>
      <c r="FE182" s="105"/>
      <c r="FF182" s="105"/>
      <c r="FG182" s="105"/>
      <c r="FH182" s="105"/>
      <c r="FI182" s="105"/>
      <c r="FJ182" s="105"/>
      <c r="FK182" s="105"/>
      <c r="FL182" s="105"/>
      <c r="FM182" s="105"/>
      <c r="FN182" s="105"/>
      <c r="FO182" s="105"/>
      <c r="FP182" s="105"/>
      <c r="FQ182" s="105"/>
      <c r="FR182" s="105"/>
      <c r="FS182" s="105"/>
      <c r="FT182" s="105"/>
      <c r="FU182" s="105"/>
      <c r="FV182" s="105"/>
      <c r="FW182" s="105"/>
      <c r="FX182" s="105"/>
      <c r="FY182" s="105"/>
      <c r="FZ182" s="105"/>
      <c r="GA182" s="105"/>
      <c r="GB182" s="105"/>
      <c r="GC182" s="105"/>
      <c r="GD182" s="105"/>
      <c r="GE182" s="105"/>
      <c r="GF182" s="105"/>
      <c r="GG182" s="105"/>
      <c r="GH182" s="105"/>
      <c r="GI182" s="105"/>
      <c r="GJ182" s="105"/>
      <c r="GK182" s="105"/>
      <c r="GL182" s="105"/>
      <c r="GM182" s="105"/>
      <c r="GN182" s="105"/>
      <c r="GO182" s="105"/>
      <c r="GP182" s="105"/>
      <c r="GQ182" s="105"/>
      <c r="GR182" s="105"/>
      <c r="GS182" s="105"/>
      <c r="GT182" s="105"/>
      <c r="GU182" s="105"/>
      <c r="GV182" s="105"/>
      <c r="GW182" s="105"/>
      <c r="GX182" s="105"/>
      <c r="GY182" s="105"/>
      <c r="GZ182" s="105"/>
      <c r="HA182" s="105"/>
      <c r="HB182" s="105"/>
      <c r="HC182" s="105"/>
      <c r="HD182" s="105"/>
      <c r="HE182" s="105"/>
      <c r="HF182" s="105"/>
      <c r="HG182" s="105"/>
      <c r="HH182" s="105"/>
      <c r="HI182" s="105"/>
      <c r="HJ182" s="105"/>
      <c r="HK182" s="105"/>
      <c r="HL182" s="105"/>
      <c r="HM182" s="105"/>
      <c r="HN182" s="105"/>
      <c r="HO182" s="105"/>
      <c r="HP182" s="105"/>
      <c r="HQ182" s="105"/>
      <c r="HR182" s="105"/>
      <c r="HS182" s="105"/>
      <c r="HT182" s="105"/>
      <c r="HU182" s="105"/>
      <c r="HV182" s="105"/>
      <c r="HW182" s="105"/>
      <c r="HX182" s="105"/>
      <c r="HY182" s="105"/>
      <c r="HZ182" s="105"/>
      <c r="IA182" s="105"/>
      <c r="IB182" s="105"/>
      <c r="IC182" s="105"/>
      <c r="ID182" s="105"/>
      <c r="IE182" s="105"/>
      <c r="IF182" s="105"/>
      <c r="IG182" s="105"/>
      <c r="IH182" s="105"/>
      <c r="II182" s="105"/>
      <c r="IJ182" s="105"/>
      <c r="IK182" s="105"/>
      <c r="IL182" s="105"/>
      <c r="IM182" s="105"/>
      <c r="IN182" s="105"/>
      <c r="IO182" s="105"/>
      <c r="IP182" s="105"/>
      <c r="IQ182" s="105"/>
      <c r="IR182" s="105"/>
      <c r="IS182" s="105"/>
    </row>
    <row r="183" spans="1:253">
      <c r="A183" s="116"/>
      <c r="B183" s="105"/>
      <c r="C183" s="116"/>
      <c r="D183" s="116"/>
      <c r="E183" s="116"/>
      <c r="F183" s="116"/>
      <c r="G183" s="116"/>
      <c r="H183" s="116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5"/>
      <c r="BN183" s="105"/>
      <c r="BO183" s="105"/>
      <c r="BP183" s="105"/>
      <c r="BQ183" s="105"/>
      <c r="BR183" s="105"/>
      <c r="BS183" s="105"/>
      <c r="BT183" s="105"/>
      <c r="BU183" s="105"/>
      <c r="BV183" s="105"/>
      <c r="BW183" s="105"/>
      <c r="BX183" s="105"/>
      <c r="BY183" s="105"/>
      <c r="BZ183" s="105"/>
      <c r="CA183" s="105"/>
      <c r="CB183" s="105"/>
      <c r="CC183" s="105"/>
      <c r="CD183" s="105"/>
      <c r="CE183" s="105"/>
      <c r="CF183" s="105"/>
      <c r="CG183" s="105"/>
      <c r="CH183" s="105"/>
      <c r="CI183" s="105"/>
      <c r="CJ183" s="105"/>
      <c r="CK183" s="105"/>
      <c r="CL183" s="105"/>
      <c r="CM183" s="105"/>
      <c r="CN183" s="105"/>
      <c r="CO183" s="105"/>
      <c r="CP183" s="105"/>
      <c r="CQ183" s="105"/>
      <c r="CR183" s="105"/>
      <c r="CS183" s="105"/>
      <c r="CT183" s="105"/>
      <c r="CU183" s="105"/>
      <c r="CV183" s="105"/>
      <c r="CW183" s="105"/>
      <c r="CX183" s="105"/>
      <c r="CY183" s="105"/>
      <c r="CZ183" s="105"/>
      <c r="DA183" s="105"/>
      <c r="DB183" s="105"/>
      <c r="DC183" s="105"/>
      <c r="DD183" s="105"/>
      <c r="DE183" s="105"/>
      <c r="DF183" s="105"/>
      <c r="DG183" s="105"/>
      <c r="DH183" s="105"/>
      <c r="DI183" s="105"/>
      <c r="DJ183" s="105"/>
      <c r="DK183" s="105"/>
      <c r="DL183" s="105"/>
      <c r="DM183" s="105"/>
      <c r="DN183" s="105"/>
      <c r="DO183" s="105"/>
      <c r="DP183" s="105"/>
      <c r="DQ183" s="105"/>
      <c r="DR183" s="105"/>
      <c r="DS183" s="105"/>
      <c r="DT183" s="105"/>
      <c r="DU183" s="105"/>
      <c r="DV183" s="105"/>
      <c r="DW183" s="105"/>
      <c r="DX183" s="105"/>
      <c r="DY183" s="105"/>
      <c r="DZ183" s="105"/>
      <c r="EA183" s="105"/>
      <c r="EB183" s="105"/>
      <c r="EC183" s="105"/>
      <c r="ED183" s="105"/>
      <c r="EE183" s="105"/>
      <c r="EF183" s="105"/>
      <c r="EG183" s="105"/>
      <c r="EH183" s="105"/>
      <c r="EI183" s="105"/>
      <c r="EJ183" s="105"/>
      <c r="EK183" s="105"/>
      <c r="EL183" s="105"/>
      <c r="EM183" s="105"/>
      <c r="EN183" s="105"/>
      <c r="EO183" s="105"/>
      <c r="EP183" s="105"/>
      <c r="EQ183" s="105"/>
      <c r="ER183" s="105"/>
      <c r="ES183" s="105"/>
      <c r="ET183" s="105"/>
      <c r="EU183" s="105"/>
      <c r="EV183" s="105"/>
      <c r="EW183" s="105"/>
      <c r="EX183" s="105"/>
      <c r="EY183" s="105"/>
      <c r="EZ183" s="105"/>
      <c r="FA183" s="105"/>
      <c r="FB183" s="105"/>
      <c r="FC183" s="105"/>
      <c r="FD183" s="105"/>
      <c r="FE183" s="105"/>
      <c r="FF183" s="105"/>
      <c r="FG183" s="105"/>
      <c r="FH183" s="105"/>
      <c r="FI183" s="105"/>
      <c r="FJ183" s="105"/>
      <c r="FK183" s="105"/>
      <c r="FL183" s="105"/>
      <c r="FM183" s="105"/>
      <c r="FN183" s="105"/>
      <c r="FO183" s="105"/>
      <c r="FP183" s="105"/>
      <c r="FQ183" s="105"/>
      <c r="FR183" s="105"/>
      <c r="FS183" s="105"/>
      <c r="FT183" s="105"/>
      <c r="FU183" s="105"/>
      <c r="FV183" s="105"/>
      <c r="FW183" s="105"/>
      <c r="FX183" s="105"/>
      <c r="FY183" s="105"/>
      <c r="FZ183" s="105"/>
      <c r="GA183" s="105"/>
      <c r="GB183" s="105"/>
      <c r="GC183" s="105"/>
      <c r="GD183" s="105"/>
      <c r="GE183" s="105"/>
      <c r="GF183" s="105"/>
      <c r="GG183" s="105"/>
      <c r="GH183" s="105"/>
      <c r="GI183" s="105"/>
      <c r="GJ183" s="105"/>
      <c r="GK183" s="105"/>
      <c r="GL183" s="105"/>
      <c r="GM183" s="105"/>
      <c r="GN183" s="105"/>
      <c r="GO183" s="105"/>
      <c r="GP183" s="105"/>
      <c r="GQ183" s="105"/>
      <c r="GR183" s="105"/>
      <c r="GS183" s="105"/>
      <c r="GT183" s="105"/>
      <c r="GU183" s="105"/>
      <c r="GV183" s="105"/>
      <c r="GW183" s="105"/>
      <c r="GX183" s="105"/>
      <c r="GY183" s="105"/>
      <c r="GZ183" s="105"/>
      <c r="HA183" s="105"/>
      <c r="HB183" s="105"/>
      <c r="HC183" s="105"/>
      <c r="HD183" s="105"/>
      <c r="HE183" s="105"/>
      <c r="HF183" s="105"/>
      <c r="HG183" s="105"/>
      <c r="HH183" s="105"/>
      <c r="HI183" s="105"/>
      <c r="HJ183" s="105"/>
      <c r="HK183" s="105"/>
      <c r="HL183" s="105"/>
      <c r="HM183" s="105"/>
      <c r="HN183" s="105"/>
      <c r="HO183" s="105"/>
      <c r="HP183" s="105"/>
      <c r="HQ183" s="105"/>
      <c r="HR183" s="105"/>
      <c r="HS183" s="105"/>
      <c r="HT183" s="105"/>
      <c r="HU183" s="105"/>
      <c r="HV183" s="105"/>
      <c r="HW183" s="105"/>
      <c r="HX183" s="105"/>
      <c r="HY183" s="105"/>
      <c r="HZ183" s="105"/>
      <c r="IA183" s="105"/>
      <c r="IB183" s="105"/>
      <c r="IC183" s="105"/>
      <c r="ID183" s="105"/>
      <c r="IE183" s="105"/>
      <c r="IF183" s="105"/>
      <c r="IG183" s="105"/>
      <c r="IH183" s="105"/>
      <c r="II183" s="105"/>
      <c r="IJ183" s="105"/>
      <c r="IK183" s="105"/>
      <c r="IL183" s="105"/>
      <c r="IM183" s="105"/>
      <c r="IN183" s="105"/>
      <c r="IO183" s="105"/>
      <c r="IP183" s="105"/>
      <c r="IQ183" s="105"/>
      <c r="IR183" s="105"/>
      <c r="IS183" s="105"/>
    </row>
    <row r="184" spans="1:253">
      <c r="A184" s="116"/>
      <c r="B184" s="105"/>
      <c r="C184" s="116"/>
      <c r="D184" s="116"/>
      <c r="E184" s="116"/>
      <c r="F184" s="116"/>
      <c r="G184" s="116"/>
      <c r="H184" s="116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5"/>
      <c r="BN184" s="105"/>
      <c r="BO184" s="105"/>
      <c r="BP184" s="105"/>
      <c r="BQ184" s="105"/>
      <c r="BR184" s="105"/>
      <c r="BS184" s="105"/>
      <c r="BT184" s="105"/>
      <c r="BU184" s="105"/>
      <c r="BV184" s="105"/>
      <c r="BW184" s="105"/>
      <c r="BX184" s="105"/>
      <c r="BY184" s="105"/>
      <c r="BZ184" s="105"/>
      <c r="CA184" s="105"/>
      <c r="CB184" s="105"/>
      <c r="CC184" s="105"/>
      <c r="CD184" s="105"/>
      <c r="CE184" s="105"/>
      <c r="CF184" s="105"/>
      <c r="CG184" s="105"/>
      <c r="CH184" s="105"/>
      <c r="CI184" s="105"/>
      <c r="CJ184" s="105"/>
      <c r="CK184" s="105"/>
      <c r="CL184" s="105"/>
      <c r="CM184" s="105"/>
      <c r="CN184" s="105"/>
      <c r="CO184" s="105"/>
      <c r="CP184" s="105"/>
      <c r="CQ184" s="105"/>
      <c r="CR184" s="105"/>
      <c r="CS184" s="105"/>
      <c r="CT184" s="105"/>
      <c r="CU184" s="105"/>
      <c r="CV184" s="105"/>
      <c r="CW184" s="105"/>
      <c r="CX184" s="105"/>
      <c r="CY184" s="105"/>
      <c r="CZ184" s="105"/>
      <c r="DA184" s="105"/>
      <c r="DB184" s="105"/>
      <c r="DC184" s="105"/>
      <c r="DD184" s="105"/>
      <c r="DE184" s="105"/>
      <c r="DF184" s="105"/>
      <c r="DG184" s="105"/>
      <c r="DH184" s="105"/>
      <c r="DI184" s="105"/>
      <c r="DJ184" s="105"/>
      <c r="DK184" s="105"/>
      <c r="DL184" s="105"/>
      <c r="DM184" s="105"/>
      <c r="DN184" s="105"/>
      <c r="DO184" s="105"/>
      <c r="DP184" s="105"/>
      <c r="DQ184" s="105"/>
      <c r="DR184" s="105"/>
      <c r="DS184" s="105"/>
      <c r="DT184" s="105"/>
      <c r="DU184" s="105"/>
      <c r="DV184" s="105"/>
      <c r="DW184" s="105"/>
      <c r="DX184" s="105"/>
      <c r="DY184" s="105"/>
      <c r="DZ184" s="105"/>
      <c r="EA184" s="105"/>
      <c r="EB184" s="105"/>
      <c r="EC184" s="105"/>
      <c r="ED184" s="105"/>
      <c r="EE184" s="105"/>
      <c r="EF184" s="105"/>
      <c r="EG184" s="105"/>
      <c r="EH184" s="105"/>
      <c r="EI184" s="105"/>
      <c r="EJ184" s="105"/>
      <c r="EK184" s="105"/>
      <c r="EL184" s="105"/>
      <c r="EM184" s="105"/>
      <c r="EN184" s="105"/>
      <c r="EO184" s="105"/>
      <c r="EP184" s="105"/>
      <c r="EQ184" s="105"/>
      <c r="ER184" s="105"/>
      <c r="ES184" s="105"/>
      <c r="ET184" s="105"/>
      <c r="EU184" s="105"/>
      <c r="EV184" s="105"/>
      <c r="EW184" s="105"/>
      <c r="EX184" s="105"/>
      <c r="EY184" s="105"/>
      <c r="EZ184" s="105"/>
      <c r="FA184" s="105"/>
      <c r="FB184" s="105"/>
      <c r="FC184" s="105"/>
      <c r="FD184" s="105"/>
      <c r="FE184" s="105"/>
      <c r="FF184" s="105"/>
      <c r="FG184" s="105"/>
      <c r="FH184" s="105"/>
      <c r="FI184" s="105"/>
      <c r="FJ184" s="105"/>
      <c r="FK184" s="105"/>
      <c r="FL184" s="105"/>
      <c r="FM184" s="105"/>
      <c r="FN184" s="105"/>
      <c r="FO184" s="105"/>
      <c r="FP184" s="105"/>
      <c r="FQ184" s="105"/>
      <c r="FR184" s="105"/>
      <c r="FS184" s="105"/>
      <c r="FT184" s="105"/>
      <c r="FU184" s="105"/>
      <c r="FV184" s="105"/>
      <c r="FW184" s="105"/>
      <c r="FX184" s="105"/>
      <c r="FY184" s="105"/>
      <c r="FZ184" s="105"/>
      <c r="GA184" s="105"/>
      <c r="GB184" s="105"/>
      <c r="GC184" s="105"/>
      <c r="GD184" s="105"/>
      <c r="GE184" s="105"/>
      <c r="GF184" s="105"/>
      <c r="GG184" s="105"/>
      <c r="GH184" s="105"/>
      <c r="GI184" s="105"/>
      <c r="GJ184" s="105"/>
      <c r="GK184" s="105"/>
      <c r="GL184" s="105"/>
      <c r="GM184" s="105"/>
      <c r="GN184" s="105"/>
      <c r="GO184" s="105"/>
      <c r="GP184" s="105"/>
      <c r="GQ184" s="105"/>
      <c r="GR184" s="105"/>
      <c r="GS184" s="105"/>
      <c r="GT184" s="105"/>
      <c r="GU184" s="105"/>
      <c r="GV184" s="105"/>
      <c r="GW184" s="105"/>
      <c r="GX184" s="105"/>
      <c r="GY184" s="105"/>
      <c r="GZ184" s="105"/>
      <c r="HA184" s="105"/>
      <c r="HB184" s="105"/>
      <c r="HC184" s="105"/>
      <c r="HD184" s="105"/>
      <c r="HE184" s="105"/>
      <c r="HF184" s="105"/>
      <c r="HG184" s="105"/>
      <c r="HH184" s="105"/>
      <c r="HI184" s="105"/>
      <c r="HJ184" s="105"/>
      <c r="HK184" s="105"/>
      <c r="HL184" s="105"/>
      <c r="HM184" s="105"/>
      <c r="HN184" s="105"/>
      <c r="HO184" s="105"/>
      <c r="HP184" s="105"/>
      <c r="HQ184" s="105"/>
      <c r="HR184" s="105"/>
      <c r="HS184" s="105"/>
      <c r="HT184" s="105"/>
      <c r="HU184" s="105"/>
      <c r="HV184" s="105"/>
      <c r="HW184" s="105"/>
      <c r="HX184" s="105"/>
      <c r="HY184" s="105"/>
      <c r="HZ184" s="105"/>
      <c r="IA184" s="105"/>
      <c r="IB184" s="105"/>
      <c r="IC184" s="105"/>
      <c r="ID184" s="105"/>
      <c r="IE184" s="105"/>
      <c r="IF184" s="105"/>
      <c r="IG184" s="105"/>
      <c r="IH184" s="105"/>
      <c r="II184" s="105"/>
      <c r="IJ184" s="105"/>
      <c r="IK184" s="105"/>
      <c r="IL184" s="105"/>
      <c r="IM184" s="105"/>
      <c r="IN184" s="105"/>
      <c r="IO184" s="105"/>
      <c r="IP184" s="105"/>
      <c r="IQ184" s="105"/>
      <c r="IR184" s="105"/>
      <c r="IS184" s="105"/>
    </row>
    <row r="185" spans="1:253">
      <c r="A185" s="116"/>
      <c r="B185" s="105"/>
      <c r="C185" s="116"/>
      <c r="D185" s="116"/>
      <c r="E185" s="116"/>
      <c r="F185" s="116"/>
      <c r="G185" s="116"/>
      <c r="H185" s="116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5"/>
      <c r="BN185" s="105"/>
      <c r="BO185" s="105"/>
      <c r="BP185" s="105"/>
      <c r="BQ185" s="105"/>
      <c r="BR185" s="105"/>
      <c r="BS185" s="105"/>
      <c r="BT185" s="105"/>
      <c r="BU185" s="105"/>
      <c r="BV185" s="105"/>
      <c r="BW185" s="105"/>
      <c r="BX185" s="105"/>
      <c r="BY185" s="105"/>
      <c r="BZ185" s="105"/>
      <c r="CA185" s="105"/>
      <c r="CB185" s="105"/>
      <c r="CC185" s="105"/>
      <c r="CD185" s="105"/>
      <c r="CE185" s="105"/>
      <c r="CF185" s="105"/>
      <c r="CG185" s="105"/>
      <c r="CH185" s="105"/>
      <c r="CI185" s="105"/>
      <c r="CJ185" s="105"/>
      <c r="CK185" s="105"/>
      <c r="CL185" s="105"/>
      <c r="CM185" s="105"/>
      <c r="CN185" s="105"/>
      <c r="CO185" s="105"/>
      <c r="CP185" s="105"/>
      <c r="CQ185" s="105"/>
      <c r="CR185" s="105"/>
      <c r="CS185" s="105"/>
      <c r="CT185" s="105"/>
      <c r="CU185" s="105"/>
      <c r="CV185" s="105"/>
      <c r="CW185" s="105"/>
      <c r="CX185" s="105"/>
      <c r="CY185" s="105"/>
      <c r="CZ185" s="105"/>
      <c r="DA185" s="105"/>
      <c r="DB185" s="105"/>
      <c r="DC185" s="105"/>
      <c r="DD185" s="105"/>
      <c r="DE185" s="105"/>
      <c r="DF185" s="105"/>
      <c r="DG185" s="105"/>
      <c r="DH185" s="105"/>
      <c r="DI185" s="105"/>
      <c r="DJ185" s="105"/>
      <c r="DK185" s="105"/>
      <c r="DL185" s="105"/>
      <c r="DM185" s="105"/>
      <c r="DN185" s="105"/>
      <c r="DO185" s="105"/>
      <c r="DP185" s="105"/>
      <c r="DQ185" s="105"/>
      <c r="DR185" s="105"/>
      <c r="DS185" s="105"/>
      <c r="DT185" s="105"/>
      <c r="DU185" s="105"/>
      <c r="DV185" s="105"/>
      <c r="DW185" s="105"/>
      <c r="DX185" s="105"/>
      <c r="DY185" s="105"/>
      <c r="DZ185" s="105"/>
      <c r="EA185" s="105"/>
      <c r="EB185" s="105"/>
      <c r="EC185" s="105"/>
      <c r="ED185" s="105"/>
      <c r="EE185" s="105"/>
      <c r="EF185" s="105"/>
      <c r="EG185" s="105"/>
      <c r="EH185" s="105"/>
      <c r="EI185" s="105"/>
      <c r="EJ185" s="105"/>
      <c r="EK185" s="105"/>
      <c r="EL185" s="105"/>
      <c r="EM185" s="105"/>
      <c r="EN185" s="105"/>
      <c r="EO185" s="105"/>
      <c r="EP185" s="105"/>
      <c r="EQ185" s="105"/>
      <c r="ER185" s="105"/>
      <c r="ES185" s="105"/>
      <c r="ET185" s="105"/>
      <c r="EU185" s="105"/>
      <c r="EV185" s="105"/>
      <c r="EW185" s="105"/>
      <c r="EX185" s="105"/>
      <c r="EY185" s="105"/>
      <c r="EZ185" s="105"/>
      <c r="FA185" s="105"/>
      <c r="FB185" s="105"/>
      <c r="FC185" s="105"/>
      <c r="FD185" s="105"/>
      <c r="FE185" s="105"/>
      <c r="FF185" s="105"/>
      <c r="FG185" s="105"/>
      <c r="FH185" s="105"/>
      <c r="FI185" s="105"/>
      <c r="FJ185" s="105"/>
      <c r="FK185" s="105"/>
      <c r="FL185" s="105"/>
      <c r="FM185" s="105"/>
      <c r="FN185" s="105"/>
      <c r="FO185" s="105"/>
      <c r="FP185" s="105"/>
      <c r="FQ185" s="105"/>
      <c r="FR185" s="105"/>
      <c r="FS185" s="105"/>
      <c r="FT185" s="105"/>
      <c r="FU185" s="105"/>
      <c r="FV185" s="105"/>
      <c r="FW185" s="105"/>
      <c r="FX185" s="105"/>
      <c r="FY185" s="105"/>
      <c r="FZ185" s="105"/>
      <c r="GA185" s="105"/>
      <c r="GB185" s="105"/>
      <c r="GC185" s="105"/>
      <c r="GD185" s="105"/>
      <c r="GE185" s="105"/>
      <c r="GF185" s="105"/>
      <c r="GG185" s="105"/>
      <c r="GH185" s="105"/>
      <c r="GI185" s="105"/>
      <c r="GJ185" s="105"/>
      <c r="GK185" s="105"/>
      <c r="GL185" s="105"/>
      <c r="GM185" s="105"/>
      <c r="GN185" s="105"/>
      <c r="GO185" s="105"/>
      <c r="GP185" s="105"/>
      <c r="GQ185" s="105"/>
      <c r="GR185" s="105"/>
      <c r="GS185" s="105"/>
      <c r="GT185" s="105"/>
      <c r="GU185" s="105"/>
      <c r="GV185" s="105"/>
      <c r="GW185" s="105"/>
      <c r="GX185" s="105"/>
      <c r="GY185" s="105"/>
      <c r="GZ185" s="105"/>
      <c r="HA185" s="105"/>
      <c r="HB185" s="105"/>
      <c r="HC185" s="105"/>
      <c r="HD185" s="105"/>
      <c r="HE185" s="105"/>
      <c r="HF185" s="105"/>
      <c r="HG185" s="105"/>
      <c r="HH185" s="105"/>
      <c r="HI185" s="105"/>
      <c r="HJ185" s="105"/>
      <c r="HK185" s="105"/>
      <c r="HL185" s="105"/>
      <c r="HM185" s="105"/>
      <c r="HN185" s="105"/>
      <c r="HO185" s="105"/>
      <c r="HP185" s="105"/>
      <c r="HQ185" s="105"/>
      <c r="HR185" s="105"/>
      <c r="HS185" s="105"/>
      <c r="HT185" s="105"/>
      <c r="HU185" s="105"/>
      <c r="HV185" s="105"/>
      <c r="HW185" s="105"/>
      <c r="HX185" s="105"/>
      <c r="HY185" s="105"/>
      <c r="HZ185" s="105"/>
      <c r="IA185" s="105"/>
      <c r="IB185" s="105"/>
      <c r="IC185" s="105"/>
      <c r="ID185" s="105"/>
      <c r="IE185" s="105"/>
      <c r="IF185" s="105"/>
      <c r="IG185" s="105"/>
      <c r="IH185" s="105"/>
      <c r="II185" s="105"/>
      <c r="IJ185" s="105"/>
      <c r="IK185" s="105"/>
      <c r="IL185" s="105"/>
      <c r="IM185" s="105"/>
      <c r="IN185" s="105"/>
      <c r="IO185" s="105"/>
      <c r="IP185" s="105"/>
      <c r="IQ185" s="105"/>
      <c r="IR185" s="105"/>
      <c r="IS185" s="105"/>
    </row>
    <row r="186" spans="1:253">
      <c r="A186" s="116"/>
      <c r="B186" s="105"/>
      <c r="C186" s="116"/>
      <c r="D186" s="116"/>
      <c r="E186" s="116"/>
      <c r="F186" s="116"/>
      <c r="G186" s="116"/>
      <c r="H186" s="116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5"/>
      <c r="BN186" s="105"/>
      <c r="BO186" s="105"/>
      <c r="BP186" s="105"/>
      <c r="BQ186" s="105"/>
      <c r="BR186" s="105"/>
      <c r="BS186" s="105"/>
      <c r="BT186" s="105"/>
      <c r="BU186" s="105"/>
      <c r="BV186" s="105"/>
      <c r="BW186" s="105"/>
      <c r="BX186" s="105"/>
      <c r="BY186" s="105"/>
      <c r="BZ186" s="105"/>
      <c r="CA186" s="105"/>
      <c r="CB186" s="105"/>
      <c r="CC186" s="105"/>
      <c r="CD186" s="105"/>
      <c r="CE186" s="105"/>
      <c r="CF186" s="105"/>
      <c r="CG186" s="105"/>
      <c r="CH186" s="105"/>
      <c r="CI186" s="105"/>
      <c r="CJ186" s="105"/>
      <c r="CK186" s="105"/>
      <c r="CL186" s="105"/>
      <c r="CM186" s="105"/>
      <c r="CN186" s="105"/>
      <c r="CO186" s="105"/>
      <c r="CP186" s="105"/>
      <c r="CQ186" s="105"/>
      <c r="CR186" s="105"/>
      <c r="CS186" s="105"/>
      <c r="CT186" s="105"/>
      <c r="CU186" s="105"/>
      <c r="CV186" s="105"/>
      <c r="CW186" s="105"/>
      <c r="CX186" s="105"/>
      <c r="CY186" s="105"/>
      <c r="CZ186" s="105"/>
      <c r="DA186" s="105"/>
      <c r="DB186" s="105"/>
      <c r="DC186" s="105"/>
      <c r="DD186" s="105"/>
      <c r="DE186" s="105"/>
      <c r="DF186" s="105"/>
      <c r="DG186" s="105"/>
      <c r="DH186" s="105"/>
      <c r="DI186" s="105"/>
      <c r="DJ186" s="105"/>
      <c r="DK186" s="105"/>
      <c r="DL186" s="105"/>
      <c r="DM186" s="105"/>
      <c r="DN186" s="105"/>
      <c r="DO186" s="105"/>
      <c r="DP186" s="105"/>
      <c r="DQ186" s="105"/>
      <c r="DR186" s="105"/>
      <c r="DS186" s="105"/>
      <c r="DT186" s="105"/>
      <c r="DU186" s="105"/>
      <c r="DV186" s="105"/>
      <c r="DW186" s="105"/>
      <c r="DX186" s="105"/>
      <c r="DY186" s="105"/>
      <c r="DZ186" s="105"/>
      <c r="EA186" s="105"/>
      <c r="EB186" s="105"/>
      <c r="EC186" s="105"/>
      <c r="ED186" s="105"/>
      <c r="EE186" s="105"/>
      <c r="EF186" s="105"/>
      <c r="EG186" s="105"/>
      <c r="EH186" s="105"/>
      <c r="EI186" s="105"/>
      <c r="EJ186" s="105"/>
      <c r="EK186" s="105"/>
      <c r="EL186" s="105"/>
      <c r="EM186" s="105"/>
      <c r="EN186" s="105"/>
      <c r="EO186" s="105"/>
      <c r="EP186" s="105"/>
      <c r="EQ186" s="105"/>
      <c r="ER186" s="105"/>
      <c r="ES186" s="105"/>
      <c r="ET186" s="105"/>
      <c r="EU186" s="105"/>
      <c r="EV186" s="105"/>
      <c r="EW186" s="105"/>
      <c r="EX186" s="105"/>
      <c r="EY186" s="105"/>
      <c r="EZ186" s="105"/>
      <c r="FA186" s="105"/>
      <c r="FB186" s="105"/>
      <c r="FC186" s="105"/>
      <c r="FD186" s="105"/>
      <c r="FE186" s="105"/>
      <c r="FF186" s="105"/>
      <c r="FG186" s="105"/>
      <c r="FH186" s="105"/>
      <c r="FI186" s="105"/>
      <c r="FJ186" s="105"/>
      <c r="FK186" s="105"/>
      <c r="FL186" s="105"/>
      <c r="FM186" s="105"/>
      <c r="FN186" s="105"/>
      <c r="FO186" s="105"/>
      <c r="FP186" s="105"/>
      <c r="FQ186" s="105"/>
      <c r="FR186" s="105"/>
      <c r="FS186" s="105"/>
      <c r="FT186" s="105"/>
      <c r="FU186" s="105"/>
      <c r="FV186" s="105"/>
      <c r="FW186" s="105"/>
      <c r="FX186" s="105"/>
      <c r="FY186" s="105"/>
      <c r="FZ186" s="105"/>
      <c r="GA186" s="105"/>
      <c r="GB186" s="105"/>
      <c r="GC186" s="105"/>
      <c r="GD186" s="105"/>
      <c r="GE186" s="105"/>
      <c r="GF186" s="105"/>
      <c r="GG186" s="105"/>
      <c r="GH186" s="105"/>
      <c r="GI186" s="105"/>
      <c r="GJ186" s="105"/>
      <c r="GK186" s="105"/>
      <c r="GL186" s="105"/>
      <c r="GM186" s="105"/>
      <c r="GN186" s="105"/>
      <c r="GO186" s="105"/>
      <c r="GP186" s="105"/>
      <c r="GQ186" s="105"/>
      <c r="GR186" s="105"/>
      <c r="GS186" s="105"/>
      <c r="GT186" s="105"/>
      <c r="GU186" s="105"/>
      <c r="GV186" s="105"/>
      <c r="GW186" s="105"/>
      <c r="GX186" s="105"/>
      <c r="GY186" s="105"/>
      <c r="GZ186" s="105"/>
      <c r="HA186" s="105"/>
      <c r="HB186" s="105"/>
      <c r="HC186" s="105"/>
      <c r="HD186" s="105"/>
      <c r="HE186" s="105"/>
      <c r="HF186" s="105"/>
      <c r="HG186" s="105"/>
      <c r="HH186" s="105"/>
      <c r="HI186" s="105"/>
      <c r="HJ186" s="105"/>
      <c r="HK186" s="105"/>
      <c r="HL186" s="105"/>
      <c r="HM186" s="105"/>
      <c r="HN186" s="105"/>
      <c r="HO186" s="105"/>
      <c r="HP186" s="105"/>
      <c r="HQ186" s="105"/>
      <c r="HR186" s="105"/>
      <c r="HS186" s="105"/>
      <c r="HT186" s="105"/>
      <c r="HU186" s="105"/>
      <c r="HV186" s="105"/>
      <c r="HW186" s="105"/>
      <c r="HX186" s="105"/>
      <c r="HY186" s="105"/>
      <c r="HZ186" s="105"/>
      <c r="IA186" s="105"/>
      <c r="IB186" s="105"/>
      <c r="IC186" s="105"/>
      <c r="ID186" s="105"/>
      <c r="IE186" s="105"/>
      <c r="IF186" s="105"/>
      <c r="IG186" s="105"/>
      <c r="IH186" s="105"/>
      <c r="II186" s="105"/>
      <c r="IJ186" s="105"/>
      <c r="IK186" s="105"/>
      <c r="IL186" s="105"/>
      <c r="IM186" s="105"/>
      <c r="IN186" s="105"/>
      <c r="IO186" s="105"/>
      <c r="IP186" s="105"/>
      <c r="IQ186" s="105"/>
      <c r="IR186" s="105"/>
      <c r="IS186" s="105"/>
    </row>
    <row r="187" spans="1:253">
      <c r="A187" s="116"/>
      <c r="B187" s="105"/>
      <c r="C187" s="116"/>
      <c r="D187" s="116"/>
      <c r="E187" s="116"/>
      <c r="F187" s="116"/>
      <c r="G187" s="116"/>
      <c r="H187" s="116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  <c r="BO187" s="105"/>
      <c r="BP187" s="105"/>
      <c r="BQ187" s="105"/>
      <c r="BR187" s="105"/>
      <c r="BS187" s="105"/>
      <c r="BT187" s="105"/>
      <c r="BU187" s="105"/>
      <c r="BV187" s="105"/>
      <c r="BW187" s="105"/>
      <c r="BX187" s="105"/>
      <c r="BY187" s="105"/>
      <c r="BZ187" s="105"/>
      <c r="CA187" s="105"/>
      <c r="CB187" s="105"/>
      <c r="CC187" s="105"/>
      <c r="CD187" s="105"/>
      <c r="CE187" s="105"/>
      <c r="CF187" s="105"/>
      <c r="CG187" s="105"/>
      <c r="CH187" s="105"/>
      <c r="CI187" s="105"/>
      <c r="CJ187" s="105"/>
      <c r="CK187" s="105"/>
      <c r="CL187" s="105"/>
      <c r="CM187" s="105"/>
      <c r="CN187" s="105"/>
      <c r="CO187" s="105"/>
      <c r="CP187" s="105"/>
      <c r="CQ187" s="105"/>
      <c r="CR187" s="105"/>
      <c r="CS187" s="105"/>
      <c r="CT187" s="105"/>
      <c r="CU187" s="105"/>
      <c r="CV187" s="105"/>
      <c r="CW187" s="105"/>
      <c r="CX187" s="105"/>
      <c r="CY187" s="105"/>
      <c r="CZ187" s="105"/>
      <c r="DA187" s="105"/>
      <c r="DB187" s="105"/>
      <c r="DC187" s="105"/>
      <c r="DD187" s="105"/>
      <c r="DE187" s="105"/>
      <c r="DF187" s="105"/>
      <c r="DG187" s="105"/>
      <c r="DH187" s="105"/>
      <c r="DI187" s="105"/>
      <c r="DJ187" s="105"/>
      <c r="DK187" s="105"/>
      <c r="DL187" s="105"/>
      <c r="DM187" s="105"/>
      <c r="DN187" s="105"/>
      <c r="DO187" s="105"/>
      <c r="DP187" s="105"/>
      <c r="DQ187" s="105"/>
      <c r="DR187" s="105"/>
      <c r="DS187" s="105"/>
      <c r="DT187" s="105"/>
      <c r="DU187" s="105"/>
      <c r="DV187" s="105"/>
      <c r="DW187" s="105"/>
      <c r="DX187" s="105"/>
      <c r="DY187" s="105"/>
      <c r="DZ187" s="105"/>
      <c r="EA187" s="105"/>
      <c r="EB187" s="105"/>
      <c r="EC187" s="105"/>
      <c r="ED187" s="105"/>
      <c r="EE187" s="105"/>
      <c r="EF187" s="105"/>
      <c r="EG187" s="105"/>
      <c r="EH187" s="105"/>
      <c r="EI187" s="105"/>
      <c r="EJ187" s="105"/>
      <c r="EK187" s="105"/>
      <c r="EL187" s="105"/>
      <c r="EM187" s="105"/>
      <c r="EN187" s="105"/>
      <c r="EO187" s="105"/>
      <c r="EP187" s="105"/>
      <c r="EQ187" s="105"/>
      <c r="ER187" s="105"/>
      <c r="ES187" s="105"/>
      <c r="ET187" s="105"/>
      <c r="EU187" s="105"/>
      <c r="EV187" s="105"/>
      <c r="EW187" s="105"/>
      <c r="EX187" s="105"/>
      <c r="EY187" s="105"/>
      <c r="EZ187" s="105"/>
      <c r="FA187" s="105"/>
      <c r="FB187" s="105"/>
      <c r="FC187" s="105"/>
      <c r="FD187" s="105"/>
      <c r="FE187" s="105"/>
      <c r="FF187" s="105"/>
      <c r="FG187" s="105"/>
      <c r="FH187" s="105"/>
      <c r="FI187" s="105"/>
      <c r="FJ187" s="105"/>
      <c r="FK187" s="105"/>
      <c r="FL187" s="105"/>
      <c r="FM187" s="105"/>
      <c r="FN187" s="105"/>
      <c r="FO187" s="105"/>
      <c r="FP187" s="105"/>
      <c r="FQ187" s="105"/>
      <c r="FR187" s="105"/>
      <c r="FS187" s="105"/>
      <c r="FT187" s="105"/>
      <c r="FU187" s="105"/>
      <c r="FV187" s="105"/>
      <c r="FW187" s="105"/>
      <c r="FX187" s="105"/>
      <c r="FY187" s="105"/>
      <c r="FZ187" s="105"/>
      <c r="GA187" s="105"/>
      <c r="GB187" s="105"/>
      <c r="GC187" s="105"/>
      <c r="GD187" s="105"/>
      <c r="GE187" s="105"/>
      <c r="GF187" s="105"/>
      <c r="GG187" s="105"/>
      <c r="GH187" s="105"/>
      <c r="GI187" s="105"/>
      <c r="GJ187" s="105"/>
      <c r="GK187" s="105"/>
      <c r="GL187" s="105"/>
      <c r="GM187" s="105"/>
      <c r="GN187" s="105"/>
      <c r="GO187" s="105"/>
      <c r="GP187" s="105"/>
      <c r="GQ187" s="105"/>
      <c r="GR187" s="105"/>
      <c r="GS187" s="105"/>
      <c r="GT187" s="105"/>
      <c r="GU187" s="105"/>
      <c r="GV187" s="105"/>
      <c r="GW187" s="105"/>
      <c r="GX187" s="105"/>
      <c r="GY187" s="105"/>
      <c r="GZ187" s="105"/>
      <c r="HA187" s="105"/>
      <c r="HB187" s="105"/>
      <c r="HC187" s="105"/>
      <c r="HD187" s="105"/>
      <c r="HE187" s="105"/>
      <c r="HF187" s="105"/>
      <c r="HG187" s="105"/>
      <c r="HH187" s="105"/>
      <c r="HI187" s="105"/>
      <c r="HJ187" s="105"/>
      <c r="HK187" s="105"/>
      <c r="HL187" s="105"/>
      <c r="HM187" s="105"/>
      <c r="HN187" s="105"/>
      <c r="HO187" s="105"/>
      <c r="HP187" s="105"/>
      <c r="HQ187" s="105"/>
      <c r="HR187" s="105"/>
      <c r="HS187" s="105"/>
      <c r="HT187" s="105"/>
      <c r="HU187" s="105"/>
      <c r="HV187" s="105"/>
      <c r="HW187" s="105"/>
      <c r="HX187" s="105"/>
      <c r="HY187" s="105"/>
      <c r="HZ187" s="105"/>
      <c r="IA187" s="105"/>
      <c r="IB187" s="105"/>
      <c r="IC187" s="105"/>
      <c r="ID187" s="105"/>
      <c r="IE187" s="105"/>
      <c r="IF187" s="105"/>
      <c r="IG187" s="105"/>
      <c r="IH187" s="105"/>
      <c r="II187" s="105"/>
      <c r="IJ187" s="105"/>
      <c r="IK187" s="105"/>
      <c r="IL187" s="105"/>
      <c r="IM187" s="105"/>
      <c r="IN187" s="105"/>
      <c r="IO187" s="105"/>
      <c r="IP187" s="105"/>
      <c r="IQ187" s="105"/>
      <c r="IR187" s="105"/>
      <c r="IS187" s="105"/>
    </row>
    <row r="188" spans="1:253">
      <c r="A188" s="116"/>
      <c r="B188" s="105"/>
      <c r="C188" s="116"/>
      <c r="D188" s="116"/>
      <c r="E188" s="116"/>
      <c r="F188" s="116"/>
      <c r="G188" s="116"/>
      <c r="H188" s="116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  <c r="BO188" s="105"/>
      <c r="BP188" s="105"/>
      <c r="BQ188" s="105"/>
      <c r="BR188" s="105"/>
      <c r="BS188" s="105"/>
      <c r="BT188" s="105"/>
      <c r="BU188" s="105"/>
      <c r="BV188" s="105"/>
      <c r="BW188" s="105"/>
      <c r="BX188" s="105"/>
      <c r="BY188" s="105"/>
      <c r="BZ188" s="105"/>
      <c r="CA188" s="105"/>
      <c r="CB188" s="105"/>
      <c r="CC188" s="105"/>
      <c r="CD188" s="105"/>
      <c r="CE188" s="105"/>
      <c r="CF188" s="105"/>
      <c r="CG188" s="105"/>
      <c r="CH188" s="105"/>
      <c r="CI188" s="105"/>
      <c r="CJ188" s="105"/>
      <c r="CK188" s="105"/>
      <c r="CL188" s="105"/>
      <c r="CM188" s="105"/>
      <c r="CN188" s="105"/>
      <c r="CO188" s="105"/>
      <c r="CP188" s="105"/>
      <c r="CQ188" s="105"/>
      <c r="CR188" s="105"/>
      <c r="CS188" s="105"/>
      <c r="CT188" s="105"/>
      <c r="CU188" s="105"/>
      <c r="CV188" s="105"/>
      <c r="CW188" s="105"/>
      <c r="CX188" s="105"/>
      <c r="CY188" s="105"/>
      <c r="CZ188" s="105"/>
      <c r="DA188" s="105"/>
      <c r="DB188" s="105"/>
      <c r="DC188" s="105"/>
      <c r="DD188" s="105"/>
      <c r="DE188" s="105"/>
      <c r="DF188" s="105"/>
      <c r="DG188" s="105"/>
      <c r="DH188" s="105"/>
      <c r="DI188" s="105"/>
      <c r="DJ188" s="105"/>
      <c r="DK188" s="105"/>
      <c r="DL188" s="105"/>
      <c r="DM188" s="105"/>
      <c r="DN188" s="105"/>
      <c r="DO188" s="105"/>
      <c r="DP188" s="105"/>
      <c r="DQ188" s="105"/>
      <c r="DR188" s="105"/>
      <c r="DS188" s="105"/>
      <c r="DT188" s="105"/>
      <c r="DU188" s="105"/>
      <c r="DV188" s="105"/>
      <c r="DW188" s="105"/>
      <c r="DX188" s="105"/>
      <c r="DY188" s="105"/>
      <c r="DZ188" s="105"/>
      <c r="EA188" s="105"/>
      <c r="EB188" s="105"/>
      <c r="EC188" s="105"/>
      <c r="ED188" s="105"/>
      <c r="EE188" s="105"/>
      <c r="EF188" s="105"/>
      <c r="EG188" s="105"/>
      <c r="EH188" s="105"/>
      <c r="EI188" s="105"/>
      <c r="EJ188" s="105"/>
      <c r="EK188" s="105"/>
      <c r="EL188" s="105"/>
      <c r="EM188" s="105"/>
      <c r="EN188" s="105"/>
      <c r="EO188" s="105"/>
      <c r="EP188" s="105"/>
      <c r="EQ188" s="105"/>
      <c r="ER188" s="105"/>
      <c r="ES188" s="105"/>
      <c r="ET188" s="105"/>
      <c r="EU188" s="105"/>
      <c r="EV188" s="105"/>
      <c r="EW188" s="105"/>
      <c r="EX188" s="105"/>
      <c r="EY188" s="105"/>
      <c r="EZ188" s="105"/>
      <c r="FA188" s="105"/>
      <c r="FB188" s="105"/>
      <c r="FC188" s="105"/>
      <c r="FD188" s="105"/>
      <c r="FE188" s="105"/>
      <c r="FF188" s="105"/>
      <c r="FG188" s="105"/>
      <c r="FH188" s="105"/>
      <c r="FI188" s="105"/>
      <c r="FJ188" s="105"/>
      <c r="FK188" s="105"/>
      <c r="FL188" s="105"/>
      <c r="FM188" s="105"/>
      <c r="FN188" s="105"/>
      <c r="FO188" s="105"/>
      <c r="FP188" s="105"/>
      <c r="FQ188" s="105"/>
      <c r="FR188" s="105"/>
      <c r="FS188" s="105"/>
      <c r="FT188" s="105"/>
      <c r="FU188" s="105"/>
      <c r="FV188" s="105"/>
      <c r="FW188" s="105"/>
      <c r="FX188" s="105"/>
      <c r="FY188" s="105"/>
      <c r="FZ188" s="105"/>
      <c r="GA188" s="105"/>
      <c r="GB188" s="105"/>
      <c r="GC188" s="105"/>
      <c r="GD188" s="105"/>
      <c r="GE188" s="105"/>
      <c r="GF188" s="105"/>
      <c r="GG188" s="105"/>
      <c r="GH188" s="105"/>
      <c r="GI188" s="105"/>
      <c r="GJ188" s="105"/>
      <c r="GK188" s="105"/>
      <c r="GL188" s="105"/>
      <c r="GM188" s="105"/>
      <c r="GN188" s="105"/>
      <c r="GO188" s="105"/>
      <c r="GP188" s="105"/>
      <c r="GQ188" s="105"/>
      <c r="GR188" s="105"/>
      <c r="GS188" s="105"/>
      <c r="GT188" s="105"/>
      <c r="GU188" s="105"/>
      <c r="GV188" s="105"/>
      <c r="GW188" s="105"/>
      <c r="GX188" s="105"/>
      <c r="GY188" s="105"/>
      <c r="GZ188" s="105"/>
      <c r="HA188" s="105"/>
      <c r="HB188" s="105"/>
      <c r="HC188" s="105"/>
      <c r="HD188" s="105"/>
      <c r="HE188" s="105"/>
      <c r="HF188" s="105"/>
      <c r="HG188" s="105"/>
      <c r="HH188" s="105"/>
      <c r="HI188" s="105"/>
      <c r="HJ188" s="105"/>
      <c r="HK188" s="105"/>
      <c r="HL188" s="105"/>
      <c r="HM188" s="105"/>
      <c r="HN188" s="105"/>
      <c r="HO188" s="105"/>
      <c r="HP188" s="105"/>
      <c r="HQ188" s="105"/>
      <c r="HR188" s="105"/>
      <c r="HS188" s="105"/>
      <c r="HT188" s="105"/>
      <c r="HU188" s="105"/>
      <c r="HV188" s="105"/>
      <c r="HW188" s="105"/>
      <c r="HX188" s="105"/>
      <c r="HY188" s="105"/>
      <c r="HZ188" s="105"/>
      <c r="IA188" s="105"/>
      <c r="IB188" s="105"/>
      <c r="IC188" s="105"/>
      <c r="ID188" s="105"/>
      <c r="IE188" s="105"/>
      <c r="IF188" s="105"/>
      <c r="IG188" s="105"/>
      <c r="IH188" s="105"/>
      <c r="II188" s="105"/>
      <c r="IJ188" s="105"/>
      <c r="IK188" s="105"/>
      <c r="IL188" s="105"/>
      <c r="IM188" s="105"/>
      <c r="IN188" s="105"/>
      <c r="IO188" s="105"/>
      <c r="IP188" s="105"/>
      <c r="IQ188" s="105"/>
      <c r="IR188" s="105"/>
      <c r="IS188" s="105"/>
    </row>
    <row r="189" spans="1:253">
      <c r="A189" s="116"/>
      <c r="B189" s="105"/>
      <c r="C189" s="116"/>
      <c r="D189" s="116"/>
      <c r="E189" s="116"/>
      <c r="F189" s="116"/>
      <c r="G189" s="116"/>
      <c r="H189" s="116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  <c r="BO189" s="105"/>
      <c r="BP189" s="105"/>
      <c r="BQ189" s="105"/>
      <c r="BR189" s="105"/>
      <c r="BS189" s="105"/>
      <c r="BT189" s="105"/>
      <c r="BU189" s="105"/>
      <c r="BV189" s="105"/>
      <c r="BW189" s="105"/>
      <c r="BX189" s="105"/>
      <c r="BY189" s="105"/>
      <c r="BZ189" s="105"/>
      <c r="CA189" s="105"/>
      <c r="CB189" s="105"/>
      <c r="CC189" s="105"/>
      <c r="CD189" s="105"/>
      <c r="CE189" s="105"/>
      <c r="CF189" s="105"/>
      <c r="CG189" s="105"/>
      <c r="CH189" s="105"/>
      <c r="CI189" s="105"/>
      <c r="CJ189" s="105"/>
      <c r="CK189" s="105"/>
      <c r="CL189" s="105"/>
      <c r="CM189" s="105"/>
      <c r="CN189" s="105"/>
      <c r="CO189" s="105"/>
      <c r="CP189" s="105"/>
      <c r="CQ189" s="105"/>
      <c r="CR189" s="105"/>
      <c r="CS189" s="105"/>
      <c r="CT189" s="105"/>
      <c r="CU189" s="105"/>
      <c r="CV189" s="105"/>
      <c r="CW189" s="105"/>
      <c r="CX189" s="105"/>
      <c r="CY189" s="105"/>
      <c r="CZ189" s="105"/>
      <c r="DA189" s="105"/>
      <c r="DB189" s="105"/>
      <c r="DC189" s="105"/>
      <c r="DD189" s="105"/>
      <c r="DE189" s="105"/>
      <c r="DF189" s="105"/>
      <c r="DG189" s="105"/>
      <c r="DH189" s="105"/>
      <c r="DI189" s="105"/>
      <c r="DJ189" s="105"/>
      <c r="DK189" s="105"/>
      <c r="DL189" s="105"/>
      <c r="DM189" s="105"/>
      <c r="DN189" s="105"/>
      <c r="DO189" s="105"/>
      <c r="DP189" s="105"/>
      <c r="DQ189" s="105"/>
      <c r="DR189" s="105"/>
      <c r="DS189" s="105"/>
      <c r="DT189" s="105"/>
      <c r="DU189" s="105"/>
      <c r="DV189" s="105"/>
      <c r="DW189" s="105"/>
      <c r="DX189" s="105"/>
      <c r="DY189" s="105"/>
      <c r="DZ189" s="105"/>
      <c r="EA189" s="105"/>
      <c r="EB189" s="105"/>
      <c r="EC189" s="105"/>
      <c r="ED189" s="105"/>
      <c r="EE189" s="105"/>
      <c r="EF189" s="105"/>
      <c r="EG189" s="105"/>
      <c r="EH189" s="105"/>
      <c r="EI189" s="105"/>
      <c r="EJ189" s="105"/>
      <c r="EK189" s="105"/>
      <c r="EL189" s="105"/>
      <c r="EM189" s="105"/>
      <c r="EN189" s="105"/>
      <c r="EO189" s="105"/>
      <c r="EP189" s="105"/>
      <c r="EQ189" s="105"/>
      <c r="ER189" s="105"/>
      <c r="ES189" s="105"/>
      <c r="ET189" s="105"/>
      <c r="EU189" s="105"/>
      <c r="EV189" s="105"/>
      <c r="EW189" s="105"/>
      <c r="EX189" s="105"/>
      <c r="EY189" s="105"/>
      <c r="EZ189" s="105"/>
      <c r="FA189" s="105"/>
      <c r="FB189" s="105"/>
      <c r="FC189" s="105"/>
      <c r="FD189" s="105"/>
      <c r="FE189" s="105"/>
      <c r="FF189" s="105"/>
      <c r="FG189" s="105"/>
      <c r="FH189" s="105"/>
      <c r="FI189" s="105"/>
      <c r="FJ189" s="105"/>
      <c r="FK189" s="105"/>
      <c r="FL189" s="105"/>
      <c r="FM189" s="105"/>
      <c r="FN189" s="105"/>
      <c r="FO189" s="105"/>
      <c r="FP189" s="105"/>
      <c r="FQ189" s="105"/>
      <c r="FR189" s="105"/>
      <c r="FS189" s="105"/>
      <c r="FT189" s="105"/>
      <c r="FU189" s="105"/>
      <c r="FV189" s="105"/>
      <c r="FW189" s="105"/>
      <c r="FX189" s="105"/>
      <c r="FY189" s="105"/>
      <c r="FZ189" s="105"/>
      <c r="GA189" s="105"/>
      <c r="GB189" s="105"/>
      <c r="GC189" s="105"/>
      <c r="GD189" s="105"/>
      <c r="GE189" s="105"/>
      <c r="GF189" s="105"/>
      <c r="GG189" s="105"/>
      <c r="GH189" s="105"/>
      <c r="GI189" s="105"/>
      <c r="GJ189" s="105"/>
      <c r="GK189" s="105"/>
      <c r="GL189" s="105"/>
      <c r="GM189" s="105"/>
      <c r="GN189" s="105"/>
      <c r="GO189" s="105"/>
      <c r="GP189" s="105"/>
      <c r="GQ189" s="105"/>
      <c r="GR189" s="105"/>
      <c r="GS189" s="105"/>
      <c r="GT189" s="105"/>
      <c r="GU189" s="105"/>
      <c r="GV189" s="105"/>
      <c r="GW189" s="105"/>
      <c r="GX189" s="105"/>
      <c r="GY189" s="105"/>
      <c r="GZ189" s="105"/>
      <c r="HA189" s="105"/>
      <c r="HB189" s="105"/>
      <c r="HC189" s="105"/>
      <c r="HD189" s="105"/>
      <c r="HE189" s="105"/>
      <c r="HF189" s="105"/>
      <c r="HG189" s="105"/>
      <c r="HH189" s="105"/>
      <c r="HI189" s="105"/>
      <c r="HJ189" s="105"/>
      <c r="HK189" s="105"/>
      <c r="HL189" s="105"/>
      <c r="HM189" s="105"/>
      <c r="HN189" s="105"/>
      <c r="HO189" s="105"/>
      <c r="HP189" s="105"/>
      <c r="HQ189" s="105"/>
      <c r="HR189" s="105"/>
      <c r="HS189" s="105"/>
      <c r="HT189" s="105"/>
      <c r="HU189" s="105"/>
      <c r="HV189" s="105"/>
      <c r="HW189" s="105"/>
      <c r="HX189" s="105"/>
      <c r="HY189" s="105"/>
      <c r="HZ189" s="105"/>
      <c r="IA189" s="105"/>
      <c r="IB189" s="105"/>
      <c r="IC189" s="105"/>
      <c r="ID189" s="105"/>
      <c r="IE189" s="105"/>
      <c r="IF189" s="105"/>
      <c r="IG189" s="105"/>
      <c r="IH189" s="105"/>
      <c r="II189" s="105"/>
      <c r="IJ189" s="105"/>
      <c r="IK189" s="105"/>
      <c r="IL189" s="105"/>
      <c r="IM189" s="105"/>
      <c r="IN189" s="105"/>
      <c r="IO189" s="105"/>
      <c r="IP189" s="105"/>
      <c r="IQ189" s="105"/>
      <c r="IR189" s="105"/>
      <c r="IS189" s="105"/>
    </row>
    <row r="190" spans="1:253">
      <c r="A190" s="116"/>
      <c r="B190" s="105"/>
      <c r="C190" s="116"/>
      <c r="D190" s="116"/>
      <c r="E190" s="116"/>
      <c r="F190" s="116"/>
      <c r="G190" s="116"/>
      <c r="H190" s="116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  <c r="BO190" s="105"/>
      <c r="BP190" s="105"/>
      <c r="BQ190" s="105"/>
      <c r="BR190" s="105"/>
      <c r="BS190" s="105"/>
      <c r="BT190" s="105"/>
      <c r="BU190" s="105"/>
      <c r="BV190" s="105"/>
      <c r="BW190" s="105"/>
      <c r="BX190" s="105"/>
      <c r="BY190" s="105"/>
      <c r="BZ190" s="105"/>
      <c r="CA190" s="105"/>
      <c r="CB190" s="105"/>
      <c r="CC190" s="105"/>
      <c r="CD190" s="105"/>
      <c r="CE190" s="105"/>
      <c r="CF190" s="105"/>
      <c r="CG190" s="105"/>
      <c r="CH190" s="105"/>
      <c r="CI190" s="105"/>
      <c r="CJ190" s="105"/>
      <c r="CK190" s="105"/>
      <c r="CL190" s="105"/>
      <c r="CM190" s="105"/>
      <c r="CN190" s="105"/>
      <c r="CO190" s="105"/>
      <c r="CP190" s="105"/>
      <c r="CQ190" s="105"/>
      <c r="CR190" s="105"/>
      <c r="CS190" s="105"/>
      <c r="CT190" s="105"/>
      <c r="CU190" s="105"/>
      <c r="CV190" s="105"/>
      <c r="CW190" s="105"/>
      <c r="CX190" s="105"/>
      <c r="CY190" s="105"/>
      <c r="CZ190" s="105"/>
      <c r="DA190" s="105"/>
      <c r="DB190" s="105"/>
      <c r="DC190" s="105"/>
      <c r="DD190" s="105"/>
      <c r="DE190" s="105"/>
      <c r="DF190" s="105"/>
      <c r="DG190" s="105"/>
      <c r="DH190" s="105"/>
      <c r="DI190" s="105"/>
      <c r="DJ190" s="105"/>
      <c r="DK190" s="105"/>
      <c r="DL190" s="105"/>
      <c r="DM190" s="105"/>
      <c r="DN190" s="105"/>
      <c r="DO190" s="105"/>
      <c r="DP190" s="105"/>
      <c r="DQ190" s="105"/>
      <c r="DR190" s="105"/>
      <c r="DS190" s="105"/>
      <c r="DT190" s="105"/>
      <c r="DU190" s="105"/>
      <c r="DV190" s="105"/>
      <c r="DW190" s="105"/>
      <c r="DX190" s="105"/>
      <c r="DY190" s="105"/>
      <c r="DZ190" s="105"/>
      <c r="EA190" s="105"/>
      <c r="EB190" s="105"/>
      <c r="EC190" s="105"/>
      <c r="ED190" s="105"/>
      <c r="EE190" s="105"/>
      <c r="EF190" s="105"/>
      <c r="EG190" s="105"/>
      <c r="EH190" s="105"/>
      <c r="EI190" s="105"/>
      <c r="EJ190" s="105"/>
      <c r="EK190" s="105"/>
      <c r="EL190" s="105"/>
      <c r="EM190" s="105"/>
      <c r="EN190" s="105"/>
      <c r="EO190" s="105"/>
      <c r="EP190" s="105"/>
      <c r="EQ190" s="105"/>
      <c r="ER190" s="105"/>
      <c r="ES190" s="105"/>
      <c r="ET190" s="105"/>
      <c r="EU190" s="105"/>
      <c r="EV190" s="105"/>
      <c r="EW190" s="105"/>
      <c r="EX190" s="105"/>
      <c r="EY190" s="105"/>
      <c r="EZ190" s="105"/>
      <c r="FA190" s="105"/>
      <c r="FB190" s="105"/>
      <c r="FC190" s="105"/>
      <c r="FD190" s="105"/>
      <c r="FE190" s="105"/>
      <c r="FF190" s="105"/>
      <c r="FG190" s="105"/>
      <c r="FH190" s="105"/>
      <c r="FI190" s="105"/>
      <c r="FJ190" s="105"/>
      <c r="FK190" s="105"/>
      <c r="FL190" s="105"/>
      <c r="FM190" s="105"/>
      <c r="FN190" s="105"/>
      <c r="FO190" s="105"/>
      <c r="FP190" s="105"/>
      <c r="FQ190" s="105"/>
      <c r="FR190" s="105"/>
      <c r="FS190" s="105"/>
      <c r="FT190" s="105"/>
      <c r="FU190" s="105"/>
      <c r="FV190" s="105"/>
      <c r="FW190" s="105"/>
      <c r="FX190" s="105"/>
      <c r="FY190" s="105"/>
      <c r="FZ190" s="105"/>
      <c r="GA190" s="105"/>
      <c r="GB190" s="105"/>
      <c r="GC190" s="105"/>
      <c r="GD190" s="105"/>
      <c r="GE190" s="105"/>
      <c r="GF190" s="105"/>
      <c r="GG190" s="105"/>
      <c r="GH190" s="105"/>
      <c r="GI190" s="105"/>
      <c r="GJ190" s="105"/>
      <c r="GK190" s="105"/>
      <c r="GL190" s="105"/>
      <c r="GM190" s="105"/>
      <c r="GN190" s="105"/>
      <c r="GO190" s="105"/>
      <c r="GP190" s="105"/>
      <c r="GQ190" s="105"/>
      <c r="GR190" s="105"/>
      <c r="GS190" s="105"/>
      <c r="GT190" s="105"/>
      <c r="GU190" s="105"/>
      <c r="GV190" s="105"/>
      <c r="GW190" s="105"/>
      <c r="GX190" s="105"/>
      <c r="GY190" s="105"/>
      <c r="GZ190" s="105"/>
      <c r="HA190" s="105"/>
      <c r="HB190" s="105"/>
      <c r="HC190" s="105"/>
      <c r="HD190" s="105"/>
      <c r="HE190" s="105"/>
      <c r="HF190" s="105"/>
      <c r="HG190" s="105"/>
      <c r="HH190" s="105"/>
      <c r="HI190" s="105"/>
      <c r="HJ190" s="105"/>
      <c r="HK190" s="105"/>
      <c r="HL190" s="105"/>
      <c r="HM190" s="105"/>
      <c r="HN190" s="105"/>
      <c r="HO190" s="105"/>
      <c r="HP190" s="105"/>
      <c r="HQ190" s="105"/>
      <c r="HR190" s="105"/>
      <c r="HS190" s="105"/>
      <c r="HT190" s="105"/>
      <c r="HU190" s="105"/>
      <c r="HV190" s="105"/>
      <c r="HW190" s="105"/>
      <c r="HX190" s="105"/>
      <c r="HY190" s="105"/>
      <c r="HZ190" s="105"/>
      <c r="IA190" s="105"/>
      <c r="IB190" s="105"/>
      <c r="IC190" s="105"/>
      <c r="ID190" s="105"/>
      <c r="IE190" s="105"/>
      <c r="IF190" s="105"/>
      <c r="IG190" s="105"/>
      <c r="IH190" s="105"/>
      <c r="II190" s="105"/>
      <c r="IJ190" s="105"/>
      <c r="IK190" s="105"/>
      <c r="IL190" s="105"/>
      <c r="IM190" s="105"/>
      <c r="IN190" s="105"/>
      <c r="IO190" s="105"/>
      <c r="IP190" s="105"/>
      <c r="IQ190" s="105"/>
      <c r="IR190" s="105"/>
      <c r="IS190" s="105"/>
    </row>
    <row r="191" spans="1:253">
      <c r="A191" s="116"/>
      <c r="B191" s="105"/>
      <c r="C191" s="116"/>
      <c r="D191" s="116"/>
      <c r="E191" s="116"/>
      <c r="F191" s="116"/>
      <c r="G191" s="116"/>
      <c r="H191" s="116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  <c r="BO191" s="105"/>
      <c r="BP191" s="105"/>
      <c r="BQ191" s="105"/>
      <c r="BR191" s="105"/>
      <c r="BS191" s="105"/>
      <c r="BT191" s="105"/>
      <c r="BU191" s="105"/>
      <c r="BV191" s="105"/>
      <c r="BW191" s="105"/>
      <c r="BX191" s="105"/>
      <c r="BY191" s="105"/>
      <c r="BZ191" s="105"/>
      <c r="CA191" s="105"/>
      <c r="CB191" s="105"/>
      <c r="CC191" s="105"/>
      <c r="CD191" s="105"/>
      <c r="CE191" s="105"/>
      <c r="CF191" s="105"/>
      <c r="CG191" s="105"/>
      <c r="CH191" s="105"/>
      <c r="CI191" s="105"/>
      <c r="CJ191" s="105"/>
      <c r="CK191" s="105"/>
      <c r="CL191" s="105"/>
      <c r="CM191" s="105"/>
      <c r="CN191" s="105"/>
      <c r="CO191" s="105"/>
      <c r="CP191" s="105"/>
      <c r="CQ191" s="105"/>
      <c r="CR191" s="105"/>
      <c r="CS191" s="105"/>
      <c r="CT191" s="105"/>
      <c r="CU191" s="105"/>
      <c r="CV191" s="105"/>
      <c r="CW191" s="105"/>
      <c r="CX191" s="105"/>
      <c r="CY191" s="105"/>
      <c r="CZ191" s="105"/>
      <c r="DA191" s="105"/>
      <c r="DB191" s="105"/>
      <c r="DC191" s="105"/>
      <c r="DD191" s="105"/>
      <c r="DE191" s="105"/>
      <c r="DF191" s="105"/>
      <c r="DG191" s="105"/>
      <c r="DH191" s="105"/>
      <c r="DI191" s="105"/>
      <c r="DJ191" s="105"/>
      <c r="DK191" s="105"/>
      <c r="DL191" s="105"/>
      <c r="DM191" s="105"/>
      <c r="DN191" s="105"/>
      <c r="DO191" s="105"/>
      <c r="DP191" s="105"/>
      <c r="DQ191" s="105"/>
      <c r="DR191" s="105"/>
      <c r="DS191" s="105"/>
      <c r="DT191" s="105"/>
      <c r="DU191" s="105"/>
      <c r="DV191" s="105"/>
      <c r="DW191" s="105"/>
      <c r="DX191" s="105"/>
      <c r="DY191" s="105"/>
      <c r="DZ191" s="105"/>
      <c r="EA191" s="105"/>
      <c r="EB191" s="105"/>
      <c r="EC191" s="105"/>
      <c r="ED191" s="105"/>
      <c r="EE191" s="105"/>
      <c r="EF191" s="105"/>
      <c r="EG191" s="105"/>
      <c r="EH191" s="105"/>
      <c r="EI191" s="105"/>
      <c r="EJ191" s="105"/>
      <c r="EK191" s="105"/>
      <c r="EL191" s="105"/>
      <c r="EM191" s="105"/>
      <c r="EN191" s="105"/>
      <c r="EO191" s="105"/>
      <c r="EP191" s="105"/>
      <c r="EQ191" s="105"/>
      <c r="ER191" s="105"/>
      <c r="ES191" s="105"/>
      <c r="ET191" s="105"/>
      <c r="EU191" s="105"/>
      <c r="EV191" s="105"/>
      <c r="EW191" s="105"/>
      <c r="EX191" s="105"/>
      <c r="EY191" s="105"/>
      <c r="EZ191" s="105"/>
      <c r="FA191" s="105"/>
      <c r="FB191" s="105"/>
      <c r="FC191" s="105"/>
      <c r="FD191" s="105"/>
      <c r="FE191" s="105"/>
      <c r="FF191" s="105"/>
      <c r="FG191" s="105"/>
      <c r="FH191" s="105"/>
      <c r="FI191" s="105"/>
      <c r="FJ191" s="105"/>
      <c r="FK191" s="105"/>
      <c r="FL191" s="105"/>
      <c r="FM191" s="105"/>
      <c r="FN191" s="105"/>
      <c r="FO191" s="105"/>
      <c r="FP191" s="105"/>
      <c r="FQ191" s="105"/>
      <c r="FR191" s="105"/>
      <c r="FS191" s="105"/>
      <c r="FT191" s="105"/>
      <c r="FU191" s="105"/>
      <c r="FV191" s="105"/>
      <c r="FW191" s="105"/>
      <c r="FX191" s="105"/>
      <c r="FY191" s="105"/>
      <c r="FZ191" s="105"/>
      <c r="GA191" s="105"/>
      <c r="GB191" s="105"/>
      <c r="GC191" s="105"/>
      <c r="GD191" s="105"/>
      <c r="GE191" s="105"/>
      <c r="GF191" s="105"/>
      <c r="GG191" s="105"/>
      <c r="GH191" s="105"/>
      <c r="GI191" s="105"/>
      <c r="GJ191" s="105"/>
      <c r="GK191" s="105"/>
      <c r="GL191" s="105"/>
      <c r="GM191" s="105"/>
      <c r="GN191" s="105"/>
      <c r="GO191" s="105"/>
      <c r="GP191" s="105"/>
      <c r="GQ191" s="105"/>
      <c r="GR191" s="105"/>
      <c r="GS191" s="105"/>
      <c r="GT191" s="105"/>
      <c r="GU191" s="105"/>
      <c r="GV191" s="105"/>
      <c r="GW191" s="105"/>
      <c r="GX191" s="105"/>
      <c r="GY191" s="105"/>
      <c r="GZ191" s="105"/>
      <c r="HA191" s="105"/>
      <c r="HB191" s="105"/>
      <c r="HC191" s="105"/>
      <c r="HD191" s="105"/>
      <c r="HE191" s="105"/>
      <c r="HF191" s="105"/>
      <c r="HG191" s="105"/>
      <c r="HH191" s="105"/>
      <c r="HI191" s="105"/>
      <c r="HJ191" s="105"/>
      <c r="HK191" s="105"/>
      <c r="HL191" s="105"/>
      <c r="HM191" s="105"/>
      <c r="HN191" s="105"/>
      <c r="HO191" s="105"/>
      <c r="HP191" s="105"/>
      <c r="HQ191" s="105"/>
      <c r="HR191" s="105"/>
      <c r="HS191" s="105"/>
      <c r="HT191" s="105"/>
      <c r="HU191" s="105"/>
      <c r="HV191" s="105"/>
      <c r="HW191" s="105"/>
      <c r="HX191" s="105"/>
      <c r="HY191" s="105"/>
      <c r="HZ191" s="105"/>
      <c r="IA191" s="105"/>
      <c r="IB191" s="105"/>
      <c r="IC191" s="105"/>
      <c r="ID191" s="105"/>
      <c r="IE191" s="105"/>
      <c r="IF191" s="105"/>
      <c r="IG191" s="105"/>
      <c r="IH191" s="105"/>
      <c r="II191" s="105"/>
      <c r="IJ191" s="105"/>
      <c r="IK191" s="105"/>
      <c r="IL191" s="105"/>
      <c r="IM191" s="105"/>
      <c r="IN191" s="105"/>
      <c r="IO191" s="105"/>
      <c r="IP191" s="105"/>
      <c r="IQ191" s="105"/>
      <c r="IR191" s="105"/>
      <c r="IS191" s="105"/>
    </row>
    <row r="192" spans="1:253">
      <c r="A192" s="116"/>
      <c r="B192" s="105"/>
      <c r="C192" s="116"/>
      <c r="D192" s="116"/>
      <c r="E192" s="116"/>
      <c r="F192" s="116"/>
      <c r="G192" s="116"/>
      <c r="H192" s="116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5"/>
      <c r="BN192" s="105"/>
      <c r="BO192" s="105"/>
      <c r="BP192" s="105"/>
      <c r="BQ192" s="105"/>
      <c r="BR192" s="105"/>
      <c r="BS192" s="105"/>
      <c r="BT192" s="105"/>
      <c r="BU192" s="105"/>
      <c r="BV192" s="105"/>
      <c r="BW192" s="105"/>
      <c r="BX192" s="105"/>
      <c r="BY192" s="105"/>
      <c r="BZ192" s="105"/>
      <c r="CA192" s="105"/>
      <c r="CB192" s="105"/>
      <c r="CC192" s="105"/>
      <c r="CD192" s="105"/>
      <c r="CE192" s="105"/>
      <c r="CF192" s="105"/>
      <c r="CG192" s="105"/>
      <c r="CH192" s="105"/>
      <c r="CI192" s="105"/>
      <c r="CJ192" s="105"/>
      <c r="CK192" s="105"/>
      <c r="CL192" s="105"/>
      <c r="CM192" s="105"/>
      <c r="CN192" s="105"/>
      <c r="CO192" s="105"/>
      <c r="CP192" s="105"/>
      <c r="CQ192" s="105"/>
      <c r="CR192" s="105"/>
      <c r="CS192" s="105"/>
      <c r="CT192" s="105"/>
      <c r="CU192" s="105"/>
      <c r="CV192" s="105"/>
      <c r="CW192" s="105"/>
      <c r="CX192" s="105"/>
      <c r="CY192" s="105"/>
      <c r="CZ192" s="105"/>
      <c r="DA192" s="105"/>
      <c r="DB192" s="105"/>
      <c r="DC192" s="105"/>
      <c r="DD192" s="105"/>
      <c r="DE192" s="105"/>
      <c r="DF192" s="105"/>
      <c r="DG192" s="105"/>
      <c r="DH192" s="105"/>
      <c r="DI192" s="105"/>
      <c r="DJ192" s="105"/>
      <c r="DK192" s="105"/>
      <c r="DL192" s="105"/>
      <c r="DM192" s="105"/>
      <c r="DN192" s="105"/>
      <c r="DO192" s="105"/>
      <c r="DP192" s="105"/>
      <c r="DQ192" s="105"/>
      <c r="DR192" s="105"/>
      <c r="DS192" s="105"/>
      <c r="DT192" s="105"/>
      <c r="DU192" s="105"/>
      <c r="DV192" s="105"/>
      <c r="DW192" s="105"/>
      <c r="DX192" s="105"/>
      <c r="DY192" s="105"/>
      <c r="DZ192" s="105"/>
      <c r="EA192" s="105"/>
      <c r="EB192" s="105"/>
      <c r="EC192" s="105"/>
      <c r="ED192" s="105"/>
      <c r="EE192" s="105"/>
      <c r="EF192" s="105"/>
      <c r="EG192" s="105"/>
      <c r="EH192" s="105"/>
      <c r="EI192" s="105"/>
      <c r="EJ192" s="105"/>
      <c r="EK192" s="105"/>
      <c r="EL192" s="105"/>
      <c r="EM192" s="105"/>
      <c r="EN192" s="105"/>
      <c r="EO192" s="105"/>
      <c r="EP192" s="105"/>
      <c r="EQ192" s="105"/>
      <c r="ER192" s="105"/>
      <c r="ES192" s="105"/>
      <c r="ET192" s="105"/>
      <c r="EU192" s="105"/>
      <c r="EV192" s="105"/>
      <c r="EW192" s="105"/>
      <c r="EX192" s="105"/>
      <c r="EY192" s="105"/>
      <c r="EZ192" s="105"/>
      <c r="FA192" s="105"/>
      <c r="FB192" s="105"/>
      <c r="FC192" s="105"/>
      <c r="FD192" s="105"/>
      <c r="FE192" s="105"/>
      <c r="FF192" s="105"/>
      <c r="FG192" s="105"/>
      <c r="FH192" s="105"/>
      <c r="FI192" s="105"/>
      <c r="FJ192" s="105"/>
      <c r="FK192" s="105"/>
      <c r="FL192" s="105"/>
      <c r="FM192" s="105"/>
      <c r="FN192" s="105"/>
      <c r="FO192" s="105"/>
      <c r="FP192" s="105"/>
      <c r="FQ192" s="105"/>
      <c r="FR192" s="105"/>
      <c r="FS192" s="105"/>
      <c r="FT192" s="105"/>
      <c r="FU192" s="105"/>
      <c r="FV192" s="105"/>
      <c r="FW192" s="105"/>
      <c r="FX192" s="105"/>
      <c r="FY192" s="105"/>
      <c r="FZ192" s="105"/>
      <c r="GA192" s="105"/>
      <c r="GB192" s="105"/>
      <c r="GC192" s="105"/>
      <c r="GD192" s="105"/>
      <c r="GE192" s="105"/>
      <c r="GF192" s="105"/>
      <c r="GG192" s="105"/>
      <c r="GH192" s="105"/>
      <c r="GI192" s="105"/>
      <c r="GJ192" s="105"/>
      <c r="GK192" s="105"/>
      <c r="GL192" s="105"/>
      <c r="GM192" s="105"/>
      <c r="GN192" s="105"/>
      <c r="GO192" s="105"/>
      <c r="GP192" s="105"/>
      <c r="GQ192" s="105"/>
      <c r="GR192" s="105"/>
      <c r="GS192" s="105"/>
      <c r="GT192" s="105"/>
      <c r="GU192" s="105"/>
      <c r="GV192" s="105"/>
      <c r="GW192" s="105"/>
      <c r="GX192" s="105"/>
      <c r="GY192" s="105"/>
      <c r="GZ192" s="105"/>
      <c r="HA192" s="105"/>
      <c r="HB192" s="105"/>
      <c r="HC192" s="105"/>
      <c r="HD192" s="105"/>
      <c r="HE192" s="105"/>
      <c r="HF192" s="105"/>
      <c r="HG192" s="105"/>
      <c r="HH192" s="105"/>
      <c r="HI192" s="105"/>
      <c r="HJ192" s="105"/>
      <c r="HK192" s="105"/>
      <c r="HL192" s="105"/>
      <c r="HM192" s="105"/>
      <c r="HN192" s="105"/>
      <c r="HO192" s="105"/>
      <c r="HP192" s="105"/>
      <c r="HQ192" s="105"/>
      <c r="HR192" s="105"/>
      <c r="HS192" s="105"/>
      <c r="HT192" s="105"/>
      <c r="HU192" s="105"/>
      <c r="HV192" s="105"/>
      <c r="HW192" s="105"/>
      <c r="HX192" s="105"/>
      <c r="HY192" s="105"/>
      <c r="HZ192" s="105"/>
      <c r="IA192" s="105"/>
      <c r="IB192" s="105"/>
      <c r="IC192" s="105"/>
      <c r="ID192" s="105"/>
      <c r="IE192" s="105"/>
      <c r="IF192" s="105"/>
      <c r="IG192" s="105"/>
      <c r="IH192" s="105"/>
      <c r="II192" s="105"/>
      <c r="IJ192" s="105"/>
      <c r="IK192" s="105"/>
      <c r="IL192" s="105"/>
      <c r="IM192" s="105"/>
      <c r="IN192" s="105"/>
      <c r="IO192" s="105"/>
      <c r="IP192" s="105"/>
      <c r="IQ192" s="105"/>
      <c r="IR192" s="105"/>
      <c r="IS192" s="105"/>
    </row>
    <row r="193" spans="1:253">
      <c r="A193" s="116"/>
      <c r="B193" s="105"/>
      <c r="C193" s="116"/>
      <c r="D193" s="116"/>
      <c r="E193" s="116"/>
      <c r="F193" s="116"/>
      <c r="G193" s="116"/>
      <c r="H193" s="116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  <c r="BO193" s="105"/>
      <c r="BP193" s="105"/>
      <c r="BQ193" s="105"/>
      <c r="BR193" s="105"/>
      <c r="BS193" s="105"/>
      <c r="BT193" s="105"/>
      <c r="BU193" s="105"/>
      <c r="BV193" s="105"/>
      <c r="BW193" s="105"/>
      <c r="BX193" s="105"/>
      <c r="BY193" s="105"/>
      <c r="BZ193" s="105"/>
      <c r="CA193" s="105"/>
      <c r="CB193" s="105"/>
      <c r="CC193" s="105"/>
      <c r="CD193" s="105"/>
      <c r="CE193" s="105"/>
      <c r="CF193" s="105"/>
      <c r="CG193" s="105"/>
      <c r="CH193" s="105"/>
      <c r="CI193" s="105"/>
      <c r="CJ193" s="105"/>
      <c r="CK193" s="105"/>
      <c r="CL193" s="105"/>
      <c r="CM193" s="105"/>
      <c r="CN193" s="105"/>
      <c r="CO193" s="105"/>
      <c r="CP193" s="105"/>
      <c r="CQ193" s="105"/>
      <c r="CR193" s="105"/>
      <c r="CS193" s="105"/>
      <c r="CT193" s="105"/>
      <c r="CU193" s="105"/>
      <c r="CV193" s="105"/>
      <c r="CW193" s="105"/>
      <c r="CX193" s="105"/>
      <c r="CY193" s="105"/>
      <c r="CZ193" s="105"/>
      <c r="DA193" s="105"/>
      <c r="DB193" s="105"/>
      <c r="DC193" s="105"/>
      <c r="DD193" s="105"/>
      <c r="DE193" s="105"/>
      <c r="DF193" s="105"/>
      <c r="DG193" s="105"/>
      <c r="DH193" s="105"/>
      <c r="DI193" s="105"/>
      <c r="DJ193" s="105"/>
      <c r="DK193" s="105"/>
      <c r="DL193" s="105"/>
      <c r="DM193" s="105"/>
      <c r="DN193" s="105"/>
      <c r="DO193" s="105"/>
      <c r="DP193" s="105"/>
      <c r="DQ193" s="105"/>
      <c r="DR193" s="105"/>
      <c r="DS193" s="105"/>
      <c r="DT193" s="105"/>
      <c r="DU193" s="105"/>
      <c r="DV193" s="105"/>
      <c r="DW193" s="105"/>
      <c r="DX193" s="105"/>
      <c r="DY193" s="105"/>
      <c r="DZ193" s="105"/>
      <c r="EA193" s="105"/>
      <c r="EB193" s="105"/>
      <c r="EC193" s="105"/>
      <c r="ED193" s="105"/>
      <c r="EE193" s="105"/>
      <c r="EF193" s="105"/>
      <c r="EG193" s="105"/>
      <c r="EH193" s="105"/>
      <c r="EI193" s="105"/>
      <c r="EJ193" s="105"/>
      <c r="EK193" s="105"/>
      <c r="EL193" s="105"/>
      <c r="EM193" s="105"/>
      <c r="EN193" s="105"/>
      <c r="EO193" s="105"/>
      <c r="EP193" s="105"/>
      <c r="EQ193" s="105"/>
      <c r="ER193" s="105"/>
      <c r="ES193" s="105"/>
      <c r="ET193" s="105"/>
      <c r="EU193" s="105"/>
      <c r="EV193" s="105"/>
      <c r="EW193" s="105"/>
      <c r="EX193" s="105"/>
      <c r="EY193" s="105"/>
      <c r="EZ193" s="105"/>
      <c r="FA193" s="105"/>
      <c r="FB193" s="105"/>
      <c r="FC193" s="105"/>
      <c r="FD193" s="105"/>
      <c r="FE193" s="105"/>
      <c r="FF193" s="105"/>
      <c r="FG193" s="105"/>
      <c r="FH193" s="105"/>
      <c r="FI193" s="105"/>
      <c r="FJ193" s="105"/>
      <c r="FK193" s="105"/>
      <c r="FL193" s="105"/>
      <c r="FM193" s="105"/>
      <c r="FN193" s="105"/>
      <c r="FO193" s="105"/>
      <c r="FP193" s="105"/>
      <c r="FQ193" s="105"/>
      <c r="FR193" s="105"/>
      <c r="FS193" s="105"/>
      <c r="FT193" s="105"/>
      <c r="FU193" s="105"/>
      <c r="FV193" s="105"/>
      <c r="FW193" s="105"/>
      <c r="FX193" s="105"/>
      <c r="FY193" s="105"/>
      <c r="FZ193" s="105"/>
      <c r="GA193" s="105"/>
      <c r="GB193" s="105"/>
      <c r="GC193" s="105"/>
      <c r="GD193" s="105"/>
      <c r="GE193" s="105"/>
      <c r="GF193" s="105"/>
      <c r="GG193" s="105"/>
      <c r="GH193" s="105"/>
      <c r="GI193" s="105"/>
      <c r="GJ193" s="105"/>
      <c r="GK193" s="105"/>
      <c r="GL193" s="105"/>
      <c r="GM193" s="105"/>
      <c r="GN193" s="105"/>
      <c r="GO193" s="105"/>
      <c r="GP193" s="105"/>
      <c r="GQ193" s="105"/>
      <c r="GR193" s="105"/>
      <c r="GS193" s="105"/>
      <c r="GT193" s="105"/>
      <c r="GU193" s="105"/>
      <c r="GV193" s="105"/>
      <c r="GW193" s="105"/>
      <c r="GX193" s="105"/>
      <c r="GY193" s="105"/>
      <c r="GZ193" s="105"/>
      <c r="HA193" s="105"/>
      <c r="HB193" s="105"/>
      <c r="HC193" s="105"/>
      <c r="HD193" s="105"/>
      <c r="HE193" s="105"/>
      <c r="HF193" s="105"/>
      <c r="HG193" s="105"/>
      <c r="HH193" s="105"/>
      <c r="HI193" s="105"/>
      <c r="HJ193" s="105"/>
      <c r="HK193" s="105"/>
      <c r="HL193" s="105"/>
      <c r="HM193" s="105"/>
      <c r="HN193" s="105"/>
      <c r="HO193" s="105"/>
      <c r="HP193" s="105"/>
      <c r="HQ193" s="105"/>
      <c r="HR193" s="105"/>
      <c r="HS193" s="105"/>
      <c r="HT193" s="105"/>
      <c r="HU193" s="105"/>
      <c r="HV193" s="105"/>
      <c r="HW193" s="105"/>
      <c r="HX193" s="105"/>
      <c r="HY193" s="105"/>
      <c r="HZ193" s="105"/>
      <c r="IA193" s="105"/>
      <c r="IB193" s="105"/>
      <c r="IC193" s="105"/>
      <c r="ID193" s="105"/>
      <c r="IE193" s="105"/>
      <c r="IF193" s="105"/>
      <c r="IG193" s="105"/>
      <c r="IH193" s="105"/>
      <c r="II193" s="105"/>
      <c r="IJ193" s="105"/>
      <c r="IK193" s="105"/>
      <c r="IL193" s="105"/>
      <c r="IM193" s="105"/>
      <c r="IN193" s="105"/>
      <c r="IO193" s="105"/>
      <c r="IP193" s="105"/>
      <c r="IQ193" s="105"/>
      <c r="IR193" s="105"/>
      <c r="IS193" s="105"/>
    </row>
    <row r="194" spans="1:253">
      <c r="A194" s="116"/>
      <c r="B194" s="105"/>
      <c r="C194" s="116"/>
      <c r="D194" s="116"/>
      <c r="E194" s="116"/>
      <c r="F194" s="116"/>
      <c r="G194" s="116"/>
      <c r="H194" s="116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  <c r="BL194" s="105"/>
      <c r="BM194" s="105"/>
      <c r="BN194" s="105"/>
      <c r="BO194" s="105"/>
      <c r="BP194" s="105"/>
      <c r="BQ194" s="105"/>
      <c r="BR194" s="105"/>
      <c r="BS194" s="105"/>
      <c r="BT194" s="105"/>
      <c r="BU194" s="105"/>
      <c r="BV194" s="105"/>
      <c r="BW194" s="105"/>
      <c r="BX194" s="105"/>
      <c r="BY194" s="105"/>
      <c r="BZ194" s="105"/>
      <c r="CA194" s="105"/>
      <c r="CB194" s="105"/>
      <c r="CC194" s="105"/>
      <c r="CD194" s="105"/>
      <c r="CE194" s="105"/>
      <c r="CF194" s="105"/>
      <c r="CG194" s="105"/>
      <c r="CH194" s="105"/>
      <c r="CI194" s="105"/>
      <c r="CJ194" s="105"/>
      <c r="CK194" s="105"/>
      <c r="CL194" s="105"/>
      <c r="CM194" s="105"/>
      <c r="CN194" s="105"/>
      <c r="CO194" s="105"/>
      <c r="CP194" s="105"/>
      <c r="CQ194" s="105"/>
      <c r="CR194" s="105"/>
      <c r="CS194" s="105"/>
      <c r="CT194" s="105"/>
      <c r="CU194" s="105"/>
      <c r="CV194" s="105"/>
      <c r="CW194" s="105"/>
      <c r="CX194" s="105"/>
      <c r="CY194" s="105"/>
      <c r="CZ194" s="105"/>
      <c r="DA194" s="105"/>
      <c r="DB194" s="105"/>
      <c r="DC194" s="105"/>
      <c r="DD194" s="105"/>
      <c r="DE194" s="105"/>
      <c r="DF194" s="105"/>
      <c r="DG194" s="105"/>
      <c r="DH194" s="105"/>
      <c r="DI194" s="105"/>
      <c r="DJ194" s="105"/>
      <c r="DK194" s="105"/>
      <c r="DL194" s="105"/>
      <c r="DM194" s="105"/>
      <c r="DN194" s="105"/>
      <c r="DO194" s="105"/>
      <c r="DP194" s="105"/>
      <c r="DQ194" s="105"/>
      <c r="DR194" s="105"/>
      <c r="DS194" s="105"/>
      <c r="DT194" s="105"/>
      <c r="DU194" s="105"/>
      <c r="DV194" s="105"/>
      <c r="DW194" s="105"/>
      <c r="DX194" s="105"/>
      <c r="DY194" s="105"/>
      <c r="DZ194" s="105"/>
      <c r="EA194" s="105"/>
      <c r="EB194" s="105"/>
      <c r="EC194" s="105"/>
      <c r="ED194" s="105"/>
      <c r="EE194" s="105"/>
      <c r="EF194" s="105"/>
      <c r="EG194" s="105"/>
      <c r="EH194" s="105"/>
      <c r="EI194" s="105"/>
      <c r="EJ194" s="105"/>
      <c r="EK194" s="105"/>
      <c r="EL194" s="105"/>
      <c r="EM194" s="105"/>
      <c r="EN194" s="105"/>
      <c r="EO194" s="105"/>
      <c r="EP194" s="105"/>
      <c r="EQ194" s="105"/>
      <c r="ER194" s="105"/>
      <c r="ES194" s="105"/>
      <c r="ET194" s="105"/>
      <c r="EU194" s="105"/>
      <c r="EV194" s="105"/>
      <c r="EW194" s="105"/>
      <c r="EX194" s="105"/>
      <c r="EY194" s="105"/>
      <c r="EZ194" s="105"/>
      <c r="FA194" s="105"/>
      <c r="FB194" s="105"/>
      <c r="FC194" s="105"/>
      <c r="FD194" s="105"/>
      <c r="FE194" s="105"/>
      <c r="FF194" s="105"/>
      <c r="FG194" s="105"/>
      <c r="FH194" s="105"/>
      <c r="FI194" s="105"/>
      <c r="FJ194" s="105"/>
      <c r="FK194" s="105"/>
      <c r="FL194" s="105"/>
      <c r="FM194" s="105"/>
      <c r="FN194" s="105"/>
      <c r="FO194" s="105"/>
      <c r="FP194" s="105"/>
      <c r="FQ194" s="105"/>
      <c r="FR194" s="105"/>
      <c r="FS194" s="105"/>
      <c r="FT194" s="105"/>
      <c r="FU194" s="105"/>
      <c r="FV194" s="105"/>
      <c r="FW194" s="105"/>
      <c r="FX194" s="105"/>
      <c r="FY194" s="105"/>
      <c r="FZ194" s="105"/>
      <c r="GA194" s="105"/>
      <c r="GB194" s="105"/>
      <c r="GC194" s="105"/>
      <c r="GD194" s="105"/>
      <c r="GE194" s="105"/>
      <c r="GF194" s="105"/>
      <c r="GG194" s="105"/>
      <c r="GH194" s="105"/>
      <c r="GI194" s="105"/>
      <c r="GJ194" s="105"/>
      <c r="GK194" s="105"/>
      <c r="GL194" s="105"/>
      <c r="GM194" s="105"/>
      <c r="GN194" s="105"/>
      <c r="GO194" s="105"/>
      <c r="GP194" s="105"/>
      <c r="GQ194" s="105"/>
      <c r="GR194" s="105"/>
      <c r="GS194" s="105"/>
      <c r="GT194" s="105"/>
      <c r="GU194" s="105"/>
      <c r="GV194" s="105"/>
      <c r="GW194" s="105"/>
      <c r="GX194" s="105"/>
      <c r="GY194" s="105"/>
      <c r="GZ194" s="105"/>
      <c r="HA194" s="105"/>
      <c r="HB194" s="105"/>
      <c r="HC194" s="105"/>
      <c r="HD194" s="105"/>
      <c r="HE194" s="105"/>
      <c r="HF194" s="105"/>
      <c r="HG194" s="105"/>
      <c r="HH194" s="105"/>
      <c r="HI194" s="105"/>
      <c r="HJ194" s="105"/>
      <c r="HK194" s="105"/>
      <c r="HL194" s="105"/>
      <c r="HM194" s="105"/>
      <c r="HN194" s="105"/>
      <c r="HO194" s="105"/>
      <c r="HP194" s="105"/>
      <c r="HQ194" s="105"/>
      <c r="HR194" s="105"/>
      <c r="HS194" s="105"/>
      <c r="HT194" s="105"/>
      <c r="HU194" s="105"/>
      <c r="HV194" s="105"/>
      <c r="HW194" s="105"/>
      <c r="HX194" s="105"/>
      <c r="HY194" s="105"/>
      <c r="HZ194" s="105"/>
      <c r="IA194" s="105"/>
      <c r="IB194" s="105"/>
      <c r="IC194" s="105"/>
      <c r="ID194" s="105"/>
      <c r="IE194" s="105"/>
      <c r="IF194" s="105"/>
      <c r="IG194" s="105"/>
      <c r="IH194" s="105"/>
      <c r="II194" s="105"/>
      <c r="IJ194" s="105"/>
      <c r="IK194" s="105"/>
      <c r="IL194" s="105"/>
      <c r="IM194" s="105"/>
      <c r="IN194" s="105"/>
      <c r="IO194" s="105"/>
      <c r="IP194" s="105"/>
      <c r="IQ194" s="105"/>
      <c r="IR194" s="105"/>
      <c r="IS194" s="105"/>
    </row>
    <row r="195" spans="1:253">
      <c r="A195" s="116"/>
      <c r="B195" s="105"/>
      <c r="C195" s="116"/>
      <c r="D195" s="116"/>
      <c r="E195" s="116"/>
      <c r="F195" s="116"/>
      <c r="G195" s="116"/>
      <c r="H195" s="116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05"/>
      <c r="CI195" s="105"/>
      <c r="CJ195" s="105"/>
      <c r="CK195" s="105"/>
      <c r="CL195" s="105"/>
      <c r="CM195" s="105"/>
      <c r="CN195" s="105"/>
      <c r="CO195" s="105"/>
      <c r="CP195" s="105"/>
      <c r="CQ195" s="105"/>
      <c r="CR195" s="105"/>
      <c r="CS195" s="105"/>
      <c r="CT195" s="105"/>
      <c r="CU195" s="105"/>
      <c r="CV195" s="105"/>
      <c r="CW195" s="105"/>
      <c r="CX195" s="105"/>
      <c r="CY195" s="105"/>
      <c r="CZ195" s="105"/>
      <c r="DA195" s="105"/>
      <c r="DB195" s="105"/>
      <c r="DC195" s="105"/>
      <c r="DD195" s="105"/>
      <c r="DE195" s="105"/>
      <c r="DF195" s="105"/>
      <c r="DG195" s="105"/>
      <c r="DH195" s="105"/>
      <c r="DI195" s="105"/>
      <c r="DJ195" s="105"/>
      <c r="DK195" s="105"/>
      <c r="DL195" s="105"/>
      <c r="DM195" s="105"/>
      <c r="DN195" s="105"/>
      <c r="DO195" s="105"/>
      <c r="DP195" s="105"/>
      <c r="DQ195" s="105"/>
      <c r="DR195" s="105"/>
      <c r="DS195" s="105"/>
      <c r="DT195" s="105"/>
      <c r="DU195" s="105"/>
      <c r="DV195" s="105"/>
      <c r="DW195" s="105"/>
      <c r="DX195" s="105"/>
      <c r="DY195" s="105"/>
      <c r="DZ195" s="105"/>
      <c r="EA195" s="105"/>
      <c r="EB195" s="105"/>
      <c r="EC195" s="105"/>
      <c r="ED195" s="105"/>
      <c r="EE195" s="105"/>
      <c r="EF195" s="105"/>
      <c r="EG195" s="105"/>
      <c r="EH195" s="105"/>
      <c r="EI195" s="105"/>
      <c r="EJ195" s="105"/>
      <c r="EK195" s="105"/>
      <c r="EL195" s="105"/>
      <c r="EM195" s="105"/>
      <c r="EN195" s="105"/>
      <c r="EO195" s="105"/>
      <c r="EP195" s="105"/>
      <c r="EQ195" s="105"/>
      <c r="ER195" s="105"/>
      <c r="ES195" s="105"/>
      <c r="ET195" s="105"/>
      <c r="EU195" s="105"/>
      <c r="EV195" s="105"/>
      <c r="EW195" s="105"/>
      <c r="EX195" s="105"/>
      <c r="EY195" s="105"/>
      <c r="EZ195" s="105"/>
      <c r="FA195" s="105"/>
      <c r="FB195" s="105"/>
      <c r="FC195" s="105"/>
      <c r="FD195" s="105"/>
      <c r="FE195" s="105"/>
      <c r="FF195" s="105"/>
      <c r="FG195" s="105"/>
      <c r="FH195" s="105"/>
      <c r="FI195" s="105"/>
      <c r="FJ195" s="105"/>
      <c r="FK195" s="105"/>
      <c r="FL195" s="105"/>
      <c r="FM195" s="105"/>
      <c r="FN195" s="105"/>
      <c r="FO195" s="105"/>
      <c r="FP195" s="105"/>
      <c r="FQ195" s="105"/>
      <c r="FR195" s="105"/>
      <c r="FS195" s="105"/>
      <c r="FT195" s="105"/>
      <c r="FU195" s="105"/>
      <c r="FV195" s="105"/>
      <c r="FW195" s="105"/>
      <c r="FX195" s="105"/>
      <c r="FY195" s="105"/>
      <c r="FZ195" s="105"/>
      <c r="GA195" s="105"/>
      <c r="GB195" s="105"/>
      <c r="GC195" s="105"/>
      <c r="GD195" s="105"/>
      <c r="GE195" s="105"/>
      <c r="GF195" s="105"/>
      <c r="GG195" s="105"/>
      <c r="GH195" s="105"/>
      <c r="GI195" s="105"/>
      <c r="GJ195" s="105"/>
      <c r="GK195" s="105"/>
      <c r="GL195" s="105"/>
      <c r="GM195" s="105"/>
      <c r="GN195" s="105"/>
      <c r="GO195" s="105"/>
      <c r="GP195" s="105"/>
      <c r="GQ195" s="105"/>
      <c r="GR195" s="105"/>
      <c r="GS195" s="105"/>
      <c r="GT195" s="105"/>
      <c r="GU195" s="105"/>
      <c r="GV195" s="105"/>
      <c r="GW195" s="105"/>
      <c r="GX195" s="105"/>
      <c r="GY195" s="105"/>
      <c r="GZ195" s="105"/>
      <c r="HA195" s="105"/>
      <c r="HB195" s="105"/>
      <c r="HC195" s="105"/>
      <c r="HD195" s="105"/>
      <c r="HE195" s="105"/>
      <c r="HF195" s="105"/>
      <c r="HG195" s="105"/>
      <c r="HH195" s="105"/>
      <c r="HI195" s="105"/>
      <c r="HJ195" s="105"/>
      <c r="HK195" s="105"/>
      <c r="HL195" s="105"/>
      <c r="HM195" s="105"/>
      <c r="HN195" s="105"/>
      <c r="HO195" s="105"/>
      <c r="HP195" s="105"/>
      <c r="HQ195" s="105"/>
      <c r="HR195" s="105"/>
      <c r="HS195" s="105"/>
      <c r="HT195" s="105"/>
      <c r="HU195" s="105"/>
      <c r="HV195" s="105"/>
      <c r="HW195" s="105"/>
      <c r="HX195" s="105"/>
      <c r="HY195" s="105"/>
      <c r="HZ195" s="105"/>
      <c r="IA195" s="105"/>
      <c r="IB195" s="105"/>
      <c r="IC195" s="105"/>
      <c r="ID195" s="105"/>
      <c r="IE195" s="105"/>
      <c r="IF195" s="105"/>
      <c r="IG195" s="105"/>
      <c r="IH195" s="105"/>
      <c r="II195" s="105"/>
      <c r="IJ195" s="105"/>
      <c r="IK195" s="105"/>
      <c r="IL195" s="105"/>
      <c r="IM195" s="105"/>
      <c r="IN195" s="105"/>
      <c r="IO195" s="105"/>
      <c r="IP195" s="105"/>
      <c r="IQ195" s="105"/>
      <c r="IR195" s="105"/>
      <c r="IS195" s="105"/>
    </row>
    <row r="196" spans="1:253">
      <c r="A196" s="116"/>
      <c r="B196" s="105"/>
      <c r="C196" s="116"/>
      <c r="D196" s="116"/>
      <c r="E196" s="116"/>
      <c r="F196" s="116"/>
      <c r="G196" s="116"/>
      <c r="H196" s="116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05"/>
      <c r="BZ196" s="105"/>
      <c r="CA196" s="105"/>
      <c r="CB196" s="105"/>
      <c r="CC196" s="105"/>
      <c r="CD196" s="105"/>
      <c r="CE196" s="105"/>
      <c r="CF196" s="105"/>
      <c r="CG196" s="105"/>
      <c r="CH196" s="105"/>
      <c r="CI196" s="105"/>
      <c r="CJ196" s="105"/>
      <c r="CK196" s="105"/>
      <c r="CL196" s="105"/>
      <c r="CM196" s="105"/>
      <c r="CN196" s="105"/>
      <c r="CO196" s="105"/>
      <c r="CP196" s="105"/>
      <c r="CQ196" s="105"/>
      <c r="CR196" s="105"/>
      <c r="CS196" s="105"/>
      <c r="CT196" s="105"/>
      <c r="CU196" s="105"/>
      <c r="CV196" s="105"/>
      <c r="CW196" s="105"/>
      <c r="CX196" s="105"/>
      <c r="CY196" s="105"/>
      <c r="CZ196" s="105"/>
      <c r="DA196" s="105"/>
      <c r="DB196" s="105"/>
      <c r="DC196" s="105"/>
      <c r="DD196" s="105"/>
      <c r="DE196" s="105"/>
      <c r="DF196" s="105"/>
      <c r="DG196" s="105"/>
      <c r="DH196" s="105"/>
      <c r="DI196" s="105"/>
      <c r="DJ196" s="105"/>
      <c r="DK196" s="105"/>
      <c r="DL196" s="105"/>
      <c r="DM196" s="105"/>
      <c r="DN196" s="105"/>
      <c r="DO196" s="105"/>
      <c r="DP196" s="105"/>
      <c r="DQ196" s="105"/>
      <c r="DR196" s="105"/>
      <c r="DS196" s="105"/>
      <c r="DT196" s="105"/>
      <c r="DU196" s="105"/>
      <c r="DV196" s="105"/>
      <c r="DW196" s="105"/>
      <c r="DX196" s="105"/>
      <c r="DY196" s="105"/>
      <c r="DZ196" s="105"/>
      <c r="EA196" s="105"/>
      <c r="EB196" s="105"/>
      <c r="EC196" s="105"/>
      <c r="ED196" s="105"/>
      <c r="EE196" s="105"/>
      <c r="EF196" s="105"/>
      <c r="EG196" s="105"/>
      <c r="EH196" s="105"/>
      <c r="EI196" s="105"/>
      <c r="EJ196" s="105"/>
      <c r="EK196" s="105"/>
      <c r="EL196" s="105"/>
      <c r="EM196" s="105"/>
      <c r="EN196" s="105"/>
      <c r="EO196" s="105"/>
      <c r="EP196" s="105"/>
      <c r="EQ196" s="105"/>
      <c r="ER196" s="105"/>
      <c r="ES196" s="105"/>
      <c r="ET196" s="105"/>
      <c r="EU196" s="105"/>
      <c r="EV196" s="105"/>
      <c r="EW196" s="105"/>
      <c r="EX196" s="105"/>
      <c r="EY196" s="105"/>
      <c r="EZ196" s="105"/>
      <c r="FA196" s="105"/>
      <c r="FB196" s="105"/>
      <c r="FC196" s="105"/>
      <c r="FD196" s="105"/>
      <c r="FE196" s="105"/>
      <c r="FF196" s="105"/>
      <c r="FG196" s="105"/>
      <c r="FH196" s="105"/>
      <c r="FI196" s="105"/>
      <c r="FJ196" s="105"/>
      <c r="FK196" s="105"/>
      <c r="FL196" s="105"/>
      <c r="FM196" s="105"/>
      <c r="FN196" s="105"/>
      <c r="FO196" s="105"/>
      <c r="FP196" s="105"/>
      <c r="FQ196" s="105"/>
      <c r="FR196" s="105"/>
      <c r="FS196" s="105"/>
      <c r="FT196" s="105"/>
      <c r="FU196" s="105"/>
      <c r="FV196" s="105"/>
      <c r="FW196" s="105"/>
      <c r="FX196" s="105"/>
      <c r="FY196" s="105"/>
      <c r="FZ196" s="105"/>
      <c r="GA196" s="105"/>
      <c r="GB196" s="105"/>
      <c r="GC196" s="105"/>
      <c r="GD196" s="105"/>
      <c r="GE196" s="105"/>
      <c r="GF196" s="105"/>
      <c r="GG196" s="105"/>
      <c r="GH196" s="105"/>
      <c r="GI196" s="105"/>
      <c r="GJ196" s="105"/>
      <c r="GK196" s="105"/>
      <c r="GL196" s="105"/>
      <c r="GM196" s="105"/>
      <c r="GN196" s="105"/>
      <c r="GO196" s="105"/>
      <c r="GP196" s="105"/>
      <c r="GQ196" s="105"/>
      <c r="GR196" s="105"/>
      <c r="GS196" s="105"/>
      <c r="GT196" s="105"/>
      <c r="GU196" s="105"/>
      <c r="GV196" s="105"/>
      <c r="GW196" s="105"/>
      <c r="GX196" s="105"/>
      <c r="GY196" s="105"/>
      <c r="GZ196" s="105"/>
      <c r="HA196" s="105"/>
      <c r="HB196" s="105"/>
      <c r="HC196" s="105"/>
      <c r="HD196" s="105"/>
      <c r="HE196" s="105"/>
      <c r="HF196" s="105"/>
      <c r="HG196" s="105"/>
      <c r="HH196" s="105"/>
      <c r="HI196" s="105"/>
      <c r="HJ196" s="105"/>
      <c r="HK196" s="105"/>
      <c r="HL196" s="105"/>
      <c r="HM196" s="105"/>
      <c r="HN196" s="105"/>
      <c r="HO196" s="105"/>
      <c r="HP196" s="105"/>
      <c r="HQ196" s="105"/>
      <c r="HR196" s="105"/>
      <c r="HS196" s="105"/>
      <c r="HT196" s="105"/>
      <c r="HU196" s="105"/>
      <c r="HV196" s="105"/>
      <c r="HW196" s="105"/>
      <c r="HX196" s="105"/>
      <c r="HY196" s="105"/>
      <c r="HZ196" s="105"/>
      <c r="IA196" s="105"/>
      <c r="IB196" s="105"/>
      <c r="IC196" s="105"/>
      <c r="ID196" s="105"/>
      <c r="IE196" s="105"/>
      <c r="IF196" s="105"/>
      <c r="IG196" s="105"/>
      <c r="IH196" s="105"/>
      <c r="II196" s="105"/>
      <c r="IJ196" s="105"/>
      <c r="IK196" s="105"/>
      <c r="IL196" s="105"/>
      <c r="IM196" s="105"/>
      <c r="IN196" s="105"/>
      <c r="IO196" s="105"/>
      <c r="IP196" s="105"/>
      <c r="IQ196" s="105"/>
      <c r="IR196" s="105"/>
      <c r="IS196" s="105"/>
    </row>
    <row r="197" spans="1:253">
      <c r="A197" s="116"/>
      <c r="B197" s="105"/>
      <c r="C197" s="116"/>
      <c r="D197" s="116"/>
      <c r="E197" s="116"/>
      <c r="F197" s="116"/>
      <c r="G197" s="116"/>
      <c r="H197" s="116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105"/>
      <c r="BO197" s="105"/>
      <c r="BP197" s="105"/>
      <c r="BQ197" s="105"/>
      <c r="BR197" s="105"/>
      <c r="BS197" s="105"/>
      <c r="BT197" s="105"/>
      <c r="BU197" s="105"/>
      <c r="BV197" s="105"/>
      <c r="BW197" s="105"/>
      <c r="BX197" s="105"/>
      <c r="BY197" s="105"/>
      <c r="BZ197" s="105"/>
      <c r="CA197" s="105"/>
      <c r="CB197" s="105"/>
      <c r="CC197" s="105"/>
      <c r="CD197" s="105"/>
      <c r="CE197" s="105"/>
      <c r="CF197" s="105"/>
      <c r="CG197" s="105"/>
      <c r="CH197" s="105"/>
      <c r="CI197" s="105"/>
      <c r="CJ197" s="105"/>
      <c r="CK197" s="105"/>
      <c r="CL197" s="105"/>
      <c r="CM197" s="105"/>
      <c r="CN197" s="105"/>
      <c r="CO197" s="105"/>
      <c r="CP197" s="105"/>
      <c r="CQ197" s="105"/>
      <c r="CR197" s="105"/>
      <c r="CS197" s="105"/>
      <c r="CT197" s="105"/>
      <c r="CU197" s="105"/>
      <c r="CV197" s="105"/>
      <c r="CW197" s="105"/>
      <c r="CX197" s="105"/>
      <c r="CY197" s="105"/>
      <c r="CZ197" s="105"/>
      <c r="DA197" s="105"/>
      <c r="DB197" s="105"/>
      <c r="DC197" s="105"/>
      <c r="DD197" s="105"/>
      <c r="DE197" s="105"/>
      <c r="DF197" s="105"/>
      <c r="DG197" s="105"/>
      <c r="DH197" s="105"/>
      <c r="DI197" s="105"/>
      <c r="DJ197" s="105"/>
      <c r="DK197" s="105"/>
      <c r="DL197" s="105"/>
      <c r="DM197" s="105"/>
      <c r="DN197" s="105"/>
      <c r="DO197" s="105"/>
      <c r="DP197" s="105"/>
      <c r="DQ197" s="105"/>
      <c r="DR197" s="105"/>
      <c r="DS197" s="105"/>
      <c r="DT197" s="105"/>
      <c r="DU197" s="105"/>
      <c r="DV197" s="105"/>
      <c r="DW197" s="105"/>
      <c r="DX197" s="105"/>
      <c r="DY197" s="105"/>
      <c r="DZ197" s="105"/>
      <c r="EA197" s="105"/>
      <c r="EB197" s="105"/>
      <c r="EC197" s="105"/>
      <c r="ED197" s="105"/>
      <c r="EE197" s="105"/>
      <c r="EF197" s="105"/>
      <c r="EG197" s="105"/>
      <c r="EH197" s="105"/>
      <c r="EI197" s="105"/>
      <c r="EJ197" s="105"/>
      <c r="EK197" s="105"/>
      <c r="EL197" s="105"/>
      <c r="EM197" s="105"/>
      <c r="EN197" s="105"/>
      <c r="EO197" s="105"/>
      <c r="EP197" s="105"/>
      <c r="EQ197" s="105"/>
      <c r="ER197" s="105"/>
      <c r="ES197" s="105"/>
      <c r="ET197" s="105"/>
      <c r="EU197" s="105"/>
      <c r="EV197" s="105"/>
      <c r="EW197" s="105"/>
      <c r="EX197" s="105"/>
      <c r="EY197" s="105"/>
      <c r="EZ197" s="105"/>
      <c r="FA197" s="105"/>
      <c r="FB197" s="105"/>
      <c r="FC197" s="105"/>
      <c r="FD197" s="105"/>
      <c r="FE197" s="105"/>
      <c r="FF197" s="105"/>
      <c r="FG197" s="105"/>
      <c r="FH197" s="105"/>
      <c r="FI197" s="105"/>
      <c r="FJ197" s="105"/>
      <c r="FK197" s="105"/>
      <c r="FL197" s="105"/>
      <c r="FM197" s="105"/>
      <c r="FN197" s="105"/>
      <c r="FO197" s="105"/>
      <c r="FP197" s="105"/>
      <c r="FQ197" s="105"/>
      <c r="FR197" s="105"/>
      <c r="FS197" s="105"/>
      <c r="FT197" s="105"/>
      <c r="FU197" s="105"/>
      <c r="FV197" s="105"/>
      <c r="FW197" s="105"/>
      <c r="FX197" s="105"/>
      <c r="FY197" s="105"/>
      <c r="FZ197" s="105"/>
      <c r="GA197" s="105"/>
      <c r="GB197" s="105"/>
      <c r="GC197" s="105"/>
      <c r="GD197" s="105"/>
      <c r="GE197" s="105"/>
      <c r="GF197" s="105"/>
      <c r="GG197" s="105"/>
      <c r="GH197" s="105"/>
      <c r="GI197" s="105"/>
      <c r="GJ197" s="105"/>
      <c r="GK197" s="105"/>
      <c r="GL197" s="105"/>
      <c r="GM197" s="105"/>
      <c r="GN197" s="105"/>
      <c r="GO197" s="105"/>
      <c r="GP197" s="105"/>
      <c r="GQ197" s="105"/>
      <c r="GR197" s="105"/>
      <c r="GS197" s="105"/>
      <c r="GT197" s="105"/>
      <c r="GU197" s="105"/>
      <c r="GV197" s="105"/>
      <c r="GW197" s="105"/>
      <c r="GX197" s="105"/>
      <c r="GY197" s="105"/>
      <c r="GZ197" s="105"/>
      <c r="HA197" s="105"/>
      <c r="HB197" s="105"/>
      <c r="HC197" s="105"/>
      <c r="HD197" s="105"/>
      <c r="HE197" s="105"/>
      <c r="HF197" s="105"/>
      <c r="HG197" s="105"/>
      <c r="HH197" s="105"/>
      <c r="HI197" s="105"/>
      <c r="HJ197" s="105"/>
      <c r="HK197" s="105"/>
      <c r="HL197" s="105"/>
      <c r="HM197" s="105"/>
      <c r="HN197" s="105"/>
      <c r="HO197" s="105"/>
      <c r="HP197" s="105"/>
      <c r="HQ197" s="105"/>
      <c r="HR197" s="105"/>
      <c r="HS197" s="105"/>
      <c r="HT197" s="105"/>
      <c r="HU197" s="105"/>
      <c r="HV197" s="105"/>
      <c r="HW197" s="105"/>
      <c r="HX197" s="105"/>
      <c r="HY197" s="105"/>
      <c r="HZ197" s="105"/>
      <c r="IA197" s="105"/>
      <c r="IB197" s="105"/>
      <c r="IC197" s="105"/>
      <c r="ID197" s="105"/>
      <c r="IE197" s="105"/>
      <c r="IF197" s="105"/>
      <c r="IG197" s="105"/>
      <c r="IH197" s="105"/>
      <c r="II197" s="105"/>
      <c r="IJ197" s="105"/>
      <c r="IK197" s="105"/>
      <c r="IL197" s="105"/>
      <c r="IM197" s="105"/>
      <c r="IN197" s="105"/>
      <c r="IO197" s="105"/>
      <c r="IP197" s="105"/>
      <c r="IQ197" s="105"/>
      <c r="IR197" s="105"/>
      <c r="IS197" s="105"/>
    </row>
    <row r="198" spans="1:253">
      <c r="A198" s="116"/>
      <c r="B198" s="105"/>
      <c r="C198" s="116"/>
      <c r="D198" s="116"/>
      <c r="E198" s="116"/>
      <c r="F198" s="116"/>
      <c r="G198" s="116"/>
      <c r="H198" s="116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  <c r="BL198" s="105"/>
      <c r="BM198" s="105"/>
      <c r="BN198" s="105"/>
      <c r="BO198" s="105"/>
      <c r="BP198" s="105"/>
      <c r="BQ198" s="105"/>
      <c r="BR198" s="105"/>
      <c r="BS198" s="105"/>
      <c r="BT198" s="105"/>
      <c r="BU198" s="105"/>
      <c r="BV198" s="105"/>
      <c r="BW198" s="105"/>
      <c r="BX198" s="105"/>
      <c r="BY198" s="105"/>
      <c r="BZ198" s="105"/>
      <c r="CA198" s="105"/>
      <c r="CB198" s="105"/>
      <c r="CC198" s="105"/>
      <c r="CD198" s="105"/>
      <c r="CE198" s="105"/>
      <c r="CF198" s="105"/>
      <c r="CG198" s="105"/>
      <c r="CH198" s="105"/>
      <c r="CI198" s="105"/>
      <c r="CJ198" s="105"/>
      <c r="CK198" s="105"/>
      <c r="CL198" s="105"/>
      <c r="CM198" s="105"/>
      <c r="CN198" s="105"/>
      <c r="CO198" s="105"/>
      <c r="CP198" s="105"/>
      <c r="CQ198" s="105"/>
      <c r="CR198" s="105"/>
      <c r="CS198" s="105"/>
      <c r="CT198" s="105"/>
      <c r="CU198" s="105"/>
      <c r="CV198" s="105"/>
      <c r="CW198" s="105"/>
      <c r="CX198" s="105"/>
      <c r="CY198" s="105"/>
      <c r="CZ198" s="105"/>
      <c r="DA198" s="105"/>
      <c r="DB198" s="105"/>
      <c r="DC198" s="105"/>
      <c r="DD198" s="105"/>
      <c r="DE198" s="105"/>
      <c r="DF198" s="105"/>
      <c r="DG198" s="105"/>
      <c r="DH198" s="105"/>
      <c r="DI198" s="105"/>
      <c r="DJ198" s="105"/>
      <c r="DK198" s="105"/>
      <c r="DL198" s="105"/>
      <c r="DM198" s="105"/>
      <c r="DN198" s="105"/>
      <c r="DO198" s="105"/>
      <c r="DP198" s="105"/>
      <c r="DQ198" s="105"/>
      <c r="DR198" s="105"/>
      <c r="DS198" s="105"/>
      <c r="DT198" s="105"/>
      <c r="DU198" s="105"/>
      <c r="DV198" s="105"/>
      <c r="DW198" s="105"/>
      <c r="DX198" s="105"/>
      <c r="DY198" s="105"/>
      <c r="DZ198" s="105"/>
      <c r="EA198" s="105"/>
      <c r="EB198" s="105"/>
      <c r="EC198" s="105"/>
      <c r="ED198" s="105"/>
      <c r="EE198" s="105"/>
      <c r="EF198" s="105"/>
      <c r="EG198" s="105"/>
      <c r="EH198" s="105"/>
      <c r="EI198" s="105"/>
      <c r="EJ198" s="105"/>
      <c r="EK198" s="105"/>
      <c r="EL198" s="105"/>
      <c r="EM198" s="105"/>
      <c r="EN198" s="105"/>
      <c r="EO198" s="105"/>
      <c r="EP198" s="105"/>
      <c r="EQ198" s="105"/>
      <c r="ER198" s="105"/>
      <c r="ES198" s="105"/>
      <c r="ET198" s="105"/>
      <c r="EU198" s="105"/>
      <c r="EV198" s="105"/>
      <c r="EW198" s="105"/>
      <c r="EX198" s="105"/>
      <c r="EY198" s="105"/>
      <c r="EZ198" s="105"/>
      <c r="FA198" s="105"/>
      <c r="FB198" s="105"/>
      <c r="FC198" s="105"/>
      <c r="FD198" s="105"/>
      <c r="FE198" s="105"/>
      <c r="FF198" s="105"/>
      <c r="FG198" s="105"/>
      <c r="FH198" s="105"/>
      <c r="FI198" s="105"/>
      <c r="FJ198" s="105"/>
      <c r="FK198" s="105"/>
      <c r="FL198" s="105"/>
      <c r="FM198" s="105"/>
      <c r="FN198" s="105"/>
      <c r="FO198" s="105"/>
      <c r="FP198" s="105"/>
      <c r="FQ198" s="105"/>
      <c r="FR198" s="105"/>
      <c r="FS198" s="105"/>
      <c r="FT198" s="105"/>
      <c r="FU198" s="105"/>
      <c r="FV198" s="105"/>
      <c r="FW198" s="105"/>
      <c r="FX198" s="105"/>
      <c r="FY198" s="105"/>
      <c r="FZ198" s="105"/>
      <c r="GA198" s="105"/>
      <c r="GB198" s="105"/>
      <c r="GC198" s="105"/>
      <c r="GD198" s="105"/>
      <c r="GE198" s="105"/>
      <c r="GF198" s="105"/>
      <c r="GG198" s="105"/>
      <c r="GH198" s="105"/>
      <c r="GI198" s="105"/>
      <c r="GJ198" s="105"/>
      <c r="GK198" s="105"/>
      <c r="GL198" s="105"/>
      <c r="GM198" s="105"/>
      <c r="GN198" s="105"/>
      <c r="GO198" s="105"/>
      <c r="GP198" s="105"/>
      <c r="GQ198" s="105"/>
      <c r="GR198" s="105"/>
      <c r="GS198" s="105"/>
      <c r="GT198" s="105"/>
      <c r="GU198" s="105"/>
      <c r="GV198" s="105"/>
      <c r="GW198" s="105"/>
      <c r="GX198" s="105"/>
      <c r="GY198" s="105"/>
      <c r="GZ198" s="105"/>
      <c r="HA198" s="105"/>
      <c r="HB198" s="105"/>
      <c r="HC198" s="105"/>
      <c r="HD198" s="105"/>
      <c r="HE198" s="105"/>
      <c r="HF198" s="105"/>
      <c r="HG198" s="105"/>
      <c r="HH198" s="105"/>
      <c r="HI198" s="105"/>
      <c r="HJ198" s="105"/>
      <c r="HK198" s="105"/>
      <c r="HL198" s="105"/>
      <c r="HM198" s="105"/>
      <c r="HN198" s="105"/>
      <c r="HO198" s="105"/>
      <c r="HP198" s="105"/>
      <c r="HQ198" s="105"/>
      <c r="HR198" s="105"/>
      <c r="HS198" s="105"/>
      <c r="HT198" s="105"/>
      <c r="HU198" s="105"/>
      <c r="HV198" s="105"/>
      <c r="HW198" s="105"/>
      <c r="HX198" s="105"/>
      <c r="HY198" s="105"/>
      <c r="HZ198" s="105"/>
      <c r="IA198" s="105"/>
      <c r="IB198" s="105"/>
      <c r="IC198" s="105"/>
      <c r="ID198" s="105"/>
      <c r="IE198" s="105"/>
      <c r="IF198" s="105"/>
      <c r="IG198" s="105"/>
      <c r="IH198" s="105"/>
      <c r="II198" s="105"/>
      <c r="IJ198" s="105"/>
      <c r="IK198" s="105"/>
      <c r="IL198" s="105"/>
      <c r="IM198" s="105"/>
      <c r="IN198" s="105"/>
      <c r="IO198" s="105"/>
      <c r="IP198" s="105"/>
      <c r="IQ198" s="105"/>
      <c r="IR198" s="105"/>
      <c r="IS198" s="105"/>
    </row>
    <row r="199" spans="1:253">
      <c r="A199" s="116"/>
      <c r="B199" s="105"/>
      <c r="C199" s="116"/>
      <c r="D199" s="116"/>
      <c r="E199" s="116"/>
      <c r="F199" s="116"/>
      <c r="G199" s="116"/>
      <c r="H199" s="116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5"/>
      <c r="BN199" s="105"/>
      <c r="BO199" s="105"/>
      <c r="BP199" s="105"/>
      <c r="BQ199" s="105"/>
      <c r="BR199" s="105"/>
      <c r="BS199" s="105"/>
      <c r="BT199" s="105"/>
      <c r="BU199" s="105"/>
      <c r="BV199" s="105"/>
      <c r="BW199" s="105"/>
      <c r="BX199" s="105"/>
      <c r="BY199" s="105"/>
      <c r="BZ199" s="105"/>
      <c r="CA199" s="105"/>
      <c r="CB199" s="105"/>
      <c r="CC199" s="105"/>
      <c r="CD199" s="105"/>
      <c r="CE199" s="105"/>
      <c r="CF199" s="105"/>
      <c r="CG199" s="105"/>
      <c r="CH199" s="105"/>
      <c r="CI199" s="105"/>
      <c r="CJ199" s="105"/>
      <c r="CK199" s="105"/>
      <c r="CL199" s="105"/>
      <c r="CM199" s="105"/>
      <c r="CN199" s="105"/>
      <c r="CO199" s="105"/>
      <c r="CP199" s="105"/>
      <c r="CQ199" s="105"/>
      <c r="CR199" s="105"/>
      <c r="CS199" s="105"/>
      <c r="CT199" s="105"/>
      <c r="CU199" s="105"/>
      <c r="CV199" s="105"/>
      <c r="CW199" s="105"/>
      <c r="CX199" s="105"/>
      <c r="CY199" s="105"/>
      <c r="CZ199" s="105"/>
      <c r="DA199" s="105"/>
      <c r="DB199" s="105"/>
      <c r="DC199" s="105"/>
      <c r="DD199" s="105"/>
      <c r="DE199" s="105"/>
      <c r="DF199" s="105"/>
      <c r="DG199" s="105"/>
      <c r="DH199" s="105"/>
      <c r="DI199" s="105"/>
      <c r="DJ199" s="105"/>
      <c r="DK199" s="105"/>
      <c r="DL199" s="105"/>
      <c r="DM199" s="105"/>
      <c r="DN199" s="105"/>
      <c r="DO199" s="105"/>
      <c r="DP199" s="105"/>
      <c r="DQ199" s="105"/>
      <c r="DR199" s="105"/>
      <c r="DS199" s="105"/>
      <c r="DT199" s="105"/>
      <c r="DU199" s="105"/>
      <c r="DV199" s="105"/>
      <c r="DW199" s="105"/>
      <c r="DX199" s="105"/>
      <c r="DY199" s="105"/>
      <c r="DZ199" s="105"/>
      <c r="EA199" s="105"/>
      <c r="EB199" s="105"/>
      <c r="EC199" s="105"/>
      <c r="ED199" s="105"/>
      <c r="EE199" s="105"/>
      <c r="EF199" s="105"/>
      <c r="EG199" s="105"/>
      <c r="EH199" s="105"/>
      <c r="EI199" s="105"/>
      <c r="EJ199" s="105"/>
      <c r="EK199" s="105"/>
      <c r="EL199" s="105"/>
      <c r="EM199" s="105"/>
      <c r="EN199" s="105"/>
      <c r="EO199" s="105"/>
      <c r="EP199" s="105"/>
      <c r="EQ199" s="105"/>
      <c r="ER199" s="105"/>
      <c r="ES199" s="105"/>
      <c r="ET199" s="105"/>
      <c r="EU199" s="105"/>
      <c r="EV199" s="105"/>
      <c r="EW199" s="105"/>
      <c r="EX199" s="105"/>
      <c r="EY199" s="105"/>
      <c r="EZ199" s="105"/>
      <c r="FA199" s="105"/>
      <c r="FB199" s="105"/>
      <c r="FC199" s="105"/>
      <c r="FD199" s="105"/>
      <c r="FE199" s="105"/>
      <c r="FF199" s="105"/>
      <c r="FG199" s="105"/>
      <c r="FH199" s="105"/>
      <c r="FI199" s="105"/>
      <c r="FJ199" s="105"/>
      <c r="FK199" s="105"/>
      <c r="FL199" s="105"/>
      <c r="FM199" s="105"/>
      <c r="FN199" s="105"/>
      <c r="FO199" s="105"/>
      <c r="FP199" s="105"/>
      <c r="FQ199" s="105"/>
      <c r="FR199" s="105"/>
      <c r="FS199" s="105"/>
      <c r="FT199" s="105"/>
      <c r="FU199" s="105"/>
      <c r="FV199" s="105"/>
      <c r="FW199" s="105"/>
      <c r="FX199" s="105"/>
      <c r="FY199" s="105"/>
      <c r="FZ199" s="105"/>
      <c r="GA199" s="105"/>
      <c r="GB199" s="105"/>
      <c r="GC199" s="105"/>
      <c r="GD199" s="105"/>
      <c r="GE199" s="105"/>
      <c r="GF199" s="105"/>
      <c r="GG199" s="105"/>
      <c r="GH199" s="105"/>
      <c r="GI199" s="105"/>
      <c r="GJ199" s="105"/>
      <c r="GK199" s="105"/>
      <c r="GL199" s="105"/>
      <c r="GM199" s="105"/>
      <c r="GN199" s="105"/>
      <c r="GO199" s="105"/>
      <c r="GP199" s="105"/>
      <c r="GQ199" s="105"/>
      <c r="GR199" s="105"/>
      <c r="GS199" s="105"/>
      <c r="GT199" s="105"/>
      <c r="GU199" s="105"/>
      <c r="GV199" s="105"/>
      <c r="GW199" s="105"/>
      <c r="GX199" s="105"/>
      <c r="GY199" s="105"/>
      <c r="GZ199" s="105"/>
      <c r="HA199" s="105"/>
      <c r="HB199" s="105"/>
      <c r="HC199" s="105"/>
      <c r="HD199" s="105"/>
      <c r="HE199" s="105"/>
      <c r="HF199" s="105"/>
      <c r="HG199" s="105"/>
      <c r="HH199" s="105"/>
      <c r="HI199" s="105"/>
      <c r="HJ199" s="105"/>
      <c r="HK199" s="105"/>
      <c r="HL199" s="105"/>
      <c r="HM199" s="105"/>
      <c r="HN199" s="105"/>
      <c r="HO199" s="105"/>
      <c r="HP199" s="105"/>
      <c r="HQ199" s="105"/>
      <c r="HR199" s="105"/>
      <c r="HS199" s="105"/>
      <c r="HT199" s="105"/>
      <c r="HU199" s="105"/>
      <c r="HV199" s="105"/>
      <c r="HW199" s="105"/>
      <c r="HX199" s="105"/>
      <c r="HY199" s="105"/>
      <c r="HZ199" s="105"/>
      <c r="IA199" s="105"/>
      <c r="IB199" s="105"/>
      <c r="IC199" s="105"/>
      <c r="ID199" s="105"/>
      <c r="IE199" s="105"/>
      <c r="IF199" s="105"/>
      <c r="IG199" s="105"/>
      <c r="IH199" s="105"/>
      <c r="II199" s="105"/>
      <c r="IJ199" s="105"/>
      <c r="IK199" s="105"/>
      <c r="IL199" s="105"/>
      <c r="IM199" s="105"/>
      <c r="IN199" s="105"/>
      <c r="IO199" s="105"/>
      <c r="IP199" s="105"/>
      <c r="IQ199" s="105"/>
      <c r="IR199" s="105"/>
      <c r="IS199" s="105"/>
    </row>
    <row r="200" spans="1:253">
      <c r="A200" s="116"/>
      <c r="B200" s="105"/>
      <c r="C200" s="116"/>
      <c r="D200" s="116"/>
      <c r="E200" s="116"/>
      <c r="F200" s="116"/>
      <c r="G200" s="116"/>
      <c r="H200" s="116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5"/>
      <c r="BN200" s="105"/>
      <c r="BO200" s="105"/>
      <c r="BP200" s="105"/>
      <c r="BQ200" s="105"/>
      <c r="BR200" s="105"/>
      <c r="BS200" s="105"/>
      <c r="BT200" s="105"/>
      <c r="BU200" s="105"/>
      <c r="BV200" s="105"/>
      <c r="BW200" s="105"/>
      <c r="BX200" s="105"/>
      <c r="BY200" s="105"/>
      <c r="BZ200" s="105"/>
      <c r="CA200" s="105"/>
      <c r="CB200" s="105"/>
      <c r="CC200" s="105"/>
      <c r="CD200" s="105"/>
      <c r="CE200" s="105"/>
      <c r="CF200" s="105"/>
      <c r="CG200" s="105"/>
      <c r="CH200" s="105"/>
      <c r="CI200" s="105"/>
      <c r="CJ200" s="105"/>
      <c r="CK200" s="105"/>
      <c r="CL200" s="105"/>
      <c r="CM200" s="105"/>
      <c r="CN200" s="105"/>
      <c r="CO200" s="105"/>
      <c r="CP200" s="105"/>
      <c r="CQ200" s="105"/>
      <c r="CR200" s="105"/>
      <c r="CS200" s="105"/>
      <c r="CT200" s="105"/>
      <c r="CU200" s="105"/>
      <c r="CV200" s="105"/>
      <c r="CW200" s="105"/>
      <c r="CX200" s="105"/>
      <c r="CY200" s="105"/>
      <c r="CZ200" s="105"/>
      <c r="DA200" s="105"/>
      <c r="DB200" s="105"/>
      <c r="DC200" s="105"/>
      <c r="DD200" s="105"/>
      <c r="DE200" s="105"/>
      <c r="DF200" s="105"/>
      <c r="DG200" s="105"/>
      <c r="DH200" s="105"/>
      <c r="DI200" s="105"/>
      <c r="DJ200" s="105"/>
      <c r="DK200" s="105"/>
      <c r="DL200" s="105"/>
      <c r="DM200" s="105"/>
      <c r="DN200" s="105"/>
      <c r="DO200" s="105"/>
      <c r="DP200" s="105"/>
      <c r="DQ200" s="105"/>
      <c r="DR200" s="105"/>
      <c r="DS200" s="105"/>
      <c r="DT200" s="105"/>
      <c r="DU200" s="105"/>
      <c r="DV200" s="105"/>
      <c r="DW200" s="105"/>
      <c r="DX200" s="105"/>
      <c r="DY200" s="105"/>
      <c r="DZ200" s="105"/>
      <c r="EA200" s="105"/>
      <c r="EB200" s="105"/>
      <c r="EC200" s="105"/>
      <c r="ED200" s="105"/>
      <c r="EE200" s="105"/>
      <c r="EF200" s="105"/>
      <c r="EG200" s="105"/>
      <c r="EH200" s="105"/>
      <c r="EI200" s="105"/>
      <c r="EJ200" s="105"/>
      <c r="EK200" s="105"/>
      <c r="EL200" s="105"/>
      <c r="EM200" s="105"/>
      <c r="EN200" s="105"/>
      <c r="EO200" s="105"/>
      <c r="EP200" s="105"/>
      <c r="EQ200" s="105"/>
      <c r="ER200" s="105"/>
      <c r="ES200" s="105"/>
      <c r="ET200" s="105"/>
      <c r="EU200" s="105"/>
      <c r="EV200" s="105"/>
      <c r="EW200" s="105"/>
      <c r="EX200" s="105"/>
      <c r="EY200" s="105"/>
      <c r="EZ200" s="105"/>
      <c r="FA200" s="105"/>
      <c r="FB200" s="105"/>
      <c r="FC200" s="105"/>
      <c r="FD200" s="105"/>
      <c r="FE200" s="105"/>
      <c r="FF200" s="105"/>
      <c r="FG200" s="105"/>
      <c r="FH200" s="105"/>
      <c r="FI200" s="105"/>
      <c r="FJ200" s="105"/>
      <c r="FK200" s="105"/>
      <c r="FL200" s="105"/>
      <c r="FM200" s="105"/>
      <c r="FN200" s="105"/>
      <c r="FO200" s="105"/>
      <c r="FP200" s="105"/>
      <c r="FQ200" s="105"/>
      <c r="FR200" s="105"/>
      <c r="FS200" s="105"/>
      <c r="FT200" s="105"/>
      <c r="FU200" s="105"/>
      <c r="FV200" s="105"/>
      <c r="FW200" s="105"/>
      <c r="FX200" s="105"/>
      <c r="FY200" s="105"/>
      <c r="FZ200" s="105"/>
      <c r="GA200" s="105"/>
      <c r="GB200" s="105"/>
      <c r="GC200" s="105"/>
      <c r="GD200" s="105"/>
      <c r="GE200" s="105"/>
      <c r="GF200" s="105"/>
      <c r="GG200" s="105"/>
      <c r="GH200" s="105"/>
      <c r="GI200" s="105"/>
      <c r="GJ200" s="105"/>
      <c r="GK200" s="105"/>
      <c r="GL200" s="105"/>
      <c r="GM200" s="105"/>
      <c r="GN200" s="105"/>
      <c r="GO200" s="105"/>
      <c r="GP200" s="105"/>
      <c r="GQ200" s="105"/>
      <c r="GR200" s="105"/>
      <c r="GS200" s="105"/>
      <c r="GT200" s="105"/>
      <c r="GU200" s="105"/>
      <c r="GV200" s="105"/>
      <c r="GW200" s="105"/>
      <c r="GX200" s="105"/>
      <c r="GY200" s="105"/>
      <c r="GZ200" s="105"/>
      <c r="HA200" s="105"/>
      <c r="HB200" s="105"/>
      <c r="HC200" s="105"/>
      <c r="HD200" s="105"/>
      <c r="HE200" s="105"/>
      <c r="HF200" s="105"/>
      <c r="HG200" s="105"/>
      <c r="HH200" s="105"/>
      <c r="HI200" s="105"/>
      <c r="HJ200" s="105"/>
      <c r="HK200" s="105"/>
      <c r="HL200" s="105"/>
      <c r="HM200" s="105"/>
      <c r="HN200" s="105"/>
      <c r="HO200" s="105"/>
      <c r="HP200" s="105"/>
      <c r="HQ200" s="105"/>
      <c r="HR200" s="105"/>
      <c r="HS200" s="105"/>
      <c r="HT200" s="105"/>
      <c r="HU200" s="105"/>
      <c r="HV200" s="105"/>
      <c r="HW200" s="105"/>
      <c r="HX200" s="105"/>
      <c r="HY200" s="105"/>
      <c r="HZ200" s="105"/>
      <c r="IA200" s="105"/>
      <c r="IB200" s="105"/>
      <c r="IC200" s="105"/>
      <c r="ID200" s="105"/>
      <c r="IE200" s="105"/>
      <c r="IF200" s="105"/>
      <c r="IG200" s="105"/>
      <c r="IH200" s="105"/>
      <c r="II200" s="105"/>
      <c r="IJ200" s="105"/>
      <c r="IK200" s="105"/>
      <c r="IL200" s="105"/>
      <c r="IM200" s="105"/>
      <c r="IN200" s="105"/>
      <c r="IO200" s="105"/>
      <c r="IP200" s="105"/>
      <c r="IQ200" s="105"/>
      <c r="IR200" s="105"/>
      <c r="IS200" s="105"/>
    </row>
    <row r="201" spans="1:253">
      <c r="A201" s="116"/>
      <c r="B201" s="105"/>
      <c r="C201" s="116"/>
      <c r="D201" s="116"/>
      <c r="E201" s="116"/>
      <c r="F201" s="116"/>
      <c r="G201" s="116"/>
      <c r="H201" s="116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105"/>
      <c r="BO201" s="105"/>
      <c r="BP201" s="105"/>
      <c r="BQ201" s="105"/>
      <c r="BR201" s="105"/>
      <c r="BS201" s="105"/>
      <c r="BT201" s="105"/>
      <c r="BU201" s="105"/>
      <c r="BV201" s="105"/>
      <c r="BW201" s="105"/>
      <c r="BX201" s="105"/>
      <c r="BY201" s="105"/>
      <c r="BZ201" s="105"/>
      <c r="CA201" s="105"/>
      <c r="CB201" s="105"/>
      <c r="CC201" s="105"/>
      <c r="CD201" s="105"/>
      <c r="CE201" s="105"/>
      <c r="CF201" s="105"/>
      <c r="CG201" s="105"/>
      <c r="CH201" s="105"/>
      <c r="CI201" s="105"/>
      <c r="CJ201" s="105"/>
      <c r="CK201" s="105"/>
      <c r="CL201" s="105"/>
      <c r="CM201" s="105"/>
      <c r="CN201" s="105"/>
      <c r="CO201" s="105"/>
      <c r="CP201" s="105"/>
      <c r="CQ201" s="105"/>
      <c r="CR201" s="105"/>
      <c r="CS201" s="105"/>
      <c r="CT201" s="105"/>
      <c r="CU201" s="105"/>
      <c r="CV201" s="105"/>
      <c r="CW201" s="105"/>
      <c r="CX201" s="105"/>
      <c r="CY201" s="105"/>
      <c r="CZ201" s="105"/>
      <c r="DA201" s="105"/>
      <c r="DB201" s="105"/>
      <c r="DC201" s="105"/>
      <c r="DD201" s="105"/>
      <c r="DE201" s="105"/>
      <c r="DF201" s="105"/>
      <c r="DG201" s="105"/>
      <c r="DH201" s="105"/>
      <c r="DI201" s="105"/>
      <c r="DJ201" s="105"/>
      <c r="DK201" s="105"/>
      <c r="DL201" s="105"/>
      <c r="DM201" s="105"/>
      <c r="DN201" s="105"/>
      <c r="DO201" s="105"/>
      <c r="DP201" s="105"/>
      <c r="DQ201" s="105"/>
      <c r="DR201" s="105"/>
      <c r="DS201" s="105"/>
      <c r="DT201" s="105"/>
      <c r="DU201" s="105"/>
      <c r="DV201" s="105"/>
      <c r="DW201" s="105"/>
      <c r="DX201" s="105"/>
      <c r="DY201" s="105"/>
      <c r="DZ201" s="105"/>
      <c r="EA201" s="105"/>
      <c r="EB201" s="105"/>
      <c r="EC201" s="105"/>
      <c r="ED201" s="105"/>
      <c r="EE201" s="105"/>
      <c r="EF201" s="105"/>
      <c r="EG201" s="105"/>
      <c r="EH201" s="105"/>
      <c r="EI201" s="105"/>
      <c r="EJ201" s="105"/>
      <c r="EK201" s="105"/>
      <c r="EL201" s="105"/>
      <c r="EM201" s="105"/>
      <c r="EN201" s="105"/>
      <c r="EO201" s="105"/>
      <c r="EP201" s="105"/>
      <c r="EQ201" s="105"/>
      <c r="ER201" s="105"/>
      <c r="ES201" s="105"/>
      <c r="ET201" s="105"/>
      <c r="EU201" s="105"/>
      <c r="EV201" s="105"/>
      <c r="EW201" s="105"/>
      <c r="EX201" s="105"/>
      <c r="EY201" s="105"/>
      <c r="EZ201" s="105"/>
      <c r="FA201" s="105"/>
      <c r="FB201" s="105"/>
      <c r="FC201" s="105"/>
      <c r="FD201" s="105"/>
      <c r="FE201" s="105"/>
      <c r="FF201" s="105"/>
      <c r="FG201" s="105"/>
      <c r="FH201" s="105"/>
      <c r="FI201" s="105"/>
      <c r="FJ201" s="105"/>
      <c r="FK201" s="105"/>
      <c r="FL201" s="105"/>
      <c r="FM201" s="105"/>
      <c r="FN201" s="105"/>
      <c r="FO201" s="105"/>
      <c r="FP201" s="105"/>
      <c r="FQ201" s="105"/>
      <c r="FR201" s="105"/>
      <c r="FS201" s="105"/>
      <c r="FT201" s="105"/>
      <c r="FU201" s="105"/>
      <c r="FV201" s="105"/>
      <c r="FW201" s="105"/>
      <c r="FX201" s="105"/>
      <c r="FY201" s="105"/>
      <c r="FZ201" s="105"/>
      <c r="GA201" s="105"/>
      <c r="GB201" s="105"/>
      <c r="GC201" s="105"/>
      <c r="GD201" s="105"/>
      <c r="GE201" s="105"/>
      <c r="GF201" s="105"/>
      <c r="GG201" s="105"/>
      <c r="GH201" s="105"/>
      <c r="GI201" s="105"/>
      <c r="GJ201" s="105"/>
      <c r="GK201" s="105"/>
      <c r="GL201" s="105"/>
      <c r="GM201" s="105"/>
      <c r="GN201" s="105"/>
      <c r="GO201" s="105"/>
      <c r="GP201" s="105"/>
      <c r="GQ201" s="105"/>
      <c r="GR201" s="105"/>
      <c r="GS201" s="105"/>
      <c r="GT201" s="105"/>
      <c r="GU201" s="105"/>
      <c r="GV201" s="105"/>
      <c r="GW201" s="105"/>
      <c r="GX201" s="105"/>
      <c r="GY201" s="105"/>
      <c r="GZ201" s="105"/>
      <c r="HA201" s="105"/>
      <c r="HB201" s="105"/>
      <c r="HC201" s="105"/>
      <c r="HD201" s="105"/>
      <c r="HE201" s="105"/>
      <c r="HF201" s="105"/>
      <c r="HG201" s="105"/>
      <c r="HH201" s="105"/>
      <c r="HI201" s="105"/>
      <c r="HJ201" s="105"/>
      <c r="HK201" s="105"/>
      <c r="HL201" s="105"/>
      <c r="HM201" s="105"/>
      <c r="HN201" s="105"/>
      <c r="HO201" s="105"/>
      <c r="HP201" s="105"/>
      <c r="HQ201" s="105"/>
      <c r="HR201" s="105"/>
      <c r="HS201" s="105"/>
      <c r="HT201" s="105"/>
      <c r="HU201" s="105"/>
      <c r="HV201" s="105"/>
      <c r="HW201" s="105"/>
      <c r="HX201" s="105"/>
      <c r="HY201" s="105"/>
      <c r="HZ201" s="105"/>
      <c r="IA201" s="105"/>
      <c r="IB201" s="105"/>
      <c r="IC201" s="105"/>
      <c r="ID201" s="105"/>
      <c r="IE201" s="105"/>
      <c r="IF201" s="105"/>
      <c r="IG201" s="105"/>
      <c r="IH201" s="105"/>
      <c r="II201" s="105"/>
      <c r="IJ201" s="105"/>
      <c r="IK201" s="105"/>
      <c r="IL201" s="105"/>
      <c r="IM201" s="105"/>
      <c r="IN201" s="105"/>
      <c r="IO201" s="105"/>
      <c r="IP201" s="105"/>
      <c r="IQ201" s="105"/>
      <c r="IR201" s="105"/>
      <c r="IS201" s="105"/>
    </row>
    <row r="202" spans="1:253">
      <c r="A202" s="116"/>
      <c r="B202" s="105"/>
      <c r="C202" s="116"/>
      <c r="D202" s="116"/>
      <c r="E202" s="116"/>
      <c r="F202" s="116"/>
      <c r="G202" s="116"/>
      <c r="H202" s="116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  <c r="BO202" s="105"/>
      <c r="BP202" s="105"/>
      <c r="BQ202" s="105"/>
      <c r="BR202" s="105"/>
      <c r="BS202" s="105"/>
      <c r="BT202" s="105"/>
      <c r="BU202" s="105"/>
      <c r="BV202" s="105"/>
      <c r="BW202" s="105"/>
      <c r="BX202" s="105"/>
      <c r="BY202" s="105"/>
      <c r="BZ202" s="105"/>
      <c r="CA202" s="105"/>
      <c r="CB202" s="105"/>
      <c r="CC202" s="105"/>
      <c r="CD202" s="105"/>
      <c r="CE202" s="105"/>
      <c r="CF202" s="105"/>
      <c r="CG202" s="105"/>
      <c r="CH202" s="105"/>
      <c r="CI202" s="105"/>
      <c r="CJ202" s="105"/>
      <c r="CK202" s="105"/>
      <c r="CL202" s="105"/>
      <c r="CM202" s="105"/>
      <c r="CN202" s="105"/>
      <c r="CO202" s="105"/>
      <c r="CP202" s="105"/>
      <c r="CQ202" s="105"/>
      <c r="CR202" s="105"/>
      <c r="CS202" s="105"/>
      <c r="CT202" s="105"/>
      <c r="CU202" s="105"/>
      <c r="CV202" s="105"/>
      <c r="CW202" s="105"/>
      <c r="CX202" s="105"/>
      <c r="CY202" s="105"/>
      <c r="CZ202" s="105"/>
      <c r="DA202" s="105"/>
      <c r="DB202" s="105"/>
      <c r="DC202" s="105"/>
      <c r="DD202" s="105"/>
      <c r="DE202" s="105"/>
      <c r="DF202" s="105"/>
      <c r="DG202" s="105"/>
      <c r="DH202" s="105"/>
      <c r="DI202" s="105"/>
      <c r="DJ202" s="105"/>
      <c r="DK202" s="105"/>
      <c r="DL202" s="105"/>
      <c r="DM202" s="105"/>
      <c r="DN202" s="105"/>
      <c r="DO202" s="105"/>
      <c r="DP202" s="105"/>
      <c r="DQ202" s="105"/>
      <c r="DR202" s="105"/>
      <c r="DS202" s="105"/>
      <c r="DT202" s="105"/>
      <c r="DU202" s="105"/>
      <c r="DV202" s="105"/>
      <c r="DW202" s="105"/>
      <c r="DX202" s="105"/>
      <c r="DY202" s="105"/>
      <c r="DZ202" s="105"/>
      <c r="EA202" s="105"/>
      <c r="EB202" s="105"/>
      <c r="EC202" s="105"/>
      <c r="ED202" s="105"/>
      <c r="EE202" s="105"/>
      <c r="EF202" s="105"/>
      <c r="EG202" s="105"/>
      <c r="EH202" s="105"/>
      <c r="EI202" s="105"/>
      <c r="EJ202" s="105"/>
      <c r="EK202" s="105"/>
      <c r="EL202" s="105"/>
      <c r="EM202" s="105"/>
      <c r="EN202" s="105"/>
      <c r="EO202" s="105"/>
      <c r="EP202" s="105"/>
      <c r="EQ202" s="105"/>
      <c r="ER202" s="105"/>
      <c r="ES202" s="105"/>
      <c r="ET202" s="105"/>
      <c r="EU202" s="105"/>
      <c r="EV202" s="105"/>
      <c r="EW202" s="105"/>
      <c r="EX202" s="105"/>
      <c r="EY202" s="105"/>
      <c r="EZ202" s="105"/>
      <c r="FA202" s="105"/>
      <c r="FB202" s="105"/>
      <c r="FC202" s="105"/>
      <c r="FD202" s="105"/>
      <c r="FE202" s="105"/>
      <c r="FF202" s="105"/>
      <c r="FG202" s="105"/>
      <c r="FH202" s="105"/>
      <c r="FI202" s="105"/>
      <c r="FJ202" s="105"/>
      <c r="FK202" s="105"/>
      <c r="FL202" s="105"/>
      <c r="FM202" s="105"/>
      <c r="FN202" s="105"/>
      <c r="FO202" s="105"/>
      <c r="FP202" s="105"/>
      <c r="FQ202" s="105"/>
      <c r="FR202" s="105"/>
      <c r="FS202" s="105"/>
      <c r="FT202" s="105"/>
      <c r="FU202" s="105"/>
      <c r="FV202" s="105"/>
      <c r="FW202" s="105"/>
      <c r="FX202" s="105"/>
      <c r="FY202" s="105"/>
      <c r="FZ202" s="105"/>
      <c r="GA202" s="105"/>
      <c r="GB202" s="105"/>
      <c r="GC202" s="105"/>
      <c r="GD202" s="105"/>
      <c r="GE202" s="105"/>
      <c r="GF202" s="105"/>
      <c r="GG202" s="105"/>
      <c r="GH202" s="105"/>
      <c r="GI202" s="105"/>
      <c r="GJ202" s="105"/>
      <c r="GK202" s="105"/>
      <c r="GL202" s="105"/>
      <c r="GM202" s="105"/>
      <c r="GN202" s="105"/>
      <c r="GO202" s="105"/>
      <c r="GP202" s="105"/>
      <c r="GQ202" s="105"/>
      <c r="GR202" s="105"/>
      <c r="GS202" s="105"/>
      <c r="GT202" s="105"/>
      <c r="GU202" s="105"/>
      <c r="GV202" s="105"/>
      <c r="GW202" s="105"/>
      <c r="GX202" s="105"/>
      <c r="GY202" s="105"/>
      <c r="GZ202" s="105"/>
      <c r="HA202" s="105"/>
      <c r="HB202" s="105"/>
      <c r="HC202" s="105"/>
      <c r="HD202" s="105"/>
      <c r="HE202" s="105"/>
      <c r="HF202" s="105"/>
      <c r="HG202" s="105"/>
      <c r="HH202" s="105"/>
      <c r="HI202" s="105"/>
      <c r="HJ202" s="105"/>
      <c r="HK202" s="105"/>
      <c r="HL202" s="105"/>
      <c r="HM202" s="105"/>
      <c r="HN202" s="105"/>
      <c r="HO202" s="105"/>
      <c r="HP202" s="105"/>
      <c r="HQ202" s="105"/>
      <c r="HR202" s="105"/>
      <c r="HS202" s="105"/>
      <c r="HT202" s="105"/>
      <c r="HU202" s="105"/>
      <c r="HV202" s="105"/>
      <c r="HW202" s="105"/>
      <c r="HX202" s="105"/>
      <c r="HY202" s="105"/>
      <c r="HZ202" s="105"/>
      <c r="IA202" s="105"/>
      <c r="IB202" s="105"/>
      <c r="IC202" s="105"/>
      <c r="ID202" s="105"/>
      <c r="IE202" s="105"/>
      <c r="IF202" s="105"/>
      <c r="IG202" s="105"/>
      <c r="IH202" s="105"/>
      <c r="II202" s="105"/>
      <c r="IJ202" s="105"/>
      <c r="IK202" s="105"/>
      <c r="IL202" s="105"/>
      <c r="IM202" s="105"/>
      <c r="IN202" s="105"/>
      <c r="IO202" s="105"/>
      <c r="IP202" s="105"/>
      <c r="IQ202" s="105"/>
      <c r="IR202" s="105"/>
      <c r="IS202" s="105"/>
    </row>
    <row r="203" spans="1:253">
      <c r="A203" s="116"/>
      <c r="B203" s="105"/>
      <c r="C203" s="116"/>
      <c r="D203" s="116"/>
      <c r="E203" s="116"/>
      <c r="F203" s="116"/>
      <c r="G203" s="116"/>
      <c r="H203" s="116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  <c r="BO203" s="105"/>
      <c r="BP203" s="105"/>
      <c r="BQ203" s="105"/>
      <c r="BR203" s="105"/>
      <c r="BS203" s="105"/>
      <c r="BT203" s="105"/>
      <c r="BU203" s="105"/>
      <c r="BV203" s="105"/>
      <c r="BW203" s="105"/>
      <c r="BX203" s="105"/>
      <c r="BY203" s="105"/>
      <c r="BZ203" s="105"/>
      <c r="CA203" s="105"/>
      <c r="CB203" s="105"/>
      <c r="CC203" s="105"/>
      <c r="CD203" s="105"/>
      <c r="CE203" s="105"/>
      <c r="CF203" s="105"/>
      <c r="CG203" s="105"/>
      <c r="CH203" s="105"/>
      <c r="CI203" s="105"/>
      <c r="CJ203" s="105"/>
      <c r="CK203" s="105"/>
      <c r="CL203" s="105"/>
      <c r="CM203" s="105"/>
      <c r="CN203" s="105"/>
      <c r="CO203" s="105"/>
      <c r="CP203" s="105"/>
      <c r="CQ203" s="105"/>
      <c r="CR203" s="105"/>
      <c r="CS203" s="105"/>
      <c r="CT203" s="105"/>
      <c r="CU203" s="105"/>
      <c r="CV203" s="105"/>
      <c r="CW203" s="105"/>
      <c r="CX203" s="105"/>
      <c r="CY203" s="105"/>
      <c r="CZ203" s="105"/>
      <c r="DA203" s="105"/>
      <c r="DB203" s="105"/>
      <c r="DC203" s="105"/>
      <c r="DD203" s="105"/>
      <c r="DE203" s="105"/>
      <c r="DF203" s="105"/>
      <c r="DG203" s="105"/>
      <c r="DH203" s="105"/>
      <c r="DI203" s="105"/>
      <c r="DJ203" s="105"/>
      <c r="DK203" s="105"/>
      <c r="DL203" s="105"/>
      <c r="DM203" s="105"/>
      <c r="DN203" s="105"/>
      <c r="DO203" s="105"/>
      <c r="DP203" s="105"/>
      <c r="DQ203" s="105"/>
      <c r="DR203" s="105"/>
      <c r="DS203" s="105"/>
      <c r="DT203" s="105"/>
      <c r="DU203" s="105"/>
      <c r="DV203" s="105"/>
      <c r="DW203" s="105"/>
      <c r="DX203" s="105"/>
      <c r="DY203" s="105"/>
      <c r="DZ203" s="105"/>
      <c r="EA203" s="105"/>
      <c r="EB203" s="105"/>
      <c r="EC203" s="105"/>
      <c r="ED203" s="105"/>
      <c r="EE203" s="105"/>
      <c r="EF203" s="105"/>
      <c r="EG203" s="105"/>
      <c r="EH203" s="105"/>
      <c r="EI203" s="105"/>
      <c r="EJ203" s="105"/>
      <c r="EK203" s="105"/>
      <c r="EL203" s="105"/>
      <c r="EM203" s="105"/>
      <c r="EN203" s="105"/>
      <c r="EO203" s="105"/>
      <c r="EP203" s="105"/>
      <c r="EQ203" s="105"/>
      <c r="ER203" s="105"/>
      <c r="ES203" s="105"/>
      <c r="ET203" s="105"/>
      <c r="EU203" s="105"/>
      <c r="EV203" s="105"/>
      <c r="EW203" s="105"/>
      <c r="EX203" s="105"/>
      <c r="EY203" s="105"/>
      <c r="EZ203" s="105"/>
      <c r="FA203" s="105"/>
      <c r="FB203" s="105"/>
      <c r="FC203" s="105"/>
      <c r="FD203" s="105"/>
      <c r="FE203" s="105"/>
      <c r="FF203" s="105"/>
      <c r="FG203" s="105"/>
      <c r="FH203" s="105"/>
      <c r="FI203" s="105"/>
      <c r="FJ203" s="105"/>
      <c r="FK203" s="105"/>
      <c r="FL203" s="105"/>
      <c r="FM203" s="105"/>
      <c r="FN203" s="105"/>
      <c r="FO203" s="105"/>
      <c r="FP203" s="105"/>
      <c r="FQ203" s="105"/>
      <c r="FR203" s="105"/>
      <c r="FS203" s="105"/>
      <c r="FT203" s="105"/>
      <c r="FU203" s="105"/>
      <c r="FV203" s="105"/>
      <c r="FW203" s="105"/>
      <c r="FX203" s="105"/>
      <c r="FY203" s="105"/>
      <c r="FZ203" s="105"/>
      <c r="GA203" s="105"/>
      <c r="GB203" s="105"/>
      <c r="GC203" s="105"/>
      <c r="GD203" s="105"/>
      <c r="GE203" s="105"/>
      <c r="GF203" s="105"/>
      <c r="GG203" s="105"/>
      <c r="GH203" s="105"/>
      <c r="GI203" s="105"/>
      <c r="GJ203" s="105"/>
      <c r="GK203" s="105"/>
      <c r="GL203" s="105"/>
      <c r="GM203" s="105"/>
      <c r="GN203" s="105"/>
      <c r="GO203" s="105"/>
      <c r="GP203" s="105"/>
      <c r="GQ203" s="105"/>
      <c r="GR203" s="105"/>
      <c r="GS203" s="105"/>
      <c r="GT203" s="105"/>
      <c r="GU203" s="105"/>
      <c r="GV203" s="105"/>
      <c r="GW203" s="105"/>
      <c r="GX203" s="105"/>
      <c r="GY203" s="105"/>
      <c r="GZ203" s="105"/>
      <c r="HA203" s="105"/>
      <c r="HB203" s="105"/>
      <c r="HC203" s="105"/>
      <c r="HD203" s="105"/>
      <c r="HE203" s="105"/>
      <c r="HF203" s="105"/>
      <c r="HG203" s="105"/>
      <c r="HH203" s="105"/>
      <c r="HI203" s="105"/>
      <c r="HJ203" s="105"/>
      <c r="HK203" s="105"/>
      <c r="HL203" s="105"/>
      <c r="HM203" s="105"/>
      <c r="HN203" s="105"/>
      <c r="HO203" s="105"/>
      <c r="HP203" s="105"/>
      <c r="HQ203" s="105"/>
      <c r="HR203" s="105"/>
      <c r="HS203" s="105"/>
      <c r="HT203" s="105"/>
      <c r="HU203" s="105"/>
      <c r="HV203" s="105"/>
      <c r="HW203" s="105"/>
      <c r="HX203" s="105"/>
      <c r="HY203" s="105"/>
      <c r="HZ203" s="105"/>
      <c r="IA203" s="105"/>
      <c r="IB203" s="105"/>
      <c r="IC203" s="105"/>
      <c r="ID203" s="105"/>
      <c r="IE203" s="105"/>
      <c r="IF203" s="105"/>
      <c r="IG203" s="105"/>
      <c r="IH203" s="105"/>
      <c r="II203" s="105"/>
      <c r="IJ203" s="105"/>
      <c r="IK203" s="105"/>
      <c r="IL203" s="105"/>
      <c r="IM203" s="105"/>
      <c r="IN203" s="105"/>
      <c r="IO203" s="105"/>
      <c r="IP203" s="105"/>
      <c r="IQ203" s="105"/>
      <c r="IR203" s="105"/>
      <c r="IS203" s="105"/>
    </row>
    <row r="204" spans="1:253">
      <c r="A204" s="116"/>
      <c r="B204" s="105"/>
      <c r="C204" s="116"/>
      <c r="D204" s="116"/>
      <c r="E204" s="116"/>
      <c r="F204" s="116"/>
      <c r="G204" s="116"/>
      <c r="H204" s="116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5"/>
      <c r="BN204" s="105"/>
      <c r="BO204" s="105"/>
      <c r="BP204" s="105"/>
      <c r="BQ204" s="105"/>
      <c r="BR204" s="105"/>
      <c r="BS204" s="105"/>
      <c r="BT204" s="105"/>
      <c r="BU204" s="105"/>
      <c r="BV204" s="105"/>
      <c r="BW204" s="105"/>
      <c r="BX204" s="105"/>
      <c r="BY204" s="105"/>
      <c r="BZ204" s="105"/>
      <c r="CA204" s="105"/>
      <c r="CB204" s="105"/>
      <c r="CC204" s="105"/>
      <c r="CD204" s="105"/>
      <c r="CE204" s="105"/>
      <c r="CF204" s="105"/>
      <c r="CG204" s="105"/>
      <c r="CH204" s="105"/>
      <c r="CI204" s="105"/>
      <c r="CJ204" s="105"/>
      <c r="CK204" s="105"/>
      <c r="CL204" s="105"/>
      <c r="CM204" s="105"/>
      <c r="CN204" s="105"/>
      <c r="CO204" s="105"/>
      <c r="CP204" s="105"/>
      <c r="CQ204" s="105"/>
      <c r="CR204" s="105"/>
      <c r="CS204" s="105"/>
      <c r="CT204" s="105"/>
      <c r="CU204" s="105"/>
      <c r="CV204" s="105"/>
      <c r="CW204" s="105"/>
      <c r="CX204" s="105"/>
      <c r="CY204" s="105"/>
      <c r="CZ204" s="105"/>
      <c r="DA204" s="105"/>
      <c r="DB204" s="105"/>
      <c r="DC204" s="105"/>
      <c r="DD204" s="105"/>
      <c r="DE204" s="105"/>
      <c r="DF204" s="105"/>
      <c r="DG204" s="105"/>
      <c r="DH204" s="105"/>
      <c r="DI204" s="105"/>
      <c r="DJ204" s="105"/>
      <c r="DK204" s="105"/>
      <c r="DL204" s="105"/>
      <c r="DM204" s="105"/>
      <c r="DN204" s="105"/>
      <c r="DO204" s="105"/>
      <c r="DP204" s="105"/>
      <c r="DQ204" s="105"/>
      <c r="DR204" s="105"/>
      <c r="DS204" s="105"/>
      <c r="DT204" s="105"/>
      <c r="DU204" s="105"/>
      <c r="DV204" s="105"/>
      <c r="DW204" s="105"/>
      <c r="DX204" s="105"/>
      <c r="DY204" s="105"/>
      <c r="DZ204" s="105"/>
      <c r="EA204" s="105"/>
      <c r="EB204" s="105"/>
      <c r="EC204" s="105"/>
      <c r="ED204" s="105"/>
      <c r="EE204" s="105"/>
      <c r="EF204" s="105"/>
      <c r="EG204" s="105"/>
      <c r="EH204" s="105"/>
      <c r="EI204" s="105"/>
      <c r="EJ204" s="105"/>
      <c r="EK204" s="105"/>
      <c r="EL204" s="105"/>
      <c r="EM204" s="105"/>
      <c r="EN204" s="105"/>
      <c r="EO204" s="105"/>
      <c r="EP204" s="105"/>
      <c r="EQ204" s="105"/>
      <c r="ER204" s="105"/>
      <c r="ES204" s="105"/>
      <c r="ET204" s="105"/>
      <c r="EU204" s="105"/>
      <c r="EV204" s="105"/>
      <c r="EW204" s="105"/>
      <c r="EX204" s="105"/>
      <c r="EY204" s="105"/>
      <c r="EZ204" s="105"/>
      <c r="FA204" s="105"/>
      <c r="FB204" s="105"/>
      <c r="FC204" s="105"/>
      <c r="FD204" s="105"/>
      <c r="FE204" s="105"/>
      <c r="FF204" s="105"/>
      <c r="FG204" s="105"/>
      <c r="FH204" s="105"/>
      <c r="FI204" s="105"/>
      <c r="FJ204" s="105"/>
      <c r="FK204" s="105"/>
      <c r="FL204" s="105"/>
      <c r="FM204" s="105"/>
      <c r="FN204" s="105"/>
      <c r="FO204" s="105"/>
      <c r="FP204" s="105"/>
      <c r="FQ204" s="105"/>
      <c r="FR204" s="105"/>
      <c r="FS204" s="105"/>
      <c r="FT204" s="105"/>
      <c r="FU204" s="105"/>
      <c r="FV204" s="105"/>
      <c r="FW204" s="105"/>
      <c r="FX204" s="105"/>
      <c r="FY204" s="105"/>
      <c r="FZ204" s="105"/>
      <c r="GA204" s="105"/>
      <c r="GB204" s="105"/>
      <c r="GC204" s="105"/>
      <c r="GD204" s="105"/>
      <c r="GE204" s="105"/>
      <c r="GF204" s="105"/>
      <c r="GG204" s="105"/>
      <c r="GH204" s="105"/>
      <c r="GI204" s="105"/>
      <c r="GJ204" s="105"/>
      <c r="GK204" s="105"/>
      <c r="GL204" s="105"/>
      <c r="GM204" s="105"/>
      <c r="GN204" s="105"/>
      <c r="GO204" s="105"/>
      <c r="GP204" s="105"/>
      <c r="GQ204" s="105"/>
      <c r="GR204" s="105"/>
      <c r="GS204" s="105"/>
      <c r="GT204" s="105"/>
      <c r="GU204" s="105"/>
      <c r="GV204" s="105"/>
      <c r="GW204" s="105"/>
      <c r="GX204" s="105"/>
      <c r="GY204" s="105"/>
      <c r="GZ204" s="105"/>
      <c r="HA204" s="105"/>
      <c r="HB204" s="105"/>
      <c r="HC204" s="105"/>
      <c r="HD204" s="105"/>
      <c r="HE204" s="105"/>
      <c r="HF204" s="105"/>
      <c r="HG204" s="105"/>
      <c r="HH204" s="105"/>
      <c r="HI204" s="105"/>
      <c r="HJ204" s="105"/>
      <c r="HK204" s="105"/>
      <c r="HL204" s="105"/>
      <c r="HM204" s="105"/>
      <c r="HN204" s="105"/>
      <c r="HO204" s="105"/>
      <c r="HP204" s="105"/>
      <c r="HQ204" s="105"/>
      <c r="HR204" s="105"/>
      <c r="HS204" s="105"/>
      <c r="HT204" s="105"/>
      <c r="HU204" s="105"/>
      <c r="HV204" s="105"/>
      <c r="HW204" s="105"/>
      <c r="HX204" s="105"/>
      <c r="HY204" s="105"/>
      <c r="HZ204" s="105"/>
      <c r="IA204" s="105"/>
      <c r="IB204" s="105"/>
      <c r="IC204" s="105"/>
      <c r="ID204" s="105"/>
      <c r="IE204" s="105"/>
      <c r="IF204" s="105"/>
      <c r="IG204" s="105"/>
      <c r="IH204" s="105"/>
      <c r="II204" s="105"/>
      <c r="IJ204" s="105"/>
      <c r="IK204" s="105"/>
      <c r="IL204" s="105"/>
      <c r="IM204" s="105"/>
      <c r="IN204" s="105"/>
      <c r="IO204" s="105"/>
      <c r="IP204" s="105"/>
      <c r="IQ204" s="105"/>
      <c r="IR204" s="105"/>
      <c r="IS204" s="105"/>
    </row>
    <row r="205" spans="1:253">
      <c r="A205" s="116"/>
      <c r="B205" s="105"/>
      <c r="C205" s="116"/>
      <c r="D205" s="116"/>
      <c r="E205" s="116"/>
      <c r="F205" s="116"/>
      <c r="G205" s="116"/>
      <c r="H205" s="116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5"/>
      <c r="BN205" s="105"/>
      <c r="BO205" s="105"/>
      <c r="BP205" s="105"/>
      <c r="BQ205" s="105"/>
      <c r="BR205" s="105"/>
      <c r="BS205" s="105"/>
      <c r="BT205" s="105"/>
      <c r="BU205" s="105"/>
      <c r="BV205" s="105"/>
      <c r="BW205" s="105"/>
      <c r="BX205" s="105"/>
      <c r="BY205" s="105"/>
      <c r="BZ205" s="105"/>
      <c r="CA205" s="105"/>
      <c r="CB205" s="105"/>
      <c r="CC205" s="105"/>
      <c r="CD205" s="105"/>
      <c r="CE205" s="105"/>
      <c r="CF205" s="105"/>
      <c r="CG205" s="105"/>
      <c r="CH205" s="105"/>
      <c r="CI205" s="105"/>
      <c r="CJ205" s="105"/>
      <c r="CK205" s="105"/>
      <c r="CL205" s="105"/>
      <c r="CM205" s="105"/>
      <c r="CN205" s="105"/>
      <c r="CO205" s="105"/>
      <c r="CP205" s="105"/>
      <c r="CQ205" s="105"/>
      <c r="CR205" s="105"/>
      <c r="CS205" s="105"/>
      <c r="CT205" s="105"/>
      <c r="CU205" s="105"/>
      <c r="CV205" s="105"/>
      <c r="CW205" s="105"/>
      <c r="CX205" s="105"/>
      <c r="CY205" s="105"/>
      <c r="CZ205" s="105"/>
      <c r="DA205" s="105"/>
      <c r="DB205" s="105"/>
      <c r="DC205" s="105"/>
      <c r="DD205" s="105"/>
      <c r="DE205" s="105"/>
      <c r="DF205" s="105"/>
      <c r="DG205" s="105"/>
      <c r="DH205" s="105"/>
      <c r="DI205" s="105"/>
      <c r="DJ205" s="105"/>
      <c r="DK205" s="105"/>
      <c r="DL205" s="105"/>
      <c r="DM205" s="105"/>
      <c r="DN205" s="105"/>
      <c r="DO205" s="105"/>
      <c r="DP205" s="105"/>
      <c r="DQ205" s="105"/>
      <c r="DR205" s="105"/>
      <c r="DS205" s="105"/>
      <c r="DT205" s="105"/>
      <c r="DU205" s="105"/>
      <c r="DV205" s="105"/>
      <c r="DW205" s="105"/>
      <c r="DX205" s="105"/>
      <c r="DY205" s="105"/>
      <c r="DZ205" s="105"/>
      <c r="EA205" s="105"/>
      <c r="EB205" s="105"/>
      <c r="EC205" s="105"/>
      <c r="ED205" s="105"/>
      <c r="EE205" s="105"/>
      <c r="EF205" s="105"/>
      <c r="EG205" s="105"/>
      <c r="EH205" s="105"/>
      <c r="EI205" s="105"/>
      <c r="EJ205" s="105"/>
      <c r="EK205" s="105"/>
      <c r="EL205" s="105"/>
      <c r="EM205" s="105"/>
      <c r="EN205" s="105"/>
      <c r="EO205" s="105"/>
      <c r="EP205" s="105"/>
      <c r="EQ205" s="105"/>
      <c r="ER205" s="105"/>
      <c r="ES205" s="105"/>
      <c r="ET205" s="105"/>
      <c r="EU205" s="105"/>
      <c r="EV205" s="105"/>
      <c r="EW205" s="105"/>
      <c r="EX205" s="105"/>
      <c r="EY205" s="105"/>
      <c r="EZ205" s="105"/>
      <c r="FA205" s="105"/>
      <c r="FB205" s="105"/>
      <c r="FC205" s="105"/>
      <c r="FD205" s="105"/>
      <c r="FE205" s="105"/>
      <c r="FF205" s="105"/>
      <c r="FG205" s="105"/>
      <c r="FH205" s="105"/>
      <c r="FI205" s="105"/>
      <c r="FJ205" s="105"/>
      <c r="FK205" s="105"/>
      <c r="FL205" s="105"/>
      <c r="FM205" s="105"/>
      <c r="FN205" s="105"/>
      <c r="FO205" s="105"/>
      <c r="FP205" s="105"/>
      <c r="FQ205" s="105"/>
      <c r="FR205" s="105"/>
      <c r="FS205" s="105"/>
      <c r="FT205" s="105"/>
      <c r="FU205" s="105"/>
      <c r="FV205" s="105"/>
      <c r="FW205" s="105"/>
      <c r="FX205" s="105"/>
      <c r="FY205" s="105"/>
      <c r="FZ205" s="105"/>
      <c r="GA205" s="105"/>
      <c r="GB205" s="105"/>
      <c r="GC205" s="105"/>
      <c r="GD205" s="105"/>
      <c r="GE205" s="105"/>
      <c r="GF205" s="105"/>
      <c r="GG205" s="105"/>
      <c r="GH205" s="105"/>
      <c r="GI205" s="105"/>
      <c r="GJ205" s="105"/>
      <c r="GK205" s="105"/>
      <c r="GL205" s="105"/>
      <c r="GM205" s="105"/>
      <c r="GN205" s="105"/>
      <c r="GO205" s="105"/>
      <c r="GP205" s="105"/>
      <c r="GQ205" s="105"/>
      <c r="GR205" s="105"/>
      <c r="GS205" s="105"/>
      <c r="GT205" s="105"/>
      <c r="GU205" s="105"/>
      <c r="GV205" s="105"/>
      <c r="GW205" s="105"/>
      <c r="GX205" s="105"/>
      <c r="GY205" s="105"/>
      <c r="GZ205" s="105"/>
      <c r="HA205" s="105"/>
      <c r="HB205" s="105"/>
      <c r="HC205" s="105"/>
      <c r="HD205" s="105"/>
      <c r="HE205" s="105"/>
      <c r="HF205" s="105"/>
      <c r="HG205" s="105"/>
      <c r="HH205" s="105"/>
      <c r="HI205" s="105"/>
      <c r="HJ205" s="105"/>
      <c r="HK205" s="105"/>
      <c r="HL205" s="105"/>
      <c r="HM205" s="105"/>
      <c r="HN205" s="105"/>
      <c r="HO205" s="105"/>
      <c r="HP205" s="105"/>
      <c r="HQ205" s="105"/>
      <c r="HR205" s="105"/>
      <c r="HS205" s="105"/>
      <c r="HT205" s="105"/>
      <c r="HU205" s="105"/>
      <c r="HV205" s="105"/>
      <c r="HW205" s="105"/>
      <c r="HX205" s="105"/>
      <c r="HY205" s="105"/>
      <c r="HZ205" s="105"/>
      <c r="IA205" s="105"/>
      <c r="IB205" s="105"/>
      <c r="IC205" s="105"/>
      <c r="ID205" s="105"/>
      <c r="IE205" s="105"/>
      <c r="IF205" s="105"/>
      <c r="IG205" s="105"/>
      <c r="IH205" s="105"/>
      <c r="II205" s="105"/>
      <c r="IJ205" s="105"/>
      <c r="IK205" s="105"/>
      <c r="IL205" s="105"/>
      <c r="IM205" s="105"/>
      <c r="IN205" s="105"/>
      <c r="IO205" s="105"/>
      <c r="IP205" s="105"/>
      <c r="IQ205" s="105"/>
      <c r="IR205" s="105"/>
      <c r="IS205" s="105"/>
    </row>
    <row r="206" spans="1:253">
      <c r="A206" s="116"/>
      <c r="B206" s="105"/>
      <c r="C206" s="116"/>
      <c r="D206" s="116"/>
      <c r="E206" s="116"/>
      <c r="F206" s="116"/>
      <c r="G206" s="116"/>
      <c r="H206" s="116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  <c r="BL206" s="105"/>
      <c r="BM206" s="105"/>
      <c r="BN206" s="105"/>
      <c r="BO206" s="105"/>
      <c r="BP206" s="105"/>
      <c r="BQ206" s="105"/>
      <c r="BR206" s="105"/>
      <c r="BS206" s="105"/>
      <c r="BT206" s="105"/>
      <c r="BU206" s="105"/>
      <c r="BV206" s="105"/>
      <c r="BW206" s="105"/>
      <c r="BX206" s="105"/>
      <c r="BY206" s="105"/>
      <c r="BZ206" s="105"/>
      <c r="CA206" s="105"/>
      <c r="CB206" s="105"/>
      <c r="CC206" s="105"/>
      <c r="CD206" s="105"/>
      <c r="CE206" s="105"/>
      <c r="CF206" s="105"/>
      <c r="CG206" s="105"/>
      <c r="CH206" s="105"/>
      <c r="CI206" s="105"/>
      <c r="CJ206" s="105"/>
      <c r="CK206" s="105"/>
      <c r="CL206" s="105"/>
      <c r="CM206" s="105"/>
      <c r="CN206" s="105"/>
      <c r="CO206" s="105"/>
      <c r="CP206" s="105"/>
      <c r="CQ206" s="105"/>
      <c r="CR206" s="105"/>
      <c r="CS206" s="105"/>
      <c r="CT206" s="105"/>
      <c r="CU206" s="105"/>
      <c r="CV206" s="105"/>
      <c r="CW206" s="105"/>
      <c r="CX206" s="105"/>
      <c r="CY206" s="105"/>
      <c r="CZ206" s="105"/>
      <c r="DA206" s="105"/>
      <c r="DB206" s="105"/>
      <c r="DC206" s="105"/>
      <c r="DD206" s="105"/>
      <c r="DE206" s="105"/>
      <c r="DF206" s="105"/>
      <c r="DG206" s="105"/>
      <c r="DH206" s="105"/>
      <c r="DI206" s="105"/>
      <c r="DJ206" s="105"/>
      <c r="DK206" s="105"/>
      <c r="DL206" s="105"/>
      <c r="DM206" s="105"/>
      <c r="DN206" s="105"/>
      <c r="DO206" s="105"/>
      <c r="DP206" s="105"/>
      <c r="DQ206" s="105"/>
      <c r="DR206" s="105"/>
      <c r="DS206" s="105"/>
      <c r="DT206" s="105"/>
      <c r="DU206" s="105"/>
      <c r="DV206" s="105"/>
      <c r="DW206" s="105"/>
      <c r="DX206" s="105"/>
      <c r="DY206" s="105"/>
      <c r="DZ206" s="105"/>
      <c r="EA206" s="105"/>
      <c r="EB206" s="105"/>
      <c r="EC206" s="105"/>
      <c r="ED206" s="105"/>
      <c r="EE206" s="105"/>
      <c r="EF206" s="105"/>
      <c r="EG206" s="105"/>
      <c r="EH206" s="105"/>
      <c r="EI206" s="105"/>
      <c r="EJ206" s="105"/>
      <c r="EK206" s="105"/>
      <c r="EL206" s="105"/>
      <c r="EM206" s="105"/>
      <c r="EN206" s="105"/>
      <c r="EO206" s="105"/>
      <c r="EP206" s="105"/>
      <c r="EQ206" s="105"/>
      <c r="ER206" s="105"/>
      <c r="ES206" s="105"/>
      <c r="ET206" s="105"/>
      <c r="EU206" s="105"/>
      <c r="EV206" s="105"/>
      <c r="EW206" s="105"/>
      <c r="EX206" s="105"/>
      <c r="EY206" s="105"/>
      <c r="EZ206" s="105"/>
      <c r="FA206" s="105"/>
      <c r="FB206" s="105"/>
      <c r="FC206" s="105"/>
      <c r="FD206" s="105"/>
      <c r="FE206" s="105"/>
      <c r="FF206" s="105"/>
      <c r="FG206" s="105"/>
      <c r="FH206" s="105"/>
      <c r="FI206" s="105"/>
      <c r="FJ206" s="105"/>
      <c r="FK206" s="105"/>
      <c r="FL206" s="105"/>
      <c r="FM206" s="105"/>
      <c r="FN206" s="105"/>
      <c r="FO206" s="105"/>
      <c r="FP206" s="105"/>
      <c r="FQ206" s="105"/>
      <c r="FR206" s="105"/>
      <c r="FS206" s="105"/>
      <c r="FT206" s="105"/>
      <c r="FU206" s="105"/>
      <c r="FV206" s="105"/>
      <c r="FW206" s="105"/>
      <c r="FX206" s="105"/>
      <c r="FY206" s="105"/>
      <c r="FZ206" s="105"/>
      <c r="GA206" s="105"/>
      <c r="GB206" s="105"/>
      <c r="GC206" s="105"/>
      <c r="GD206" s="105"/>
      <c r="GE206" s="105"/>
      <c r="GF206" s="105"/>
      <c r="GG206" s="105"/>
      <c r="GH206" s="105"/>
      <c r="GI206" s="105"/>
      <c r="GJ206" s="105"/>
      <c r="GK206" s="105"/>
      <c r="GL206" s="105"/>
      <c r="GM206" s="105"/>
      <c r="GN206" s="105"/>
      <c r="GO206" s="105"/>
      <c r="GP206" s="105"/>
      <c r="GQ206" s="105"/>
      <c r="GR206" s="105"/>
      <c r="GS206" s="105"/>
      <c r="GT206" s="105"/>
      <c r="GU206" s="105"/>
      <c r="GV206" s="105"/>
      <c r="GW206" s="105"/>
      <c r="GX206" s="105"/>
      <c r="GY206" s="105"/>
      <c r="GZ206" s="105"/>
      <c r="HA206" s="105"/>
      <c r="HB206" s="105"/>
      <c r="HC206" s="105"/>
      <c r="HD206" s="105"/>
      <c r="HE206" s="105"/>
      <c r="HF206" s="105"/>
      <c r="HG206" s="105"/>
      <c r="HH206" s="105"/>
      <c r="HI206" s="105"/>
      <c r="HJ206" s="105"/>
      <c r="HK206" s="105"/>
      <c r="HL206" s="105"/>
      <c r="HM206" s="105"/>
      <c r="HN206" s="105"/>
      <c r="HO206" s="105"/>
      <c r="HP206" s="105"/>
      <c r="HQ206" s="105"/>
      <c r="HR206" s="105"/>
      <c r="HS206" s="105"/>
      <c r="HT206" s="105"/>
      <c r="HU206" s="105"/>
      <c r="HV206" s="105"/>
      <c r="HW206" s="105"/>
      <c r="HX206" s="105"/>
      <c r="HY206" s="105"/>
      <c r="HZ206" s="105"/>
      <c r="IA206" s="105"/>
      <c r="IB206" s="105"/>
      <c r="IC206" s="105"/>
      <c r="ID206" s="105"/>
      <c r="IE206" s="105"/>
      <c r="IF206" s="105"/>
      <c r="IG206" s="105"/>
      <c r="IH206" s="105"/>
      <c r="II206" s="105"/>
      <c r="IJ206" s="105"/>
      <c r="IK206" s="105"/>
      <c r="IL206" s="105"/>
      <c r="IM206" s="105"/>
      <c r="IN206" s="105"/>
      <c r="IO206" s="105"/>
      <c r="IP206" s="105"/>
      <c r="IQ206" s="105"/>
      <c r="IR206" s="105"/>
      <c r="IS206" s="105"/>
    </row>
    <row r="207" spans="1:253">
      <c r="A207" s="116"/>
      <c r="B207" s="105"/>
      <c r="C207" s="116"/>
      <c r="D207" s="116"/>
      <c r="E207" s="116"/>
      <c r="F207" s="116"/>
      <c r="G207" s="116"/>
      <c r="H207" s="116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5"/>
      <c r="BK207" s="105"/>
      <c r="BL207" s="105"/>
      <c r="BM207" s="105"/>
      <c r="BN207" s="105"/>
      <c r="BO207" s="105"/>
      <c r="BP207" s="105"/>
      <c r="BQ207" s="105"/>
      <c r="BR207" s="105"/>
      <c r="BS207" s="105"/>
      <c r="BT207" s="105"/>
      <c r="BU207" s="105"/>
      <c r="BV207" s="105"/>
      <c r="BW207" s="105"/>
      <c r="BX207" s="105"/>
      <c r="BY207" s="105"/>
      <c r="BZ207" s="105"/>
      <c r="CA207" s="105"/>
      <c r="CB207" s="105"/>
      <c r="CC207" s="105"/>
      <c r="CD207" s="105"/>
      <c r="CE207" s="105"/>
      <c r="CF207" s="105"/>
      <c r="CG207" s="105"/>
      <c r="CH207" s="105"/>
      <c r="CI207" s="105"/>
      <c r="CJ207" s="105"/>
      <c r="CK207" s="105"/>
      <c r="CL207" s="105"/>
      <c r="CM207" s="105"/>
      <c r="CN207" s="105"/>
      <c r="CO207" s="105"/>
      <c r="CP207" s="105"/>
      <c r="CQ207" s="105"/>
      <c r="CR207" s="105"/>
      <c r="CS207" s="105"/>
      <c r="CT207" s="105"/>
      <c r="CU207" s="105"/>
      <c r="CV207" s="105"/>
      <c r="CW207" s="105"/>
      <c r="CX207" s="105"/>
      <c r="CY207" s="105"/>
      <c r="CZ207" s="105"/>
      <c r="DA207" s="105"/>
      <c r="DB207" s="105"/>
      <c r="DC207" s="105"/>
      <c r="DD207" s="105"/>
      <c r="DE207" s="105"/>
      <c r="DF207" s="105"/>
      <c r="DG207" s="105"/>
      <c r="DH207" s="105"/>
      <c r="DI207" s="105"/>
      <c r="DJ207" s="105"/>
      <c r="DK207" s="105"/>
      <c r="DL207" s="105"/>
      <c r="DM207" s="105"/>
      <c r="DN207" s="105"/>
      <c r="DO207" s="105"/>
      <c r="DP207" s="105"/>
      <c r="DQ207" s="105"/>
      <c r="DR207" s="105"/>
      <c r="DS207" s="105"/>
      <c r="DT207" s="105"/>
      <c r="DU207" s="105"/>
      <c r="DV207" s="105"/>
      <c r="DW207" s="105"/>
      <c r="DX207" s="105"/>
      <c r="DY207" s="105"/>
      <c r="DZ207" s="105"/>
      <c r="EA207" s="105"/>
      <c r="EB207" s="105"/>
      <c r="EC207" s="105"/>
      <c r="ED207" s="105"/>
      <c r="EE207" s="105"/>
      <c r="EF207" s="105"/>
      <c r="EG207" s="105"/>
      <c r="EH207" s="105"/>
      <c r="EI207" s="105"/>
      <c r="EJ207" s="105"/>
      <c r="EK207" s="105"/>
      <c r="EL207" s="105"/>
      <c r="EM207" s="105"/>
      <c r="EN207" s="105"/>
      <c r="EO207" s="105"/>
      <c r="EP207" s="105"/>
      <c r="EQ207" s="105"/>
      <c r="ER207" s="105"/>
      <c r="ES207" s="105"/>
      <c r="ET207" s="105"/>
      <c r="EU207" s="105"/>
      <c r="EV207" s="105"/>
      <c r="EW207" s="105"/>
      <c r="EX207" s="105"/>
      <c r="EY207" s="105"/>
      <c r="EZ207" s="105"/>
      <c r="FA207" s="105"/>
      <c r="FB207" s="105"/>
      <c r="FC207" s="105"/>
      <c r="FD207" s="105"/>
      <c r="FE207" s="105"/>
      <c r="FF207" s="105"/>
      <c r="FG207" s="105"/>
      <c r="FH207" s="105"/>
      <c r="FI207" s="105"/>
      <c r="FJ207" s="105"/>
      <c r="FK207" s="105"/>
      <c r="FL207" s="105"/>
      <c r="FM207" s="105"/>
      <c r="FN207" s="105"/>
      <c r="FO207" s="105"/>
      <c r="FP207" s="105"/>
      <c r="FQ207" s="105"/>
      <c r="FR207" s="105"/>
      <c r="FS207" s="105"/>
      <c r="FT207" s="105"/>
      <c r="FU207" s="105"/>
      <c r="FV207" s="105"/>
      <c r="FW207" s="105"/>
      <c r="FX207" s="105"/>
      <c r="FY207" s="105"/>
      <c r="FZ207" s="105"/>
      <c r="GA207" s="105"/>
      <c r="GB207" s="105"/>
      <c r="GC207" s="105"/>
      <c r="GD207" s="105"/>
      <c r="GE207" s="105"/>
      <c r="GF207" s="105"/>
      <c r="GG207" s="105"/>
      <c r="GH207" s="105"/>
      <c r="GI207" s="105"/>
      <c r="GJ207" s="105"/>
      <c r="GK207" s="105"/>
      <c r="GL207" s="105"/>
      <c r="GM207" s="105"/>
      <c r="GN207" s="105"/>
      <c r="GO207" s="105"/>
      <c r="GP207" s="105"/>
      <c r="GQ207" s="105"/>
      <c r="GR207" s="105"/>
      <c r="GS207" s="105"/>
      <c r="GT207" s="105"/>
      <c r="GU207" s="105"/>
      <c r="GV207" s="105"/>
      <c r="GW207" s="105"/>
      <c r="GX207" s="105"/>
      <c r="GY207" s="105"/>
      <c r="GZ207" s="105"/>
      <c r="HA207" s="105"/>
      <c r="HB207" s="105"/>
      <c r="HC207" s="105"/>
      <c r="HD207" s="105"/>
      <c r="HE207" s="105"/>
      <c r="HF207" s="105"/>
      <c r="HG207" s="105"/>
      <c r="HH207" s="105"/>
      <c r="HI207" s="105"/>
      <c r="HJ207" s="105"/>
      <c r="HK207" s="105"/>
      <c r="HL207" s="105"/>
      <c r="HM207" s="105"/>
      <c r="HN207" s="105"/>
      <c r="HO207" s="105"/>
      <c r="HP207" s="105"/>
      <c r="HQ207" s="105"/>
      <c r="HR207" s="105"/>
      <c r="HS207" s="105"/>
      <c r="HT207" s="105"/>
      <c r="HU207" s="105"/>
      <c r="HV207" s="105"/>
      <c r="HW207" s="105"/>
      <c r="HX207" s="105"/>
      <c r="HY207" s="105"/>
      <c r="HZ207" s="105"/>
      <c r="IA207" s="105"/>
      <c r="IB207" s="105"/>
      <c r="IC207" s="105"/>
      <c r="ID207" s="105"/>
      <c r="IE207" s="105"/>
      <c r="IF207" s="105"/>
      <c r="IG207" s="105"/>
      <c r="IH207" s="105"/>
      <c r="II207" s="105"/>
      <c r="IJ207" s="105"/>
      <c r="IK207" s="105"/>
      <c r="IL207" s="105"/>
      <c r="IM207" s="105"/>
      <c r="IN207" s="105"/>
      <c r="IO207" s="105"/>
      <c r="IP207" s="105"/>
      <c r="IQ207" s="105"/>
      <c r="IR207" s="105"/>
      <c r="IS207" s="105"/>
    </row>
    <row r="208" spans="1:253">
      <c r="A208" s="116"/>
      <c r="B208" s="105"/>
      <c r="C208" s="116"/>
      <c r="D208" s="116"/>
      <c r="E208" s="116"/>
      <c r="F208" s="116"/>
      <c r="G208" s="116"/>
      <c r="H208" s="116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5"/>
      <c r="BK208" s="105"/>
      <c r="BL208" s="105"/>
      <c r="BM208" s="105"/>
      <c r="BN208" s="105"/>
      <c r="BO208" s="105"/>
      <c r="BP208" s="105"/>
      <c r="BQ208" s="105"/>
      <c r="BR208" s="105"/>
      <c r="BS208" s="105"/>
      <c r="BT208" s="105"/>
      <c r="BU208" s="105"/>
      <c r="BV208" s="105"/>
      <c r="BW208" s="105"/>
      <c r="BX208" s="105"/>
      <c r="BY208" s="105"/>
      <c r="BZ208" s="105"/>
      <c r="CA208" s="105"/>
      <c r="CB208" s="105"/>
      <c r="CC208" s="105"/>
      <c r="CD208" s="105"/>
      <c r="CE208" s="105"/>
      <c r="CF208" s="105"/>
      <c r="CG208" s="105"/>
      <c r="CH208" s="105"/>
      <c r="CI208" s="105"/>
      <c r="CJ208" s="105"/>
      <c r="CK208" s="105"/>
      <c r="CL208" s="105"/>
      <c r="CM208" s="105"/>
      <c r="CN208" s="105"/>
      <c r="CO208" s="105"/>
      <c r="CP208" s="105"/>
      <c r="CQ208" s="105"/>
      <c r="CR208" s="105"/>
      <c r="CS208" s="105"/>
      <c r="CT208" s="105"/>
      <c r="CU208" s="105"/>
      <c r="CV208" s="105"/>
      <c r="CW208" s="105"/>
      <c r="CX208" s="105"/>
      <c r="CY208" s="105"/>
      <c r="CZ208" s="105"/>
      <c r="DA208" s="105"/>
      <c r="DB208" s="105"/>
      <c r="DC208" s="105"/>
      <c r="DD208" s="105"/>
      <c r="DE208" s="105"/>
      <c r="DF208" s="105"/>
      <c r="DG208" s="105"/>
      <c r="DH208" s="105"/>
      <c r="DI208" s="105"/>
      <c r="DJ208" s="105"/>
      <c r="DK208" s="105"/>
      <c r="DL208" s="105"/>
      <c r="DM208" s="105"/>
      <c r="DN208" s="105"/>
      <c r="DO208" s="105"/>
      <c r="DP208" s="105"/>
      <c r="DQ208" s="105"/>
      <c r="DR208" s="105"/>
      <c r="DS208" s="105"/>
      <c r="DT208" s="105"/>
      <c r="DU208" s="105"/>
      <c r="DV208" s="105"/>
      <c r="DW208" s="105"/>
      <c r="DX208" s="105"/>
      <c r="DY208" s="105"/>
      <c r="DZ208" s="105"/>
      <c r="EA208" s="105"/>
      <c r="EB208" s="105"/>
      <c r="EC208" s="105"/>
      <c r="ED208" s="105"/>
      <c r="EE208" s="105"/>
      <c r="EF208" s="105"/>
      <c r="EG208" s="105"/>
      <c r="EH208" s="105"/>
      <c r="EI208" s="105"/>
      <c r="EJ208" s="105"/>
      <c r="EK208" s="105"/>
      <c r="EL208" s="105"/>
      <c r="EM208" s="105"/>
      <c r="EN208" s="105"/>
      <c r="EO208" s="105"/>
      <c r="EP208" s="105"/>
      <c r="EQ208" s="105"/>
      <c r="ER208" s="105"/>
      <c r="ES208" s="105"/>
      <c r="ET208" s="105"/>
      <c r="EU208" s="105"/>
      <c r="EV208" s="105"/>
      <c r="EW208" s="105"/>
      <c r="EX208" s="105"/>
      <c r="EY208" s="105"/>
      <c r="EZ208" s="105"/>
      <c r="FA208" s="105"/>
      <c r="FB208" s="105"/>
      <c r="FC208" s="105"/>
      <c r="FD208" s="105"/>
      <c r="FE208" s="105"/>
      <c r="FF208" s="105"/>
      <c r="FG208" s="105"/>
      <c r="FH208" s="105"/>
      <c r="FI208" s="105"/>
      <c r="FJ208" s="105"/>
      <c r="FK208" s="105"/>
      <c r="FL208" s="105"/>
      <c r="FM208" s="105"/>
      <c r="FN208" s="105"/>
      <c r="FO208" s="105"/>
      <c r="FP208" s="105"/>
      <c r="FQ208" s="105"/>
      <c r="FR208" s="105"/>
      <c r="FS208" s="105"/>
      <c r="FT208" s="105"/>
      <c r="FU208" s="105"/>
      <c r="FV208" s="105"/>
      <c r="FW208" s="105"/>
      <c r="FX208" s="105"/>
      <c r="FY208" s="105"/>
      <c r="FZ208" s="105"/>
      <c r="GA208" s="105"/>
      <c r="GB208" s="105"/>
      <c r="GC208" s="105"/>
      <c r="GD208" s="105"/>
      <c r="GE208" s="105"/>
      <c r="GF208" s="105"/>
      <c r="GG208" s="105"/>
      <c r="GH208" s="105"/>
      <c r="GI208" s="105"/>
      <c r="GJ208" s="105"/>
      <c r="GK208" s="105"/>
      <c r="GL208" s="105"/>
      <c r="GM208" s="105"/>
      <c r="GN208" s="105"/>
      <c r="GO208" s="105"/>
      <c r="GP208" s="105"/>
      <c r="GQ208" s="105"/>
      <c r="GR208" s="105"/>
      <c r="GS208" s="105"/>
      <c r="GT208" s="105"/>
      <c r="GU208" s="105"/>
      <c r="GV208" s="105"/>
      <c r="GW208" s="105"/>
      <c r="GX208" s="105"/>
      <c r="GY208" s="105"/>
      <c r="GZ208" s="105"/>
      <c r="HA208" s="105"/>
      <c r="HB208" s="105"/>
      <c r="HC208" s="105"/>
      <c r="HD208" s="105"/>
      <c r="HE208" s="105"/>
      <c r="HF208" s="105"/>
      <c r="HG208" s="105"/>
      <c r="HH208" s="105"/>
      <c r="HI208" s="105"/>
      <c r="HJ208" s="105"/>
      <c r="HK208" s="105"/>
      <c r="HL208" s="105"/>
      <c r="HM208" s="105"/>
      <c r="HN208" s="105"/>
      <c r="HO208" s="105"/>
      <c r="HP208" s="105"/>
      <c r="HQ208" s="105"/>
      <c r="HR208" s="105"/>
      <c r="HS208" s="105"/>
      <c r="HT208" s="105"/>
      <c r="HU208" s="105"/>
      <c r="HV208" s="105"/>
      <c r="HW208" s="105"/>
      <c r="HX208" s="105"/>
      <c r="HY208" s="105"/>
      <c r="HZ208" s="105"/>
      <c r="IA208" s="105"/>
      <c r="IB208" s="105"/>
      <c r="IC208" s="105"/>
      <c r="ID208" s="105"/>
      <c r="IE208" s="105"/>
      <c r="IF208" s="105"/>
      <c r="IG208" s="105"/>
      <c r="IH208" s="105"/>
      <c r="II208" s="105"/>
      <c r="IJ208" s="105"/>
      <c r="IK208" s="105"/>
      <c r="IL208" s="105"/>
      <c r="IM208" s="105"/>
      <c r="IN208" s="105"/>
      <c r="IO208" s="105"/>
      <c r="IP208" s="105"/>
      <c r="IQ208" s="105"/>
      <c r="IR208" s="105"/>
      <c r="IS208" s="105"/>
    </row>
    <row r="209" spans="1:253">
      <c r="A209" s="116"/>
      <c r="B209" s="105"/>
      <c r="C209" s="116"/>
      <c r="D209" s="116"/>
      <c r="E209" s="116"/>
      <c r="F209" s="116"/>
      <c r="G209" s="116"/>
      <c r="H209" s="116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5"/>
      <c r="BK209" s="105"/>
      <c r="BL209" s="105"/>
      <c r="BM209" s="105"/>
      <c r="BN209" s="105"/>
      <c r="BO209" s="105"/>
      <c r="BP209" s="105"/>
      <c r="BQ209" s="105"/>
      <c r="BR209" s="105"/>
      <c r="BS209" s="105"/>
      <c r="BT209" s="105"/>
      <c r="BU209" s="105"/>
      <c r="BV209" s="105"/>
      <c r="BW209" s="105"/>
      <c r="BX209" s="105"/>
      <c r="BY209" s="105"/>
      <c r="BZ209" s="105"/>
      <c r="CA209" s="105"/>
      <c r="CB209" s="105"/>
      <c r="CC209" s="105"/>
      <c r="CD209" s="105"/>
      <c r="CE209" s="105"/>
      <c r="CF209" s="105"/>
      <c r="CG209" s="105"/>
      <c r="CH209" s="105"/>
      <c r="CI209" s="105"/>
      <c r="CJ209" s="105"/>
      <c r="CK209" s="105"/>
      <c r="CL209" s="105"/>
      <c r="CM209" s="105"/>
      <c r="CN209" s="105"/>
      <c r="CO209" s="105"/>
      <c r="CP209" s="105"/>
      <c r="CQ209" s="105"/>
      <c r="CR209" s="105"/>
      <c r="CS209" s="105"/>
      <c r="CT209" s="105"/>
      <c r="CU209" s="105"/>
      <c r="CV209" s="105"/>
      <c r="CW209" s="105"/>
      <c r="CX209" s="105"/>
      <c r="CY209" s="105"/>
      <c r="CZ209" s="105"/>
      <c r="DA209" s="105"/>
      <c r="DB209" s="105"/>
      <c r="DC209" s="105"/>
      <c r="DD209" s="105"/>
      <c r="DE209" s="105"/>
      <c r="DF209" s="105"/>
      <c r="DG209" s="105"/>
      <c r="DH209" s="105"/>
      <c r="DI209" s="105"/>
      <c r="DJ209" s="105"/>
      <c r="DK209" s="105"/>
      <c r="DL209" s="105"/>
      <c r="DM209" s="105"/>
      <c r="DN209" s="105"/>
      <c r="DO209" s="105"/>
      <c r="DP209" s="105"/>
      <c r="DQ209" s="105"/>
      <c r="DR209" s="105"/>
      <c r="DS209" s="105"/>
      <c r="DT209" s="105"/>
      <c r="DU209" s="105"/>
      <c r="DV209" s="105"/>
      <c r="DW209" s="105"/>
      <c r="DX209" s="105"/>
      <c r="DY209" s="105"/>
      <c r="DZ209" s="105"/>
      <c r="EA209" s="105"/>
      <c r="EB209" s="105"/>
      <c r="EC209" s="105"/>
      <c r="ED209" s="105"/>
      <c r="EE209" s="105"/>
      <c r="EF209" s="105"/>
      <c r="EG209" s="105"/>
      <c r="EH209" s="105"/>
      <c r="EI209" s="105"/>
      <c r="EJ209" s="105"/>
      <c r="EK209" s="105"/>
      <c r="EL209" s="105"/>
      <c r="EM209" s="105"/>
      <c r="EN209" s="105"/>
      <c r="EO209" s="105"/>
      <c r="EP209" s="105"/>
      <c r="EQ209" s="105"/>
      <c r="ER209" s="105"/>
      <c r="ES209" s="105"/>
      <c r="ET209" s="105"/>
      <c r="EU209" s="105"/>
      <c r="EV209" s="105"/>
      <c r="EW209" s="105"/>
      <c r="EX209" s="105"/>
      <c r="EY209" s="105"/>
      <c r="EZ209" s="105"/>
      <c r="FA209" s="105"/>
      <c r="FB209" s="105"/>
      <c r="FC209" s="105"/>
      <c r="FD209" s="105"/>
      <c r="FE209" s="105"/>
      <c r="FF209" s="105"/>
      <c r="FG209" s="105"/>
      <c r="FH209" s="105"/>
      <c r="FI209" s="105"/>
      <c r="FJ209" s="105"/>
      <c r="FK209" s="105"/>
      <c r="FL209" s="105"/>
      <c r="FM209" s="105"/>
      <c r="FN209" s="105"/>
      <c r="FO209" s="105"/>
      <c r="FP209" s="105"/>
      <c r="FQ209" s="105"/>
      <c r="FR209" s="105"/>
      <c r="FS209" s="105"/>
      <c r="FT209" s="105"/>
      <c r="FU209" s="105"/>
      <c r="FV209" s="105"/>
      <c r="FW209" s="105"/>
      <c r="FX209" s="105"/>
      <c r="FY209" s="105"/>
      <c r="FZ209" s="105"/>
      <c r="GA209" s="105"/>
      <c r="GB209" s="105"/>
      <c r="GC209" s="105"/>
      <c r="GD209" s="105"/>
      <c r="GE209" s="105"/>
      <c r="GF209" s="105"/>
      <c r="GG209" s="105"/>
      <c r="GH209" s="105"/>
      <c r="GI209" s="105"/>
      <c r="GJ209" s="105"/>
      <c r="GK209" s="105"/>
      <c r="GL209" s="105"/>
      <c r="GM209" s="105"/>
      <c r="GN209" s="105"/>
      <c r="GO209" s="105"/>
      <c r="GP209" s="105"/>
      <c r="GQ209" s="105"/>
      <c r="GR209" s="105"/>
      <c r="GS209" s="105"/>
      <c r="GT209" s="105"/>
      <c r="GU209" s="105"/>
      <c r="GV209" s="105"/>
      <c r="GW209" s="105"/>
      <c r="GX209" s="105"/>
      <c r="GY209" s="105"/>
      <c r="GZ209" s="105"/>
      <c r="HA209" s="105"/>
      <c r="HB209" s="105"/>
      <c r="HC209" s="105"/>
      <c r="HD209" s="105"/>
      <c r="HE209" s="105"/>
      <c r="HF209" s="105"/>
      <c r="HG209" s="105"/>
      <c r="HH209" s="105"/>
      <c r="HI209" s="105"/>
      <c r="HJ209" s="105"/>
      <c r="HK209" s="105"/>
      <c r="HL209" s="105"/>
      <c r="HM209" s="105"/>
      <c r="HN209" s="105"/>
      <c r="HO209" s="105"/>
      <c r="HP209" s="105"/>
      <c r="HQ209" s="105"/>
      <c r="HR209" s="105"/>
      <c r="HS209" s="105"/>
      <c r="HT209" s="105"/>
      <c r="HU209" s="105"/>
      <c r="HV209" s="105"/>
      <c r="HW209" s="105"/>
      <c r="HX209" s="105"/>
      <c r="HY209" s="105"/>
      <c r="HZ209" s="105"/>
      <c r="IA209" s="105"/>
      <c r="IB209" s="105"/>
      <c r="IC209" s="105"/>
      <c r="ID209" s="105"/>
      <c r="IE209" s="105"/>
      <c r="IF209" s="105"/>
      <c r="IG209" s="105"/>
      <c r="IH209" s="105"/>
      <c r="II209" s="105"/>
      <c r="IJ209" s="105"/>
      <c r="IK209" s="105"/>
      <c r="IL209" s="105"/>
      <c r="IM209" s="105"/>
      <c r="IN209" s="105"/>
      <c r="IO209" s="105"/>
      <c r="IP209" s="105"/>
      <c r="IQ209" s="105"/>
      <c r="IR209" s="105"/>
      <c r="IS209" s="105"/>
    </row>
    <row r="210" spans="1:253">
      <c r="A210" s="116"/>
      <c r="B210" s="105"/>
      <c r="C210" s="116"/>
      <c r="D210" s="116"/>
      <c r="E210" s="116"/>
      <c r="F210" s="116"/>
      <c r="G210" s="116"/>
      <c r="H210" s="116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/>
      <c r="BL210" s="105"/>
      <c r="BM210" s="105"/>
      <c r="BN210" s="105"/>
      <c r="BO210" s="105"/>
      <c r="BP210" s="105"/>
      <c r="BQ210" s="105"/>
      <c r="BR210" s="105"/>
      <c r="BS210" s="105"/>
      <c r="BT210" s="105"/>
      <c r="BU210" s="105"/>
      <c r="BV210" s="105"/>
      <c r="BW210" s="105"/>
      <c r="BX210" s="105"/>
      <c r="BY210" s="105"/>
      <c r="BZ210" s="105"/>
      <c r="CA210" s="105"/>
      <c r="CB210" s="105"/>
      <c r="CC210" s="105"/>
      <c r="CD210" s="105"/>
      <c r="CE210" s="105"/>
      <c r="CF210" s="105"/>
      <c r="CG210" s="105"/>
      <c r="CH210" s="105"/>
      <c r="CI210" s="105"/>
      <c r="CJ210" s="105"/>
      <c r="CK210" s="105"/>
      <c r="CL210" s="105"/>
      <c r="CM210" s="105"/>
      <c r="CN210" s="105"/>
      <c r="CO210" s="105"/>
      <c r="CP210" s="105"/>
      <c r="CQ210" s="105"/>
      <c r="CR210" s="105"/>
      <c r="CS210" s="105"/>
      <c r="CT210" s="105"/>
      <c r="CU210" s="105"/>
      <c r="CV210" s="105"/>
      <c r="CW210" s="105"/>
      <c r="CX210" s="105"/>
      <c r="CY210" s="105"/>
      <c r="CZ210" s="105"/>
      <c r="DA210" s="105"/>
      <c r="DB210" s="105"/>
      <c r="DC210" s="105"/>
      <c r="DD210" s="105"/>
      <c r="DE210" s="105"/>
      <c r="DF210" s="105"/>
      <c r="DG210" s="105"/>
      <c r="DH210" s="105"/>
      <c r="DI210" s="105"/>
      <c r="DJ210" s="105"/>
      <c r="DK210" s="105"/>
      <c r="DL210" s="105"/>
      <c r="DM210" s="105"/>
      <c r="DN210" s="105"/>
      <c r="DO210" s="105"/>
      <c r="DP210" s="105"/>
      <c r="DQ210" s="105"/>
      <c r="DR210" s="105"/>
      <c r="DS210" s="105"/>
      <c r="DT210" s="105"/>
      <c r="DU210" s="105"/>
      <c r="DV210" s="105"/>
      <c r="DW210" s="105"/>
      <c r="DX210" s="105"/>
      <c r="DY210" s="105"/>
      <c r="DZ210" s="105"/>
      <c r="EA210" s="105"/>
      <c r="EB210" s="105"/>
      <c r="EC210" s="105"/>
      <c r="ED210" s="105"/>
      <c r="EE210" s="105"/>
      <c r="EF210" s="105"/>
      <c r="EG210" s="105"/>
      <c r="EH210" s="105"/>
      <c r="EI210" s="105"/>
      <c r="EJ210" s="105"/>
      <c r="EK210" s="105"/>
      <c r="EL210" s="105"/>
      <c r="EM210" s="105"/>
      <c r="EN210" s="105"/>
      <c r="EO210" s="105"/>
      <c r="EP210" s="105"/>
      <c r="EQ210" s="105"/>
      <c r="ER210" s="105"/>
      <c r="ES210" s="105"/>
      <c r="ET210" s="105"/>
      <c r="EU210" s="105"/>
      <c r="EV210" s="105"/>
      <c r="EW210" s="105"/>
      <c r="EX210" s="105"/>
      <c r="EY210" s="105"/>
      <c r="EZ210" s="105"/>
      <c r="FA210" s="105"/>
      <c r="FB210" s="105"/>
      <c r="FC210" s="105"/>
      <c r="FD210" s="105"/>
      <c r="FE210" s="105"/>
      <c r="FF210" s="105"/>
      <c r="FG210" s="105"/>
      <c r="FH210" s="105"/>
      <c r="FI210" s="105"/>
      <c r="FJ210" s="105"/>
      <c r="FK210" s="105"/>
      <c r="FL210" s="105"/>
      <c r="FM210" s="105"/>
      <c r="FN210" s="105"/>
      <c r="FO210" s="105"/>
      <c r="FP210" s="105"/>
      <c r="FQ210" s="105"/>
      <c r="FR210" s="105"/>
      <c r="FS210" s="105"/>
      <c r="FT210" s="105"/>
      <c r="FU210" s="105"/>
      <c r="FV210" s="105"/>
      <c r="FW210" s="105"/>
      <c r="FX210" s="105"/>
      <c r="FY210" s="105"/>
      <c r="FZ210" s="105"/>
      <c r="GA210" s="105"/>
      <c r="GB210" s="105"/>
      <c r="GC210" s="105"/>
      <c r="GD210" s="105"/>
      <c r="GE210" s="105"/>
      <c r="GF210" s="105"/>
      <c r="GG210" s="105"/>
      <c r="GH210" s="105"/>
      <c r="GI210" s="105"/>
      <c r="GJ210" s="105"/>
      <c r="GK210" s="105"/>
      <c r="GL210" s="105"/>
      <c r="GM210" s="105"/>
      <c r="GN210" s="105"/>
      <c r="GO210" s="105"/>
      <c r="GP210" s="105"/>
      <c r="GQ210" s="105"/>
      <c r="GR210" s="105"/>
      <c r="GS210" s="105"/>
      <c r="GT210" s="105"/>
      <c r="GU210" s="105"/>
      <c r="GV210" s="105"/>
      <c r="GW210" s="105"/>
      <c r="GX210" s="105"/>
      <c r="GY210" s="105"/>
      <c r="GZ210" s="105"/>
      <c r="HA210" s="105"/>
      <c r="HB210" s="105"/>
      <c r="HC210" s="105"/>
      <c r="HD210" s="105"/>
      <c r="HE210" s="105"/>
      <c r="HF210" s="105"/>
      <c r="HG210" s="105"/>
      <c r="HH210" s="105"/>
      <c r="HI210" s="105"/>
      <c r="HJ210" s="105"/>
      <c r="HK210" s="105"/>
      <c r="HL210" s="105"/>
      <c r="HM210" s="105"/>
      <c r="HN210" s="105"/>
      <c r="HO210" s="105"/>
      <c r="HP210" s="105"/>
      <c r="HQ210" s="105"/>
      <c r="HR210" s="105"/>
      <c r="HS210" s="105"/>
      <c r="HT210" s="105"/>
      <c r="HU210" s="105"/>
      <c r="HV210" s="105"/>
      <c r="HW210" s="105"/>
      <c r="HX210" s="105"/>
      <c r="HY210" s="105"/>
      <c r="HZ210" s="105"/>
      <c r="IA210" s="105"/>
      <c r="IB210" s="105"/>
      <c r="IC210" s="105"/>
      <c r="ID210" s="105"/>
      <c r="IE210" s="105"/>
      <c r="IF210" s="105"/>
      <c r="IG210" s="105"/>
      <c r="IH210" s="105"/>
      <c r="II210" s="105"/>
      <c r="IJ210" s="105"/>
      <c r="IK210" s="105"/>
      <c r="IL210" s="105"/>
      <c r="IM210" s="105"/>
      <c r="IN210" s="105"/>
      <c r="IO210" s="105"/>
      <c r="IP210" s="105"/>
      <c r="IQ210" s="105"/>
      <c r="IR210" s="105"/>
      <c r="IS210" s="105"/>
    </row>
    <row r="211" spans="1:253">
      <c r="A211" s="116"/>
      <c r="B211" s="105"/>
      <c r="C211" s="116"/>
      <c r="D211" s="116"/>
      <c r="E211" s="116"/>
      <c r="F211" s="116"/>
      <c r="G211" s="116"/>
      <c r="H211" s="116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  <c r="BL211" s="105"/>
      <c r="BM211" s="105"/>
      <c r="BN211" s="105"/>
      <c r="BO211" s="105"/>
      <c r="BP211" s="105"/>
      <c r="BQ211" s="105"/>
      <c r="BR211" s="105"/>
      <c r="BS211" s="105"/>
      <c r="BT211" s="105"/>
      <c r="BU211" s="105"/>
      <c r="BV211" s="105"/>
      <c r="BW211" s="105"/>
      <c r="BX211" s="105"/>
      <c r="BY211" s="105"/>
      <c r="BZ211" s="105"/>
      <c r="CA211" s="105"/>
      <c r="CB211" s="105"/>
      <c r="CC211" s="105"/>
      <c r="CD211" s="105"/>
      <c r="CE211" s="105"/>
      <c r="CF211" s="105"/>
      <c r="CG211" s="105"/>
      <c r="CH211" s="105"/>
      <c r="CI211" s="105"/>
      <c r="CJ211" s="105"/>
      <c r="CK211" s="105"/>
      <c r="CL211" s="105"/>
      <c r="CM211" s="105"/>
      <c r="CN211" s="105"/>
      <c r="CO211" s="105"/>
      <c r="CP211" s="105"/>
      <c r="CQ211" s="105"/>
      <c r="CR211" s="105"/>
      <c r="CS211" s="105"/>
      <c r="CT211" s="105"/>
      <c r="CU211" s="105"/>
      <c r="CV211" s="105"/>
      <c r="CW211" s="105"/>
      <c r="CX211" s="105"/>
      <c r="CY211" s="105"/>
      <c r="CZ211" s="105"/>
      <c r="DA211" s="105"/>
      <c r="DB211" s="105"/>
      <c r="DC211" s="105"/>
      <c r="DD211" s="105"/>
      <c r="DE211" s="105"/>
      <c r="DF211" s="105"/>
      <c r="DG211" s="105"/>
      <c r="DH211" s="105"/>
      <c r="DI211" s="105"/>
      <c r="DJ211" s="105"/>
      <c r="DK211" s="105"/>
      <c r="DL211" s="105"/>
      <c r="DM211" s="105"/>
      <c r="DN211" s="105"/>
      <c r="DO211" s="105"/>
      <c r="DP211" s="105"/>
      <c r="DQ211" s="105"/>
      <c r="DR211" s="105"/>
      <c r="DS211" s="105"/>
      <c r="DT211" s="105"/>
      <c r="DU211" s="105"/>
      <c r="DV211" s="105"/>
      <c r="DW211" s="105"/>
      <c r="DX211" s="105"/>
      <c r="DY211" s="105"/>
      <c r="DZ211" s="105"/>
      <c r="EA211" s="105"/>
      <c r="EB211" s="105"/>
      <c r="EC211" s="105"/>
      <c r="ED211" s="105"/>
      <c r="EE211" s="105"/>
      <c r="EF211" s="105"/>
      <c r="EG211" s="105"/>
      <c r="EH211" s="105"/>
      <c r="EI211" s="105"/>
      <c r="EJ211" s="105"/>
      <c r="EK211" s="105"/>
      <c r="EL211" s="105"/>
      <c r="EM211" s="105"/>
      <c r="EN211" s="105"/>
      <c r="EO211" s="105"/>
      <c r="EP211" s="105"/>
      <c r="EQ211" s="105"/>
      <c r="ER211" s="105"/>
      <c r="ES211" s="105"/>
      <c r="ET211" s="105"/>
      <c r="EU211" s="105"/>
      <c r="EV211" s="105"/>
      <c r="EW211" s="105"/>
      <c r="EX211" s="105"/>
      <c r="EY211" s="105"/>
      <c r="EZ211" s="105"/>
      <c r="FA211" s="105"/>
      <c r="FB211" s="105"/>
      <c r="FC211" s="105"/>
      <c r="FD211" s="105"/>
      <c r="FE211" s="105"/>
      <c r="FF211" s="105"/>
      <c r="FG211" s="105"/>
      <c r="FH211" s="105"/>
      <c r="FI211" s="105"/>
      <c r="FJ211" s="105"/>
      <c r="FK211" s="105"/>
      <c r="FL211" s="105"/>
      <c r="FM211" s="105"/>
      <c r="FN211" s="105"/>
      <c r="FO211" s="105"/>
      <c r="FP211" s="105"/>
      <c r="FQ211" s="105"/>
      <c r="FR211" s="105"/>
      <c r="FS211" s="105"/>
      <c r="FT211" s="105"/>
      <c r="FU211" s="105"/>
      <c r="FV211" s="105"/>
      <c r="FW211" s="105"/>
      <c r="FX211" s="105"/>
      <c r="FY211" s="105"/>
      <c r="FZ211" s="105"/>
      <c r="GA211" s="105"/>
      <c r="GB211" s="105"/>
      <c r="GC211" s="105"/>
      <c r="GD211" s="105"/>
      <c r="GE211" s="105"/>
      <c r="GF211" s="105"/>
      <c r="GG211" s="105"/>
      <c r="GH211" s="105"/>
      <c r="GI211" s="105"/>
      <c r="GJ211" s="105"/>
      <c r="GK211" s="105"/>
      <c r="GL211" s="105"/>
      <c r="GM211" s="105"/>
      <c r="GN211" s="105"/>
      <c r="GO211" s="105"/>
      <c r="GP211" s="105"/>
      <c r="GQ211" s="105"/>
      <c r="GR211" s="105"/>
      <c r="GS211" s="105"/>
      <c r="GT211" s="105"/>
      <c r="GU211" s="105"/>
      <c r="GV211" s="105"/>
      <c r="GW211" s="105"/>
      <c r="GX211" s="105"/>
      <c r="GY211" s="105"/>
      <c r="GZ211" s="105"/>
      <c r="HA211" s="105"/>
      <c r="HB211" s="105"/>
      <c r="HC211" s="105"/>
      <c r="HD211" s="105"/>
      <c r="HE211" s="105"/>
      <c r="HF211" s="105"/>
      <c r="HG211" s="105"/>
      <c r="HH211" s="105"/>
      <c r="HI211" s="105"/>
      <c r="HJ211" s="105"/>
      <c r="HK211" s="105"/>
      <c r="HL211" s="105"/>
      <c r="HM211" s="105"/>
      <c r="HN211" s="105"/>
      <c r="HO211" s="105"/>
      <c r="HP211" s="105"/>
      <c r="HQ211" s="105"/>
      <c r="HR211" s="105"/>
      <c r="HS211" s="105"/>
      <c r="HT211" s="105"/>
      <c r="HU211" s="105"/>
      <c r="HV211" s="105"/>
      <c r="HW211" s="105"/>
      <c r="HX211" s="105"/>
      <c r="HY211" s="105"/>
      <c r="HZ211" s="105"/>
      <c r="IA211" s="105"/>
      <c r="IB211" s="105"/>
      <c r="IC211" s="105"/>
      <c r="ID211" s="105"/>
      <c r="IE211" s="105"/>
      <c r="IF211" s="105"/>
      <c r="IG211" s="105"/>
      <c r="IH211" s="105"/>
      <c r="II211" s="105"/>
      <c r="IJ211" s="105"/>
      <c r="IK211" s="105"/>
      <c r="IL211" s="105"/>
      <c r="IM211" s="105"/>
      <c r="IN211" s="105"/>
      <c r="IO211" s="105"/>
      <c r="IP211" s="105"/>
      <c r="IQ211" s="105"/>
      <c r="IR211" s="105"/>
      <c r="IS211" s="105"/>
    </row>
    <row r="212" spans="1:253">
      <c r="A212" s="116"/>
      <c r="B212" s="105"/>
      <c r="C212" s="116"/>
      <c r="D212" s="116"/>
      <c r="E212" s="116"/>
      <c r="F212" s="116"/>
      <c r="G212" s="116"/>
      <c r="H212" s="116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  <c r="BO212" s="105"/>
      <c r="BP212" s="105"/>
      <c r="BQ212" s="105"/>
      <c r="BR212" s="105"/>
      <c r="BS212" s="105"/>
      <c r="BT212" s="105"/>
      <c r="BU212" s="105"/>
      <c r="BV212" s="105"/>
      <c r="BW212" s="105"/>
      <c r="BX212" s="105"/>
      <c r="BY212" s="105"/>
      <c r="BZ212" s="105"/>
      <c r="CA212" s="105"/>
      <c r="CB212" s="105"/>
      <c r="CC212" s="105"/>
      <c r="CD212" s="105"/>
      <c r="CE212" s="105"/>
      <c r="CF212" s="105"/>
      <c r="CG212" s="105"/>
      <c r="CH212" s="105"/>
      <c r="CI212" s="105"/>
      <c r="CJ212" s="105"/>
      <c r="CK212" s="105"/>
      <c r="CL212" s="105"/>
      <c r="CM212" s="105"/>
      <c r="CN212" s="105"/>
      <c r="CO212" s="105"/>
      <c r="CP212" s="105"/>
      <c r="CQ212" s="105"/>
      <c r="CR212" s="105"/>
      <c r="CS212" s="105"/>
      <c r="CT212" s="105"/>
      <c r="CU212" s="105"/>
      <c r="CV212" s="105"/>
      <c r="CW212" s="105"/>
      <c r="CX212" s="105"/>
      <c r="CY212" s="105"/>
      <c r="CZ212" s="105"/>
      <c r="DA212" s="105"/>
      <c r="DB212" s="105"/>
      <c r="DC212" s="105"/>
      <c r="DD212" s="105"/>
      <c r="DE212" s="105"/>
      <c r="DF212" s="105"/>
      <c r="DG212" s="105"/>
      <c r="DH212" s="105"/>
      <c r="DI212" s="105"/>
      <c r="DJ212" s="105"/>
      <c r="DK212" s="105"/>
      <c r="DL212" s="105"/>
      <c r="DM212" s="105"/>
      <c r="DN212" s="105"/>
      <c r="DO212" s="105"/>
      <c r="DP212" s="105"/>
      <c r="DQ212" s="105"/>
      <c r="DR212" s="105"/>
      <c r="DS212" s="105"/>
      <c r="DT212" s="105"/>
      <c r="DU212" s="105"/>
      <c r="DV212" s="105"/>
      <c r="DW212" s="105"/>
      <c r="DX212" s="105"/>
      <c r="DY212" s="105"/>
      <c r="DZ212" s="105"/>
      <c r="EA212" s="105"/>
      <c r="EB212" s="105"/>
      <c r="EC212" s="105"/>
      <c r="ED212" s="105"/>
      <c r="EE212" s="105"/>
      <c r="EF212" s="105"/>
      <c r="EG212" s="105"/>
      <c r="EH212" s="105"/>
      <c r="EI212" s="105"/>
      <c r="EJ212" s="105"/>
      <c r="EK212" s="105"/>
      <c r="EL212" s="105"/>
      <c r="EM212" s="105"/>
      <c r="EN212" s="105"/>
      <c r="EO212" s="105"/>
      <c r="EP212" s="105"/>
      <c r="EQ212" s="105"/>
      <c r="ER212" s="105"/>
      <c r="ES212" s="105"/>
      <c r="ET212" s="105"/>
      <c r="EU212" s="105"/>
      <c r="EV212" s="105"/>
      <c r="EW212" s="105"/>
      <c r="EX212" s="105"/>
      <c r="EY212" s="105"/>
      <c r="EZ212" s="105"/>
      <c r="FA212" s="105"/>
      <c r="FB212" s="105"/>
      <c r="FC212" s="105"/>
      <c r="FD212" s="105"/>
      <c r="FE212" s="105"/>
      <c r="FF212" s="105"/>
      <c r="FG212" s="105"/>
      <c r="FH212" s="105"/>
      <c r="FI212" s="105"/>
      <c r="FJ212" s="105"/>
      <c r="FK212" s="105"/>
      <c r="FL212" s="105"/>
      <c r="FM212" s="105"/>
      <c r="FN212" s="105"/>
      <c r="FO212" s="105"/>
      <c r="FP212" s="105"/>
      <c r="FQ212" s="105"/>
      <c r="FR212" s="105"/>
      <c r="FS212" s="105"/>
      <c r="FT212" s="105"/>
      <c r="FU212" s="105"/>
      <c r="FV212" s="105"/>
      <c r="FW212" s="105"/>
      <c r="FX212" s="105"/>
      <c r="FY212" s="105"/>
      <c r="FZ212" s="105"/>
      <c r="GA212" s="105"/>
      <c r="GB212" s="105"/>
      <c r="GC212" s="105"/>
      <c r="GD212" s="105"/>
      <c r="GE212" s="105"/>
      <c r="GF212" s="105"/>
      <c r="GG212" s="105"/>
      <c r="GH212" s="105"/>
      <c r="GI212" s="105"/>
      <c r="GJ212" s="105"/>
      <c r="GK212" s="105"/>
      <c r="GL212" s="105"/>
      <c r="GM212" s="105"/>
      <c r="GN212" s="105"/>
      <c r="GO212" s="105"/>
      <c r="GP212" s="105"/>
      <c r="GQ212" s="105"/>
      <c r="GR212" s="105"/>
      <c r="GS212" s="105"/>
      <c r="GT212" s="105"/>
      <c r="GU212" s="105"/>
      <c r="GV212" s="105"/>
      <c r="GW212" s="105"/>
      <c r="GX212" s="105"/>
      <c r="GY212" s="105"/>
      <c r="GZ212" s="105"/>
      <c r="HA212" s="105"/>
      <c r="HB212" s="105"/>
      <c r="HC212" s="105"/>
      <c r="HD212" s="105"/>
      <c r="HE212" s="105"/>
      <c r="HF212" s="105"/>
      <c r="HG212" s="105"/>
      <c r="HH212" s="105"/>
      <c r="HI212" s="105"/>
      <c r="HJ212" s="105"/>
      <c r="HK212" s="105"/>
      <c r="HL212" s="105"/>
      <c r="HM212" s="105"/>
      <c r="HN212" s="105"/>
      <c r="HO212" s="105"/>
      <c r="HP212" s="105"/>
      <c r="HQ212" s="105"/>
      <c r="HR212" s="105"/>
      <c r="HS212" s="105"/>
      <c r="HT212" s="105"/>
      <c r="HU212" s="105"/>
      <c r="HV212" s="105"/>
      <c r="HW212" s="105"/>
      <c r="HX212" s="105"/>
      <c r="HY212" s="105"/>
      <c r="HZ212" s="105"/>
      <c r="IA212" s="105"/>
      <c r="IB212" s="105"/>
      <c r="IC212" s="105"/>
      <c r="ID212" s="105"/>
      <c r="IE212" s="105"/>
      <c r="IF212" s="105"/>
      <c r="IG212" s="105"/>
      <c r="IH212" s="105"/>
      <c r="II212" s="105"/>
      <c r="IJ212" s="105"/>
      <c r="IK212" s="105"/>
      <c r="IL212" s="105"/>
      <c r="IM212" s="105"/>
      <c r="IN212" s="105"/>
      <c r="IO212" s="105"/>
      <c r="IP212" s="105"/>
      <c r="IQ212" s="105"/>
      <c r="IR212" s="105"/>
      <c r="IS212" s="105"/>
    </row>
    <row r="213" spans="1:253">
      <c r="A213" s="116"/>
      <c r="B213" s="105"/>
      <c r="C213" s="116"/>
      <c r="D213" s="116"/>
      <c r="E213" s="116"/>
      <c r="F213" s="116"/>
      <c r="G213" s="116"/>
      <c r="H213" s="116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  <c r="BO213" s="105"/>
      <c r="BP213" s="105"/>
      <c r="BQ213" s="105"/>
      <c r="BR213" s="105"/>
      <c r="BS213" s="105"/>
      <c r="BT213" s="105"/>
      <c r="BU213" s="105"/>
      <c r="BV213" s="105"/>
      <c r="BW213" s="105"/>
      <c r="BX213" s="105"/>
      <c r="BY213" s="105"/>
      <c r="BZ213" s="105"/>
      <c r="CA213" s="105"/>
      <c r="CB213" s="105"/>
      <c r="CC213" s="105"/>
      <c r="CD213" s="105"/>
      <c r="CE213" s="105"/>
      <c r="CF213" s="105"/>
      <c r="CG213" s="105"/>
      <c r="CH213" s="105"/>
      <c r="CI213" s="105"/>
      <c r="CJ213" s="105"/>
      <c r="CK213" s="105"/>
      <c r="CL213" s="105"/>
      <c r="CM213" s="105"/>
      <c r="CN213" s="105"/>
      <c r="CO213" s="105"/>
      <c r="CP213" s="105"/>
      <c r="CQ213" s="105"/>
      <c r="CR213" s="105"/>
      <c r="CS213" s="105"/>
      <c r="CT213" s="105"/>
      <c r="CU213" s="105"/>
      <c r="CV213" s="105"/>
      <c r="CW213" s="105"/>
      <c r="CX213" s="105"/>
      <c r="CY213" s="105"/>
      <c r="CZ213" s="105"/>
      <c r="DA213" s="105"/>
      <c r="DB213" s="105"/>
      <c r="DC213" s="105"/>
      <c r="DD213" s="105"/>
      <c r="DE213" s="105"/>
      <c r="DF213" s="105"/>
      <c r="DG213" s="105"/>
      <c r="DH213" s="105"/>
      <c r="DI213" s="105"/>
      <c r="DJ213" s="105"/>
      <c r="DK213" s="105"/>
      <c r="DL213" s="105"/>
      <c r="DM213" s="105"/>
      <c r="DN213" s="105"/>
      <c r="DO213" s="105"/>
      <c r="DP213" s="105"/>
      <c r="DQ213" s="105"/>
      <c r="DR213" s="105"/>
      <c r="DS213" s="105"/>
      <c r="DT213" s="105"/>
      <c r="DU213" s="105"/>
      <c r="DV213" s="105"/>
      <c r="DW213" s="105"/>
      <c r="DX213" s="105"/>
      <c r="DY213" s="105"/>
      <c r="DZ213" s="105"/>
      <c r="EA213" s="105"/>
      <c r="EB213" s="105"/>
      <c r="EC213" s="105"/>
      <c r="ED213" s="105"/>
      <c r="EE213" s="105"/>
      <c r="EF213" s="105"/>
      <c r="EG213" s="105"/>
      <c r="EH213" s="105"/>
      <c r="EI213" s="105"/>
      <c r="EJ213" s="105"/>
      <c r="EK213" s="105"/>
      <c r="EL213" s="105"/>
      <c r="EM213" s="105"/>
      <c r="EN213" s="105"/>
      <c r="EO213" s="105"/>
      <c r="EP213" s="105"/>
      <c r="EQ213" s="105"/>
      <c r="ER213" s="105"/>
      <c r="ES213" s="105"/>
      <c r="ET213" s="105"/>
      <c r="EU213" s="105"/>
      <c r="EV213" s="105"/>
      <c r="EW213" s="105"/>
      <c r="EX213" s="105"/>
      <c r="EY213" s="105"/>
      <c r="EZ213" s="105"/>
      <c r="FA213" s="105"/>
      <c r="FB213" s="105"/>
      <c r="FC213" s="105"/>
      <c r="FD213" s="105"/>
      <c r="FE213" s="105"/>
      <c r="FF213" s="105"/>
      <c r="FG213" s="105"/>
      <c r="FH213" s="105"/>
      <c r="FI213" s="105"/>
      <c r="FJ213" s="105"/>
      <c r="FK213" s="105"/>
      <c r="FL213" s="105"/>
      <c r="FM213" s="105"/>
      <c r="FN213" s="105"/>
      <c r="FO213" s="105"/>
      <c r="FP213" s="105"/>
      <c r="FQ213" s="105"/>
      <c r="FR213" s="105"/>
      <c r="FS213" s="105"/>
      <c r="FT213" s="105"/>
      <c r="FU213" s="105"/>
      <c r="FV213" s="105"/>
      <c r="FW213" s="105"/>
      <c r="FX213" s="105"/>
      <c r="FY213" s="105"/>
      <c r="FZ213" s="105"/>
      <c r="GA213" s="105"/>
      <c r="GB213" s="105"/>
      <c r="GC213" s="105"/>
      <c r="GD213" s="105"/>
      <c r="GE213" s="105"/>
      <c r="GF213" s="105"/>
      <c r="GG213" s="105"/>
      <c r="GH213" s="105"/>
      <c r="GI213" s="105"/>
      <c r="GJ213" s="105"/>
      <c r="GK213" s="105"/>
      <c r="GL213" s="105"/>
      <c r="GM213" s="105"/>
      <c r="GN213" s="105"/>
      <c r="GO213" s="105"/>
      <c r="GP213" s="105"/>
      <c r="GQ213" s="105"/>
      <c r="GR213" s="105"/>
      <c r="GS213" s="105"/>
      <c r="GT213" s="105"/>
      <c r="GU213" s="105"/>
      <c r="GV213" s="105"/>
      <c r="GW213" s="105"/>
      <c r="GX213" s="105"/>
      <c r="GY213" s="105"/>
      <c r="GZ213" s="105"/>
      <c r="HA213" s="105"/>
      <c r="HB213" s="105"/>
      <c r="HC213" s="105"/>
      <c r="HD213" s="105"/>
      <c r="HE213" s="105"/>
      <c r="HF213" s="105"/>
      <c r="HG213" s="105"/>
      <c r="HH213" s="105"/>
      <c r="HI213" s="105"/>
      <c r="HJ213" s="105"/>
      <c r="HK213" s="105"/>
      <c r="HL213" s="105"/>
      <c r="HM213" s="105"/>
      <c r="HN213" s="105"/>
      <c r="HO213" s="105"/>
      <c r="HP213" s="105"/>
      <c r="HQ213" s="105"/>
      <c r="HR213" s="105"/>
      <c r="HS213" s="105"/>
      <c r="HT213" s="105"/>
      <c r="HU213" s="105"/>
      <c r="HV213" s="105"/>
      <c r="HW213" s="105"/>
      <c r="HX213" s="105"/>
      <c r="HY213" s="105"/>
      <c r="HZ213" s="105"/>
      <c r="IA213" s="105"/>
      <c r="IB213" s="105"/>
      <c r="IC213" s="105"/>
      <c r="ID213" s="105"/>
      <c r="IE213" s="105"/>
      <c r="IF213" s="105"/>
      <c r="IG213" s="105"/>
      <c r="IH213" s="105"/>
      <c r="II213" s="105"/>
      <c r="IJ213" s="105"/>
      <c r="IK213" s="105"/>
      <c r="IL213" s="105"/>
      <c r="IM213" s="105"/>
      <c r="IN213" s="105"/>
      <c r="IO213" s="105"/>
      <c r="IP213" s="105"/>
      <c r="IQ213" s="105"/>
      <c r="IR213" s="105"/>
      <c r="IS213" s="105"/>
    </row>
    <row r="214" spans="1:253">
      <c r="A214" s="116"/>
      <c r="B214" s="105"/>
      <c r="C214" s="116"/>
      <c r="D214" s="116"/>
      <c r="E214" s="116"/>
      <c r="F214" s="116"/>
      <c r="G214" s="116"/>
      <c r="H214" s="116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  <c r="BO214" s="105"/>
      <c r="BP214" s="105"/>
      <c r="BQ214" s="105"/>
      <c r="BR214" s="105"/>
      <c r="BS214" s="105"/>
      <c r="BT214" s="105"/>
      <c r="BU214" s="105"/>
      <c r="BV214" s="105"/>
      <c r="BW214" s="105"/>
      <c r="BX214" s="105"/>
      <c r="BY214" s="105"/>
      <c r="BZ214" s="105"/>
      <c r="CA214" s="105"/>
      <c r="CB214" s="105"/>
      <c r="CC214" s="105"/>
      <c r="CD214" s="105"/>
      <c r="CE214" s="105"/>
      <c r="CF214" s="105"/>
      <c r="CG214" s="105"/>
      <c r="CH214" s="105"/>
      <c r="CI214" s="105"/>
      <c r="CJ214" s="105"/>
      <c r="CK214" s="105"/>
      <c r="CL214" s="105"/>
      <c r="CM214" s="105"/>
      <c r="CN214" s="105"/>
      <c r="CO214" s="105"/>
      <c r="CP214" s="105"/>
      <c r="CQ214" s="105"/>
      <c r="CR214" s="105"/>
      <c r="CS214" s="105"/>
      <c r="CT214" s="105"/>
      <c r="CU214" s="105"/>
      <c r="CV214" s="105"/>
      <c r="CW214" s="105"/>
      <c r="CX214" s="105"/>
      <c r="CY214" s="105"/>
      <c r="CZ214" s="105"/>
      <c r="DA214" s="105"/>
      <c r="DB214" s="105"/>
      <c r="DC214" s="105"/>
      <c r="DD214" s="105"/>
      <c r="DE214" s="105"/>
      <c r="DF214" s="105"/>
      <c r="DG214" s="105"/>
      <c r="DH214" s="105"/>
      <c r="DI214" s="105"/>
      <c r="DJ214" s="105"/>
      <c r="DK214" s="105"/>
      <c r="DL214" s="105"/>
      <c r="DM214" s="105"/>
      <c r="DN214" s="105"/>
      <c r="DO214" s="105"/>
      <c r="DP214" s="105"/>
      <c r="DQ214" s="105"/>
      <c r="DR214" s="105"/>
      <c r="DS214" s="105"/>
      <c r="DT214" s="105"/>
      <c r="DU214" s="105"/>
      <c r="DV214" s="105"/>
      <c r="DW214" s="105"/>
      <c r="DX214" s="105"/>
      <c r="DY214" s="105"/>
      <c r="DZ214" s="105"/>
      <c r="EA214" s="105"/>
      <c r="EB214" s="105"/>
      <c r="EC214" s="105"/>
      <c r="ED214" s="105"/>
      <c r="EE214" s="105"/>
      <c r="EF214" s="105"/>
      <c r="EG214" s="105"/>
      <c r="EH214" s="105"/>
      <c r="EI214" s="105"/>
      <c r="EJ214" s="105"/>
      <c r="EK214" s="105"/>
      <c r="EL214" s="105"/>
      <c r="EM214" s="105"/>
      <c r="EN214" s="105"/>
      <c r="EO214" s="105"/>
      <c r="EP214" s="105"/>
      <c r="EQ214" s="105"/>
      <c r="ER214" s="105"/>
      <c r="ES214" s="105"/>
      <c r="ET214" s="105"/>
      <c r="EU214" s="105"/>
      <c r="EV214" s="105"/>
      <c r="EW214" s="105"/>
      <c r="EX214" s="105"/>
      <c r="EY214" s="105"/>
      <c r="EZ214" s="105"/>
      <c r="FA214" s="105"/>
      <c r="FB214" s="105"/>
      <c r="FC214" s="105"/>
      <c r="FD214" s="105"/>
      <c r="FE214" s="105"/>
      <c r="FF214" s="105"/>
      <c r="FG214" s="105"/>
      <c r="FH214" s="105"/>
      <c r="FI214" s="105"/>
      <c r="FJ214" s="105"/>
      <c r="FK214" s="105"/>
      <c r="FL214" s="105"/>
      <c r="FM214" s="105"/>
      <c r="FN214" s="105"/>
      <c r="FO214" s="105"/>
      <c r="FP214" s="105"/>
      <c r="FQ214" s="105"/>
      <c r="FR214" s="105"/>
      <c r="FS214" s="105"/>
      <c r="FT214" s="105"/>
      <c r="FU214" s="105"/>
      <c r="FV214" s="105"/>
      <c r="FW214" s="105"/>
      <c r="FX214" s="105"/>
      <c r="FY214" s="105"/>
      <c r="FZ214" s="105"/>
      <c r="GA214" s="105"/>
      <c r="GB214" s="105"/>
      <c r="GC214" s="105"/>
      <c r="GD214" s="105"/>
      <c r="GE214" s="105"/>
      <c r="GF214" s="105"/>
      <c r="GG214" s="105"/>
      <c r="GH214" s="105"/>
      <c r="GI214" s="105"/>
      <c r="GJ214" s="105"/>
      <c r="GK214" s="105"/>
      <c r="GL214" s="105"/>
      <c r="GM214" s="105"/>
      <c r="GN214" s="105"/>
      <c r="GO214" s="105"/>
      <c r="GP214" s="105"/>
      <c r="GQ214" s="105"/>
      <c r="GR214" s="105"/>
      <c r="GS214" s="105"/>
      <c r="GT214" s="105"/>
      <c r="GU214" s="105"/>
      <c r="GV214" s="105"/>
      <c r="GW214" s="105"/>
      <c r="GX214" s="105"/>
      <c r="GY214" s="105"/>
      <c r="GZ214" s="105"/>
      <c r="HA214" s="105"/>
      <c r="HB214" s="105"/>
      <c r="HC214" s="105"/>
      <c r="HD214" s="105"/>
      <c r="HE214" s="105"/>
      <c r="HF214" s="105"/>
      <c r="HG214" s="105"/>
      <c r="HH214" s="105"/>
      <c r="HI214" s="105"/>
      <c r="HJ214" s="105"/>
      <c r="HK214" s="105"/>
      <c r="HL214" s="105"/>
      <c r="HM214" s="105"/>
      <c r="HN214" s="105"/>
      <c r="HO214" s="105"/>
      <c r="HP214" s="105"/>
      <c r="HQ214" s="105"/>
      <c r="HR214" s="105"/>
      <c r="HS214" s="105"/>
      <c r="HT214" s="105"/>
      <c r="HU214" s="105"/>
      <c r="HV214" s="105"/>
      <c r="HW214" s="105"/>
      <c r="HX214" s="105"/>
      <c r="HY214" s="105"/>
      <c r="HZ214" s="105"/>
      <c r="IA214" s="105"/>
      <c r="IB214" s="105"/>
      <c r="IC214" s="105"/>
      <c r="ID214" s="105"/>
      <c r="IE214" s="105"/>
      <c r="IF214" s="105"/>
      <c r="IG214" s="105"/>
      <c r="IH214" s="105"/>
      <c r="II214" s="105"/>
      <c r="IJ214" s="105"/>
      <c r="IK214" s="105"/>
      <c r="IL214" s="105"/>
      <c r="IM214" s="105"/>
      <c r="IN214" s="105"/>
      <c r="IO214" s="105"/>
      <c r="IP214" s="105"/>
      <c r="IQ214" s="105"/>
      <c r="IR214" s="105"/>
      <c r="IS214" s="105"/>
    </row>
    <row r="215" spans="1:253">
      <c r="A215" s="116"/>
      <c r="B215" s="105"/>
      <c r="C215" s="116"/>
      <c r="D215" s="116"/>
      <c r="E215" s="116"/>
      <c r="F215" s="116"/>
      <c r="G215" s="116"/>
      <c r="H215" s="116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  <c r="BO215" s="105"/>
      <c r="BP215" s="105"/>
      <c r="BQ215" s="105"/>
      <c r="BR215" s="105"/>
      <c r="BS215" s="105"/>
      <c r="BT215" s="105"/>
      <c r="BU215" s="105"/>
      <c r="BV215" s="105"/>
      <c r="BW215" s="105"/>
      <c r="BX215" s="105"/>
      <c r="BY215" s="105"/>
      <c r="BZ215" s="105"/>
      <c r="CA215" s="105"/>
      <c r="CB215" s="105"/>
      <c r="CC215" s="105"/>
      <c r="CD215" s="105"/>
      <c r="CE215" s="105"/>
      <c r="CF215" s="105"/>
      <c r="CG215" s="105"/>
      <c r="CH215" s="105"/>
      <c r="CI215" s="105"/>
      <c r="CJ215" s="105"/>
      <c r="CK215" s="105"/>
      <c r="CL215" s="105"/>
      <c r="CM215" s="105"/>
      <c r="CN215" s="105"/>
      <c r="CO215" s="105"/>
      <c r="CP215" s="105"/>
      <c r="CQ215" s="105"/>
      <c r="CR215" s="105"/>
      <c r="CS215" s="105"/>
      <c r="CT215" s="105"/>
      <c r="CU215" s="105"/>
      <c r="CV215" s="105"/>
      <c r="CW215" s="105"/>
      <c r="CX215" s="105"/>
      <c r="CY215" s="105"/>
      <c r="CZ215" s="105"/>
      <c r="DA215" s="105"/>
      <c r="DB215" s="105"/>
      <c r="DC215" s="105"/>
      <c r="DD215" s="105"/>
      <c r="DE215" s="105"/>
      <c r="DF215" s="105"/>
      <c r="DG215" s="105"/>
      <c r="DH215" s="105"/>
      <c r="DI215" s="105"/>
      <c r="DJ215" s="105"/>
      <c r="DK215" s="105"/>
      <c r="DL215" s="105"/>
      <c r="DM215" s="105"/>
      <c r="DN215" s="105"/>
      <c r="DO215" s="105"/>
      <c r="DP215" s="105"/>
      <c r="DQ215" s="105"/>
      <c r="DR215" s="105"/>
      <c r="DS215" s="105"/>
      <c r="DT215" s="105"/>
      <c r="DU215" s="105"/>
      <c r="DV215" s="105"/>
      <c r="DW215" s="105"/>
      <c r="DX215" s="105"/>
      <c r="DY215" s="105"/>
      <c r="DZ215" s="105"/>
      <c r="EA215" s="105"/>
      <c r="EB215" s="105"/>
      <c r="EC215" s="105"/>
      <c r="ED215" s="105"/>
      <c r="EE215" s="105"/>
      <c r="EF215" s="105"/>
      <c r="EG215" s="105"/>
      <c r="EH215" s="105"/>
      <c r="EI215" s="105"/>
      <c r="EJ215" s="105"/>
      <c r="EK215" s="105"/>
      <c r="EL215" s="105"/>
      <c r="EM215" s="105"/>
      <c r="EN215" s="105"/>
      <c r="EO215" s="105"/>
      <c r="EP215" s="105"/>
      <c r="EQ215" s="105"/>
      <c r="ER215" s="105"/>
      <c r="ES215" s="105"/>
      <c r="ET215" s="105"/>
      <c r="EU215" s="105"/>
      <c r="EV215" s="105"/>
      <c r="EW215" s="105"/>
      <c r="EX215" s="105"/>
      <c r="EY215" s="105"/>
      <c r="EZ215" s="105"/>
      <c r="FA215" s="105"/>
      <c r="FB215" s="105"/>
      <c r="FC215" s="105"/>
      <c r="FD215" s="105"/>
      <c r="FE215" s="105"/>
      <c r="FF215" s="105"/>
      <c r="FG215" s="105"/>
      <c r="FH215" s="105"/>
      <c r="FI215" s="105"/>
      <c r="FJ215" s="105"/>
      <c r="FK215" s="105"/>
      <c r="FL215" s="105"/>
      <c r="FM215" s="105"/>
      <c r="FN215" s="105"/>
      <c r="FO215" s="105"/>
      <c r="FP215" s="105"/>
      <c r="FQ215" s="105"/>
      <c r="FR215" s="105"/>
      <c r="FS215" s="105"/>
      <c r="FT215" s="105"/>
      <c r="FU215" s="105"/>
      <c r="FV215" s="105"/>
      <c r="FW215" s="105"/>
      <c r="FX215" s="105"/>
      <c r="FY215" s="105"/>
      <c r="FZ215" s="105"/>
      <c r="GA215" s="105"/>
      <c r="GB215" s="105"/>
      <c r="GC215" s="105"/>
      <c r="GD215" s="105"/>
      <c r="GE215" s="105"/>
      <c r="GF215" s="105"/>
      <c r="GG215" s="105"/>
      <c r="GH215" s="105"/>
      <c r="GI215" s="105"/>
      <c r="GJ215" s="105"/>
      <c r="GK215" s="105"/>
      <c r="GL215" s="105"/>
      <c r="GM215" s="105"/>
      <c r="GN215" s="105"/>
      <c r="GO215" s="105"/>
      <c r="GP215" s="105"/>
      <c r="GQ215" s="105"/>
      <c r="GR215" s="105"/>
      <c r="GS215" s="105"/>
      <c r="GT215" s="105"/>
      <c r="GU215" s="105"/>
      <c r="GV215" s="105"/>
      <c r="GW215" s="105"/>
      <c r="GX215" s="105"/>
      <c r="GY215" s="105"/>
      <c r="GZ215" s="105"/>
      <c r="HA215" s="105"/>
      <c r="HB215" s="105"/>
      <c r="HC215" s="105"/>
      <c r="HD215" s="105"/>
      <c r="HE215" s="105"/>
      <c r="HF215" s="105"/>
      <c r="HG215" s="105"/>
      <c r="HH215" s="105"/>
      <c r="HI215" s="105"/>
      <c r="HJ215" s="105"/>
      <c r="HK215" s="105"/>
      <c r="HL215" s="105"/>
      <c r="HM215" s="105"/>
      <c r="HN215" s="105"/>
      <c r="HO215" s="105"/>
      <c r="HP215" s="105"/>
      <c r="HQ215" s="105"/>
      <c r="HR215" s="105"/>
      <c r="HS215" s="105"/>
      <c r="HT215" s="105"/>
      <c r="HU215" s="105"/>
      <c r="HV215" s="105"/>
      <c r="HW215" s="105"/>
      <c r="HX215" s="105"/>
      <c r="HY215" s="105"/>
      <c r="HZ215" s="105"/>
      <c r="IA215" s="105"/>
      <c r="IB215" s="105"/>
      <c r="IC215" s="105"/>
      <c r="ID215" s="105"/>
      <c r="IE215" s="105"/>
      <c r="IF215" s="105"/>
      <c r="IG215" s="105"/>
      <c r="IH215" s="105"/>
      <c r="II215" s="105"/>
      <c r="IJ215" s="105"/>
      <c r="IK215" s="105"/>
      <c r="IL215" s="105"/>
      <c r="IM215" s="105"/>
      <c r="IN215" s="105"/>
      <c r="IO215" s="105"/>
      <c r="IP215" s="105"/>
      <c r="IQ215" s="105"/>
      <c r="IR215" s="105"/>
      <c r="IS215" s="105"/>
    </row>
    <row r="216" spans="1:253">
      <c r="A216" s="116"/>
      <c r="B216" s="105"/>
      <c r="C216" s="116"/>
      <c r="D216" s="116"/>
      <c r="E216" s="116"/>
      <c r="F216" s="116"/>
      <c r="G216" s="116"/>
      <c r="H216" s="116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  <c r="BO216" s="105"/>
      <c r="BP216" s="105"/>
      <c r="BQ216" s="105"/>
      <c r="BR216" s="105"/>
      <c r="BS216" s="105"/>
      <c r="BT216" s="105"/>
      <c r="BU216" s="105"/>
      <c r="BV216" s="105"/>
      <c r="BW216" s="105"/>
      <c r="BX216" s="105"/>
      <c r="BY216" s="105"/>
      <c r="BZ216" s="105"/>
      <c r="CA216" s="105"/>
      <c r="CB216" s="105"/>
      <c r="CC216" s="105"/>
      <c r="CD216" s="105"/>
      <c r="CE216" s="105"/>
      <c r="CF216" s="105"/>
      <c r="CG216" s="105"/>
      <c r="CH216" s="105"/>
      <c r="CI216" s="105"/>
      <c r="CJ216" s="105"/>
      <c r="CK216" s="105"/>
      <c r="CL216" s="105"/>
      <c r="CM216" s="105"/>
      <c r="CN216" s="105"/>
      <c r="CO216" s="105"/>
      <c r="CP216" s="105"/>
      <c r="CQ216" s="105"/>
      <c r="CR216" s="105"/>
      <c r="CS216" s="105"/>
      <c r="CT216" s="105"/>
      <c r="CU216" s="105"/>
      <c r="CV216" s="105"/>
      <c r="CW216" s="105"/>
      <c r="CX216" s="105"/>
      <c r="CY216" s="105"/>
      <c r="CZ216" s="105"/>
      <c r="DA216" s="105"/>
      <c r="DB216" s="105"/>
      <c r="DC216" s="105"/>
      <c r="DD216" s="105"/>
      <c r="DE216" s="105"/>
      <c r="DF216" s="105"/>
      <c r="DG216" s="105"/>
      <c r="DH216" s="105"/>
      <c r="DI216" s="105"/>
      <c r="DJ216" s="105"/>
      <c r="DK216" s="105"/>
      <c r="DL216" s="105"/>
      <c r="DM216" s="105"/>
      <c r="DN216" s="105"/>
      <c r="DO216" s="105"/>
      <c r="DP216" s="105"/>
      <c r="DQ216" s="105"/>
      <c r="DR216" s="105"/>
      <c r="DS216" s="105"/>
      <c r="DT216" s="105"/>
      <c r="DU216" s="105"/>
      <c r="DV216" s="105"/>
      <c r="DW216" s="105"/>
      <c r="DX216" s="105"/>
      <c r="DY216" s="105"/>
      <c r="DZ216" s="105"/>
      <c r="EA216" s="105"/>
      <c r="EB216" s="105"/>
      <c r="EC216" s="105"/>
      <c r="ED216" s="105"/>
      <c r="EE216" s="105"/>
      <c r="EF216" s="105"/>
      <c r="EG216" s="105"/>
      <c r="EH216" s="105"/>
      <c r="EI216" s="105"/>
      <c r="EJ216" s="105"/>
      <c r="EK216" s="105"/>
      <c r="EL216" s="105"/>
      <c r="EM216" s="105"/>
      <c r="EN216" s="105"/>
      <c r="EO216" s="105"/>
      <c r="EP216" s="105"/>
      <c r="EQ216" s="105"/>
      <c r="ER216" s="105"/>
      <c r="ES216" s="105"/>
      <c r="ET216" s="105"/>
      <c r="EU216" s="105"/>
      <c r="EV216" s="105"/>
      <c r="EW216" s="105"/>
      <c r="EX216" s="105"/>
      <c r="EY216" s="105"/>
      <c r="EZ216" s="105"/>
      <c r="FA216" s="105"/>
      <c r="FB216" s="105"/>
      <c r="FC216" s="105"/>
      <c r="FD216" s="105"/>
      <c r="FE216" s="105"/>
      <c r="FF216" s="105"/>
      <c r="FG216" s="105"/>
      <c r="FH216" s="105"/>
      <c r="FI216" s="105"/>
      <c r="FJ216" s="105"/>
      <c r="FK216" s="105"/>
      <c r="FL216" s="105"/>
      <c r="FM216" s="105"/>
      <c r="FN216" s="105"/>
      <c r="FO216" s="105"/>
      <c r="FP216" s="105"/>
      <c r="FQ216" s="105"/>
      <c r="FR216" s="105"/>
      <c r="FS216" s="105"/>
      <c r="FT216" s="105"/>
      <c r="FU216" s="105"/>
      <c r="FV216" s="105"/>
      <c r="FW216" s="105"/>
      <c r="FX216" s="105"/>
      <c r="FY216" s="105"/>
      <c r="FZ216" s="105"/>
      <c r="GA216" s="105"/>
      <c r="GB216" s="105"/>
      <c r="GC216" s="105"/>
      <c r="GD216" s="105"/>
      <c r="GE216" s="105"/>
      <c r="GF216" s="105"/>
      <c r="GG216" s="105"/>
      <c r="GH216" s="105"/>
      <c r="GI216" s="105"/>
      <c r="GJ216" s="105"/>
      <c r="GK216" s="105"/>
      <c r="GL216" s="105"/>
      <c r="GM216" s="105"/>
      <c r="GN216" s="105"/>
      <c r="GO216" s="105"/>
      <c r="GP216" s="105"/>
      <c r="GQ216" s="105"/>
      <c r="GR216" s="105"/>
      <c r="GS216" s="105"/>
      <c r="GT216" s="105"/>
      <c r="GU216" s="105"/>
      <c r="GV216" s="105"/>
      <c r="GW216" s="105"/>
      <c r="GX216" s="105"/>
      <c r="GY216" s="105"/>
      <c r="GZ216" s="105"/>
      <c r="HA216" s="105"/>
      <c r="HB216" s="105"/>
      <c r="HC216" s="105"/>
      <c r="HD216" s="105"/>
      <c r="HE216" s="105"/>
      <c r="HF216" s="105"/>
      <c r="HG216" s="105"/>
      <c r="HH216" s="105"/>
      <c r="HI216" s="105"/>
      <c r="HJ216" s="105"/>
      <c r="HK216" s="105"/>
      <c r="HL216" s="105"/>
      <c r="HM216" s="105"/>
      <c r="HN216" s="105"/>
      <c r="HO216" s="105"/>
      <c r="HP216" s="105"/>
      <c r="HQ216" s="105"/>
      <c r="HR216" s="105"/>
      <c r="HS216" s="105"/>
      <c r="HT216" s="105"/>
      <c r="HU216" s="105"/>
      <c r="HV216" s="105"/>
      <c r="HW216" s="105"/>
      <c r="HX216" s="105"/>
      <c r="HY216" s="105"/>
      <c r="HZ216" s="105"/>
      <c r="IA216" s="105"/>
      <c r="IB216" s="105"/>
      <c r="IC216" s="105"/>
      <c r="ID216" s="105"/>
      <c r="IE216" s="105"/>
      <c r="IF216" s="105"/>
      <c r="IG216" s="105"/>
      <c r="IH216" s="105"/>
      <c r="II216" s="105"/>
      <c r="IJ216" s="105"/>
      <c r="IK216" s="105"/>
      <c r="IL216" s="105"/>
      <c r="IM216" s="105"/>
      <c r="IN216" s="105"/>
      <c r="IO216" s="105"/>
      <c r="IP216" s="105"/>
      <c r="IQ216" s="105"/>
      <c r="IR216" s="105"/>
      <c r="IS216" s="105"/>
    </row>
    <row r="217" spans="1:253">
      <c r="A217" s="116"/>
      <c r="B217" s="105"/>
      <c r="C217" s="116"/>
      <c r="D217" s="116"/>
      <c r="E217" s="116"/>
      <c r="F217" s="116"/>
      <c r="G217" s="116"/>
      <c r="H217" s="116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105"/>
      <c r="BX217" s="105"/>
      <c r="BY217" s="105"/>
      <c r="BZ217" s="105"/>
      <c r="CA217" s="105"/>
      <c r="CB217" s="105"/>
      <c r="CC217" s="105"/>
      <c r="CD217" s="105"/>
      <c r="CE217" s="105"/>
      <c r="CF217" s="105"/>
      <c r="CG217" s="105"/>
      <c r="CH217" s="105"/>
      <c r="CI217" s="105"/>
      <c r="CJ217" s="105"/>
      <c r="CK217" s="105"/>
      <c r="CL217" s="105"/>
      <c r="CM217" s="105"/>
      <c r="CN217" s="105"/>
      <c r="CO217" s="105"/>
      <c r="CP217" s="105"/>
      <c r="CQ217" s="105"/>
      <c r="CR217" s="105"/>
      <c r="CS217" s="105"/>
      <c r="CT217" s="105"/>
      <c r="CU217" s="105"/>
      <c r="CV217" s="105"/>
      <c r="CW217" s="105"/>
      <c r="CX217" s="105"/>
      <c r="CY217" s="105"/>
      <c r="CZ217" s="105"/>
      <c r="DA217" s="105"/>
      <c r="DB217" s="105"/>
      <c r="DC217" s="105"/>
      <c r="DD217" s="105"/>
      <c r="DE217" s="105"/>
      <c r="DF217" s="105"/>
      <c r="DG217" s="105"/>
      <c r="DH217" s="105"/>
      <c r="DI217" s="105"/>
      <c r="DJ217" s="105"/>
      <c r="DK217" s="105"/>
      <c r="DL217" s="105"/>
      <c r="DM217" s="105"/>
      <c r="DN217" s="105"/>
      <c r="DO217" s="105"/>
      <c r="DP217" s="105"/>
      <c r="DQ217" s="105"/>
      <c r="DR217" s="105"/>
      <c r="DS217" s="105"/>
      <c r="DT217" s="105"/>
      <c r="DU217" s="105"/>
      <c r="DV217" s="105"/>
      <c r="DW217" s="105"/>
      <c r="DX217" s="105"/>
      <c r="DY217" s="105"/>
      <c r="DZ217" s="105"/>
      <c r="EA217" s="105"/>
      <c r="EB217" s="105"/>
      <c r="EC217" s="105"/>
      <c r="ED217" s="105"/>
      <c r="EE217" s="105"/>
      <c r="EF217" s="105"/>
      <c r="EG217" s="105"/>
      <c r="EH217" s="105"/>
      <c r="EI217" s="105"/>
      <c r="EJ217" s="105"/>
      <c r="EK217" s="105"/>
      <c r="EL217" s="105"/>
      <c r="EM217" s="105"/>
      <c r="EN217" s="105"/>
      <c r="EO217" s="105"/>
      <c r="EP217" s="105"/>
      <c r="EQ217" s="105"/>
      <c r="ER217" s="105"/>
      <c r="ES217" s="105"/>
      <c r="ET217" s="105"/>
      <c r="EU217" s="105"/>
      <c r="EV217" s="105"/>
      <c r="EW217" s="105"/>
      <c r="EX217" s="105"/>
      <c r="EY217" s="105"/>
      <c r="EZ217" s="105"/>
      <c r="FA217" s="105"/>
      <c r="FB217" s="105"/>
      <c r="FC217" s="105"/>
      <c r="FD217" s="105"/>
      <c r="FE217" s="105"/>
      <c r="FF217" s="105"/>
      <c r="FG217" s="105"/>
      <c r="FH217" s="105"/>
      <c r="FI217" s="105"/>
      <c r="FJ217" s="105"/>
      <c r="FK217" s="105"/>
      <c r="FL217" s="105"/>
      <c r="FM217" s="105"/>
      <c r="FN217" s="105"/>
      <c r="FO217" s="105"/>
      <c r="FP217" s="105"/>
      <c r="FQ217" s="105"/>
      <c r="FR217" s="105"/>
      <c r="FS217" s="105"/>
      <c r="FT217" s="105"/>
      <c r="FU217" s="105"/>
      <c r="FV217" s="105"/>
      <c r="FW217" s="105"/>
      <c r="FX217" s="105"/>
      <c r="FY217" s="105"/>
      <c r="FZ217" s="105"/>
      <c r="GA217" s="105"/>
      <c r="GB217" s="105"/>
      <c r="GC217" s="105"/>
      <c r="GD217" s="105"/>
      <c r="GE217" s="105"/>
      <c r="GF217" s="105"/>
      <c r="GG217" s="105"/>
      <c r="GH217" s="105"/>
      <c r="GI217" s="105"/>
      <c r="GJ217" s="105"/>
      <c r="GK217" s="105"/>
      <c r="GL217" s="105"/>
      <c r="GM217" s="105"/>
      <c r="GN217" s="105"/>
      <c r="GO217" s="105"/>
      <c r="GP217" s="105"/>
      <c r="GQ217" s="105"/>
      <c r="GR217" s="105"/>
      <c r="GS217" s="105"/>
      <c r="GT217" s="105"/>
      <c r="GU217" s="105"/>
      <c r="GV217" s="105"/>
      <c r="GW217" s="105"/>
      <c r="GX217" s="105"/>
      <c r="GY217" s="105"/>
      <c r="GZ217" s="105"/>
      <c r="HA217" s="105"/>
      <c r="HB217" s="105"/>
      <c r="HC217" s="105"/>
      <c r="HD217" s="105"/>
      <c r="HE217" s="105"/>
      <c r="HF217" s="105"/>
      <c r="HG217" s="105"/>
      <c r="HH217" s="105"/>
      <c r="HI217" s="105"/>
      <c r="HJ217" s="105"/>
      <c r="HK217" s="105"/>
      <c r="HL217" s="105"/>
      <c r="HM217" s="105"/>
      <c r="HN217" s="105"/>
      <c r="HO217" s="105"/>
      <c r="HP217" s="105"/>
      <c r="HQ217" s="105"/>
      <c r="HR217" s="105"/>
      <c r="HS217" s="105"/>
      <c r="HT217" s="105"/>
      <c r="HU217" s="105"/>
      <c r="HV217" s="105"/>
      <c r="HW217" s="105"/>
      <c r="HX217" s="105"/>
      <c r="HY217" s="105"/>
      <c r="HZ217" s="105"/>
      <c r="IA217" s="105"/>
      <c r="IB217" s="105"/>
      <c r="IC217" s="105"/>
      <c r="ID217" s="105"/>
      <c r="IE217" s="105"/>
      <c r="IF217" s="105"/>
      <c r="IG217" s="105"/>
      <c r="IH217" s="105"/>
      <c r="II217" s="105"/>
      <c r="IJ217" s="105"/>
      <c r="IK217" s="105"/>
      <c r="IL217" s="105"/>
      <c r="IM217" s="105"/>
      <c r="IN217" s="105"/>
      <c r="IO217" s="105"/>
      <c r="IP217" s="105"/>
      <c r="IQ217" s="105"/>
      <c r="IR217" s="105"/>
      <c r="IS217" s="105"/>
    </row>
    <row r="218" spans="1:253">
      <c r="A218" s="116"/>
      <c r="B218" s="105"/>
      <c r="C218" s="116"/>
      <c r="D218" s="116"/>
      <c r="E218" s="116"/>
      <c r="F218" s="116"/>
      <c r="G218" s="116"/>
      <c r="H218" s="116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5"/>
      <c r="BN218" s="105"/>
      <c r="BO218" s="105"/>
      <c r="BP218" s="105"/>
      <c r="BQ218" s="105"/>
      <c r="BR218" s="105"/>
      <c r="BS218" s="105"/>
      <c r="BT218" s="105"/>
      <c r="BU218" s="105"/>
      <c r="BV218" s="105"/>
      <c r="BW218" s="105"/>
      <c r="BX218" s="105"/>
      <c r="BY218" s="105"/>
      <c r="BZ218" s="105"/>
      <c r="CA218" s="105"/>
      <c r="CB218" s="105"/>
      <c r="CC218" s="105"/>
      <c r="CD218" s="105"/>
      <c r="CE218" s="105"/>
      <c r="CF218" s="105"/>
      <c r="CG218" s="105"/>
      <c r="CH218" s="105"/>
      <c r="CI218" s="105"/>
      <c r="CJ218" s="105"/>
      <c r="CK218" s="105"/>
      <c r="CL218" s="105"/>
      <c r="CM218" s="105"/>
      <c r="CN218" s="105"/>
      <c r="CO218" s="105"/>
      <c r="CP218" s="105"/>
      <c r="CQ218" s="105"/>
      <c r="CR218" s="105"/>
      <c r="CS218" s="105"/>
      <c r="CT218" s="105"/>
      <c r="CU218" s="105"/>
      <c r="CV218" s="105"/>
      <c r="CW218" s="105"/>
      <c r="CX218" s="105"/>
      <c r="CY218" s="105"/>
      <c r="CZ218" s="105"/>
      <c r="DA218" s="105"/>
      <c r="DB218" s="105"/>
      <c r="DC218" s="105"/>
      <c r="DD218" s="105"/>
      <c r="DE218" s="105"/>
      <c r="DF218" s="105"/>
      <c r="DG218" s="105"/>
      <c r="DH218" s="105"/>
      <c r="DI218" s="105"/>
      <c r="DJ218" s="105"/>
      <c r="DK218" s="105"/>
      <c r="DL218" s="105"/>
      <c r="DM218" s="105"/>
      <c r="DN218" s="105"/>
      <c r="DO218" s="105"/>
      <c r="DP218" s="105"/>
      <c r="DQ218" s="105"/>
      <c r="DR218" s="105"/>
      <c r="DS218" s="105"/>
      <c r="DT218" s="105"/>
      <c r="DU218" s="105"/>
      <c r="DV218" s="105"/>
      <c r="DW218" s="105"/>
      <c r="DX218" s="105"/>
      <c r="DY218" s="105"/>
      <c r="DZ218" s="105"/>
      <c r="EA218" s="105"/>
      <c r="EB218" s="105"/>
      <c r="EC218" s="105"/>
      <c r="ED218" s="105"/>
      <c r="EE218" s="105"/>
      <c r="EF218" s="105"/>
      <c r="EG218" s="105"/>
      <c r="EH218" s="105"/>
      <c r="EI218" s="105"/>
      <c r="EJ218" s="105"/>
      <c r="EK218" s="105"/>
      <c r="EL218" s="105"/>
      <c r="EM218" s="105"/>
      <c r="EN218" s="105"/>
      <c r="EO218" s="105"/>
      <c r="EP218" s="105"/>
      <c r="EQ218" s="105"/>
      <c r="ER218" s="105"/>
      <c r="ES218" s="105"/>
      <c r="ET218" s="105"/>
      <c r="EU218" s="105"/>
      <c r="EV218" s="105"/>
      <c r="EW218" s="105"/>
      <c r="EX218" s="105"/>
      <c r="EY218" s="105"/>
      <c r="EZ218" s="105"/>
      <c r="FA218" s="105"/>
      <c r="FB218" s="105"/>
      <c r="FC218" s="105"/>
      <c r="FD218" s="105"/>
      <c r="FE218" s="105"/>
      <c r="FF218" s="105"/>
      <c r="FG218" s="105"/>
      <c r="FH218" s="105"/>
      <c r="FI218" s="105"/>
      <c r="FJ218" s="105"/>
      <c r="FK218" s="105"/>
      <c r="FL218" s="105"/>
      <c r="FM218" s="105"/>
      <c r="FN218" s="105"/>
      <c r="FO218" s="105"/>
      <c r="FP218" s="105"/>
      <c r="FQ218" s="105"/>
      <c r="FR218" s="105"/>
      <c r="FS218" s="105"/>
      <c r="FT218" s="105"/>
      <c r="FU218" s="105"/>
      <c r="FV218" s="105"/>
      <c r="FW218" s="105"/>
      <c r="FX218" s="105"/>
      <c r="FY218" s="105"/>
      <c r="FZ218" s="105"/>
      <c r="GA218" s="105"/>
      <c r="GB218" s="105"/>
      <c r="GC218" s="105"/>
      <c r="GD218" s="105"/>
      <c r="GE218" s="105"/>
      <c r="GF218" s="105"/>
      <c r="GG218" s="105"/>
      <c r="GH218" s="105"/>
      <c r="GI218" s="105"/>
      <c r="GJ218" s="105"/>
      <c r="GK218" s="105"/>
      <c r="GL218" s="105"/>
      <c r="GM218" s="105"/>
      <c r="GN218" s="105"/>
      <c r="GO218" s="105"/>
      <c r="GP218" s="105"/>
      <c r="GQ218" s="105"/>
      <c r="GR218" s="105"/>
      <c r="GS218" s="105"/>
      <c r="GT218" s="105"/>
      <c r="GU218" s="105"/>
      <c r="GV218" s="105"/>
      <c r="GW218" s="105"/>
      <c r="GX218" s="105"/>
      <c r="GY218" s="105"/>
      <c r="GZ218" s="105"/>
      <c r="HA218" s="105"/>
      <c r="HB218" s="105"/>
      <c r="HC218" s="105"/>
      <c r="HD218" s="105"/>
      <c r="HE218" s="105"/>
      <c r="HF218" s="105"/>
      <c r="HG218" s="105"/>
      <c r="HH218" s="105"/>
      <c r="HI218" s="105"/>
      <c r="HJ218" s="105"/>
      <c r="HK218" s="105"/>
      <c r="HL218" s="105"/>
      <c r="HM218" s="105"/>
      <c r="HN218" s="105"/>
      <c r="HO218" s="105"/>
      <c r="HP218" s="105"/>
      <c r="HQ218" s="105"/>
      <c r="HR218" s="105"/>
      <c r="HS218" s="105"/>
      <c r="HT218" s="105"/>
      <c r="HU218" s="105"/>
      <c r="HV218" s="105"/>
      <c r="HW218" s="105"/>
      <c r="HX218" s="105"/>
      <c r="HY218" s="105"/>
      <c r="HZ218" s="105"/>
      <c r="IA218" s="105"/>
      <c r="IB218" s="105"/>
      <c r="IC218" s="105"/>
      <c r="ID218" s="105"/>
      <c r="IE218" s="105"/>
      <c r="IF218" s="105"/>
      <c r="IG218" s="105"/>
      <c r="IH218" s="105"/>
      <c r="II218" s="105"/>
      <c r="IJ218" s="105"/>
      <c r="IK218" s="105"/>
      <c r="IL218" s="105"/>
      <c r="IM218" s="105"/>
      <c r="IN218" s="105"/>
      <c r="IO218" s="105"/>
      <c r="IP218" s="105"/>
      <c r="IQ218" s="105"/>
      <c r="IR218" s="105"/>
      <c r="IS218" s="105"/>
    </row>
    <row r="219" spans="1:253">
      <c r="A219" s="116"/>
      <c r="B219" s="105"/>
      <c r="C219" s="116"/>
      <c r="D219" s="116"/>
      <c r="E219" s="116"/>
      <c r="F219" s="116"/>
      <c r="G219" s="116"/>
      <c r="H219" s="116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105"/>
      <c r="BX219" s="105"/>
      <c r="BY219" s="105"/>
      <c r="BZ219" s="105"/>
      <c r="CA219" s="105"/>
      <c r="CB219" s="105"/>
      <c r="CC219" s="105"/>
      <c r="CD219" s="105"/>
      <c r="CE219" s="105"/>
      <c r="CF219" s="105"/>
      <c r="CG219" s="105"/>
      <c r="CH219" s="105"/>
      <c r="CI219" s="105"/>
      <c r="CJ219" s="105"/>
      <c r="CK219" s="105"/>
      <c r="CL219" s="105"/>
      <c r="CM219" s="105"/>
      <c r="CN219" s="105"/>
      <c r="CO219" s="105"/>
      <c r="CP219" s="105"/>
      <c r="CQ219" s="105"/>
      <c r="CR219" s="105"/>
      <c r="CS219" s="105"/>
      <c r="CT219" s="105"/>
      <c r="CU219" s="105"/>
      <c r="CV219" s="105"/>
      <c r="CW219" s="105"/>
      <c r="CX219" s="105"/>
      <c r="CY219" s="105"/>
      <c r="CZ219" s="105"/>
      <c r="DA219" s="105"/>
      <c r="DB219" s="105"/>
      <c r="DC219" s="105"/>
      <c r="DD219" s="105"/>
      <c r="DE219" s="105"/>
      <c r="DF219" s="105"/>
      <c r="DG219" s="105"/>
      <c r="DH219" s="105"/>
      <c r="DI219" s="105"/>
      <c r="DJ219" s="105"/>
      <c r="DK219" s="105"/>
      <c r="DL219" s="105"/>
      <c r="DM219" s="105"/>
      <c r="DN219" s="105"/>
      <c r="DO219" s="105"/>
      <c r="DP219" s="105"/>
      <c r="DQ219" s="105"/>
      <c r="DR219" s="105"/>
      <c r="DS219" s="105"/>
      <c r="DT219" s="105"/>
      <c r="DU219" s="105"/>
      <c r="DV219" s="105"/>
      <c r="DW219" s="105"/>
      <c r="DX219" s="105"/>
      <c r="DY219" s="105"/>
      <c r="DZ219" s="105"/>
      <c r="EA219" s="105"/>
      <c r="EB219" s="105"/>
      <c r="EC219" s="105"/>
      <c r="ED219" s="105"/>
      <c r="EE219" s="105"/>
      <c r="EF219" s="105"/>
      <c r="EG219" s="105"/>
      <c r="EH219" s="105"/>
      <c r="EI219" s="105"/>
      <c r="EJ219" s="105"/>
      <c r="EK219" s="105"/>
      <c r="EL219" s="105"/>
      <c r="EM219" s="105"/>
      <c r="EN219" s="105"/>
      <c r="EO219" s="105"/>
      <c r="EP219" s="105"/>
      <c r="EQ219" s="105"/>
      <c r="ER219" s="105"/>
      <c r="ES219" s="105"/>
      <c r="ET219" s="105"/>
      <c r="EU219" s="105"/>
      <c r="EV219" s="105"/>
      <c r="EW219" s="105"/>
      <c r="EX219" s="105"/>
      <c r="EY219" s="105"/>
      <c r="EZ219" s="105"/>
      <c r="FA219" s="105"/>
      <c r="FB219" s="105"/>
      <c r="FC219" s="105"/>
      <c r="FD219" s="105"/>
      <c r="FE219" s="105"/>
      <c r="FF219" s="105"/>
      <c r="FG219" s="105"/>
      <c r="FH219" s="105"/>
      <c r="FI219" s="105"/>
      <c r="FJ219" s="105"/>
      <c r="FK219" s="105"/>
      <c r="FL219" s="105"/>
      <c r="FM219" s="105"/>
      <c r="FN219" s="105"/>
      <c r="FO219" s="105"/>
      <c r="FP219" s="105"/>
      <c r="FQ219" s="105"/>
      <c r="FR219" s="105"/>
      <c r="FS219" s="105"/>
      <c r="FT219" s="105"/>
      <c r="FU219" s="105"/>
      <c r="FV219" s="105"/>
      <c r="FW219" s="105"/>
      <c r="FX219" s="105"/>
      <c r="FY219" s="105"/>
      <c r="FZ219" s="105"/>
      <c r="GA219" s="105"/>
      <c r="GB219" s="105"/>
      <c r="GC219" s="105"/>
      <c r="GD219" s="105"/>
      <c r="GE219" s="105"/>
      <c r="GF219" s="105"/>
      <c r="GG219" s="105"/>
      <c r="GH219" s="105"/>
      <c r="GI219" s="105"/>
      <c r="GJ219" s="105"/>
      <c r="GK219" s="105"/>
      <c r="GL219" s="105"/>
      <c r="GM219" s="105"/>
      <c r="GN219" s="105"/>
      <c r="GO219" s="105"/>
      <c r="GP219" s="105"/>
      <c r="GQ219" s="105"/>
      <c r="GR219" s="105"/>
      <c r="GS219" s="105"/>
      <c r="GT219" s="105"/>
      <c r="GU219" s="105"/>
      <c r="GV219" s="105"/>
      <c r="GW219" s="105"/>
      <c r="GX219" s="105"/>
      <c r="GY219" s="105"/>
      <c r="GZ219" s="105"/>
      <c r="HA219" s="105"/>
      <c r="HB219" s="105"/>
      <c r="HC219" s="105"/>
      <c r="HD219" s="105"/>
      <c r="HE219" s="105"/>
      <c r="HF219" s="105"/>
      <c r="HG219" s="105"/>
      <c r="HH219" s="105"/>
      <c r="HI219" s="105"/>
      <c r="HJ219" s="105"/>
      <c r="HK219" s="105"/>
      <c r="HL219" s="105"/>
      <c r="HM219" s="105"/>
      <c r="HN219" s="105"/>
      <c r="HO219" s="105"/>
      <c r="HP219" s="105"/>
      <c r="HQ219" s="105"/>
      <c r="HR219" s="105"/>
      <c r="HS219" s="105"/>
      <c r="HT219" s="105"/>
      <c r="HU219" s="105"/>
      <c r="HV219" s="105"/>
      <c r="HW219" s="105"/>
      <c r="HX219" s="105"/>
      <c r="HY219" s="105"/>
      <c r="HZ219" s="105"/>
      <c r="IA219" s="105"/>
      <c r="IB219" s="105"/>
      <c r="IC219" s="105"/>
      <c r="ID219" s="105"/>
      <c r="IE219" s="105"/>
      <c r="IF219" s="105"/>
      <c r="IG219" s="105"/>
      <c r="IH219" s="105"/>
      <c r="II219" s="105"/>
      <c r="IJ219" s="105"/>
      <c r="IK219" s="105"/>
      <c r="IL219" s="105"/>
      <c r="IM219" s="105"/>
      <c r="IN219" s="105"/>
      <c r="IO219" s="105"/>
      <c r="IP219" s="105"/>
      <c r="IQ219" s="105"/>
      <c r="IR219" s="105"/>
      <c r="IS219" s="105"/>
    </row>
    <row r="220" spans="1:253">
      <c r="A220" s="116"/>
      <c r="B220" s="105"/>
      <c r="C220" s="116"/>
      <c r="D220" s="116"/>
      <c r="E220" s="116"/>
      <c r="F220" s="116"/>
      <c r="G220" s="116"/>
      <c r="H220" s="116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  <c r="BO220" s="105"/>
      <c r="BP220" s="105"/>
      <c r="BQ220" s="105"/>
      <c r="BR220" s="105"/>
      <c r="BS220" s="105"/>
      <c r="BT220" s="105"/>
      <c r="BU220" s="105"/>
      <c r="BV220" s="105"/>
      <c r="BW220" s="105"/>
      <c r="BX220" s="105"/>
      <c r="BY220" s="105"/>
      <c r="BZ220" s="105"/>
      <c r="CA220" s="105"/>
      <c r="CB220" s="105"/>
      <c r="CC220" s="105"/>
      <c r="CD220" s="105"/>
      <c r="CE220" s="105"/>
      <c r="CF220" s="105"/>
      <c r="CG220" s="105"/>
      <c r="CH220" s="105"/>
      <c r="CI220" s="105"/>
      <c r="CJ220" s="105"/>
      <c r="CK220" s="105"/>
      <c r="CL220" s="105"/>
      <c r="CM220" s="105"/>
      <c r="CN220" s="105"/>
      <c r="CO220" s="105"/>
      <c r="CP220" s="105"/>
      <c r="CQ220" s="105"/>
      <c r="CR220" s="105"/>
      <c r="CS220" s="105"/>
      <c r="CT220" s="105"/>
      <c r="CU220" s="105"/>
      <c r="CV220" s="105"/>
      <c r="CW220" s="105"/>
      <c r="CX220" s="105"/>
      <c r="CY220" s="105"/>
      <c r="CZ220" s="105"/>
      <c r="DA220" s="105"/>
      <c r="DB220" s="105"/>
      <c r="DC220" s="105"/>
      <c r="DD220" s="105"/>
      <c r="DE220" s="105"/>
      <c r="DF220" s="105"/>
      <c r="DG220" s="105"/>
      <c r="DH220" s="105"/>
      <c r="DI220" s="105"/>
      <c r="DJ220" s="105"/>
      <c r="DK220" s="105"/>
      <c r="DL220" s="105"/>
      <c r="DM220" s="105"/>
      <c r="DN220" s="105"/>
      <c r="DO220" s="105"/>
      <c r="DP220" s="105"/>
      <c r="DQ220" s="105"/>
      <c r="DR220" s="105"/>
      <c r="DS220" s="105"/>
      <c r="DT220" s="105"/>
      <c r="DU220" s="105"/>
      <c r="DV220" s="105"/>
      <c r="DW220" s="105"/>
      <c r="DX220" s="105"/>
      <c r="DY220" s="105"/>
      <c r="DZ220" s="105"/>
      <c r="EA220" s="105"/>
      <c r="EB220" s="105"/>
      <c r="EC220" s="105"/>
      <c r="ED220" s="105"/>
      <c r="EE220" s="105"/>
      <c r="EF220" s="105"/>
      <c r="EG220" s="105"/>
      <c r="EH220" s="105"/>
      <c r="EI220" s="105"/>
      <c r="EJ220" s="105"/>
      <c r="EK220" s="105"/>
      <c r="EL220" s="105"/>
      <c r="EM220" s="105"/>
      <c r="EN220" s="105"/>
      <c r="EO220" s="105"/>
      <c r="EP220" s="105"/>
      <c r="EQ220" s="105"/>
      <c r="ER220" s="105"/>
      <c r="ES220" s="105"/>
      <c r="ET220" s="105"/>
      <c r="EU220" s="105"/>
      <c r="EV220" s="105"/>
      <c r="EW220" s="105"/>
      <c r="EX220" s="105"/>
      <c r="EY220" s="105"/>
      <c r="EZ220" s="105"/>
      <c r="FA220" s="105"/>
      <c r="FB220" s="105"/>
      <c r="FC220" s="105"/>
      <c r="FD220" s="105"/>
      <c r="FE220" s="105"/>
      <c r="FF220" s="105"/>
      <c r="FG220" s="105"/>
      <c r="FH220" s="105"/>
      <c r="FI220" s="105"/>
      <c r="FJ220" s="105"/>
      <c r="FK220" s="105"/>
      <c r="FL220" s="105"/>
      <c r="FM220" s="105"/>
      <c r="FN220" s="105"/>
      <c r="FO220" s="105"/>
      <c r="FP220" s="105"/>
      <c r="FQ220" s="105"/>
      <c r="FR220" s="105"/>
      <c r="FS220" s="105"/>
      <c r="FT220" s="105"/>
      <c r="FU220" s="105"/>
      <c r="FV220" s="105"/>
      <c r="FW220" s="105"/>
      <c r="FX220" s="105"/>
      <c r="FY220" s="105"/>
      <c r="FZ220" s="105"/>
      <c r="GA220" s="105"/>
      <c r="GB220" s="105"/>
      <c r="GC220" s="105"/>
      <c r="GD220" s="105"/>
      <c r="GE220" s="105"/>
      <c r="GF220" s="105"/>
      <c r="GG220" s="105"/>
      <c r="GH220" s="105"/>
      <c r="GI220" s="105"/>
      <c r="GJ220" s="105"/>
      <c r="GK220" s="105"/>
      <c r="GL220" s="105"/>
      <c r="GM220" s="105"/>
      <c r="GN220" s="105"/>
      <c r="GO220" s="105"/>
      <c r="GP220" s="105"/>
      <c r="GQ220" s="105"/>
      <c r="GR220" s="105"/>
      <c r="GS220" s="105"/>
      <c r="GT220" s="105"/>
      <c r="GU220" s="105"/>
      <c r="GV220" s="105"/>
      <c r="GW220" s="105"/>
      <c r="GX220" s="105"/>
      <c r="GY220" s="105"/>
      <c r="GZ220" s="105"/>
      <c r="HA220" s="105"/>
      <c r="HB220" s="105"/>
      <c r="HC220" s="105"/>
      <c r="HD220" s="105"/>
      <c r="HE220" s="105"/>
      <c r="HF220" s="105"/>
      <c r="HG220" s="105"/>
      <c r="HH220" s="105"/>
      <c r="HI220" s="105"/>
      <c r="HJ220" s="105"/>
      <c r="HK220" s="105"/>
      <c r="HL220" s="105"/>
      <c r="HM220" s="105"/>
      <c r="HN220" s="105"/>
      <c r="HO220" s="105"/>
      <c r="HP220" s="105"/>
      <c r="HQ220" s="105"/>
      <c r="HR220" s="105"/>
      <c r="HS220" s="105"/>
      <c r="HT220" s="105"/>
      <c r="HU220" s="105"/>
      <c r="HV220" s="105"/>
      <c r="HW220" s="105"/>
      <c r="HX220" s="105"/>
      <c r="HY220" s="105"/>
      <c r="HZ220" s="105"/>
      <c r="IA220" s="105"/>
      <c r="IB220" s="105"/>
      <c r="IC220" s="105"/>
      <c r="ID220" s="105"/>
      <c r="IE220" s="105"/>
      <c r="IF220" s="105"/>
      <c r="IG220" s="105"/>
      <c r="IH220" s="105"/>
      <c r="II220" s="105"/>
      <c r="IJ220" s="105"/>
      <c r="IK220" s="105"/>
      <c r="IL220" s="105"/>
      <c r="IM220" s="105"/>
      <c r="IN220" s="105"/>
      <c r="IO220" s="105"/>
      <c r="IP220" s="105"/>
      <c r="IQ220" s="105"/>
      <c r="IR220" s="105"/>
      <c r="IS220" s="105"/>
    </row>
    <row r="221" spans="1:253">
      <c r="A221" s="116"/>
      <c r="B221" s="105"/>
      <c r="C221" s="116"/>
      <c r="D221" s="116"/>
      <c r="E221" s="116"/>
      <c r="F221" s="116"/>
      <c r="G221" s="116"/>
      <c r="H221" s="116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  <c r="BO221" s="105"/>
      <c r="BP221" s="105"/>
      <c r="BQ221" s="105"/>
      <c r="BR221" s="105"/>
      <c r="BS221" s="105"/>
      <c r="BT221" s="105"/>
      <c r="BU221" s="105"/>
      <c r="BV221" s="105"/>
      <c r="BW221" s="105"/>
      <c r="BX221" s="105"/>
      <c r="BY221" s="105"/>
      <c r="BZ221" s="105"/>
      <c r="CA221" s="105"/>
      <c r="CB221" s="105"/>
      <c r="CC221" s="105"/>
      <c r="CD221" s="105"/>
      <c r="CE221" s="105"/>
      <c r="CF221" s="105"/>
      <c r="CG221" s="105"/>
      <c r="CH221" s="105"/>
      <c r="CI221" s="105"/>
      <c r="CJ221" s="105"/>
      <c r="CK221" s="105"/>
      <c r="CL221" s="105"/>
      <c r="CM221" s="105"/>
      <c r="CN221" s="105"/>
      <c r="CO221" s="105"/>
      <c r="CP221" s="105"/>
      <c r="CQ221" s="105"/>
      <c r="CR221" s="105"/>
      <c r="CS221" s="105"/>
      <c r="CT221" s="105"/>
      <c r="CU221" s="105"/>
      <c r="CV221" s="105"/>
      <c r="CW221" s="105"/>
      <c r="CX221" s="105"/>
      <c r="CY221" s="105"/>
      <c r="CZ221" s="105"/>
      <c r="DA221" s="105"/>
      <c r="DB221" s="105"/>
      <c r="DC221" s="105"/>
      <c r="DD221" s="105"/>
      <c r="DE221" s="105"/>
      <c r="DF221" s="105"/>
      <c r="DG221" s="105"/>
      <c r="DH221" s="105"/>
      <c r="DI221" s="105"/>
      <c r="DJ221" s="105"/>
      <c r="DK221" s="105"/>
      <c r="DL221" s="105"/>
      <c r="DM221" s="105"/>
      <c r="DN221" s="105"/>
      <c r="DO221" s="105"/>
      <c r="DP221" s="105"/>
      <c r="DQ221" s="105"/>
      <c r="DR221" s="105"/>
      <c r="DS221" s="105"/>
      <c r="DT221" s="105"/>
      <c r="DU221" s="105"/>
      <c r="DV221" s="105"/>
      <c r="DW221" s="105"/>
      <c r="DX221" s="105"/>
      <c r="DY221" s="105"/>
      <c r="DZ221" s="105"/>
      <c r="EA221" s="105"/>
      <c r="EB221" s="105"/>
      <c r="EC221" s="105"/>
      <c r="ED221" s="105"/>
      <c r="EE221" s="105"/>
      <c r="EF221" s="105"/>
      <c r="EG221" s="105"/>
      <c r="EH221" s="105"/>
      <c r="EI221" s="105"/>
      <c r="EJ221" s="105"/>
      <c r="EK221" s="105"/>
      <c r="EL221" s="105"/>
      <c r="EM221" s="105"/>
      <c r="EN221" s="105"/>
      <c r="EO221" s="105"/>
      <c r="EP221" s="105"/>
      <c r="EQ221" s="105"/>
      <c r="ER221" s="105"/>
      <c r="ES221" s="105"/>
      <c r="ET221" s="105"/>
      <c r="EU221" s="105"/>
      <c r="EV221" s="105"/>
      <c r="EW221" s="105"/>
      <c r="EX221" s="105"/>
      <c r="EY221" s="105"/>
      <c r="EZ221" s="105"/>
      <c r="FA221" s="105"/>
      <c r="FB221" s="105"/>
      <c r="FC221" s="105"/>
      <c r="FD221" s="105"/>
      <c r="FE221" s="105"/>
      <c r="FF221" s="105"/>
      <c r="FG221" s="105"/>
      <c r="FH221" s="105"/>
      <c r="FI221" s="105"/>
      <c r="FJ221" s="105"/>
      <c r="FK221" s="105"/>
      <c r="FL221" s="105"/>
      <c r="FM221" s="105"/>
      <c r="FN221" s="105"/>
      <c r="FO221" s="105"/>
      <c r="FP221" s="105"/>
      <c r="FQ221" s="105"/>
      <c r="FR221" s="105"/>
      <c r="FS221" s="105"/>
      <c r="FT221" s="105"/>
      <c r="FU221" s="105"/>
      <c r="FV221" s="105"/>
      <c r="FW221" s="105"/>
      <c r="FX221" s="105"/>
      <c r="FY221" s="105"/>
      <c r="FZ221" s="105"/>
      <c r="GA221" s="105"/>
      <c r="GB221" s="105"/>
      <c r="GC221" s="105"/>
      <c r="GD221" s="105"/>
      <c r="GE221" s="105"/>
      <c r="GF221" s="105"/>
      <c r="GG221" s="105"/>
      <c r="GH221" s="105"/>
      <c r="GI221" s="105"/>
      <c r="GJ221" s="105"/>
      <c r="GK221" s="105"/>
      <c r="GL221" s="105"/>
      <c r="GM221" s="105"/>
      <c r="GN221" s="105"/>
      <c r="GO221" s="105"/>
      <c r="GP221" s="105"/>
      <c r="GQ221" s="105"/>
      <c r="GR221" s="105"/>
      <c r="GS221" s="105"/>
      <c r="GT221" s="105"/>
      <c r="GU221" s="105"/>
      <c r="GV221" s="105"/>
      <c r="GW221" s="105"/>
      <c r="GX221" s="105"/>
      <c r="GY221" s="105"/>
      <c r="GZ221" s="105"/>
      <c r="HA221" s="105"/>
      <c r="HB221" s="105"/>
      <c r="HC221" s="105"/>
      <c r="HD221" s="105"/>
      <c r="HE221" s="105"/>
      <c r="HF221" s="105"/>
      <c r="HG221" s="105"/>
      <c r="HH221" s="105"/>
      <c r="HI221" s="105"/>
      <c r="HJ221" s="105"/>
      <c r="HK221" s="105"/>
      <c r="HL221" s="105"/>
      <c r="HM221" s="105"/>
      <c r="HN221" s="105"/>
      <c r="HO221" s="105"/>
      <c r="HP221" s="105"/>
      <c r="HQ221" s="105"/>
      <c r="HR221" s="105"/>
      <c r="HS221" s="105"/>
      <c r="HT221" s="105"/>
      <c r="HU221" s="105"/>
      <c r="HV221" s="105"/>
      <c r="HW221" s="105"/>
      <c r="HX221" s="105"/>
      <c r="HY221" s="105"/>
      <c r="HZ221" s="105"/>
      <c r="IA221" s="105"/>
      <c r="IB221" s="105"/>
      <c r="IC221" s="105"/>
      <c r="ID221" s="105"/>
      <c r="IE221" s="105"/>
      <c r="IF221" s="105"/>
      <c r="IG221" s="105"/>
      <c r="IH221" s="105"/>
      <c r="II221" s="105"/>
      <c r="IJ221" s="105"/>
      <c r="IK221" s="105"/>
      <c r="IL221" s="105"/>
      <c r="IM221" s="105"/>
      <c r="IN221" s="105"/>
      <c r="IO221" s="105"/>
      <c r="IP221" s="105"/>
      <c r="IQ221" s="105"/>
      <c r="IR221" s="105"/>
      <c r="IS221" s="105"/>
    </row>
    <row r="222" spans="1:253">
      <c r="A222" s="116"/>
      <c r="B222" s="105"/>
      <c r="C222" s="116"/>
      <c r="D222" s="116"/>
      <c r="E222" s="116"/>
      <c r="F222" s="116"/>
      <c r="G222" s="116"/>
      <c r="H222" s="116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5"/>
      <c r="BN222" s="105"/>
      <c r="BO222" s="105"/>
      <c r="BP222" s="105"/>
      <c r="BQ222" s="105"/>
      <c r="BR222" s="105"/>
      <c r="BS222" s="105"/>
      <c r="BT222" s="105"/>
      <c r="BU222" s="105"/>
      <c r="BV222" s="105"/>
      <c r="BW222" s="105"/>
      <c r="BX222" s="105"/>
      <c r="BY222" s="105"/>
      <c r="BZ222" s="105"/>
      <c r="CA222" s="105"/>
      <c r="CB222" s="105"/>
      <c r="CC222" s="105"/>
      <c r="CD222" s="105"/>
      <c r="CE222" s="105"/>
      <c r="CF222" s="105"/>
      <c r="CG222" s="105"/>
      <c r="CH222" s="105"/>
      <c r="CI222" s="105"/>
      <c r="CJ222" s="105"/>
      <c r="CK222" s="105"/>
      <c r="CL222" s="105"/>
      <c r="CM222" s="105"/>
      <c r="CN222" s="105"/>
      <c r="CO222" s="105"/>
      <c r="CP222" s="105"/>
      <c r="CQ222" s="105"/>
      <c r="CR222" s="105"/>
      <c r="CS222" s="105"/>
      <c r="CT222" s="105"/>
      <c r="CU222" s="105"/>
      <c r="CV222" s="105"/>
      <c r="CW222" s="105"/>
      <c r="CX222" s="105"/>
      <c r="CY222" s="105"/>
      <c r="CZ222" s="105"/>
      <c r="DA222" s="105"/>
      <c r="DB222" s="105"/>
      <c r="DC222" s="105"/>
      <c r="DD222" s="105"/>
      <c r="DE222" s="105"/>
      <c r="DF222" s="105"/>
      <c r="DG222" s="105"/>
      <c r="DH222" s="105"/>
      <c r="DI222" s="105"/>
      <c r="DJ222" s="105"/>
      <c r="DK222" s="105"/>
      <c r="DL222" s="105"/>
      <c r="DM222" s="105"/>
      <c r="DN222" s="105"/>
      <c r="DO222" s="105"/>
      <c r="DP222" s="105"/>
      <c r="DQ222" s="105"/>
      <c r="DR222" s="105"/>
      <c r="DS222" s="105"/>
      <c r="DT222" s="105"/>
      <c r="DU222" s="105"/>
      <c r="DV222" s="105"/>
      <c r="DW222" s="105"/>
      <c r="DX222" s="105"/>
      <c r="DY222" s="105"/>
      <c r="DZ222" s="105"/>
      <c r="EA222" s="105"/>
      <c r="EB222" s="105"/>
      <c r="EC222" s="105"/>
      <c r="ED222" s="105"/>
      <c r="EE222" s="105"/>
      <c r="EF222" s="105"/>
      <c r="EG222" s="105"/>
      <c r="EH222" s="105"/>
      <c r="EI222" s="105"/>
      <c r="EJ222" s="105"/>
      <c r="EK222" s="105"/>
      <c r="EL222" s="105"/>
      <c r="EM222" s="105"/>
      <c r="EN222" s="105"/>
      <c r="EO222" s="105"/>
      <c r="EP222" s="105"/>
      <c r="EQ222" s="105"/>
      <c r="ER222" s="105"/>
      <c r="ES222" s="105"/>
      <c r="ET222" s="105"/>
      <c r="EU222" s="105"/>
      <c r="EV222" s="105"/>
      <c r="EW222" s="105"/>
      <c r="EX222" s="105"/>
      <c r="EY222" s="105"/>
      <c r="EZ222" s="105"/>
      <c r="FA222" s="105"/>
      <c r="FB222" s="105"/>
      <c r="FC222" s="105"/>
      <c r="FD222" s="105"/>
      <c r="FE222" s="105"/>
      <c r="FF222" s="105"/>
      <c r="FG222" s="105"/>
      <c r="FH222" s="105"/>
      <c r="FI222" s="105"/>
      <c r="FJ222" s="105"/>
      <c r="FK222" s="105"/>
      <c r="FL222" s="105"/>
      <c r="FM222" s="105"/>
      <c r="FN222" s="105"/>
      <c r="FO222" s="105"/>
      <c r="FP222" s="105"/>
      <c r="FQ222" s="105"/>
      <c r="FR222" s="105"/>
      <c r="FS222" s="105"/>
      <c r="FT222" s="105"/>
      <c r="FU222" s="105"/>
      <c r="FV222" s="105"/>
      <c r="FW222" s="105"/>
      <c r="FX222" s="105"/>
      <c r="FY222" s="105"/>
      <c r="FZ222" s="105"/>
      <c r="GA222" s="105"/>
      <c r="GB222" s="105"/>
      <c r="GC222" s="105"/>
      <c r="GD222" s="105"/>
      <c r="GE222" s="105"/>
      <c r="GF222" s="105"/>
      <c r="GG222" s="105"/>
      <c r="GH222" s="105"/>
      <c r="GI222" s="105"/>
      <c r="GJ222" s="105"/>
      <c r="GK222" s="105"/>
      <c r="GL222" s="105"/>
      <c r="GM222" s="105"/>
      <c r="GN222" s="105"/>
      <c r="GO222" s="105"/>
      <c r="GP222" s="105"/>
      <c r="GQ222" s="105"/>
      <c r="GR222" s="105"/>
      <c r="GS222" s="105"/>
      <c r="GT222" s="105"/>
      <c r="GU222" s="105"/>
      <c r="GV222" s="105"/>
      <c r="GW222" s="105"/>
      <c r="GX222" s="105"/>
      <c r="GY222" s="105"/>
      <c r="GZ222" s="105"/>
      <c r="HA222" s="105"/>
      <c r="HB222" s="105"/>
      <c r="HC222" s="105"/>
      <c r="HD222" s="105"/>
      <c r="HE222" s="105"/>
      <c r="HF222" s="105"/>
      <c r="HG222" s="105"/>
      <c r="HH222" s="105"/>
      <c r="HI222" s="105"/>
      <c r="HJ222" s="105"/>
      <c r="HK222" s="105"/>
      <c r="HL222" s="105"/>
      <c r="HM222" s="105"/>
      <c r="HN222" s="105"/>
      <c r="HO222" s="105"/>
      <c r="HP222" s="105"/>
      <c r="HQ222" s="105"/>
      <c r="HR222" s="105"/>
      <c r="HS222" s="105"/>
      <c r="HT222" s="105"/>
      <c r="HU222" s="105"/>
      <c r="HV222" s="105"/>
      <c r="HW222" s="105"/>
      <c r="HX222" s="105"/>
      <c r="HY222" s="105"/>
      <c r="HZ222" s="105"/>
      <c r="IA222" s="105"/>
      <c r="IB222" s="105"/>
      <c r="IC222" s="105"/>
      <c r="ID222" s="105"/>
      <c r="IE222" s="105"/>
      <c r="IF222" s="105"/>
      <c r="IG222" s="105"/>
      <c r="IH222" s="105"/>
      <c r="II222" s="105"/>
      <c r="IJ222" s="105"/>
      <c r="IK222" s="105"/>
      <c r="IL222" s="105"/>
      <c r="IM222" s="105"/>
      <c r="IN222" s="105"/>
      <c r="IO222" s="105"/>
      <c r="IP222" s="105"/>
      <c r="IQ222" s="105"/>
      <c r="IR222" s="105"/>
      <c r="IS222" s="105"/>
    </row>
    <row r="223" spans="1:253">
      <c r="A223" s="116"/>
      <c r="B223" s="105"/>
      <c r="C223" s="116"/>
      <c r="D223" s="116"/>
      <c r="E223" s="116"/>
      <c r="F223" s="116"/>
      <c r="G223" s="116"/>
      <c r="H223" s="116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5"/>
      <c r="BN223" s="105"/>
      <c r="BO223" s="105"/>
      <c r="BP223" s="105"/>
      <c r="BQ223" s="105"/>
      <c r="BR223" s="105"/>
      <c r="BS223" s="105"/>
      <c r="BT223" s="105"/>
      <c r="BU223" s="105"/>
      <c r="BV223" s="105"/>
      <c r="BW223" s="105"/>
      <c r="BX223" s="105"/>
      <c r="BY223" s="105"/>
      <c r="BZ223" s="105"/>
      <c r="CA223" s="105"/>
      <c r="CB223" s="105"/>
      <c r="CC223" s="105"/>
      <c r="CD223" s="105"/>
      <c r="CE223" s="105"/>
      <c r="CF223" s="105"/>
      <c r="CG223" s="105"/>
      <c r="CH223" s="105"/>
      <c r="CI223" s="105"/>
      <c r="CJ223" s="105"/>
      <c r="CK223" s="105"/>
      <c r="CL223" s="105"/>
      <c r="CM223" s="105"/>
      <c r="CN223" s="105"/>
      <c r="CO223" s="105"/>
      <c r="CP223" s="105"/>
      <c r="CQ223" s="105"/>
      <c r="CR223" s="105"/>
      <c r="CS223" s="105"/>
      <c r="CT223" s="105"/>
      <c r="CU223" s="105"/>
      <c r="CV223" s="105"/>
      <c r="CW223" s="105"/>
      <c r="CX223" s="105"/>
      <c r="CY223" s="105"/>
      <c r="CZ223" s="105"/>
      <c r="DA223" s="105"/>
      <c r="DB223" s="105"/>
      <c r="DC223" s="105"/>
      <c r="DD223" s="105"/>
      <c r="DE223" s="105"/>
      <c r="DF223" s="105"/>
      <c r="DG223" s="105"/>
      <c r="DH223" s="105"/>
      <c r="DI223" s="105"/>
      <c r="DJ223" s="105"/>
      <c r="DK223" s="105"/>
      <c r="DL223" s="105"/>
      <c r="DM223" s="105"/>
      <c r="DN223" s="105"/>
      <c r="DO223" s="105"/>
      <c r="DP223" s="105"/>
      <c r="DQ223" s="105"/>
      <c r="DR223" s="105"/>
      <c r="DS223" s="105"/>
      <c r="DT223" s="105"/>
      <c r="DU223" s="105"/>
      <c r="DV223" s="105"/>
      <c r="DW223" s="105"/>
      <c r="DX223" s="105"/>
      <c r="DY223" s="105"/>
      <c r="DZ223" s="105"/>
      <c r="EA223" s="105"/>
      <c r="EB223" s="105"/>
      <c r="EC223" s="105"/>
      <c r="ED223" s="105"/>
      <c r="EE223" s="105"/>
      <c r="EF223" s="105"/>
      <c r="EG223" s="105"/>
      <c r="EH223" s="105"/>
      <c r="EI223" s="105"/>
      <c r="EJ223" s="105"/>
      <c r="EK223" s="105"/>
      <c r="EL223" s="105"/>
      <c r="EM223" s="105"/>
      <c r="EN223" s="105"/>
      <c r="EO223" s="105"/>
      <c r="EP223" s="105"/>
      <c r="EQ223" s="105"/>
      <c r="ER223" s="105"/>
      <c r="ES223" s="105"/>
      <c r="ET223" s="105"/>
      <c r="EU223" s="105"/>
      <c r="EV223" s="105"/>
      <c r="EW223" s="105"/>
      <c r="EX223" s="105"/>
      <c r="EY223" s="105"/>
      <c r="EZ223" s="105"/>
      <c r="FA223" s="105"/>
      <c r="FB223" s="105"/>
      <c r="FC223" s="105"/>
      <c r="FD223" s="105"/>
      <c r="FE223" s="105"/>
      <c r="FF223" s="105"/>
      <c r="FG223" s="105"/>
      <c r="FH223" s="105"/>
      <c r="FI223" s="105"/>
      <c r="FJ223" s="105"/>
      <c r="FK223" s="105"/>
      <c r="FL223" s="105"/>
      <c r="FM223" s="105"/>
      <c r="FN223" s="105"/>
      <c r="FO223" s="105"/>
      <c r="FP223" s="105"/>
      <c r="FQ223" s="105"/>
      <c r="FR223" s="105"/>
      <c r="FS223" s="105"/>
      <c r="FT223" s="105"/>
      <c r="FU223" s="105"/>
      <c r="FV223" s="105"/>
      <c r="FW223" s="105"/>
      <c r="FX223" s="105"/>
      <c r="FY223" s="105"/>
      <c r="FZ223" s="105"/>
      <c r="GA223" s="105"/>
      <c r="GB223" s="105"/>
      <c r="GC223" s="105"/>
      <c r="GD223" s="105"/>
      <c r="GE223" s="105"/>
      <c r="GF223" s="105"/>
      <c r="GG223" s="105"/>
      <c r="GH223" s="105"/>
      <c r="GI223" s="105"/>
      <c r="GJ223" s="105"/>
      <c r="GK223" s="105"/>
      <c r="GL223" s="105"/>
      <c r="GM223" s="105"/>
      <c r="GN223" s="105"/>
      <c r="GO223" s="105"/>
      <c r="GP223" s="105"/>
      <c r="GQ223" s="105"/>
      <c r="GR223" s="105"/>
      <c r="GS223" s="105"/>
      <c r="GT223" s="105"/>
      <c r="GU223" s="105"/>
      <c r="GV223" s="105"/>
      <c r="GW223" s="105"/>
      <c r="GX223" s="105"/>
      <c r="GY223" s="105"/>
      <c r="GZ223" s="105"/>
      <c r="HA223" s="105"/>
      <c r="HB223" s="105"/>
      <c r="HC223" s="105"/>
      <c r="HD223" s="105"/>
      <c r="HE223" s="105"/>
      <c r="HF223" s="105"/>
      <c r="HG223" s="105"/>
      <c r="HH223" s="105"/>
      <c r="HI223" s="105"/>
      <c r="HJ223" s="105"/>
      <c r="HK223" s="105"/>
      <c r="HL223" s="105"/>
      <c r="HM223" s="105"/>
      <c r="HN223" s="105"/>
      <c r="HO223" s="105"/>
      <c r="HP223" s="105"/>
      <c r="HQ223" s="105"/>
      <c r="HR223" s="105"/>
      <c r="HS223" s="105"/>
      <c r="HT223" s="105"/>
      <c r="HU223" s="105"/>
      <c r="HV223" s="105"/>
      <c r="HW223" s="105"/>
      <c r="HX223" s="105"/>
      <c r="HY223" s="105"/>
      <c r="HZ223" s="105"/>
      <c r="IA223" s="105"/>
      <c r="IB223" s="105"/>
      <c r="IC223" s="105"/>
      <c r="ID223" s="105"/>
      <c r="IE223" s="105"/>
      <c r="IF223" s="105"/>
      <c r="IG223" s="105"/>
      <c r="IH223" s="105"/>
      <c r="II223" s="105"/>
      <c r="IJ223" s="105"/>
      <c r="IK223" s="105"/>
      <c r="IL223" s="105"/>
      <c r="IM223" s="105"/>
      <c r="IN223" s="105"/>
      <c r="IO223" s="105"/>
      <c r="IP223" s="105"/>
      <c r="IQ223" s="105"/>
      <c r="IR223" s="105"/>
      <c r="IS223" s="105"/>
    </row>
    <row r="224" spans="1:253">
      <c r="A224" s="116"/>
      <c r="B224" s="105"/>
      <c r="C224" s="116"/>
      <c r="D224" s="116"/>
      <c r="E224" s="116"/>
      <c r="F224" s="116"/>
      <c r="G224" s="116"/>
      <c r="H224" s="116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105"/>
      <c r="BX224" s="105"/>
      <c r="BY224" s="105"/>
      <c r="BZ224" s="105"/>
      <c r="CA224" s="105"/>
      <c r="CB224" s="105"/>
      <c r="CC224" s="105"/>
      <c r="CD224" s="105"/>
      <c r="CE224" s="105"/>
      <c r="CF224" s="105"/>
      <c r="CG224" s="105"/>
      <c r="CH224" s="105"/>
      <c r="CI224" s="105"/>
      <c r="CJ224" s="105"/>
      <c r="CK224" s="105"/>
      <c r="CL224" s="105"/>
      <c r="CM224" s="105"/>
      <c r="CN224" s="105"/>
      <c r="CO224" s="105"/>
      <c r="CP224" s="105"/>
      <c r="CQ224" s="105"/>
      <c r="CR224" s="105"/>
      <c r="CS224" s="105"/>
      <c r="CT224" s="105"/>
      <c r="CU224" s="105"/>
      <c r="CV224" s="105"/>
      <c r="CW224" s="105"/>
      <c r="CX224" s="105"/>
      <c r="CY224" s="105"/>
      <c r="CZ224" s="105"/>
      <c r="DA224" s="105"/>
      <c r="DB224" s="105"/>
      <c r="DC224" s="105"/>
      <c r="DD224" s="105"/>
      <c r="DE224" s="105"/>
      <c r="DF224" s="105"/>
      <c r="DG224" s="105"/>
      <c r="DH224" s="105"/>
      <c r="DI224" s="105"/>
      <c r="DJ224" s="105"/>
      <c r="DK224" s="105"/>
      <c r="DL224" s="105"/>
      <c r="DM224" s="105"/>
      <c r="DN224" s="105"/>
      <c r="DO224" s="105"/>
      <c r="DP224" s="105"/>
      <c r="DQ224" s="105"/>
      <c r="DR224" s="105"/>
      <c r="DS224" s="105"/>
      <c r="DT224" s="105"/>
      <c r="DU224" s="105"/>
      <c r="DV224" s="105"/>
      <c r="DW224" s="105"/>
      <c r="DX224" s="105"/>
      <c r="DY224" s="105"/>
      <c r="DZ224" s="105"/>
      <c r="EA224" s="105"/>
      <c r="EB224" s="105"/>
      <c r="EC224" s="105"/>
      <c r="ED224" s="105"/>
      <c r="EE224" s="105"/>
      <c r="EF224" s="105"/>
      <c r="EG224" s="105"/>
      <c r="EH224" s="105"/>
      <c r="EI224" s="105"/>
      <c r="EJ224" s="105"/>
      <c r="EK224" s="105"/>
      <c r="EL224" s="105"/>
      <c r="EM224" s="105"/>
      <c r="EN224" s="105"/>
      <c r="EO224" s="105"/>
      <c r="EP224" s="105"/>
      <c r="EQ224" s="105"/>
      <c r="ER224" s="105"/>
      <c r="ES224" s="105"/>
      <c r="ET224" s="105"/>
      <c r="EU224" s="105"/>
      <c r="EV224" s="105"/>
      <c r="EW224" s="105"/>
      <c r="EX224" s="105"/>
      <c r="EY224" s="105"/>
      <c r="EZ224" s="105"/>
      <c r="FA224" s="105"/>
      <c r="FB224" s="105"/>
      <c r="FC224" s="105"/>
      <c r="FD224" s="105"/>
      <c r="FE224" s="105"/>
      <c r="FF224" s="105"/>
      <c r="FG224" s="105"/>
      <c r="FH224" s="105"/>
      <c r="FI224" s="105"/>
      <c r="FJ224" s="105"/>
      <c r="FK224" s="105"/>
      <c r="FL224" s="105"/>
      <c r="FM224" s="105"/>
      <c r="FN224" s="105"/>
      <c r="FO224" s="105"/>
      <c r="FP224" s="105"/>
      <c r="FQ224" s="105"/>
      <c r="FR224" s="105"/>
      <c r="FS224" s="105"/>
      <c r="FT224" s="105"/>
      <c r="FU224" s="105"/>
      <c r="FV224" s="105"/>
      <c r="FW224" s="105"/>
      <c r="FX224" s="105"/>
      <c r="FY224" s="105"/>
      <c r="FZ224" s="105"/>
      <c r="GA224" s="105"/>
      <c r="GB224" s="105"/>
      <c r="GC224" s="105"/>
      <c r="GD224" s="105"/>
      <c r="GE224" s="105"/>
      <c r="GF224" s="105"/>
      <c r="GG224" s="105"/>
      <c r="GH224" s="105"/>
      <c r="GI224" s="105"/>
      <c r="GJ224" s="105"/>
      <c r="GK224" s="105"/>
      <c r="GL224" s="105"/>
      <c r="GM224" s="105"/>
      <c r="GN224" s="105"/>
      <c r="GO224" s="105"/>
      <c r="GP224" s="105"/>
      <c r="GQ224" s="105"/>
      <c r="GR224" s="105"/>
      <c r="GS224" s="105"/>
      <c r="GT224" s="105"/>
      <c r="GU224" s="105"/>
      <c r="GV224" s="105"/>
      <c r="GW224" s="105"/>
      <c r="GX224" s="105"/>
      <c r="GY224" s="105"/>
      <c r="GZ224" s="105"/>
      <c r="HA224" s="105"/>
      <c r="HB224" s="105"/>
      <c r="HC224" s="105"/>
      <c r="HD224" s="105"/>
      <c r="HE224" s="105"/>
      <c r="HF224" s="105"/>
      <c r="HG224" s="105"/>
      <c r="HH224" s="105"/>
      <c r="HI224" s="105"/>
      <c r="HJ224" s="105"/>
      <c r="HK224" s="105"/>
      <c r="HL224" s="105"/>
      <c r="HM224" s="105"/>
      <c r="HN224" s="105"/>
      <c r="HO224" s="105"/>
      <c r="HP224" s="105"/>
      <c r="HQ224" s="105"/>
      <c r="HR224" s="105"/>
      <c r="HS224" s="105"/>
      <c r="HT224" s="105"/>
      <c r="HU224" s="105"/>
      <c r="HV224" s="105"/>
      <c r="HW224" s="105"/>
      <c r="HX224" s="105"/>
      <c r="HY224" s="105"/>
      <c r="HZ224" s="105"/>
      <c r="IA224" s="105"/>
      <c r="IB224" s="105"/>
      <c r="IC224" s="105"/>
      <c r="ID224" s="105"/>
      <c r="IE224" s="105"/>
      <c r="IF224" s="105"/>
      <c r="IG224" s="105"/>
      <c r="IH224" s="105"/>
      <c r="II224" s="105"/>
      <c r="IJ224" s="105"/>
      <c r="IK224" s="105"/>
      <c r="IL224" s="105"/>
      <c r="IM224" s="105"/>
      <c r="IN224" s="105"/>
      <c r="IO224" s="105"/>
      <c r="IP224" s="105"/>
      <c r="IQ224" s="105"/>
      <c r="IR224" s="105"/>
      <c r="IS224" s="105"/>
    </row>
    <row r="225" spans="1:253">
      <c r="A225" s="116"/>
      <c r="B225" s="105"/>
      <c r="C225" s="116"/>
      <c r="D225" s="116"/>
      <c r="E225" s="116"/>
      <c r="F225" s="116"/>
      <c r="G225" s="116"/>
      <c r="H225" s="116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/>
      <c r="BL225" s="105"/>
      <c r="BM225" s="105"/>
      <c r="BN225" s="105"/>
      <c r="BO225" s="105"/>
      <c r="BP225" s="105"/>
      <c r="BQ225" s="105"/>
      <c r="BR225" s="105"/>
      <c r="BS225" s="105"/>
      <c r="BT225" s="105"/>
      <c r="BU225" s="105"/>
      <c r="BV225" s="105"/>
      <c r="BW225" s="105"/>
      <c r="BX225" s="105"/>
      <c r="BY225" s="105"/>
      <c r="BZ225" s="105"/>
      <c r="CA225" s="105"/>
      <c r="CB225" s="105"/>
      <c r="CC225" s="105"/>
      <c r="CD225" s="105"/>
      <c r="CE225" s="105"/>
      <c r="CF225" s="105"/>
      <c r="CG225" s="105"/>
      <c r="CH225" s="105"/>
      <c r="CI225" s="105"/>
      <c r="CJ225" s="105"/>
      <c r="CK225" s="105"/>
      <c r="CL225" s="105"/>
      <c r="CM225" s="105"/>
      <c r="CN225" s="105"/>
      <c r="CO225" s="105"/>
      <c r="CP225" s="105"/>
      <c r="CQ225" s="105"/>
      <c r="CR225" s="105"/>
      <c r="CS225" s="105"/>
      <c r="CT225" s="105"/>
      <c r="CU225" s="105"/>
      <c r="CV225" s="105"/>
      <c r="CW225" s="105"/>
      <c r="CX225" s="105"/>
      <c r="CY225" s="105"/>
      <c r="CZ225" s="105"/>
      <c r="DA225" s="105"/>
      <c r="DB225" s="105"/>
      <c r="DC225" s="105"/>
      <c r="DD225" s="105"/>
      <c r="DE225" s="105"/>
      <c r="DF225" s="105"/>
      <c r="DG225" s="105"/>
      <c r="DH225" s="105"/>
      <c r="DI225" s="105"/>
      <c r="DJ225" s="105"/>
      <c r="DK225" s="105"/>
      <c r="DL225" s="105"/>
      <c r="DM225" s="105"/>
      <c r="DN225" s="105"/>
      <c r="DO225" s="105"/>
      <c r="DP225" s="105"/>
      <c r="DQ225" s="105"/>
      <c r="DR225" s="105"/>
      <c r="DS225" s="105"/>
      <c r="DT225" s="105"/>
      <c r="DU225" s="105"/>
      <c r="DV225" s="105"/>
      <c r="DW225" s="105"/>
      <c r="DX225" s="105"/>
      <c r="DY225" s="105"/>
      <c r="DZ225" s="105"/>
      <c r="EA225" s="105"/>
      <c r="EB225" s="105"/>
      <c r="EC225" s="105"/>
      <c r="ED225" s="105"/>
      <c r="EE225" s="105"/>
      <c r="EF225" s="105"/>
      <c r="EG225" s="105"/>
      <c r="EH225" s="105"/>
      <c r="EI225" s="105"/>
      <c r="EJ225" s="105"/>
      <c r="EK225" s="105"/>
      <c r="EL225" s="105"/>
      <c r="EM225" s="105"/>
      <c r="EN225" s="105"/>
      <c r="EO225" s="105"/>
      <c r="EP225" s="105"/>
      <c r="EQ225" s="105"/>
      <c r="ER225" s="105"/>
      <c r="ES225" s="105"/>
      <c r="ET225" s="105"/>
      <c r="EU225" s="105"/>
      <c r="EV225" s="105"/>
      <c r="EW225" s="105"/>
      <c r="EX225" s="105"/>
      <c r="EY225" s="105"/>
      <c r="EZ225" s="105"/>
      <c r="FA225" s="105"/>
      <c r="FB225" s="105"/>
      <c r="FC225" s="105"/>
      <c r="FD225" s="105"/>
      <c r="FE225" s="105"/>
      <c r="FF225" s="105"/>
      <c r="FG225" s="105"/>
      <c r="FH225" s="105"/>
      <c r="FI225" s="105"/>
      <c r="FJ225" s="105"/>
      <c r="FK225" s="105"/>
      <c r="FL225" s="105"/>
      <c r="FM225" s="105"/>
      <c r="FN225" s="105"/>
      <c r="FO225" s="105"/>
      <c r="FP225" s="105"/>
      <c r="FQ225" s="105"/>
      <c r="FR225" s="105"/>
      <c r="FS225" s="105"/>
      <c r="FT225" s="105"/>
      <c r="FU225" s="105"/>
      <c r="FV225" s="105"/>
      <c r="FW225" s="105"/>
      <c r="FX225" s="105"/>
      <c r="FY225" s="105"/>
      <c r="FZ225" s="105"/>
      <c r="GA225" s="105"/>
      <c r="GB225" s="105"/>
      <c r="GC225" s="105"/>
      <c r="GD225" s="105"/>
      <c r="GE225" s="105"/>
      <c r="GF225" s="105"/>
      <c r="GG225" s="105"/>
      <c r="GH225" s="105"/>
      <c r="GI225" s="105"/>
      <c r="GJ225" s="105"/>
      <c r="GK225" s="105"/>
      <c r="GL225" s="105"/>
      <c r="GM225" s="105"/>
      <c r="GN225" s="105"/>
      <c r="GO225" s="105"/>
      <c r="GP225" s="105"/>
      <c r="GQ225" s="105"/>
      <c r="GR225" s="105"/>
      <c r="GS225" s="105"/>
      <c r="GT225" s="105"/>
      <c r="GU225" s="105"/>
      <c r="GV225" s="105"/>
      <c r="GW225" s="105"/>
      <c r="GX225" s="105"/>
      <c r="GY225" s="105"/>
      <c r="GZ225" s="105"/>
      <c r="HA225" s="105"/>
      <c r="HB225" s="105"/>
      <c r="HC225" s="105"/>
      <c r="HD225" s="105"/>
      <c r="HE225" s="105"/>
      <c r="HF225" s="105"/>
      <c r="HG225" s="105"/>
      <c r="HH225" s="105"/>
      <c r="HI225" s="105"/>
      <c r="HJ225" s="105"/>
      <c r="HK225" s="105"/>
      <c r="HL225" s="105"/>
      <c r="HM225" s="105"/>
      <c r="HN225" s="105"/>
      <c r="HO225" s="105"/>
      <c r="HP225" s="105"/>
      <c r="HQ225" s="105"/>
      <c r="HR225" s="105"/>
      <c r="HS225" s="105"/>
      <c r="HT225" s="105"/>
      <c r="HU225" s="105"/>
      <c r="HV225" s="105"/>
      <c r="HW225" s="105"/>
      <c r="HX225" s="105"/>
      <c r="HY225" s="105"/>
      <c r="HZ225" s="105"/>
      <c r="IA225" s="105"/>
      <c r="IB225" s="105"/>
      <c r="IC225" s="105"/>
      <c r="ID225" s="105"/>
      <c r="IE225" s="105"/>
      <c r="IF225" s="105"/>
      <c r="IG225" s="105"/>
      <c r="IH225" s="105"/>
      <c r="II225" s="105"/>
      <c r="IJ225" s="105"/>
      <c r="IK225" s="105"/>
      <c r="IL225" s="105"/>
      <c r="IM225" s="105"/>
      <c r="IN225" s="105"/>
      <c r="IO225" s="105"/>
      <c r="IP225" s="105"/>
      <c r="IQ225" s="105"/>
      <c r="IR225" s="105"/>
      <c r="IS225" s="105"/>
    </row>
    <row r="226" spans="1:253">
      <c r="A226" s="116"/>
      <c r="B226" s="105"/>
      <c r="C226" s="116"/>
      <c r="D226" s="116"/>
      <c r="E226" s="116"/>
      <c r="F226" s="116"/>
      <c r="G226" s="116"/>
      <c r="H226" s="116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5"/>
      <c r="BN226" s="105"/>
      <c r="BO226" s="105"/>
      <c r="BP226" s="105"/>
      <c r="BQ226" s="105"/>
      <c r="BR226" s="105"/>
      <c r="BS226" s="105"/>
      <c r="BT226" s="105"/>
      <c r="BU226" s="105"/>
      <c r="BV226" s="105"/>
      <c r="BW226" s="105"/>
      <c r="BX226" s="105"/>
      <c r="BY226" s="105"/>
      <c r="BZ226" s="105"/>
      <c r="CA226" s="105"/>
      <c r="CB226" s="105"/>
      <c r="CC226" s="105"/>
      <c r="CD226" s="105"/>
      <c r="CE226" s="105"/>
      <c r="CF226" s="105"/>
      <c r="CG226" s="105"/>
      <c r="CH226" s="105"/>
      <c r="CI226" s="105"/>
      <c r="CJ226" s="105"/>
      <c r="CK226" s="105"/>
      <c r="CL226" s="105"/>
      <c r="CM226" s="105"/>
      <c r="CN226" s="105"/>
      <c r="CO226" s="105"/>
      <c r="CP226" s="105"/>
      <c r="CQ226" s="105"/>
      <c r="CR226" s="105"/>
      <c r="CS226" s="105"/>
      <c r="CT226" s="105"/>
      <c r="CU226" s="105"/>
      <c r="CV226" s="105"/>
      <c r="CW226" s="105"/>
      <c r="CX226" s="105"/>
      <c r="CY226" s="105"/>
      <c r="CZ226" s="105"/>
      <c r="DA226" s="105"/>
      <c r="DB226" s="105"/>
      <c r="DC226" s="105"/>
      <c r="DD226" s="105"/>
      <c r="DE226" s="105"/>
      <c r="DF226" s="105"/>
      <c r="DG226" s="105"/>
      <c r="DH226" s="105"/>
      <c r="DI226" s="105"/>
      <c r="DJ226" s="105"/>
      <c r="DK226" s="105"/>
      <c r="DL226" s="105"/>
      <c r="DM226" s="105"/>
      <c r="DN226" s="105"/>
      <c r="DO226" s="105"/>
      <c r="DP226" s="105"/>
      <c r="DQ226" s="105"/>
      <c r="DR226" s="105"/>
      <c r="DS226" s="105"/>
      <c r="DT226" s="105"/>
      <c r="DU226" s="105"/>
      <c r="DV226" s="105"/>
      <c r="DW226" s="105"/>
      <c r="DX226" s="105"/>
      <c r="DY226" s="105"/>
      <c r="DZ226" s="105"/>
      <c r="EA226" s="105"/>
      <c r="EB226" s="105"/>
      <c r="EC226" s="105"/>
      <c r="ED226" s="105"/>
      <c r="EE226" s="105"/>
      <c r="EF226" s="105"/>
      <c r="EG226" s="105"/>
      <c r="EH226" s="105"/>
      <c r="EI226" s="105"/>
      <c r="EJ226" s="105"/>
      <c r="EK226" s="105"/>
      <c r="EL226" s="105"/>
      <c r="EM226" s="105"/>
      <c r="EN226" s="105"/>
      <c r="EO226" s="105"/>
      <c r="EP226" s="105"/>
      <c r="EQ226" s="105"/>
      <c r="ER226" s="105"/>
      <c r="ES226" s="105"/>
      <c r="ET226" s="105"/>
      <c r="EU226" s="105"/>
      <c r="EV226" s="105"/>
      <c r="EW226" s="105"/>
      <c r="EX226" s="105"/>
      <c r="EY226" s="105"/>
      <c r="EZ226" s="105"/>
      <c r="FA226" s="105"/>
      <c r="FB226" s="105"/>
      <c r="FC226" s="105"/>
      <c r="FD226" s="105"/>
      <c r="FE226" s="105"/>
      <c r="FF226" s="105"/>
      <c r="FG226" s="105"/>
      <c r="FH226" s="105"/>
      <c r="FI226" s="105"/>
      <c r="FJ226" s="105"/>
      <c r="FK226" s="105"/>
      <c r="FL226" s="105"/>
      <c r="FM226" s="105"/>
      <c r="FN226" s="105"/>
      <c r="FO226" s="105"/>
      <c r="FP226" s="105"/>
      <c r="FQ226" s="105"/>
      <c r="FR226" s="105"/>
      <c r="FS226" s="105"/>
      <c r="FT226" s="105"/>
      <c r="FU226" s="105"/>
      <c r="FV226" s="105"/>
      <c r="FW226" s="105"/>
      <c r="FX226" s="105"/>
      <c r="FY226" s="105"/>
      <c r="FZ226" s="105"/>
      <c r="GA226" s="105"/>
      <c r="GB226" s="105"/>
      <c r="GC226" s="105"/>
      <c r="GD226" s="105"/>
      <c r="GE226" s="105"/>
      <c r="GF226" s="105"/>
      <c r="GG226" s="105"/>
      <c r="GH226" s="105"/>
      <c r="GI226" s="105"/>
      <c r="GJ226" s="105"/>
      <c r="GK226" s="105"/>
      <c r="GL226" s="105"/>
      <c r="GM226" s="105"/>
      <c r="GN226" s="105"/>
      <c r="GO226" s="105"/>
      <c r="GP226" s="105"/>
      <c r="GQ226" s="105"/>
      <c r="GR226" s="105"/>
      <c r="GS226" s="105"/>
      <c r="GT226" s="105"/>
      <c r="GU226" s="105"/>
      <c r="GV226" s="105"/>
      <c r="GW226" s="105"/>
      <c r="GX226" s="105"/>
      <c r="GY226" s="105"/>
      <c r="GZ226" s="105"/>
      <c r="HA226" s="105"/>
      <c r="HB226" s="105"/>
      <c r="HC226" s="105"/>
      <c r="HD226" s="105"/>
      <c r="HE226" s="105"/>
      <c r="HF226" s="105"/>
      <c r="HG226" s="105"/>
      <c r="HH226" s="105"/>
      <c r="HI226" s="105"/>
      <c r="HJ226" s="105"/>
      <c r="HK226" s="105"/>
      <c r="HL226" s="105"/>
      <c r="HM226" s="105"/>
      <c r="HN226" s="105"/>
      <c r="HO226" s="105"/>
      <c r="HP226" s="105"/>
      <c r="HQ226" s="105"/>
      <c r="HR226" s="105"/>
      <c r="HS226" s="105"/>
      <c r="HT226" s="105"/>
      <c r="HU226" s="105"/>
      <c r="HV226" s="105"/>
      <c r="HW226" s="105"/>
      <c r="HX226" s="105"/>
      <c r="HY226" s="105"/>
      <c r="HZ226" s="105"/>
      <c r="IA226" s="105"/>
      <c r="IB226" s="105"/>
      <c r="IC226" s="105"/>
      <c r="ID226" s="105"/>
      <c r="IE226" s="105"/>
      <c r="IF226" s="105"/>
      <c r="IG226" s="105"/>
      <c r="IH226" s="105"/>
      <c r="II226" s="105"/>
      <c r="IJ226" s="105"/>
      <c r="IK226" s="105"/>
      <c r="IL226" s="105"/>
      <c r="IM226" s="105"/>
      <c r="IN226" s="105"/>
      <c r="IO226" s="105"/>
      <c r="IP226" s="105"/>
      <c r="IQ226" s="105"/>
      <c r="IR226" s="105"/>
      <c r="IS226" s="105"/>
    </row>
    <row r="227" spans="1:253">
      <c r="A227" s="116"/>
      <c r="B227" s="105"/>
      <c r="C227" s="116"/>
      <c r="D227" s="116"/>
      <c r="E227" s="116"/>
      <c r="F227" s="116"/>
      <c r="G227" s="116"/>
      <c r="H227" s="116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/>
      <c r="BL227" s="105"/>
      <c r="BM227" s="105"/>
      <c r="BN227" s="105"/>
      <c r="BO227" s="105"/>
      <c r="BP227" s="105"/>
      <c r="BQ227" s="105"/>
      <c r="BR227" s="105"/>
      <c r="BS227" s="105"/>
      <c r="BT227" s="105"/>
      <c r="BU227" s="105"/>
      <c r="BV227" s="105"/>
      <c r="BW227" s="105"/>
      <c r="BX227" s="105"/>
      <c r="BY227" s="105"/>
      <c r="BZ227" s="105"/>
      <c r="CA227" s="105"/>
      <c r="CB227" s="105"/>
      <c r="CC227" s="105"/>
      <c r="CD227" s="105"/>
      <c r="CE227" s="105"/>
      <c r="CF227" s="105"/>
      <c r="CG227" s="105"/>
      <c r="CH227" s="105"/>
      <c r="CI227" s="105"/>
      <c r="CJ227" s="105"/>
      <c r="CK227" s="105"/>
      <c r="CL227" s="105"/>
      <c r="CM227" s="105"/>
      <c r="CN227" s="105"/>
      <c r="CO227" s="105"/>
      <c r="CP227" s="105"/>
      <c r="CQ227" s="105"/>
      <c r="CR227" s="105"/>
      <c r="CS227" s="105"/>
      <c r="CT227" s="105"/>
      <c r="CU227" s="105"/>
      <c r="CV227" s="105"/>
      <c r="CW227" s="105"/>
      <c r="CX227" s="105"/>
      <c r="CY227" s="105"/>
      <c r="CZ227" s="105"/>
      <c r="DA227" s="105"/>
      <c r="DB227" s="105"/>
      <c r="DC227" s="105"/>
      <c r="DD227" s="105"/>
      <c r="DE227" s="105"/>
      <c r="DF227" s="105"/>
      <c r="DG227" s="105"/>
      <c r="DH227" s="105"/>
      <c r="DI227" s="105"/>
      <c r="DJ227" s="105"/>
      <c r="DK227" s="105"/>
      <c r="DL227" s="105"/>
      <c r="DM227" s="105"/>
      <c r="DN227" s="105"/>
      <c r="DO227" s="105"/>
      <c r="DP227" s="105"/>
      <c r="DQ227" s="105"/>
      <c r="DR227" s="105"/>
      <c r="DS227" s="105"/>
      <c r="DT227" s="105"/>
      <c r="DU227" s="105"/>
      <c r="DV227" s="105"/>
      <c r="DW227" s="105"/>
      <c r="DX227" s="105"/>
      <c r="DY227" s="105"/>
      <c r="DZ227" s="105"/>
      <c r="EA227" s="105"/>
      <c r="EB227" s="105"/>
      <c r="EC227" s="105"/>
      <c r="ED227" s="105"/>
      <c r="EE227" s="105"/>
      <c r="EF227" s="105"/>
      <c r="EG227" s="105"/>
      <c r="EH227" s="105"/>
      <c r="EI227" s="105"/>
      <c r="EJ227" s="105"/>
      <c r="EK227" s="105"/>
      <c r="EL227" s="105"/>
      <c r="EM227" s="105"/>
      <c r="EN227" s="105"/>
      <c r="EO227" s="105"/>
      <c r="EP227" s="105"/>
      <c r="EQ227" s="105"/>
      <c r="ER227" s="105"/>
      <c r="ES227" s="105"/>
      <c r="ET227" s="105"/>
      <c r="EU227" s="105"/>
      <c r="EV227" s="105"/>
      <c r="EW227" s="105"/>
      <c r="EX227" s="105"/>
      <c r="EY227" s="105"/>
      <c r="EZ227" s="105"/>
      <c r="FA227" s="105"/>
      <c r="FB227" s="105"/>
      <c r="FC227" s="105"/>
      <c r="FD227" s="105"/>
      <c r="FE227" s="105"/>
      <c r="FF227" s="105"/>
      <c r="FG227" s="105"/>
      <c r="FH227" s="105"/>
      <c r="FI227" s="105"/>
      <c r="FJ227" s="105"/>
      <c r="FK227" s="105"/>
      <c r="FL227" s="105"/>
      <c r="FM227" s="105"/>
      <c r="FN227" s="105"/>
      <c r="FO227" s="105"/>
      <c r="FP227" s="105"/>
      <c r="FQ227" s="105"/>
      <c r="FR227" s="105"/>
      <c r="FS227" s="105"/>
      <c r="FT227" s="105"/>
      <c r="FU227" s="105"/>
      <c r="FV227" s="105"/>
      <c r="FW227" s="105"/>
      <c r="FX227" s="105"/>
      <c r="FY227" s="105"/>
      <c r="FZ227" s="105"/>
      <c r="GA227" s="105"/>
      <c r="GB227" s="105"/>
      <c r="GC227" s="105"/>
      <c r="GD227" s="105"/>
      <c r="GE227" s="105"/>
      <c r="GF227" s="105"/>
      <c r="GG227" s="105"/>
      <c r="GH227" s="105"/>
      <c r="GI227" s="105"/>
      <c r="GJ227" s="105"/>
      <c r="GK227" s="105"/>
      <c r="GL227" s="105"/>
      <c r="GM227" s="105"/>
      <c r="GN227" s="105"/>
      <c r="GO227" s="105"/>
      <c r="GP227" s="105"/>
      <c r="GQ227" s="105"/>
      <c r="GR227" s="105"/>
      <c r="GS227" s="105"/>
      <c r="GT227" s="105"/>
      <c r="GU227" s="105"/>
      <c r="GV227" s="105"/>
      <c r="GW227" s="105"/>
      <c r="GX227" s="105"/>
      <c r="GY227" s="105"/>
      <c r="GZ227" s="105"/>
      <c r="HA227" s="105"/>
      <c r="HB227" s="105"/>
      <c r="HC227" s="105"/>
      <c r="HD227" s="105"/>
      <c r="HE227" s="105"/>
      <c r="HF227" s="105"/>
      <c r="HG227" s="105"/>
      <c r="HH227" s="105"/>
      <c r="HI227" s="105"/>
      <c r="HJ227" s="105"/>
      <c r="HK227" s="105"/>
      <c r="HL227" s="105"/>
      <c r="HM227" s="105"/>
      <c r="HN227" s="105"/>
      <c r="HO227" s="105"/>
      <c r="HP227" s="105"/>
      <c r="HQ227" s="105"/>
      <c r="HR227" s="105"/>
      <c r="HS227" s="105"/>
      <c r="HT227" s="105"/>
      <c r="HU227" s="105"/>
      <c r="HV227" s="105"/>
      <c r="HW227" s="105"/>
      <c r="HX227" s="105"/>
      <c r="HY227" s="105"/>
      <c r="HZ227" s="105"/>
      <c r="IA227" s="105"/>
      <c r="IB227" s="105"/>
      <c r="IC227" s="105"/>
      <c r="ID227" s="105"/>
      <c r="IE227" s="105"/>
      <c r="IF227" s="105"/>
      <c r="IG227" s="105"/>
      <c r="IH227" s="105"/>
      <c r="II227" s="105"/>
      <c r="IJ227" s="105"/>
      <c r="IK227" s="105"/>
      <c r="IL227" s="105"/>
      <c r="IM227" s="105"/>
      <c r="IN227" s="105"/>
      <c r="IO227" s="105"/>
      <c r="IP227" s="105"/>
      <c r="IQ227" s="105"/>
      <c r="IR227" s="105"/>
      <c r="IS227" s="105"/>
    </row>
    <row r="228" spans="1:253">
      <c r="A228" s="116"/>
      <c r="B228" s="105"/>
      <c r="C228" s="116"/>
      <c r="D228" s="116"/>
      <c r="E228" s="116"/>
      <c r="F228" s="116"/>
      <c r="G228" s="116"/>
      <c r="H228" s="116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  <c r="BL228" s="105"/>
      <c r="BM228" s="105"/>
      <c r="BN228" s="105"/>
      <c r="BO228" s="105"/>
      <c r="BP228" s="105"/>
      <c r="BQ228" s="105"/>
      <c r="BR228" s="105"/>
      <c r="BS228" s="105"/>
      <c r="BT228" s="105"/>
      <c r="BU228" s="105"/>
      <c r="BV228" s="105"/>
      <c r="BW228" s="105"/>
      <c r="BX228" s="105"/>
      <c r="BY228" s="105"/>
      <c r="BZ228" s="105"/>
      <c r="CA228" s="105"/>
      <c r="CB228" s="105"/>
      <c r="CC228" s="105"/>
      <c r="CD228" s="105"/>
      <c r="CE228" s="105"/>
      <c r="CF228" s="105"/>
      <c r="CG228" s="105"/>
      <c r="CH228" s="105"/>
      <c r="CI228" s="105"/>
      <c r="CJ228" s="105"/>
      <c r="CK228" s="105"/>
      <c r="CL228" s="105"/>
      <c r="CM228" s="105"/>
      <c r="CN228" s="105"/>
      <c r="CO228" s="105"/>
      <c r="CP228" s="105"/>
      <c r="CQ228" s="105"/>
      <c r="CR228" s="105"/>
      <c r="CS228" s="105"/>
      <c r="CT228" s="105"/>
      <c r="CU228" s="105"/>
      <c r="CV228" s="105"/>
      <c r="CW228" s="105"/>
      <c r="CX228" s="105"/>
      <c r="CY228" s="105"/>
      <c r="CZ228" s="105"/>
      <c r="DA228" s="105"/>
      <c r="DB228" s="105"/>
      <c r="DC228" s="105"/>
      <c r="DD228" s="105"/>
      <c r="DE228" s="105"/>
      <c r="DF228" s="105"/>
      <c r="DG228" s="105"/>
      <c r="DH228" s="105"/>
      <c r="DI228" s="105"/>
      <c r="DJ228" s="105"/>
      <c r="DK228" s="105"/>
      <c r="DL228" s="105"/>
      <c r="DM228" s="105"/>
      <c r="DN228" s="105"/>
      <c r="DO228" s="105"/>
      <c r="DP228" s="105"/>
      <c r="DQ228" s="105"/>
      <c r="DR228" s="105"/>
      <c r="DS228" s="105"/>
      <c r="DT228" s="105"/>
      <c r="DU228" s="105"/>
      <c r="DV228" s="105"/>
      <c r="DW228" s="105"/>
      <c r="DX228" s="105"/>
      <c r="DY228" s="105"/>
      <c r="DZ228" s="105"/>
      <c r="EA228" s="105"/>
      <c r="EB228" s="105"/>
      <c r="EC228" s="105"/>
      <c r="ED228" s="105"/>
      <c r="EE228" s="105"/>
      <c r="EF228" s="105"/>
      <c r="EG228" s="105"/>
      <c r="EH228" s="105"/>
      <c r="EI228" s="105"/>
      <c r="EJ228" s="105"/>
      <c r="EK228" s="105"/>
      <c r="EL228" s="105"/>
      <c r="EM228" s="105"/>
      <c r="EN228" s="105"/>
      <c r="EO228" s="105"/>
      <c r="EP228" s="105"/>
      <c r="EQ228" s="105"/>
      <c r="ER228" s="105"/>
      <c r="ES228" s="105"/>
      <c r="ET228" s="105"/>
      <c r="EU228" s="105"/>
      <c r="EV228" s="105"/>
      <c r="EW228" s="105"/>
      <c r="EX228" s="105"/>
      <c r="EY228" s="105"/>
      <c r="EZ228" s="105"/>
      <c r="FA228" s="105"/>
      <c r="FB228" s="105"/>
      <c r="FC228" s="105"/>
      <c r="FD228" s="105"/>
      <c r="FE228" s="105"/>
      <c r="FF228" s="105"/>
      <c r="FG228" s="105"/>
      <c r="FH228" s="105"/>
      <c r="FI228" s="105"/>
      <c r="FJ228" s="105"/>
      <c r="FK228" s="105"/>
      <c r="FL228" s="105"/>
      <c r="FM228" s="105"/>
      <c r="FN228" s="105"/>
      <c r="FO228" s="105"/>
      <c r="FP228" s="105"/>
      <c r="FQ228" s="105"/>
      <c r="FR228" s="105"/>
      <c r="FS228" s="105"/>
      <c r="FT228" s="105"/>
      <c r="FU228" s="105"/>
      <c r="FV228" s="105"/>
      <c r="FW228" s="105"/>
      <c r="FX228" s="105"/>
      <c r="FY228" s="105"/>
      <c r="FZ228" s="105"/>
      <c r="GA228" s="105"/>
      <c r="GB228" s="105"/>
      <c r="GC228" s="105"/>
      <c r="GD228" s="105"/>
      <c r="GE228" s="105"/>
      <c r="GF228" s="105"/>
      <c r="GG228" s="105"/>
      <c r="GH228" s="105"/>
      <c r="GI228" s="105"/>
      <c r="GJ228" s="105"/>
      <c r="GK228" s="105"/>
      <c r="GL228" s="105"/>
      <c r="GM228" s="105"/>
      <c r="GN228" s="105"/>
      <c r="GO228" s="105"/>
      <c r="GP228" s="105"/>
      <c r="GQ228" s="105"/>
      <c r="GR228" s="105"/>
      <c r="GS228" s="105"/>
      <c r="GT228" s="105"/>
      <c r="GU228" s="105"/>
      <c r="GV228" s="105"/>
      <c r="GW228" s="105"/>
      <c r="GX228" s="105"/>
      <c r="GY228" s="105"/>
      <c r="GZ228" s="105"/>
      <c r="HA228" s="105"/>
      <c r="HB228" s="105"/>
      <c r="HC228" s="105"/>
      <c r="HD228" s="105"/>
      <c r="HE228" s="105"/>
      <c r="HF228" s="105"/>
      <c r="HG228" s="105"/>
      <c r="HH228" s="105"/>
      <c r="HI228" s="105"/>
      <c r="HJ228" s="105"/>
      <c r="HK228" s="105"/>
      <c r="HL228" s="105"/>
      <c r="HM228" s="105"/>
      <c r="HN228" s="105"/>
      <c r="HO228" s="105"/>
      <c r="HP228" s="105"/>
      <c r="HQ228" s="105"/>
      <c r="HR228" s="105"/>
      <c r="HS228" s="105"/>
      <c r="HT228" s="105"/>
      <c r="HU228" s="105"/>
      <c r="HV228" s="105"/>
      <c r="HW228" s="105"/>
      <c r="HX228" s="105"/>
      <c r="HY228" s="105"/>
      <c r="HZ228" s="105"/>
      <c r="IA228" s="105"/>
      <c r="IB228" s="105"/>
      <c r="IC228" s="105"/>
      <c r="ID228" s="105"/>
      <c r="IE228" s="105"/>
      <c r="IF228" s="105"/>
      <c r="IG228" s="105"/>
      <c r="IH228" s="105"/>
      <c r="II228" s="105"/>
      <c r="IJ228" s="105"/>
      <c r="IK228" s="105"/>
      <c r="IL228" s="105"/>
      <c r="IM228" s="105"/>
      <c r="IN228" s="105"/>
      <c r="IO228" s="105"/>
      <c r="IP228" s="105"/>
      <c r="IQ228" s="105"/>
      <c r="IR228" s="105"/>
      <c r="IS228" s="105"/>
    </row>
    <row r="229" spans="1:253">
      <c r="A229" s="116"/>
      <c r="B229" s="105"/>
      <c r="C229" s="116"/>
      <c r="D229" s="116"/>
      <c r="E229" s="116"/>
      <c r="F229" s="116"/>
      <c r="G229" s="116"/>
      <c r="H229" s="116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  <c r="BL229" s="105"/>
      <c r="BM229" s="105"/>
      <c r="BN229" s="105"/>
      <c r="BO229" s="105"/>
      <c r="BP229" s="105"/>
      <c r="BQ229" s="105"/>
      <c r="BR229" s="105"/>
      <c r="BS229" s="105"/>
      <c r="BT229" s="105"/>
      <c r="BU229" s="105"/>
      <c r="BV229" s="105"/>
      <c r="BW229" s="105"/>
      <c r="BX229" s="105"/>
      <c r="BY229" s="105"/>
      <c r="BZ229" s="105"/>
      <c r="CA229" s="105"/>
      <c r="CB229" s="105"/>
      <c r="CC229" s="105"/>
      <c r="CD229" s="105"/>
      <c r="CE229" s="105"/>
      <c r="CF229" s="105"/>
      <c r="CG229" s="105"/>
      <c r="CH229" s="105"/>
      <c r="CI229" s="105"/>
      <c r="CJ229" s="105"/>
      <c r="CK229" s="105"/>
      <c r="CL229" s="105"/>
      <c r="CM229" s="105"/>
      <c r="CN229" s="105"/>
      <c r="CO229" s="105"/>
      <c r="CP229" s="105"/>
      <c r="CQ229" s="105"/>
      <c r="CR229" s="105"/>
      <c r="CS229" s="105"/>
      <c r="CT229" s="105"/>
      <c r="CU229" s="105"/>
      <c r="CV229" s="105"/>
      <c r="CW229" s="105"/>
      <c r="CX229" s="105"/>
      <c r="CY229" s="105"/>
      <c r="CZ229" s="105"/>
      <c r="DA229" s="105"/>
      <c r="DB229" s="105"/>
      <c r="DC229" s="105"/>
      <c r="DD229" s="105"/>
      <c r="DE229" s="105"/>
      <c r="DF229" s="105"/>
      <c r="DG229" s="105"/>
      <c r="DH229" s="105"/>
      <c r="DI229" s="105"/>
      <c r="DJ229" s="105"/>
      <c r="DK229" s="105"/>
      <c r="DL229" s="105"/>
      <c r="DM229" s="105"/>
      <c r="DN229" s="105"/>
      <c r="DO229" s="105"/>
      <c r="DP229" s="105"/>
      <c r="DQ229" s="105"/>
      <c r="DR229" s="105"/>
      <c r="DS229" s="105"/>
      <c r="DT229" s="105"/>
      <c r="DU229" s="105"/>
      <c r="DV229" s="105"/>
      <c r="DW229" s="105"/>
      <c r="DX229" s="105"/>
      <c r="DY229" s="105"/>
      <c r="DZ229" s="105"/>
      <c r="EA229" s="105"/>
      <c r="EB229" s="105"/>
      <c r="EC229" s="105"/>
      <c r="ED229" s="105"/>
      <c r="EE229" s="105"/>
      <c r="EF229" s="105"/>
      <c r="EG229" s="105"/>
      <c r="EH229" s="105"/>
      <c r="EI229" s="105"/>
      <c r="EJ229" s="105"/>
      <c r="EK229" s="105"/>
      <c r="EL229" s="105"/>
      <c r="EM229" s="105"/>
      <c r="EN229" s="105"/>
      <c r="EO229" s="105"/>
      <c r="EP229" s="105"/>
      <c r="EQ229" s="105"/>
      <c r="ER229" s="105"/>
      <c r="ES229" s="105"/>
      <c r="ET229" s="105"/>
      <c r="EU229" s="105"/>
      <c r="EV229" s="105"/>
      <c r="EW229" s="105"/>
      <c r="EX229" s="105"/>
      <c r="EY229" s="105"/>
      <c r="EZ229" s="105"/>
      <c r="FA229" s="105"/>
      <c r="FB229" s="105"/>
      <c r="FC229" s="105"/>
      <c r="FD229" s="105"/>
      <c r="FE229" s="105"/>
      <c r="FF229" s="105"/>
      <c r="FG229" s="105"/>
      <c r="FH229" s="105"/>
      <c r="FI229" s="105"/>
      <c r="FJ229" s="105"/>
      <c r="FK229" s="105"/>
      <c r="FL229" s="105"/>
      <c r="FM229" s="105"/>
      <c r="FN229" s="105"/>
      <c r="FO229" s="105"/>
      <c r="FP229" s="105"/>
      <c r="FQ229" s="105"/>
      <c r="FR229" s="105"/>
      <c r="FS229" s="105"/>
      <c r="FT229" s="105"/>
      <c r="FU229" s="105"/>
      <c r="FV229" s="105"/>
      <c r="FW229" s="105"/>
      <c r="FX229" s="105"/>
      <c r="FY229" s="105"/>
      <c r="FZ229" s="105"/>
      <c r="GA229" s="105"/>
      <c r="GB229" s="105"/>
      <c r="GC229" s="105"/>
      <c r="GD229" s="105"/>
      <c r="GE229" s="105"/>
      <c r="GF229" s="105"/>
      <c r="GG229" s="105"/>
      <c r="GH229" s="105"/>
      <c r="GI229" s="105"/>
      <c r="GJ229" s="105"/>
      <c r="GK229" s="105"/>
      <c r="GL229" s="105"/>
      <c r="GM229" s="105"/>
      <c r="GN229" s="105"/>
      <c r="GO229" s="105"/>
      <c r="GP229" s="105"/>
      <c r="GQ229" s="105"/>
      <c r="GR229" s="105"/>
      <c r="GS229" s="105"/>
      <c r="GT229" s="105"/>
      <c r="GU229" s="105"/>
      <c r="GV229" s="105"/>
      <c r="GW229" s="105"/>
      <c r="GX229" s="105"/>
      <c r="GY229" s="105"/>
      <c r="GZ229" s="105"/>
      <c r="HA229" s="105"/>
      <c r="HB229" s="105"/>
      <c r="HC229" s="105"/>
      <c r="HD229" s="105"/>
      <c r="HE229" s="105"/>
      <c r="HF229" s="105"/>
      <c r="HG229" s="105"/>
      <c r="HH229" s="105"/>
      <c r="HI229" s="105"/>
      <c r="HJ229" s="105"/>
      <c r="HK229" s="105"/>
      <c r="HL229" s="105"/>
      <c r="HM229" s="105"/>
      <c r="HN229" s="105"/>
      <c r="HO229" s="105"/>
      <c r="HP229" s="105"/>
      <c r="HQ229" s="105"/>
      <c r="HR229" s="105"/>
      <c r="HS229" s="105"/>
      <c r="HT229" s="105"/>
      <c r="HU229" s="105"/>
      <c r="HV229" s="105"/>
      <c r="HW229" s="105"/>
      <c r="HX229" s="105"/>
      <c r="HY229" s="105"/>
      <c r="HZ229" s="105"/>
      <c r="IA229" s="105"/>
      <c r="IB229" s="105"/>
      <c r="IC229" s="105"/>
      <c r="ID229" s="105"/>
      <c r="IE229" s="105"/>
      <c r="IF229" s="105"/>
      <c r="IG229" s="105"/>
      <c r="IH229" s="105"/>
      <c r="II229" s="105"/>
      <c r="IJ229" s="105"/>
      <c r="IK229" s="105"/>
      <c r="IL229" s="105"/>
      <c r="IM229" s="105"/>
      <c r="IN229" s="105"/>
      <c r="IO229" s="105"/>
      <c r="IP229" s="105"/>
      <c r="IQ229" s="105"/>
      <c r="IR229" s="105"/>
      <c r="IS229" s="105"/>
    </row>
    <row r="230" spans="1:253">
      <c r="A230" s="116"/>
      <c r="B230" s="105"/>
      <c r="C230" s="116"/>
      <c r="D230" s="116"/>
      <c r="E230" s="116"/>
      <c r="F230" s="116"/>
      <c r="G230" s="116"/>
      <c r="H230" s="116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5"/>
      <c r="BN230" s="105"/>
      <c r="BO230" s="105"/>
      <c r="BP230" s="105"/>
      <c r="BQ230" s="105"/>
      <c r="BR230" s="105"/>
      <c r="BS230" s="105"/>
      <c r="BT230" s="105"/>
      <c r="BU230" s="105"/>
      <c r="BV230" s="105"/>
      <c r="BW230" s="105"/>
      <c r="BX230" s="105"/>
      <c r="BY230" s="105"/>
      <c r="BZ230" s="105"/>
      <c r="CA230" s="105"/>
      <c r="CB230" s="105"/>
      <c r="CC230" s="105"/>
      <c r="CD230" s="105"/>
      <c r="CE230" s="105"/>
      <c r="CF230" s="105"/>
      <c r="CG230" s="105"/>
      <c r="CH230" s="105"/>
      <c r="CI230" s="105"/>
      <c r="CJ230" s="105"/>
      <c r="CK230" s="105"/>
      <c r="CL230" s="105"/>
      <c r="CM230" s="105"/>
      <c r="CN230" s="105"/>
      <c r="CO230" s="105"/>
      <c r="CP230" s="105"/>
      <c r="CQ230" s="105"/>
      <c r="CR230" s="105"/>
      <c r="CS230" s="105"/>
      <c r="CT230" s="105"/>
      <c r="CU230" s="105"/>
      <c r="CV230" s="105"/>
      <c r="CW230" s="105"/>
      <c r="CX230" s="105"/>
      <c r="CY230" s="105"/>
      <c r="CZ230" s="105"/>
      <c r="DA230" s="105"/>
      <c r="DB230" s="105"/>
      <c r="DC230" s="105"/>
      <c r="DD230" s="105"/>
      <c r="DE230" s="105"/>
      <c r="DF230" s="105"/>
      <c r="DG230" s="105"/>
      <c r="DH230" s="105"/>
      <c r="DI230" s="105"/>
      <c r="DJ230" s="105"/>
      <c r="DK230" s="105"/>
      <c r="DL230" s="105"/>
      <c r="DM230" s="105"/>
      <c r="DN230" s="105"/>
      <c r="DO230" s="105"/>
      <c r="DP230" s="105"/>
      <c r="DQ230" s="105"/>
      <c r="DR230" s="105"/>
      <c r="DS230" s="105"/>
      <c r="DT230" s="105"/>
      <c r="DU230" s="105"/>
      <c r="DV230" s="105"/>
      <c r="DW230" s="105"/>
      <c r="DX230" s="105"/>
      <c r="DY230" s="105"/>
      <c r="DZ230" s="105"/>
      <c r="EA230" s="105"/>
      <c r="EB230" s="105"/>
      <c r="EC230" s="105"/>
      <c r="ED230" s="105"/>
      <c r="EE230" s="105"/>
      <c r="EF230" s="105"/>
      <c r="EG230" s="105"/>
      <c r="EH230" s="105"/>
      <c r="EI230" s="105"/>
      <c r="EJ230" s="105"/>
      <c r="EK230" s="105"/>
      <c r="EL230" s="105"/>
      <c r="EM230" s="105"/>
      <c r="EN230" s="105"/>
      <c r="EO230" s="105"/>
      <c r="EP230" s="105"/>
      <c r="EQ230" s="105"/>
      <c r="ER230" s="105"/>
      <c r="ES230" s="105"/>
      <c r="ET230" s="105"/>
      <c r="EU230" s="105"/>
      <c r="EV230" s="105"/>
      <c r="EW230" s="105"/>
      <c r="EX230" s="105"/>
      <c r="EY230" s="105"/>
      <c r="EZ230" s="105"/>
      <c r="FA230" s="105"/>
      <c r="FB230" s="105"/>
      <c r="FC230" s="105"/>
      <c r="FD230" s="105"/>
      <c r="FE230" s="105"/>
      <c r="FF230" s="105"/>
      <c r="FG230" s="105"/>
      <c r="FH230" s="105"/>
      <c r="FI230" s="105"/>
      <c r="FJ230" s="105"/>
      <c r="FK230" s="105"/>
      <c r="FL230" s="105"/>
      <c r="FM230" s="105"/>
      <c r="FN230" s="105"/>
      <c r="FO230" s="105"/>
      <c r="FP230" s="105"/>
      <c r="FQ230" s="105"/>
      <c r="FR230" s="105"/>
      <c r="FS230" s="105"/>
      <c r="FT230" s="105"/>
      <c r="FU230" s="105"/>
      <c r="FV230" s="105"/>
      <c r="FW230" s="105"/>
      <c r="FX230" s="105"/>
      <c r="FY230" s="105"/>
      <c r="FZ230" s="105"/>
      <c r="GA230" s="105"/>
      <c r="GB230" s="105"/>
      <c r="GC230" s="105"/>
      <c r="GD230" s="105"/>
      <c r="GE230" s="105"/>
      <c r="GF230" s="105"/>
      <c r="GG230" s="105"/>
      <c r="GH230" s="105"/>
      <c r="GI230" s="105"/>
      <c r="GJ230" s="105"/>
      <c r="GK230" s="105"/>
      <c r="GL230" s="105"/>
      <c r="GM230" s="105"/>
      <c r="GN230" s="105"/>
      <c r="GO230" s="105"/>
      <c r="GP230" s="105"/>
      <c r="GQ230" s="105"/>
      <c r="GR230" s="105"/>
      <c r="GS230" s="105"/>
      <c r="GT230" s="105"/>
      <c r="GU230" s="105"/>
      <c r="GV230" s="105"/>
      <c r="GW230" s="105"/>
      <c r="GX230" s="105"/>
      <c r="GY230" s="105"/>
      <c r="GZ230" s="105"/>
      <c r="HA230" s="105"/>
      <c r="HB230" s="105"/>
      <c r="HC230" s="105"/>
      <c r="HD230" s="105"/>
      <c r="HE230" s="105"/>
      <c r="HF230" s="105"/>
      <c r="HG230" s="105"/>
      <c r="HH230" s="105"/>
      <c r="HI230" s="105"/>
      <c r="HJ230" s="105"/>
      <c r="HK230" s="105"/>
      <c r="HL230" s="105"/>
      <c r="HM230" s="105"/>
      <c r="HN230" s="105"/>
      <c r="HO230" s="105"/>
      <c r="HP230" s="105"/>
      <c r="HQ230" s="105"/>
      <c r="HR230" s="105"/>
      <c r="HS230" s="105"/>
      <c r="HT230" s="105"/>
      <c r="HU230" s="105"/>
      <c r="HV230" s="105"/>
      <c r="HW230" s="105"/>
      <c r="HX230" s="105"/>
      <c r="HY230" s="105"/>
      <c r="HZ230" s="105"/>
      <c r="IA230" s="105"/>
      <c r="IB230" s="105"/>
      <c r="IC230" s="105"/>
      <c r="ID230" s="105"/>
      <c r="IE230" s="105"/>
      <c r="IF230" s="105"/>
      <c r="IG230" s="105"/>
      <c r="IH230" s="105"/>
      <c r="II230" s="105"/>
      <c r="IJ230" s="105"/>
      <c r="IK230" s="105"/>
      <c r="IL230" s="105"/>
      <c r="IM230" s="105"/>
      <c r="IN230" s="105"/>
      <c r="IO230" s="105"/>
      <c r="IP230" s="105"/>
      <c r="IQ230" s="105"/>
      <c r="IR230" s="105"/>
      <c r="IS230" s="105"/>
    </row>
    <row r="231" spans="1:253">
      <c r="A231" s="116"/>
      <c r="B231" s="105"/>
      <c r="C231" s="116"/>
      <c r="D231" s="116"/>
      <c r="E231" s="116"/>
      <c r="F231" s="116"/>
      <c r="G231" s="116"/>
      <c r="H231" s="116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  <c r="BO231" s="105"/>
      <c r="BP231" s="105"/>
      <c r="BQ231" s="105"/>
      <c r="BR231" s="105"/>
      <c r="BS231" s="105"/>
      <c r="BT231" s="105"/>
      <c r="BU231" s="105"/>
      <c r="BV231" s="105"/>
      <c r="BW231" s="105"/>
      <c r="BX231" s="105"/>
      <c r="BY231" s="105"/>
      <c r="BZ231" s="105"/>
      <c r="CA231" s="105"/>
      <c r="CB231" s="105"/>
      <c r="CC231" s="105"/>
      <c r="CD231" s="105"/>
      <c r="CE231" s="105"/>
      <c r="CF231" s="105"/>
      <c r="CG231" s="105"/>
      <c r="CH231" s="105"/>
      <c r="CI231" s="105"/>
      <c r="CJ231" s="105"/>
      <c r="CK231" s="105"/>
      <c r="CL231" s="105"/>
      <c r="CM231" s="105"/>
      <c r="CN231" s="105"/>
      <c r="CO231" s="105"/>
      <c r="CP231" s="105"/>
      <c r="CQ231" s="105"/>
      <c r="CR231" s="105"/>
      <c r="CS231" s="105"/>
      <c r="CT231" s="105"/>
      <c r="CU231" s="105"/>
      <c r="CV231" s="105"/>
      <c r="CW231" s="105"/>
      <c r="CX231" s="105"/>
      <c r="CY231" s="105"/>
      <c r="CZ231" s="105"/>
      <c r="DA231" s="105"/>
      <c r="DB231" s="105"/>
      <c r="DC231" s="105"/>
      <c r="DD231" s="105"/>
      <c r="DE231" s="105"/>
      <c r="DF231" s="105"/>
      <c r="DG231" s="105"/>
      <c r="DH231" s="105"/>
      <c r="DI231" s="105"/>
      <c r="DJ231" s="105"/>
      <c r="DK231" s="105"/>
      <c r="DL231" s="105"/>
      <c r="DM231" s="105"/>
      <c r="DN231" s="105"/>
      <c r="DO231" s="105"/>
      <c r="DP231" s="105"/>
      <c r="DQ231" s="105"/>
      <c r="DR231" s="105"/>
      <c r="DS231" s="105"/>
      <c r="DT231" s="105"/>
      <c r="DU231" s="105"/>
      <c r="DV231" s="105"/>
      <c r="DW231" s="105"/>
      <c r="DX231" s="105"/>
      <c r="DY231" s="105"/>
      <c r="DZ231" s="105"/>
      <c r="EA231" s="105"/>
      <c r="EB231" s="105"/>
      <c r="EC231" s="105"/>
      <c r="ED231" s="105"/>
      <c r="EE231" s="105"/>
      <c r="EF231" s="105"/>
      <c r="EG231" s="105"/>
      <c r="EH231" s="105"/>
      <c r="EI231" s="105"/>
      <c r="EJ231" s="105"/>
      <c r="EK231" s="105"/>
      <c r="EL231" s="105"/>
      <c r="EM231" s="105"/>
      <c r="EN231" s="105"/>
      <c r="EO231" s="105"/>
      <c r="EP231" s="105"/>
      <c r="EQ231" s="105"/>
      <c r="ER231" s="105"/>
      <c r="ES231" s="105"/>
      <c r="ET231" s="105"/>
      <c r="EU231" s="105"/>
      <c r="EV231" s="105"/>
      <c r="EW231" s="105"/>
      <c r="EX231" s="105"/>
      <c r="EY231" s="105"/>
      <c r="EZ231" s="105"/>
      <c r="FA231" s="105"/>
      <c r="FB231" s="105"/>
      <c r="FC231" s="105"/>
      <c r="FD231" s="105"/>
      <c r="FE231" s="105"/>
      <c r="FF231" s="105"/>
      <c r="FG231" s="105"/>
      <c r="FH231" s="105"/>
      <c r="FI231" s="105"/>
      <c r="FJ231" s="105"/>
      <c r="FK231" s="105"/>
      <c r="FL231" s="105"/>
      <c r="FM231" s="105"/>
      <c r="FN231" s="105"/>
      <c r="FO231" s="105"/>
      <c r="FP231" s="105"/>
      <c r="FQ231" s="105"/>
      <c r="FR231" s="105"/>
      <c r="FS231" s="105"/>
      <c r="FT231" s="105"/>
      <c r="FU231" s="105"/>
      <c r="FV231" s="105"/>
      <c r="FW231" s="105"/>
      <c r="FX231" s="105"/>
      <c r="FY231" s="105"/>
      <c r="FZ231" s="105"/>
      <c r="GA231" s="105"/>
      <c r="GB231" s="105"/>
      <c r="GC231" s="105"/>
      <c r="GD231" s="105"/>
      <c r="GE231" s="105"/>
      <c r="GF231" s="105"/>
      <c r="GG231" s="105"/>
      <c r="GH231" s="105"/>
      <c r="GI231" s="105"/>
      <c r="GJ231" s="105"/>
      <c r="GK231" s="105"/>
      <c r="GL231" s="105"/>
      <c r="GM231" s="105"/>
      <c r="GN231" s="105"/>
      <c r="GO231" s="105"/>
      <c r="GP231" s="105"/>
      <c r="GQ231" s="105"/>
      <c r="GR231" s="105"/>
      <c r="GS231" s="105"/>
      <c r="GT231" s="105"/>
      <c r="GU231" s="105"/>
      <c r="GV231" s="105"/>
      <c r="GW231" s="105"/>
      <c r="GX231" s="105"/>
      <c r="GY231" s="105"/>
      <c r="GZ231" s="105"/>
      <c r="HA231" s="105"/>
      <c r="HB231" s="105"/>
      <c r="HC231" s="105"/>
      <c r="HD231" s="105"/>
      <c r="HE231" s="105"/>
      <c r="HF231" s="105"/>
      <c r="HG231" s="105"/>
      <c r="HH231" s="105"/>
      <c r="HI231" s="105"/>
      <c r="HJ231" s="105"/>
      <c r="HK231" s="105"/>
      <c r="HL231" s="105"/>
      <c r="HM231" s="105"/>
      <c r="HN231" s="105"/>
      <c r="HO231" s="105"/>
      <c r="HP231" s="105"/>
      <c r="HQ231" s="105"/>
      <c r="HR231" s="105"/>
      <c r="HS231" s="105"/>
      <c r="HT231" s="105"/>
      <c r="HU231" s="105"/>
      <c r="HV231" s="105"/>
      <c r="HW231" s="105"/>
      <c r="HX231" s="105"/>
      <c r="HY231" s="105"/>
      <c r="HZ231" s="105"/>
      <c r="IA231" s="105"/>
      <c r="IB231" s="105"/>
      <c r="IC231" s="105"/>
      <c r="ID231" s="105"/>
      <c r="IE231" s="105"/>
      <c r="IF231" s="105"/>
      <c r="IG231" s="105"/>
      <c r="IH231" s="105"/>
      <c r="II231" s="105"/>
      <c r="IJ231" s="105"/>
      <c r="IK231" s="105"/>
      <c r="IL231" s="105"/>
      <c r="IM231" s="105"/>
      <c r="IN231" s="105"/>
      <c r="IO231" s="105"/>
      <c r="IP231" s="105"/>
      <c r="IQ231" s="105"/>
      <c r="IR231" s="105"/>
      <c r="IS231" s="105"/>
    </row>
    <row r="232" spans="1:253">
      <c r="A232" s="116"/>
      <c r="B232" s="105"/>
      <c r="C232" s="116"/>
      <c r="D232" s="116"/>
      <c r="E232" s="116"/>
      <c r="F232" s="116"/>
      <c r="G232" s="116"/>
      <c r="H232" s="116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5"/>
      <c r="BN232" s="105"/>
      <c r="BO232" s="105"/>
      <c r="BP232" s="105"/>
      <c r="BQ232" s="105"/>
      <c r="BR232" s="105"/>
      <c r="BS232" s="105"/>
      <c r="BT232" s="105"/>
      <c r="BU232" s="105"/>
      <c r="BV232" s="105"/>
      <c r="BW232" s="105"/>
      <c r="BX232" s="105"/>
      <c r="BY232" s="105"/>
      <c r="BZ232" s="105"/>
      <c r="CA232" s="105"/>
      <c r="CB232" s="105"/>
      <c r="CC232" s="105"/>
      <c r="CD232" s="105"/>
      <c r="CE232" s="105"/>
      <c r="CF232" s="105"/>
      <c r="CG232" s="105"/>
      <c r="CH232" s="105"/>
      <c r="CI232" s="105"/>
      <c r="CJ232" s="105"/>
      <c r="CK232" s="105"/>
      <c r="CL232" s="105"/>
      <c r="CM232" s="105"/>
      <c r="CN232" s="105"/>
      <c r="CO232" s="105"/>
      <c r="CP232" s="105"/>
      <c r="CQ232" s="105"/>
      <c r="CR232" s="105"/>
      <c r="CS232" s="105"/>
      <c r="CT232" s="105"/>
      <c r="CU232" s="105"/>
      <c r="CV232" s="105"/>
      <c r="CW232" s="105"/>
      <c r="CX232" s="105"/>
      <c r="CY232" s="105"/>
      <c r="CZ232" s="105"/>
      <c r="DA232" s="105"/>
      <c r="DB232" s="105"/>
      <c r="DC232" s="105"/>
      <c r="DD232" s="105"/>
      <c r="DE232" s="105"/>
      <c r="DF232" s="105"/>
      <c r="DG232" s="105"/>
      <c r="DH232" s="105"/>
      <c r="DI232" s="105"/>
      <c r="DJ232" s="105"/>
      <c r="DK232" s="105"/>
      <c r="DL232" s="105"/>
      <c r="DM232" s="105"/>
      <c r="DN232" s="105"/>
      <c r="DO232" s="105"/>
      <c r="DP232" s="105"/>
      <c r="DQ232" s="105"/>
      <c r="DR232" s="105"/>
      <c r="DS232" s="105"/>
      <c r="DT232" s="105"/>
      <c r="DU232" s="105"/>
      <c r="DV232" s="105"/>
      <c r="DW232" s="105"/>
      <c r="DX232" s="105"/>
      <c r="DY232" s="105"/>
      <c r="DZ232" s="105"/>
      <c r="EA232" s="105"/>
      <c r="EB232" s="105"/>
      <c r="EC232" s="105"/>
      <c r="ED232" s="105"/>
      <c r="EE232" s="105"/>
      <c r="EF232" s="105"/>
      <c r="EG232" s="105"/>
      <c r="EH232" s="105"/>
      <c r="EI232" s="105"/>
      <c r="EJ232" s="105"/>
      <c r="EK232" s="105"/>
      <c r="EL232" s="105"/>
      <c r="EM232" s="105"/>
      <c r="EN232" s="105"/>
      <c r="EO232" s="105"/>
      <c r="EP232" s="105"/>
      <c r="EQ232" s="105"/>
      <c r="ER232" s="105"/>
      <c r="ES232" s="105"/>
      <c r="ET232" s="105"/>
      <c r="EU232" s="105"/>
      <c r="EV232" s="105"/>
      <c r="EW232" s="105"/>
      <c r="EX232" s="105"/>
      <c r="EY232" s="105"/>
      <c r="EZ232" s="105"/>
      <c r="FA232" s="105"/>
      <c r="FB232" s="105"/>
      <c r="FC232" s="105"/>
      <c r="FD232" s="105"/>
      <c r="FE232" s="105"/>
      <c r="FF232" s="105"/>
      <c r="FG232" s="105"/>
      <c r="FH232" s="105"/>
      <c r="FI232" s="105"/>
      <c r="FJ232" s="105"/>
      <c r="FK232" s="105"/>
      <c r="FL232" s="105"/>
      <c r="FM232" s="105"/>
      <c r="FN232" s="105"/>
      <c r="FO232" s="105"/>
      <c r="FP232" s="105"/>
      <c r="FQ232" s="105"/>
      <c r="FR232" s="105"/>
      <c r="FS232" s="105"/>
      <c r="FT232" s="105"/>
      <c r="FU232" s="105"/>
      <c r="FV232" s="105"/>
      <c r="FW232" s="105"/>
      <c r="FX232" s="105"/>
      <c r="FY232" s="105"/>
      <c r="FZ232" s="105"/>
      <c r="GA232" s="105"/>
      <c r="GB232" s="105"/>
      <c r="GC232" s="105"/>
      <c r="GD232" s="105"/>
      <c r="GE232" s="105"/>
      <c r="GF232" s="105"/>
      <c r="GG232" s="105"/>
      <c r="GH232" s="105"/>
      <c r="GI232" s="105"/>
      <c r="GJ232" s="105"/>
      <c r="GK232" s="105"/>
      <c r="GL232" s="105"/>
      <c r="GM232" s="105"/>
      <c r="GN232" s="105"/>
      <c r="GO232" s="105"/>
      <c r="GP232" s="105"/>
      <c r="GQ232" s="105"/>
      <c r="GR232" s="105"/>
      <c r="GS232" s="105"/>
      <c r="GT232" s="105"/>
      <c r="GU232" s="105"/>
      <c r="GV232" s="105"/>
      <c r="GW232" s="105"/>
      <c r="GX232" s="105"/>
      <c r="GY232" s="105"/>
      <c r="GZ232" s="105"/>
      <c r="HA232" s="105"/>
      <c r="HB232" s="105"/>
      <c r="HC232" s="105"/>
      <c r="HD232" s="105"/>
      <c r="HE232" s="105"/>
      <c r="HF232" s="105"/>
      <c r="HG232" s="105"/>
      <c r="HH232" s="105"/>
      <c r="HI232" s="105"/>
      <c r="HJ232" s="105"/>
      <c r="HK232" s="105"/>
      <c r="HL232" s="105"/>
      <c r="HM232" s="105"/>
      <c r="HN232" s="105"/>
      <c r="HO232" s="105"/>
      <c r="HP232" s="105"/>
      <c r="HQ232" s="105"/>
      <c r="HR232" s="105"/>
      <c r="HS232" s="105"/>
      <c r="HT232" s="105"/>
      <c r="HU232" s="105"/>
      <c r="HV232" s="105"/>
      <c r="HW232" s="105"/>
      <c r="HX232" s="105"/>
      <c r="HY232" s="105"/>
      <c r="HZ232" s="105"/>
      <c r="IA232" s="105"/>
      <c r="IB232" s="105"/>
      <c r="IC232" s="105"/>
      <c r="ID232" s="105"/>
      <c r="IE232" s="105"/>
      <c r="IF232" s="105"/>
      <c r="IG232" s="105"/>
      <c r="IH232" s="105"/>
      <c r="II232" s="105"/>
      <c r="IJ232" s="105"/>
      <c r="IK232" s="105"/>
      <c r="IL232" s="105"/>
      <c r="IM232" s="105"/>
      <c r="IN232" s="105"/>
      <c r="IO232" s="105"/>
      <c r="IP232" s="105"/>
      <c r="IQ232" s="105"/>
      <c r="IR232" s="105"/>
      <c r="IS232" s="105"/>
    </row>
    <row r="233" spans="1:253">
      <c r="A233" s="116"/>
      <c r="B233" s="105"/>
      <c r="C233" s="116"/>
      <c r="D233" s="116"/>
      <c r="E233" s="116"/>
      <c r="F233" s="116"/>
      <c r="G233" s="116"/>
      <c r="H233" s="116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5"/>
      <c r="BN233" s="105"/>
      <c r="BO233" s="105"/>
      <c r="BP233" s="105"/>
      <c r="BQ233" s="105"/>
      <c r="BR233" s="105"/>
      <c r="BS233" s="105"/>
      <c r="BT233" s="105"/>
      <c r="BU233" s="105"/>
      <c r="BV233" s="105"/>
      <c r="BW233" s="105"/>
      <c r="BX233" s="105"/>
      <c r="BY233" s="105"/>
      <c r="BZ233" s="105"/>
      <c r="CA233" s="105"/>
      <c r="CB233" s="105"/>
      <c r="CC233" s="105"/>
      <c r="CD233" s="105"/>
      <c r="CE233" s="105"/>
      <c r="CF233" s="105"/>
      <c r="CG233" s="105"/>
      <c r="CH233" s="105"/>
      <c r="CI233" s="105"/>
      <c r="CJ233" s="105"/>
      <c r="CK233" s="105"/>
      <c r="CL233" s="105"/>
      <c r="CM233" s="105"/>
      <c r="CN233" s="105"/>
      <c r="CO233" s="105"/>
      <c r="CP233" s="105"/>
      <c r="CQ233" s="105"/>
      <c r="CR233" s="105"/>
      <c r="CS233" s="105"/>
      <c r="CT233" s="105"/>
      <c r="CU233" s="105"/>
      <c r="CV233" s="105"/>
      <c r="CW233" s="105"/>
      <c r="CX233" s="105"/>
      <c r="CY233" s="105"/>
      <c r="CZ233" s="105"/>
      <c r="DA233" s="105"/>
      <c r="DB233" s="105"/>
      <c r="DC233" s="105"/>
      <c r="DD233" s="105"/>
      <c r="DE233" s="105"/>
      <c r="DF233" s="105"/>
      <c r="DG233" s="105"/>
      <c r="DH233" s="105"/>
      <c r="DI233" s="105"/>
      <c r="DJ233" s="105"/>
      <c r="DK233" s="105"/>
      <c r="DL233" s="105"/>
      <c r="DM233" s="105"/>
      <c r="DN233" s="105"/>
      <c r="DO233" s="105"/>
      <c r="DP233" s="105"/>
      <c r="DQ233" s="105"/>
      <c r="DR233" s="105"/>
      <c r="DS233" s="105"/>
      <c r="DT233" s="105"/>
      <c r="DU233" s="105"/>
      <c r="DV233" s="105"/>
      <c r="DW233" s="105"/>
      <c r="DX233" s="105"/>
      <c r="DY233" s="105"/>
      <c r="DZ233" s="105"/>
      <c r="EA233" s="105"/>
      <c r="EB233" s="105"/>
      <c r="EC233" s="105"/>
      <c r="ED233" s="105"/>
      <c r="EE233" s="105"/>
      <c r="EF233" s="105"/>
      <c r="EG233" s="105"/>
      <c r="EH233" s="105"/>
      <c r="EI233" s="105"/>
      <c r="EJ233" s="105"/>
      <c r="EK233" s="105"/>
      <c r="EL233" s="105"/>
      <c r="EM233" s="105"/>
      <c r="EN233" s="105"/>
      <c r="EO233" s="105"/>
      <c r="EP233" s="105"/>
      <c r="EQ233" s="105"/>
      <c r="ER233" s="105"/>
      <c r="ES233" s="105"/>
      <c r="ET233" s="105"/>
      <c r="EU233" s="105"/>
      <c r="EV233" s="105"/>
      <c r="EW233" s="105"/>
      <c r="EX233" s="105"/>
      <c r="EY233" s="105"/>
      <c r="EZ233" s="105"/>
      <c r="FA233" s="105"/>
      <c r="FB233" s="105"/>
      <c r="FC233" s="105"/>
      <c r="FD233" s="105"/>
      <c r="FE233" s="105"/>
      <c r="FF233" s="105"/>
      <c r="FG233" s="105"/>
      <c r="FH233" s="105"/>
      <c r="FI233" s="105"/>
      <c r="FJ233" s="105"/>
      <c r="FK233" s="105"/>
      <c r="FL233" s="105"/>
      <c r="FM233" s="105"/>
      <c r="FN233" s="105"/>
      <c r="FO233" s="105"/>
      <c r="FP233" s="105"/>
      <c r="FQ233" s="105"/>
      <c r="FR233" s="105"/>
      <c r="FS233" s="105"/>
      <c r="FT233" s="105"/>
      <c r="FU233" s="105"/>
      <c r="FV233" s="105"/>
      <c r="FW233" s="105"/>
      <c r="FX233" s="105"/>
      <c r="FY233" s="105"/>
      <c r="FZ233" s="105"/>
      <c r="GA233" s="105"/>
      <c r="GB233" s="105"/>
      <c r="GC233" s="105"/>
      <c r="GD233" s="105"/>
      <c r="GE233" s="105"/>
      <c r="GF233" s="105"/>
      <c r="GG233" s="105"/>
      <c r="GH233" s="105"/>
      <c r="GI233" s="105"/>
      <c r="GJ233" s="105"/>
      <c r="GK233" s="105"/>
      <c r="GL233" s="105"/>
      <c r="GM233" s="105"/>
      <c r="GN233" s="105"/>
      <c r="GO233" s="105"/>
      <c r="GP233" s="105"/>
      <c r="GQ233" s="105"/>
      <c r="GR233" s="105"/>
      <c r="GS233" s="105"/>
      <c r="GT233" s="105"/>
      <c r="GU233" s="105"/>
      <c r="GV233" s="105"/>
      <c r="GW233" s="105"/>
      <c r="GX233" s="105"/>
      <c r="GY233" s="105"/>
      <c r="GZ233" s="105"/>
      <c r="HA233" s="105"/>
      <c r="HB233" s="105"/>
      <c r="HC233" s="105"/>
      <c r="HD233" s="105"/>
      <c r="HE233" s="105"/>
      <c r="HF233" s="105"/>
      <c r="HG233" s="105"/>
      <c r="HH233" s="105"/>
      <c r="HI233" s="105"/>
      <c r="HJ233" s="105"/>
      <c r="HK233" s="105"/>
      <c r="HL233" s="105"/>
      <c r="HM233" s="105"/>
      <c r="HN233" s="105"/>
      <c r="HO233" s="105"/>
      <c r="HP233" s="105"/>
      <c r="HQ233" s="105"/>
      <c r="HR233" s="105"/>
      <c r="HS233" s="105"/>
      <c r="HT233" s="105"/>
      <c r="HU233" s="105"/>
      <c r="HV233" s="105"/>
      <c r="HW233" s="105"/>
      <c r="HX233" s="105"/>
      <c r="HY233" s="105"/>
      <c r="HZ233" s="105"/>
      <c r="IA233" s="105"/>
      <c r="IB233" s="105"/>
      <c r="IC233" s="105"/>
      <c r="ID233" s="105"/>
      <c r="IE233" s="105"/>
      <c r="IF233" s="105"/>
      <c r="IG233" s="105"/>
      <c r="IH233" s="105"/>
      <c r="II233" s="105"/>
      <c r="IJ233" s="105"/>
      <c r="IK233" s="105"/>
      <c r="IL233" s="105"/>
      <c r="IM233" s="105"/>
      <c r="IN233" s="105"/>
      <c r="IO233" s="105"/>
      <c r="IP233" s="105"/>
      <c r="IQ233" s="105"/>
      <c r="IR233" s="105"/>
      <c r="IS233" s="105"/>
    </row>
    <row r="234" spans="1:253">
      <c r="A234" s="116"/>
      <c r="B234" s="105"/>
      <c r="C234" s="116"/>
      <c r="D234" s="116"/>
      <c r="E234" s="116"/>
      <c r="F234" s="116"/>
      <c r="G234" s="116"/>
      <c r="H234" s="116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5"/>
      <c r="BN234" s="105"/>
      <c r="BO234" s="105"/>
      <c r="BP234" s="105"/>
      <c r="BQ234" s="105"/>
      <c r="BR234" s="105"/>
      <c r="BS234" s="105"/>
      <c r="BT234" s="105"/>
      <c r="BU234" s="105"/>
      <c r="BV234" s="105"/>
      <c r="BW234" s="105"/>
      <c r="BX234" s="105"/>
      <c r="BY234" s="105"/>
      <c r="BZ234" s="105"/>
      <c r="CA234" s="105"/>
      <c r="CB234" s="105"/>
      <c r="CC234" s="105"/>
      <c r="CD234" s="105"/>
      <c r="CE234" s="105"/>
      <c r="CF234" s="105"/>
      <c r="CG234" s="105"/>
      <c r="CH234" s="105"/>
      <c r="CI234" s="105"/>
      <c r="CJ234" s="105"/>
      <c r="CK234" s="105"/>
      <c r="CL234" s="105"/>
      <c r="CM234" s="105"/>
      <c r="CN234" s="105"/>
      <c r="CO234" s="105"/>
      <c r="CP234" s="105"/>
      <c r="CQ234" s="105"/>
      <c r="CR234" s="105"/>
      <c r="CS234" s="105"/>
      <c r="CT234" s="105"/>
      <c r="CU234" s="105"/>
      <c r="CV234" s="105"/>
      <c r="CW234" s="105"/>
      <c r="CX234" s="105"/>
      <c r="CY234" s="105"/>
      <c r="CZ234" s="105"/>
      <c r="DA234" s="105"/>
      <c r="DB234" s="105"/>
      <c r="DC234" s="105"/>
      <c r="DD234" s="105"/>
      <c r="DE234" s="105"/>
      <c r="DF234" s="105"/>
      <c r="DG234" s="105"/>
      <c r="DH234" s="105"/>
      <c r="DI234" s="105"/>
      <c r="DJ234" s="105"/>
      <c r="DK234" s="105"/>
      <c r="DL234" s="105"/>
      <c r="DM234" s="105"/>
      <c r="DN234" s="105"/>
      <c r="DO234" s="105"/>
      <c r="DP234" s="105"/>
      <c r="DQ234" s="105"/>
      <c r="DR234" s="105"/>
      <c r="DS234" s="105"/>
      <c r="DT234" s="105"/>
      <c r="DU234" s="105"/>
      <c r="DV234" s="105"/>
      <c r="DW234" s="105"/>
      <c r="DX234" s="105"/>
      <c r="DY234" s="105"/>
      <c r="DZ234" s="105"/>
      <c r="EA234" s="105"/>
      <c r="EB234" s="105"/>
      <c r="EC234" s="105"/>
      <c r="ED234" s="105"/>
      <c r="EE234" s="105"/>
      <c r="EF234" s="105"/>
      <c r="EG234" s="105"/>
      <c r="EH234" s="105"/>
      <c r="EI234" s="105"/>
      <c r="EJ234" s="105"/>
      <c r="EK234" s="105"/>
      <c r="EL234" s="105"/>
      <c r="EM234" s="105"/>
      <c r="EN234" s="105"/>
      <c r="EO234" s="105"/>
      <c r="EP234" s="105"/>
      <c r="EQ234" s="105"/>
      <c r="ER234" s="105"/>
      <c r="ES234" s="105"/>
      <c r="ET234" s="105"/>
      <c r="EU234" s="105"/>
      <c r="EV234" s="105"/>
      <c r="EW234" s="105"/>
      <c r="EX234" s="105"/>
      <c r="EY234" s="105"/>
      <c r="EZ234" s="105"/>
      <c r="FA234" s="105"/>
      <c r="FB234" s="105"/>
      <c r="FC234" s="105"/>
      <c r="FD234" s="105"/>
      <c r="FE234" s="105"/>
      <c r="FF234" s="105"/>
      <c r="FG234" s="105"/>
      <c r="FH234" s="105"/>
      <c r="FI234" s="105"/>
      <c r="FJ234" s="105"/>
      <c r="FK234" s="105"/>
      <c r="FL234" s="105"/>
      <c r="FM234" s="105"/>
      <c r="FN234" s="105"/>
      <c r="FO234" s="105"/>
      <c r="FP234" s="105"/>
      <c r="FQ234" s="105"/>
      <c r="FR234" s="105"/>
      <c r="FS234" s="105"/>
      <c r="FT234" s="105"/>
      <c r="FU234" s="105"/>
      <c r="FV234" s="105"/>
      <c r="FW234" s="105"/>
      <c r="FX234" s="105"/>
      <c r="FY234" s="105"/>
      <c r="FZ234" s="105"/>
      <c r="GA234" s="105"/>
      <c r="GB234" s="105"/>
      <c r="GC234" s="105"/>
      <c r="GD234" s="105"/>
      <c r="GE234" s="105"/>
      <c r="GF234" s="105"/>
      <c r="GG234" s="105"/>
      <c r="GH234" s="105"/>
      <c r="GI234" s="105"/>
      <c r="GJ234" s="105"/>
      <c r="GK234" s="105"/>
      <c r="GL234" s="105"/>
      <c r="GM234" s="105"/>
      <c r="GN234" s="105"/>
      <c r="GO234" s="105"/>
      <c r="GP234" s="105"/>
      <c r="GQ234" s="105"/>
      <c r="GR234" s="105"/>
      <c r="GS234" s="105"/>
      <c r="GT234" s="105"/>
      <c r="GU234" s="105"/>
      <c r="GV234" s="105"/>
      <c r="GW234" s="105"/>
      <c r="GX234" s="105"/>
      <c r="GY234" s="105"/>
      <c r="GZ234" s="105"/>
      <c r="HA234" s="105"/>
      <c r="HB234" s="105"/>
      <c r="HC234" s="105"/>
      <c r="HD234" s="105"/>
      <c r="HE234" s="105"/>
      <c r="HF234" s="105"/>
      <c r="HG234" s="105"/>
      <c r="HH234" s="105"/>
      <c r="HI234" s="105"/>
      <c r="HJ234" s="105"/>
      <c r="HK234" s="105"/>
      <c r="HL234" s="105"/>
      <c r="HM234" s="105"/>
      <c r="HN234" s="105"/>
      <c r="HO234" s="105"/>
      <c r="HP234" s="105"/>
      <c r="HQ234" s="105"/>
      <c r="HR234" s="105"/>
      <c r="HS234" s="105"/>
      <c r="HT234" s="105"/>
      <c r="HU234" s="105"/>
      <c r="HV234" s="105"/>
      <c r="HW234" s="105"/>
      <c r="HX234" s="105"/>
      <c r="HY234" s="105"/>
      <c r="HZ234" s="105"/>
      <c r="IA234" s="105"/>
      <c r="IB234" s="105"/>
      <c r="IC234" s="105"/>
      <c r="ID234" s="105"/>
      <c r="IE234" s="105"/>
      <c r="IF234" s="105"/>
      <c r="IG234" s="105"/>
      <c r="IH234" s="105"/>
      <c r="II234" s="105"/>
      <c r="IJ234" s="105"/>
      <c r="IK234" s="105"/>
      <c r="IL234" s="105"/>
      <c r="IM234" s="105"/>
      <c r="IN234" s="105"/>
      <c r="IO234" s="105"/>
      <c r="IP234" s="105"/>
      <c r="IQ234" s="105"/>
      <c r="IR234" s="105"/>
      <c r="IS234" s="105"/>
    </row>
    <row r="235" spans="1:253">
      <c r="A235" s="116"/>
      <c r="B235" s="105"/>
      <c r="C235" s="116"/>
      <c r="D235" s="116"/>
      <c r="E235" s="116"/>
      <c r="F235" s="116"/>
      <c r="G235" s="116"/>
      <c r="H235" s="116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/>
      <c r="BL235" s="105"/>
      <c r="BM235" s="105"/>
      <c r="BN235" s="105"/>
      <c r="BO235" s="105"/>
      <c r="BP235" s="105"/>
      <c r="BQ235" s="105"/>
      <c r="BR235" s="105"/>
      <c r="BS235" s="105"/>
      <c r="BT235" s="105"/>
      <c r="BU235" s="105"/>
      <c r="BV235" s="105"/>
      <c r="BW235" s="105"/>
      <c r="BX235" s="105"/>
      <c r="BY235" s="105"/>
      <c r="BZ235" s="105"/>
      <c r="CA235" s="105"/>
      <c r="CB235" s="105"/>
      <c r="CC235" s="105"/>
      <c r="CD235" s="105"/>
      <c r="CE235" s="105"/>
      <c r="CF235" s="105"/>
      <c r="CG235" s="105"/>
      <c r="CH235" s="105"/>
      <c r="CI235" s="105"/>
      <c r="CJ235" s="105"/>
      <c r="CK235" s="105"/>
      <c r="CL235" s="105"/>
      <c r="CM235" s="105"/>
      <c r="CN235" s="105"/>
      <c r="CO235" s="105"/>
      <c r="CP235" s="105"/>
      <c r="CQ235" s="105"/>
      <c r="CR235" s="105"/>
      <c r="CS235" s="105"/>
      <c r="CT235" s="105"/>
      <c r="CU235" s="105"/>
      <c r="CV235" s="105"/>
      <c r="CW235" s="105"/>
      <c r="CX235" s="105"/>
      <c r="CY235" s="105"/>
      <c r="CZ235" s="105"/>
      <c r="DA235" s="105"/>
      <c r="DB235" s="105"/>
      <c r="DC235" s="105"/>
      <c r="DD235" s="105"/>
      <c r="DE235" s="105"/>
      <c r="DF235" s="105"/>
      <c r="DG235" s="105"/>
      <c r="DH235" s="105"/>
      <c r="DI235" s="105"/>
      <c r="DJ235" s="105"/>
      <c r="DK235" s="105"/>
      <c r="DL235" s="105"/>
      <c r="DM235" s="105"/>
      <c r="DN235" s="105"/>
      <c r="DO235" s="105"/>
      <c r="DP235" s="105"/>
      <c r="DQ235" s="105"/>
      <c r="DR235" s="105"/>
      <c r="DS235" s="105"/>
      <c r="DT235" s="105"/>
      <c r="DU235" s="105"/>
      <c r="DV235" s="105"/>
      <c r="DW235" s="105"/>
      <c r="DX235" s="105"/>
      <c r="DY235" s="105"/>
      <c r="DZ235" s="105"/>
      <c r="EA235" s="105"/>
      <c r="EB235" s="105"/>
      <c r="EC235" s="105"/>
      <c r="ED235" s="105"/>
      <c r="EE235" s="105"/>
      <c r="EF235" s="105"/>
      <c r="EG235" s="105"/>
      <c r="EH235" s="105"/>
      <c r="EI235" s="105"/>
      <c r="EJ235" s="105"/>
      <c r="EK235" s="105"/>
      <c r="EL235" s="105"/>
      <c r="EM235" s="105"/>
      <c r="EN235" s="105"/>
      <c r="EO235" s="105"/>
      <c r="EP235" s="105"/>
      <c r="EQ235" s="105"/>
      <c r="ER235" s="105"/>
      <c r="ES235" s="105"/>
      <c r="ET235" s="105"/>
      <c r="EU235" s="105"/>
      <c r="EV235" s="105"/>
      <c r="EW235" s="105"/>
      <c r="EX235" s="105"/>
      <c r="EY235" s="105"/>
      <c r="EZ235" s="105"/>
      <c r="FA235" s="105"/>
      <c r="FB235" s="105"/>
      <c r="FC235" s="105"/>
      <c r="FD235" s="105"/>
      <c r="FE235" s="105"/>
      <c r="FF235" s="105"/>
      <c r="FG235" s="105"/>
      <c r="FH235" s="105"/>
      <c r="FI235" s="105"/>
      <c r="FJ235" s="105"/>
      <c r="FK235" s="105"/>
      <c r="FL235" s="105"/>
      <c r="FM235" s="105"/>
      <c r="FN235" s="105"/>
      <c r="FO235" s="105"/>
      <c r="FP235" s="105"/>
      <c r="FQ235" s="105"/>
      <c r="FR235" s="105"/>
      <c r="FS235" s="105"/>
      <c r="FT235" s="105"/>
      <c r="FU235" s="105"/>
      <c r="FV235" s="105"/>
      <c r="FW235" s="105"/>
      <c r="FX235" s="105"/>
      <c r="FY235" s="105"/>
      <c r="FZ235" s="105"/>
      <c r="GA235" s="105"/>
      <c r="GB235" s="105"/>
      <c r="GC235" s="105"/>
      <c r="GD235" s="105"/>
      <c r="GE235" s="105"/>
      <c r="GF235" s="105"/>
      <c r="GG235" s="105"/>
      <c r="GH235" s="105"/>
      <c r="GI235" s="105"/>
      <c r="GJ235" s="105"/>
      <c r="GK235" s="105"/>
      <c r="GL235" s="105"/>
      <c r="GM235" s="105"/>
      <c r="GN235" s="105"/>
      <c r="GO235" s="105"/>
      <c r="GP235" s="105"/>
      <c r="GQ235" s="105"/>
      <c r="GR235" s="105"/>
      <c r="GS235" s="105"/>
      <c r="GT235" s="105"/>
      <c r="GU235" s="105"/>
      <c r="GV235" s="105"/>
      <c r="GW235" s="105"/>
      <c r="GX235" s="105"/>
      <c r="GY235" s="105"/>
      <c r="GZ235" s="105"/>
      <c r="HA235" s="105"/>
      <c r="HB235" s="105"/>
      <c r="HC235" s="105"/>
      <c r="HD235" s="105"/>
      <c r="HE235" s="105"/>
      <c r="HF235" s="105"/>
      <c r="HG235" s="105"/>
      <c r="HH235" s="105"/>
      <c r="HI235" s="105"/>
      <c r="HJ235" s="105"/>
      <c r="HK235" s="105"/>
      <c r="HL235" s="105"/>
      <c r="HM235" s="105"/>
      <c r="HN235" s="105"/>
      <c r="HO235" s="105"/>
      <c r="HP235" s="105"/>
      <c r="HQ235" s="105"/>
      <c r="HR235" s="105"/>
      <c r="HS235" s="105"/>
      <c r="HT235" s="105"/>
      <c r="HU235" s="105"/>
      <c r="HV235" s="105"/>
      <c r="HW235" s="105"/>
      <c r="HX235" s="105"/>
      <c r="HY235" s="105"/>
      <c r="HZ235" s="105"/>
      <c r="IA235" s="105"/>
      <c r="IB235" s="105"/>
      <c r="IC235" s="105"/>
      <c r="ID235" s="105"/>
      <c r="IE235" s="105"/>
      <c r="IF235" s="105"/>
      <c r="IG235" s="105"/>
      <c r="IH235" s="105"/>
      <c r="II235" s="105"/>
      <c r="IJ235" s="105"/>
      <c r="IK235" s="105"/>
      <c r="IL235" s="105"/>
      <c r="IM235" s="105"/>
      <c r="IN235" s="105"/>
      <c r="IO235" s="105"/>
      <c r="IP235" s="105"/>
      <c r="IQ235" s="105"/>
      <c r="IR235" s="105"/>
      <c r="IS235" s="105"/>
    </row>
    <row r="236" spans="1:253">
      <c r="A236" s="116"/>
      <c r="B236" s="105"/>
      <c r="C236" s="116"/>
      <c r="D236" s="116"/>
      <c r="E236" s="116"/>
      <c r="F236" s="116"/>
      <c r="G236" s="116"/>
      <c r="H236" s="116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5"/>
      <c r="BN236" s="105"/>
      <c r="BO236" s="105"/>
      <c r="BP236" s="105"/>
      <c r="BQ236" s="105"/>
      <c r="BR236" s="105"/>
      <c r="BS236" s="105"/>
      <c r="BT236" s="105"/>
      <c r="BU236" s="105"/>
      <c r="BV236" s="105"/>
      <c r="BW236" s="105"/>
      <c r="BX236" s="105"/>
      <c r="BY236" s="105"/>
      <c r="BZ236" s="105"/>
      <c r="CA236" s="105"/>
      <c r="CB236" s="105"/>
      <c r="CC236" s="105"/>
      <c r="CD236" s="105"/>
      <c r="CE236" s="105"/>
      <c r="CF236" s="105"/>
      <c r="CG236" s="105"/>
      <c r="CH236" s="105"/>
      <c r="CI236" s="105"/>
      <c r="CJ236" s="105"/>
      <c r="CK236" s="105"/>
      <c r="CL236" s="105"/>
      <c r="CM236" s="105"/>
      <c r="CN236" s="105"/>
      <c r="CO236" s="105"/>
      <c r="CP236" s="105"/>
      <c r="CQ236" s="105"/>
      <c r="CR236" s="105"/>
      <c r="CS236" s="105"/>
      <c r="CT236" s="105"/>
      <c r="CU236" s="105"/>
      <c r="CV236" s="105"/>
      <c r="CW236" s="105"/>
      <c r="CX236" s="105"/>
      <c r="CY236" s="105"/>
      <c r="CZ236" s="105"/>
      <c r="DA236" s="105"/>
      <c r="DB236" s="105"/>
      <c r="DC236" s="105"/>
      <c r="DD236" s="105"/>
      <c r="DE236" s="105"/>
      <c r="DF236" s="105"/>
      <c r="DG236" s="105"/>
      <c r="DH236" s="105"/>
      <c r="DI236" s="105"/>
      <c r="DJ236" s="105"/>
      <c r="DK236" s="105"/>
      <c r="DL236" s="105"/>
      <c r="DM236" s="105"/>
      <c r="DN236" s="105"/>
      <c r="DO236" s="105"/>
      <c r="DP236" s="105"/>
      <c r="DQ236" s="105"/>
      <c r="DR236" s="105"/>
      <c r="DS236" s="105"/>
      <c r="DT236" s="105"/>
      <c r="DU236" s="105"/>
      <c r="DV236" s="105"/>
      <c r="DW236" s="105"/>
      <c r="DX236" s="105"/>
      <c r="DY236" s="105"/>
      <c r="DZ236" s="105"/>
      <c r="EA236" s="105"/>
      <c r="EB236" s="105"/>
      <c r="EC236" s="105"/>
      <c r="ED236" s="105"/>
      <c r="EE236" s="105"/>
      <c r="EF236" s="105"/>
      <c r="EG236" s="105"/>
      <c r="EH236" s="105"/>
      <c r="EI236" s="105"/>
      <c r="EJ236" s="105"/>
      <c r="EK236" s="105"/>
      <c r="EL236" s="105"/>
      <c r="EM236" s="105"/>
      <c r="EN236" s="105"/>
      <c r="EO236" s="105"/>
      <c r="EP236" s="105"/>
      <c r="EQ236" s="105"/>
      <c r="ER236" s="105"/>
      <c r="ES236" s="105"/>
      <c r="ET236" s="105"/>
      <c r="EU236" s="105"/>
      <c r="EV236" s="105"/>
      <c r="EW236" s="105"/>
      <c r="EX236" s="105"/>
      <c r="EY236" s="105"/>
      <c r="EZ236" s="105"/>
      <c r="FA236" s="105"/>
      <c r="FB236" s="105"/>
      <c r="FC236" s="105"/>
      <c r="FD236" s="105"/>
      <c r="FE236" s="105"/>
      <c r="FF236" s="105"/>
      <c r="FG236" s="105"/>
      <c r="FH236" s="105"/>
      <c r="FI236" s="105"/>
      <c r="FJ236" s="105"/>
      <c r="FK236" s="105"/>
      <c r="FL236" s="105"/>
      <c r="FM236" s="105"/>
      <c r="FN236" s="105"/>
      <c r="FO236" s="105"/>
      <c r="FP236" s="105"/>
      <c r="FQ236" s="105"/>
      <c r="FR236" s="105"/>
      <c r="FS236" s="105"/>
      <c r="FT236" s="105"/>
      <c r="FU236" s="105"/>
      <c r="FV236" s="105"/>
      <c r="FW236" s="105"/>
      <c r="FX236" s="105"/>
      <c r="FY236" s="105"/>
      <c r="FZ236" s="105"/>
      <c r="GA236" s="105"/>
      <c r="GB236" s="105"/>
      <c r="GC236" s="105"/>
      <c r="GD236" s="105"/>
      <c r="GE236" s="105"/>
      <c r="GF236" s="105"/>
      <c r="GG236" s="105"/>
      <c r="GH236" s="105"/>
      <c r="GI236" s="105"/>
      <c r="GJ236" s="105"/>
      <c r="GK236" s="105"/>
      <c r="GL236" s="105"/>
      <c r="GM236" s="105"/>
      <c r="GN236" s="105"/>
      <c r="GO236" s="105"/>
      <c r="GP236" s="105"/>
      <c r="GQ236" s="105"/>
      <c r="GR236" s="105"/>
      <c r="GS236" s="105"/>
      <c r="GT236" s="105"/>
      <c r="GU236" s="105"/>
      <c r="GV236" s="105"/>
      <c r="GW236" s="105"/>
      <c r="GX236" s="105"/>
      <c r="GY236" s="105"/>
      <c r="GZ236" s="105"/>
      <c r="HA236" s="105"/>
      <c r="HB236" s="105"/>
      <c r="HC236" s="105"/>
      <c r="HD236" s="105"/>
      <c r="HE236" s="105"/>
      <c r="HF236" s="105"/>
      <c r="HG236" s="105"/>
      <c r="HH236" s="105"/>
      <c r="HI236" s="105"/>
      <c r="HJ236" s="105"/>
      <c r="HK236" s="105"/>
      <c r="HL236" s="105"/>
      <c r="HM236" s="105"/>
      <c r="HN236" s="105"/>
      <c r="HO236" s="105"/>
      <c r="HP236" s="105"/>
      <c r="HQ236" s="105"/>
      <c r="HR236" s="105"/>
      <c r="HS236" s="105"/>
      <c r="HT236" s="105"/>
      <c r="HU236" s="105"/>
      <c r="HV236" s="105"/>
      <c r="HW236" s="105"/>
      <c r="HX236" s="105"/>
      <c r="HY236" s="105"/>
      <c r="HZ236" s="105"/>
      <c r="IA236" s="105"/>
      <c r="IB236" s="105"/>
      <c r="IC236" s="105"/>
      <c r="ID236" s="105"/>
      <c r="IE236" s="105"/>
      <c r="IF236" s="105"/>
      <c r="IG236" s="105"/>
      <c r="IH236" s="105"/>
      <c r="II236" s="105"/>
      <c r="IJ236" s="105"/>
      <c r="IK236" s="105"/>
      <c r="IL236" s="105"/>
      <c r="IM236" s="105"/>
      <c r="IN236" s="105"/>
      <c r="IO236" s="105"/>
      <c r="IP236" s="105"/>
      <c r="IQ236" s="105"/>
      <c r="IR236" s="105"/>
      <c r="IS236" s="105"/>
    </row>
    <row r="237" spans="1:253">
      <c r="A237" s="116"/>
      <c r="B237" s="105"/>
      <c r="C237" s="116"/>
      <c r="D237" s="116"/>
      <c r="E237" s="116"/>
      <c r="F237" s="116"/>
      <c r="G237" s="116"/>
      <c r="H237" s="116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  <c r="BL237" s="105"/>
      <c r="BM237" s="105"/>
      <c r="BN237" s="105"/>
      <c r="BO237" s="105"/>
      <c r="BP237" s="105"/>
      <c r="BQ237" s="105"/>
      <c r="BR237" s="105"/>
      <c r="BS237" s="105"/>
      <c r="BT237" s="105"/>
      <c r="BU237" s="105"/>
      <c r="BV237" s="105"/>
      <c r="BW237" s="105"/>
      <c r="BX237" s="105"/>
      <c r="BY237" s="105"/>
      <c r="BZ237" s="105"/>
      <c r="CA237" s="105"/>
      <c r="CB237" s="105"/>
      <c r="CC237" s="105"/>
      <c r="CD237" s="105"/>
      <c r="CE237" s="105"/>
      <c r="CF237" s="105"/>
      <c r="CG237" s="105"/>
      <c r="CH237" s="105"/>
      <c r="CI237" s="105"/>
      <c r="CJ237" s="105"/>
      <c r="CK237" s="105"/>
      <c r="CL237" s="105"/>
      <c r="CM237" s="105"/>
      <c r="CN237" s="105"/>
      <c r="CO237" s="105"/>
      <c r="CP237" s="105"/>
      <c r="CQ237" s="105"/>
      <c r="CR237" s="105"/>
      <c r="CS237" s="105"/>
      <c r="CT237" s="105"/>
      <c r="CU237" s="105"/>
      <c r="CV237" s="105"/>
      <c r="CW237" s="105"/>
      <c r="CX237" s="105"/>
      <c r="CY237" s="105"/>
      <c r="CZ237" s="105"/>
      <c r="DA237" s="105"/>
      <c r="DB237" s="105"/>
      <c r="DC237" s="105"/>
      <c r="DD237" s="105"/>
      <c r="DE237" s="105"/>
      <c r="DF237" s="105"/>
      <c r="DG237" s="105"/>
      <c r="DH237" s="105"/>
      <c r="DI237" s="105"/>
      <c r="DJ237" s="105"/>
      <c r="DK237" s="105"/>
      <c r="DL237" s="105"/>
      <c r="DM237" s="105"/>
      <c r="DN237" s="105"/>
      <c r="DO237" s="105"/>
      <c r="DP237" s="105"/>
      <c r="DQ237" s="105"/>
      <c r="DR237" s="105"/>
      <c r="DS237" s="105"/>
      <c r="DT237" s="105"/>
      <c r="DU237" s="105"/>
      <c r="DV237" s="105"/>
      <c r="DW237" s="105"/>
      <c r="DX237" s="105"/>
      <c r="DY237" s="105"/>
      <c r="DZ237" s="105"/>
      <c r="EA237" s="105"/>
      <c r="EB237" s="105"/>
      <c r="EC237" s="105"/>
      <c r="ED237" s="105"/>
      <c r="EE237" s="105"/>
      <c r="EF237" s="105"/>
      <c r="EG237" s="105"/>
      <c r="EH237" s="105"/>
      <c r="EI237" s="105"/>
      <c r="EJ237" s="105"/>
      <c r="EK237" s="105"/>
      <c r="EL237" s="105"/>
      <c r="EM237" s="105"/>
      <c r="EN237" s="105"/>
      <c r="EO237" s="105"/>
      <c r="EP237" s="105"/>
      <c r="EQ237" s="105"/>
      <c r="ER237" s="105"/>
      <c r="ES237" s="105"/>
      <c r="ET237" s="105"/>
      <c r="EU237" s="105"/>
      <c r="EV237" s="105"/>
      <c r="EW237" s="105"/>
      <c r="EX237" s="105"/>
      <c r="EY237" s="105"/>
      <c r="EZ237" s="105"/>
      <c r="FA237" s="105"/>
      <c r="FB237" s="105"/>
      <c r="FC237" s="105"/>
      <c r="FD237" s="105"/>
      <c r="FE237" s="105"/>
      <c r="FF237" s="105"/>
      <c r="FG237" s="105"/>
      <c r="FH237" s="105"/>
      <c r="FI237" s="105"/>
      <c r="FJ237" s="105"/>
      <c r="FK237" s="105"/>
      <c r="FL237" s="105"/>
      <c r="FM237" s="105"/>
      <c r="FN237" s="105"/>
      <c r="FO237" s="105"/>
      <c r="FP237" s="105"/>
      <c r="FQ237" s="105"/>
      <c r="FR237" s="105"/>
      <c r="FS237" s="105"/>
      <c r="FT237" s="105"/>
      <c r="FU237" s="105"/>
      <c r="FV237" s="105"/>
      <c r="FW237" s="105"/>
      <c r="FX237" s="105"/>
      <c r="FY237" s="105"/>
      <c r="FZ237" s="105"/>
      <c r="GA237" s="105"/>
      <c r="GB237" s="105"/>
      <c r="GC237" s="105"/>
      <c r="GD237" s="105"/>
      <c r="GE237" s="105"/>
      <c r="GF237" s="105"/>
      <c r="GG237" s="105"/>
      <c r="GH237" s="105"/>
      <c r="GI237" s="105"/>
      <c r="GJ237" s="105"/>
      <c r="GK237" s="105"/>
      <c r="GL237" s="105"/>
      <c r="GM237" s="105"/>
      <c r="GN237" s="105"/>
      <c r="GO237" s="105"/>
      <c r="GP237" s="105"/>
      <c r="GQ237" s="105"/>
      <c r="GR237" s="105"/>
      <c r="GS237" s="105"/>
      <c r="GT237" s="105"/>
      <c r="GU237" s="105"/>
      <c r="GV237" s="105"/>
      <c r="GW237" s="105"/>
      <c r="GX237" s="105"/>
      <c r="GY237" s="105"/>
      <c r="GZ237" s="105"/>
      <c r="HA237" s="105"/>
      <c r="HB237" s="105"/>
      <c r="HC237" s="105"/>
      <c r="HD237" s="105"/>
      <c r="HE237" s="105"/>
      <c r="HF237" s="105"/>
      <c r="HG237" s="105"/>
      <c r="HH237" s="105"/>
      <c r="HI237" s="105"/>
      <c r="HJ237" s="105"/>
      <c r="HK237" s="105"/>
      <c r="HL237" s="105"/>
      <c r="HM237" s="105"/>
      <c r="HN237" s="105"/>
      <c r="HO237" s="105"/>
      <c r="HP237" s="105"/>
      <c r="HQ237" s="105"/>
      <c r="HR237" s="105"/>
      <c r="HS237" s="105"/>
      <c r="HT237" s="105"/>
      <c r="HU237" s="105"/>
      <c r="HV237" s="105"/>
      <c r="HW237" s="105"/>
      <c r="HX237" s="105"/>
      <c r="HY237" s="105"/>
      <c r="HZ237" s="105"/>
      <c r="IA237" s="105"/>
      <c r="IB237" s="105"/>
      <c r="IC237" s="105"/>
      <c r="ID237" s="105"/>
      <c r="IE237" s="105"/>
      <c r="IF237" s="105"/>
      <c r="IG237" s="105"/>
      <c r="IH237" s="105"/>
      <c r="II237" s="105"/>
      <c r="IJ237" s="105"/>
      <c r="IK237" s="105"/>
      <c r="IL237" s="105"/>
      <c r="IM237" s="105"/>
      <c r="IN237" s="105"/>
      <c r="IO237" s="105"/>
      <c r="IP237" s="105"/>
      <c r="IQ237" s="105"/>
      <c r="IR237" s="105"/>
      <c r="IS237" s="105"/>
    </row>
    <row r="238" spans="1:253">
      <c r="A238" s="116"/>
      <c r="B238" s="105"/>
      <c r="C238" s="116"/>
      <c r="D238" s="116"/>
      <c r="E238" s="116"/>
      <c r="F238" s="116"/>
      <c r="G238" s="116"/>
      <c r="H238" s="116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5"/>
      <c r="BN238" s="105"/>
      <c r="BO238" s="105"/>
      <c r="BP238" s="105"/>
      <c r="BQ238" s="105"/>
      <c r="BR238" s="105"/>
      <c r="BS238" s="105"/>
      <c r="BT238" s="105"/>
      <c r="BU238" s="105"/>
      <c r="BV238" s="105"/>
      <c r="BW238" s="105"/>
      <c r="BX238" s="105"/>
      <c r="BY238" s="105"/>
      <c r="BZ238" s="105"/>
      <c r="CA238" s="105"/>
      <c r="CB238" s="105"/>
      <c r="CC238" s="105"/>
      <c r="CD238" s="105"/>
      <c r="CE238" s="105"/>
      <c r="CF238" s="105"/>
      <c r="CG238" s="105"/>
      <c r="CH238" s="105"/>
      <c r="CI238" s="105"/>
      <c r="CJ238" s="105"/>
      <c r="CK238" s="105"/>
      <c r="CL238" s="105"/>
      <c r="CM238" s="105"/>
      <c r="CN238" s="105"/>
      <c r="CO238" s="105"/>
      <c r="CP238" s="105"/>
      <c r="CQ238" s="105"/>
      <c r="CR238" s="105"/>
      <c r="CS238" s="105"/>
      <c r="CT238" s="105"/>
      <c r="CU238" s="105"/>
      <c r="CV238" s="105"/>
      <c r="CW238" s="105"/>
      <c r="CX238" s="105"/>
      <c r="CY238" s="105"/>
      <c r="CZ238" s="105"/>
      <c r="DA238" s="105"/>
      <c r="DB238" s="105"/>
      <c r="DC238" s="105"/>
      <c r="DD238" s="105"/>
      <c r="DE238" s="105"/>
      <c r="DF238" s="105"/>
      <c r="DG238" s="105"/>
      <c r="DH238" s="105"/>
      <c r="DI238" s="105"/>
      <c r="DJ238" s="105"/>
      <c r="DK238" s="105"/>
      <c r="DL238" s="105"/>
      <c r="DM238" s="105"/>
      <c r="DN238" s="105"/>
      <c r="DO238" s="105"/>
      <c r="DP238" s="105"/>
      <c r="DQ238" s="105"/>
      <c r="DR238" s="105"/>
      <c r="DS238" s="105"/>
      <c r="DT238" s="105"/>
      <c r="DU238" s="105"/>
      <c r="DV238" s="105"/>
      <c r="DW238" s="105"/>
      <c r="DX238" s="105"/>
      <c r="DY238" s="105"/>
      <c r="DZ238" s="105"/>
      <c r="EA238" s="105"/>
      <c r="EB238" s="105"/>
      <c r="EC238" s="105"/>
      <c r="ED238" s="105"/>
      <c r="EE238" s="105"/>
      <c r="EF238" s="105"/>
      <c r="EG238" s="105"/>
      <c r="EH238" s="105"/>
      <c r="EI238" s="105"/>
      <c r="EJ238" s="105"/>
      <c r="EK238" s="105"/>
      <c r="EL238" s="105"/>
      <c r="EM238" s="105"/>
      <c r="EN238" s="105"/>
      <c r="EO238" s="105"/>
      <c r="EP238" s="105"/>
      <c r="EQ238" s="105"/>
      <c r="ER238" s="105"/>
      <c r="ES238" s="105"/>
      <c r="ET238" s="105"/>
      <c r="EU238" s="105"/>
      <c r="EV238" s="105"/>
      <c r="EW238" s="105"/>
      <c r="EX238" s="105"/>
      <c r="EY238" s="105"/>
      <c r="EZ238" s="105"/>
      <c r="FA238" s="105"/>
      <c r="FB238" s="105"/>
      <c r="FC238" s="105"/>
      <c r="FD238" s="105"/>
      <c r="FE238" s="105"/>
      <c r="FF238" s="105"/>
      <c r="FG238" s="105"/>
      <c r="FH238" s="105"/>
      <c r="FI238" s="105"/>
      <c r="FJ238" s="105"/>
      <c r="FK238" s="105"/>
      <c r="FL238" s="105"/>
      <c r="FM238" s="105"/>
      <c r="FN238" s="105"/>
      <c r="FO238" s="105"/>
      <c r="FP238" s="105"/>
      <c r="FQ238" s="105"/>
      <c r="FR238" s="105"/>
      <c r="FS238" s="105"/>
      <c r="FT238" s="105"/>
      <c r="FU238" s="105"/>
      <c r="FV238" s="105"/>
      <c r="FW238" s="105"/>
      <c r="FX238" s="105"/>
      <c r="FY238" s="105"/>
      <c r="FZ238" s="105"/>
      <c r="GA238" s="105"/>
      <c r="GB238" s="105"/>
      <c r="GC238" s="105"/>
      <c r="GD238" s="105"/>
      <c r="GE238" s="105"/>
      <c r="GF238" s="105"/>
      <c r="GG238" s="105"/>
      <c r="GH238" s="105"/>
      <c r="GI238" s="105"/>
      <c r="GJ238" s="105"/>
      <c r="GK238" s="105"/>
      <c r="GL238" s="105"/>
      <c r="GM238" s="105"/>
      <c r="GN238" s="105"/>
      <c r="GO238" s="105"/>
      <c r="GP238" s="105"/>
      <c r="GQ238" s="105"/>
      <c r="GR238" s="105"/>
      <c r="GS238" s="105"/>
      <c r="GT238" s="105"/>
      <c r="GU238" s="105"/>
      <c r="GV238" s="105"/>
      <c r="GW238" s="105"/>
      <c r="GX238" s="105"/>
      <c r="GY238" s="105"/>
      <c r="GZ238" s="105"/>
      <c r="HA238" s="105"/>
      <c r="HB238" s="105"/>
      <c r="HC238" s="105"/>
      <c r="HD238" s="105"/>
      <c r="HE238" s="105"/>
      <c r="HF238" s="105"/>
      <c r="HG238" s="105"/>
      <c r="HH238" s="105"/>
      <c r="HI238" s="105"/>
      <c r="HJ238" s="105"/>
      <c r="HK238" s="105"/>
      <c r="HL238" s="105"/>
      <c r="HM238" s="105"/>
      <c r="HN238" s="105"/>
      <c r="HO238" s="105"/>
      <c r="HP238" s="105"/>
      <c r="HQ238" s="105"/>
      <c r="HR238" s="105"/>
      <c r="HS238" s="105"/>
      <c r="HT238" s="105"/>
      <c r="HU238" s="105"/>
      <c r="HV238" s="105"/>
      <c r="HW238" s="105"/>
      <c r="HX238" s="105"/>
      <c r="HY238" s="105"/>
      <c r="HZ238" s="105"/>
      <c r="IA238" s="105"/>
      <c r="IB238" s="105"/>
      <c r="IC238" s="105"/>
      <c r="ID238" s="105"/>
      <c r="IE238" s="105"/>
      <c r="IF238" s="105"/>
      <c r="IG238" s="105"/>
      <c r="IH238" s="105"/>
      <c r="II238" s="105"/>
      <c r="IJ238" s="105"/>
      <c r="IK238" s="105"/>
      <c r="IL238" s="105"/>
      <c r="IM238" s="105"/>
      <c r="IN238" s="105"/>
      <c r="IO238" s="105"/>
      <c r="IP238" s="105"/>
      <c r="IQ238" s="105"/>
      <c r="IR238" s="105"/>
      <c r="IS238" s="105"/>
    </row>
    <row r="239" spans="1:253">
      <c r="A239" s="116"/>
      <c r="B239" s="105"/>
      <c r="C239" s="116"/>
      <c r="D239" s="116"/>
      <c r="E239" s="116"/>
      <c r="F239" s="116"/>
      <c r="G239" s="116"/>
      <c r="H239" s="116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  <c r="BL239" s="105"/>
      <c r="BM239" s="105"/>
      <c r="BN239" s="105"/>
      <c r="BO239" s="105"/>
      <c r="BP239" s="105"/>
      <c r="BQ239" s="105"/>
      <c r="BR239" s="105"/>
      <c r="BS239" s="105"/>
      <c r="BT239" s="105"/>
      <c r="BU239" s="105"/>
      <c r="BV239" s="105"/>
      <c r="BW239" s="105"/>
      <c r="BX239" s="105"/>
      <c r="BY239" s="105"/>
      <c r="BZ239" s="105"/>
      <c r="CA239" s="105"/>
      <c r="CB239" s="105"/>
      <c r="CC239" s="105"/>
      <c r="CD239" s="105"/>
      <c r="CE239" s="105"/>
      <c r="CF239" s="105"/>
      <c r="CG239" s="105"/>
      <c r="CH239" s="105"/>
      <c r="CI239" s="105"/>
      <c r="CJ239" s="105"/>
      <c r="CK239" s="105"/>
      <c r="CL239" s="105"/>
      <c r="CM239" s="105"/>
      <c r="CN239" s="105"/>
      <c r="CO239" s="105"/>
      <c r="CP239" s="105"/>
      <c r="CQ239" s="105"/>
      <c r="CR239" s="105"/>
      <c r="CS239" s="105"/>
      <c r="CT239" s="105"/>
      <c r="CU239" s="105"/>
      <c r="CV239" s="105"/>
      <c r="CW239" s="105"/>
      <c r="CX239" s="105"/>
      <c r="CY239" s="105"/>
      <c r="CZ239" s="105"/>
      <c r="DA239" s="105"/>
      <c r="DB239" s="105"/>
      <c r="DC239" s="105"/>
      <c r="DD239" s="105"/>
      <c r="DE239" s="105"/>
      <c r="DF239" s="105"/>
      <c r="DG239" s="105"/>
      <c r="DH239" s="105"/>
      <c r="DI239" s="105"/>
      <c r="DJ239" s="105"/>
      <c r="DK239" s="105"/>
      <c r="DL239" s="105"/>
      <c r="DM239" s="105"/>
      <c r="DN239" s="105"/>
      <c r="DO239" s="105"/>
      <c r="DP239" s="105"/>
      <c r="DQ239" s="105"/>
      <c r="DR239" s="105"/>
      <c r="DS239" s="105"/>
      <c r="DT239" s="105"/>
      <c r="DU239" s="105"/>
      <c r="DV239" s="105"/>
      <c r="DW239" s="105"/>
      <c r="DX239" s="105"/>
      <c r="DY239" s="105"/>
      <c r="DZ239" s="105"/>
      <c r="EA239" s="105"/>
      <c r="EB239" s="105"/>
      <c r="EC239" s="105"/>
      <c r="ED239" s="105"/>
      <c r="EE239" s="105"/>
      <c r="EF239" s="105"/>
      <c r="EG239" s="105"/>
      <c r="EH239" s="105"/>
      <c r="EI239" s="105"/>
      <c r="EJ239" s="105"/>
      <c r="EK239" s="105"/>
      <c r="EL239" s="105"/>
      <c r="EM239" s="105"/>
      <c r="EN239" s="105"/>
      <c r="EO239" s="105"/>
      <c r="EP239" s="105"/>
      <c r="EQ239" s="105"/>
      <c r="ER239" s="105"/>
      <c r="ES239" s="105"/>
      <c r="ET239" s="105"/>
      <c r="EU239" s="105"/>
      <c r="EV239" s="105"/>
      <c r="EW239" s="105"/>
      <c r="EX239" s="105"/>
      <c r="EY239" s="105"/>
      <c r="EZ239" s="105"/>
      <c r="FA239" s="105"/>
      <c r="FB239" s="105"/>
      <c r="FC239" s="105"/>
      <c r="FD239" s="105"/>
      <c r="FE239" s="105"/>
      <c r="FF239" s="105"/>
      <c r="FG239" s="105"/>
      <c r="FH239" s="105"/>
      <c r="FI239" s="105"/>
      <c r="FJ239" s="105"/>
      <c r="FK239" s="105"/>
      <c r="FL239" s="105"/>
      <c r="FM239" s="105"/>
      <c r="FN239" s="105"/>
      <c r="FO239" s="105"/>
      <c r="FP239" s="105"/>
      <c r="FQ239" s="105"/>
      <c r="FR239" s="105"/>
      <c r="FS239" s="105"/>
      <c r="FT239" s="105"/>
      <c r="FU239" s="105"/>
      <c r="FV239" s="105"/>
      <c r="FW239" s="105"/>
      <c r="FX239" s="105"/>
      <c r="FY239" s="105"/>
      <c r="FZ239" s="105"/>
      <c r="GA239" s="105"/>
      <c r="GB239" s="105"/>
      <c r="GC239" s="105"/>
      <c r="GD239" s="105"/>
      <c r="GE239" s="105"/>
      <c r="GF239" s="105"/>
      <c r="GG239" s="105"/>
      <c r="GH239" s="105"/>
      <c r="GI239" s="105"/>
      <c r="GJ239" s="105"/>
      <c r="GK239" s="105"/>
      <c r="GL239" s="105"/>
      <c r="GM239" s="105"/>
      <c r="GN239" s="105"/>
      <c r="GO239" s="105"/>
      <c r="GP239" s="105"/>
      <c r="GQ239" s="105"/>
      <c r="GR239" s="105"/>
      <c r="GS239" s="105"/>
      <c r="GT239" s="105"/>
      <c r="GU239" s="105"/>
      <c r="GV239" s="105"/>
      <c r="GW239" s="105"/>
      <c r="GX239" s="105"/>
      <c r="GY239" s="105"/>
      <c r="GZ239" s="105"/>
      <c r="HA239" s="105"/>
      <c r="HB239" s="105"/>
      <c r="HC239" s="105"/>
      <c r="HD239" s="105"/>
      <c r="HE239" s="105"/>
      <c r="HF239" s="105"/>
      <c r="HG239" s="105"/>
      <c r="HH239" s="105"/>
      <c r="HI239" s="105"/>
      <c r="HJ239" s="105"/>
      <c r="HK239" s="105"/>
      <c r="HL239" s="105"/>
      <c r="HM239" s="105"/>
      <c r="HN239" s="105"/>
      <c r="HO239" s="105"/>
      <c r="HP239" s="105"/>
      <c r="HQ239" s="105"/>
      <c r="HR239" s="105"/>
      <c r="HS239" s="105"/>
      <c r="HT239" s="105"/>
      <c r="HU239" s="105"/>
      <c r="HV239" s="105"/>
      <c r="HW239" s="105"/>
      <c r="HX239" s="105"/>
      <c r="HY239" s="105"/>
      <c r="HZ239" s="105"/>
      <c r="IA239" s="105"/>
      <c r="IB239" s="105"/>
      <c r="IC239" s="105"/>
      <c r="ID239" s="105"/>
      <c r="IE239" s="105"/>
      <c r="IF239" s="105"/>
      <c r="IG239" s="105"/>
      <c r="IH239" s="105"/>
      <c r="II239" s="105"/>
      <c r="IJ239" s="105"/>
      <c r="IK239" s="105"/>
      <c r="IL239" s="105"/>
      <c r="IM239" s="105"/>
      <c r="IN239" s="105"/>
      <c r="IO239" s="105"/>
      <c r="IP239" s="105"/>
      <c r="IQ239" s="105"/>
      <c r="IR239" s="105"/>
      <c r="IS239" s="105"/>
    </row>
    <row r="240" spans="1:253">
      <c r="A240" s="116"/>
      <c r="B240" s="105"/>
      <c r="C240" s="116"/>
      <c r="D240" s="116"/>
      <c r="E240" s="116"/>
      <c r="F240" s="116"/>
      <c r="G240" s="116"/>
      <c r="H240" s="116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5"/>
      <c r="BN240" s="105"/>
      <c r="BO240" s="105"/>
      <c r="BP240" s="105"/>
      <c r="BQ240" s="105"/>
      <c r="BR240" s="105"/>
      <c r="BS240" s="105"/>
      <c r="BT240" s="105"/>
      <c r="BU240" s="105"/>
      <c r="BV240" s="105"/>
      <c r="BW240" s="105"/>
      <c r="BX240" s="105"/>
      <c r="BY240" s="105"/>
      <c r="BZ240" s="105"/>
      <c r="CA240" s="105"/>
      <c r="CB240" s="105"/>
      <c r="CC240" s="105"/>
      <c r="CD240" s="105"/>
      <c r="CE240" s="105"/>
      <c r="CF240" s="105"/>
      <c r="CG240" s="105"/>
      <c r="CH240" s="105"/>
      <c r="CI240" s="105"/>
      <c r="CJ240" s="105"/>
      <c r="CK240" s="105"/>
      <c r="CL240" s="105"/>
      <c r="CM240" s="105"/>
      <c r="CN240" s="105"/>
      <c r="CO240" s="105"/>
      <c r="CP240" s="105"/>
      <c r="CQ240" s="105"/>
      <c r="CR240" s="105"/>
      <c r="CS240" s="105"/>
      <c r="CT240" s="105"/>
      <c r="CU240" s="105"/>
      <c r="CV240" s="105"/>
      <c r="CW240" s="105"/>
      <c r="CX240" s="105"/>
      <c r="CY240" s="105"/>
      <c r="CZ240" s="105"/>
      <c r="DA240" s="105"/>
      <c r="DB240" s="105"/>
      <c r="DC240" s="105"/>
      <c r="DD240" s="105"/>
      <c r="DE240" s="105"/>
      <c r="DF240" s="105"/>
      <c r="DG240" s="105"/>
      <c r="DH240" s="105"/>
      <c r="DI240" s="105"/>
      <c r="DJ240" s="105"/>
      <c r="DK240" s="105"/>
      <c r="DL240" s="105"/>
      <c r="DM240" s="105"/>
      <c r="DN240" s="105"/>
      <c r="DO240" s="105"/>
      <c r="DP240" s="105"/>
      <c r="DQ240" s="105"/>
      <c r="DR240" s="105"/>
      <c r="DS240" s="105"/>
      <c r="DT240" s="105"/>
      <c r="DU240" s="105"/>
      <c r="DV240" s="105"/>
      <c r="DW240" s="105"/>
      <c r="DX240" s="105"/>
      <c r="DY240" s="105"/>
      <c r="DZ240" s="105"/>
      <c r="EA240" s="105"/>
      <c r="EB240" s="105"/>
      <c r="EC240" s="105"/>
      <c r="ED240" s="105"/>
      <c r="EE240" s="105"/>
      <c r="EF240" s="105"/>
      <c r="EG240" s="105"/>
      <c r="EH240" s="105"/>
      <c r="EI240" s="105"/>
      <c r="EJ240" s="105"/>
      <c r="EK240" s="105"/>
      <c r="EL240" s="105"/>
      <c r="EM240" s="105"/>
      <c r="EN240" s="105"/>
      <c r="EO240" s="105"/>
      <c r="EP240" s="105"/>
      <c r="EQ240" s="105"/>
      <c r="ER240" s="105"/>
      <c r="ES240" s="105"/>
      <c r="ET240" s="105"/>
      <c r="EU240" s="105"/>
      <c r="EV240" s="105"/>
      <c r="EW240" s="105"/>
      <c r="EX240" s="105"/>
      <c r="EY240" s="105"/>
      <c r="EZ240" s="105"/>
      <c r="FA240" s="105"/>
      <c r="FB240" s="105"/>
      <c r="FC240" s="105"/>
      <c r="FD240" s="105"/>
      <c r="FE240" s="105"/>
      <c r="FF240" s="105"/>
      <c r="FG240" s="105"/>
      <c r="FH240" s="105"/>
      <c r="FI240" s="105"/>
      <c r="FJ240" s="105"/>
      <c r="FK240" s="105"/>
      <c r="FL240" s="105"/>
      <c r="FM240" s="105"/>
      <c r="FN240" s="105"/>
      <c r="FO240" s="105"/>
      <c r="FP240" s="105"/>
      <c r="FQ240" s="105"/>
      <c r="FR240" s="105"/>
      <c r="FS240" s="105"/>
      <c r="FT240" s="105"/>
      <c r="FU240" s="105"/>
      <c r="FV240" s="105"/>
      <c r="FW240" s="105"/>
      <c r="FX240" s="105"/>
      <c r="FY240" s="105"/>
      <c r="FZ240" s="105"/>
      <c r="GA240" s="105"/>
      <c r="GB240" s="105"/>
      <c r="GC240" s="105"/>
      <c r="GD240" s="105"/>
      <c r="GE240" s="105"/>
      <c r="GF240" s="105"/>
      <c r="GG240" s="105"/>
      <c r="GH240" s="105"/>
      <c r="GI240" s="105"/>
      <c r="GJ240" s="105"/>
      <c r="GK240" s="105"/>
      <c r="GL240" s="105"/>
      <c r="GM240" s="105"/>
      <c r="GN240" s="105"/>
      <c r="GO240" s="105"/>
      <c r="GP240" s="105"/>
      <c r="GQ240" s="105"/>
      <c r="GR240" s="105"/>
      <c r="GS240" s="105"/>
      <c r="GT240" s="105"/>
      <c r="GU240" s="105"/>
      <c r="GV240" s="105"/>
      <c r="GW240" s="105"/>
      <c r="GX240" s="105"/>
      <c r="GY240" s="105"/>
      <c r="GZ240" s="105"/>
      <c r="HA240" s="105"/>
      <c r="HB240" s="105"/>
      <c r="HC240" s="105"/>
      <c r="HD240" s="105"/>
      <c r="HE240" s="105"/>
      <c r="HF240" s="105"/>
      <c r="HG240" s="105"/>
      <c r="HH240" s="105"/>
      <c r="HI240" s="105"/>
      <c r="HJ240" s="105"/>
      <c r="HK240" s="105"/>
      <c r="HL240" s="105"/>
      <c r="HM240" s="105"/>
      <c r="HN240" s="105"/>
      <c r="HO240" s="105"/>
      <c r="HP240" s="105"/>
      <c r="HQ240" s="105"/>
      <c r="HR240" s="105"/>
      <c r="HS240" s="105"/>
      <c r="HT240" s="105"/>
      <c r="HU240" s="105"/>
      <c r="HV240" s="105"/>
      <c r="HW240" s="105"/>
      <c r="HX240" s="105"/>
      <c r="HY240" s="105"/>
      <c r="HZ240" s="105"/>
      <c r="IA240" s="105"/>
      <c r="IB240" s="105"/>
      <c r="IC240" s="105"/>
      <c r="ID240" s="105"/>
      <c r="IE240" s="105"/>
      <c r="IF240" s="105"/>
      <c r="IG240" s="105"/>
      <c r="IH240" s="105"/>
      <c r="II240" s="105"/>
      <c r="IJ240" s="105"/>
      <c r="IK240" s="105"/>
      <c r="IL240" s="105"/>
      <c r="IM240" s="105"/>
      <c r="IN240" s="105"/>
      <c r="IO240" s="105"/>
      <c r="IP240" s="105"/>
      <c r="IQ240" s="105"/>
      <c r="IR240" s="105"/>
      <c r="IS240" s="105"/>
    </row>
    <row r="241" spans="1:253">
      <c r="A241" s="116"/>
      <c r="B241" s="105"/>
      <c r="C241" s="116"/>
      <c r="D241" s="116"/>
      <c r="E241" s="116"/>
      <c r="F241" s="116"/>
      <c r="G241" s="116"/>
      <c r="H241" s="116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5"/>
      <c r="BN241" s="105"/>
      <c r="BO241" s="105"/>
      <c r="BP241" s="105"/>
      <c r="BQ241" s="105"/>
      <c r="BR241" s="105"/>
      <c r="BS241" s="105"/>
      <c r="BT241" s="105"/>
      <c r="BU241" s="105"/>
      <c r="BV241" s="105"/>
      <c r="BW241" s="105"/>
      <c r="BX241" s="105"/>
      <c r="BY241" s="105"/>
      <c r="BZ241" s="105"/>
      <c r="CA241" s="105"/>
      <c r="CB241" s="105"/>
      <c r="CC241" s="105"/>
      <c r="CD241" s="105"/>
      <c r="CE241" s="105"/>
      <c r="CF241" s="105"/>
      <c r="CG241" s="105"/>
      <c r="CH241" s="105"/>
      <c r="CI241" s="105"/>
      <c r="CJ241" s="105"/>
      <c r="CK241" s="105"/>
      <c r="CL241" s="105"/>
      <c r="CM241" s="105"/>
      <c r="CN241" s="105"/>
      <c r="CO241" s="105"/>
      <c r="CP241" s="105"/>
      <c r="CQ241" s="105"/>
      <c r="CR241" s="105"/>
      <c r="CS241" s="105"/>
      <c r="CT241" s="105"/>
      <c r="CU241" s="105"/>
      <c r="CV241" s="105"/>
      <c r="CW241" s="105"/>
      <c r="CX241" s="105"/>
      <c r="CY241" s="105"/>
      <c r="CZ241" s="105"/>
      <c r="DA241" s="105"/>
      <c r="DB241" s="105"/>
      <c r="DC241" s="105"/>
      <c r="DD241" s="105"/>
      <c r="DE241" s="105"/>
      <c r="DF241" s="105"/>
      <c r="DG241" s="105"/>
      <c r="DH241" s="105"/>
      <c r="DI241" s="105"/>
      <c r="DJ241" s="105"/>
      <c r="DK241" s="105"/>
      <c r="DL241" s="105"/>
      <c r="DM241" s="105"/>
      <c r="DN241" s="105"/>
      <c r="DO241" s="105"/>
      <c r="DP241" s="105"/>
      <c r="DQ241" s="105"/>
      <c r="DR241" s="105"/>
      <c r="DS241" s="105"/>
      <c r="DT241" s="105"/>
      <c r="DU241" s="105"/>
      <c r="DV241" s="105"/>
      <c r="DW241" s="105"/>
      <c r="DX241" s="105"/>
      <c r="DY241" s="105"/>
      <c r="DZ241" s="105"/>
      <c r="EA241" s="105"/>
      <c r="EB241" s="105"/>
      <c r="EC241" s="105"/>
      <c r="ED241" s="105"/>
      <c r="EE241" s="105"/>
      <c r="EF241" s="105"/>
      <c r="EG241" s="105"/>
      <c r="EH241" s="105"/>
      <c r="EI241" s="105"/>
      <c r="EJ241" s="105"/>
      <c r="EK241" s="105"/>
      <c r="EL241" s="105"/>
      <c r="EM241" s="105"/>
      <c r="EN241" s="105"/>
      <c r="EO241" s="105"/>
      <c r="EP241" s="105"/>
      <c r="EQ241" s="105"/>
      <c r="ER241" s="105"/>
      <c r="ES241" s="105"/>
      <c r="ET241" s="105"/>
      <c r="EU241" s="105"/>
      <c r="EV241" s="105"/>
      <c r="EW241" s="105"/>
      <c r="EX241" s="105"/>
      <c r="EY241" s="105"/>
      <c r="EZ241" s="105"/>
      <c r="FA241" s="105"/>
      <c r="FB241" s="105"/>
      <c r="FC241" s="105"/>
      <c r="FD241" s="105"/>
      <c r="FE241" s="105"/>
      <c r="FF241" s="105"/>
      <c r="FG241" s="105"/>
      <c r="FH241" s="105"/>
      <c r="FI241" s="105"/>
      <c r="FJ241" s="105"/>
      <c r="FK241" s="105"/>
      <c r="FL241" s="105"/>
      <c r="FM241" s="105"/>
      <c r="FN241" s="105"/>
      <c r="FO241" s="105"/>
      <c r="FP241" s="105"/>
      <c r="FQ241" s="105"/>
      <c r="FR241" s="105"/>
      <c r="FS241" s="105"/>
      <c r="FT241" s="105"/>
      <c r="FU241" s="105"/>
      <c r="FV241" s="105"/>
      <c r="FW241" s="105"/>
      <c r="FX241" s="105"/>
      <c r="FY241" s="105"/>
      <c r="FZ241" s="105"/>
      <c r="GA241" s="105"/>
      <c r="GB241" s="105"/>
      <c r="GC241" s="105"/>
      <c r="GD241" s="105"/>
      <c r="GE241" s="105"/>
      <c r="GF241" s="105"/>
      <c r="GG241" s="105"/>
      <c r="GH241" s="105"/>
      <c r="GI241" s="105"/>
      <c r="GJ241" s="105"/>
      <c r="GK241" s="105"/>
      <c r="GL241" s="105"/>
      <c r="GM241" s="105"/>
      <c r="GN241" s="105"/>
      <c r="GO241" s="105"/>
      <c r="GP241" s="105"/>
      <c r="GQ241" s="105"/>
      <c r="GR241" s="105"/>
      <c r="GS241" s="105"/>
      <c r="GT241" s="105"/>
      <c r="GU241" s="105"/>
      <c r="GV241" s="105"/>
      <c r="GW241" s="105"/>
      <c r="GX241" s="105"/>
      <c r="GY241" s="105"/>
      <c r="GZ241" s="105"/>
      <c r="HA241" s="105"/>
      <c r="HB241" s="105"/>
      <c r="HC241" s="105"/>
      <c r="HD241" s="105"/>
      <c r="HE241" s="105"/>
      <c r="HF241" s="105"/>
      <c r="HG241" s="105"/>
      <c r="HH241" s="105"/>
      <c r="HI241" s="105"/>
      <c r="HJ241" s="105"/>
      <c r="HK241" s="105"/>
      <c r="HL241" s="105"/>
      <c r="HM241" s="105"/>
      <c r="HN241" s="105"/>
      <c r="HO241" s="105"/>
      <c r="HP241" s="105"/>
      <c r="HQ241" s="105"/>
      <c r="HR241" s="105"/>
      <c r="HS241" s="105"/>
      <c r="HT241" s="105"/>
      <c r="HU241" s="105"/>
      <c r="HV241" s="105"/>
      <c r="HW241" s="105"/>
      <c r="HX241" s="105"/>
      <c r="HY241" s="105"/>
      <c r="HZ241" s="105"/>
      <c r="IA241" s="105"/>
      <c r="IB241" s="105"/>
      <c r="IC241" s="105"/>
      <c r="ID241" s="105"/>
      <c r="IE241" s="105"/>
      <c r="IF241" s="105"/>
      <c r="IG241" s="105"/>
      <c r="IH241" s="105"/>
      <c r="II241" s="105"/>
      <c r="IJ241" s="105"/>
      <c r="IK241" s="105"/>
      <c r="IL241" s="105"/>
      <c r="IM241" s="105"/>
      <c r="IN241" s="105"/>
      <c r="IO241" s="105"/>
      <c r="IP241" s="105"/>
      <c r="IQ241" s="105"/>
      <c r="IR241" s="105"/>
      <c r="IS241" s="105"/>
    </row>
    <row r="242" spans="1:253">
      <c r="A242" s="116"/>
      <c r="B242" s="105"/>
      <c r="C242" s="116"/>
      <c r="D242" s="116"/>
      <c r="E242" s="116"/>
      <c r="F242" s="116"/>
      <c r="G242" s="116"/>
      <c r="H242" s="116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  <c r="BL242" s="105"/>
      <c r="BM242" s="105"/>
      <c r="BN242" s="105"/>
      <c r="BO242" s="105"/>
      <c r="BP242" s="105"/>
      <c r="BQ242" s="105"/>
      <c r="BR242" s="105"/>
      <c r="BS242" s="105"/>
      <c r="BT242" s="105"/>
      <c r="BU242" s="105"/>
      <c r="BV242" s="105"/>
      <c r="BW242" s="105"/>
      <c r="BX242" s="105"/>
      <c r="BY242" s="105"/>
      <c r="BZ242" s="105"/>
      <c r="CA242" s="105"/>
      <c r="CB242" s="105"/>
      <c r="CC242" s="105"/>
      <c r="CD242" s="105"/>
      <c r="CE242" s="105"/>
      <c r="CF242" s="105"/>
      <c r="CG242" s="105"/>
      <c r="CH242" s="105"/>
      <c r="CI242" s="105"/>
      <c r="CJ242" s="105"/>
      <c r="CK242" s="105"/>
      <c r="CL242" s="105"/>
      <c r="CM242" s="105"/>
      <c r="CN242" s="105"/>
      <c r="CO242" s="105"/>
      <c r="CP242" s="105"/>
      <c r="CQ242" s="105"/>
      <c r="CR242" s="105"/>
      <c r="CS242" s="105"/>
      <c r="CT242" s="105"/>
      <c r="CU242" s="105"/>
      <c r="CV242" s="105"/>
      <c r="CW242" s="105"/>
      <c r="CX242" s="105"/>
      <c r="CY242" s="105"/>
      <c r="CZ242" s="105"/>
      <c r="DA242" s="105"/>
      <c r="DB242" s="105"/>
      <c r="DC242" s="105"/>
      <c r="DD242" s="105"/>
      <c r="DE242" s="105"/>
      <c r="DF242" s="105"/>
      <c r="DG242" s="105"/>
      <c r="DH242" s="105"/>
      <c r="DI242" s="105"/>
      <c r="DJ242" s="105"/>
      <c r="DK242" s="105"/>
      <c r="DL242" s="105"/>
      <c r="DM242" s="105"/>
      <c r="DN242" s="105"/>
      <c r="DO242" s="105"/>
      <c r="DP242" s="105"/>
      <c r="DQ242" s="105"/>
      <c r="DR242" s="105"/>
      <c r="DS242" s="105"/>
      <c r="DT242" s="105"/>
      <c r="DU242" s="105"/>
      <c r="DV242" s="105"/>
      <c r="DW242" s="105"/>
      <c r="DX242" s="105"/>
      <c r="DY242" s="105"/>
      <c r="DZ242" s="105"/>
      <c r="EA242" s="105"/>
      <c r="EB242" s="105"/>
      <c r="EC242" s="105"/>
      <c r="ED242" s="105"/>
      <c r="EE242" s="105"/>
      <c r="EF242" s="105"/>
      <c r="EG242" s="105"/>
      <c r="EH242" s="105"/>
      <c r="EI242" s="105"/>
      <c r="EJ242" s="105"/>
      <c r="EK242" s="105"/>
      <c r="EL242" s="105"/>
      <c r="EM242" s="105"/>
      <c r="EN242" s="105"/>
      <c r="EO242" s="105"/>
      <c r="EP242" s="105"/>
      <c r="EQ242" s="105"/>
      <c r="ER242" s="105"/>
      <c r="ES242" s="105"/>
      <c r="ET242" s="105"/>
      <c r="EU242" s="105"/>
      <c r="EV242" s="105"/>
      <c r="EW242" s="105"/>
      <c r="EX242" s="105"/>
      <c r="EY242" s="105"/>
      <c r="EZ242" s="105"/>
      <c r="FA242" s="105"/>
      <c r="FB242" s="105"/>
      <c r="FC242" s="105"/>
      <c r="FD242" s="105"/>
      <c r="FE242" s="105"/>
      <c r="FF242" s="105"/>
      <c r="FG242" s="105"/>
      <c r="FH242" s="105"/>
      <c r="FI242" s="105"/>
      <c r="FJ242" s="105"/>
      <c r="FK242" s="105"/>
      <c r="FL242" s="105"/>
      <c r="FM242" s="105"/>
      <c r="FN242" s="105"/>
      <c r="FO242" s="105"/>
      <c r="FP242" s="105"/>
      <c r="FQ242" s="105"/>
      <c r="FR242" s="105"/>
      <c r="FS242" s="105"/>
      <c r="FT242" s="105"/>
      <c r="FU242" s="105"/>
      <c r="FV242" s="105"/>
      <c r="FW242" s="105"/>
      <c r="FX242" s="105"/>
      <c r="FY242" s="105"/>
      <c r="FZ242" s="105"/>
      <c r="GA242" s="105"/>
      <c r="GB242" s="105"/>
      <c r="GC242" s="105"/>
      <c r="GD242" s="105"/>
      <c r="GE242" s="105"/>
      <c r="GF242" s="105"/>
      <c r="GG242" s="105"/>
      <c r="GH242" s="105"/>
      <c r="GI242" s="105"/>
      <c r="GJ242" s="105"/>
      <c r="GK242" s="105"/>
      <c r="GL242" s="105"/>
      <c r="GM242" s="105"/>
      <c r="GN242" s="105"/>
      <c r="GO242" s="105"/>
      <c r="GP242" s="105"/>
      <c r="GQ242" s="105"/>
      <c r="GR242" s="105"/>
      <c r="GS242" s="105"/>
      <c r="GT242" s="105"/>
      <c r="GU242" s="105"/>
      <c r="GV242" s="105"/>
      <c r="GW242" s="105"/>
      <c r="GX242" s="105"/>
      <c r="GY242" s="105"/>
      <c r="GZ242" s="105"/>
      <c r="HA242" s="105"/>
      <c r="HB242" s="105"/>
      <c r="HC242" s="105"/>
      <c r="HD242" s="105"/>
      <c r="HE242" s="105"/>
      <c r="HF242" s="105"/>
      <c r="HG242" s="105"/>
      <c r="HH242" s="105"/>
      <c r="HI242" s="105"/>
      <c r="HJ242" s="105"/>
      <c r="HK242" s="105"/>
      <c r="HL242" s="105"/>
      <c r="HM242" s="105"/>
      <c r="HN242" s="105"/>
      <c r="HO242" s="105"/>
      <c r="HP242" s="105"/>
      <c r="HQ242" s="105"/>
      <c r="HR242" s="105"/>
      <c r="HS242" s="105"/>
      <c r="HT242" s="105"/>
      <c r="HU242" s="105"/>
      <c r="HV242" s="105"/>
      <c r="HW242" s="105"/>
      <c r="HX242" s="105"/>
      <c r="HY242" s="105"/>
      <c r="HZ242" s="105"/>
      <c r="IA242" s="105"/>
      <c r="IB242" s="105"/>
      <c r="IC242" s="105"/>
      <c r="ID242" s="105"/>
      <c r="IE242" s="105"/>
      <c r="IF242" s="105"/>
      <c r="IG242" s="105"/>
      <c r="IH242" s="105"/>
      <c r="II242" s="105"/>
      <c r="IJ242" s="105"/>
      <c r="IK242" s="105"/>
      <c r="IL242" s="105"/>
      <c r="IM242" s="105"/>
      <c r="IN242" s="105"/>
      <c r="IO242" s="105"/>
      <c r="IP242" s="105"/>
      <c r="IQ242" s="105"/>
      <c r="IR242" s="105"/>
      <c r="IS242" s="105"/>
    </row>
    <row r="243" spans="1:253">
      <c r="A243" s="116"/>
      <c r="B243" s="105"/>
      <c r="C243" s="116"/>
      <c r="D243" s="116"/>
      <c r="E243" s="116"/>
      <c r="F243" s="116"/>
      <c r="G243" s="116"/>
      <c r="H243" s="116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5"/>
      <c r="BN243" s="105"/>
      <c r="BO243" s="105"/>
      <c r="BP243" s="105"/>
      <c r="BQ243" s="105"/>
      <c r="BR243" s="105"/>
      <c r="BS243" s="105"/>
      <c r="BT243" s="105"/>
      <c r="BU243" s="105"/>
      <c r="BV243" s="105"/>
      <c r="BW243" s="105"/>
      <c r="BX243" s="105"/>
      <c r="BY243" s="105"/>
      <c r="BZ243" s="105"/>
      <c r="CA243" s="105"/>
      <c r="CB243" s="105"/>
      <c r="CC243" s="105"/>
      <c r="CD243" s="105"/>
      <c r="CE243" s="105"/>
      <c r="CF243" s="105"/>
      <c r="CG243" s="105"/>
      <c r="CH243" s="105"/>
      <c r="CI243" s="105"/>
      <c r="CJ243" s="105"/>
      <c r="CK243" s="105"/>
      <c r="CL243" s="105"/>
      <c r="CM243" s="105"/>
      <c r="CN243" s="105"/>
      <c r="CO243" s="105"/>
      <c r="CP243" s="105"/>
      <c r="CQ243" s="105"/>
      <c r="CR243" s="105"/>
      <c r="CS243" s="105"/>
      <c r="CT243" s="105"/>
      <c r="CU243" s="105"/>
      <c r="CV243" s="105"/>
      <c r="CW243" s="105"/>
      <c r="CX243" s="105"/>
      <c r="CY243" s="105"/>
      <c r="CZ243" s="105"/>
      <c r="DA243" s="105"/>
      <c r="DB243" s="105"/>
      <c r="DC243" s="105"/>
      <c r="DD243" s="105"/>
      <c r="DE243" s="105"/>
      <c r="DF243" s="105"/>
      <c r="DG243" s="105"/>
      <c r="DH243" s="105"/>
      <c r="DI243" s="105"/>
      <c r="DJ243" s="105"/>
      <c r="DK243" s="105"/>
      <c r="DL243" s="105"/>
      <c r="DM243" s="105"/>
      <c r="DN243" s="105"/>
      <c r="DO243" s="105"/>
      <c r="DP243" s="105"/>
      <c r="DQ243" s="105"/>
      <c r="DR243" s="105"/>
      <c r="DS243" s="105"/>
      <c r="DT243" s="105"/>
      <c r="DU243" s="105"/>
      <c r="DV243" s="105"/>
      <c r="DW243" s="105"/>
      <c r="DX243" s="105"/>
      <c r="DY243" s="105"/>
      <c r="DZ243" s="105"/>
      <c r="EA243" s="105"/>
      <c r="EB243" s="105"/>
      <c r="EC243" s="105"/>
      <c r="ED243" s="105"/>
      <c r="EE243" s="105"/>
      <c r="EF243" s="105"/>
      <c r="EG243" s="105"/>
      <c r="EH243" s="105"/>
      <c r="EI243" s="105"/>
      <c r="EJ243" s="105"/>
      <c r="EK243" s="105"/>
      <c r="EL243" s="105"/>
      <c r="EM243" s="105"/>
      <c r="EN243" s="105"/>
      <c r="EO243" s="105"/>
      <c r="EP243" s="105"/>
      <c r="EQ243" s="105"/>
      <c r="ER243" s="105"/>
      <c r="ES243" s="105"/>
      <c r="ET243" s="105"/>
      <c r="EU243" s="105"/>
      <c r="EV243" s="105"/>
      <c r="EW243" s="105"/>
      <c r="EX243" s="105"/>
      <c r="EY243" s="105"/>
      <c r="EZ243" s="105"/>
      <c r="FA243" s="105"/>
      <c r="FB243" s="105"/>
      <c r="FC243" s="105"/>
      <c r="FD243" s="105"/>
      <c r="FE243" s="105"/>
      <c r="FF243" s="105"/>
      <c r="FG243" s="105"/>
      <c r="FH243" s="105"/>
      <c r="FI243" s="105"/>
      <c r="FJ243" s="105"/>
      <c r="FK243" s="105"/>
      <c r="FL243" s="105"/>
      <c r="FM243" s="105"/>
      <c r="FN243" s="105"/>
      <c r="FO243" s="105"/>
      <c r="FP243" s="105"/>
      <c r="FQ243" s="105"/>
      <c r="FR243" s="105"/>
      <c r="FS243" s="105"/>
      <c r="FT243" s="105"/>
      <c r="FU243" s="105"/>
      <c r="FV243" s="105"/>
      <c r="FW243" s="105"/>
      <c r="FX243" s="105"/>
      <c r="FY243" s="105"/>
      <c r="FZ243" s="105"/>
      <c r="GA243" s="105"/>
      <c r="GB243" s="105"/>
      <c r="GC243" s="105"/>
      <c r="GD243" s="105"/>
      <c r="GE243" s="105"/>
      <c r="GF243" s="105"/>
      <c r="GG243" s="105"/>
      <c r="GH243" s="105"/>
      <c r="GI243" s="105"/>
      <c r="GJ243" s="105"/>
      <c r="GK243" s="105"/>
      <c r="GL243" s="105"/>
      <c r="GM243" s="105"/>
      <c r="GN243" s="105"/>
      <c r="GO243" s="105"/>
      <c r="GP243" s="105"/>
      <c r="GQ243" s="105"/>
      <c r="GR243" s="105"/>
      <c r="GS243" s="105"/>
      <c r="GT243" s="105"/>
      <c r="GU243" s="105"/>
      <c r="GV243" s="105"/>
      <c r="GW243" s="105"/>
      <c r="GX243" s="105"/>
      <c r="GY243" s="105"/>
      <c r="GZ243" s="105"/>
      <c r="HA243" s="105"/>
      <c r="HB243" s="105"/>
      <c r="HC243" s="105"/>
      <c r="HD243" s="105"/>
      <c r="HE243" s="105"/>
      <c r="HF243" s="105"/>
      <c r="HG243" s="105"/>
      <c r="HH243" s="105"/>
      <c r="HI243" s="105"/>
      <c r="HJ243" s="105"/>
      <c r="HK243" s="105"/>
      <c r="HL243" s="105"/>
      <c r="HM243" s="105"/>
      <c r="HN243" s="105"/>
      <c r="HO243" s="105"/>
      <c r="HP243" s="105"/>
      <c r="HQ243" s="105"/>
      <c r="HR243" s="105"/>
      <c r="HS243" s="105"/>
      <c r="HT243" s="105"/>
      <c r="HU243" s="105"/>
      <c r="HV243" s="105"/>
      <c r="HW243" s="105"/>
      <c r="HX243" s="105"/>
      <c r="HY243" s="105"/>
      <c r="HZ243" s="105"/>
      <c r="IA243" s="105"/>
      <c r="IB243" s="105"/>
      <c r="IC243" s="105"/>
      <c r="ID243" s="105"/>
      <c r="IE243" s="105"/>
      <c r="IF243" s="105"/>
      <c r="IG243" s="105"/>
      <c r="IH243" s="105"/>
      <c r="II243" s="105"/>
      <c r="IJ243" s="105"/>
      <c r="IK243" s="105"/>
      <c r="IL243" s="105"/>
      <c r="IM243" s="105"/>
      <c r="IN243" s="105"/>
      <c r="IO243" s="105"/>
      <c r="IP243" s="105"/>
      <c r="IQ243" s="105"/>
      <c r="IR243" s="105"/>
      <c r="IS243" s="105"/>
    </row>
    <row r="244" spans="1:253">
      <c r="A244" s="116"/>
      <c r="B244" s="105"/>
      <c r="C244" s="116"/>
      <c r="D244" s="116"/>
      <c r="E244" s="116"/>
      <c r="F244" s="116"/>
      <c r="G244" s="116"/>
      <c r="H244" s="116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5"/>
      <c r="BN244" s="105"/>
      <c r="BO244" s="105"/>
      <c r="BP244" s="105"/>
      <c r="BQ244" s="105"/>
      <c r="BR244" s="105"/>
      <c r="BS244" s="105"/>
      <c r="BT244" s="105"/>
      <c r="BU244" s="105"/>
      <c r="BV244" s="105"/>
      <c r="BW244" s="105"/>
      <c r="BX244" s="105"/>
      <c r="BY244" s="105"/>
      <c r="BZ244" s="105"/>
      <c r="CA244" s="105"/>
      <c r="CB244" s="105"/>
      <c r="CC244" s="105"/>
      <c r="CD244" s="105"/>
      <c r="CE244" s="105"/>
      <c r="CF244" s="105"/>
      <c r="CG244" s="105"/>
      <c r="CH244" s="105"/>
      <c r="CI244" s="105"/>
      <c r="CJ244" s="105"/>
      <c r="CK244" s="105"/>
      <c r="CL244" s="105"/>
      <c r="CM244" s="105"/>
      <c r="CN244" s="105"/>
      <c r="CO244" s="105"/>
      <c r="CP244" s="105"/>
      <c r="CQ244" s="105"/>
      <c r="CR244" s="105"/>
      <c r="CS244" s="105"/>
      <c r="CT244" s="105"/>
      <c r="CU244" s="105"/>
      <c r="CV244" s="105"/>
      <c r="CW244" s="105"/>
      <c r="CX244" s="105"/>
      <c r="CY244" s="105"/>
      <c r="CZ244" s="105"/>
      <c r="DA244" s="105"/>
      <c r="DB244" s="105"/>
      <c r="DC244" s="105"/>
      <c r="DD244" s="105"/>
      <c r="DE244" s="105"/>
      <c r="DF244" s="105"/>
      <c r="DG244" s="105"/>
      <c r="DH244" s="105"/>
      <c r="DI244" s="105"/>
      <c r="DJ244" s="105"/>
      <c r="DK244" s="105"/>
      <c r="DL244" s="105"/>
      <c r="DM244" s="105"/>
      <c r="DN244" s="105"/>
      <c r="DO244" s="105"/>
      <c r="DP244" s="105"/>
      <c r="DQ244" s="105"/>
      <c r="DR244" s="105"/>
      <c r="DS244" s="105"/>
      <c r="DT244" s="105"/>
      <c r="DU244" s="105"/>
      <c r="DV244" s="105"/>
      <c r="DW244" s="105"/>
      <c r="DX244" s="105"/>
      <c r="DY244" s="105"/>
      <c r="DZ244" s="105"/>
      <c r="EA244" s="105"/>
      <c r="EB244" s="105"/>
      <c r="EC244" s="105"/>
      <c r="ED244" s="105"/>
      <c r="EE244" s="105"/>
      <c r="EF244" s="105"/>
      <c r="EG244" s="105"/>
      <c r="EH244" s="105"/>
      <c r="EI244" s="105"/>
      <c r="EJ244" s="105"/>
      <c r="EK244" s="105"/>
      <c r="EL244" s="105"/>
      <c r="EM244" s="105"/>
      <c r="EN244" s="105"/>
      <c r="EO244" s="105"/>
      <c r="EP244" s="105"/>
      <c r="EQ244" s="105"/>
      <c r="ER244" s="105"/>
      <c r="ES244" s="105"/>
      <c r="ET244" s="105"/>
      <c r="EU244" s="105"/>
      <c r="EV244" s="105"/>
      <c r="EW244" s="105"/>
      <c r="EX244" s="105"/>
      <c r="EY244" s="105"/>
      <c r="EZ244" s="105"/>
      <c r="FA244" s="105"/>
      <c r="FB244" s="105"/>
      <c r="FC244" s="105"/>
      <c r="FD244" s="105"/>
      <c r="FE244" s="105"/>
      <c r="FF244" s="105"/>
      <c r="FG244" s="105"/>
      <c r="FH244" s="105"/>
      <c r="FI244" s="105"/>
      <c r="FJ244" s="105"/>
      <c r="FK244" s="105"/>
      <c r="FL244" s="105"/>
      <c r="FM244" s="105"/>
      <c r="FN244" s="105"/>
      <c r="FO244" s="105"/>
      <c r="FP244" s="105"/>
      <c r="FQ244" s="105"/>
      <c r="FR244" s="105"/>
      <c r="FS244" s="105"/>
      <c r="FT244" s="105"/>
      <c r="FU244" s="105"/>
      <c r="FV244" s="105"/>
      <c r="FW244" s="105"/>
      <c r="FX244" s="105"/>
      <c r="FY244" s="105"/>
      <c r="FZ244" s="105"/>
      <c r="GA244" s="105"/>
      <c r="GB244" s="105"/>
      <c r="GC244" s="105"/>
      <c r="GD244" s="105"/>
      <c r="GE244" s="105"/>
      <c r="GF244" s="105"/>
      <c r="GG244" s="105"/>
      <c r="GH244" s="105"/>
      <c r="GI244" s="105"/>
      <c r="GJ244" s="105"/>
      <c r="GK244" s="105"/>
      <c r="GL244" s="105"/>
      <c r="GM244" s="105"/>
      <c r="GN244" s="105"/>
      <c r="GO244" s="105"/>
      <c r="GP244" s="105"/>
      <c r="GQ244" s="105"/>
      <c r="GR244" s="105"/>
      <c r="GS244" s="105"/>
      <c r="GT244" s="105"/>
      <c r="GU244" s="105"/>
      <c r="GV244" s="105"/>
      <c r="GW244" s="105"/>
      <c r="GX244" s="105"/>
      <c r="GY244" s="105"/>
      <c r="GZ244" s="105"/>
      <c r="HA244" s="105"/>
      <c r="HB244" s="105"/>
      <c r="HC244" s="105"/>
      <c r="HD244" s="105"/>
      <c r="HE244" s="105"/>
      <c r="HF244" s="105"/>
      <c r="HG244" s="105"/>
      <c r="HH244" s="105"/>
      <c r="HI244" s="105"/>
      <c r="HJ244" s="105"/>
      <c r="HK244" s="105"/>
      <c r="HL244" s="105"/>
      <c r="HM244" s="105"/>
      <c r="HN244" s="105"/>
      <c r="HO244" s="105"/>
      <c r="HP244" s="105"/>
      <c r="HQ244" s="105"/>
      <c r="HR244" s="105"/>
      <c r="HS244" s="105"/>
      <c r="HT244" s="105"/>
      <c r="HU244" s="105"/>
      <c r="HV244" s="105"/>
      <c r="HW244" s="105"/>
      <c r="HX244" s="105"/>
      <c r="HY244" s="105"/>
      <c r="HZ244" s="105"/>
      <c r="IA244" s="105"/>
      <c r="IB244" s="105"/>
      <c r="IC244" s="105"/>
      <c r="ID244" s="105"/>
      <c r="IE244" s="105"/>
      <c r="IF244" s="105"/>
      <c r="IG244" s="105"/>
      <c r="IH244" s="105"/>
      <c r="II244" s="105"/>
      <c r="IJ244" s="105"/>
      <c r="IK244" s="105"/>
      <c r="IL244" s="105"/>
      <c r="IM244" s="105"/>
      <c r="IN244" s="105"/>
      <c r="IO244" s="105"/>
      <c r="IP244" s="105"/>
      <c r="IQ244" s="105"/>
      <c r="IR244" s="105"/>
      <c r="IS244" s="105"/>
    </row>
    <row r="245" spans="1:253">
      <c r="A245" s="116"/>
      <c r="B245" s="105"/>
      <c r="C245" s="116"/>
      <c r="D245" s="116"/>
      <c r="E245" s="116"/>
      <c r="F245" s="116"/>
      <c r="G245" s="116"/>
      <c r="H245" s="116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  <c r="BL245" s="105"/>
      <c r="BM245" s="105"/>
      <c r="BN245" s="105"/>
      <c r="BO245" s="105"/>
      <c r="BP245" s="105"/>
      <c r="BQ245" s="105"/>
      <c r="BR245" s="105"/>
      <c r="BS245" s="105"/>
      <c r="BT245" s="105"/>
      <c r="BU245" s="105"/>
      <c r="BV245" s="105"/>
      <c r="BW245" s="105"/>
      <c r="BX245" s="105"/>
      <c r="BY245" s="105"/>
      <c r="BZ245" s="105"/>
      <c r="CA245" s="105"/>
      <c r="CB245" s="105"/>
      <c r="CC245" s="105"/>
      <c r="CD245" s="105"/>
      <c r="CE245" s="105"/>
      <c r="CF245" s="105"/>
      <c r="CG245" s="105"/>
      <c r="CH245" s="105"/>
      <c r="CI245" s="105"/>
      <c r="CJ245" s="105"/>
      <c r="CK245" s="105"/>
      <c r="CL245" s="105"/>
      <c r="CM245" s="105"/>
      <c r="CN245" s="105"/>
      <c r="CO245" s="105"/>
      <c r="CP245" s="105"/>
      <c r="CQ245" s="105"/>
      <c r="CR245" s="105"/>
      <c r="CS245" s="105"/>
      <c r="CT245" s="105"/>
      <c r="CU245" s="105"/>
      <c r="CV245" s="105"/>
      <c r="CW245" s="105"/>
      <c r="CX245" s="105"/>
      <c r="CY245" s="105"/>
      <c r="CZ245" s="105"/>
      <c r="DA245" s="105"/>
      <c r="DB245" s="105"/>
      <c r="DC245" s="105"/>
      <c r="DD245" s="105"/>
      <c r="DE245" s="105"/>
      <c r="DF245" s="105"/>
      <c r="DG245" s="105"/>
      <c r="DH245" s="105"/>
      <c r="DI245" s="105"/>
      <c r="DJ245" s="105"/>
      <c r="DK245" s="105"/>
      <c r="DL245" s="105"/>
      <c r="DM245" s="105"/>
      <c r="DN245" s="105"/>
      <c r="DO245" s="105"/>
      <c r="DP245" s="105"/>
      <c r="DQ245" s="105"/>
      <c r="DR245" s="105"/>
      <c r="DS245" s="105"/>
      <c r="DT245" s="105"/>
      <c r="DU245" s="105"/>
      <c r="DV245" s="105"/>
      <c r="DW245" s="105"/>
      <c r="DX245" s="105"/>
      <c r="DY245" s="105"/>
      <c r="DZ245" s="105"/>
      <c r="EA245" s="105"/>
      <c r="EB245" s="105"/>
      <c r="EC245" s="105"/>
      <c r="ED245" s="105"/>
      <c r="EE245" s="105"/>
      <c r="EF245" s="105"/>
      <c r="EG245" s="105"/>
      <c r="EH245" s="105"/>
      <c r="EI245" s="105"/>
      <c r="EJ245" s="105"/>
      <c r="EK245" s="105"/>
      <c r="EL245" s="105"/>
      <c r="EM245" s="105"/>
      <c r="EN245" s="105"/>
      <c r="EO245" s="105"/>
      <c r="EP245" s="105"/>
      <c r="EQ245" s="105"/>
      <c r="ER245" s="105"/>
      <c r="ES245" s="105"/>
      <c r="ET245" s="105"/>
      <c r="EU245" s="105"/>
      <c r="EV245" s="105"/>
      <c r="EW245" s="105"/>
      <c r="EX245" s="105"/>
      <c r="EY245" s="105"/>
      <c r="EZ245" s="105"/>
      <c r="FA245" s="105"/>
      <c r="FB245" s="105"/>
      <c r="FC245" s="105"/>
      <c r="FD245" s="105"/>
      <c r="FE245" s="105"/>
      <c r="FF245" s="105"/>
      <c r="FG245" s="105"/>
      <c r="FH245" s="105"/>
      <c r="FI245" s="105"/>
      <c r="FJ245" s="105"/>
      <c r="FK245" s="105"/>
      <c r="FL245" s="105"/>
      <c r="FM245" s="105"/>
      <c r="FN245" s="105"/>
      <c r="FO245" s="105"/>
      <c r="FP245" s="105"/>
      <c r="FQ245" s="105"/>
      <c r="FR245" s="105"/>
      <c r="FS245" s="105"/>
      <c r="FT245" s="105"/>
      <c r="FU245" s="105"/>
      <c r="FV245" s="105"/>
      <c r="FW245" s="105"/>
      <c r="FX245" s="105"/>
      <c r="FY245" s="105"/>
      <c r="FZ245" s="105"/>
      <c r="GA245" s="105"/>
      <c r="GB245" s="105"/>
      <c r="GC245" s="105"/>
      <c r="GD245" s="105"/>
      <c r="GE245" s="105"/>
      <c r="GF245" s="105"/>
      <c r="GG245" s="105"/>
      <c r="GH245" s="105"/>
      <c r="GI245" s="105"/>
      <c r="GJ245" s="105"/>
      <c r="GK245" s="105"/>
      <c r="GL245" s="105"/>
      <c r="GM245" s="105"/>
      <c r="GN245" s="105"/>
      <c r="GO245" s="105"/>
      <c r="GP245" s="105"/>
      <c r="GQ245" s="105"/>
      <c r="GR245" s="105"/>
      <c r="GS245" s="105"/>
      <c r="GT245" s="105"/>
      <c r="GU245" s="105"/>
      <c r="GV245" s="105"/>
      <c r="GW245" s="105"/>
      <c r="GX245" s="105"/>
      <c r="GY245" s="105"/>
      <c r="GZ245" s="105"/>
      <c r="HA245" s="105"/>
      <c r="HB245" s="105"/>
      <c r="HC245" s="105"/>
      <c r="HD245" s="105"/>
      <c r="HE245" s="105"/>
      <c r="HF245" s="105"/>
      <c r="HG245" s="105"/>
      <c r="HH245" s="105"/>
      <c r="HI245" s="105"/>
      <c r="HJ245" s="105"/>
      <c r="HK245" s="105"/>
      <c r="HL245" s="105"/>
      <c r="HM245" s="105"/>
      <c r="HN245" s="105"/>
      <c r="HO245" s="105"/>
      <c r="HP245" s="105"/>
      <c r="HQ245" s="105"/>
      <c r="HR245" s="105"/>
      <c r="HS245" s="105"/>
      <c r="HT245" s="105"/>
      <c r="HU245" s="105"/>
      <c r="HV245" s="105"/>
      <c r="HW245" s="105"/>
      <c r="HX245" s="105"/>
      <c r="HY245" s="105"/>
      <c r="HZ245" s="105"/>
      <c r="IA245" s="105"/>
      <c r="IB245" s="105"/>
      <c r="IC245" s="105"/>
      <c r="ID245" s="105"/>
      <c r="IE245" s="105"/>
      <c r="IF245" s="105"/>
      <c r="IG245" s="105"/>
      <c r="IH245" s="105"/>
      <c r="II245" s="105"/>
      <c r="IJ245" s="105"/>
      <c r="IK245" s="105"/>
      <c r="IL245" s="105"/>
      <c r="IM245" s="105"/>
      <c r="IN245" s="105"/>
      <c r="IO245" s="105"/>
      <c r="IP245" s="105"/>
      <c r="IQ245" s="105"/>
      <c r="IR245" s="105"/>
      <c r="IS245" s="105"/>
    </row>
    <row r="246" spans="1:253">
      <c r="A246" s="116"/>
      <c r="B246" s="105"/>
      <c r="C246" s="116"/>
      <c r="D246" s="116"/>
      <c r="E246" s="116"/>
      <c r="F246" s="116"/>
      <c r="G246" s="116"/>
      <c r="H246" s="116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5"/>
      <c r="BK246" s="105"/>
      <c r="BL246" s="105"/>
      <c r="BM246" s="105"/>
      <c r="BN246" s="105"/>
      <c r="BO246" s="105"/>
      <c r="BP246" s="105"/>
      <c r="BQ246" s="105"/>
      <c r="BR246" s="105"/>
      <c r="BS246" s="105"/>
      <c r="BT246" s="105"/>
      <c r="BU246" s="105"/>
      <c r="BV246" s="105"/>
      <c r="BW246" s="105"/>
      <c r="BX246" s="105"/>
      <c r="BY246" s="105"/>
      <c r="BZ246" s="105"/>
      <c r="CA246" s="105"/>
      <c r="CB246" s="105"/>
      <c r="CC246" s="105"/>
      <c r="CD246" s="105"/>
      <c r="CE246" s="105"/>
      <c r="CF246" s="105"/>
      <c r="CG246" s="105"/>
      <c r="CH246" s="105"/>
      <c r="CI246" s="105"/>
      <c r="CJ246" s="105"/>
      <c r="CK246" s="105"/>
      <c r="CL246" s="105"/>
      <c r="CM246" s="105"/>
      <c r="CN246" s="105"/>
      <c r="CO246" s="105"/>
      <c r="CP246" s="105"/>
      <c r="CQ246" s="105"/>
      <c r="CR246" s="105"/>
      <c r="CS246" s="105"/>
      <c r="CT246" s="105"/>
      <c r="CU246" s="105"/>
      <c r="CV246" s="105"/>
      <c r="CW246" s="105"/>
      <c r="CX246" s="105"/>
      <c r="CY246" s="105"/>
      <c r="CZ246" s="105"/>
      <c r="DA246" s="105"/>
      <c r="DB246" s="105"/>
      <c r="DC246" s="105"/>
      <c r="DD246" s="105"/>
      <c r="DE246" s="105"/>
      <c r="DF246" s="105"/>
      <c r="DG246" s="105"/>
      <c r="DH246" s="105"/>
      <c r="DI246" s="105"/>
      <c r="DJ246" s="105"/>
      <c r="DK246" s="105"/>
      <c r="DL246" s="105"/>
      <c r="DM246" s="105"/>
      <c r="DN246" s="105"/>
      <c r="DO246" s="105"/>
      <c r="DP246" s="105"/>
      <c r="DQ246" s="105"/>
      <c r="DR246" s="105"/>
      <c r="DS246" s="105"/>
      <c r="DT246" s="105"/>
      <c r="DU246" s="105"/>
      <c r="DV246" s="105"/>
      <c r="DW246" s="105"/>
      <c r="DX246" s="105"/>
      <c r="DY246" s="105"/>
      <c r="DZ246" s="105"/>
      <c r="EA246" s="105"/>
      <c r="EB246" s="105"/>
      <c r="EC246" s="105"/>
      <c r="ED246" s="105"/>
      <c r="EE246" s="105"/>
      <c r="EF246" s="105"/>
      <c r="EG246" s="105"/>
      <c r="EH246" s="105"/>
      <c r="EI246" s="105"/>
      <c r="EJ246" s="105"/>
      <c r="EK246" s="105"/>
      <c r="EL246" s="105"/>
      <c r="EM246" s="105"/>
      <c r="EN246" s="105"/>
      <c r="EO246" s="105"/>
      <c r="EP246" s="105"/>
      <c r="EQ246" s="105"/>
      <c r="ER246" s="105"/>
      <c r="ES246" s="105"/>
      <c r="ET246" s="105"/>
      <c r="EU246" s="105"/>
      <c r="EV246" s="105"/>
      <c r="EW246" s="105"/>
      <c r="EX246" s="105"/>
      <c r="EY246" s="105"/>
      <c r="EZ246" s="105"/>
      <c r="FA246" s="105"/>
      <c r="FB246" s="105"/>
      <c r="FC246" s="105"/>
      <c r="FD246" s="105"/>
      <c r="FE246" s="105"/>
      <c r="FF246" s="105"/>
      <c r="FG246" s="105"/>
      <c r="FH246" s="105"/>
      <c r="FI246" s="105"/>
      <c r="FJ246" s="105"/>
      <c r="FK246" s="105"/>
      <c r="FL246" s="105"/>
      <c r="FM246" s="105"/>
      <c r="FN246" s="105"/>
      <c r="FO246" s="105"/>
      <c r="FP246" s="105"/>
      <c r="FQ246" s="105"/>
      <c r="FR246" s="105"/>
      <c r="FS246" s="105"/>
      <c r="FT246" s="105"/>
      <c r="FU246" s="105"/>
      <c r="FV246" s="105"/>
      <c r="FW246" s="105"/>
      <c r="FX246" s="105"/>
      <c r="FY246" s="105"/>
      <c r="FZ246" s="105"/>
      <c r="GA246" s="105"/>
      <c r="GB246" s="105"/>
      <c r="GC246" s="105"/>
      <c r="GD246" s="105"/>
      <c r="GE246" s="105"/>
      <c r="GF246" s="105"/>
      <c r="GG246" s="105"/>
      <c r="GH246" s="105"/>
      <c r="GI246" s="105"/>
      <c r="GJ246" s="105"/>
      <c r="GK246" s="105"/>
      <c r="GL246" s="105"/>
      <c r="GM246" s="105"/>
      <c r="GN246" s="105"/>
      <c r="GO246" s="105"/>
      <c r="GP246" s="105"/>
      <c r="GQ246" s="105"/>
      <c r="GR246" s="105"/>
      <c r="GS246" s="105"/>
      <c r="GT246" s="105"/>
      <c r="GU246" s="105"/>
      <c r="GV246" s="105"/>
      <c r="GW246" s="105"/>
      <c r="GX246" s="105"/>
      <c r="GY246" s="105"/>
      <c r="GZ246" s="105"/>
      <c r="HA246" s="105"/>
      <c r="HB246" s="105"/>
      <c r="HC246" s="105"/>
      <c r="HD246" s="105"/>
      <c r="HE246" s="105"/>
      <c r="HF246" s="105"/>
      <c r="HG246" s="105"/>
      <c r="HH246" s="105"/>
      <c r="HI246" s="105"/>
      <c r="HJ246" s="105"/>
      <c r="HK246" s="105"/>
      <c r="HL246" s="105"/>
      <c r="HM246" s="105"/>
      <c r="HN246" s="105"/>
      <c r="HO246" s="105"/>
      <c r="HP246" s="105"/>
      <c r="HQ246" s="105"/>
      <c r="HR246" s="105"/>
      <c r="HS246" s="105"/>
      <c r="HT246" s="105"/>
      <c r="HU246" s="105"/>
      <c r="HV246" s="105"/>
      <c r="HW246" s="105"/>
      <c r="HX246" s="105"/>
      <c r="HY246" s="105"/>
      <c r="HZ246" s="105"/>
      <c r="IA246" s="105"/>
      <c r="IB246" s="105"/>
      <c r="IC246" s="105"/>
      <c r="ID246" s="105"/>
      <c r="IE246" s="105"/>
      <c r="IF246" s="105"/>
      <c r="IG246" s="105"/>
      <c r="IH246" s="105"/>
      <c r="II246" s="105"/>
      <c r="IJ246" s="105"/>
      <c r="IK246" s="105"/>
      <c r="IL246" s="105"/>
      <c r="IM246" s="105"/>
      <c r="IN246" s="105"/>
      <c r="IO246" s="105"/>
      <c r="IP246" s="105"/>
      <c r="IQ246" s="105"/>
      <c r="IR246" s="105"/>
      <c r="IS246" s="105"/>
    </row>
    <row r="247" spans="1:253">
      <c r="A247" s="116"/>
      <c r="B247" s="105"/>
      <c r="C247" s="116"/>
      <c r="D247" s="116"/>
      <c r="E247" s="116"/>
      <c r="F247" s="116"/>
      <c r="G247" s="116"/>
      <c r="H247" s="116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5"/>
      <c r="BN247" s="105"/>
      <c r="BO247" s="105"/>
      <c r="BP247" s="105"/>
      <c r="BQ247" s="105"/>
      <c r="BR247" s="105"/>
      <c r="BS247" s="105"/>
      <c r="BT247" s="105"/>
      <c r="BU247" s="105"/>
      <c r="BV247" s="105"/>
      <c r="BW247" s="105"/>
      <c r="BX247" s="105"/>
      <c r="BY247" s="105"/>
      <c r="BZ247" s="105"/>
      <c r="CA247" s="105"/>
      <c r="CB247" s="105"/>
      <c r="CC247" s="105"/>
      <c r="CD247" s="105"/>
      <c r="CE247" s="105"/>
      <c r="CF247" s="105"/>
      <c r="CG247" s="105"/>
      <c r="CH247" s="105"/>
      <c r="CI247" s="105"/>
      <c r="CJ247" s="105"/>
      <c r="CK247" s="105"/>
      <c r="CL247" s="105"/>
      <c r="CM247" s="105"/>
      <c r="CN247" s="105"/>
      <c r="CO247" s="105"/>
      <c r="CP247" s="105"/>
      <c r="CQ247" s="105"/>
      <c r="CR247" s="105"/>
      <c r="CS247" s="105"/>
      <c r="CT247" s="105"/>
      <c r="CU247" s="105"/>
      <c r="CV247" s="105"/>
      <c r="CW247" s="105"/>
      <c r="CX247" s="105"/>
      <c r="CY247" s="105"/>
      <c r="CZ247" s="105"/>
      <c r="DA247" s="105"/>
      <c r="DB247" s="105"/>
      <c r="DC247" s="105"/>
      <c r="DD247" s="105"/>
      <c r="DE247" s="105"/>
      <c r="DF247" s="105"/>
      <c r="DG247" s="105"/>
      <c r="DH247" s="105"/>
      <c r="DI247" s="105"/>
      <c r="DJ247" s="105"/>
      <c r="DK247" s="105"/>
      <c r="DL247" s="105"/>
      <c r="DM247" s="105"/>
      <c r="DN247" s="105"/>
      <c r="DO247" s="105"/>
      <c r="DP247" s="105"/>
      <c r="DQ247" s="105"/>
      <c r="DR247" s="105"/>
      <c r="DS247" s="105"/>
      <c r="DT247" s="105"/>
      <c r="DU247" s="105"/>
      <c r="DV247" s="105"/>
      <c r="DW247" s="105"/>
      <c r="DX247" s="105"/>
      <c r="DY247" s="105"/>
      <c r="DZ247" s="105"/>
      <c r="EA247" s="105"/>
      <c r="EB247" s="105"/>
      <c r="EC247" s="105"/>
      <c r="ED247" s="105"/>
      <c r="EE247" s="105"/>
      <c r="EF247" s="105"/>
      <c r="EG247" s="105"/>
      <c r="EH247" s="105"/>
      <c r="EI247" s="105"/>
      <c r="EJ247" s="105"/>
      <c r="EK247" s="105"/>
      <c r="EL247" s="105"/>
      <c r="EM247" s="105"/>
      <c r="EN247" s="105"/>
      <c r="EO247" s="105"/>
      <c r="EP247" s="105"/>
      <c r="EQ247" s="105"/>
      <c r="ER247" s="105"/>
      <c r="ES247" s="105"/>
      <c r="ET247" s="105"/>
      <c r="EU247" s="105"/>
      <c r="EV247" s="105"/>
      <c r="EW247" s="105"/>
      <c r="EX247" s="105"/>
      <c r="EY247" s="105"/>
      <c r="EZ247" s="105"/>
      <c r="FA247" s="105"/>
      <c r="FB247" s="105"/>
      <c r="FC247" s="105"/>
      <c r="FD247" s="105"/>
      <c r="FE247" s="105"/>
      <c r="FF247" s="105"/>
      <c r="FG247" s="105"/>
      <c r="FH247" s="105"/>
      <c r="FI247" s="105"/>
      <c r="FJ247" s="105"/>
      <c r="FK247" s="105"/>
      <c r="FL247" s="105"/>
      <c r="FM247" s="105"/>
      <c r="FN247" s="105"/>
      <c r="FO247" s="105"/>
      <c r="FP247" s="105"/>
      <c r="FQ247" s="105"/>
      <c r="FR247" s="105"/>
      <c r="FS247" s="105"/>
      <c r="FT247" s="105"/>
      <c r="FU247" s="105"/>
      <c r="FV247" s="105"/>
      <c r="FW247" s="105"/>
      <c r="FX247" s="105"/>
      <c r="FY247" s="105"/>
      <c r="FZ247" s="105"/>
      <c r="GA247" s="105"/>
      <c r="GB247" s="105"/>
      <c r="GC247" s="105"/>
      <c r="GD247" s="105"/>
      <c r="GE247" s="105"/>
      <c r="GF247" s="105"/>
      <c r="GG247" s="105"/>
      <c r="GH247" s="105"/>
      <c r="GI247" s="105"/>
      <c r="GJ247" s="105"/>
      <c r="GK247" s="105"/>
      <c r="GL247" s="105"/>
      <c r="GM247" s="105"/>
      <c r="GN247" s="105"/>
      <c r="GO247" s="105"/>
      <c r="GP247" s="105"/>
      <c r="GQ247" s="105"/>
      <c r="GR247" s="105"/>
      <c r="GS247" s="105"/>
      <c r="GT247" s="105"/>
      <c r="GU247" s="105"/>
      <c r="GV247" s="105"/>
      <c r="GW247" s="105"/>
      <c r="GX247" s="105"/>
      <c r="GY247" s="105"/>
      <c r="GZ247" s="105"/>
      <c r="HA247" s="105"/>
      <c r="HB247" s="105"/>
      <c r="HC247" s="105"/>
      <c r="HD247" s="105"/>
      <c r="HE247" s="105"/>
      <c r="HF247" s="105"/>
      <c r="HG247" s="105"/>
      <c r="HH247" s="105"/>
      <c r="HI247" s="105"/>
      <c r="HJ247" s="105"/>
      <c r="HK247" s="105"/>
      <c r="HL247" s="105"/>
      <c r="HM247" s="105"/>
      <c r="HN247" s="105"/>
      <c r="HO247" s="105"/>
      <c r="HP247" s="105"/>
      <c r="HQ247" s="105"/>
      <c r="HR247" s="105"/>
      <c r="HS247" s="105"/>
      <c r="HT247" s="105"/>
      <c r="HU247" s="105"/>
      <c r="HV247" s="105"/>
      <c r="HW247" s="105"/>
      <c r="HX247" s="105"/>
      <c r="HY247" s="105"/>
      <c r="HZ247" s="105"/>
      <c r="IA247" s="105"/>
      <c r="IB247" s="105"/>
      <c r="IC247" s="105"/>
      <c r="ID247" s="105"/>
      <c r="IE247" s="105"/>
      <c r="IF247" s="105"/>
      <c r="IG247" s="105"/>
      <c r="IH247" s="105"/>
      <c r="II247" s="105"/>
      <c r="IJ247" s="105"/>
      <c r="IK247" s="105"/>
      <c r="IL247" s="105"/>
      <c r="IM247" s="105"/>
      <c r="IN247" s="105"/>
      <c r="IO247" s="105"/>
      <c r="IP247" s="105"/>
      <c r="IQ247" s="105"/>
      <c r="IR247" s="105"/>
      <c r="IS247" s="105"/>
    </row>
    <row r="248" spans="1:253">
      <c r="A248" s="116"/>
      <c r="B248" s="105"/>
      <c r="C248" s="116"/>
      <c r="D248" s="116"/>
      <c r="E248" s="116"/>
      <c r="F248" s="116"/>
      <c r="G248" s="116"/>
      <c r="H248" s="116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/>
      <c r="BL248" s="105"/>
      <c r="BM248" s="105"/>
      <c r="BN248" s="105"/>
      <c r="BO248" s="105"/>
      <c r="BP248" s="105"/>
      <c r="BQ248" s="105"/>
      <c r="BR248" s="105"/>
      <c r="BS248" s="105"/>
      <c r="BT248" s="105"/>
      <c r="BU248" s="105"/>
      <c r="BV248" s="105"/>
      <c r="BW248" s="105"/>
      <c r="BX248" s="105"/>
      <c r="BY248" s="105"/>
      <c r="BZ248" s="105"/>
      <c r="CA248" s="105"/>
      <c r="CB248" s="105"/>
      <c r="CC248" s="105"/>
      <c r="CD248" s="105"/>
      <c r="CE248" s="105"/>
      <c r="CF248" s="105"/>
      <c r="CG248" s="105"/>
      <c r="CH248" s="105"/>
      <c r="CI248" s="105"/>
      <c r="CJ248" s="105"/>
      <c r="CK248" s="105"/>
      <c r="CL248" s="105"/>
      <c r="CM248" s="105"/>
      <c r="CN248" s="105"/>
      <c r="CO248" s="105"/>
      <c r="CP248" s="105"/>
      <c r="CQ248" s="105"/>
      <c r="CR248" s="105"/>
      <c r="CS248" s="105"/>
      <c r="CT248" s="105"/>
      <c r="CU248" s="105"/>
      <c r="CV248" s="105"/>
      <c r="CW248" s="105"/>
      <c r="CX248" s="105"/>
      <c r="CY248" s="105"/>
      <c r="CZ248" s="105"/>
      <c r="DA248" s="105"/>
      <c r="DB248" s="105"/>
      <c r="DC248" s="105"/>
      <c r="DD248" s="105"/>
      <c r="DE248" s="105"/>
      <c r="DF248" s="105"/>
      <c r="DG248" s="105"/>
      <c r="DH248" s="105"/>
      <c r="DI248" s="105"/>
      <c r="DJ248" s="105"/>
      <c r="DK248" s="105"/>
      <c r="DL248" s="105"/>
      <c r="DM248" s="105"/>
      <c r="DN248" s="105"/>
      <c r="DO248" s="105"/>
      <c r="DP248" s="105"/>
      <c r="DQ248" s="105"/>
      <c r="DR248" s="105"/>
      <c r="DS248" s="105"/>
      <c r="DT248" s="105"/>
      <c r="DU248" s="105"/>
      <c r="DV248" s="105"/>
      <c r="DW248" s="105"/>
      <c r="DX248" s="105"/>
      <c r="DY248" s="105"/>
      <c r="DZ248" s="105"/>
      <c r="EA248" s="105"/>
      <c r="EB248" s="105"/>
      <c r="EC248" s="105"/>
      <c r="ED248" s="105"/>
      <c r="EE248" s="105"/>
      <c r="EF248" s="105"/>
      <c r="EG248" s="105"/>
      <c r="EH248" s="105"/>
      <c r="EI248" s="105"/>
      <c r="EJ248" s="105"/>
      <c r="EK248" s="105"/>
      <c r="EL248" s="105"/>
      <c r="EM248" s="105"/>
      <c r="EN248" s="105"/>
      <c r="EO248" s="105"/>
      <c r="EP248" s="105"/>
      <c r="EQ248" s="105"/>
      <c r="ER248" s="105"/>
      <c r="ES248" s="105"/>
      <c r="ET248" s="105"/>
      <c r="EU248" s="105"/>
      <c r="EV248" s="105"/>
      <c r="EW248" s="105"/>
      <c r="EX248" s="105"/>
      <c r="EY248" s="105"/>
      <c r="EZ248" s="105"/>
      <c r="FA248" s="105"/>
      <c r="FB248" s="105"/>
      <c r="FC248" s="105"/>
      <c r="FD248" s="105"/>
      <c r="FE248" s="105"/>
      <c r="FF248" s="105"/>
      <c r="FG248" s="105"/>
      <c r="FH248" s="105"/>
      <c r="FI248" s="105"/>
      <c r="FJ248" s="105"/>
      <c r="FK248" s="105"/>
      <c r="FL248" s="105"/>
      <c r="FM248" s="105"/>
      <c r="FN248" s="105"/>
      <c r="FO248" s="105"/>
      <c r="FP248" s="105"/>
      <c r="FQ248" s="105"/>
      <c r="FR248" s="105"/>
      <c r="FS248" s="105"/>
      <c r="FT248" s="105"/>
      <c r="FU248" s="105"/>
      <c r="FV248" s="105"/>
      <c r="FW248" s="105"/>
      <c r="FX248" s="105"/>
      <c r="FY248" s="105"/>
      <c r="FZ248" s="105"/>
      <c r="GA248" s="105"/>
      <c r="GB248" s="105"/>
      <c r="GC248" s="105"/>
      <c r="GD248" s="105"/>
      <c r="GE248" s="105"/>
      <c r="GF248" s="105"/>
      <c r="GG248" s="105"/>
      <c r="GH248" s="105"/>
      <c r="GI248" s="105"/>
      <c r="GJ248" s="105"/>
      <c r="GK248" s="105"/>
      <c r="GL248" s="105"/>
      <c r="GM248" s="105"/>
      <c r="GN248" s="105"/>
      <c r="GO248" s="105"/>
      <c r="GP248" s="105"/>
      <c r="GQ248" s="105"/>
      <c r="GR248" s="105"/>
      <c r="GS248" s="105"/>
      <c r="GT248" s="105"/>
      <c r="GU248" s="105"/>
      <c r="GV248" s="105"/>
      <c r="GW248" s="105"/>
      <c r="GX248" s="105"/>
      <c r="GY248" s="105"/>
      <c r="GZ248" s="105"/>
      <c r="HA248" s="105"/>
      <c r="HB248" s="105"/>
      <c r="HC248" s="105"/>
      <c r="HD248" s="105"/>
      <c r="HE248" s="105"/>
      <c r="HF248" s="105"/>
      <c r="HG248" s="105"/>
      <c r="HH248" s="105"/>
      <c r="HI248" s="105"/>
      <c r="HJ248" s="105"/>
      <c r="HK248" s="105"/>
      <c r="HL248" s="105"/>
      <c r="HM248" s="105"/>
      <c r="HN248" s="105"/>
      <c r="HO248" s="105"/>
      <c r="HP248" s="105"/>
      <c r="HQ248" s="105"/>
      <c r="HR248" s="105"/>
      <c r="HS248" s="105"/>
      <c r="HT248" s="105"/>
      <c r="HU248" s="105"/>
      <c r="HV248" s="105"/>
      <c r="HW248" s="105"/>
      <c r="HX248" s="105"/>
      <c r="HY248" s="105"/>
      <c r="HZ248" s="105"/>
      <c r="IA248" s="105"/>
      <c r="IB248" s="105"/>
      <c r="IC248" s="105"/>
      <c r="ID248" s="105"/>
      <c r="IE248" s="105"/>
      <c r="IF248" s="105"/>
      <c r="IG248" s="105"/>
      <c r="IH248" s="105"/>
      <c r="II248" s="105"/>
      <c r="IJ248" s="105"/>
      <c r="IK248" s="105"/>
      <c r="IL248" s="105"/>
      <c r="IM248" s="105"/>
      <c r="IN248" s="105"/>
      <c r="IO248" s="105"/>
      <c r="IP248" s="105"/>
      <c r="IQ248" s="105"/>
      <c r="IR248" s="105"/>
      <c r="IS248" s="105"/>
    </row>
    <row r="249" spans="1:253">
      <c r="A249" s="116"/>
      <c r="B249" s="105"/>
      <c r="C249" s="116"/>
      <c r="D249" s="116"/>
      <c r="E249" s="116"/>
      <c r="F249" s="116"/>
      <c r="G249" s="116"/>
      <c r="H249" s="116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/>
      <c r="BL249" s="105"/>
      <c r="BM249" s="105"/>
      <c r="BN249" s="105"/>
      <c r="BO249" s="105"/>
      <c r="BP249" s="105"/>
      <c r="BQ249" s="105"/>
      <c r="BR249" s="105"/>
      <c r="BS249" s="105"/>
      <c r="BT249" s="105"/>
      <c r="BU249" s="105"/>
      <c r="BV249" s="105"/>
      <c r="BW249" s="105"/>
      <c r="BX249" s="105"/>
      <c r="BY249" s="105"/>
      <c r="BZ249" s="105"/>
      <c r="CA249" s="105"/>
      <c r="CB249" s="105"/>
      <c r="CC249" s="105"/>
      <c r="CD249" s="105"/>
      <c r="CE249" s="105"/>
      <c r="CF249" s="105"/>
      <c r="CG249" s="105"/>
      <c r="CH249" s="105"/>
      <c r="CI249" s="105"/>
      <c r="CJ249" s="105"/>
      <c r="CK249" s="105"/>
      <c r="CL249" s="105"/>
      <c r="CM249" s="105"/>
      <c r="CN249" s="105"/>
      <c r="CO249" s="105"/>
      <c r="CP249" s="105"/>
      <c r="CQ249" s="105"/>
      <c r="CR249" s="105"/>
      <c r="CS249" s="105"/>
      <c r="CT249" s="105"/>
      <c r="CU249" s="105"/>
      <c r="CV249" s="105"/>
      <c r="CW249" s="105"/>
      <c r="CX249" s="105"/>
      <c r="CY249" s="105"/>
      <c r="CZ249" s="105"/>
      <c r="DA249" s="105"/>
      <c r="DB249" s="105"/>
      <c r="DC249" s="105"/>
      <c r="DD249" s="105"/>
      <c r="DE249" s="105"/>
      <c r="DF249" s="105"/>
      <c r="DG249" s="105"/>
      <c r="DH249" s="105"/>
      <c r="DI249" s="105"/>
      <c r="DJ249" s="105"/>
      <c r="DK249" s="105"/>
      <c r="DL249" s="105"/>
      <c r="DM249" s="105"/>
      <c r="DN249" s="105"/>
      <c r="DO249" s="105"/>
      <c r="DP249" s="105"/>
      <c r="DQ249" s="105"/>
      <c r="DR249" s="105"/>
      <c r="DS249" s="105"/>
      <c r="DT249" s="105"/>
      <c r="DU249" s="105"/>
      <c r="DV249" s="105"/>
      <c r="DW249" s="105"/>
      <c r="DX249" s="105"/>
      <c r="DY249" s="105"/>
      <c r="DZ249" s="105"/>
      <c r="EA249" s="105"/>
      <c r="EB249" s="105"/>
      <c r="EC249" s="105"/>
      <c r="ED249" s="105"/>
      <c r="EE249" s="105"/>
      <c r="EF249" s="105"/>
      <c r="EG249" s="105"/>
      <c r="EH249" s="105"/>
      <c r="EI249" s="105"/>
      <c r="EJ249" s="105"/>
      <c r="EK249" s="105"/>
      <c r="EL249" s="105"/>
      <c r="EM249" s="105"/>
      <c r="EN249" s="105"/>
      <c r="EO249" s="105"/>
      <c r="EP249" s="105"/>
      <c r="EQ249" s="105"/>
      <c r="ER249" s="105"/>
      <c r="ES249" s="105"/>
      <c r="ET249" s="105"/>
      <c r="EU249" s="105"/>
      <c r="EV249" s="105"/>
      <c r="EW249" s="105"/>
      <c r="EX249" s="105"/>
      <c r="EY249" s="105"/>
      <c r="EZ249" s="105"/>
      <c r="FA249" s="105"/>
      <c r="FB249" s="105"/>
      <c r="FC249" s="105"/>
      <c r="FD249" s="105"/>
      <c r="FE249" s="105"/>
      <c r="FF249" s="105"/>
      <c r="FG249" s="105"/>
      <c r="FH249" s="105"/>
      <c r="FI249" s="105"/>
      <c r="FJ249" s="105"/>
      <c r="FK249" s="105"/>
      <c r="FL249" s="105"/>
      <c r="FM249" s="105"/>
      <c r="FN249" s="105"/>
      <c r="FO249" s="105"/>
      <c r="FP249" s="105"/>
      <c r="FQ249" s="105"/>
      <c r="FR249" s="105"/>
      <c r="FS249" s="105"/>
      <c r="FT249" s="105"/>
      <c r="FU249" s="105"/>
      <c r="FV249" s="105"/>
      <c r="FW249" s="105"/>
      <c r="FX249" s="105"/>
      <c r="FY249" s="105"/>
      <c r="FZ249" s="105"/>
      <c r="GA249" s="105"/>
      <c r="GB249" s="105"/>
      <c r="GC249" s="105"/>
      <c r="GD249" s="105"/>
      <c r="GE249" s="105"/>
      <c r="GF249" s="105"/>
      <c r="GG249" s="105"/>
      <c r="GH249" s="105"/>
      <c r="GI249" s="105"/>
      <c r="GJ249" s="105"/>
      <c r="GK249" s="105"/>
      <c r="GL249" s="105"/>
      <c r="GM249" s="105"/>
      <c r="GN249" s="105"/>
      <c r="GO249" s="105"/>
      <c r="GP249" s="105"/>
      <c r="GQ249" s="105"/>
      <c r="GR249" s="105"/>
      <c r="GS249" s="105"/>
      <c r="GT249" s="105"/>
      <c r="GU249" s="105"/>
      <c r="GV249" s="105"/>
      <c r="GW249" s="105"/>
      <c r="GX249" s="105"/>
      <c r="GY249" s="105"/>
      <c r="GZ249" s="105"/>
      <c r="HA249" s="105"/>
      <c r="HB249" s="105"/>
      <c r="HC249" s="105"/>
      <c r="HD249" s="105"/>
      <c r="HE249" s="105"/>
      <c r="HF249" s="105"/>
      <c r="HG249" s="105"/>
      <c r="HH249" s="105"/>
      <c r="HI249" s="105"/>
      <c r="HJ249" s="105"/>
      <c r="HK249" s="105"/>
      <c r="HL249" s="105"/>
      <c r="HM249" s="105"/>
      <c r="HN249" s="105"/>
      <c r="HO249" s="105"/>
      <c r="HP249" s="105"/>
      <c r="HQ249" s="105"/>
      <c r="HR249" s="105"/>
      <c r="HS249" s="105"/>
      <c r="HT249" s="105"/>
      <c r="HU249" s="105"/>
      <c r="HV249" s="105"/>
      <c r="HW249" s="105"/>
      <c r="HX249" s="105"/>
      <c r="HY249" s="105"/>
      <c r="HZ249" s="105"/>
      <c r="IA249" s="105"/>
      <c r="IB249" s="105"/>
      <c r="IC249" s="105"/>
      <c r="ID249" s="105"/>
      <c r="IE249" s="105"/>
      <c r="IF249" s="105"/>
      <c r="IG249" s="105"/>
      <c r="IH249" s="105"/>
      <c r="II249" s="105"/>
      <c r="IJ249" s="105"/>
      <c r="IK249" s="105"/>
      <c r="IL249" s="105"/>
      <c r="IM249" s="105"/>
      <c r="IN249" s="105"/>
      <c r="IO249" s="105"/>
      <c r="IP249" s="105"/>
      <c r="IQ249" s="105"/>
      <c r="IR249" s="105"/>
      <c r="IS249" s="105"/>
    </row>
    <row r="250" spans="1:253">
      <c r="A250" s="116"/>
      <c r="B250" s="105"/>
      <c r="C250" s="116"/>
      <c r="D250" s="116"/>
      <c r="E250" s="116"/>
      <c r="F250" s="116"/>
      <c r="G250" s="116"/>
      <c r="H250" s="116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/>
      <c r="BL250" s="105"/>
      <c r="BM250" s="105"/>
      <c r="BN250" s="105"/>
      <c r="BO250" s="105"/>
      <c r="BP250" s="105"/>
      <c r="BQ250" s="105"/>
      <c r="BR250" s="105"/>
      <c r="BS250" s="105"/>
      <c r="BT250" s="105"/>
      <c r="BU250" s="105"/>
      <c r="BV250" s="105"/>
      <c r="BW250" s="105"/>
      <c r="BX250" s="105"/>
      <c r="BY250" s="105"/>
      <c r="BZ250" s="105"/>
      <c r="CA250" s="105"/>
      <c r="CB250" s="105"/>
      <c r="CC250" s="105"/>
      <c r="CD250" s="105"/>
      <c r="CE250" s="105"/>
      <c r="CF250" s="105"/>
      <c r="CG250" s="105"/>
      <c r="CH250" s="105"/>
      <c r="CI250" s="105"/>
      <c r="CJ250" s="105"/>
      <c r="CK250" s="105"/>
      <c r="CL250" s="105"/>
      <c r="CM250" s="105"/>
      <c r="CN250" s="105"/>
      <c r="CO250" s="105"/>
      <c r="CP250" s="105"/>
      <c r="CQ250" s="105"/>
      <c r="CR250" s="105"/>
      <c r="CS250" s="105"/>
      <c r="CT250" s="105"/>
      <c r="CU250" s="105"/>
      <c r="CV250" s="105"/>
      <c r="CW250" s="105"/>
      <c r="CX250" s="105"/>
      <c r="CY250" s="105"/>
      <c r="CZ250" s="105"/>
      <c r="DA250" s="105"/>
      <c r="DB250" s="105"/>
      <c r="DC250" s="105"/>
      <c r="DD250" s="105"/>
      <c r="DE250" s="105"/>
      <c r="DF250" s="105"/>
      <c r="DG250" s="105"/>
      <c r="DH250" s="105"/>
      <c r="DI250" s="105"/>
      <c r="DJ250" s="105"/>
      <c r="DK250" s="105"/>
      <c r="DL250" s="105"/>
      <c r="DM250" s="105"/>
      <c r="DN250" s="105"/>
      <c r="DO250" s="105"/>
      <c r="DP250" s="105"/>
      <c r="DQ250" s="105"/>
      <c r="DR250" s="105"/>
      <c r="DS250" s="105"/>
      <c r="DT250" s="105"/>
      <c r="DU250" s="105"/>
      <c r="DV250" s="105"/>
      <c r="DW250" s="105"/>
      <c r="DX250" s="105"/>
      <c r="DY250" s="105"/>
      <c r="DZ250" s="105"/>
      <c r="EA250" s="105"/>
      <c r="EB250" s="105"/>
      <c r="EC250" s="105"/>
      <c r="ED250" s="105"/>
      <c r="EE250" s="105"/>
      <c r="EF250" s="105"/>
      <c r="EG250" s="105"/>
      <c r="EH250" s="105"/>
      <c r="EI250" s="105"/>
      <c r="EJ250" s="105"/>
      <c r="EK250" s="105"/>
      <c r="EL250" s="105"/>
      <c r="EM250" s="105"/>
      <c r="EN250" s="105"/>
      <c r="EO250" s="105"/>
      <c r="EP250" s="105"/>
      <c r="EQ250" s="105"/>
      <c r="ER250" s="105"/>
      <c r="ES250" s="105"/>
      <c r="ET250" s="105"/>
      <c r="EU250" s="105"/>
      <c r="EV250" s="105"/>
      <c r="EW250" s="105"/>
      <c r="EX250" s="105"/>
      <c r="EY250" s="105"/>
      <c r="EZ250" s="105"/>
      <c r="FA250" s="105"/>
      <c r="FB250" s="105"/>
      <c r="FC250" s="105"/>
      <c r="FD250" s="105"/>
      <c r="FE250" s="105"/>
      <c r="FF250" s="105"/>
      <c r="FG250" s="105"/>
      <c r="FH250" s="105"/>
      <c r="FI250" s="105"/>
      <c r="FJ250" s="105"/>
      <c r="FK250" s="105"/>
      <c r="FL250" s="105"/>
      <c r="FM250" s="105"/>
      <c r="FN250" s="105"/>
      <c r="FO250" s="105"/>
      <c r="FP250" s="105"/>
      <c r="FQ250" s="105"/>
      <c r="FR250" s="105"/>
      <c r="FS250" s="105"/>
      <c r="FT250" s="105"/>
      <c r="FU250" s="105"/>
      <c r="FV250" s="105"/>
      <c r="FW250" s="105"/>
      <c r="FX250" s="105"/>
      <c r="FY250" s="105"/>
      <c r="FZ250" s="105"/>
      <c r="GA250" s="105"/>
      <c r="GB250" s="105"/>
      <c r="GC250" s="105"/>
      <c r="GD250" s="105"/>
      <c r="GE250" s="105"/>
      <c r="GF250" s="105"/>
      <c r="GG250" s="105"/>
      <c r="GH250" s="105"/>
      <c r="GI250" s="105"/>
      <c r="GJ250" s="105"/>
      <c r="GK250" s="105"/>
      <c r="GL250" s="105"/>
      <c r="GM250" s="105"/>
      <c r="GN250" s="105"/>
      <c r="GO250" s="105"/>
      <c r="GP250" s="105"/>
      <c r="GQ250" s="105"/>
      <c r="GR250" s="105"/>
      <c r="GS250" s="105"/>
      <c r="GT250" s="105"/>
      <c r="GU250" s="105"/>
      <c r="GV250" s="105"/>
      <c r="GW250" s="105"/>
      <c r="GX250" s="105"/>
      <c r="GY250" s="105"/>
      <c r="GZ250" s="105"/>
      <c r="HA250" s="105"/>
      <c r="HB250" s="105"/>
      <c r="HC250" s="105"/>
      <c r="HD250" s="105"/>
      <c r="HE250" s="105"/>
      <c r="HF250" s="105"/>
      <c r="HG250" s="105"/>
      <c r="HH250" s="105"/>
      <c r="HI250" s="105"/>
      <c r="HJ250" s="105"/>
      <c r="HK250" s="105"/>
      <c r="HL250" s="105"/>
      <c r="HM250" s="105"/>
      <c r="HN250" s="105"/>
      <c r="HO250" s="105"/>
      <c r="HP250" s="105"/>
      <c r="HQ250" s="105"/>
      <c r="HR250" s="105"/>
      <c r="HS250" s="105"/>
      <c r="HT250" s="105"/>
      <c r="HU250" s="105"/>
      <c r="HV250" s="105"/>
      <c r="HW250" s="105"/>
      <c r="HX250" s="105"/>
      <c r="HY250" s="105"/>
      <c r="HZ250" s="105"/>
      <c r="IA250" s="105"/>
      <c r="IB250" s="105"/>
      <c r="IC250" s="105"/>
      <c r="ID250" s="105"/>
      <c r="IE250" s="105"/>
      <c r="IF250" s="105"/>
      <c r="IG250" s="105"/>
      <c r="IH250" s="105"/>
      <c r="II250" s="105"/>
      <c r="IJ250" s="105"/>
      <c r="IK250" s="105"/>
      <c r="IL250" s="105"/>
      <c r="IM250" s="105"/>
      <c r="IN250" s="105"/>
      <c r="IO250" s="105"/>
      <c r="IP250" s="105"/>
      <c r="IQ250" s="105"/>
      <c r="IR250" s="105"/>
      <c r="IS250" s="105"/>
    </row>
    <row r="251" spans="1:253">
      <c r="A251" s="116"/>
      <c r="B251" s="105"/>
      <c r="C251" s="116"/>
      <c r="D251" s="116"/>
      <c r="E251" s="116"/>
      <c r="F251" s="116"/>
      <c r="G251" s="116"/>
      <c r="H251" s="116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/>
      <c r="BL251" s="105"/>
      <c r="BM251" s="105"/>
      <c r="BN251" s="105"/>
      <c r="BO251" s="105"/>
      <c r="BP251" s="105"/>
      <c r="BQ251" s="105"/>
      <c r="BR251" s="105"/>
      <c r="BS251" s="105"/>
      <c r="BT251" s="105"/>
      <c r="BU251" s="105"/>
      <c r="BV251" s="105"/>
      <c r="BW251" s="105"/>
      <c r="BX251" s="105"/>
      <c r="BY251" s="105"/>
      <c r="BZ251" s="105"/>
      <c r="CA251" s="105"/>
      <c r="CB251" s="105"/>
      <c r="CC251" s="105"/>
      <c r="CD251" s="105"/>
      <c r="CE251" s="105"/>
      <c r="CF251" s="105"/>
      <c r="CG251" s="105"/>
      <c r="CH251" s="105"/>
      <c r="CI251" s="105"/>
      <c r="CJ251" s="105"/>
      <c r="CK251" s="105"/>
      <c r="CL251" s="105"/>
      <c r="CM251" s="105"/>
      <c r="CN251" s="105"/>
      <c r="CO251" s="105"/>
      <c r="CP251" s="105"/>
      <c r="CQ251" s="105"/>
      <c r="CR251" s="105"/>
      <c r="CS251" s="105"/>
      <c r="CT251" s="105"/>
      <c r="CU251" s="105"/>
      <c r="CV251" s="105"/>
      <c r="CW251" s="105"/>
      <c r="CX251" s="105"/>
      <c r="CY251" s="105"/>
      <c r="CZ251" s="105"/>
      <c r="DA251" s="105"/>
      <c r="DB251" s="105"/>
      <c r="DC251" s="105"/>
      <c r="DD251" s="105"/>
      <c r="DE251" s="105"/>
      <c r="DF251" s="105"/>
      <c r="DG251" s="105"/>
      <c r="DH251" s="105"/>
      <c r="DI251" s="105"/>
      <c r="DJ251" s="105"/>
      <c r="DK251" s="105"/>
      <c r="DL251" s="105"/>
      <c r="DM251" s="105"/>
      <c r="DN251" s="105"/>
      <c r="DO251" s="105"/>
      <c r="DP251" s="105"/>
      <c r="DQ251" s="105"/>
      <c r="DR251" s="105"/>
      <c r="DS251" s="105"/>
      <c r="DT251" s="105"/>
      <c r="DU251" s="105"/>
      <c r="DV251" s="105"/>
      <c r="DW251" s="105"/>
      <c r="DX251" s="105"/>
      <c r="DY251" s="105"/>
      <c r="DZ251" s="105"/>
      <c r="EA251" s="105"/>
      <c r="EB251" s="105"/>
      <c r="EC251" s="105"/>
      <c r="ED251" s="105"/>
      <c r="EE251" s="105"/>
      <c r="EF251" s="105"/>
      <c r="EG251" s="105"/>
      <c r="EH251" s="105"/>
      <c r="EI251" s="105"/>
      <c r="EJ251" s="105"/>
      <c r="EK251" s="105"/>
      <c r="EL251" s="105"/>
      <c r="EM251" s="105"/>
      <c r="EN251" s="105"/>
      <c r="EO251" s="105"/>
      <c r="EP251" s="105"/>
      <c r="EQ251" s="105"/>
      <c r="ER251" s="105"/>
      <c r="ES251" s="105"/>
      <c r="ET251" s="105"/>
      <c r="EU251" s="105"/>
      <c r="EV251" s="105"/>
      <c r="EW251" s="105"/>
      <c r="EX251" s="105"/>
      <c r="EY251" s="105"/>
      <c r="EZ251" s="105"/>
      <c r="FA251" s="105"/>
      <c r="FB251" s="105"/>
      <c r="FC251" s="105"/>
      <c r="FD251" s="105"/>
      <c r="FE251" s="105"/>
      <c r="FF251" s="105"/>
      <c r="FG251" s="105"/>
      <c r="FH251" s="105"/>
      <c r="FI251" s="105"/>
      <c r="FJ251" s="105"/>
      <c r="FK251" s="105"/>
      <c r="FL251" s="105"/>
      <c r="FM251" s="105"/>
      <c r="FN251" s="105"/>
      <c r="FO251" s="105"/>
      <c r="FP251" s="105"/>
      <c r="FQ251" s="105"/>
      <c r="FR251" s="105"/>
      <c r="FS251" s="105"/>
      <c r="FT251" s="105"/>
      <c r="FU251" s="105"/>
      <c r="FV251" s="105"/>
      <c r="FW251" s="105"/>
      <c r="FX251" s="105"/>
      <c r="FY251" s="105"/>
      <c r="FZ251" s="105"/>
      <c r="GA251" s="105"/>
      <c r="GB251" s="105"/>
      <c r="GC251" s="105"/>
      <c r="GD251" s="105"/>
      <c r="GE251" s="105"/>
      <c r="GF251" s="105"/>
      <c r="GG251" s="105"/>
      <c r="GH251" s="105"/>
      <c r="GI251" s="105"/>
      <c r="GJ251" s="105"/>
      <c r="GK251" s="105"/>
      <c r="GL251" s="105"/>
      <c r="GM251" s="105"/>
      <c r="GN251" s="105"/>
      <c r="GO251" s="105"/>
      <c r="GP251" s="105"/>
      <c r="GQ251" s="105"/>
      <c r="GR251" s="105"/>
      <c r="GS251" s="105"/>
      <c r="GT251" s="105"/>
      <c r="GU251" s="105"/>
      <c r="GV251" s="105"/>
      <c r="GW251" s="105"/>
      <c r="GX251" s="105"/>
      <c r="GY251" s="105"/>
      <c r="GZ251" s="105"/>
      <c r="HA251" s="105"/>
      <c r="HB251" s="105"/>
      <c r="HC251" s="105"/>
      <c r="HD251" s="105"/>
      <c r="HE251" s="105"/>
      <c r="HF251" s="105"/>
      <c r="HG251" s="105"/>
      <c r="HH251" s="105"/>
      <c r="HI251" s="105"/>
      <c r="HJ251" s="105"/>
      <c r="HK251" s="105"/>
      <c r="HL251" s="105"/>
      <c r="HM251" s="105"/>
      <c r="HN251" s="105"/>
      <c r="HO251" s="105"/>
      <c r="HP251" s="105"/>
      <c r="HQ251" s="105"/>
      <c r="HR251" s="105"/>
      <c r="HS251" s="105"/>
      <c r="HT251" s="105"/>
      <c r="HU251" s="105"/>
      <c r="HV251" s="105"/>
      <c r="HW251" s="105"/>
      <c r="HX251" s="105"/>
      <c r="HY251" s="105"/>
      <c r="HZ251" s="105"/>
      <c r="IA251" s="105"/>
      <c r="IB251" s="105"/>
      <c r="IC251" s="105"/>
      <c r="ID251" s="105"/>
      <c r="IE251" s="105"/>
      <c r="IF251" s="105"/>
      <c r="IG251" s="105"/>
      <c r="IH251" s="105"/>
      <c r="II251" s="105"/>
      <c r="IJ251" s="105"/>
      <c r="IK251" s="105"/>
      <c r="IL251" s="105"/>
      <c r="IM251" s="105"/>
      <c r="IN251" s="105"/>
      <c r="IO251" s="105"/>
      <c r="IP251" s="105"/>
      <c r="IQ251" s="105"/>
      <c r="IR251" s="105"/>
      <c r="IS251" s="105"/>
    </row>
    <row r="252" spans="1:253">
      <c r="A252" s="116"/>
      <c r="B252" s="105"/>
      <c r="C252" s="116"/>
      <c r="D252" s="116"/>
      <c r="E252" s="116"/>
      <c r="F252" s="116"/>
      <c r="G252" s="116"/>
      <c r="H252" s="116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5"/>
      <c r="BK252" s="105"/>
      <c r="BL252" s="105"/>
      <c r="BM252" s="105"/>
      <c r="BN252" s="105"/>
      <c r="BO252" s="105"/>
      <c r="BP252" s="105"/>
      <c r="BQ252" s="105"/>
      <c r="BR252" s="105"/>
      <c r="BS252" s="105"/>
      <c r="BT252" s="105"/>
      <c r="BU252" s="105"/>
      <c r="BV252" s="105"/>
      <c r="BW252" s="105"/>
      <c r="BX252" s="105"/>
      <c r="BY252" s="105"/>
      <c r="BZ252" s="105"/>
      <c r="CA252" s="105"/>
      <c r="CB252" s="105"/>
      <c r="CC252" s="105"/>
      <c r="CD252" s="105"/>
      <c r="CE252" s="105"/>
      <c r="CF252" s="105"/>
      <c r="CG252" s="105"/>
      <c r="CH252" s="105"/>
      <c r="CI252" s="105"/>
      <c r="CJ252" s="105"/>
      <c r="CK252" s="105"/>
      <c r="CL252" s="105"/>
      <c r="CM252" s="105"/>
      <c r="CN252" s="105"/>
      <c r="CO252" s="105"/>
      <c r="CP252" s="105"/>
      <c r="CQ252" s="105"/>
      <c r="CR252" s="105"/>
      <c r="CS252" s="105"/>
      <c r="CT252" s="105"/>
      <c r="CU252" s="105"/>
      <c r="CV252" s="105"/>
      <c r="CW252" s="105"/>
      <c r="CX252" s="105"/>
      <c r="CY252" s="105"/>
      <c r="CZ252" s="105"/>
      <c r="DA252" s="105"/>
      <c r="DB252" s="105"/>
      <c r="DC252" s="105"/>
      <c r="DD252" s="105"/>
      <c r="DE252" s="105"/>
      <c r="DF252" s="105"/>
      <c r="DG252" s="105"/>
      <c r="DH252" s="105"/>
      <c r="DI252" s="105"/>
      <c r="DJ252" s="105"/>
      <c r="DK252" s="105"/>
      <c r="DL252" s="105"/>
      <c r="DM252" s="105"/>
      <c r="DN252" s="105"/>
      <c r="DO252" s="105"/>
      <c r="DP252" s="105"/>
      <c r="DQ252" s="105"/>
      <c r="DR252" s="105"/>
      <c r="DS252" s="105"/>
      <c r="DT252" s="105"/>
      <c r="DU252" s="105"/>
      <c r="DV252" s="105"/>
      <c r="DW252" s="105"/>
      <c r="DX252" s="105"/>
      <c r="DY252" s="105"/>
      <c r="DZ252" s="105"/>
      <c r="EA252" s="105"/>
      <c r="EB252" s="105"/>
      <c r="EC252" s="105"/>
      <c r="ED252" s="105"/>
      <c r="EE252" s="105"/>
      <c r="EF252" s="105"/>
      <c r="EG252" s="105"/>
      <c r="EH252" s="105"/>
      <c r="EI252" s="105"/>
      <c r="EJ252" s="105"/>
      <c r="EK252" s="105"/>
      <c r="EL252" s="105"/>
      <c r="EM252" s="105"/>
      <c r="EN252" s="105"/>
      <c r="EO252" s="105"/>
      <c r="EP252" s="105"/>
      <c r="EQ252" s="105"/>
      <c r="ER252" s="105"/>
      <c r="ES252" s="105"/>
      <c r="ET252" s="105"/>
      <c r="EU252" s="105"/>
      <c r="EV252" s="105"/>
      <c r="EW252" s="105"/>
      <c r="EX252" s="105"/>
      <c r="EY252" s="105"/>
      <c r="EZ252" s="105"/>
      <c r="FA252" s="105"/>
      <c r="FB252" s="105"/>
      <c r="FC252" s="105"/>
      <c r="FD252" s="105"/>
      <c r="FE252" s="105"/>
      <c r="FF252" s="105"/>
      <c r="FG252" s="105"/>
      <c r="FH252" s="105"/>
      <c r="FI252" s="105"/>
      <c r="FJ252" s="105"/>
      <c r="FK252" s="105"/>
      <c r="FL252" s="105"/>
      <c r="FM252" s="105"/>
      <c r="FN252" s="105"/>
      <c r="FO252" s="105"/>
      <c r="FP252" s="105"/>
      <c r="FQ252" s="105"/>
      <c r="FR252" s="105"/>
      <c r="FS252" s="105"/>
      <c r="FT252" s="105"/>
      <c r="FU252" s="105"/>
      <c r="FV252" s="105"/>
      <c r="FW252" s="105"/>
      <c r="FX252" s="105"/>
      <c r="FY252" s="105"/>
      <c r="FZ252" s="105"/>
      <c r="GA252" s="105"/>
      <c r="GB252" s="105"/>
      <c r="GC252" s="105"/>
      <c r="GD252" s="105"/>
      <c r="GE252" s="105"/>
      <c r="GF252" s="105"/>
      <c r="GG252" s="105"/>
      <c r="GH252" s="105"/>
      <c r="GI252" s="105"/>
      <c r="GJ252" s="105"/>
      <c r="GK252" s="105"/>
      <c r="GL252" s="105"/>
      <c r="GM252" s="105"/>
      <c r="GN252" s="105"/>
      <c r="GO252" s="105"/>
      <c r="GP252" s="105"/>
      <c r="GQ252" s="105"/>
      <c r="GR252" s="105"/>
      <c r="GS252" s="105"/>
      <c r="GT252" s="105"/>
      <c r="GU252" s="105"/>
      <c r="GV252" s="105"/>
      <c r="GW252" s="105"/>
      <c r="GX252" s="105"/>
      <c r="GY252" s="105"/>
      <c r="GZ252" s="105"/>
      <c r="HA252" s="105"/>
      <c r="HB252" s="105"/>
      <c r="HC252" s="105"/>
      <c r="HD252" s="105"/>
      <c r="HE252" s="105"/>
      <c r="HF252" s="105"/>
      <c r="HG252" s="105"/>
      <c r="HH252" s="105"/>
      <c r="HI252" s="105"/>
      <c r="HJ252" s="105"/>
      <c r="HK252" s="105"/>
      <c r="HL252" s="105"/>
      <c r="HM252" s="105"/>
      <c r="HN252" s="105"/>
      <c r="HO252" s="105"/>
      <c r="HP252" s="105"/>
      <c r="HQ252" s="105"/>
      <c r="HR252" s="105"/>
      <c r="HS252" s="105"/>
      <c r="HT252" s="105"/>
      <c r="HU252" s="105"/>
      <c r="HV252" s="105"/>
      <c r="HW252" s="105"/>
      <c r="HX252" s="105"/>
      <c r="HY252" s="105"/>
      <c r="HZ252" s="105"/>
      <c r="IA252" s="105"/>
      <c r="IB252" s="105"/>
      <c r="IC252" s="105"/>
      <c r="ID252" s="105"/>
      <c r="IE252" s="105"/>
      <c r="IF252" s="105"/>
      <c r="IG252" s="105"/>
      <c r="IH252" s="105"/>
      <c r="II252" s="105"/>
      <c r="IJ252" s="105"/>
      <c r="IK252" s="105"/>
      <c r="IL252" s="105"/>
      <c r="IM252" s="105"/>
      <c r="IN252" s="105"/>
      <c r="IO252" s="105"/>
      <c r="IP252" s="105"/>
      <c r="IQ252" s="105"/>
      <c r="IR252" s="105"/>
      <c r="IS252" s="105"/>
    </row>
    <row r="253" spans="1:253">
      <c r="A253" s="116"/>
      <c r="B253" s="105"/>
      <c r="C253" s="116"/>
      <c r="D253" s="116"/>
      <c r="E253" s="116"/>
      <c r="F253" s="116"/>
      <c r="G253" s="116"/>
      <c r="H253" s="116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/>
      <c r="BL253" s="105"/>
      <c r="BM253" s="105"/>
      <c r="BN253" s="105"/>
      <c r="BO253" s="105"/>
      <c r="BP253" s="105"/>
      <c r="BQ253" s="105"/>
      <c r="BR253" s="105"/>
      <c r="BS253" s="105"/>
      <c r="BT253" s="105"/>
      <c r="BU253" s="105"/>
      <c r="BV253" s="105"/>
      <c r="BW253" s="105"/>
      <c r="BX253" s="105"/>
      <c r="BY253" s="105"/>
      <c r="BZ253" s="105"/>
      <c r="CA253" s="105"/>
      <c r="CB253" s="105"/>
      <c r="CC253" s="105"/>
      <c r="CD253" s="105"/>
      <c r="CE253" s="105"/>
      <c r="CF253" s="105"/>
      <c r="CG253" s="105"/>
      <c r="CH253" s="105"/>
      <c r="CI253" s="105"/>
      <c r="CJ253" s="105"/>
      <c r="CK253" s="105"/>
      <c r="CL253" s="105"/>
      <c r="CM253" s="105"/>
      <c r="CN253" s="105"/>
      <c r="CO253" s="105"/>
      <c r="CP253" s="105"/>
      <c r="CQ253" s="105"/>
      <c r="CR253" s="105"/>
      <c r="CS253" s="105"/>
      <c r="CT253" s="105"/>
      <c r="CU253" s="105"/>
      <c r="CV253" s="105"/>
      <c r="CW253" s="105"/>
      <c r="CX253" s="105"/>
      <c r="CY253" s="105"/>
      <c r="CZ253" s="105"/>
      <c r="DA253" s="105"/>
      <c r="DB253" s="105"/>
      <c r="DC253" s="105"/>
      <c r="DD253" s="105"/>
      <c r="DE253" s="105"/>
      <c r="DF253" s="105"/>
      <c r="DG253" s="105"/>
      <c r="DH253" s="105"/>
      <c r="DI253" s="105"/>
      <c r="DJ253" s="105"/>
      <c r="DK253" s="105"/>
      <c r="DL253" s="105"/>
      <c r="DM253" s="105"/>
      <c r="DN253" s="105"/>
      <c r="DO253" s="105"/>
      <c r="DP253" s="105"/>
      <c r="DQ253" s="105"/>
      <c r="DR253" s="105"/>
      <c r="DS253" s="105"/>
      <c r="DT253" s="105"/>
      <c r="DU253" s="105"/>
      <c r="DV253" s="105"/>
      <c r="DW253" s="105"/>
      <c r="DX253" s="105"/>
      <c r="DY253" s="105"/>
      <c r="DZ253" s="105"/>
      <c r="EA253" s="105"/>
      <c r="EB253" s="105"/>
      <c r="EC253" s="105"/>
      <c r="ED253" s="105"/>
      <c r="EE253" s="105"/>
      <c r="EF253" s="105"/>
      <c r="EG253" s="105"/>
      <c r="EH253" s="105"/>
      <c r="EI253" s="105"/>
      <c r="EJ253" s="105"/>
      <c r="EK253" s="105"/>
      <c r="EL253" s="105"/>
      <c r="EM253" s="105"/>
      <c r="EN253" s="105"/>
      <c r="EO253" s="105"/>
      <c r="EP253" s="105"/>
      <c r="EQ253" s="105"/>
      <c r="ER253" s="105"/>
      <c r="ES253" s="105"/>
      <c r="ET253" s="105"/>
      <c r="EU253" s="105"/>
      <c r="EV253" s="105"/>
      <c r="EW253" s="105"/>
      <c r="EX253" s="105"/>
      <c r="EY253" s="105"/>
      <c r="EZ253" s="105"/>
      <c r="FA253" s="105"/>
      <c r="FB253" s="105"/>
      <c r="FC253" s="105"/>
      <c r="FD253" s="105"/>
      <c r="FE253" s="105"/>
      <c r="FF253" s="105"/>
      <c r="FG253" s="105"/>
      <c r="FH253" s="105"/>
      <c r="FI253" s="105"/>
      <c r="FJ253" s="105"/>
      <c r="FK253" s="105"/>
      <c r="FL253" s="105"/>
      <c r="FM253" s="105"/>
      <c r="FN253" s="105"/>
      <c r="FO253" s="105"/>
      <c r="FP253" s="105"/>
      <c r="FQ253" s="105"/>
      <c r="FR253" s="105"/>
      <c r="FS253" s="105"/>
      <c r="FT253" s="105"/>
      <c r="FU253" s="105"/>
      <c r="FV253" s="105"/>
      <c r="FW253" s="105"/>
      <c r="FX253" s="105"/>
      <c r="FY253" s="105"/>
      <c r="FZ253" s="105"/>
      <c r="GA253" s="105"/>
      <c r="GB253" s="105"/>
      <c r="GC253" s="105"/>
      <c r="GD253" s="105"/>
      <c r="GE253" s="105"/>
      <c r="GF253" s="105"/>
      <c r="GG253" s="105"/>
      <c r="GH253" s="105"/>
      <c r="GI253" s="105"/>
      <c r="GJ253" s="105"/>
      <c r="GK253" s="105"/>
      <c r="GL253" s="105"/>
      <c r="GM253" s="105"/>
      <c r="GN253" s="105"/>
      <c r="GO253" s="105"/>
      <c r="GP253" s="105"/>
      <c r="GQ253" s="105"/>
      <c r="GR253" s="105"/>
      <c r="GS253" s="105"/>
      <c r="GT253" s="105"/>
      <c r="GU253" s="105"/>
      <c r="GV253" s="105"/>
      <c r="GW253" s="105"/>
      <c r="GX253" s="105"/>
      <c r="GY253" s="105"/>
      <c r="GZ253" s="105"/>
      <c r="HA253" s="105"/>
      <c r="HB253" s="105"/>
      <c r="HC253" s="105"/>
      <c r="HD253" s="105"/>
      <c r="HE253" s="105"/>
      <c r="HF253" s="105"/>
      <c r="HG253" s="105"/>
      <c r="HH253" s="105"/>
      <c r="HI253" s="105"/>
      <c r="HJ253" s="105"/>
      <c r="HK253" s="105"/>
      <c r="HL253" s="105"/>
      <c r="HM253" s="105"/>
      <c r="HN253" s="105"/>
      <c r="HO253" s="105"/>
      <c r="HP253" s="105"/>
      <c r="HQ253" s="105"/>
      <c r="HR253" s="105"/>
      <c r="HS253" s="105"/>
      <c r="HT253" s="105"/>
      <c r="HU253" s="105"/>
      <c r="HV253" s="105"/>
      <c r="HW253" s="105"/>
      <c r="HX253" s="105"/>
      <c r="HY253" s="105"/>
      <c r="HZ253" s="105"/>
      <c r="IA253" s="105"/>
      <c r="IB253" s="105"/>
      <c r="IC253" s="105"/>
      <c r="ID253" s="105"/>
      <c r="IE253" s="105"/>
      <c r="IF253" s="105"/>
      <c r="IG253" s="105"/>
      <c r="IH253" s="105"/>
      <c r="II253" s="105"/>
      <c r="IJ253" s="105"/>
      <c r="IK253" s="105"/>
      <c r="IL253" s="105"/>
      <c r="IM253" s="105"/>
      <c r="IN253" s="105"/>
      <c r="IO253" s="105"/>
      <c r="IP253" s="105"/>
      <c r="IQ253" s="105"/>
      <c r="IR253" s="105"/>
      <c r="IS253" s="105"/>
    </row>
    <row r="254" spans="1:253">
      <c r="A254" s="116"/>
      <c r="B254" s="105"/>
      <c r="C254" s="116"/>
      <c r="D254" s="116"/>
      <c r="E254" s="116"/>
      <c r="F254" s="116"/>
      <c r="G254" s="116"/>
      <c r="H254" s="116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/>
      <c r="BL254" s="105"/>
      <c r="BM254" s="105"/>
      <c r="BN254" s="105"/>
      <c r="BO254" s="105"/>
      <c r="BP254" s="105"/>
      <c r="BQ254" s="105"/>
      <c r="BR254" s="105"/>
      <c r="BS254" s="105"/>
      <c r="BT254" s="105"/>
      <c r="BU254" s="105"/>
      <c r="BV254" s="105"/>
      <c r="BW254" s="105"/>
      <c r="BX254" s="105"/>
      <c r="BY254" s="105"/>
      <c r="BZ254" s="105"/>
      <c r="CA254" s="105"/>
      <c r="CB254" s="105"/>
      <c r="CC254" s="105"/>
      <c r="CD254" s="105"/>
      <c r="CE254" s="105"/>
      <c r="CF254" s="105"/>
      <c r="CG254" s="105"/>
      <c r="CH254" s="105"/>
      <c r="CI254" s="105"/>
      <c r="CJ254" s="105"/>
      <c r="CK254" s="105"/>
      <c r="CL254" s="105"/>
      <c r="CM254" s="105"/>
      <c r="CN254" s="105"/>
      <c r="CO254" s="105"/>
      <c r="CP254" s="105"/>
      <c r="CQ254" s="105"/>
      <c r="CR254" s="105"/>
      <c r="CS254" s="105"/>
      <c r="CT254" s="105"/>
      <c r="CU254" s="105"/>
      <c r="CV254" s="105"/>
      <c r="CW254" s="105"/>
      <c r="CX254" s="105"/>
      <c r="CY254" s="105"/>
      <c r="CZ254" s="105"/>
      <c r="DA254" s="105"/>
      <c r="DB254" s="105"/>
      <c r="DC254" s="105"/>
      <c r="DD254" s="105"/>
      <c r="DE254" s="105"/>
      <c r="DF254" s="105"/>
      <c r="DG254" s="105"/>
      <c r="DH254" s="105"/>
      <c r="DI254" s="105"/>
      <c r="DJ254" s="105"/>
      <c r="DK254" s="105"/>
      <c r="DL254" s="105"/>
      <c r="DM254" s="105"/>
      <c r="DN254" s="105"/>
      <c r="DO254" s="105"/>
      <c r="DP254" s="105"/>
      <c r="DQ254" s="105"/>
      <c r="DR254" s="105"/>
      <c r="DS254" s="105"/>
      <c r="DT254" s="105"/>
      <c r="DU254" s="105"/>
      <c r="DV254" s="105"/>
      <c r="DW254" s="105"/>
      <c r="DX254" s="105"/>
      <c r="DY254" s="105"/>
      <c r="DZ254" s="105"/>
      <c r="EA254" s="105"/>
      <c r="EB254" s="105"/>
      <c r="EC254" s="105"/>
      <c r="ED254" s="105"/>
      <c r="EE254" s="105"/>
      <c r="EF254" s="105"/>
      <c r="EG254" s="105"/>
      <c r="EH254" s="105"/>
      <c r="EI254" s="105"/>
      <c r="EJ254" s="105"/>
      <c r="EK254" s="105"/>
      <c r="EL254" s="105"/>
      <c r="EM254" s="105"/>
      <c r="EN254" s="105"/>
      <c r="EO254" s="105"/>
      <c r="EP254" s="105"/>
      <c r="EQ254" s="105"/>
      <c r="ER254" s="105"/>
      <c r="ES254" s="105"/>
      <c r="ET254" s="105"/>
      <c r="EU254" s="105"/>
      <c r="EV254" s="105"/>
      <c r="EW254" s="105"/>
      <c r="EX254" s="105"/>
      <c r="EY254" s="105"/>
      <c r="EZ254" s="105"/>
      <c r="FA254" s="105"/>
      <c r="FB254" s="105"/>
      <c r="FC254" s="105"/>
      <c r="FD254" s="105"/>
      <c r="FE254" s="105"/>
      <c r="FF254" s="105"/>
      <c r="FG254" s="105"/>
      <c r="FH254" s="105"/>
      <c r="FI254" s="105"/>
      <c r="FJ254" s="105"/>
      <c r="FK254" s="105"/>
      <c r="FL254" s="105"/>
      <c r="FM254" s="105"/>
      <c r="FN254" s="105"/>
      <c r="FO254" s="105"/>
      <c r="FP254" s="105"/>
      <c r="FQ254" s="105"/>
      <c r="FR254" s="105"/>
      <c r="FS254" s="105"/>
      <c r="FT254" s="105"/>
      <c r="FU254" s="105"/>
      <c r="FV254" s="105"/>
      <c r="FW254" s="105"/>
      <c r="FX254" s="105"/>
      <c r="FY254" s="105"/>
      <c r="FZ254" s="105"/>
      <c r="GA254" s="105"/>
      <c r="GB254" s="105"/>
      <c r="GC254" s="105"/>
      <c r="GD254" s="105"/>
      <c r="GE254" s="105"/>
      <c r="GF254" s="105"/>
      <c r="GG254" s="105"/>
      <c r="GH254" s="105"/>
      <c r="GI254" s="105"/>
      <c r="GJ254" s="105"/>
      <c r="GK254" s="105"/>
      <c r="GL254" s="105"/>
      <c r="GM254" s="105"/>
      <c r="GN254" s="105"/>
      <c r="GO254" s="105"/>
      <c r="GP254" s="105"/>
      <c r="GQ254" s="105"/>
      <c r="GR254" s="105"/>
      <c r="GS254" s="105"/>
      <c r="GT254" s="105"/>
      <c r="GU254" s="105"/>
      <c r="GV254" s="105"/>
      <c r="GW254" s="105"/>
      <c r="GX254" s="105"/>
      <c r="GY254" s="105"/>
      <c r="GZ254" s="105"/>
      <c r="HA254" s="105"/>
      <c r="HB254" s="105"/>
      <c r="HC254" s="105"/>
      <c r="HD254" s="105"/>
      <c r="HE254" s="105"/>
      <c r="HF254" s="105"/>
      <c r="HG254" s="105"/>
      <c r="HH254" s="105"/>
      <c r="HI254" s="105"/>
      <c r="HJ254" s="105"/>
      <c r="HK254" s="105"/>
      <c r="HL254" s="105"/>
      <c r="HM254" s="105"/>
      <c r="HN254" s="105"/>
      <c r="HO254" s="105"/>
      <c r="HP254" s="105"/>
      <c r="HQ254" s="105"/>
      <c r="HR254" s="105"/>
      <c r="HS254" s="105"/>
      <c r="HT254" s="105"/>
      <c r="HU254" s="105"/>
      <c r="HV254" s="105"/>
      <c r="HW254" s="105"/>
      <c r="HX254" s="105"/>
      <c r="HY254" s="105"/>
      <c r="HZ254" s="105"/>
      <c r="IA254" s="105"/>
      <c r="IB254" s="105"/>
      <c r="IC254" s="105"/>
      <c r="ID254" s="105"/>
      <c r="IE254" s="105"/>
      <c r="IF254" s="105"/>
      <c r="IG254" s="105"/>
      <c r="IH254" s="105"/>
      <c r="II254" s="105"/>
      <c r="IJ254" s="105"/>
      <c r="IK254" s="105"/>
      <c r="IL254" s="105"/>
      <c r="IM254" s="105"/>
      <c r="IN254" s="105"/>
      <c r="IO254" s="105"/>
      <c r="IP254" s="105"/>
      <c r="IQ254" s="105"/>
      <c r="IR254" s="105"/>
      <c r="IS254" s="105"/>
    </row>
    <row r="255" spans="1:253">
      <c r="A255" s="116"/>
      <c r="B255" s="105"/>
      <c r="C255" s="116"/>
      <c r="D255" s="116"/>
      <c r="E255" s="116"/>
      <c r="F255" s="116"/>
      <c r="G255" s="116"/>
      <c r="H255" s="116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/>
      <c r="BL255" s="105"/>
      <c r="BM255" s="105"/>
      <c r="BN255" s="105"/>
      <c r="BO255" s="105"/>
      <c r="BP255" s="105"/>
      <c r="BQ255" s="105"/>
      <c r="BR255" s="105"/>
      <c r="BS255" s="105"/>
      <c r="BT255" s="105"/>
      <c r="BU255" s="105"/>
      <c r="BV255" s="105"/>
      <c r="BW255" s="105"/>
      <c r="BX255" s="105"/>
      <c r="BY255" s="105"/>
      <c r="BZ255" s="105"/>
      <c r="CA255" s="105"/>
      <c r="CB255" s="105"/>
      <c r="CC255" s="105"/>
      <c r="CD255" s="105"/>
      <c r="CE255" s="105"/>
      <c r="CF255" s="105"/>
      <c r="CG255" s="105"/>
      <c r="CH255" s="105"/>
      <c r="CI255" s="105"/>
      <c r="CJ255" s="105"/>
      <c r="CK255" s="105"/>
      <c r="CL255" s="105"/>
      <c r="CM255" s="105"/>
      <c r="CN255" s="105"/>
      <c r="CO255" s="105"/>
      <c r="CP255" s="105"/>
      <c r="CQ255" s="105"/>
      <c r="CR255" s="105"/>
      <c r="CS255" s="105"/>
      <c r="CT255" s="105"/>
      <c r="CU255" s="105"/>
      <c r="CV255" s="105"/>
      <c r="CW255" s="105"/>
      <c r="CX255" s="105"/>
      <c r="CY255" s="105"/>
      <c r="CZ255" s="105"/>
      <c r="DA255" s="105"/>
      <c r="DB255" s="105"/>
      <c r="DC255" s="105"/>
      <c r="DD255" s="105"/>
      <c r="DE255" s="105"/>
      <c r="DF255" s="105"/>
      <c r="DG255" s="105"/>
      <c r="DH255" s="105"/>
      <c r="DI255" s="105"/>
      <c r="DJ255" s="105"/>
      <c r="DK255" s="105"/>
      <c r="DL255" s="105"/>
      <c r="DM255" s="105"/>
      <c r="DN255" s="105"/>
      <c r="DO255" s="105"/>
      <c r="DP255" s="105"/>
      <c r="DQ255" s="105"/>
      <c r="DR255" s="105"/>
      <c r="DS255" s="105"/>
      <c r="DT255" s="105"/>
      <c r="DU255" s="105"/>
      <c r="DV255" s="105"/>
      <c r="DW255" s="105"/>
      <c r="DX255" s="105"/>
      <c r="DY255" s="105"/>
      <c r="DZ255" s="105"/>
      <c r="EA255" s="105"/>
      <c r="EB255" s="105"/>
      <c r="EC255" s="105"/>
      <c r="ED255" s="105"/>
      <c r="EE255" s="105"/>
      <c r="EF255" s="105"/>
      <c r="EG255" s="105"/>
      <c r="EH255" s="105"/>
      <c r="EI255" s="105"/>
      <c r="EJ255" s="105"/>
      <c r="EK255" s="105"/>
      <c r="EL255" s="105"/>
      <c r="EM255" s="105"/>
      <c r="EN255" s="105"/>
      <c r="EO255" s="105"/>
      <c r="EP255" s="105"/>
      <c r="EQ255" s="105"/>
      <c r="ER255" s="105"/>
      <c r="ES255" s="105"/>
      <c r="ET255" s="105"/>
      <c r="EU255" s="105"/>
      <c r="EV255" s="105"/>
      <c r="EW255" s="105"/>
      <c r="EX255" s="105"/>
      <c r="EY255" s="105"/>
      <c r="EZ255" s="105"/>
      <c r="FA255" s="105"/>
      <c r="FB255" s="105"/>
      <c r="FC255" s="105"/>
      <c r="FD255" s="105"/>
      <c r="FE255" s="105"/>
      <c r="FF255" s="105"/>
      <c r="FG255" s="105"/>
      <c r="FH255" s="105"/>
      <c r="FI255" s="105"/>
      <c r="FJ255" s="105"/>
      <c r="FK255" s="105"/>
      <c r="FL255" s="105"/>
      <c r="FM255" s="105"/>
      <c r="FN255" s="105"/>
      <c r="FO255" s="105"/>
      <c r="FP255" s="105"/>
      <c r="FQ255" s="105"/>
      <c r="FR255" s="105"/>
      <c r="FS255" s="105"/>
      <c r="FT255" s="105"/>
      <c r="FU255" s="105"/>
      <c r="FV255" s="105"/>
      <c r="FW255" s="105"/>
      <c r="FX255" s="105"/>
      <c r="FY255" s="105"/>
      <c r="FZ255" s="105"/>
      <c r="GA255" s="105"/>
      <c r="GB255" s="105"/>
      <c r="GC255" s="105"/>
      <c r="GD255" s="105"/>
      <c r="GE255" s="105"/>
      <c r="GF255" s="105"/>
      <c r="GG255" s="105"/>
      <c r="GH255" s="105"/>
      <c r="GI255" s="105"/>
      <c r="GJ255" s="105"/>
      <c r="GK255" s="105"/>
      <c r="GL255" s="105"/>
      <c r="GM255" s="105"/>
      <c r="GN255" s="105"/>
      <c r="GO255" s="105"/>
      <c r="GP255" s="105"/>
      <c r="GQ255" s="105"/>
      <c r="GR255" s="105"/>
      <c r="GS255" s="105"/>
      <c r="GT255" s="105"/>
      <c r="GU255" s="105"/>
      <c r="GV255" s="105"/>
      <c r="GW255" s="105"/>
      <c r="GX255" s="105"/>
      <c r="GY255" s="105"/>
      <c r="GZ255" s="105"/>
      <c r="HA255" s="105"/>
      <c r="HB255" s="105"/>
      <c r="HC255" s="105"/>
      <c r="HD255" s="105"/>
      <c r="HE255" s="105"/>
      <c r="HF255" s="105"/>
      <c r="HG255" s="105"/>
      <c r="HH255" s="105"/>
      <c r="HI255" s="105"/>
      <c r="HJ255" s="105"/>
      <c r="HK255" s="105"/>
      <c r="HL255" s="105"/>
      <c r="HM255" s="105"/>
      <c r="HN255" s="105"/>
      <c r="HO255" s="105"/>
      <c r="HP255" s="105"/>
      <c r="HQ255" s="105"/>
      <c r="HR255" s="105"/>
      <c r="HS255" s="105"/>
      <c r="HT255" s="105"/>
      <c r="HU255" s="105"/>
      <c r="HV255" s="105"/>
      <c r="HW255" s="105"/>
      <c r="HX255" s="105"/>
      <c r="HY255" s="105"/>
      <c r="HZ255" s="105"/>
      <c r="IA255" s="105"/>
      <c r="IB255" s="105"/>
      <c r="IC255" s="105"/>
      <c r="ID255" s="105"/>
      <c r="IE255" s="105"/>
      <c r="IF255" s="105"/>
      <c r="IG255" s="105"/>
      <c r="IH255" s="105"/>
      <c r="II255" s="105"/>
      <c r="IJ255" s="105"/>
      <c r="IK255" s="105"/>
      <c r="IL255" s="105"/>
      <c r="IM255" s="105"/>
      <c r="IN255" s="105"/>
      <c r="IO255" s="105"/>
      <c r="IP255" s="105"/>
      <c r="IQ255" s="105"/>
      <c r="IR255" s="105"/>
      <c r="IS255" s="105"/>
    </row>
    <row r="256" spans="1:253">
      <c r="A256" s="116"/>
      <c r="B256" s="105"/>
      <c r="C256" s="116"/>
      <c r="D256" s="116"/>
      <c r="E256" s="116"/>
      <c r="F256" s="116"/>
      <c r="G256" s="116"/>
      <c r="H256" s="116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/>
      <c r="BL256" s="105"/>
      <c r="BM256" s="105"/>
      <c r="BN256" s="105"/>
      <c r="BO256" s="105"/>
      <c r="BP256" s="105"/>
      <c r="BQ256" s="105"/>
      <c r="BR256" s="105"/>
      <c r="BS256" s="105"/>
      <c r="BT256" s="105"/>
      <c r="BU256" s="105"/>
      <c r="BV256" s="105"/>
      <c r="BW256" s="105"/>
      <c r="BX256" s="105"/>
      <c r="BY256" s="105"/>
      <c r="BZ256" s="105"/>
      <c r="CA256" s="105"/>
      <c r="CB256" s="105"/>
      <c r="CC256" s="105"/>
      <c r="CD256" s="105"/>
      <c r="CE256" s="105"/>
      <c r="CF256" s="105"/>
      <c r="CG256" s="105"/>
      <c r="CH256" s="105"/>
      <c r="CI256" s="105"/>
      <c r="CJ256" s="105"/>
      <c r="CK256" s="105"/>
      <c r="CL256" s="105"/>
      <c r="CM256" s="105"/>
      <c r="CN256" s="105"/>
      <c r="CO256" s="105"/>
      <c r="CP256" s="105"/>
      <c r="CQ256" s="105"/>
      <c r="CR256" s="105"/>
      <c r="CS256" s="105"/>
      <c r="CT256" s="105"/>
      <c r="CU256" s="105"/>
      <c r="CV256" s="105"/>
      <c r="CW256" s="105"/>
      <c r="CX256" s="105"/>
      <c r="CY256" s="105"/>
      <c r="CZ256" s="105"/>
      <c r="DA256" s="105"/>
      <c r="DB256" s="105"/>
      <c r="DC256" s="105"/>
      <c r="DD256" s="105"/>
      <c r="DE256" s="105"/>
      <c r="DF256" s="105"/>
      <c r="DG256" s="105"/>
      <c r="DH256" s="105"/>
      <c r="DI256" s="105"/>
      <c r="DJ256" s="105"/>
      <c r="DK256" s="105"/>
      <c r="DL256" s="105"/>
      <c r="DM256" s="105"/>
      <c r="DN256" s="105"/>
      <c r="DO256" s="105"/>
      <c r="DP256" s="105"/>
      <c r="DQ256" s="105"/>
      <c r="DR256" s="105"/>
      <c r="DS256" s="105"/>
      <c r="DT256" s="105"/>
      <c r="DU256" s="105"/>
      <c r="DV256" s="105"/>
      <c r="DW256" s="105"/>
      <c r="DX256" s="105"/>
      <c r="DY256" s="105"/>
      <c r="DZ256" s="105"/>
      <c r="EA256" s="105"/>
      <c r="EB256" s="105"/>
      <c r="EC256" s="105"/>
      <c r="ED256" s="105"/>
      <c r="EE256" s="105"/>
      <c r="EF256" s="105"/>
      <c r="EG256" s="105"/>
      <c r="EH256" s="105"/>
      <c r="EI256" s="105"/>
      <c r="EJ256" s="105"/>
      <c r="EK256" s="105"/>
      <c r="EL256" s="105"/>
      <c r="EM256" s="105"/>
      <c r="EN256" s="105"/>
      <c r="EO256" s="105"/>
      <c r="EP256" s="105"/>
      <c r="EQ256" s="105"/>
      <c r="ER256" s="105"/>
      <c r="ES256" s="105"/>
      <c r="ET256" s="105"/>
      <c r="EU256" s="105"/>
      <c r="EV256" s="105"/>
      <c r="EW256" s="105"/>
      <c r="EX256" s="105"/>
      <c r="EY256" s="105"/>
      <c r="EZ256" s="105"/>
      <c r="FA256" s="105"/>
      <c r="FB256" s="105"/>
      <c r="FC256" s="105"/>
      <c r="FD256" s="105"/>
      <c r="FE256" s="105"/>
      <c r="FF256" s="105"/>
      <c r="FG256" s="105"/>
      <c r="FH256" s="105"/>
      <c r="FI256" s="105"/>
      <c r="FJ256" s="105"/>
      <c r="FK256" s="105"/>
      <c r="FL256" s="105"/>
      <c r="FM256" s="105"/>
      <c r="FN256" s="105"/>
      <c r="FO256" s="105"/>
      <c r="FP256" s="105"/>
      <c r="FQ256" s="105"/>
      <c r="FR256" s="105"/>
      <c r="FS256" s="105"/>
      <c r="FT256" s="105"/>
      <c r="FU256" s="105"/>
      <c r="FV256" s="105"/>
      <c r="FW256" s="105"/>
      <c r="FX256" s="105"/>
      <c r="FY256" s="105"/>
      <c r="FZ256" s="105"/>
      <c r="GA256" s="105"/>
      <c r="GB256" s="105"/>
      <c r="GC256" s="105"/>
      <c r="GD256" s="105"/>
      <c r="GE256" s="105"/>
      <c r="GF256" s="105"/>
      <c r="GG256" s="105"/>
      <c r="GH256" s="105"/>
      <c r="GI256" s="105"/>
      <c r="GJ256" s="105"/>
      <c r="GK256" s="105"/>
      <c r="GL256" s="105"/>
      <c r="GM256" s="105"/>
      <c r="GN256" s="105"/>
      <c r="GO256" s="105"/>
      <c r="GP256" s="105"/>
      <c r="GQ256" s="105"/>
      <c r="GR256" s="105"/>
      <c r="GS256" s="105"/>
      <c r="GT256" s="105"/>
      <c r="GU256" s="105"/>
      <c r="GV256" s="105"/>
      <c r="GW256" s="105"/>
      <c r="GX256" s="105"/>
      <c r="GY256" s="105"/>
      <c r="GZ256" s="105"/>
      <c r="HA256" s="105"/>
      <c r="HB256" s="105"/>
      <c r="HC256" s="105"/>
      <c r="HD256" s="105"/>
      <c r="HE256" s="105"/>
      <c r="HF256" s="105"/>
      <c r="HG256" s="105"/>
      <c r="HH256" s="105"/>
      <c r="HI256" s="105"/>
      <c r="HJ256" s="105"/>
      <c r="HK256" s="105"/>
      <c r="HL256" s="105"/>
      <c r="HM256" s="105"/>
      <c r="HN256" s="105"/>
      <c r="HO256" s="105"/>
      <c r="HP256" s="105"/>
      <c r="HQ256" s="105"/>
      <c r="HR256" s="105"/>
      <c r="HS256" s="105"/>
      <c r="HT256" s="105"/>
      <c r="HU256" s="105"/>
      <c r="HV256" s="105"/>
      <c r="HW256" s="105"/>
      <c r="HX256" s="105"/>
      <c r="HY256" s="105"/>
      <c r="HZ256" s="105"/>
      <c r="IA256" s="105"/>
      <c r="IB256" s="105"/>
      <c r="IC256" s="105"/>
      <c r="ID256" s="105"/>
      <c r="IE256" s="105"/>
      <c r="IF256" s="105"/>
      <c r="IG256" s="105"/>
      <c r="IH256" s="105"/>
      <c r="II256" s="105"/>
      <c r="IJ256" s="105"/>
      <c r="IK256" s="105"/>
      <c r="IL256" s="105"/>
      <c r="IM256" s="105"/>
      <c r="IN256" s="105"/>
      <c r="IO256" s="105"/>
      <c r="IP256" s="105"/>
      <c r="IQ256" s="105"/>
      <c r="IR256" s="105"/>
      <c r="IS256" s="105"/>
    </row>
    <row r="257" spans="1:253">
      <c r="A257" s="116"/>
      <c r="B257" s="105"/>
      <c r="C257" s="116"/>
      <c r="D257" s="116"/>
      <c r="E257" s="116"/>
      <c r="F257" s="116"/>
      <c r="G257" s="116"/>
      <c r="H257" s="116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/>
      <c r="BL257" s="105"/>
      <c r="BM257" s="105"/>
      <c r="BN257" s="105"/>
      <c r="BO257" s="105"/>
      <c r="BP257" s="105"/>
      <c r="BQ257" s="105"/>
      <c r="BR257" s="105"/>
      <c r="BS257" s="105"/>
      <c r="BT257" s="105"/>
      <c r="BU257" s="105"/>
      <c r="BV257" s="105"/>
      <c r="BW257" s="105"/>
      <c r="BX257" s="105"/>
      <c r="BY257" s="105"/>
      <c r="BZ257" s="105"/>
      <c r="CA257" s="105"/>
      <c r="CB257" s="105"/>
      <c r="CC257" s="105"/>
      <c r="CD257" s="105"/>
      <c r="CE257" s="105"/>
      <c r="CF257" s="105"/>
      <c r="CG257" s="105"/>
      <c r="CH257" s="105"/>
      <c r="CI257" s="105"/>
      <c r="CJ257" s="105"/>
      <c r="CK257" s="105"/>
      <c r="CL257" s="105"/>
      <c r="CM257" s="105"/>
      <c r="CN257" s="105"/>
      <c r="CO257" s="105"/>
      <c r="CP257" s="105"/>
      <c r="CQ257" s="105"/>
      <c r="CR257" s="105"/>
      <c r="CS257" s="105"/>
      <c r="CT257" s="105"/>
      <c r="CU257" s="105"/>
      <c r="CV257" s="105"/>
      <c r="CW257" s="105"/>
      <c r="CX257" s="105"/>
      <c r="CY257" s="105"/>
      <c r="CZ257" s="105"/>
      <c r="DA257" s="105"/>
      <c r="DB257" s="105"/>
      <c r="DC257" s="105"/>
      <c r="DD257" s="105"/>
      <c r="DE257" s="105"/>
      <c r="DF257" s="105"/>
      <c r="DG257" s="105"/>
      <c r="DH257" s="105"/>
      <c r="DI257" s="105"/>
      <c r="DJ257" s="105"/>
      <c r="DK257" s="105"/>
      <c r="DL257" s="105"/>
      <c r="DM257" s="105"/>
      <c r="DN257" s="105"/>
      <c r="DO257" s="105"/>
      <c r="DP257" s="105"/>
      <c r="DQ257" s="105"/>
      <c r="DR257" s="105"/>
      <c r="DS257" s="105"/>
      <c r="DT257" s="105"/>
      <c r="DU257" s="105"/>
      <c r="DV257" s="105"/>
      <c r="DW257" s="105"/>
      <c r="DX257" s="105"/>
      <c r="DY257" s="105"/>
      <c r="DZ257" s="105"/>
      <c r="EA257" s="105"/>
      <c r="EB257" s="105"/>
      <c r="EC257" s="105"/>
      <c r="ED257" s="105"/>
      <c r="EE257" s="105"/>
      <c r="EF257" s="105"/>
      <c r="EG257" s="105"/>
      <c r="EH257" s="105"/>
      <c r="EI257" s="105"/>
      <c r="EJ257" s="105"/>
      <c r="EK257" s="105"/>
      <c r="EL257" s="105"/>
      <c r="EM257" s="105"/>
      <c r="EN257" s="105"/>
      <c r="EO257" s="105"/>
      <c r="EP257" s="105"/>
      <c r="EQ257" s="105"/>
      <c r="ER257" s="105"/>
      <c r="ES257" s="105"/>
      <c r="ET257" s="105"/>
      <c r="EU257" s="105"/>
      <c r="EV257" s="105"/>
      <c r="EW257" s="105"/>
      <c r="EX257" s="105"/>
      <c r="EY257" s="105"/>
      <c r="EZ257" s="105"/>
      <c r="FA257" s="105"/>
      <c r="FB257" s="105"/>
      <c r="FC257" s="105"/>
      <c r="FD257" s="105"/>
      <c r="FE257" s="105"/>
      <c r="FF257" s="105"/>
      <c r="FG257" s="105"/>
      <c r="FH257" s="105"/>
      <c r="FI257" s="105"/>
      <c r="FJ257" s="105"/>
      <c r="FK257" s="105"/>
      <c r="FL257" s="105"/>
      <c r="FM257" s="105"/>
      <c r="FN257" s="105"/>
      <c r="FO257" s="105"/>
      <c r="FP257" s="105"/>
      <c r="FQ257" s="105"/>
      <c r="FR257" s="105"/>
      <c r="FS257" s="105"/>
      <c r="FT257" s="105"/>
      <c r="FU257" s="105"/>
      <c r="FV257" s="105"/>
      <c r="FW257" s="105"/>
      <c r="FX257" s="105"/>
      <c r="FY257" s="105"/>
      <c r="FZ257" s="105"/>
      <c r="GA257" s="105"/>
      <c r="GB257" s="105"/>
      <c r="GC257" s="105"/>
      <c r="GD257" s="105"/>
      <c r="GE257" s="105"/>
      <c r="GF257" s="105"/>
      <c r="GG257" s="105"/>
      <c r="GH257" s="105"/>
      <c r="GI257" s="105"/>
      <c r="GJ257" s="105"/>
      <c r="GK257" s="105"/>
      <c r="GL257" s="105"/>
      <c r="GM257" s="105"/>
      <c r="GN257" s="105"/>
      <c r="GO257" s="105"/>
      <c r="GP257" s="105"/>
      <c r="GQ257" s="105"/>
      <c r="GR257" s="105"/>
      <c r="GS257" s="105"/>
      <c r="GT257" s="105"/>
      <c r="GU257" s="105"/>
      <c r="GV257" s="105"/>
      <c r="GW257" s="105"/>
      <c r="GX257" s="105"/>
      <c r="GY257" s="105"/>
      <c r="GZ257" s="105"/>
      <c r="HA257" s="105"/>
      <c r="HB257" s="105"/>
      <c r="HC257" s="105"/>
      <c r="HD257" s="105"/>
      <c r="HE257" s="105"/>
      <c r="HF257" s="105"/>
      <c r="HG257" s="105"/>
      <c r="HH257" s="105"/>
      <c r="HI257" s="105"/>
      <c r="HJ257" s="105"/>
      <c r="HK257" s="105"/>
      <c r="HL257" s="105"/>
      <c r="HM257" s="105"/>
      <c r="HN257" s="105"/>
      <c r="HO257" s="105"/>
      <c r="HP257" s="105"/>
      <c r="HQ257" s="105"/>
      <c r="HR257" s="105"/>
      <c r="HS257" s="105"/>
      <c r="HT257" s="105"/>
      <c r="HU257" s="105"/>
      <c r="HV257" s="105"/>
      <c r="HW257" s="105"/>
      <c r="HX257" s="105"/>
      <c r="HY257" s="105"/>
      <c r="HZ257" s="105"/>
      <c r="IA257" s="105"/>
      <c r="IB257" s="105"/>
      <c r="IC257" s="105"/>
      <c r="ID257" s="105"/>
      <c r="IE257" s="105"/>
      <c r="IF257" s="105"/>
      <c r="IG257" s="105"/>
      <c r="IH257" s="105"/>
      <c r="II257" s="105"/>
      <c r="IJ257" s="105"/>
      <c r="IK257" s="105"/>
      <c r="IL257" s="105"/>
      <c r="IM257" s="105"/>
      <c r="IN257" s="105"/>
      <c r="IO257" s="105"/>
      <c r="IP257" s="105"/>
      <c r="IQ257" s="105"/>
      <c r="IR257" s="105"/>
      <c r="IS257" s="105"/>
    </row>
    <row r="258" spans="1:253">
      <c r="A258" s="116"/>
      <c r="B258" s="105"/>
      <c r="C258" s="116"/>
      <c r="D258" s="116"/>
      <c r="E258" s="116"/>
      <c r="F258" s="116"/>
      <c r="G258" s="116"/>
      <c r="H258" s="116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/>
      <c r="BL258" s="105"/>
      <c r="BM258" s="105"/>
      <c r="BN258" s="105"/>
      <c r="BO258" s="105"/>
      <c r="BP258" s="105"/>
      <c r="BQ258" s="105"/>
      <c r="BR258" s="105"/>
      <c r="BS258" s="105"/>
      <c r="BT258" s="105"/>
      <c r="BU258" s="105"/>
      <c r="BV258" s="105"/>
      <c r="BW258" s="105"/>
      <c r="BX258" s="105"/>
      <c r="BY258" s="105"/>
      <c r="BZ258" s="105"/>
      <c r="CA258" s="105"/>
      <c r="CB258" s="105"/>
      <c r="CC258" s="105"/>
      <c r="CD258" s="105"/>
      <c r="CE258" s="105"/>
      <c r="CF258" s="105"/>
      <c r="CG258" s="105"/>
      <c r="CH258" s="105"/>
      <c r="CI258" s="105"/>
      <c r="CJ258" s="105"/>
      <c r="CK258" s="105"/>
      <c r="CL258" s="105"/>
      <c r="CM258" s="105"/>
      <c r="CN258" s="105"/>
      <c r="CO258" s="105"/>
      <c r="CP258" s="105"/>
      <c r="CQ258" s="105"/>
      <c r="CR258" s="105"/>
      <c r="CS258" s="105"/>
      <c r="CT258" s="105"/>
      <c r="CU258" s="105"/>
      <c r="CV258" s="105"/>
      <c r="CW258" s="105"/>
      <c r="CX258" s="105"/>
      <c r="CY258" s="105"/>
      <c r="CZ258" s="105"/>
      <c r="DA258" s="105"/>
      <c r="DB258" s="105"/>
      <c r="DC258" s="105"/>
      <c r="DD258" s="105"/>
      <c r="DE258" s="105"/>
      <c r="DF258" s="105"/>
      <c r="DG258" s="105"/>
      <c r="DH258" s="105"/>
      <c r="DI258" s="105"/>
      <c r="DJ258" s="105"/>
      <c r="DK258" s="105"/>
      <c r="DL258" s="105"/>
      <c r="DM258" s="105"/>
      <c r="DN258" s="105"/>
      <c r="DO258" s="105"/>
      <c r="DP258" s="105"/>
      <c r="DQ258" s="105"/>
      <c r="DR258" s="105"/>
      <c r="DS258" s="105"/>
      <c r="DT258" s="105"/>
      <c r="DU258" s="105"/>
      <c r="DV258" s="105"/>
      <c r="DW258" s="105"/>
      <c r="DX258" s="105"/>
      <c r="DY258" s="105"/>
      <c r="DZ258" s="105"/>
      <c r="EA258" s="105"/>
      <c r="EB258" s="105"/>
      <c r="EC258" s="105"/>
      <c r="ED258" s="105"/>
      <c r="EE258" s="105"/>
      <c r="EF258" s="105"/>
      <c r="EG258" s="105"/>
      <c r="EH258" s="105"/>
      <c r="EI258" s="105"/>
      <c r="EJ258" s="105"/>
      <c r="EK258" s="105"/>
      <c r="EL258" s="105"/>
      <c r="EM258" s="105"/>
      <c r="EN258" s="105"/>
      <c r="EO258" s="105"/>
      <c r="EP258" s="105"/>
      <c r="EQ258" s="105"/>
      <c r="ER258" s="105"/>
      <c r="ES258" s="105"/>
      <c r="ET258" s="105"/>
      <c r="EU258" s="105"/>
      <c r="EV258" s="105"/>
      <c r="EW258" s="105"/>
      <c r="EX258" s="105"/>
      <c r="EY258" s="105"/>
      <c r="EZ258" s="105"/>
      <c r="FA258" s="105"/>
      <c r="FB258" s="105"/>
      <c r="FC258" s="105"/>
      <c r="FD258" s="105"/>
      <c r="FE258" s="105"/>
      <c r="FF258" s="105"/>
      <c r="FG258" s="105"/>
      <c r="FH258" s="105"/>
      <c r="FI258" s="105"/>
      <c r="FJ258" s="105"/>
      <c r="FK258" s="105"/>
      <c r="FL258" s="105"/>
      <c r="FM258" s="105"/>
      <c r="FN258" s="105"/>
      <c r="FO258" s="105"/>
      <c r="FP258" s="105"/>
      <c r="FQ258" s="105"/>
      <c r="FR258" s="105"/>
      <c r="FS258" s="105"/>
      <c r="FT258" s="105"/>
      <c r="FU258" s="105"/>
      <c r="FV258" s="105"/>
      <c r="FW258" s="105"/>
      <c r="FX258" s="105"/>
      <c r="FY258" s="105"/>
      <c r="FZ258" s="105"/>
      <c r="GA258" s="105"/>
      <c r="GB258" s="105"/>
      <c r="GC258" s="105"/>
      <c r="GD258" s="105"/>
      <c r="GE258" s="105"/>
      <c r="GF258" s="105"/>
      <c r="GG258" s="105"/>
      <c r="GH258" s="105"/>
      <c r="GI258" s="105"/>
      <c r="GJ258" s="105"/>
      <c r="GK258" s="105"/>
      <c r="GL258" s="105"/>
      <c r="GM258" s="105"/>
      <c r="GN258" s="105"/>
      <c r="GO258" s="105"/>
      <c r="GP258" s="105"/>
      <c r="GQ258" s="105"/>
      <c r="GR258" s="105"/>
      <c r="GS258" s="105"/>
      <c r="GT258" s="105"/>
      <c r="GU258" s="105"/>
      <c r="GV258" s="105"/>
      <c r="GW258" s="105"/>
      <c r="GX258" s="105"/>
      <c r="GY258" s="105"/>
      <c r="GZ258" s="105"/>
      <c r="HA258" s="105"/>
      <c r="HB258" s="105"/>
      <c r="HC258" s="105"/>
      <c r="HD258" s="105"/>
      <c r="HE258" s="105"/>
      <c r="HF258" s="105"/>
      <c r="HG258" s="105"/>
      <c r="HH258" s="105"/>
      <c r="HI258" s="105"/>
      <c r="HJ258" s="105"/>
      <c r="HK258" s="105"/>
      <c r="HL258" s="105"/>
      <c r="HM258" s="105"/>
      <c r="HN258" s="105"/>
      <c r="HO258" s="105"/>
      <c r="HP258" s="105"/>
      <c r="HQ258" s="105"/>
      <c r="HR258" s="105"/>
      <c r="HS258" s="105"/>
      <c r="HT258" s="105"/>
      <c r="HU258" s="105"/>
      <c r="HV258" s="105"/>
      <c r="HW258" s="105"/>
      <c r="HX258" s="105"/>
      <c r="HY258" s="105"/>
      <c r="HZ258" s="105"/>
      <c r="IA258" s="105"/>
      <c r="IB258" s="105"/>
      <c r="IC258" s="105"/>
      <c r="ID258" s="105"/>
      <c r="IE258" s="105"/>
      <c r="IF258" s="105"/>
      <c r="IG258" s="105"/>
      <c r="IH258" s="105"/>
      <c r="II258" s="105"/>
      <c r="IJ258" s="105"/>
      <c r="IK258" s="105"/>
      <c r="IL258" s="105"/>
      <c r="IM258" s="105"/>
      <c r="IN258" s="105"/>
      <c r="IO258" s="105"/>
      <c r="IP258" s="105"/>
      <c r="IQ258" s="105"/>
      <c r="IR258" s="105"/>
      <c r="IS258" s="105"/>
    </row>
    <row r="259" spans="1:253">
      <c r="A259" s="116"/>
      <c r="B259" s="105"/>
      <c r="C259" s="116"/>
      <c r="D259" s="116"/>
      <c r="E259" s="116"/>
      <c r="F259" s="116"/>
      <c r="G259" s="116"/>
      <c r="H259" s="116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5"/>
      <c r="BY259" s="105"/>
      <c r="BZ259" s="105"/>
      <c r="CA259" s="105"/>
      <c r="CB259" s="105"/>
      <c r="CC259" s="105"/>
      <c r="CD259" s="105"/>
      <c r="CE259" s="105"/>
      <c r="CF259" s="105"/>
      <c r="CG259" s="105"/>
      <c r="CH259" s="105"/>
      <c r="CI259" s="105"/>
      <c r="CJ259" s="105"/>
      <c r="CK259" s="105"/>
      <c r="CL259" s="105"/>
      <c r="CM259" s="105"/>
      <c r="CN259" s="105"/>
      <c r="CO259" s="105"/>
      <c r="CP259" s="105"/>
      <c r="CQ259" s="105"/>
      <c r="CR259" s="105"/>
      <c r="CS259" s="105"/>
      <c r="CT259" s="105"/>
      <c r="CU259" s="105"/>
      <c r="CV259" s="105"/>
      <c r="CW259" s="105"/>
      <c r="CX259" s="105"/>
      <c r="CY259" s="105"/>
      <c r="CZ259" s="105"/>
      <c r="DA259" s="105"/>
      <c r="DB259" s="105"/>
      <c r="DC259" s="105"/>
      <c r="DD259" s="105"/>
      <c r="DE259" s="105"/>
      <c r="DF259" s="105"/>
      <c r="DG259" s="105"/>
      <c r="DH259" s="105"/>
      <c r="DI259" s="105"/>
      <c r="DJ259" s="105"/>
      <c r="DK259" s="105"/>
      <c r="DL259" s="105"/>
      <c r="DM259" s="105"/>
      <c r="DN259" s="105"/>
      <c r="DO259" s="105"/>
      <c r="DP259" s="105"/>
      <c r="DQ259" s="105"/>
      <c r="DR259" s="105"/>
      <c r="DS259" s="105"/>
      <c r="DT259" s="105"/>
      <c r="DU259" s="105"/>
      <c r="DV259" s="105"/>
      <c r="DW259" s="105"/>
      <c r="DX259" s="105"/>
      <c r="DY259" s="105"/>
      <c r="DZ259" s="105"/>
      <c r="EA259" s="105"/>
      <c r="EB259" s="105"/>
      <c r="EC259" s="105"/>
      <c r="ED259" s="105"/>
      <c r="EE259" s="105"/>
      <c r="EF259" s="105"/>
      <c r="EG259" s="105"/>
      <c r="EH259" s="105"/>
      <c r="EI259" s="105"/>
      <c r="EJ259" s="105"/>
      <c r="EK259" s="105"/>
      <c r="EL259" s="105"/>
      <c r="EM259" s="105"/>
      <c r="EN259" s="105"/>
      <c r="EO259" s="105"/>
      <c r="EP259" s="105"/>
      <c r="EQ259" s="105"/>
      <c r="ER259" s="105"/>
      <c r="ES259" s="105"/>
      <c r="ET259" s="105"/>
      <c r="EU259" s="105"/>
      <c r="EV259" s="105"/>
      <c r="EW259" s="105"/>
      <c r="EX259" s="105"/>
      <c r="EY259" s="105"/>
      <c r="EZ259" s="105"/>
      <c r="FA259" s="105"/>
      <c r="FB259" s="105"/>
      <c r="FC259" s="105"/>
      <c r="FD259" s="105"/>
      <c r="FE259" s="105"/>
      <c r="FF259" s="105"/>
      <c r="FG259" s="105"/>
      <c r="FH259" s="105"/>
      <c r="FI259" s="105"/>
      <c r="FJ259" s="105"/>
      <c r="FK259" s="105"/>
      <c r="FL259" s="105"/>
      <c r="FM259" s="105"/>
      <c r="FN259" s="105"/>
      <c r="FO259" s="105"/>
      <c r="FP259" s="105"/>
      <c r="FQ259" s="105"/>
      <c r="FR259" s="105"/>
      <c r="FS259" s="105"/>
      <c r="FT259" s="105"/>
      <c r="FU259" s="105"/>
      <c r="FV259" s="105"/>
      <c r="FW259" s="105"/>
      <c r="FX259" s="105"/>
      <c r="FY259" s="105"/>
      <c r="FZ259" s="105"/>
      <c r="GA259" s="105"/>
      <c r="GB259" s="105"/>
      <c r="GC259" s="105"/>
      <c r="GD259" s="105"/>
      <c r="GE259" s="105"/>
      <c r="GF259" s="105"/>
      <c r="GG259" s="105"/>
      <c r="GH259" s="105"/>
      <c r="GI259" s="105"/>
      <c r="GJ259" s="105"/>
      <c r="GK259" s="105"/>
      <c r="GL259" s="105"/>
      <c r="GM259" s="105"/>
      <c r="GN259" s="105"/>
      <c r="GO259" s="105"/>
      <c r="GP259" s="105"/>
      <c r="GQ259" s="105"/>
      <c r="GR259" s="105"/>
      <c r="GS259" s="105"/>
      <c r="GT259" s="105"/>
      <c r="GU259" s="105"/>
      <c r="GV259" s="105"/>
      <c r="GW259" s="105"/>
      <c r="GX259" s="105"/>
      <c r="GY259" s="105"/>
      <c r="GZ259" s="105"/>
      <c r="HA259" s="105"/>
      <c r="HB259" s="105"/>
      <c r="HC259" s="105"/>
      <c r="HD259" s="105"/>
      <c r="HE259" s="105"/>
      <c r="HF259" s="105"/>
      <c r="HG259" s="105"/>
      <c r="HH259" s="105"/>
      <c r="HI259" s="105"/>
      <c r="HJ259" s="105"/>
      <c r="HK259" s="105"/>
      <c r="HL259" s="105"/>
      <c r="HM259" s="105"/>
      <c r="HN259" s="105"/>
      <c r="HO259" s="105"/>
      <c r="HP259" s="105"/>
      <c r="HQ259" s="105"/>
      <c r="HR259" s="105"/>
      <c r="HS259" s="105"/>
      <c r="HT259" s="105"/>
      <c r="HU259" s="105"/>
      <c r="HV259" s="105"/>
      <c r="HW259" s="105"/>
      <c r="HX259" s="105"/>
      <c r="HY259" s="105"/>
      <c r="HZ259" s="105"/>
      <c r="IA259" s="105"/>
      <c r="IB259" s="105"/>
      <c r="IC259" s="105"/>
      <c r="ID259" s="105"/>
      <c r="IE259" s="105"/>
      <c r="IF259" s="105"/>
      <c r="IG259" s="105"/>
      <c r="IH259" s="105"/>
      <c r="II259" s="105"/>
      <c r="IJ259" s="105"/>
      <c r="IK259" s="105"/>
      <c r="IL259" s="105"/>
      <c r="IM259" s="105"/>
      <c r="IN259" s="105"/>
      <c r="IO259" s="105"/>
      <c r="IP259" s="105"/>
      <c r="IQ259" s="105"/>
      <c r="IR259" s="105"/>
      <c r="IS259" s="105"/>
    </row>
    <row r="260" spans="1:253">
      <c r="A260" s="116"/>
      <c r="B260" s="105"/>
      <c r="C260" s="116"/>
      <c r="D260" s="116"/>
      <c r="E260" s="116"/>
      <c r="F260" s="116"/>
      <c r="G260" s="116"/>
      <c r="H260" s="116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5"/>
      <c r="BK260" s="105"/>
      <c r="BL260" s="105"/>
      <c r="BM260" s="105"/>
      <c r="BN260" s="105"/>
      <c r="BO260" s="105"/>
      <c r="BP260" s="105"/>
      <c r="BQ260" s="105"/>
      <c r="BR260" s="105"/>
      <c r="BS260" s="105"/>
      <c r="BT260" s="105"/>
      <c r="BU260" s="105"/>
      <c r="BV260" s="105"/>
      <c r="BW260" s="105"/>
      <c r="BX260" s="105"/>
      <c r="BY260" s="105"/>
      <c r="BZ260" s="105"/>
      <c r="CA260" s="105"/>
      <c r="CB260" s="105"/>
      <c r="CC260" s="105"/>
      <c r="CD260" s="105"/>
      <c r="CE260" s="105"/>
      <c r="CF260" s="105"/>
      <c r="CG260" s="105"/>
      <c r="CH260" s="105"/>
      <c r="CI260" s="105"/>
      <c r="CJ260" s="105"/>
      <c r="CK260" s="105"/>
      <c r="CL260" s="105"/>
      <c r="CM260" s="105"/>
      <c r="CN260" s="105"/>
      <c r="CO260" s="105"/>
      <c r="CP260" s="105"/>
      <c r="CQ260" s="105"/>
      <c r="CR260" s="105"/>
      <c r="CS260" s="105"/>
      <c r="CT260" s="105"/>
      <c r="CU260" s="105"/>
      <c r="CV260" s="105"/>
      <c r="CW260" s="105"/>
      <c r="CX260" s="105"/>
      <c r="CY260" s="105"/>
      <c r="CZ260" s="105"/>
      <c r="DA260" s="105"/>
      <c r="DB260" s="105"/>
      <c r="DC260" s="105"/>
      <c r="DD260" s="105"/>
      <c r="DE260" s="105"/>
      <c r="DF260" s="105"/>
      <c r="DG260" s="105"/>
      <c r="DH260" s="105"/>
      <c r="DI260" s="105"/>
      <c r="DJ260" s="105"/>
      <c r="DK260" s="105"/>
      <c r="DL260" s="105"/>
      <c r="DM260" s="105"/>
      <c r="DN260" s="105"/>
      <c r="DO260" s="105"/>
      <c r="DP260" s="105"/>
      <c r="DQ260" s="105"/>
      <c r="DR260" s="105"/>
      <c r="DS260" s="105"/>
      <c r="DT260" s="105"/>
      <c r="DU260" s="105"/>
      <c r="DV260" s="105"/>
      <c r="DW260" s="105"/>
      <c r="DX260" s="105"/>
      <c r="DY260" s="105"/>
      <c r="DZ260" s="105"/>
      <c r="EA260" s="105"/>
      <c r="EB260" s="105"/>
      <c r="EC260" s="105"/>
      <c r="ED260" s="105"/>
      <c r="EE260" s="105"/>
      <c r="EF260" s="105"/>
      <c r="EG260" s="105"/>
      <c r="EH260" s="105"/>
      <c r="EI260" s="105"/>
      <c r="EJ260" s="105"/>
      <c r="EK260" s="105"/>
      <c r="EL260" s="105"/>
      <c r="EM260" s="105"/>
      <c r="EN260" s="105"/>
      <c r="EO260" s="105"/>
      <c r="EP260" s="105"/>
      <c r="EQ260" s="105"/>
      <c r="ER260" s="105"/>
      <c r="ES260" s="105"/>
      <c r="ET260" s="105"/>
      <c r="EU260" s="105"/>
      <c r="EV260" s="105"/>
      <c r="EW260" s="105"/>
      <c r="EX260" s="105"/>
      <c r="EY260" s="105"/>
      <c r="EZ260" s="105"/>
      <c r="FA260" s="105"/>
      <c r="FB260" s="105"/>
      <c r="FC260" s="105"/>
      <c r="FD260" s="105"/>
      <c r="FE260" s="105"/>
      <c r="FF260" s="105"/>
      <c r="FG260" s="105"/>
      <c r="FH260" s="105"/>
      <c r="FI260" s="105"/>
      <c r="FJ260" s="105"/>
      <c r="FK260" s="105"/>
      <c r="FL260" s="105"/>
      <c r="FM260" s="105"/>
      <c r="FN260" s="105"/>
      <c r="FO260" s="105"/>
      <c r="FP260" s="105"/>
      <c r="FQ260" s="105"/>
      <c r="FR260" s="105"/>
      <c r="FS260" s="105"/>
      <c r="FT260" s="105"/>
      <c r="FU260" s="105"/>
      <c r="FV260" s="105"/>
      <c r="FW260" s="105"/>
      <c r="FX260" s="105"/>
      <c r="FY260" s="105"/>
      <c r="FZ260" s="105"/>
      <c r="GA260" s="105"/>
      <c r="GB260" s="105"/>
      <c r="GC260" s="105"/>
      <c r="GD260" s="105"/>
      <c r="GE260" s="105"/>
      <c r="GF260" s="105"/>
      <c r="GG260" s="105"/>
      <c r="GH260" s="105"/>
      <c r="GI260" s="105"/>
      <c r="GJ260" s="105"/>
      <c r="GK260" s="105"/>
      <c r="GL260" s="105"/>
      <c r="GM260" s="105"/>
      <c r="GN260" s="105"/>
      <c r="GO260" s="105"/>
      <c r="GP260" s="105"/>
      <c r="GQ260" s="105"/>
      <c r="GR260" s="105"/>
      <c r="GS260" s="105"/>
      <c r="GT260" s="105"/>
      <c r="GU260" s="105"/>
      <c r="GV260" s="105"/>
      <c r="GW260" s="105"/>
      <c r="GX260" s="105"/>
      <c r="GY260" s="105"/>
      <c r="GZ260" s="105"/>
      <c r="HA260" s="105"/>
      <c r="HB260" s="105"/>
      <c r="HC260" s="105"/>
      <c r="HD260" s="105"/>
      <c r="HE260" s="105"/>
      <c r="HF260" s="105"/>
      <c r="HG260" s="105"/>
      <c r="HH260" s="105"/>
      <c r="HI260" s="105"/>
      <c r="HJ260" s="105"/>
      <c r="HK260" s="105"/>
      <c r="HL260" s="105"/>
      <c r="HM260" s="105"/>
      <c r="HN260" s="105"/>
      <c r="HO260" s="105"/>
      <c r="HP260" s="105"/>
      <c r="HQ260" s="105"/>
      <c r="HR260" s="105"/>
      <c r="HS260" s="105"/>
      <c r="HT260" s="105"/>
      <c r="HU260" s="105"/>
      <c r="HV260" s="105"/>
      <c r="HW260" s="105"/>
      <c r="HX260" s="105"/>
      <c r="HY260" s="105"/>
      <c r="HZ260" s="105"/>
      <c r="IA260" s="105"/>
      <c r="IB260" s="105"/>
      <c r="IC260" s="105"/>
      <c r="ID260" s="105"/>
      <c r="IE260" s="105"/>
      <c r="IF260" s="105"/>
      <c r="IG260" s="105"/>
      <c r="IH260" s="105"/>
      <c r="II260" s="105"/>
      <c r="IJ260" s="105"/>
      <c r="IK260" s="105"/>
      <c r="IL260" s="105"/>
      <c r="IM260" s="105"/>
      <c r="IN260" s="105"/>
      <c r="IO260" s="105"/>
      <c r="IP260" s="105"/>
      <c r="IQ260" s="105"/>
      <c r="IR260" s="105"/>
      <c r="IS260" s="105"/>
    </row>
    <row r="261" spans="1:253">
      <c r="A261" s="116"/>
      <c r="B261" s="105"/>
      <c r="C261" s="116"/>
      <c r="D261" s="116"/>
      <c r="E261" s="116"/>
      <c r="F261" s="116"/>
      <c r="G261" s="116"/>
      <c r="H261" s="116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/>
      <c r="BL261" s="105"/>
      <c r="BM261" s="105"/>
      <c r="BN261" s="105"/>
      <c r="BO261" s="105"/>
      <c r="BP261" s="105"/>
      <c r="BQ261" s="105"/>
      <c r="BR261" s="105"/>
      <c r="BS261" s="105"/>
      <c r="BT261" s="105"/>
      <c r="BU261" s="105"/>
      <c r="BV261" s="105"/>
      <c r="BW261" s="105"/>
      <c r="BX261" s="105"/>
      <c r="BY261" s="105"/>
      <c r="BZ261" s="105"/>
      <c r="CA261" s="105"/>
      <c r="CB261" s="105"/>
      <c r="CC261" s="105"/>
      <c r="CD261" s="105"/>
      <c r="CE261" s="105"/>
      <c r="CF261" s="105"/>
      <c r="CG261" s="105"/>
      <c r="CH261" s="105"/>
      <c r="CI261" s="105"/>
      <c r="CJ261" s="105"/>
      <c r="CK261" s="105"/>
      <c r="CL261" s="105"/>
      <c r="CM261" s="105"/>
      <c r="CN261" s="105"/>
      <c r="CO261" s="105"/>
      <c r="CP261" s="105"/>
      <c r="CQ261" s="105"/>
      <c r="CR261" s="105"/>
      <c r="CS261" s="105"/>
      <c r="CT261" s="105"/>
      <c r="CU261" s="105"/>
      <c r="CV261" s="105"/>
      <c r="CW261" s="105"/>
      <c r="CX261" s="105"/>
      <c r="CY261" s="105"/>
      <c r="CZ261" s="105"/>
      <c r="DA261" s="105"/>
      <c r="DB261" s="105"/>
      <c r="DC261" s="105"/>
      <c r="DD261" s="105"/>
      <c r="DE261" s="105"/>
      <c r="DF261" s="105"/>
      <c r="DG261" s="105"/>
      <c r="DH261" s="105"/>
      <c r="DI261" s="105"/>
      <c r="DJ261" s="105"/>
      <c r="DK261" s="105"/>
      <c r="DL261" s="105"/>
      <c r="DM261" s="105"/>
      <c r="DN261" s="105"/>
      <c r="DO261" s="105"/>
      <c r="DP261" s="105"/>
      <c r="DQ261" s="105"/>
      <c r="DR261" s="105"/>
      <c r="DS261" s="105"/>
      <c r="DT261" s="105"/>
      <c r="DU261" s="105"/>
      <c r="DV261" s="105"/>
      <c r="DW261" s="105"/>
      <c r="DX261" s="105"/>
      <c r="DY261" s="105"/>
      <c r="DZ261" s="105"/>
      <c r="EA261" s="105"/>
      <c r="EB261" s="105"/>
      <c r="EC261" s="105"/>
      <c r="ED261" s="105"/>
      <c r="EE261" s="105"/>
      <c r="EF261" s="105"/>
      <c r="EG261" s="105"/>
      <c r="EH261" s="105"/>
      <c r="EI261" s="105"/>
      <c r="EJ261" s="105"/>
      <c r="EK261" s="105"/>
      <c r="EL261" s="105"/>
      <c r="EM261" s="105"/>
      <c r="EN261" s="105"/>
      <c r="EO261" s="105"/>
      <c r="EP261" s="105"/>
      <c r="EQ261" s="105"/>
      <c r="ER261" s="105"/>
      <c r="ES261" s="105"/>
      <c r="ET261" s="105"/>
      <c r="EU261" s="105"/>
      <c r="EV261" s="105"/>
      <c r="EW261" s="105"/>
      <c r="EX261" s="105"/>
      <c r="EY261" s="105"/>
      <c r="EZ261" s="105"/>
      <c r="FA261" s="105"/>
      <c r="FB261" s="105"/>
      <c r="FC261" s="105"/>
      <c r="FD261" s="105"/>
      <c r="FE261" s="105"/>
      <c r="FF261" s="105"/>
      <c r="FG261" s="105"/>
      <c r="FH261" s="105"/>
      <c r="FI261" s="105"/>
      <c r="FJ261" s="105"/>
      <c r="FK261" s="105"/>
      <c r="FL261" s="105"/>
      <c r="FM261" s="105"/>
      <c r="FN261" s="105"/>
      <c r="FO261" s="105"/>
      <c r="FP261" s="105"/>
      <c r="FQ261" s="105"/>
      <c r="FR261" s="105"/>
      <c r="FS261" s="105"/>
      <c r="FT261" s="105"/>
      <c r="FU261" s="105"/>
      <c r="FV261" s="105"/>
      <c r="FW261" s="105"/>
      <c r="FX261" s="105"/>
      <c r="FY261" s="105"/>
      <c r="FZ261" s="105"/>
      <c r="GA261" s="105"/>
      <c r="GB261" s="105"/>
      <c r="GC261" s="105"/>
      <c r="GD261" s="105"/>
      <c r="GE261" s="105"/>
      <c r="GF261" s="105"/>
      <c r="GG261" s="105"/>
      <c r="GH261" s="105"/>
      <c r="GI261" s="105"/>
      <c r="GJ261" s="105"/>
      <c r="GK261" s="105"/>
      <c r="GL261" s="105"/>
      <c r="GM261" s="105"/>
      <c r="GN261" s="105"/>
      <c r="GO261" s="105"/>
      <c r="GP261" s="105"/>
      <c r="GQ261" s="105"/>
      <c r="GR261" s="105"/>
      <c r="GS261" s="105"/>
      <c r="GT261" s="105"/>
      <c r="GU261" s="105"/>
      <c r="GV261" s="105"/>
      <c r="GW261" s="105"/>
      <c r="GX261" s="105"/>
      <c r="GY261" s="105"/>
      <c r="GZ261" s="105"/>
      <c r="HA261" s="105"/>
      <c r="HB261" s="105"/>
      <c r="HC261" s="105"/>
      <c r="HD261" s="105"/>
      <c r="HE261" s="105"/>
      <c r="HF261" s="105"/>
      <c r="HG261" s="105"/>
      <c r="HH261" s="105"/>
      <c r="HI261" s="105"/>
      <c r="HJ261" s="105"/>
      <c r="HK261" s="105"/>
      <c r="HL261" s="105"/>
      <c r="HM261" s="105"/>
      <c r="HN261" s="105"/>
      <c r="HO261" s="105"/>
      <c r="HP261" s="105"/>
      <c r="HQ261" s="105"/>
      <c r="HR261" s="105"/>
      <c r="HS261" s="105"/>
      <c r="HT261" s="105"/>
      <c r="HU261" s="105"/>
      <c r="HV261" s="105"/>
      <c r="HW261" s="105"/>
      <c r="HX261" s="105"/>
      <c r="HY261" s="105"/>
      <c r="HZ261" s="105"/>
      <c r="IA261" s="105"/>
      <c r="IB261" s="105"/>
      <c r="IC261" s="105"/>
      <c r="ID261" s="105"/>
      <c r="IE261" s="105"/>
      <c r="IF261" s="105"/>
      <c r="IG261" s="105"/>
      <c r="IH261" s="105"/>
      <c r="II261" s="105"/>
      <c r="IJ261" s="105"/>
      <c r="IK261" s="105"/>
      <c r="IL261" s="105"/>
      <c r="IM261" s="105"/>
      <c r="IN261" s="105"/>
      <c r="IO261" s="105"/>
      <c r="IP261" s="105"/>
      <c r="IQ261" s="105"/>
      <c r="IR261" s="105"/>
      <c r="IS261" s="105"/>
    </row>
    <row r="262" spans="1:253">
      <c r="A262" s="116"/>
      <c r="B262" s="105"/>
      <c r="C262" s="116"/>
      <c r="D262" s="116"/>
      <c r="E262" s="116"/>
      <c r="F262" s="116"/>
      <c r="G262" s="116"/>
      <c r="H262" s="116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/>
      <c r="BL262" s="105"/>
      <c r="BM262" s="105"/>
      <c r="BN262" s="105"/>
      <c r="BO262" s="105"/>
      <c r="BP262" s="105"/>
      <c r="BQ262" s="105"/>
      <c r="BR262" s="105"/>
      <c r="BS262" s="105"/>
      <c r="BT262" s="105"/>
      <c r="BU262" s="105"/>
      <c r="BV262" s="105"/>
      <c r="BW262" s="105"/>
      <c r="BX262" s="105"/>
      <c r="BY262" s="105"/>
      <c r="BZ262" s="105"/>
      <c r="CA262" s="105"/>
      <c r="CB262" s="105"/>
      <c r="CC262" s="105"/>
      <c r="CD262" s="105"/>
      <c r="CE262" s="105"/>
      <c r="CF262" s="105"/>
      <c r="CG262" s="105"/>
      <c r="CH262" s="105"/>
      <c r="CI262" s="105"/>
      <c r="CJ262" s="105"/>
      <c r="CK262" s="105"/>
      <c r="CL262" s="105"/>
      <c r="CM262" s="105"/>
      <c r="CN262" s="105"/>
      <c r="CO262" s="105"/>
      <c r="CP262" s="105"/>
      <c r="CQ262" s="105"/>
      <c r="CR262" s="105"/>
      <c r="CS262" s="105"/>
      <c r="CT262" s="105"/>
      <c r="CU262" s="105"/>
      <c r="CV262" s="105"/>
      <c r="CW262" s="105"/>
      <c r="CX262" s="105"/>
      <c r="CY262" s="105"/>
      <c r="CZ262" s="105"/>
      <c r="DA262" s="105"/>
      <c r="DB262" s="105"/>
      <c r="DC262" s="105"/>
      <c r="DD262" s="105"/>
      <c r="DE262" s="105"/>
      <c r="DF262" s="105"/>
      <c r="DG262" s="105"/>
      <c r="DH262" s="105"/>
      <c r="DI262" s="105"/>
      <c r="DJ262" s="105"/>
      <c r="DK262" s="105"/>
      <c r="DL262" s="105"/>
      <c r="DM262" s="105"/>
      <c r="DN262" s="105"/>
      <c r="DO262" s="105"/>
      <c r="DP262" s="105"/>
      <c r="DQ262" s="105"/>
      <c r="DR262" s="105"/>
      <c r="DS262" s="105"/>
      <c r="DT262" s="105"/>
      <c r="DU262" s="105"/>
      <c r="DV262" s="105"/>
      <c r="DW262" s="105"/>
      <c r="DX262" s="105"/>
      <c r="DY262" s="105"/>
      <c r="DZ262" s="105"/>
      <c r="EA262" s="105"/>
      <c r="EB262" s="105"/>
      <c r="EC262" s="105"/>
      <c r="ED262" s="105"/>
      <c r="EE262" s="105"/>
      <c r="EF262" s="105"/>
      <c r="EG262" s="105"/>
      <c r="EH262" s="105"/>
      <c r="EI262" s="105"/>
      <c r="EJ262" s="105"/>
      <c r="EK262" s="105"/>
      <c r="EL262" s="105"/>
      <c r="EM262" s="105"/>
      <c r="EN262" s="105"/>
      <c r="EO262" s="105"/>
      <c r="EP262" s="105"/>
      <c r="EQ262" s="105"/>
      <c r="ER262" s="105"/>
      <c r="ES262" s="105"/>
      <c r="ET262" s="105"/>
      <c r="EU262" s="105"/>
      <c r="EV262" s="105"/>
      <c r="EW262" s="105"/>
      <c r="EX262" s="105"/>
      <c r="EY262" s="105"/>
      <c r="EZ262" s="105"/>
      <c r="FA262" s="105"/>
      <c r="FB262" s="105"/>
      <c r="FC262" s="105"/>
      <c r="FD262" s="105"/>
      <c r="FE262" s="105"/>
      <c r="FF262" s="105"/>
      <c r="FG262" s="105"/>
      <c r="FH262" s="105"/>
      <c r="FI262" s="105"/>
      <c r="FJ262" s="105"/>
      <c r="FK262" s="105"/>
      <c r="FL262" s="105"/>
      <c r="FM262" s="105"/>
      <c r="FN262" s="105"/>
      <c r="FO262" s="105"/>
      <c r="FP262" s="105"/>
      <c r="FQ262" s="105"/>
      <c r="FR262" s="105"/>
      <c r="FS262" s="105"/>
      <c r="FT262" s="105"/>
      <c r="FU262" s="105"/>
      <c r="FV262" s="105"/>
      <c r="FW262" s="105"/>
      <c r="FX262" s="105"/>
      <c r="FY262" s="105"/>
      <c r="FZ262" s="105"/>
      <c r="GA262" s="105"/>
      <c r="GB262" s="105"/>
      <c r="GC262" s="105"/>
      <c r="GD262" s="105"/>
      <c r="GE262" s="105"/>
      <c r="GF262" s="105"/>
      <c r="GG262" s="105"/>
      <c r="GH262" s="105"/>
      <c r="GI262" s="105"/>
      <c r="GJ262" s="105"/>
      <c r="GK262" s="105"/>
      <c r="GL262" s="105"/>
      <c r="GM262" s="105"/>
      <c r="GN262" s="105"/>
      <c r="GO262" s="105"/>
      <c r="GP262" s="105"/>
      <c r="GQ262" s="105"/>
      <c r="GR262" s="105"/>
      <c r="GS262" s="105"/>
      <c r="GT262" s="105"/>
      <c r="GU262" s="105"/>
      <c r="GV262" s="105"/>
      <c r="GW262" s="105"/>
      <c r="GX262" s="105"/>
      <c r="GY262" s="105"/>
      <c r="GZ262" s="105"/>
      <c r="HA262" s="105"/>
      <c r="HB262" s="105"/>
      <c r="HC262" s="105"/>
      <c r="HD262" s="105"/>
      <c r="HE262" s="105"/>
      <c r="HF262" s="105"/>
      <c r="HG262" s="105"/>
      <c r="HH262" s="105"/>
      <c r="HI262" s="105"/>
      <c r="HJ262" s="105"/>
      <c r="HK262" s="105"/>
      <c r="HL262" s="105"/>
      <c r="HM262" s="105"/>
      <c r="HN262" s="105"/>
      <c r="HO262" s="105"/>
      <c r="HP262" s="105"/>
      <c r="HQ262" s="105"/>
      <c r="HR262" s="105"/>
      <c r="HS262" s="105"/>
      <c r="HT262" s="105"/>
      <c r="HU262" s="105"/>
      <c r="HV262" s="105"/>
      <c r="HW262" s="105"/>
      <c r="HX262" s="105"/>
      <c r="HY262" s="105"/>
      <c r="HZ262" s="105"/>
      <c r="IA262" s="105"/>
      <c r="IB262" s="105"/>
      <c r="IC262" s="105"/>
      <c r="ID262" s="105"/>
      <c r="IE262" s="105"/>
      <c r="IF262" s="105"/>
      <c r="IG262" s="105"/>
      <c r="IH262" s="105"/>
      <c r="II262" s="105"/>
      <c r="IJ262" s="105"/>
      <c r="IK262" s="105"/>
      <c r="IL262" s="105"/>
      <c r="IM262" s="105"/>
      <c r="IN262" s="105"/>
      <c r="IO262" s="105"/>
      <c r="IP262" s="105"/>
      <c r="IQ262" s="105"/>
      <c r="IR262" s="105"/>
      <c r="IS262" s="105"/>
    </row>
    <row r="263" spans="1:253">
      <c r="A263" s="116"/>
      <c r="B263" s="105"/>
      <c r="C263" s="116"/>
      <c r="D263" s="116"/>
      <c r="E263" s="116"/>
      <c r="F263" s="116"/>
      <c r="G263" s="116"/>
      <c r="H263" s="116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/>
      <c r="BL263" s="105"/>
      <c r="BM263" s="105"/>
      <c r="BN263" s="105"/>
      <c r="BO263" s="105"/>
      <c r="BP263" s="105"/>
      <c r="BQ263" s="105"/>
      <c r="BR263" s="105"/>
      <c r="BS263" s="105"/>
      <c r="BT263" s="105"/>
      <c r="BU263" s="105"/>
      <c r="BV263" s="105"/>
      <c r="BW263" s="105"/>
      <c r="BX263" s="105"/>
      <c r="BY263" s="105"/>
      <c r="BZ263" s="105"/>
      <c r="CA263" s="105"/>
      <c r="CB263" s="105"/>
      <c r="CC263" s="105"/>
      <c r="CD263" s="105"/>
      <c r="CE263" s="105"/>
      <c r="CF263" s="105"/>
      <c r="CG263" s="105"/>
      <c r="CH263" s="105"/>
      <c r="CI263" s="105"/>
      <c r="CJ263" s="105"/>
      <c r="CK263" s="105"/>
      <c r="CL263" s="105"/>
      <c r="CM263" s="105"/>
      <c r="CN263" s="105"/>
      <c r="CO263" s="105"/>
      <c r="CP263" s="105"/>
      <c r="CQ263" s="105"/>
      <c r="CR263" s="105"/>
      <c r="CS263" s="105"/>
      <c r="CT263" s="105"/>
      <c r="CU263" s="105"/>
      <c r="CV263" s="105"/>
      <c r="CW263" s="105"/>
      <c r="CX263" s="105"/>
      <c r="CY263" s="105"/>
      <c r="CZ263" s="105"/>
      <c r="DA263" s="105"/>
      <c r="DB263" s="105"/>
      <c r="DC263" s="105"/>
      <c r="DD263" s="105"/>
      <c r="DE263" s="105"/>
      <c r="DF263" s="105"/>
      <c r="DG263" s="105"/>
      <c r="DH263" s="105"/>
      <c r="DI263" s="105"/>
      <c r="DJ263" s="105"/>
      <c r="DK263" s="105"/>
      <c r="DL263" s="105"/>
      <c r="DM263" s="105"/>
      <c r="DN263" s="105"/>
      <c r="DO263" s="105"/>
      <c r="DP263" s="105"/>
      <c r="DQ263" s="105"/>
      <c r="DR263" s="105"/>
      <c r="DS263" s="105"/>
      <c r="DT263" s="105"/>
      <c r="DU263" s="105"/>
      <c r="DV263" s="105"/>
      <c r="DW263" s="105"/>
      <c r="DX263" s="105"/>
      <c r="DY263" s="105"/>
      <c r="DZ263" s="105"/>
      <c r="EA263" s="105"/>
      <c r="EB263" s="105"/>
      <c r="EC263" s="105"/>
      <c r="ED263" s="105"/>
      <c r="EE263" s="105"/>
      <c r="EF263" s="105"/>
      <c r="EG263" s="105"/>
      <c r="EH263" s="105"/>
      <c r="EI263" s="105"/>
      <c r="EJ263" s="105"/>
      <c r="EK263" s="105"/>
      <c r="EL263" s="105"/>
      <c r="EM263" s="105"/>
      <c r="EN263" s="105"/>
      <c r="EO263" s="105"/>
      <c r="EP263" s="105"/>
      <c r="EQ263" s="105"/>
      <c r="ER263" s="105"/>
      <c r="ES263" s="105"/>
      <c r="ET263" s="105"/>
      <c r="EU263" s="105"/>
      <c r="EV263" s="105"/>
      <c r="EW263" s="105"/>
      <c r="EX263" s="105"/>
      <c r="EY263" s="105"/>
      <c r="EZ263" s="105"/>
      <c r="FA263" s="105"/>
      <c r="FB263" s="105"/>
      <c r="FC263" s="105"/>
      <c r="FD263" s="105"/>
      <c r="FE263" s="105"/>
      <c r="FF263" s="105"/>
      <c r="FG263" s="105"/>
      <c r="FH263" s="105"/>
      <c r="FI263" s="105"/>
      <c r="FJ263" s="105"/>
      <c r="FK263" s="105"/>
      <c r="FL263" s="105"/>
      <c r="FM263" s="105"/>
      <c r="FN263" s="105"/>
      <c r="FO263" s="105"/>
      <c r="FP263" s="105"/>
      <c r="FQ263" s="105"/>
      <c r="FR263" s="105"/>
      <c r="FS263" s="105"/>
      <c r="FT263" s="105"/>
      <c r="FU263" s="105"/>
      <c r="FV263" s="105"/>
      <c r="FW263" s="105"/>
      <c r="FX263" s="105"/>
      <c r="FY263" s="105"/>
      <c r="FZ263" s="105"/>
      <c r="GA263" s="105"/>
      <c r="GB263" s="105"/>
      <c r="GC263" s="105"/>
      <c r="GD263" s="105"/>
      <c r="GE263" s="105"/>
      <c r="GF263" s="105"/>
      <c r="GG263" s="105"/>
      <c r="GH263" s="105"/>
      <c r="GI263" s="105"/>
      <c r="GJ263" s="105"/>
      <c r="GK263" s="105"/>
      <c r="GL263" s="105"/>
      <c r="GM263" s="105"/>
      <c r="GN263" s="105"/>
      <c r="GO263" s="105"/>
      <c r="GP263" s="105"/>
      <c r="GQ263" s="105"/>
      <c r="GR263" s="105"/>
      <c r="GS263" s="105"/>
      <c r="GT263" s="105"/>
      <c r="GU263" s="105"/>
      <c r="GV263" s="105"/>
      <c r="GW263" s="105"/>
      <c r="GX263" s="105"/>
      <c r="GY263" s="105"/>
      <c r="GZ263" s="105"/>
      <c r="HA263" s="105"/>
      <c r="HB263" s="105"/>
      <c r="HC263" s="105"/>
      <c r="HD263" s="105"/>
      <c r="HE263" s="105"/>
      <c r="HF263" s="105"/>
      <c r="HG263" s="105"/>
      <c r="HH263" s="105"/>
      <c r="HI263" s="105"/>
      <c r="HJ263" s="105"/>
      <c r="HK263" s="105"/>
      <c r="HL263" s="105"/>
      <c r="HM263" s="105"/>
      <c r="HN263" s="105"/>
      <c r="HO263" s="105"/>
      <c r="HP263" s="105"/>
      <c r="HQ263" s="105"/>
      <c r="HR263" s="105"/>
      <c r="HS263" s="105"/>
      <c r="HT263" s="105"/>
      <c r="HU263" s="105"/>
      <c r="HV263" s="105"/>
      <c r="HW263" s="105"/>
      <c r="HX263" s="105"/>
      <c r="HY263" s="105"/>
      <c r="HZ263" s="105"/>
      <c r="IA263" s="105"/>
      <c r="IB263" s="105"/>
      <c r="IC263" s="105"/>
      <c r="ID263" s="105"/>
      <c r="IE263" s="105"/>
      <c r="IF263" s="105"/>
      <c r="IG263" s="105"/>
      <c r="IH263" s="105"/>
      <c r="II263" s="105"/>
      <c r="IJ263" s="105"/>
      <c r="IK263" s="105"/>
      <c r="IL263" s="105"/>
      <c r="IM263" s="105"/>
      <c r="IN263" s="105"/>
      <c r="IO263" s="105"/>
      <c r="IP263" s="105"/>
      <c r="IQ263" s="105"/>
      <c r="IR263" s="105"/>
      <c r="IS263" s="105"/>
    </row>
    <row r="264" spans="1:253">
      <c r="A264" s="116"/>
      <c r="B264" s="105"/>
      <c r="C264" s="116"/>
      <c r="D264" s="116"/>
      <c r="E264" s="116"/>
      <c r="F264" s="116"/>
      <c r="G264" s="116"/>
      <c r="H264" s="116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5"/>
      <c r="BN264" s="105"/>
      <c r="BO264" s="105"/>
      <c r="BP264" s="105"/>
      <c r="BQ264" s="105"/>
      <c r="BR264" s="105"/>
      <c r="BS264" s="105"/>
      <c r="BT264" s="105"/>
      <c r="BU264" s="105"/>
      <c r="BV264" s="105"/>
      <c r="BW264" s="105"/>
      <c r="BX264" s="105"/>
      <c r="BY264" s="105"/>
      <c r="BZ264" s="105"/>
      <c r="CA264" s="105"/>
      <c r="CB264" s="105"/>
      <c r="CC264" s="105"/>
      <c r="CD264" s="105"/>
      <c r="CE264" s="105"/>
      <c r="CF264" s="105"/>
      <c r="CG264" s="105"/>
      <c r="CH264" s="105"/>
      <c r="CI264" s="105"/>
      <c r="CJ264" s="105"/>
      <c r="CK264" s="105"/>
      <c r="CL264" s="105"/>
      <c r="CM264" s="105"/>
      <c r="CN264" s="105"/>
      <c r="CO264" s="105"/>
      <c r="CP264" s="105"/>
      <c r="CQ264" s="105"/>
      <c r="CR264" s="105"/>
      <c r="CS264" s="105"/>
      <c r="CT264" s="105"/>
      <c r="CU264" s="105"/>
      <c r="CV264" s="105"/>
      <c r="CW264" s="105"/>
      <c r="CX264" s="105"/>
      <c r="CY264" s="105"/>
      <c r="CZ264" s="105"/>
      <c r="DA264" s="105"/>
      <c r="DB264" s="105"/>
      <c r="DC264" s="105"/>
      <c r="DD264" s="105"/>
      <c r="DE264" s="105"/>
      <c r="DF264" s="105"/>
      <c r="DG264" s="105"/>
      <c r="DH264" s="105"/>
      <c r="DI264" s="105"/>
      <c r="DJ264" s="105"/>
      <c r="DK264" s="105"/>
      <c r="DL264" s="105"/>
      <c r="DM264" s="105"/>
      <c r="DN264" s="105"/>
      <c r="DO264" s="105"/>
      <c r="DP264" s="105"/>
      <c r="DQ264" s="105"/>
      <c r="DR264" s="105"/>
      <c r="DS264" s="105"/>
      <c r="DT264" s="105"/>
      <c r="DU264" s="105"/>
      <c r="DV264" s="105"/>
      <c r="DW264" s="105"/>
      <c r="DX264" s="105"/>
      <c r="DY264" s="105"/>
      <c r="DZ264" s="105"/>
      <c r="EA264" s="105"/>
      <c r="EB264" s="105"/>
      <c r="EC264" s="105"/>
      <c r="ED264" s="105"/>
      <c r="EE264" s="105"/>
      <c r="EF264" s="105"/>
      <c r="EG264" s="105"/>
      <c r="EH264" s="105"/>
      <c r="EI264" s="105"/>
      <c r="EJ264" s="105"/>
      <c r="EK264" s="105"/>
      <c r="EL264" s="105"/>
      <c r="EM264" s="105"/>
      <c r="EN264" s="105"/>
      <c r="EO264" s="105"/>
      <c r="EP264" s="105"/>
      <c r="EQ264" s="105"/>
      <c r="ER264" s="105"/>
      <c r="ES264" s="105"/>
      <c r="ET264" s="105"/>
      <c r="EU264" s="105"/>
      <c r="EV264" s="105"/>
      <c r="EW264" s="105"/>
      <c r="EX264" s="105"/>
      <c r="EY264" s="105"/>
      <c r="EZ264" s="105"/>
      <c r="FA264" s="105"/>
      <c r="FB264" s="105"/>
      <c r="FC264" s="105"/>
      <c r="FD264" s="105"/>
      <c r="FE264" s="105"/>
      <c r="FF264" s="105"/>
      <c r="FG264" s="105"/>
      <c r="FH264" s="105"/>
      <c r="FI264" s="105"/>
      <c r="FJ264" s="105"/>
      <c r="FK264" s="105"/>
      <c r="FL264" s="105"/>
      <c r="FM264" s="105"/>
      <c r="FN264" s="105"/>
      <c r="FO264" s="105"/>
      <c r="FP264" s="105"/>
      <c r="FQ264" s="105"/>
      <c r="FR264" s="105"/>
      <c r="FS264" s="105"/>
      <c r="FT264" s="105"/>
      <c r="FU264" s="105"/>
      <c r="FV264" s="105"/>
      <c r="FW264" s="105"/>
      <c r="FX264" s="105"/>
      <c r="FY264" s="105"/>
      <c r="FZ264" s="105"/>
      <c r="GA264" s="105"/>
      <c r="GB264" s="105"/>
      <c r="GC264" s="105"/>
      <c r="GD264" s="105"/>
      <c r="GE264" s="105"/>
      <c r="GF264" s="105"/>
      <c r="GG264" s="105"/>
      <c r="GH264" s="105"/>
      <c r="GI264" s="105"/>
      <c r="GJ264" s="105"/>
      <c r="GK264" s="105"/>
      <c r="GL264" s="105"/>
      <c r="GM264" s="105"/>
      <c r="GN264" s="105"/>
      <c r="GO264" s="105"/>
      <c r="GP264" s="105"/>
      <c r="GQ264" s="105"/>
      <c r="GR264" s="105"/>
      <c r="GS264" s="105"/>
      <c r="GT264" s="105"/>
      <c r="GU264" s="105"/>
      <c r="GV264" s="105"/>
      <c r="GW264" s="105"/>
      <c r="GX264" s="105"/>
      <c r="GY264" s="105"/>
      <c r="GZ264" s="105"/>
      <c r="HA264" s="105"/>
      <c r="HB264" s="105"/>
      <c r="HC264" s="105"/>
      <c r="HD264" s="105"/>
      <c r="HE264" s="105"/>
      <c r="HF264" s="105"/>
      <c r="HG264" s="105"/>
      <c r="HH264" s="105"/>
      <c r="HI264" s="105"/>
      <c r="HJ264" s="105"/>
      <c r="HK264" s="105"/>
      <c r="HL264" s="105"/>
      <c r="HM264" s="105"/>
      <c r="HN264" s="105"/>
      <c r="HO264" s="105"/>
      <c r="HP264" s="105"/>
      <c r="HQ264" s="105"/>
      <c r="HR264" s="105"/>
      <c r="HS264" s="105"/>
      <c r="HT264" s="105"/>
      <c r="HU264" s="105"/>
      <c r="HV264" s="105"/>
      <c r="HW264" s="105"/>
      <c r="HX264" s="105"/>
      <c r="HY264" s="105"/>
      <c r="HZ264" s="105"/>
      <c r="IA264" s="105"/>
      <c r="IB264" s="105"/>
      <c r="IC264" s="105"/>
      <c r="ID264" s="105"/>
      <c r="IE264" s="105"/>
      <c r="IF264" s="105"/>
      <c r="IG264" s="105"/>
      <c r="IH264" s="105"/>
      <c r="II264" s="105"/>
      <c r="IJ264" s="105"/>
      <c r="IK264" s="105"/>
      <c r="IL264" s="105"/>
      <c r="IM264" s="105"/>
      <c r="IN264" s="105"/>
      <c r="IO264" s="105"/>
      <c r="IP264" s="105"/>
      <c r="IQ264" s="105"/>
      <c r="IR264" s="105"/>
      <c r="IS264" s="105"/>
    </row>
    <row r="265" spans="1:253">
      <c r="A265" s="116"/>
      <c r="B265" s="105"/>
      <c r="C265" s="116"/>
      <c r="D265" s="116"/>
      <c r="E265" s="116"/>
      <c r="F265" s="116"/>
      <c r="G265" s="116"/>
      <c r="H265" s="116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/>
      <c r="BL265" s="105"/>
      <c r="BM265" s="105"/>
      <c r="BN265" s="105"/>
      <c r="BO265" s="105"/>
      <c r="BP265" s="105"/>
      <c r="BQ265" s="105"/>
      <c r="BR265" s="105"/>
      <c r="BS265" s="105"/>
      <c r="BT265" s="105"/>
      <c r="BU265" s="105"/>
      <c r="BV265" s="105"/>
      <c r="BW265" s="105"/>
      <c r="BX265" s="105"/>
      <c r="BY265" s="105"/>
      <c r="BZ265" s="105"/>
      <c r="CA265" s="105"/>
      <c r="CB265" s="105"/>
      <c r="CC265" s="105"/>
      <c r="CD265" s="105"/>
      <c r="CE265" s="105"/>
      <c r="CF265" s="105"/>
      <c r="CG265" s="105"/>
      <c r="CH265" s="105"/>
      <c r="CI265" s="105"/>
      <c r="CJ265" s="105"/>
      <c r="CK265" s="105"/>
      <c r="CL265" s="105"/>
      <c r="CM265" s="105"/>
      <c r="CN265" s="105"/>
      <c r="CO265" s="105"/>
      <c r="CP265" s="105"/>
      <c r="CQ265" s="105"/>
      <c r="CR265" s="105"/>
      <c r="CS265" s="105"/>
      <c r="CT265" s="105"/>
      <c r="CU265" s="105"/>
      <c r="CV265" s="105"/>
      <c r="CW265" s="105"/>
      <c r="CX265" s="105"/>
      <c r="CY265" s="105"/>
      <c r="CZ265" s="105"/>
      <c r="DA265" s="105"/>
      <c r="DB265" s="105"/>
      <c r="DC265" s="105"/>
      <c r="DD265" s="105"/>
      <c r="DE265" s="105"/>
      <c r="DF265" s="105"/>
      <c r="DG265" s="105"/>
      <c r="DH265" s="105"/>
      <c r="DI265" s="105"/>
      <c r="DJ265" s="105"/>
      <c r="DK265" s="105"/>
      <c r="DL265" s="105"/>
      <c r="DM265" s="105"/>
      <c r="DN265" s="105"/>
      <c r="DO265" s="105"/>
      <c r="DP265" s="105"/>
      <c r="DQ265" s="105"/>
      <c r="DR265" s="105"/>
      <c r="DS265" s="105"/>
      <c r="DT265" s="105"/>
      <c r="DU265" s="105"/>
      <c r="DV265" s="105"/>
      <c r="DW265" s="105"/>
      <c r="DX265" s="105"/>
      <c r="DY265" s="105"/>
      <c r="DZ265" s="105"/>
      <c r="EA265" s="105"/>
      <c r="EB265" s="105"/>
      <c r="EC265" s="105"/>
      <c r="ED265" s="105"/>
      <c r="EE265" s="105"/>
      <c r="EF265" s="105"/>
      <c r="EG265" s="105"/>
      <c r="EH265" s="105"/>
      <c r="EI265" s="105"/>
      <c r="EJ265" s="105"/>
      <c r="EK265" s="105"/>
      <c r="EL265" s="105"/>
      <c r="EM265" s="105"/>
      <c r="EN265" s="105"/>
      <c r="EO265" s="105"/>
      <c r="EP265" s="105"/>
      <c r="EQ265" s="105"/>
      <c r="ER265" s="105"/>
      <c r="ES265" s="105"/>
      <c r="ET265" s="105"/>
      <c r="EU265" s="105"/>
      <c r="EV265" s="105"/>
      <c r="EW265" s="105"/>
      <c r="EX265" s="105"/>
      <c r="EY265" s="105"/>
      <c r="EZ265" s="105"/>
      <c r="FA265" s="105"/>
      <c r="FB265" s="105"/>
      <c r="FC265" s="105"/>
      <c r="FD265" s="105"/>
      <c r="FE265" s="105"/>
      <c r="FF265" s="105"/>
      <c r="FG265" s="105"/>
      <c r="FH265" s="105"/>
      <c r="FI265" s="105"/>
      <c r="FJ265" s="105"/>
      <c r="FK265" s="105"/>
      <c r="FL265" s="105"/>
      <c r="FM265" s="105"/>
      <c r="FN265" s="105"/>
      <c r="FO265" s="105"/>
      <c r="FP265" s="105"/>
      <c r="FQ265" s="105"/>
      <c r="FR265" s="105"/>
      <c r="FS265" s="105"/>
      <c r="FT265" s="105"/>
      <c r="FU265" s="105"/>
      <c r="FV265" s="105"/>
      <c r="FW265" s="105"/>
      <c r="FX265" s="105"/>
      <c r="FY265" s="105"/>
      <c r="FZ265" s="105"/>
      <c r="GA265" s="105"/>
      <c r="GB265" s="105"/>
      <c r="GC265" s="105"/>
      <c r="GD265" s="105"/>
      <c r="GE265" s="105"/>
      <c r="GF265" s="105"/>
      <c r="GG265" s="105"/>
      <c r="GH265" s="105"/>
      <c r="GI265" s="105"/>
      <c r="GJ265" s="105"/>
      <c r="GK265" s="105"/>
      <c r="GL265" s="105"/>
      <c r="GM265" s="105"/>
      <c r="GN265" s="105"/>
      <c r="GO265" s="105"/>
      <c r="GP265" s="105"/>
      <c r="GQ265" s="105"/>
      <c r="GR265" s="105"/>
      <c r="GS265" s="105"/>
      <c r="GT265" s="105"/>
      <c r="GU265" s="105"/>
      <c r="GV265" s="105"/>
      <c r="GW265" s="105"/>
      <c r="GX265" s="105"/>
      <c r="GY265" s="105"/>
      <c r="GZ265" s="105"/>
      <c r="HA265" s="105"/>
      <c r="HB265" s="105"/>
      <c r="HC265" s="105"/>
      <c r="HD265" s="105"/>
      <c r="HE265" s="105"/>
      <c r="HF265" s="105"/>
      <c r="HG265" s="105"/>
      <c r="HH265" s="105"/>
      <c r="HI265" s="105"/>
      <c r="HJ265" s="105"/>
      <c r="HK265" s="105"/>
      <c r="HL265" s="105"/>
      <c r="HM265" s="105"/>
      <c r="HN265" s="105"/>
      <c r="HO265" s="105"/>
      <c r="HP265" s="105"/>
      <c r="HQ265" s="105"/>
      <c r="HR265" s="105"/>
      <c r="HS265" s="105"/>
      <c r="HT265" s="105"/>
      <c r="HU265" s="105"/>
      <c r="HV265" s="105"/>
      <c r="HW265" s="105"/>
      <c r="HX265" s="105"/>
      <c r="HY265" s="105"/>
      <c r="HZ265" s="105"/>
      <c r="IA265" s="105"/>
      <c r="IB265" s="105"/>
      <c r="IC265" s="105"/>
      <c r="ID265" s="105"/>
      <c r="IE265" s="105"/>
      <c r="IF265" s="105"/>
      <c r="IG265" s="105"/>
      <c r="IH265" s="105"/>
      <c r="II265" s="105"/>
      <c r="IJ265" s="105"/>
      <c r="IK265" s="105"/>
      <c r="IL265" s="105"/>
      <c r="IM265" s="105"/>
      <c r="IN265" s="105"/>
      <c r="IO265" s="105"/>
      <c r="IP265" s="105"/>
      <c r="IQ265" s="105"/>
      <c r="IR265" s="105"/>
      <c r="IS265" s="105"/>
    </row>
    <row r="266" spans="1:253">
      <c r="A266" s="116"/>
      <c r="B266" s="105"/>
      <c r="C266" s="116"/>
      <c r="D266" s="116"/>
      <c r="E266" s="116"/>
      <c r="F266" s="116"/>
      <c r="G266" s="116"/>
      <c r="H266" s="116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5"/>
      <c r="BK266" s="105"/>
      <c r="BL266" s="105"/>
      <c r="BM266" s="105"/>
      <c r="BN266" s="105"/>
      <c r="BO266" s="105"/>
      <c r="BP266" s="105"/>
      <c r="BQ266" s="105"/>
      <c r="BR266" s="105"/>
      <c r="BS266" s="105"/>
      <c r="BT266" s="105"/>
      <c r="BU266" s="105"/>
      <c r="BV266" s="105"/>
      <c r="BW266" s="105"/>
      <c r="BX266" s="105"/>
      <c r="BY266" s="105"/>
      <c r="BZ266" s="105"/>
      <c r="CA266" s="105"/>
      <c r="CB266" s="105"/>
      <c r="CC266" s="105"/>
      <c r="CD266" s="105"/>
      <c r="CE266" s="105"/>
      <c r="CF266" s="105"/>
      <c r="CG266" s="105"/>
      <c r="CH266" s="105"/>
      <c r="CI266" s="105"/>
      <c r="CJ266" s="105"/>
      <c r="CK266" s="105"/>
      <c r="CL266" s="105"/>
      <c r="CM266" s="105"/>
      <c r="CN266" s="105"/>
      <c r="CO266" s="105"/>
      <c r="CP266" s="105"/>
      <c r="CQ266" s="105"/>
      <c r="CR266" s="105"/>
      <c r="CS266" s="105"/>
      <c r="CT266" s="105"/>
      <c r="CU266" s="105"/>
      <c r="CV266" s="105"/>
      <c r="CW266" s="105"/>
      <c r="CX266" s="105"/>
      <c r="CY266" s="105"/>
      <c r="CZ266" s="105"/>
      <c r="DA266" s="105"/>
      <c r="DB266" s="105"/>
      <c r="DC266" s="105"/>
      <c r="DD266" s="105"/>
      <c r="DE266" s="105"/>
      <c r="DF266" s="105"/>
      <c r="DG266" s="105"/>
      <c r="DH266" s="105"/>
      <c r="DI266" s="105"/>
      <c r="DJ266" s="105"/>
      <c r="DK266" s="105"/>
      <c r="DL266" s="105"/>
      <c r="DM266" s="105"/>
      <c r="DN266" s="105"/>
      <c r="DO266" s="105"/>
      <c r="DP266" s="105"/>
      <c r="DQ266" s="105"/>
      <c r="DR266" s="105"/>
      <c r="DS266" s="105"/>
      <c r="DT266" s="105"/>
      <c r="DU266" s="105"/>
      <c r="DV266" s="105"/>
      <c r="DW266" s="105"/>
      <c r="DX266" s="105"/>
      <c r="DY266" s="105"/>
      <c r="DZ266" s="105"/>
      <c r="EA266" s="105"/>
      <c r="EB266" s="105"/>
      <c r="EC266" s="105"/>
      <c r="ED266" s="105"/>
      <c r="EE266" s="105"/>
      <c r="EF266" s="105"/>
      <c r="EG266" s="105"/>
      <c r="EH266" s="105"/>
      <c r="EI266" s="105"/>
      <c r="EJ266" s="105"/>
      <c r="EK266" s="105"/>
      <c r="EL266" s="105"/>
      <c r="EM266" s="105"/>
      <c r="EN266" s="105"/>
      <c r="EO266" s="105"/>
      <c r="EP266" s="105"/>
      <c r="EQ266" s="105"/>
      <c r="ER266" s="105"/>
      <c r="ES266" s="105"/>
      <c r="ET266" s="105"/>
      <c r="EU266" s="105"/>
      <c r="EV266" s="105"/>
      <c r="EW266" s="105"/>
      <c r="EX266" s="105"/>
      <c r="EY266" s="105"/>
      <c r="EZ266" s="105"/>
      <c r="FA266" s="105"/>
      <c r="FB266" s="105"/>
      <c r="FC266" s="105"/>
      <c r="FD266" s="105"/>
      <c r="FE266" s="105"/>
      <c r="FF266" s="105"/>
      <c r="FG266" s="105"/>
      <c r="FH266" s="105"/>
      <c r="FI266" s="105"/>
      <c r="FJ266" s="105"/>
      <c r="FK266" s="105"/>
      <c r="FL266" s="105"/>
      <c r="FM266" s="105"/>
      <c r="FN266" s="105"/>
      <c r="FO266" s="105"/>
      <c r="FP266" s="105"/>
      <c r="FQ266" s="105"/>
      <c r="FR266" s="105"/>
      <c r="FS266" s="105"/>
      <c r="FT266" s="105"/>
      <c r="FU266" s="105"/>
      <c r="FV266" s="105"/>
      <c r="FW266" s="105"/>
      <c r="FX266" s="105"/>
      <c r="FY266" s="105"/>
      <c r="FZ266" s="105"/>
      <c r="GA266" s="105"/>
      <c r="GB266" s="105"/>
      <c r="GC266" s="105"/>
      <c r="GD266" s="105"/>
      <c r="GE266" s="105"/>
      <c r="GF266" s="105"/>
      <c r="GG266" s="105"/>
      <c r="GH266" s="105"/>
      <c r="GI266" s="105"/>
      <c r="GJ266" s="105"/>
      <c r="GK266" s="105"/>
      <c r="GL266" s="105"/>
      <c r="GM266" s="105"/>
      <c r="GN266" s="105"/>
      <c r="GO266" s="105"/>
      <c r="GP266" s="105"/>
      <c r="GQ266" s="105"/>
      <c r="GR266" s="105"/>
      <c r="GS266" s="105"/>
      <c r="GT266" s="105"/>
      <c r="GU266" s="105"/>
      <c r="GV266" s="105"/>
      <c r="GW266" s="105"/>
      <c r="GX266" s="105"/>
      <c r="GY266" s="105"/>
      <c r="GZ266" s="105"/>
      <c r="HA266" s="105"/>
      <c r="HB266" s="105"/>
      <c r="HC266" s="105"/>
      <c r="HD266" s="105"/>
      <c r="HE266" s="105"/>
      <c r="HF266" s="105"/>
      <c r="HG266" s="105"/>
      <c r="HH266" s="105"/>
      <c r="HI266" s="105"/>
      <c r="HJ266" s="105"/>
      <c r="HK266" s="105"/>
      <c r="HL266" s="105"/>
      <c r="HM266" s="105"/>
      <c r="HN266" s="105"/>
      <c r="HO266" s="105"/>
      <c r="HP266" s="105"/>
      <c r="HQ266" s="105"/>
      <c r="HR266" s="105"/>
      <c r="HS266" s="105"/>
      <c r="HT266" s="105"/>
      <c r="HU266" s="105"/>
      <c r="HV266" s="105"/>
      <c r="HW266" s="105"/>
      <c r="HX266" s="105"/>
      <c r="HY266" s="105"/>
      <c r="HZ266" s="105"/>
      <c r="IA266" s="105"/>
      <c r="IB266" s="105"/>
      <c r="IC266" s="105"/>
      <c r="ID266" s="105"/>
      <c r="IE266" s="105"/>
      <c r="IF266" s="105"/>
      <c r="IG266" s="105"/>
      <c r="IH266" s="105"/>
      <c r="II266" s="105"/>
      <c r="IJ266" s="105"/>
      <c r="IK266" s="105"/>
      <c r="IL266" s="105"/>
      <c r="IM266" s="105"/>
      <c r="IN266" s="105"/>
      <c r="IO266" s="105"/>
      <c r="IP266" s="105"/>
      <c r="IQ266" s="105"/>
      <c r="IR266" s="105"/>
      <c r="IS266" s="105"/>
    </row>
    <row r="267" spans="1:253">
      <c r="A267" s="116"/>
      <c r="B267" s="105"/>
      <c r="C267" s="116"/>
      <c r="D267" s="116"/>
      <c r="E267" s="116"/>
      <c r="F267" s="116"/>
      <c r="G267" s="116"/>
      <c r="H267" s="116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5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5"/>
      <c r="BY267" s="105"/>
      <c r="BZ267" s="105"/>
      <c r="CA267" s="105"/>
      <c r="CB267" s="105"/>
      <c r="CC267" s="105"/>
      <c r="CD267" s="105"/>
      <c r="CE267" s="105"/>
      <c r="CF267" s="105"/>
      <c r="CG267" s="105"/>
      <c r="CH267" s="105"/>
      <c r="CI267" s="105"/>
      <c r="CJ267" s="105"/>
      <c r="CK267" s="105"/>
      <c r="CL267" s="105"/>
      <c r="CM267" s="105"/>
      <c r="CN267" s="105"/>
      <c r="CO267" s="105"/>
      <c r="CP267" s="105"/>
      <c r="CQ267" s="105"/>
      <c r="CR267" s="105"/>
      <c r="CS267" s="105"/>
      <c r="CT267" s="105"/>
      <c r="CU267" s="105"/>
      <c r="CV267" s="105"/>
      <c r="CW267" s="105"/>
      <c r="CX267" s="105"/>
      <c r="CY267" s="105"/>
      <c r="CZ267" s="105"/>
      <c r="DA267" s="105"/>
      <c r="DB267" s="105"/>
      <c r="DC267" s="105"/>
      <c r="DD267" s="105"/>
      <c r="DE267" s="105"/>
      <c r="DF267" s="105"/>
      <c r="DG267" s="105"/>
      <c r="DH267" s="105"/>
      <c r="DI267" s="105"/>
      <c r="DJ267" s="105"/>
      <c r="DK267" s="105"/>
      <c r="DL267" s="105"/>
      <c r="DM267" s="105"/>
      <c r="DN267" s="105"/>
      <c r="DO267" s="105"/>
      <c r="DP267" s="105"/>
      <c r="DQ267" s="105"/>
      <c r="DR267" s="105"/>
      <c r="DS267" s="105"/>
      <c r="DT267" s="105"/>
      <c r="DU267" s="105"/>
      <c r="DV267" s="105"/>
      <c r="DW267" s="105"/>
      <c r="DX267" s="105"/>
      <c r="DY267" s="105"/>
      <c r="DZ267" s="105"/>
      <c r="EA267" s="105"/>
      <c r="EB267" s="105"/>
      <c r="EC267" s="105"/>
      <c r="ED267" s="105"/>
      <c r="EE267" s="105"/>
      <c r="EF267" s="105"/>
      <c r="EG267" s="105"/>
      <c r="EH267" s="105"/>
      <c r="EI267" s="105"/>
      <c r="EJ267" s="105"/>
      <c r="EK267" s="105"/>
      <c r="EL267" s="105"/>
      <c r="EM267" s="105"/>
      <c r="EN267" s="105"/>
      <c r="EO267" s="105"/>
      <c r="EP267" s="105"/>
      <c r="EQ267" s="105"/>
      <c r="ER267" s="105"/>
      <c r="ES267" s="105"/>
      <c r="ET267" s="105"/>
      <c r="EU267" s="105"/>
      <c r="EV267" s="105"/>
      <c r="EW267" s="105"/>
      <c r="EX267" s="105"/>
      <c r="EY267" s="105"/>
      <c r="EZ267" s="105"/>
      <c r="FA267" s="105"/>
      <c r="FB267" s="105"/>
      <c r="FC267" s="105"/>
      <c r="FD267" s="105"/>
      <c r="FE267" s="105"/>
      <c r="FF267" s="105"/>
      <c r="FG267" s="105"/>
      <c r="FH267" s="105"/>
      <c r="FI267" s="105"/>
      <c r="FJ267" s="105"/>
      <c r="FK267" s="105"/>
      <c r="FL267" s="105"/>
      <c r="FM267" s="105"/>
      <c r="FN267" s="105"/>
      <c r="FO267" s="105"/>
      <c r="FP267" s="105"/>
      <c r="FQ267" s="105"/>
      <c r="FR267" s="105"/>
      <c r="FS267" s="105"/>
      <c r="FT267" s="105"/>
      <c r="FU267" s="105"/>
      <c r="FV267" s="105"/>
      <c r="FW267" s="105"/>
      <c r="FX267" s="105"/>
      <c r="FY267" s="105"/>
      <c r="FZ267" s="105"/>
      <c r="GA267" s="105"/>
      <c r="GB267" s="105"/>
      <c r="GC267" s="105"/>
      <c r="GD267" s="105"/>
      <c r="GE267" s="105"/>
      <c r="GF267" s="105"/>
      <c r="GG267" s="105"/>
      <c r="GH267" s="105"/>
      <c r="GI267" s="105"/>
      <c r="GJ267" s="105"/>
      <c r="GK267" s="105"/>
      <c r="GL267" s="105"/>
      <c r="GM267" s="105"/>
      <c r="GN267" s="105"/>
      <c r="GO267" s="105"/>
      <c r="GP267" s="105"/>
      <c r="GQ267" s="105"/>
      <c r="GR267" s="105"/>
      <c r="GS267" s="105"/>
      <c r="GT267" s="105"/>
      <c r="GU267" s="105"/>
      <c r="GV267" s="105"/>
      <c r="GW267" s="105"/>
      <c r="GX267" s="105"/>
      <c r="GY267" s="105"/>
      <c r="GZ267" s="105"/>
      <c r="HA267" s="105"/>
      <c r="HB267" s="105"/>
      <c r="HC267" s="105"/>
      <c r="HD267" s="105"/>
      <c r="HE267" s="105"/>
      <c r="HF267" s="105"/>
      <c r="HG267" s="105"/>
      <c r="HH267" s="105"/>
      <c r="HI267" s="105"/>
      <c r="HJ267" s="105"/>
      <c r="HK267" s="105"/>
      <c r="HL267" s="105"/>
      <c r="HM267" s="105"/>
      <c r="HN267" s="105"/>
      <c r="HO267" s="105"/>
      <c r="HP267" s="105"/>
      <c r="HQ267" s="105"/>
      <c r="HR267" s="105"/>
      <c r="HS267" s="105"/>
      <c r="HT267" s="105"/>
      <c r="HU267" s="105"/>
      <c r="HV267" s="105"/>
      <c r="HW267" s="105"/>
      <c r="HX267" s="105"/>
      <c r="HY267" s="105"/>
      <c r="HZ267" s="105"/>
      <c r="IA267" s="105"/>
      <c r="IB267" s="105"/>
      <c r="IC267" s="105"/>
      <c r="ID267" s="105"/>
      <c r="IE267" s="105"/>
      <c r="IF267" s="105"/>
      <c r="IG267" s="105"/>
      <c r="IH267" s="105"/>
      <c r="II267" s="105"/>
      <c r="IJ267" s="105"/>
      <c r="IK267" s="105"/>
      <c r="IL267" s="105"/>
      <c r="IM267" s="105"/>
      <c r="IN267" s="105"/>
      <c r="IO267" s="105"/>
      <c r="IP267" s="105"/>
      <c r="IQ267" s="105"/>
      <c r="IR267" s="105"/>
      <c r="IS267" s="105"/>
    </row>
    <row r="268" spans="1:253">
      <c r="A268" s="116"/>
      <c r="B268" s="105"/>
      <c r="C268" s="116"/>
      <c r="D268" s="116"/>
      <c r="E268" s="116"/>
      <c r="F268" s="116"/>
      <c r="G268" s="116"/>
      <c r="H268" s="116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  <c r="BL268" s="105"/>
      <c r="BM268" s="105"/>
      <c r="BN268" s="105"/>
      <c r="BO268" s="105"/>
      <c r="BP268" s="105"/>
      <c r="BQ268" s="105"/>
      <c r="BR268" s="105"/>
      <c r="BS268" s="105"/>
      <c r="BT268" s="105"/>
      <c r="BU268" s="105"/>
      <c r="BV268" s="105"/>
      <c r="BW268" s="105"/>
      <c r="BX268" s="105"/>
      <c r="BY268" s="105"/>
      <c r="BZ268" s="105"/>
      <c r="CA268" s="105"/>
      <c r="CB268" s="105"/>
      <c r="CC268" s="105"/>
      <c r="CD268" s="105"/>
      <c r="CE268" s="105"/>
      <c r="CF268" s="105"/>
      <c r="CG268" s="105"/>
      <c r="CH268" s="105"/>
      <c r="CI268" s="105"/>
      <c r="CJ268" s="105"/>
      <c r="CK268" s="105"/>
      <c r="CL268" s="105"/>
      <c r="CM268" s="105"/>
      <c r="CN268" s="105"/>
      <c r="CO268" s="105"/>
      <c r="CP268" s="105"/>
      <c r="CQ268" s="105"/>
      <c r="CR268" s="105"/>
      <c r="CS268" s="105"/>
      <c r="CT268" s="105"/>
      <c r="CU268" s="105"/>
      <c r="CV268" s="105"/>
      <c r="CW268" s="105"/>
      <c r="CX268" s="105"/>
      <c r="CY268" s="105"/>
      <c r="CZ268" s="105"/>
      <c r="DA268" s="105"/>
      <c r="DB268" s="105"/>
      <c r="DC268" s="105"/>
      <c r="DD268" s="105"/>
      <c r="DE268" s="105"/>
      <c r="DF268" s="105"/>
      <c r="DG268" s="105"/>
      <c r="DH268" s="105"/>
      <c r="DI268" s="105"/>
      <c r="DJ268" s="105"/>
      <c r="DK268" s="105"/>
      <c r="DL268" s="105"/>
      <c r="DM268" s="105"/>
      <c r="DN268" s="105"/>
      <c r="DO268" s="105"/>
      <c r="DP268" s="105"/>
      <c r="DQ268" s="105"/>
      <c r="DR268" s="105"/>
      <c r="DS268" s="105"/>
      <c r="DT268" s="105"/>
      <c r="DU268" s="105"/>
      <c r="DV268" s="105"/>
      <c r="DW268" s="105"/>
      <c r="DX268" s="105"/>
      <c r="DY268" s="105"/>
      <c r="DZ268" s="105"/>
      <c r="EA268" s="105"/>
      <c r="EB268" s="105"/>
      <c r="EC268" s="105"/>
      <c r="ED268" s="105"/>
      <c r="EE268" s="105"/>
      <c r="EF268" s="105"/>
      <c r="EG268" s="105"/>
      <c r="EH268" s="105"/>
      <c r="EI268" s="105"/>
      <c r="EJ268" s="105"/>
      <c r="EK268" s="105"/>
      <c r="EL268" s="105"/>
      <c r="EM268" s="105"/>
      <c r="EN268" s="105"/>
      <c r="EO268" s="105"/>
      <c r="EP268" s="105"/>
      <c r="EQ268" s="105"/>
      <c r="ER268" s="105"/>
      <c r="ES268" s="105"/>
      <c r="ET268" s="105"/>
      <c r="EU268" s="105"/>
      <c r="EV268" s="105"/>
      <c r="EW268" s="105"/>
      <c r="EX268" s="105"/>
      <c r="EY268" s="105"/>
      <c r="EZ268" s="105"/>
      <c r="FA268" s="105"/>
      <c r="FB268" s="105"/>
      <c r="FC268" s="105"/>
      <c r="FD268" s="105"/>
      <c r="FE268" s="105"/>
      <c r="FF268" s="105"/>
      <c r="FG268" s="105"/>
      <c r="FH268" s="105"/>
      <c r="FI268" s="105"/>
      <c r="FJ268" s="105"/>
      <c r="FK268" s="105"/>
      <c r="FL268" s="105"/>
      <c r="FM268" s="105"/>
      <c r="FN268" s="105"/>
      <c r="FO268" s="105"/>
      <c r="FP268" s="105"/>
      <c r="FQ268" s="105"/>
      <c r="FR268" s="105"/>
      <c r="FS268" s="105"/>
      <c r="FT268" s="105"/>
      <c r="FU268" s="105"/>
      <c r="FV268" s="105"/>
      <c r="FW268" s="105"/>
      <c r="FX268" s="105"/>
      <c r="FY268" s="105"/>
      <c r="FZ268" s="105"/>
      <c r="GA268" s="105"/>
      <c r="GB268" s="105"/>
      <c r="GC268" s="105"/>
      <c r="GD268" s="105"/>
      <c r="GE268" s="105"/>
      <c r="GF268" s="105"/>
      <c r="GG268" s="105"/>
      <c r="GH268" s="105"/>
      <c r="GI268" s="105"/>
      <c r="GJ268" s="105"/>
      <c r="GK268" s="105"/>
      <c r="GL268" s="105"/>
      <c r="GM268" s="105"/>
      <c r="GN268" s="105"/>
      <c r="GO268" s="105"/>
      <c r="GP268" s="105"/>
      <c r="GQ268" s="105"/>
      <c r="GR268" s="105"/>
      <c r="GS268" s="105"/>
      <c r="GT268" s="105"/>
      <c r="GU268" s="105"/>
      <c r="GV268" s="105"/>
      <c r="GW268" s="105"/>
      <c r="GX268" s="105"/>
      <c r="GY268" s="105"/>
      <c r="GZ268" s="105"/>
      <c r="HA268" s="105"/>
      <c r="HB268" s="105"/>
      <c r="HC268" s="105"/>
      <c r="HD268" s="105"/>
      <c r="HE268" s="105"/>
      <c r="HF268" s="105"/>
      <c r="HG268" s="105"/>
      <c r="HH268" s="105"/>
      <c r="HI268" s="105"/>
      <c r="HJ268" s="105"/>
      <c r="HK268" s="105"/>
      <c r="HL268" s="105"/>
      <c r="HM268" s="105"/>
      <c r="HN268" s="105"/>
      <c r="HO268" s="105"/>
      <c r="HP268" s="105"/>
      <c r="HQ268" s="105"/>
      <c r="HR268" s="105"/>
      <c r="HS268" s="105"/>
      <c r="HT268" s="105"/>
      <c r="HU268" s="105"/>
      <c r="HV268" s="105"/>
      <c r="HW268" s="105"/>
      <c r="HX268" s="105"/>
      <c r="HY268" s="105"/>
      <c r="HZ268" s="105"/>
      <c r="IA268" s="105"/>
      <c r="IB268" s="105"/>
      <c r="IC268" s="105"/>
      <c r="ID268" s="105"/>
      <c r="IE268" s="105"/>
      <c r="IF268" s="105"/>
      <c r="IG268" s="105"/>
      <c r="IH268" s="105"/>
      <c r="II268" s="105"/>
      <c r="IJ268" s="105"/>
      <c r="IK268" s="105"/>
      <c r="IL268" s="105"/>
      <c r="IM268" s="105"/>
      <c r="IN268" s="105"/>
      <c r="IO268" s="105"/>
      <c r="IP268" s="105"/>
      <c r="IQ268" s="105"/>
      <c r="IR268" s="105"/>
      <c r="IS268" s="105"/>
    </row>
    <row r="269" spans="1:253">
      <c r="A269" s="116"/>
      <c r="B269" s="105"/>
      <c r="C269" s="116"/>
      <c r="D269" s="116"/>
      <c r="E269" s="116"/>
      <c r="F269" s="116"/>
      <c r="G269" s="116"/>
      <c r="H269" s="116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  <c r="BL269" s="105"/>
      <c r="BM269" s="105"/>
      <c r="BN269" s="105"/>
      <c r="BO269" s="105"/>
      <c r="BP269" s="105"/>
      <c r="BQ269" s="105"/>
      <c r="BR269" s="105"/>
      <c r="BS269" s="105"/>
      <c r="BT269" s="105"/>
      <c r="BU269" s="105"/>
      <c r="BV269" s="105"/>
      <c r="BW269" s="105"/>
      <c r="BX269" s="105"/>
      <c r="BY269" s="105"/>
      <c r="BZ269" s="105"/>
      <c r="CA269" s="105"/>
      <c r="CB269" s="105"/>
      <c r="CC269" s="105"/>
      <c r="CD269" s="105"/>
      <c r="CE269" s="105"/>
      <c r="CF269" s="105"/>
      <c r="CG269" s="105"/>
      <c r="CH269" s="105"/>
      <c r="CI269" s="105"/>
      <c r="CJ269" s="105"/>
      <c r="CK269" s="105"/>
      <c r="CL269" s="105"/>
      <c r="CM269" s="105"/>
      <c r="CN269" s="105"/>
      <c r="CO269" s="105"/>
      <c r="CP269" s="105"/>
      <c r="CQ269" s="105"/>
      <c r="CR269" s="105"/>
      <c r="CS269" s="105"/>
      <c r="CT269" s="105"/>
      <c r="CU269" s="105"/>
      <c r="CV269" s="105"/>
      <c r="CW269" s="105"/>
      <c r="CX269" s="105"/>
      <c r="CY269" s="105"/>
      <c r="CZ269" s="105"/>
      <c r="DA269" s="105"/>
      <c r="DB269" s="105"/>
      <c r="DC269" s="105"/>
      <c r="DD269" s="105"/>
      <c r="DE269" s="105"/>
      <c r="DF269" s="105"/>
      <c r="DG269" s="105"/>
      <c r="DH269" s="105"/>
      <c r="DI269" s="105"/>
      <c r="DJ269" s="105"/>
      <c r="DK269" s="105"/>
      <c r="DL269" s="105"/>
      <c r="DM269" s="105"/>
      <c r="DN269" s="105"/>
      <c r="DO269" s="105"/>
      <c r="DP269" s="105"/>
      <c r="DQ269" s="105"/>
      <c r="DR269" s="105"/>
      <c r="DS269" s="105"/>
      <c r="DT269" s="105"/>
      <c r="DU269" s="105"/>
      <c r="DV269" s="105"/>
      <c r="DW269" s="105"/>
      <c r="DX269" s="105"/>
      <c r="DY269" s="105"/>
      <c r="DZ269" s="105"/>
      <c r="EA269" s="105"/>
      <c r="EB269" s="105"/>
      <c r="EC269" s="105"/>
      <c r="ED269" s="105"/>
      <c r="EE269" s="105"/>
      <c r="EF269" s="105"/>
      <c r="EG269" s="105"/>
      <c r="EH269" s="105"/>
      <c r="EI269" s="105"/>
      <c r="EJ269" s="105"/>
      <c r="EK269" s="105"/>
      <c r="EL269" s="105"/>
      <c r="EM269" s="105"/>
      <c r="EN269" s="105"/>
      <c r="EO269" s="105"/>
      <c r="EP269" s="105"/>
      <c r="EQ269" s="105"/>
      <c r="ER269" s="105"/>
      <c r="ES269" s="105"/>
      <c r="ET269" s="105"/>
      <c r="EU269" s="105"/>
      <c r="EV269" s="105"/>
      <c r="EW269" s="105"/>
      <c r="EX269" s="105"/>
      <c r="EY269" s="105"/>
      <c r="EZ269" s="105"/>
      <c r="FA269" s="105"/>
      <c r="FB269" s="105"/>
      <c r="FC269" s="105"/>
      <c r="FD269" s="105"/>
      <c r="FE269" s="105"/>
      <c r="FF269" s="105"/>
      <c r="FG269" s="105"/>
      <c r="FH269" s="105"/>
      <c r="FI269" s="105"/>
      <c r="FJ269" s="105"/>
      <c r="FK269" s="105"/>
      <c r="FL269" s="105"/>
      <c r="FM269" s="105"/>
      <c r="FN269" s="105"/>
      <c r="FO269" s="105"/>
      <c r="FP269" s="105"/>
      <c r="FQ269" s="105"/>
      <c r="FR269" s="105"/>
      <c r="FS269" s="105"/>
      <c r="FT269" s="105"/>
      <c r="FU269" s="105"/>
      <c r="FV269" s="105"/>
      <c r="FW269" s="105"/>
      <c r="FX269" s="105"/>
      <c r="FY269" s="105"/>
      <c r="FZ269" s="105"/>
      <c r="GA269" s="105"/>
      <c r="GB269" s="105"/>
      <c r="GC269" s="105"/>
      <c r="GD269" s="105"/>
      <c r="GE269" s="105"/>
      <c r="GF269" s="105"/>
      <c r="GG269" s="105"/>
      <c r="GH269" s="105"/>
      <c r="GI269" s="105"/>
      <c r="GJ269" s="105"/>
      <c r="GK269" s="105"/>
      <c r="GL269" s="105"/>
      <c r="GM269" s="105"/>
      <c r="GN269" s="105"/>
      <c r="GO269" s="105"/>
      <c r="GP269" s="105"/>
      <c r="GQ269" s="105"/>
      <c r="GR269" s="105"/>
      <c r="GS269" s="105"/>
      <c r="GT269" s="105"/>
      <c r="GU269" s="105"/>
      <c r="GV269" s="105"/>
      <c r="GW269" s="105"/>
      <c r="GX269" s="105"/>
      <c r="GY269" s="105"/>
      <c r="GZ269" s="105"/>
      <c r="HA269" s="105"/>
      <c r="HB269" s="105"/>
      <c r="HC269" s="105"/>
      <c r="HD269" s="105"/>
      <c r="HE269" s="105"/>
      <c r="HF269" s="105"/>
      <c r="HG269" s="105"/>
      <c r="HH269" s="105"/>
      <c r="HI269" s="105"/>
      <c r="HJ269" s="105"/>
      <c r="HK269" s="105"/>
      <c r="HL269" s="105"/>
      <c r="HM269" s="105"/>
      <c r="HN269" s="105"/>
      <c r="HO269" s="105"/>
      <c r="HP269" s="105"/>
      <c r="HQ269" s="105"/>
      <c r="HR269" s="105"/>
      <c r="HS269" s="105"/>
      <c r="HT269" s="105"/>
      <c r="HU269" s="105"/>
      <c r="HV269" s="105"/>
      <c r="HW269" s="105"/>
      <c r="HX269" s="105"/>
      <c r="HY269" s="105"/>
      <c r="HZ269" s="105"/>
      <c r="IA269" s="105"/>
      <c r="IB269" s="105"/>
      <c r="IC269" s="105"/>
      <c r="ID269" s="105"/>
      <c r="IE269" s="105"/>
      <c r="IF269" s="105"/>
      <c r="IG269" s="105"/>
      <c r="IH269" s="105"/>
      <c r="II269" s="105"/>
      <c r="IJ269" s="105"/>
      <c r="IK269" s="105"/>
      <c r="IL269" s="105"/>
      <c r="IM269" s="105"/>
      <c r="IN269" s="105"/>
      <c r="IO269" s="105"/>
      <c r="IP269" s="105"/>
      <c r="IQ269" s="105"/>
      <c r="IR269" s="105"/>
      <c r="IS269" s="105"/>
    </row>
    <row r="270" spans="1:253">
      <c r="A270" s="116"/>
      <c r="B270" s="105"/>
      <c r="C270" s="116"/>
      <c r="D270" s="116"/>
      <c r="E270" s="116"/>
      <c r="F270" s="116"/>
      <c r="G270" s="116"/>
      <c r="H270" s="116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  <c r="BL270" s="105"/>
      <c r="BM270" s="105"/>
      <c r="BN270" s="105"/>
      <c r="BO270" s="105"/>
      <c r="BP270" s="105"/>
      <c r="BQ270" s="105"/>
      <c r="BR270" s="105"/>
      <c r="BS270" s="105"/>
      <c r="BT270" s="105"/>
      <c r="BU270" s="105"/>
      <c r="BV270" s="105"/>
      <c r="BW270" s="105"/>
      <c r="BX270" s="105"/>
      <c r="BY270" s="105"/>
      <c r="BZ270" s="105"/>
      <c r="CA270" s="105"/>
      <c r="CB270" s="105"/>
      <c r="CC270" s="105"/>
      <c r="CD270" s="105"/>
      <c r="CE270" s="105"/>
      <c r="CF270" s="105"/>
      <c r="CG270" s="105"/>
      <c r="CH270" s="105"/>
      <c r="CI270" s="105"/>
      <c r="CJ270" s="105"/>
      <c r="CK270" s="105"/>
      <c r="CL270" s="105"/>
      <c r="CM270" s="105"/>
      <c r="CN270" s="105"/>
      <c r="CO270" s="105"/>
      <c r="CP270" s="105"/>
      <c r="CQ270" s="105"/>
      <c r="CR270" s="105"/>
      <c r="CS270" s="105"/>
      <c r="CT270" s="105"/>
      <c r="CU270" s="105"/>
      <c r="CV270" s="105"/>
      <c r="CW270" s="105"/>
      <c r="CX270" s="105"/>
      <c r="CY270" s="105"/>
      <c r="CZ270" s="105"/>
      <c r="DA270" s="105"/>
      <c r="DB270" s="105"/>
      <c r="DC270" s="105"/>
      <c r="DD270" s="105"/>
      <c r="DE270" s="105"/>
      <c r="DF270" s="105"/>
      <c r="DG270" s="105"/>
      <c r="DH270" s="105"/>
      <c r="DI270" s="105"/>
      <c r="DJ270" s="105"/>
      <c r="DK270" s="105"/>
      <c r="DL270" s="105"/>
      <c r="DM270" s="105"/>
      <c r="DN270" s="105"/>
      <c r="DO270" s="105"/>
      <c r="DP270" s="105"/>
      <c r="DQ270" s="105"/>
      <c r="DR270" s="105"/>
      <c r="DS270" s="105"/>
      <c r="DT270" s="105"/>
      <c r="DU270" s="105"/>
      <c r="DV270" s="105"/>
      <c r="DW270" s="105"/>
      <c r="DX270" s="105"/>
      <c r="DY270" s="105"/>
      <c r="DZ270" s="105"/>
      <c r="EA270" s="105"/>
      <c r="EB270" s="105"/>
      <c r="EC270" s="105"/>
      <c r="ED270" s="105"/>
      <c r="EE270" s="105"/>
      <c r="EF270" s="105"/>
      <c r="EG270" s="105"/>
      <c r="EH270" s="105"/>
      <c r="EI270" s="105"/>
      <c r="EJ270" s="105"/>
      <c r="EK270" s="105"/>
      <c r="EL270" s="105"/>
      <c r="EM270" s="105"/>
      <c r="EN270" s="105"/>
      <c r="EO270" s="105"/>
      <c r="EP270" s="105"/>
      <c r="EQ270" s="105"/>
      <c r="ER270" s="105"/>
      <c r="ES270" s="105"/>
      <c r="ET270" s="105"/>
      <c r="EU270" s="105"/>
      <c r="EV270" s="105"/>
      <c r="EW270" s="105"/>
      <c r="EX270" s="105"/>
      <c r="EY270" s="105"/>
      <c r="EZ270" s="105"/>
      <c r="FA270" s="105"/>
      <c r="FB270" s="105"/>
      <c r="FC270" s="105"/>
      <c r="FD270" s="105"/>
      <c r="FE270" s="105"/>
      <c r="FF270" s="105"/>
      <c r="FG270" s="105"/>
      <c r="FH270" s="105"/>
      <c r="FI270" s="105"/>
      <c r="FJ270" s="105"/>
      <c r="FK270" s="105"/>
      <c r="FL270" s="105"/>
      <c r="FM270" s="105"/>
      <c r="FN270" s="105"/>
      <c r="FO270" s="105"/>
      <c r="FP270" s="105"/>
      <c r="FQ270" s="105"/>
      <c r="FR270" s="105"/>
      <c r="FS270" s="105"/>
      <c r="FT270" s="105"/>
      <c r="FU270" s="105"/>
      <c r="FV270" s="105"/>
      <c r="FW270" s="105"/>
      <c r="FX270" s="105"/>
      <c r="FY270" s="105"/>
      <c r="FZ270" s="105"/>
      <c r="GA270" s="105"/>
      <c r="GB270" s="105"/>
      <c r="GC270" s="105"/>
      <c r="GD270" s="105"/>
      <c r="GE270" s="105"/>
      <c r="GF270" s="105"/>
      <c r="GG270" s="105"/>
      <c r="GH270" s="105"/>
      <c r="GI270" s="105"/>
      <c r="GJ270" s="105"/>
      <c r="GK270" s="105"/>
      <c r="GL270" s="105"/>
      <c r="GM270" s="105"/>
      <c r="GN270" s="105"/>
      <c r="GO270" s="105"/>
      <c r="GP270" s="105"/>
      <c r="GQ270" s="105"/>
      <c r="GR270" s="105"/>
      <c r="GS270" s="105"/>
      <c r="GT270" s="105"/>
      <c r="GU270" s="105"/>
      <c r="GV270" s="105"/>
      <c r="GW270" s="105"/>
      <c r="GX270" s="105"/>
      <c r="GY270" s="105"/>
      <c r="GZ270" s="105"/>
      <c r="HA270" s="105"/>
      <c r="HB270" s="105"/>
      <c r="HC270" s="105"/>
      <c r="HD270" s="105"/>
      <c r="HE270" s="105"/>
      <c r="HF270" s="105"/>
      <c r="HG270" s="105"/>
      <c r="HH270" s="105"/>
      <c r="HI270" s="105"/>
      <c r="HJ270" s="105"/>
      <c r="HK270" s="105"/>
      <c r="HL270" s="105"/>
      <c r="HM270" s="105"/>
      <c r="HN270" s="105"/>
      <c r="HO270" s="105"/>
      <c r="HP270" s="105"/>
      <c r="HQ270" s="105"/>
      <c r="HR270" s="105"/>
      <c r="HS270" s="105"/>
      <c r="HT270" s="105"/>
      <c r="HU270" s="105"/>
      <c r="HV270" s="105"/>
      <c r="HW270" s="105"/>
      <c r="HX270" s="105"/>
      <c r="HY270" s="105"/>
      <c r="HZ270" s="105"/>
      <c r="IA270" s="105"/>
      <c r="IB270" s="105"/>
      <c r="IC270" s="105"/>
      <c r="ID270" s="105"/>
      <c r="IE270" s="105"/>
      <c r="IF270" s="105"/>
      <c r="IG270" s="105"/>
      <c r="IH270" s="105"/>
      <c r="II270" s="105"/>
      <c r="IJ270" s="105"/>
      <c r="IK270" s="105"/>
      <c r="IL270" s="105"/>
      <c r="IM270" s="105"/>
      <c r="IN270" s="105"/>
      <c r="IO270" s="105"/>
      <c r="IP270" s="105"/>
      <c r="IQ270" s="105"/>
      <c r="IR270" s="105"/>
      <c r="IS270" s="105"/>
    </row>
    <row r="271" spans="1:253">
      <c r="A271" s="116"/>
      <c r="B271" s="105"/>
      <c r="C271" s="116"/>
      <c r="D271" s="116"/>
      <c r="E271" s="116"/>
      <c r="F271" s="116"/>
      <c r="G271" s="116"/>
      <c r="H271" s="116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5"/>
      <c r="BY271" s="105"/>
      <c r="BZ271" s="105"/>
      <c r="CA271" s="105"/>
      <c r="CB271" s="105"/>
      <c r="CC271" s="105"/>
      <c r="CD271" s="105"/>
      <c r="CE271" s="105"/>
      <c r="CF271" s="105"/>
      <c r="CG271" s="105"/>
      <c r="CH271" s="105"/>
      <c r="CI271" s="105"/>
      <c r="CJ271" s="105"/>
      <c r="CK271" s="105"/>
      <c r="CL271" s="105"/>
      <c r="CM271" s="105"/>
      <c r="CN271" s="105"/>
      <c r="CO271" s="105"/>
      <c r="CP271" s="105"/>
      <c r="CQ271" s="105"/>
      <c r="CR271" s="105"/>
      <c r="CS271" s="105"/>
      <c r="CT271" s="105"/>
      <c r="CU271" s="105"/>
      <c r="CV271" s="105"/>
      <c r="CW271" s="105"/>
      <c r="CX271" s="105"/>
      <c r="CY271" s="105"/>
      <c r="CZ271" s="105"/>
      <c r="DA271" s="105"/>
      <c r="DB271" s="105"/>
      <c r="DC271" s="105"/>
      <c r="DD271" s="105"/>
      <c r="DE271" s="105"/>
      <c r="DF271" s="105"/>
      <c r="DG271" s="105"/>
      <c r="DH271" s="105"/>
      <c r="DI271" s="105"/>
      <c r="DJ271" s="105"/>
      <c r="DK271" s="105"/>
      <c r="DL271" s="105"/>
      <c r="DM271" s="105"/>
      <c r="DN271" s="105"/>
      <c r="DO271" s="105"/>
      <c r="DP271" s="105"/>
      <c r="DQ271" s="105"/>
      <c r="DR271" s="105"/>
      <c r="DS271" s="105"/>
      <c r="DT271" s="105"/>
      <c r="DU271" s="105"/>
      <c r="DV271" s="105"/>
      <c r="DW271" s="105"/>
      <c r="DX271" s="105"/>
      <c r="DY271" s="105"/>
      <c r="DZ271" s="105"/>
      <c r="EA271" s="105"/>
      <c r="EB271" s="105"/>
      <c r="EC271" s="105"/>
      <c r="ED271" s="105"/>
      <c r="EE271" s="105"/>
      <c r="EF271" s="105"/>
      <c r="EG271" s="105"/>
      <c r="EH271" s="105"/>
      <c r="EI271" s="105"/>
      <c r="EJ271" s="105"/>
      <c r="EK271" s="105"/>
      <c r="EL271" s="105"/>
      <c r="EM271" s="105"/>
      <c r="EN271" s="105"/>
      <c r="EO271" s="105"/>
      <c r="EP271" s="105"/>
      <c r="EQ271" s="105"/>
      <c r="ER271" s="105"/>
      <c r="ES271" s="105"/>
      <c r="ET271" s="105"/>
      <c r="EU271" s="105"/>
      <c r="EV271" s="105"/>
      <c r="EW271" s="105"/>
      <c r="EX271" s="105"/>
      <c r="EY271" s="105"/>
      <c r="EZ271" s="105"/>
      <c r="FA271" s="105"/>
      <c r="FB271" s="105"/>
      <c r="FC271" s="105"/>
      <c r="FD271" s="105"/>
      <c r="FE271" s="105"/>
      <c r="FF271" s="105"/>
      <c r="FG271" s="105"/>
      <c r="FH271" s="105"/>
      <c r="FI271" s="105"/>
      <c r="FJ271" s="105"/>
      <c r="FK271" s="105"/>
      <c r="FL271" s="105"/>
      <c r="FM271" s="105"/>
      <c r="FN271" s="105"/>
      <c r="FO271" s="105"/>
      <c r="FP271" s="105"/>
      <c r="FQ271" s="105"/>
      <c r="FR271" s="105"/>
      <c r="FS271" s="105"/>
      <c r="FT271" s="105"/>
      <c r="FU271" s="105"/>
      <c r="FV271" s="105"/>
      <c r="FW271" s="105"/>
      <c r="FX271" s="105"/>
      <c r="FY271" s="105"/>
      <c r="FZ271" s="105"/>
      <c r="GA271" s="105"/>
      <c r="GB271" s="105"/>
      <c r="GC271" s="105"/>
      <c r="GD271" s="105"/>
      <c r="GE271" s="105"/>
      <c r="GF271" s="105"/>
      <c r="GG271" s="105"/>
      <c r="GH271" s="105"/>
      <c r="GI271" s="105"/>
      <c r="GJ271" s="105"/>
      <c r="GK271" s="105"/>
      <c r="GL271" s="105"/>
      <c r="GM271" s="105"/>
      <c r="GN271" s="105"/>
      <c r="GO271" s="105"/>
      <c r="GP271" s="105"/>
      <c r="GQ271" s="105"/>
      <c r="GR271" s="105"/>
      <c r="GS271" s="105"/>
      <c r="GT271" s="105"/>
      <c r="GU271" s="105"/>
      <c r="GV271" s="105"/>
      <c r="GW271" s="105"/>
      <c r="GX271" s="105"/>
      <c r="GY271" s="105"/>
      <c r="GZ271" s="105"/>
      <c r="HA271" s="105"/>
      <c r="HB271" s="105"/>
      <c r="HC271" s="105"/>
      <c r="HD271" s="105"/>
      <c r="HE271" s="105"/>
      <c r="HF271" s="105"/>
      <c r="HG271" s="105"/>
      <c r="HH271" s="105"/>
      <c r="HI271" s="105"/>
      <c r="HJ271" s="105"/>
      <c r="HK271" s="105"/>
      <c r="HL271" s="105"/>
      <c r="HM271" s="105"/>
      <c r="HN271" s="105"/>
      <c r="HO271" s="105"/>
      <c r="HP271" s="105"/>
      <c r="HQ271" s="105"/>
      <c r="HR271" s="105"/>
      <c r="HS271" s="105"/>
      <c r="HT271" s="105"/>
      <c r="HU271" s="105"/>
      <c r="HV271" s="105"/>
      <c r="HW271" s="105"/>
      <c r="HX271" s="105"/>
      <c r="HY271" s="105"/>
      <c r="HZ271" s="105"/>
      <c r="IA271" s="105"/>
      <c r="IB271" s="105"/>
      <c r="IC271" s="105"/>
      <c r="ID271" s="105"/>
      <c r="IE271" s="105"/>
      <c r="IF271" s="105"/>
      <c r="IG271" s="105"/>
      <c r="IH271" s="105"/>
      <c r="II271" s="105"/>
      <c r="IJ271" s="105"/>
      <c r="IK271" s="105"/>
      <c r="IL271" s="105"/>
      <c r="IM271" s="105"/>
      <c r="IN271" s="105"/>
      <c r="IO271" s="105"/>
      <c r="IP271" s="105"/>
      <c r="IQ271" s="105"/>
      <c r="IR271" s="105"/>
      <c r="IS271" s="105"/>
    </row>
    <row r="272" spans="1:253">
      <c r="A272" s="116"/>
      <c r="B272" s="105"/>
      <c r="C272" s="116"/>
      <c r="D272" s="116"/>
      <c r="E272" s="116"/>
      <c r="F272" s="116"/>
      <c r="G272" s="116"/>
      <c r="H272" s="116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  <c r="BL272" s="105"/>
      <c r="BM272" s="105"/>
      <c r="BN272" s="105"/>
      <c r="BO272" s="105"/>
      <c r="BP272" s="105"/>
      <c r="BQ272" s="105"/>
      <c r="BR272" s="105"/>
      <c r="BS272" s="105"/>
      <c r="BT272" s="105"/>
      <c r="BU272" s="105"/>
      <c r="BV272" s="105"/>
      <c r="BW272" s="105"/>
      <c r="BX272" s="105"/>
      <c r="BY272" s="105"/>
      <c r="BZ272" s="105"/>
      <c r="CA272" s="105"/>
      <c r="CB272" s="105"/>
      <c r="CC272" s="105"/>
      <c r="CD272" s="105"/>
      <c r="CE272" s="105"/>
      <c r="CF272" s="105"/>
      <c r="CG272" s="105"/>
      <c r="CH272" s="105"/>
      <c r="CI272" s="105"/>
      <c r="CJ272" s="105"/>
      <c r="CK272" s="105"/>
      <c r="CL272" s="105"/>
      <c r="CM272" s="105"/>
      <c r="CN272" s="105"/>
      <c r="CO272" s="105"/>
      <c r="CP272" s="105"/>
      <c r="CQ272" s="105"/>
      <c r="CR272" s="105"/>
      <c r="CS272" s="105"/>
      <c r="CT272" s="105"/>
      <c r="CU272" s="105"/>
      <c r="CV272" s="105"/>
      <c r="CW272" s="105"/>
      <c r="CX272" s="105"/>
      <c r="CY272" s="105"/>
      <c r="CZ272" s="105"/>
      <c r="DA272" s="105"/>
      <c r="DB272" s="105"/>
      <c r="DC272" s="105"/>
      <c r="DD272" s="105"/>
      <c r="DE272" s="105"/>
      <c r="DF272" s="105"/>
      <c r="DG272" s="105"/>
      <c r="DH272" s="105"/>
      <c r="DI272" s="105"/>
      <c r="DJ272" s="105"/>
      <c r="DK272" s="105"/>
      <c r="DL272" s="105"/>
      <c r="DM272" s="105"/>
      <c r="DN272" s="105"/>
      <c r="DO272" s="105"/>
      <c r="DP272" s="105"/>
      <c r="DQ272" s="105"/>
      <c r="DR272" s="105"/>
      <c r="DS272" s="105"/>
      <c r="DT272" s="105"/>
      <c r="DU272" s="105"/>
      <c r="DV272" s="105"/>
      <c r="DW272" s="105"/>
      <c r="DX272" s="105"/>
      <c r="DY272" s="105"/>
      <c r="DZ272" s="105"/>
      <c r="EA272" s="105"/>
      <c r="EB272" s="105"/>
      <c r="EC272" s="105"/>
      <c r="ED272" s="105"/>
      <c r="EE272" s="105"/>
      <c r="EF272" s="105"/>
      <c r="EG272" s="105"/>
      <c r="EH272" s="105"/>
      <c r="EI272" s="105"/>
      <c r="EJ272" s="105"/>
      <c r="EK272" s="105"/>
      <c r="EL272" s="105"/>
      <c r="EM272" s="105"/>
      <c r="EN272" s="105"/>
      <c r="EO272" s="105"/>
      <c r="EP272" s="105"/>
      <c r="EQ272" s="105"/>
      <c r="ER272" s="105"/>
      <c r="ES272" s="105"/>
      <c r="ET272" s="105"/>
      <c r="EU272" s="105"/>
      <c r="EV272" s="105"/>
      <c r="EW272" s="105"/>
      <c r="EX272" s="105"/>
      <c r="EY272" s="105"/>
      <c r="EZ272" s="105"/>
      <c r="FA272" s="105"/>
      <c r="FB272" s="105"/>
      <c r="FC272" s="105"/>
      <c r="FD272" s="105"/>
      <c r="FE272" s="105"/>
      <c r="FF272" s="105"/>
      <c r="FG272" s="105"/>
      <c r="FH272" s="105"/>
      <c r="FI272" s="105"/>
      <c r="FJ272" s="105"/>
      <c r="FK272" s="105"/>
      <c r="FL272" s="105"/>
      <c r="FM272" s="105"/>
      <c r="FN272" s="105"/>
      <c r="FO272" s="105"/>
      <c r="FP272" s="105"/>
      <c r="FQ272" s="105"/>
      <c r="FR272" s="105"/>
      <c r="FS272" s="105"/>
      <c r="FT272" s="105"/>
      <c r="FU272" s="105"/>
      <c r="FV272" s="105"/>
      <c r="FW272" s="105"/>
      <c r="FX272" s="105"/>
      <c r="FY272" s="105"/>
      <c r="FZ272" s="105"/>
      <c r="GA272" s="105"/>
      <c r="GB272" s="105"/>
      <c r="GC272" s="105"/>
      <c r="GD272" s="105"/>
      <c r="GE272" s="105"/>
      <c r="GF272" s="105"/>
      <c r="GG272" s="105"/>
      <c r="GH272" s="105"/>
      <c r="GI272" s="105"/>
      <c r="GJ272" s="105"/>
      <c r="GK272" s="105"/>
      <c r="GL272" s="105"/>
      <c r="GM272" s="105"/>
      <c r="GN272" s="105"/>
      <c r="GO272" s="105"/>
      <c r="GP272" s="105"/>
      <c r="GQ272" s="105"/>
      <c r="GR272" s="105"/>
      <c r="GS272" s="105"/>
      <c r="GT272" s="105"/>
      <c r="GU272" s="105"/>
      <c r="GV272" s="105"/>
      <c r="GW272" s="105"/>
      <c r="GX272" s="105"/>
      <c r="GY272" s="105"/>
      <c r="GZ272" s="105"/>
      <c r="HA272" s="105"/>
      <c r="HB272" s="105"/>
      <c r="HC272" s="105"/>
      <c r="HD272" s="105"/>
      <c r="HE272" s="105"/>
      <c r="HF272" s="105"/>
      <c r="HG272" s="105"/>
      <c r="HH272" s="105"/>
      <c r="HI272" s="105"/>
      <c r="HJ272" s="105"/>
      <c r="HK272" s="105"/>
      <c r="HL272" s="105"/>
      <c r="HM272" s="105"/>
      <c r="HN272" s="105"/>
      <c r="HO272" s="105"/>
      <c r="HP272" s="105"/>
      <c r="HQ272" s="105"/>
      <c r="HR272" s="105"/>
      <c r="HS272" s="105"/>
      <c r="HT272" s="105"/>
      <c r="HU272" s="105"/>
      <c r="HV272" s="105"/>
      <c r="HW272" s="105"/>
      <c r="HX272" s="105"/>
      <c r="HY272" s="105"/>
      <c r="HZ272" s="105"/>
      <c r="IA272" s="105"/>
      <c r="IB272" s="105"/>
      <c r="IC272" s="105"/>
      <c r="ID272" s="105"/>
      <c r="IE272" s="105"/>
      <c r="IF272" s="105"/>
      <c r="IG272" s="105"/>
      <c r="IH272" s="105"/>
      <c r="II272" s="105"/>
      <c r="IJ272" s="105"/>
      <c r="IK272" s="105"/>
      <c r="IL272" s="105"/>
      <c r="IM272" s="105"/>
      <c r="IN272" s="105"/>
      <c r="IO272" s="105"/>
      <c r="IP272" s="105"/>
      <c r="IQ272" s="105"/>
      <c r="IR272" s="105"/>
      <c r="IS272" s="105"/>
    </row>
    <row r="273" spans="1:253">
      <c r="A273" s="116"/>
      <c r="B273" s="105"/>
      <c r="C273" s="116"/>
      <c r="D273" s="116"/>
      <c r="E273" s="116"/>
      <c r="F273" s="116"/>
      <c r="G273" s="116"/>
      <c r="H273" s="116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  <c r="BL273" s="105"/>
      <c r="BM273" s="105"/>
      <c r="BN273" s="105"/>
      <c r="BO273" s="105"/>
      <c r="BP273" s="105"/>
      <c r="BQ273" s="105"/>
      <c r="BR273" s="105"/>
      <c r="BS273" s="105"/>
      <c r="BT273" s="105"/>
      <c r="BU273" s="105"/>
      <c r="BV273" s="105"/>
      <c r="BW273" s="105"/>
      <c r="BX273" s="105"/>
      <c r="BY273" s="105"/>
      <c r="BZ273" s="105"/>
      <c r="CA273" s="105"/>
      <c r="CB273" s="105"/>
      <c r="CC273" s="105"/>
      <c r="CD273" s="105"/>
      <c r="CE273" s="105"/>
      <c r="CF273" s="105"/>
      <c r="CG273" s="105"/>
      <c r="CH273" s="105"/>
      <c r="CI273" s="105"/>
      <c r="CJ273" s="105"/>
      <c r="CK273" s="105"/>
      <c r="CL273" s="105"/>
      <c r="CM273" s="105"/>
      <c r="CN273" s="105"/>
      <c r="CO273" s="105"/>
      <c r="CP273" s="105"/>
      <c r="CQ273" s="105"/>
      <c r="CR273" s="105"/>
      <c r="CS273" s="105"/>
      <c r="CT273" s="105"/>
      <c r="CU273" s="105"/>
      <c r="CV273" s="105"/>
      <c r="CW273" s="105"/>
      <c r="CX273" s="105"/>
      <c r="CY273" s="105"/>
      <c r="CZ273" s="105"/>
      <c r="DA273" s="105"/>
      <c r="DB273" s="105"/>
      <c r="DC273" s="105"/>
      <c r="DD273" s="105"/>
      <c r="DE273" s="105"/>
      <c r="DF273" s="105"/>
      <c r="DG273" s="105"/>
      <c r="DH273" s="105"/>
      <c r="DI273" s="105"/>
      <c r="DJ273" s="105"/>
      <c r="DK273" s="105"/>
      <c r="DL273" s="105"/>
      <c r="DM273" s="105"/>
      <c r="DN273" s="105"/>
      <c r="DO273" s="105"/>
      <c r="DP273" s="105"/>
      <c r="DQ273" s="105"/>
      <c r="DR273" s="105"/>
      <c r="DS273" s="105"/>
      <c r="DT273" s="105"/>
      <c r="DU273" s="105"/>
      <c r="DV273" s="105"/>
      <c r="DW273" s="105"/>
      <c r="DX273" s="105"/>
      <c r="DY273" s="105"/>
      <c r="DZ273" s="105"/>
      <c r="EA273" s="105"/>
      <c r="EB273" s="105"/>
      <c r="EC273" s="105"/>
      <c r="ED273" s="105"/>
      <c r="EE273" s="105"/>
      <c r="EF273" s="105"/>
      <c r="EG273" s="105"/>
      <c r="EH273" s="105"/>
      <c r="EI273" s="105"/>
      <c r="EJ273" s="105"/>
      <c r="EK273" s="105"/>
      <c r="EL273" s="105"/>
      <c r="EM273" s="105"/>
      <c r="EN273" s="105"/>
      <c r="EO273" s="105"/>
      <c r="EP273" s="105"/>
      <c r="EQ273" s="105"/>
      <c r="ER273" s="105"/>
      <c r="ES273" s="105"/>
      <c r="ET273" s="105"/>
      <c r="EU273" s="105"/>
      <c r="EV273" s="105"/>
      <c r="EW273" s="105"/>
      <c r="EX273" s="105"/>
      <c r="EY273" s="105"/>
      <c r="EZ273" s="105"/>
      <c r="FA273" s="105"/>
      <c r="FB273" s="105"/>
      <c r="FC273" s="105"/>
      <c r="FD273" s="105"/>
      <c r="FE273" s="105"/>
      <c r="FF273" s="105"/>
      <c r="FG273" s="105"/>
      <c r="FH273" s="105"/>
      <c r="FI273" s="105"/>
      <c r="FJ273" s="105"/>
      <c r="FK273" s="105"/>
      <c r="FL273" s="105"/>
      <c r="FM273" s="105"/>
      <c r="FN273" s="105"/>
      <c r="FO273" s="105"/>
      <c r="FP273" s="105"/>
      <c r="FQ273" s="105"/>
      <c r="FR273" s="105"/>
      <c r="FS273" s="105"/>
      <c r="FT273" s="105"/>
      <c r="FU273" s="105"/>
      <c r="FV273" s="105"/>
      <c r="FW273" s="105"/>
      <c r="FX273" s="105"/>
      <c r="FY273" s="105"/>
      <c r="FZ273" s="105"/>
      <c r="GA273" s="105"/>
      <c r="GB273" s="105"/>
      <c r="GC273" s="105"/>
      <c r="GD273" s="105"/>
      <c r="GE273" s="105"/>
      <c r="GF273" s="105"/>
      <c r="GG273" s="105"/>
      <c r="GH273" s="105"/>
      <c r="GI273" s="105"/>
      <c r="GJ273" s="105"/>
      <c r="GK273" s="105"/>
      <c r="GL273" s="105"/>
      <c r="GM273" s="105"/>
      <c r="GN273" s="105"/>
      <c r="GO273" s="105"/>
      <c r="GP273" s="105"/>
      <c r="GQ273" s="105"/>
      <c r="GR273" s="105"/>
      <c r="GS273" s="105"/>
      <c r="GT273" s="105"/>
      <c r="GU273" s="105"/>
      <c r="GV273" s="105"/>
      <c r="GW273" s="105"/>
      <c r="GX273" s="105"/>
      <c r="GY273" s="105"/>
      <c r="GZ273" s="105"/>
      <c r="HA273" s="105"/>
      <c r="HB273" s="105"/>
      <c r="HC273" s="105"/>
      <c r="HD273" s="105"/>
      <c r="HE273" s="105"/>
      <c r="HF273" s="105"/>
      <c r="HG273" s="105"/>
      <c r="HH273" s="105"/>
      <c r="HI273" s="105"/>
      <c r="HJ273" s="105"/>
      <c r="HK273" s="105"/>
      <c r="HL273" s="105"/>
      <c r="HM273" s="105"/>
      <c r="HN273" s="105"/>
      <c r="HO273" s="105"/>
      <c r="HP273" s="105"/>
      <c r="HQ273" s="105"/>
      <c r="HR273" s="105"/>
      <c r="HS273" s="105"/>
      <c r="HT273" s="105"/>
      <c r="HU273" s="105"/>
      <c r="HV273" s="105"/>
      <c r="HW273" s="105"/>
      <c r="HX273" s="105"/>
      <c r="HY273" s="105"/>
      <c r="HZ273" s="105"/>
      <c r="IA273" s="105"/>
      <c r="IB273" s="105"/>
      <c r="IC273" s="105"/>
      <c r="ID273" s="105"/>
      <c r="IE273" s="105"/>
      <c r="IF273" s="105"/>
      <c r="IG273" s="105"/>
      <c r="IH273" s="105"/>
      <c r="II273" s="105"/>
      <c r="IJ273" s="105"/>
      <c r="IK273" s="105"/>
      <c r="IL273" s="105"/>
      <c r="IM273" s="105"/>
      <c r="IN273" s="105"/>
      <c r="IO273" s="105"/>
      <c r="IP273" s="105"/>
      <c r="IQ273" s="105"/>
      <c r="IR273" s="105"/>
      <c r="IS273" s="105"/>
    </row>
    <row r="274" spans="1:253">
      <c r="A274" s="116"/>
      <c r="B274" s="105"/>
      <c r="C274" s="116"/>
      <c r="D274" s="116"/>
      <c r="E274" s="116"/>
      <c r="F274" s="116"/>
      <c r="G274" s="116"/>
      <c r="H274" s="116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  <c r="BL274" s="105"/>
      <c r="BM274" s="105"/>
      <c r="BN274" s="105"/>
      <c r="BO274" s="105"/>
      <c r="BP274" s="105"/>
      <c r="BQ274" s="105"/>
      <c r="BR274" s="105"/>
      <c r="BS274" s="105"/>
      <c r="BT274" s="105"/>
      <c r="BU274" s="105"/>
      <c r="BV274" s="105"/>
      <c r="BW274" s="105"/>
      <c r="BX274" s="105"/>
      <c r="BY274" s="105"/>
      <c r="BZ274" s="105"/>
      <c r="CA274" s="105"/>
      <c r="CB274" s="105"/>
      <c r="CC274" s="105"/>
      <c r="CD274" s="105"/>
      <c r="CE274" s="105"/>
      <c r="CF274" s="105"/>
      <c r="CG274" s="105"/>
      <c r="CH274" s="105"/>
      <c r="CI274" s="105"/>
      <c r="CJ274" s="105"/>
      <c r="CK274" s="105"/>
      <c r="CL274" s="105"/>
      <c r="CM274" s="105"/>
      <c r="CN274" s="105"/>
      <c r="CO274" s="105"/>
      <c r="CP274" s="105"/>
      <c r="CQ274" s="105"/>
      <c r="CR274" s="105"/>
      <c r="CS274" s="105"/>
      <c r="CT274" s="105"/>
      <c r="CU274" s="105"/>
      <c r="CV274" s="105"/>
      <c r="CW274" s="105"/>
      <c r="CX274" s="105"/>
      <c r="CY274" s="105"/>
      <c r="CZ274" s="105"/>
      <c r="DA274" s="105"/>
      <c r="DB274" s="105"/>
      <c r="DC274" s="105"/>
      <c r="DD274" s="105"/>
      <c r="DE274" s="105"/>
      <c r="DF274" s="105"/>
      <c r="DG274" s="105"/>
      <c r="DH274" s="105"/>
      <c r="DI274" s="105"/>
      <c r="DJ274" s="105"/>
      <c r="DK274" s="105"/>
      <c r="DL274" s="105"/>
      <c r="DM274" s="105"/>
      <c r="DN274" s="105"/>
      <c r="DO274" s="105"/>
      <c r="DP274" s="105"/>
      <c r="DQ274" s="105"/>
      <c r="DR274" s="105"/>
      <c r="DS274" s="105"/>
      <c r="DT274" s="105"/>
      <c r="DU274" s="105"/>
      <c r="DV274" s="105"/>
      <c r="DW274" s="105"/>
      <c r="DX274" s="105"/>
      <c r="DY274" s="105"/>
      <c r="DZ274" s="105"/>
      <c r="EA274" s="105"/>
      <c r="EB274" s="105"/>
      <c r="EC274" s="105"/>
      <c r="ED274" s="105"/>
      <c r="EE274" s="105"/>
      <c r="EF274" s="105"/>
      <c r="EG274" s="105"/>
      <c r="EH274" s="105"/>
      <c r="EI274" s="105"/>
      <c r="EJ274" s="105"/>
      <c r="EK274" s="105"/>
      <c r="EL274" s="105"/>
      <c r="EM274" s="105"/>
      <c r="EN274" s="105"/>
      <c r="EO274" s="105"/>
      <c r="EP274" s="105"/>
      <c r="EQ274" s="105"/>
      <c r="ER274" s="105"/>
      <c r="ES274" s="105"/>
      <c r="ET274" s="105"/>
      <c r="EU274" s="105"/>
      <c r="EV274" s="105"/>
      <c r="EW274" s="105"/>
      <c r="EX274" s="105"/>
      <c r="EY274" s="105"/>
      <c r="EZ274" s="105"/>
      <c r="FA274" s="105"/>
      <c r="FB274" s="105"/>
      <c r="FC274" s="105"/>
      <c r="FD274" s="105"/>
      <c r="FE274" s="105"/>
      <c r="FF274" s="105"/>
      <c r="FG274" s="105"/>
      <c r="FH274" s="105"/>
      <c r="FI274" s="105"/>
      <c r="FJ274" s="105"/>
      <c r="FK274" s="105"/>
      <c r="FL274" s="105"/>
      <c r="FM274" s="105"/>
      <c r="FN274" s="105"/>
      <c r="FO274" s="105"/>
      <c r="FP274" s="105"/>
      <c r="FQ274" s="105"/>
      <c r="FR274" s="105"/>
      <c r="FS274" s="105"/>
      <c r="FT274" s="105"/>
      <c r="FU274" s="105"/>
      <c r="FV274" s="105"/>
      <c r="FW274" s="105"/>
      <c r="FX274" s="105"/>
      <c r="FY274" s="105"/>
      <c r="FZ274" s="105"/>
      <c r="GA274" s="105"/>
      <c r="GB274" s="105"/>
      <c r="GC274" s="105"/>
      <c r="GD274" s="105"/>
      <c r="GE274" s="105"/>
      <c r="GF274" s="105"/>
      <c r="GG274" s="105"/>
      <c r="GH274" s="105"/>
      <c r="GI274" s="105"/>
      <c r="GJ274" s="105"/>
      <c r="GK274" s="105"/>
      <c r="GL274" s="105"/>
      <c r="GM274" s="105"/>
      <c r="GN274" s="105"/>
      <c r="GO274" s="105"/>
      <c r="GP274" s="105"/>
      <c r="GQ274" s="105"/>
      <c r="GR274" s="105"/>
      <c r="GS274" s="105"/>
      <c r="GT274" s="105"/>
      <c r="GU274" s="105"/>
      <c r="GV274" s="105"/>
      <c r="GW274" s="105"/>
      <c r="GX274" s="105"/>
      <c r="GY274" s="105"/>
      <c r="GZ274" s="105"/>
      <c r="HA274" s="105"/>
      <c r="HB274" s="105"/>
      <c r="HC274" s="105"/>
      <c r="HD274" s="105"/>
      <c r="HE274" s="105"/>
      <c r="HF274" s="105"/>
      <c r="HG274" s="105"/>
      <c r="HH274" s="105"/>
      <c r="HI274" s="105"/>
      <c r="HJ274" s="105"/>
      <c r="HK274" s="105"/>
      <c r="HL274" s="105"/>
      <c r="HM274" s="105"/>
      <c r="HN274" s="105"/>
      <c r="HO274" s="105"/>
      <c r="HP274" s="105"/>
      <c r="HQ274" s="105"/>
      <c r="HR274" s="105"/>
      <c r="HS274" s="105"/>
      <c r="HT274" s="105"/>
      <c r="HU274" s="105"/>
      <c r="HV274" s="105"/>
      <c r="HW274" s="105"/>
      <c r="HX274" s="105"/>
      <c r="HY274" s="105"/>
      <c r="HZ274" s="105"/>
      <c r="IA274" s="105"/>
      <c r="IB274" s="105"/>
      <c r="IC274" s="105"/>
      <c r="ID274" s="105"/>
      <c r="IE274" s="105"/>
      <c r="IF274" s="105"/>
      <c r="IG274" s="105"/>
      <c r="IH274" s="105"/>
      <c r="II274" s="105"/>
      <c r="IJ274" s="105"/>
      <c r="IK274" s="105"/>
      <c r="IL274" s="105"/>
      <c r="IM274" s="105"/>
      <c r="IN274" s="105"/>
      <c r="IO274" s="105"/>
      <c r="IP274" s="105"/>
      <c r="IQ274" s="105"/>
      <c r="IR274" s="105"/>
      <c r="IS274" s="105"/>
    </row>
    <row r="275" spans="1:253">
      <c r="A275" s="116"/>
      <c r="B275" s="105"/>
      <c r="C275" s="116"/>
      <c r="D275" s="116"/>
      <c r="E275" s="116"/>
      <c r="F275" s="116"/>
      <c r="G275" s="116"/>
      <c r="H275" s="116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5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5"/>
      <c r="BY275" s="105"/>
      <c r="BZ275" s="105"/>
      <c r="CA275" s="105"/>
      <c r="CB275" s="105"/>
      <c r="CC275" s="105"/>
      <c r="CD275" s="105"/>
      <c r="CE275" s="105"/>
      <c r="CF275" s="105"/>
      <c r="CG275" s="105"/>
      <c r="CH275" s="105"/>
      <c r="CI275" s="105"/>
      <c r="CJ275" s="105"/>
      <c r="CK275" s="105"/>
      <c r="CL275" s="105"/>
      <c r="CM275" s="105"/>
      <c r="CN275" s="105"/>
      <c r="CO275" s="105"/>
      <c r="CP275" s="105"/>
      <c r="CQ275" s="105"/>
      <c r="CR275" s="105"/>
      <c r="CS275" s="105"/>
      <c r="CT275" s="105"/>
      <c r="CU275" s="105"/>
      <c r="CV275" s="105"/>
      <c r="CW275" s="105"/>
      <c r="CX275" s="105"/>
      <c r="CY275" s="105"/>
      <c r="CZ275" s="105"/>
      <c r="DA275" s="105"/>
      <c r="DB275" s="105"/>
      <c r="DC275" s="105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5"/>
      <c r="DN275" s="105"/>
      <c r="DO275" s="105"/>
      <c r="DP275" s="105"/>
      <c r="DQ275" s="105"/>
      <c r="DR275" s="105"/>
      <c r="DS275" s="105"/>
      <c r="DT275" s="105"/>
      <c r="DU275" s="105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105"/>
      <c r="EJ275" s="105"/>
      <c r="EK275" s="105"/>
      <c r="EL275" s="105"/>
      <c r="EM275" s="105"/>
      <c r="EN275" s="105"/>
      <c r="EO275" s="105"/>
      <c r="EP275" s="105"/>
      <c r="EQ275" s="105"/>
      <c r="ER275" s="105"/>
      <c r="ES275" s="105"/>
      <c r="ET275" s="105"/>
      <c r="EU275" s="105"/>
      <c r="EV275" s="105"/>
      <c r="EW275" s="105"/>
      <c r="EX275" s="105"/>
      <c r="EY275" s="105"/>
      <c r="EZ275" s="105"/>
      <c r="FA275" s="105"/>
      <c r="FB275" s="105"/>
      <c r="FC275" s="105"/>
      <c r="FD275" s="105"/>
      <c r="FE275" s="105"/>
      <c r="FF275" s="105"/>
      <c r="FG275" s="105"/>
      <c r="FH275" s="105"/>
      <c r="FI275" s="105"/>
      <c r="FJ275" s="105"/>
      <c r="FK275" s="105"/>
      <c r="FL275" s="105"/>
      <c r="FM275" s="105"/>
      <c r="FN275" s="105"/>
      <c r="FO275" s="105"/>
      <c r="FP275" s="105"/>
      <c r="FQ275" s="105"/>
      <c r="FR275" s="105"/>
      <c r="FS275" s="105"/>
      <c r="FT275" s="105"/>
      <c r="FU275" s="105"/>
      <c r="FV275" s="105"/>
      <c r="FW275" s="105"/>
      <c r="FX275" s="105"/>
      <c r="FY275" s="105"/>
      <c r="FZ275" s="105"/>
      <c r="GA275" s="105"/>
      <c r="GB275" s="105"/>
      <c r="GC275" s="105"/>
      <c r="GD275" s="105"/>
      <c r="GE275" s="105"/>
      <c r="GF275" s="105"/>
      <c r="GG275" s="105"/>
      <c r="GH275" s="105"/>
      <c r="GI275" s="105"/>
      <c r="GJ275" s="105"/>
      <c r="GK275" s="105"/>
      <c r="GL275" s="105"/>
      <c r="GM275" s="105"/>
      <c r="GN275" s="105"/>
      <c r="GO275" s="105"/>
      <c r="GP275" s="105"/>
      <c r="GQ275" s="105"/>
      <c r="GR275" s="105"/>
      <c r="GS275" s="105"/>
      <c r="GT275" s="105"/>
      <c r="GU275" s="105"/>
      <c r="GV275" s="105"/>
      <c r="GW275" s="105"/>
      <c r="GX275" s="105"/>
      <c r="GY275" s="105"/>
      <c r="GZ275" s="105"/>
      <c r="HA275" s="105"/>
      <c r="HB275" s="105"/>
      <c r="HC275" s="105"/>
      <c r="HD275" s="105"/>
      <c r="HE275" s="105"/>
      <c r="HF275" s="105"/>
      <c r="HG275" s="105"/>
      <c r="HH275" s="105"/>
      <c r="HI275" s="105"/>
      <c r="HJ275" s="105"/>
      <c r="HK275" s="105"/>
      <c r="HL275" s="105"/>
      <c r="HM275" s="105"/>
      <c r="HN275" s="105"/>
      <c r="HO275" s="105"/>
      <c r="HP275" s="105"/>
      <c r="HQ275" s="105"/>
      <c r="HR275" s="105"/>
      <c r="HS275" s="105"/>
      <c r="HT275" s="105"/>
      <c r="HU275" s="105"/>
      <c r="HV275" s="105"/>
      <c r="HW275" s="105"/>
      <c r="HX275" s="105"/>
      <c r="HY275" s="105"/>
      <c r="HZ275" s="105"/>
      <c r="IA275" s="105"/>
      <c r="IB275" s="105"/>
      <c r="IC275" s="105"/>
      <c r="ID275" s="105"/>
      <c r="IE275" s="105"/>
      <c r="IF275" s="105"/>
      <c r="IG275" s="105"/>
      <c r="IH275" s="105"/>
      <c r="II275" s="105"/>
      <c r="IJ275" s="105"/>
      <c r="IK275" s="105"/>
      <c r="IL275" s="105"/>
      <c r="IM275" s="105"/>
      <c r="IN275" s="105"/>
      <c r="IO275" s="105"/>
      <c r="IP275" s="105"/>
      <c r="IQ275" s="105"/>
      <c r="IR275" s="105"/>
      <c r="IS275" s="105"/>
    </row>
    <row r="276" spans="1:253">
      <c r="A276" s="116"/>
      <c r="B276" s="105"/>
      <c r="C276" s="116"/>
      <c r="D276" s="116"/>
      <c r="E276" s="116"/>
      <c r="F276" s="116"/>
      <c r="G276" s="116"/>
      <c r="H276" s="116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/>
      <c r="BL276" s="105"/>
      <c r="BM276" s="105"/>
      <c r="BN276" s="105"/>
      <c r="BO276" s="105"/>
      <c r="BP276" s="105"/>
      <c r="BQ276" s="105"/>
      <c r="BR276" s="105"/>
      <c r="BS276" s="105"/>
      <c r="BT276" s="105"/>
      <c r="BU276" s="105"/>
      <c r="BV276" s="105"/>
      <c r="BW276" s="105"/>
      <c r="BX276" s="105"/>
      <c r="BY276" s="105"/>
      <c r="BZ276" s="105"/>
      <c r="CA276" s="105"/>
      <c r="CB276" s="105"/>
      <c r="CC276" s="105"/>
      <c r="CD276" s="105"/>
      <c r="CE276" s="105"/>
      <c r="CF276" s="105"/>
      <c r="CG276" s="105"/>
      <c r="CH276" s="105"/>
      <c r="CI276" s="105"/>
      <c r="CJ276" s="105"/>
      <c r="CK276" s="105"/>
      <c r="CL276" s="105"/>
      <c r="CM276" s="105"/>
      <c r="CN276" s="105"/>
      <c r="CO276" s="105"/>
      <c r="CP276" s="105"/>
      <c r="CQ276" s="105"/>
      <c r="CR276" s="105"/>
      <c r="CS276" s="105"/>
      <c r="CT276" s="105"/>
      <c r="CU276" s="105"/>
      <c r="CV276" s="105"/>
      <c r="CW276" s="105"/>
      <c r="CX276" s="105"/>
      <c r="CY276" s="105"/>
      <c r="CZ276" s="105"/>
      <c r="DA276" s="105"/>
      <c r="DB276" s="105"/>
      <c r="DC276" s="105"/>
      <c r="DD276" s="105"/>
      <c r="DE276" s="105"/>
      <c r="DF276" s="105"/>
      <c r="DG276" s="105"/>
      <c r="DH276" s="105"/>
      <c r="DI276" s="105"/>
      <c r="DJ276" s="105"/>
      <c r="DK276" s="105"/>
      <c r="DL276" s="105"/>
      <c r="DM276" s="105"/>
      <c r="DN276" s="105"/>
      <c r="DO276" s="105"/>
      <c r="DP276" s="105"/>
      <c r="DQ276" s="105"/>
      <c r="DR276" s="105"/>
      <c r="DS276" s="105"/>
      <c r="DT276" s="105"/>
      <c r="DU276" s="105"/>
      <c r="DV276" s="105"/>
      <c r="DW276" s="105"/>
      <c r="DX276" s="105"/>
      <c r="DY276" s="105"/>
      <c r="DZ276" s="105"/>
      <c r="EA276" s="105"/>
      <c r="EB276" s="105"/>
      <c r="EC276" s="105"/>
      <c r="ED276" s="105"/>
      <c r="EE276" s="105"/>
      <c r="EF276" s="105"/>
      <c r="EG276" s="105"/>
      <c r="EH276" s="105"/>
      <c r="EI276" s="105"/>
      <c r="EJ276" s="105"/>
      <c r="EK276" s="105"/>
      <c r="EL276" s="105"/>
      <c r="EM276" s="105"/>
      <c r="EN276" s="105"/>
      <c r="EO276" s="105"/>
      <c r="EP276" s="105"/>
      <c r="EQ276" s="105"/>
      <c r="ER276" s="105"/>
      <c r="ES276" s="105"/>
      <c r="ET276" s="105"/>
      <c r="EU276" s="105"/>
      <c r="EV276" s="105"/>
      <c r="EW276" s="105"/>
      <c r="EX276" s="105"/>
      <c r="EY276" s="105"/>
      <c r="EZ276" s="105"/>
      <c r="FA276" s="105"/>
      <c r="FB276" s="105"/>
      <c r="FC276" s="105"/>
      <c r="FD276" s="105"/>
      <c r="FE276" s="105"/>
      <c r="FF276" s="105"/>
      <c r="FG276" s="105"/>
      <c r="FH276" s="105"/>
      <c r="FI276" s="105"/>
      <c r="FJ276" s="105"/>
      <c r="FK276" s="105"/>
      <c r="FL276" s="105"/>
      <c r="FM276" s="105"/>
      <c r="FN276" s="105"/>
      <c r="FO276" s="105"/>
      <c r="FP276" s="105"/>
      <c r="FQ276" s="105"/>
      <c r="FR276" s="105"/>
      <c r="FS276" s="105"/>
      <c r="FT276" s="105"/>
      <c r="FU276" s="105"/>
      <c r="FV276" s="105"/>
      <c r="FW276" s="105"/>
      <c r="FX276" s="105"/>
      <c r="FY276" s="105"/>
      <c r="FZ276" s="105"/>
      <c r="GA276" s="105"/>
      <c r="GB276" s="105"/>
      <c r="GC276" s="105"/>
      <c r="GD276" s="105"/>
      <c r="GE276" s="105"/>
      <c r="GF276" s="105"/>
      <c r="GG276" s="105"/>
      <c r="GH276" s="105"/>
      <c r="GI276" s="105"/>
      <c r="GJ276" s="105"/>
      <c r="GK276" s="105"/>
      <c r="GL276" s="105"/>
      <c r="GM276" s="105"/>
      <c r="GN276" s="105"/>
      <c r="GO276" s="105"/>
      <c r="GP276" s="105"/>
      <c r="GQ276" s="105"/>
      <c r="GR276" s="105"/>
      <c r="GS276" s="105"/>
      <c r="GT276" s="105"/>
      <c r="GU276" s="105"/>
      <c r="GV276" s="105"/>
      <c r="GW276" s="105"/>
      <c r="GX276" s="105"/>
      <c r="GY276" s="105"/>
      <c r="GZ276" s="105"/>
      <c r="HA276" s="105"/>
      <c r="HB276" s="105"/>
      <c r="HC276" s="105"/>
      <c r="HD276" s="105"/>
      <c r="HE276" s="105"/>
      <c r="HF276" s="105"/>
      <c r="HG276" s="105"/>
      <c r="HH276" s="105"/>
      <c r="HI276" s="105"/>
      <c r="HJ276" s="105"/>
      <c r="HK276" s="105"/>
      <c r="HL276" s="105"/>
      <c r="HM276" s="105"/>
      <c r="HN276" s="105"/>
      <c r="HO276" s="105"/>
      <c r="HP276" s="105"/>
      <c r="HQ276" s="105"/>
      <c r="HR276" s="105"/>
      <c r="HS276" s="105"/>
      <c r="HT276" s="105"/>
      <c r="HU276" s="105"/>
      <c r="HV276" s="105"/>
      <c r="HW276" s="105"/>
      <c r="HX276" s="105"/>
      <c r="HY276" s="105"/>
      <c r="HZ276" s="105"/>
      <c r="IA276" s="105"/>
      <c r="IB276" s="105"/>
      <c r="IC276" s="105"/>
      <c r="ID276" s="105"/>
      <c r="IE276" s="105"/>
      <c r="IF276" s="105"/>
      <c r="IG276" s="105"/>
      <c r="IH276" s="105"/>
      <c r="II276" s="105"/>
      <c r="IJ276" s="105"/>
      <c r="IK276" s="105"/>
      <c r="IL276" s="105"/>
      <c r="IM276" s="105"/>
      <c r="IN276" s="105"/>
      <c r="IO276" s="105"/>
      <c r="IP276" s="105"/>
      <c r="IQ276" s="105"/>
      <c r="IR276" s="105"/>
      <c r="IS276" s="105"/>
    </row>
    <row r="277" spans="1:253">
      <c r="A277" s="116"/>
      <c r="B277" s="105"/>
      <c r="C277" s="116"/>
      <c r="D277" s="116"/>
      <c r="E277" s="116"/>
      <c r="F277" s="116"/>
      <c r="G277" s="116"/>
      <c r="H277" s="116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/>
      <c r="BL277" s="105"/>
      <c r="BM277" s="105"/>
      <c r="BN277" s="105"/>
      <c r="BO277" s="105"/>
      <c r="BP277" s="105"/>
      <c r="BQ277" s="105"/>
      <c r="BR277" s="105"/>
      <c r="BS277" s="105"/>
      <c r="BT277" s="105"/>
      <c r="BU277" s="105"/>
      <c r="BV277" s="105"/>
      <c r="BW277" s="105"/>
      <c r="BX277" s="105"/>
      <c r="BY277" s="105"/>
      <c r="BZ277" s="105"/>
      <c r="CA277" s="105"/>
      <c r="CB277" s="105"/>
      <c r="CC277" s="105"/>
      <c r="CD277" s="105"/>
      <c r="CE277" s="105"/>
      <c r="CF277" s="105"/>
      <c r="CG277" s="105"/>
      <c r="CH277" s="105"/>
      <c r="CI277" s="105"/>
      <c r="CJ277" s="105"/>
      <c r="CK277" s="105"/>
      <c r="CL277" s="105"/>
      <c r="CM277" s="105"/>
      <c r="CN277" s="105"/>
      <c r="CO277" s="105"/>
      <c r="CP277" s="105"/>
      <c r="CQ277" s="105"/>
      <c r="CR277" s="105"/>
      <c r="CS277" s="105"/>
      <c r="CT277" s="105"/>
      <c r="CU277" s="105"/>
      <c r="CV277" s="105"/>
      <c r="CW277" s="105"/>
      <c r="CX277" s="105"/>
      <c r="CY277" s="105"/>
      <c r="CZ277" s="105"/>
      <c r="DA277" s="105"/>
      <c r="DB277" s="105"/>
      <c r="DC277" s="105"/>
      <c r="DD277" s="105"/>
      <c r="DE277" s="105"/>
      <c r="DF277" s="105"/>
      <c r="DG277" s="105"/>
      <c r="DH277" s="105"/>
      <c r="DI277" s="105"/>
      <c r="DJ277" s="105"/>
      <c r="DK277" s="105"/>
      <c r="DL277" s="105"/>
      <c r="DM277" s="105"/>
      <c r="DN277" s="105"/>
      <c r="DO277" s="105"/>
      <c r="DP277" s="105"/>
      <c r="DQ277" s="105"/>
      <c r="DR277" s="105"/>
      <c r="DS277" s="105"/>
      <c r="DT277" s="105"/>
      <c r="DU277" s="105"/>
      <c r="DV277" s="105"/>
      <c r="DW277" s="105"/>
      <c r="DX277" s="105"/>
      <c r="DY277" s="105"/>
      <c r="DZ277" s="105"/>
      <c r="EA277" s="105"/>
      <c r="EB277" s="105"/>
      <c r="EC277" s="105"/>
      <c r="ED277" s="105"/>
      <c r="EE277" s="105"/>
      <c r="EF277" s="105"/>
      <c r="EG277" s="105"/>
      <c r="EH277" s="105"/>
      <c r="EI277" s="105"/>
      <c r="EJ277" s="105"/>
      <c r="EK277" s="105"/>
      <c r="EL277" s="105"/>
      <c r="EM277" s="105"/>
      <c r="EN277" s="105"/>
      <c r="EO277" s="105"/>
      <c r="EP277" s="105"/>
      <c r="EQ277" s="105"/>
      <c r="ER277" s="105"/>
      <c r="ES277" s="105"/>
      <c r="ET277" s="105"/>
      <c r="EU277" s="105"/>
      <c r="EV277" s="105"/>
      <c r="EW277" s="105"/>
      <c r="EX277" s="105"/>
      <c r="EY277" s="105"/>
      <c r="EZ277" s="105"/>
      <c r="FA277" s="105"/>
      <c r="FB277" s="105"/>
      <c r="FC277" s="105"/>
      <c r="FD277" s="105"/>
      <c r="FE277" s="105"/>
      <c r="FF277" s="105"/>
      <c r="FG277" s="105"/>
      <c r="FH277" s="105"/>
      <c r="FI277" s="105"/>
      <c r="FJ277" s="105"/>
      <c r="FK277" s="105"/>
      <c r="FL277" s="105"/>
      <c r="FM277" s="105"/>
      <c r="FN277" s="105"/>
      <c r="FO277" s="105"/>
      <c r="FP277" s="105"/>
      <c r="FQ277" s="105"/>
      <c r="FR277" s="105"/>
      <c r="FS277" s="105"/>
      <c r="FT277" s="105"/>
      <c r="FU277" s="105"/>
      <c r="FV277" s="105"/>
      <c r="FW277" s="105"/>
      <c r="FX277" s="105"/>
      <c r="FY277" s="105"/>
      <c r="FZ277" s="105"/>
      <c r="GA277" s="105"/>
      <c r="GB277" s="105"/>
      <c r="GC277" s="105"/>
      <c r="GD277" s="105"/>
      <c r="GE277" s="105"/>
      <c r="GF277" s="105"/>
      <c r="GG277" s="105"/>
      <c r="GH277" s="105"/>
      <c r="GI277" s="105"/>
      <c r="GJ277" s="105"/>
      <c r="GK277" s="105"/>
      <c r="GL277" s="105"/>
      <c r="GM277" s="105"/>
      <c r="GN277" s="105"/>
      <c r="GO277" s="105"/>
      <c r="GP277" s="105"/>
      <c r="GQ277" s="105"/>
      <c r="GR277" s="105"/>
      <c r="GS277" s="105"/>
      <c r="GT277" s="105"/>
      <c r="GU277" s="105"/>
      <c r="GV277" s="105"/>
      <c r="GW277" s="105"/>
      <c r="GX277" s="105"/>
      <c r="GY277" s="105"/>
      <c r="GZ277" s="105"/>
      <c r="HA277" s="105"/>
      <c r="HB277" s="105"/>
      <c r="HC277" s="105"/>
      <c r="HD277" s="105"/>
      <c r="HE277" s="105"/>
      <c r="HF277" s="105"/>
      <c r="HG277" s="105"/>
      <c r="HH277" s="105"/>
      <c r="HI277" s="105"/>
      <c r="HJ277" s="105"/>
      <c r="HK277" s="105"/>
      <c r="HL277" s="105"/>
      <c r="HM277" s="105"/>
      <c r="HN277" s="105"/>
      <c r="HO277" s="105"/>
      <c r="HP277" s="105"/>
      <c r="HQ277" s="105"/>
      <c r="HR277" s="105"/>
      <c r="HS277" s="105"/>
      <c r="HT277" s="105"/>
      <c r="HU277" s="105"/>
      <c r="HV277" s="105"/>
      <c r="HW277" s="105"/>
      <c r="HX277" s="105"/>
      <c r="HY277" s="105"/>
      <c r="HZ277" s="105"/>
      <c r="IA277" s="105"/>
      <c r="IB277" s="105"/>
      <c r="IC277" s="105"/>
      <c r="ID277" s="105"/>
      <c r="IE277" s="105"/>
      <c r="IF277" s="105"/>
      <c r="IG277" s="105"/>
      <c r="IH277" s="105"/>
      <c r="II277" s="105"/>
      <c r="IJ277" s="105"/>
      <c r="IK277" s="105"/>
      <c r="IL277" s="105"/>
      <c r="IM277" s="105"/>
      <c r="IN277" s="105"/>
      <c r="IO277" s="105"/>
      <c r="IP277" s="105"/>
      <c r="IQ277" s="105"/>
      <c r="IR277" s="105"/>
      <c r="IS277" s="105"/>
    </row>
    <row r="278" spans="1:253">
      <c r="A278" s="116"/>
      <c r="B278" s="105"/>
      <c r="C278" s="116"/>
      <c r="D278" s="116"/>
      <c r="E278" s="116"/>
      <c r="F278" s="116"/>
      <c r="G278" s="116"/>
      <c r="H278" s="116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/>
      <c r="BL278" s="105"/>
      <c r="BM278" s="105"/>
      <c r="BN278" s="105"/>
      <c r="BO278" s="105"/>
      <c r="BP278" s="105"/>
      <c r="BQ278" s="105"/>
      <c r="BR278" s="105"/>
      <c r="BS278" s="105"/>
      <c r="BT278" s="105"/>
      <c r="BU278" s="105"/>
      <c r="BV278" s="105"/>
      <c r="BW278" s="105"/>
      <c r="BX278" s="105"/>
      <c r="BY278" s="105"/>
      <c r="BZ278" s="105"/>
      <c r="CA278" s="105"/>
      <c r="CB278" s="105"/>
      <c r="CC278" s="105"/>
      <c r="CD278" s="105"/>
      <c r="CE278" s="105"/>
      <c r="CF278" s="105"/>
      <c r="CG278" s="105"/>
      <c r="CH278" s="105"/>
      <c r="CI278" s="105"/>
      <c r="CJ278" s="105"/>
      <c r="CK278" s="105"/>
      <c r="CL278" s="105"/>
      <c r="CM278" s="105"/>
      <c r="CN278" s="105"/>
      <c r="CO278" s="105"/>
      <c r="CP278" s="105"/>
      <c r="CQ278" s="105"/>
      <c r="CR278" s="105"/>
      <c r="CS278" s="105"/>
      <c r="CT278" s="105"/>
      <c r="CU278" s="105"/>
      <c r="CV278" s="105"/>
      <c r="CW278" s="105"/>
      <c r="CX278" s="105"/>
      <c r="CY278" s="105"/>
      <c r="CZ278" s="105"/>
      <c r="DA278" s="105"/>
      <c r="DB278" s="105"/>
      <c r="DC278" s="105"/>
      <c r="DD278" s="105"/>
      <c r="DE278" s="105"/>
      <c r="DF278" s="105"/>
      <c r="DG278" s="105"/>
      <c r="DH278" s="105"/>
      <c r="DI278" s="105"/>
      <c r="DJ278" s="105"/>
      <c r="DK278" s="105"/>
      <c r="DL278" s="105"/>
      <c r="DM278" s="105"/>
      <c r="DN278" s="105"/>
      <c r="DO278" s="105"/>
      <c r="DP278" s="105"/>
      <c r="DQ278" s="105"/>
      <c r="DR278" s="105"/>
      <c r="DS278" s="105"/>
      <c r="DT278" s="105"/>
      <c r="DU278" s="105"/>
      <c r="DV278" s="105"/>
      <c r="DW278" s="105"/>
      <c r="DX278" s="105"/>
      <c r="DY278" s="105"/>
      <c r="DZ278" s="105"/>
      <c r="EA278" s="105"/>
      <c r="EB278" s="105"/>
      <c r="EC278" s="105"/>
      <c r="ED278" s="105"/>
      <c r="EE278" s="105"/>
      <c r="EF278" s="105"/>
      <c r="EG278" s="105"/>
      <c r="EH278" s="105"/>
      <c r="EI278" s="105"/>
      <c r="EJ278" s="105"/>
      <c r="EK278" s="105"/>
      <c r="EL278" s="105"/>
      <c r="EM278" s="105"/>
      <c r="EN278" s="105"/>
      <c r="EO278" s="105"/>
      <c r="EP278" s="105"/>
      <c r="EQ278" s="105"/>
      <c r="ER278" s="105"/>
      <c r="ES278" s="105"/>
      <c r="ET278" s="105"/>
      <c r="EU278" s="105"/>
      <c r="EV278" s="105"/>
      <c r="EW278" s="105"/>
      <c r="EX278" s="105"/>
      <c r="EY278" s="105"/>
      <c r="EZ278" s="105"/>
      <c r="FA278" s="105"/>
      <c r="FB278" s="105"/>
      <c r="FC278" s="105"/>
      <c r="FD278" s="105"/>
      <c r="FE278" s="105"/>
      <c r="FF278" s="105"/>
      <c r="FG278" s="105"/>
      <c r="FH278" s="105"/>
      <c r="FI278" s="105"/>
      <c r="FJ278" s="105"/>
      <c r="FK278" s="105"/>
      <c r="FL278" s="105"/>
      <c r="FM278" s="105"/>
      <c r="FN278" s="105"/>
      <c r="FO278" s="105"/>
      <c r="FP278" s="105"/>
      <c r="FQ278" s="105"/>
      <c r="FR278" s="105"/>
      <c r="FS278" s="105"/>
      <c r="FT278" s="105"/>
      <c r="FU278" s="105"/>
      <c r="FV278" s="105"/>
      <c r="FW278" s="105"/>
      <c r="FX278" s="105"/>
      <c r="FY278" s="105"/>
      <c r="FZ278" s="105"/>
      <c r="GA278" s="105"/>
      <c r="GB278" s="105"/>
      <c r="GC278" s="105"/>
      <c r="GD278" s="105"/>
      <c r="GE278" s="105"/>
      <c r="GF278" s="105"/>
      <c r="GG278" s="105"/>
      <c r="GH278" s="105"/>
      <c r="GI278" s="105"/>
      <c r="GJ278" s="105"/>
      <c r="GK278" s="105"/>
      <c r="GL278" s="105"/>
      <c r="GM278" s="105"/>
      <c r="GN278" s="105"/>
      <c r="GO278" s="105"/>
      <c r="GP278" s="105"/>
      <c r="GQ278" s="105"/>
      <c r="GR278" s="105"/>
      <c r="GS278" s="105"/>
      <c r="GT278" s="105"/>
      <c r="GU278" s="105"/>
      <c r="GV278" s="105"/>
      <c r="GW278" s="105"/>
      <c r="GX278" s="105"/>
      <c r="GY278" s="105"/>
      <c r="GZ278" s="105"/>
      <c r="HA278" s="105"/>
      <c r="HB278" s="105"/>
      <c r="HC278" s="105"/>
      <c r="HD278" s="105"/>
      <c r="HE278" s="105"/>
      <c r="HF278" s="105"/>
      <c r="HG278" s="105"/>
      <c r="HH278" s="105"/>
      <c r="HI278" s="105"/>
      <c r="HJ278" s="105"/>
      <c r="HK278" s="105"/>
      <c r="HL278" s="105"/>
      <c r="HM278" s="105"/>
      <c r="HN278" s="105"/>
      <c r="HO278" s="105"/>
      <c r="HP278" s="105"/>
      <c r="HQ278" s="105"/>
      <c r="HR278" s="105"/>
      <c r="HS278" s="105"/>
      <c r="HT278" s="105"/>
      <c r="HU278" s="105"/>
      <c r="HV278" s="105"/>
      <c r="HW278" s="105"/>
      <c r="HX278" s="105"/>
      <c r="HY278" s="105"/>
      <c r="HZ278" s="105"/>
      <c r="IA278" s="105"/>
      <c r="IB278" s="105"/>
      <c r="IC278" s="105"/>
      <c r="ID278" s="105"/>
      <c r="IE278" s="105"/>
      <c r="IF278" s="105"/>
      <c r="IG278" s="105"/>
      <c r="IH278" s="105"/>
      <c r="II278" s="105"/>
      <c r="IJ278" s="105"/>
      <c r="IK278" s="105"/>
      <c r="IL278" s="105"/>
      <c r="IM278" s="105"/>
      <c r="IN278" s="105"/>
      <c r="IO278" s="105"/>
      <c r="IP278" s="105"/>
      <c r="IQ278" s="105"/>
      <c r="IR278" s="105"/>
      <c r="IS278" s="105"/>
    </row>
    <row r="279" spans="1:253">
      <c r="A279" s="116"/>
      <c r="B279" s="105"/>
      <c r="C279" s="116"/>
      <c r="D279" s="116"/>
      <c r="E279" s="116"/>
      <c r="F279" s="116"/>
      <c r="G279" s="116"/>
      <c r="H279" s="116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/>
      <c r="BL279" s="105"/>
      <c r="BM279" s="105"/>
      <c r="BN279" s="105"/>
      <c r="BO279" s="105"/>
      <c r="BP279" s="105"/>
      <c r="BQ279" s="105"/>
      <c r="BR279" s="105"/>
      <c r="BS279" s="105"/>
      <c r="BT279" s="105"/>
      <c r="BU279" s="105"/>
      <c r="BV279" s="105"/>
      <c r="BW279" s="105"/>
      <c r="BX279" s="105"/>
      <c r="BY279" s="105"/>
      <c r="BZ279" s="105"/>
      <c r="CA279" s="105"/>
      <c r="CB279" s="105"/>
      <c r="CC279" s="105"/>
      <c r="CD279" s="105"/>
      <c r="CE279" s="105"/>
      <c r="CF279" s="105"/>
      <c r="CG279" s="105"/>
      <c r="CH279" s="105"/>
      <c r="CI279" s="105"/>
      <c r="CJ279" s="105"/>
      <c r="CK279" s="105"/>
      <c r="CL279" s="105"/>
      <c r="CM279" s="105"/>
      <c r="CN279" s="105"/>
      <c r="CO279" s="105"/>
      <c r="CP279" s="105"/>
      <c r="CQ279" s="105"/>
      <c r="CR279" s="105"/>
      <c r="CS279" s="105"/>
      <c r="CT279" s="105"/>
      <c r="CU279" s="105"/>
      <c r="CV279" s="105"/>
      <c r="CW279" s="105"/>
      <c r="CX279" s="105"/>
      <c r="CY279" s="105"/>
      <c r="CZ279" s="105"/>
      <c r="DA279" s="105"/>
      <c r="DB279" s="105"/>
      <c r="DC279" s="105"/>
      <c r="DD279" s="105"/>
      <c r="DE279" s="105"/>
      <c r="DF279" s="105"/>
      <c r="DG279" s="105"/>
      <c r="DH279" s="105"/>
      <c r="DI279" s="105"/>
      <c r="DJ279" s="105"/>
      <c r="DK279" s="105"/>
      <c r="DL279" s="105"/>
      <c r="DM279" s="105"/>
      <c r="DN279" s="105"/>
      <c r="DO279" s="105"/>
      <c r="DP279" s="105"/>
      <c r="DQ279" s="105"/>
      <c r="DR279" s="105"/>
      <c r="DS279" s="105"/>
      <c r="DT279" s="105"/>
      <c r="DU279" s="105"/>
      <c r="DV279" s="105"/>
      <c r="DW279" s="105"/>
      <c r="DX279" s="105"/>
      <c r="DY279" s="105"/>
      <c r="DZ279" s="105"/>
      <c r="EA279" s="105"/>
      <c r="EB279" s="105"/>
      <c r="EC279" s="105"/>
      <c r="ED279" s="105"/>
      <c r="EE279" s="105"/>
      <c r="EF279" s="105"/>
      <c r="EG279" s="105"/>
      <c r="EH279" s="105"/>
      <c r="EI279" s="105"/>
      <c r="EJ279" s="105"/>
      <c r="EK279" s="105"/>
      <c r="EL279" s="105"/>
      <c r="EM279" s="105"/>
      <c r="EN279" s="105"/>
      <c r="EO279" s="105"/>
      <c r="EP279" s="105"/>
      <c r="EQ279" s="105"/>
      <c r="ER279" s="105"/>
      <c r="ES279" s="105"/>
      <c r="ET279" s="105"/>
      <c r="EU279" s="105"/>
      <c r="EV279" s="105"/>
      <c r="EW279" s="105"/>
      <c r="EX279" s="105"/>
      <c r="EY279" s="105"/>
      <c r="EZ279" s="105"/>
      <c r="FA279" s="105"/>
      <c r="FB279" s="105"/>
      <c r="FC279" s="105"/>
      <c r="FD279" s="105"/>
      <c r="FE279" s="105"/>
      <c r="FF279" s="105"/>
      <c r="FG279" s="105"/>
      <c r="FH279" s="105"/>
      <c r="FI279" s="105"/>
      <c r="FJ279" s="105"/>
      <c r="FK279" s="105"/>
      <c r="FL279" s="105"/>
      <c r="FM279" s="105"/>
      <c r="FN279" s="105"/>
      <c r="FO279" s="105"/>
      <c r="FP279" s="105"/>
      <c r="FQ279" s="105"/>
      <c r="FR279" s="105"/>
      <c r="FS279" s="105"/>
      <c r="FT279" s="105"/>
      <c r="FU279" s="105"/>
      <c r="FV279" s="105"/>
      <c r="FW279" s="105"/>
      <c r="FX279" s="105"/>
      <c r="FY279" s="105"/>
      <c r="FZ279" s="105"/>
      <c r="GA279" s="105"/>
      <c r="GB279" s="105"/>
      <c r="GC279" s="105"/>
      <c r="GD279" s="105"/>
      <c r="GE279" s="105"/>
      <c r="GF279" s="105"/>
      <c r="GG279" s="105"/>
      <c r="GH279" s="105"/>
      <c r="GI279" s="105"/>
      <c r="GJ279" s="105"/>
      <c r="GK279" s="105"/>
      <c r="GL279" s="105"/>
      <c r="GM279" s="105"/>
      <c r="GN279" s="105"/>
      <c r="GO279" s="105"/>
      <c r="GP279" s="105"/>
      <c r="GQ279" s="105"/>
      <c r="GR279" s="105"/>
      <c r="GS279" s="105"/>
      <c r="GT279" s="105"/>
      <c r="GU279" s="105"/>
      <c r="GV279" s="105"/>
      <c r="GW279" s="105"/>
      <c r="GX279" s="105"/>
      <c r="GY279" s="105"/>
      <c r="GZ279" s="105"/>
      <c r="HA279" s="105"/>
      <c r="HB279" s="105"/>
      <c r="HC279" s="105"/>
      <c r="HD279" s="105"/>
      <c r="HE279" s="105"/>
      <c r="HF279" s="105"/>
      <c r="HG279" s="105"/>
      <c r="HH279" s="105"/>
      <c r="HI279" s="105"/>
      <c r="HJ279" s="105"/>
      <c r="HK279" s="105"/>
      <c r="HL279" s="105"/>
      <c r="HM279" s="105"/>
      <c r="HN279" s="105"/>
      <c r="HO279" s="105"/>
      <c r="HP279" s="105"/>
      <c r="HQ279" s="105"/>
      <c r="HR279" s="105"/>
      <c r="HS279" s="105"/>
      <c r="HT279" s="105"/>
      <c r="HU279" s="105"/>
      <c r="HV279" s="105"/>
      <c r="HW279" s="105"/>
      <c r="HX279" s="105"/>
      <c r="HY279" s="105"/>
      <c r="HZ279" s="105"/>
      <c r="IA279" s="105"/>
      <c r="IB279" s="105"/>
      <c r="IC279" s="105"/>
      <c r="ID279" s="105"/>
      <c r="IE279" s="105"/>
      <c r="IF279" s="105"/>
      <c r="IG279" s="105"/>
      <c r="IH279" s="105"/>
      <c r="II279" s="105"/>
      <c r="IJ279" s="105"/>
      <c r="IK279" s="105"/>
      <c r="IL279" s="105"/>
      <c r="IM279" s="105"/>
      <c r="IN279" s="105"/>
      <c r="IO279" s="105"/>
      <c r="IP279" s="105"/>
      <c r="IQ279" s="105"/>
      <c r="IR279" s="105"/>
      <c r="IS279" s="105"/>
    </row>
    <row r="280" spans="1:253">
      <c r="A280" s="116"/>
      <c r="B280" s="105"/>
      <c r="C280" s="116"/>
      <c r="D280" s="116"/>
      <c r="E280" s="116"/>
      <c r="F280" s="116"/>
      <c r="G280" s="116"/>
      <c r="H280" s="116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 s="105"/>
      <c r="BK280" s="105"/>
      <c r="BL280" s="105"/>
      <c r="BM280" s="105"/>
      <c r="BN280" s="105"/>
      <c r="BO280" s="105"/>
      <c r="BP280" s="105"/>
      <c r="BQ280" s="105"/>
      <c r="BR280" s="105"/>
      <c r="BS280" s="105"/>
      <c r="BT280" s="105"/>
      <c r="BU280" s="105"/>
      <c r="BV280" s="105"/>
      <c r="BW280" s="105"/>
      <c r="BX280" s="105"/>
      <c r="BY280" s="105"/>
      <c r="BZ280" s="105"/>
      <c r="CA280" s="105"/>
      <c r="CB280" s="105"/>
      <c r="CC280" s="105"/>
      <c r="CD280" s="105"/>
      <c r="CE280" s="105"/>
      <c r="CF280" s="105"/>
      <c r="CG280" s="105"/>
      <c r="CH280" s="105"/>
      <c r="CI280" s="105"/>
      <c r="CJ280" s="105"/>
      <c r="CK280" s="105"/>
      <c r="CL280" s="105"/>
      <c r="CM280" s="105"/>
      <c r="CN280" s="105"/>
      <c r="CO280" s="105"/>
      <c r="CP280" s="105"/>
      <c r="CQ280" s="105"/>
      <c r="CR280" s="105"/>
      <c r="CS280" s="105"/>
      <c r="CT280" s="105"/>
      <c r="CU280" s="105"/>
      <c r="CV280" s="105"/>
      <c r="CW280" s="105"/>
      <c r="CX280" s="105"/>
      <c r="CY280" s="105"/>
      <c r="CZ280" s="105"/>
      <c r="DA280" s="105"/>
      <c r="DB280" s="105"/>
      <c r="DC280" s="105"/>
      <c r="DD280" s="105"/>
      <c r="DE280" s="105"/>
      <c r="DF280" s="105"/>
      <c r="DG280" s="105"/>
      <c r="DH280" s="105"/>
      <c r="DI280" s="105"/>
      <c r="DJ280" s="105"/>
      <c r="DK280" s="105"/>
      <c r="DL280" s="105"/>
      <c r="DM280" s="105"/>
      <c r="DN280" s="105"/>
      <c r="DO280" s="105"/>
      <c r="DP280" s="105"/>
      <c r="DQ280" s="105"/>
      <c r="DR280" s="105"/>
      <c r="DS280" s="105"/>
      <c r="DT280" s="105"/>
      <c r="DU280" s="105"/>
      <c r="DV280" s="105"/>
      <c r="DW280" s="105"/>
      <c r="DX280" s="105"/>
      <c r="DY280" s="105"/>
      <c r="DZ280" s="105"/>
      <c r="EA280" s="105"/>
      <c r="EB280" s="105"/>
      <c r="EC280" s="105"/>
      <c r="ED280" s="105"/>
      <c r="EE280" s="105"/>
      <c r="EF280" s="105"/>
      <c r="EG280" s="105"/>
      <c r="EH280" s="105"/>
      <c r="EI280" s="105"/>
      <c r="EJ280" s="105"/>
      <c r="EK280" s="105"/>
      <c r="EL280" s="105"/>
      <c r="EM280" s="105"/>
      <c r="EN280" s="105"/>
      <c r="EO280" s="105"/>
      <c r="EP280" s="105"/>
      <c r="EQ280" s="105"/>
      <c r="ER280" s="105"/>
      <c r="ES280" s="105"/>
      <c r="ET280" s="105"/>
      <c r="EU280" s="105"/>
      <c r="EV280" s="105"/>
      <c r="EW280" s="105"/>
      <c r="EX280" s="105"/>
      <c r="EY280" s="105"/>
      <c r="EZ280" s="105"/>
      <c r="FA280" s="105"/>
      <c r="FB280" s="105"/>
      <c r="FC280" s="105"/>
      <c r="FD280" s="105"/>
      <c r="FE280" s="105"/>
      <c r="FF280" s="105"/>
      <c r="FG280" s="105"/>
      <c r="FH280" s="105"/>
      <c r="FI280" s="105"/>
      <c r="FJ280" s="105"/>
      <c r="FK280" s="105"/>
      <c r="FL280" s="105"/>
      <c r="FM280" s="105"/>
      <c r="FN280" s="105"/>
      <c r="FO280" s="105"/>
      <c r="FP280" s="105"/>
      <c r="FQ280" s="105"/>
      <c r="FR280" s="105"/>
      <c r="FS280" s="105"/>
      <c r="FT280" s="105"/>
      <c r="FU280" s="105"/>
      <c r="FV280" s="105"/>
      <c r="FW280" s="105"/>
      <c r="FX280" s="105"/>
      <c r="FY280" s="105"/>
      <c r="FZ280" s="105"/>
      <c r="GA280" s="105"/>
      <c r="GB280" s="105"/>
      <c r="GC280" s="105"/>
      <c r="GD280" s="105"/>
      <c r="GE280" s="105"/>
      <c r="GF280" s="105"/>
      <c r="GG280" s="105"/>
      <c r="GH280" s="105"/>
      <c r="GI280" s="105"/>
      <c r="GJ280" s="105"/>
      <c r="GK280" s="105"/>
      <c r="GL280" s="105"/>
      <c r="GM280" s="105"/>
      <c r="GN280" s="105"/>
      <c r="GO280" s="105"/>
      <c r="GP280" s="105"/>
      <c r="GQ280" s="105"/>
      <c r="GR280" s="105"/>
      <c r="GS280" s="105"/>
      <c r="GT280" s="105"/>
      <c r="GU280" s="105"/>
      <c r="GV280" s="105"/>
      <c r="GW280" s="105"/>
      <c r="GX280" s="105"/>
      <c r="GY280" s="105"/>
      <c r="GZ280" s="105"/>
      <c r="HA280" s="105"/>
      <c r="HB280" s="105"/>
      <c r="HC280" s="105"/>
      <c r="HD280" s="105"/>
      <c r="HE280" s="105"/>
      <c r="HF280" s="105"/>
      <c r="HG280" s="105"/>
      <c r="HH280" s="105"/>
      <c r="HI280" s="105"/>
      <c r="HJ280" s="105"/>
      <c r="HK280" s="105"/>
      <c r="HL280" s="105"/>
      <c r="HM280" s="105"/>
      <c r="HN280" s="105"/>
      <c r="HO280" s="105"/>
      <c r="HP280" s="105"/>
      <c r="HQ280" s="105"/>
      <c r="HR280" s="105"/>
      <c r="HS280" s="105"/>
      <c r="HT280" s="105"/>
      <c r="HU280" s="105"/>
      <c r="HV280" s="105"/>
      <c r="HW280" s="105"/>
      <c r="HX280" s="105"/>
      <c r="HY280" s="105"/>
      <c r="HZ280" s="105"/>
      <c r="IA280" s="105"/>
      <c r="IB280" s="105"/>
      <c r="IC280" s="105"/>
      <c r="ID280" s="105"/>
      <c r="IE280" s="105"/>
      <c r="IF280" s="105"/>
      <c r="IG280" s="105"/>
      <c r="IH280" s="105"/>
      <c r="II280" s="105"/>
      <c r="IJ280" s="105"/>
      <c r="IK280" s="105"/>
      <c r="IL280" s="105"/>
      <c r="IM280" s="105"/>
      <c r="IN280" s="105"/>
      <c r="IO280" s="105"/>
      <c r="IP280" s="105"/>
      <c r="IQ280" s="105"/>
      <c r="IR280" s="105"/>
      <c r="IS280" s="105"/>
    </row>
    <row r="281" spans="1:253">
      <c r="A281" s="116"/>
      <c r="B281" s="105"/>
      <c r="C281" s="116"/>
      <c r="D281" s="116"/>
      <c r="E281" s="116"/>
      <c r="F281" s="116"/>
      <c r="G281" s="116"/>
      <c r="H281" s="116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 s="105"/>
      <c r="BK281" s="105"/>
      <c r="BL281" s="105"/>
      <c r="BM281" s="105"/>
      <c r="BN281" s="105"/>
      <c r="BO281" s="105"/>
      <c r="BP281" s="105"/>
      <c r="BQ281" s="105"/>
      <c r="BR281" s="105"/>
      <c r="BS281" s="105"/>
      <c r="BT281" s="105"/>
      <c r="BU281" s="105"/>
      <c r="BV281" s="105"/>
      <c r="BW281" s="105"/>
      <c r="BX281" s="105"/>
      <c r="BY281" s="105"/>
      <c r="BZ281" s="105"/>
      <c r="CA281" s="105"/>
      <c r="CB281" s="105"/>
      <c r="CC281" s="105"/>
      <c r="CD281" s="105"/>
      <c r="CE281" s="105"/>
      <c r="CF281" s="105"/>
      <c r="CG281" s="105"/>
      <c r="CH281" s="105"/>
      <c r="CI281" s="105"/>
      <c r="CJ281" s="105"/>
      <c r="CK281" s="105"/>
      <c r="CL281" s="105"/>
      <c r="CM281" s="105"/>
      <c r="CN281" s="105"/>
      <c r="CO281" s="105"/>
      <c r="CP281" s="105"/>
      <c r="CQ281" s="105"/>
      <c r="CR281" s="105"/>
      <c r="CS281" s="105"/>
      <c r="CT281" s="105"/>
      <c r="CU281" s="105"/>
      <c r="CV281" s="105"/>
      <c r="CW281" s="105"/>
      <c r="CX281" s="105"/>
      <c r="CY281" s="105"/>
      <c r="CZ281" s="105"/>
      <c r="DA281" s="105"/>
      <c r="DB281" s="105"/>
      <c r="DC281" s="105"/>
      <c r="DD281" s="105"/>
      <c r="DE281" s="105"/>
      <c r="DF281" s="105"/>
      <c r="DG281" s="105"/>
      <c r="DH281" s="105"/>
      <c r="DI281" s="105"/>
      <c r="DJ281" s="105"/>
      <c r="DK281" s="105"/>
      <c r="DL281" s="105"/>
      <c r="DM281" s="105"/>
      <c r="DN281" s="105"/>
      <c r="DO281" s="105"/>
      <c r="DP281" s="105"/>
      <c r="DQ281" s="105"/>
      <c r="DR281" s="105"/>
      <c r="DS281" s="105"/>
      <c r="DT281" s="105"/>
      <c r="DU281" s="105"/>
      <c r="DV281" s="105"/>
      <c r="DW281" s="105"/>
      <c r="DX281" s="105"/>
      <c r="DY281" s="105"/>
      <c r="DZ281" s="105"/>
      <c r="EA281" s="105"/>
      <c r="EB281" s="105"/>
      <c r="EC281" s="105"/>
      <c r="ED281" s="105"/>
      <c r="EE281" s="105"/>
      <c r="EF281" s="105"/>
      <c r="EG281" s="105"/>
      <c r="EH281" s="105"/>
      <c r="EI281" s="105"/>
      <c r="EJ281" s="105"/>
      <c r="EK281" s="105"/>
      <c r="EL281" s="105"/>
      <c r="EM281" s="105"/>
      <c r="EN281" s="105"/>
      <c r="EO281" s="105"/>
      <c r="EP281" s="105"/>
      <c r="EQ281" s="105"/>
      <c r="ER281" s="105"/>
      <c r="ES281" s="105"/>
      <c r="ET281" s="105"/>
      <c r="EU281" s="105"/>
      <c r="EV281" s="105"/>
      <c r="EW281" s="105"/>
      <c r="EX281" s="105"/>
      <c r="EY281" s="105"/>
      <c r="EZ281" s="105"/>
      <c r="FA281" s="105"/>
      <c r="FB281" s="105"/>
      <c r="FC281" s="105"/>
      <c r="FD281" s="105"/>
      <c r="FE281" s="105"/>
      <c r="FF281" s="105"/>
      <c r="FG281" s="105"/>
      <c r="FH281" s="105"/>
      <c r="FI281" s="105"/>
      <c r="FJ281" s="105"/>
      <c r="FK281" s="105"/>
      <c r="FL281" s="105"/>
      <c r="FM281" s="105"/>
      <c r="FN281" s="105"/>
      <c r="FO281" s="105"/>
      <c r="FP281" s="105"/>
      <c r="FQ281" s="105"/>
      <c r="FR281" s="105"/>
      <c r="FS281" s="105"/>
      <c r="FT281" s="105"/>
      <c r="FU281" s="105"/>
      <c r="FV281" s="105"/>
      <c r="FW281" s="105"/>
      <c r="FX281" s="105"/>
      <c r="FY281" s="105"/>
      <c r="FZ281" s="105"/>
      <c r="GA281" s="105"/>
      <c r="GB281" s="105"/>
      <c r="GC281" s="105"/>
      <c r="GD281" s="105"/>
      <c r="GE281" s="105"/>
      <c r="GF281" s="105"/>
      <c r="GG281" s="105"/>
      <c r="GH281" s="105"/>
      <c r="GI281" s="105"/>
      <c r="GJ281" s="105"/>
      <c r="GK281" s="105"/>
      <c r="GL281" s="105"/>
      <c r="GM281" s="105"/>
      <c r="GN281" s="105"/>
      <c r="GO281" s="105"/>
      <c r="GP281" s="105"/>
      <c r="GQ281" s="105"/>
      <c r="GR281" s="105"/>
      <c r="GS281" s="105"/>
      <c r="GT281" s="105"/>
      <c r="GU281" s="105"/>
      <c r="GV281" s="105"/>
      <c r="GW281" s="105"/>
      <c r="GX281" s="105"/>
      <c r="GY281" s="105"/>
      <c r="GZ281" s="105"/>
      <c r="HA281" s="105"/>
      <c r="HB281" s="105"/>
      <c r="HC281" s="105"/>
      <c r="HD281" s="105"/>
      <c r="HE281" s="105"/>
      <c r="HF281" s="105"/>
      <c r="HG281" s="105"/>
      <c r="HH281" s="105"/>
      <c r="HI281" s="105"/>
      <c r="HJ281" s="105"/>
      <c r="HK281" s="105"/>
      <c r="HL281" s="105"/>
      <c r="HM281" s="105"/>
      <c r="HN281" s="105"/>
      <c r="HO281" s="105"/>
      <c r="HP281" s="105"/>
      <c r="HQ281" s="105"/>
      <c r="HR281" s="105"/>
      <c r="HS281" s="105"/>
      <c r="HT281" s="105"/>
      <c r="HU281" s="105"/>
      <c r="HV281" s="105"/>
      <c r="HW281" s="105"/>
      <c r="HX281" s="105"/>
      <c r="HY281" s="105"/>
      <c r="HZ281" s="105"/>
      <c r="IA281" s="105"/>
      <c r="IB281" s="105"/>
      <c r="IC281" s="105"/>
      <c r="ID281" s="105"/>
      <c r="IE281" s="105"/>
      <c r="IF281" s="105"/>
      <c r="IG281" s="105"/>
      <c r="IH281" s="105"/>
      <c r="II281" s="105"/>
      <c r="IJ281" s="105"/>
      <c r="IK281" s="105"/>
      <c r="IL281" s="105"/>
      <c r="IM281" s="105"/>
      <c r="IN281" s="105"/>
      <c r="IO281" s="105"/>
      <c r="IP281" s="105"/>
      <c r="IQ281" s="105"/>
      <c r="IR281" s="105"/>
      <c r="IS281" s="105"/>
    </row>
    <row r="282" spans="1:253">
      <c r="A282" s="116"/>
      <c r="B282" s="105"/>
      <c r="C282" s="116"/>
      <c r="D282" s="116"/>
      <c r="E282" s="116"/>
      <c r="F282" s="116"/>
      <c r="G282" s="116"/>
      <c r="H282" s="116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 s="105"/>
      <c r="BK282" s="105"/>
      <c r="BL282" s="105"/>
      <c r="BM282" s="105"/>
      <c r="BN282" s="105"/>
      <c r="BO282" s="105"/>
      <c r="BP282" s="105"/>
      <c r="BQ282" s="105"/>
      <c r="BR282" s="105"/>
      <c r="BS282" s="105"/>
      <c r="BT282" s="105"/>
      <c r="BU282" s="105"/>
      <c r="BV282" s="105"/>
      <c r="BW282" s="105"/>
      <c r="BX282" s="105"/>
      <c r="BY282" s="105"/>
      <c r="BZ282" s="105"/>
      <c r="CA282" s="105"/>
      <c r="CB282" s="105"/>
      <c r="CC282" s="105"/>
      <c r="CD282" s="105"/>
      <c r="CE282" s="105"/>
      <c r="CF282" s="105"/>
      <c r="CG282" s="105"/>
      <c r="CH282" s="105"/>
      <c r="CI282" s="105"/>
      <c r="CJ282" s="105"/>
      <c r="CK282" s="105"/>
      <c r="CL282" s="105"/>
      <c r="CM282" s="105"/>
      <c r="CN282" s="105"/>
      <c r="CO282" s="105"/>
      <c r="CP282" s="105"/>
      <c r="CQ282" s="105"/>
      <c r="CR282" s="105"/>
      <c r="CS282" s="105"/>
      <c r="CT282" s="105"/>
      <c r="CU282" s="105"/>
      <c r="CV282" s="105"/>
      <c r="CW282" s="105"/>
      <c r="CX282" s="105"/>
      <c r="CY282" s="105"/>
      <c r="CZ282" s="105"/>
      <c r="DA282" s="105"/>
      <c r="DB282" s="105"/>
      <c r="DC282" s="105"/>
      <c r="DD282" s="105"/>
      <c r="DE282" s="105"/>
      <c r="DF282" s="105"/>
      <c r="DG282" s="105"/>
      <c r="DH282" s="105"/>
      <c r="DI282" s="105"/>
      <c r="DJ282" s="105"/>
      <c r="DK282" s="105"/>
      <c r="DL282" s="105"/>
      <c r="DM282" s="105"/>
      <c r="DN282" s="105"/>
      <c r="DO282" s="105"/>
      <c r="DP282" s="105"/>
      <c r="DQ282" s="105"/>
      <c r="DR282" s="105"/>
      <c r="DS282" s="105"/>
      <c r="DT282" s="105"/>
      <c r="DU282" s="105"/>
      <c r="DV282" s="105"/>
      <c r="DW282" s="105"/>
      <c r="DX282" s="105"/>
      <c r="DY282" s="105"/>
      <c r="DZ282" s="105"/>
      <c r="EA282" s="105"/>
      <c r="EB282" s="105"/>
      <c r="EC282" s="105"/>
      <c r="ED282" s="105"/>
      <c r="EE282" s="105"/>
      <c r="EF282" s="105"/>
      <c r="EG282" s="105"/>
      <c r="EH282" s="105"/>
      <c r="EI282" s="105"/>
      <c r="EJ282" s="105"/>
      <c r="EK282" s="105"/>
      <c r="EL282" s="105"/>
      <c r="EM282" s="105"/>
      <c r="EN282" s="105"/>
      <c r="EO282" s="105"/>
      <c r="EP282" s="105"/>
      <c r="EQ282" s="105"/>
      <c r="ER282" s="105"/>
      <c r="ES282" s="105"/>
      <c r="ET282" s="105"/>
      <c r="EU282" s="105"/>
      <c r="EV282" s="105"/>
      <c r="EW282" s="105"/>
      <c r="EX282" s="105"/>
      <c r="EY282" s="105"/>
      <c r="EZ282" s="105"/>
      <c r="FA282" s="105"/>
      <c r="FB282" s="105"/>
      <c r="FC282" s="105"/>
      <c r="FD282" s="105"/>
      <c r="FE282" s="105"/>
      <c r="FF282" s="105"/>
      <c r="FG282" s="105"/>
      <c r="FH282" s="105"/>
      <c r="FI282" s="105"/>
      <c r="FJ282" s="105"/>
      <c r="FK282" s="105"/>
      <c r="FL282" s="105"/>
      <c r="FM282" s="105"/>
      <c r="FN282" s="105"/>
      <c r="FO282" s="105"/>
      <c r="FP282" s="105"/>
      <c r="FQ282" s="105"/>
      <c r="FR282" s="105"/>
      <c r="FS282" s="105"/>
      <c r="FT282" s="105"/>
      <c r="FU282" s="105"/>
      <c r="FV282" s="105"/>
      <c r="FW282" s="105"/>
      <c r="FX282" s="105"/>
      <c r="FY282" s="105"/>
      <c r="FZ282" s="105"/>
      <c r="GA282" s="105"/>
      <c r="GB282" s="105"/>
      <c r="GC282" s="105"/>
      <c r="GD282" s="105"/>
      <c r="GE282" s="105"/>
      <c r="GF282" s="105"/>
      <c r="GG282" s="105"/>
      <c r="GH282" s="105"/>
      <c r="GI282" s="105"/>
      <c r="GJ282" s="105"/>
      <c r="GK282" s="105"/>
      <c r="GL282" s="105"/>
      <c r="GM282" s="105"/>
      <c r="GN282" s="105"/>
      <c r="GO282" s="105"/>
      <c r="GP282" s="105"/>
      <c r="GQ282" s="105"/>
      <c r="GR282" s="105"/>
      <c r="GS282" s="105"/>
      <c r="GT282" s="105"/>
      <c r="GU282" s="105"/>
      <c r="GV282" s="105"/>
      <c r="GW282" s="105"/>
      <c r="GX282" s="105"/>
      <c r="GY282" s="105"/>
      <c r="GZ282" s="105"/>
      <c r="HA282" s="105"/>
      <c r="HB282" s="105"/>
      <c r="HC282" s="105"/>
      <c r="HD282" s="105"/>
      <c r="HE282" s="105"/>
      <c r="HF282" s="105"/>
      <c r="HG282" s="105"/>
      <c r="HH282" s="105"/>
      <c r="HI282" s="105"/>
      <c r="HJ282" s="105"/>
      <c r="HK282" s="105"/>
      <c r="HL282" s="105"/>
      <c r="HM282" s="105"/>
      <c r="HN282" s="105"/>
      <c r="HO282" s="105"/>
      <c r="HP282" s="105"/>
      <c r="HQ282" s="105"/>
      <c r="HR282" s="105"/>
      <c r="HS282" s="105"/>
      <c r="HT282" s="105"/>
      <c r="HU282" s="105"/>
      <c r="HV282" s="105"/>
      <c r="HW282" s="105"/>
      <c r="HX282" s="105"/>
      <c r="HY282" s="105"/>
      <c r="HZ282" s="105"/>
      <c r="IA282" s="105"/>
      <c r="IB282" s="105"/>
      <c r="IC282" s="105"/>
      <c r="ID282" s="105"/>
      <c r="IE282" s="105"/>
      <c r="IF282" s="105"/>
      <c r="IG282" s="105"/>
      <c r="IH282" s="105"/>
      <c r="II282" s="105"/>
      <c r="IJ282" s="105"/>
      <c r="IK282" s="105"/>
      <c r="IL282" s="105"/>
      <c r="IM282" s="105"/>
      <c r="IN282" s="105"/>
      <c r="IO282" s="105"/>
      <c r="IP282" s="105"/>
      <c r="IQ282" s="105"/>
      <c r="IR282" s="105"/>
      <c r="IS282" s="105"/>
    </row>
    <row r="283" spans="1:253">
      <c r="A283" s="116"/>
      <c r="B283" s="105"/>
      <c r="C283" s="116"/>
      <c r="D283" s="116"/>
      <c r="E283" s="116"/>
      <c r="F283" s="116"/>
      <c r="G283" s="116"/>
      <c r="H283" s="116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5"/>
      <c r="BK283" s="105"/>
      <c r="BL283" s="105"/>
      <c r="BM283" s="105"/>
      <c r="BN283" s="105"/>
      <c r="BO283" s="105"/>
      <c r="BP283" s="105"/>
      <c r="BQ283" s="105"/>
      <c r="BR283" s="105"/>
      <c r="BS283" s="105"/>
      <c r="BT283" s="105"/>
      <c r="BU283" s="105"/>
      <c r="BV283" s="105"/>
      <c r="BW283" s="105"/>
      <c r="BX283" s="105"/>
      <c r="BY283" s="105"/>
      <c r="BZ283" s="105"/>
      <c r="CA283" s="105"/>
      <c r="CB283" s="105"/>
      <c r="CC283" s="105"/>
      <c r="CD283" s="105"/>
      <c r="CE283" s="105"/>
      <c r="CF283" s="105"/>
      <c r="CG283" s="105"/>
      <c r="CH283" s="105"/>
      <c r="CI283" s="105"/>
      <c r="CJ283" s="105"/>
      <c r="CK283" s="105"/>
      <c r="CL283" s="105"/>
      <c r="CM283" s="105"/>
      <c r="CN283" s="105"/>
      <c r="CO283" s="105"/>
      <c r="CP283" s="105"/>
      <c r="CQ283" s="105"/>
      <c r="CR283" s="105"/>
      <c r="CS283" s="105"/>
      <c r="CT283" s="105"/>
      <c r="CU283" s="105"/>
      <c r="CV283" s="105"/>
      <c r="CW283" s="105"/>
      <c r="CX283" s="105"/>
      <c r="CY283" s="105"/>
      <c r="CZ283" s="105"/>
      <c r="DA283" s="105"/>
      <c r="DB283" s="105"/>
      <c r="DC283" s="105"/>
      <c r="DD283" s="105"/>
      <c r="DE283" s="105"/>
      <c r="DF283" s="105"/>
      <c r="DG283" s="105"/>
      <c r="DH283" s="105"/>
      <c r="DI283" s="105"/>
      <c r="DJ283" s="105"/>
      <c r="DK283" s="105"/>
      <c r="DL283" s="105"/>
      <c r="DM283" s="105"/>
      <c r="DN283" s="105"/>
      <c r="DO283" s="105"/>
      <c r="DP283" s="105"/>
      <c r="DQ283" s="105"/>
      <c r="DR283" s="105"/>
      <c r="DS283" s="105"/>
      <c r="DT283" s="105"/>
      <c r="DU283" s="105"/>
      <c r="DV283" s="105"/>
      <c r="DW283" s="105"/>
      <c r="DX283" s="105"/>
      <c r="DY283" s="105"/>
      <c r="DZ283" s="105"/>
      <c r="EA283" s="105"/>
      <c r="EB283" s="105"/>
      <c r="EC283" s="105"/>
      <c r="ED283" s="105"/>
      <c r="EE283" s="105"/>
      <c r="EF283" s="105"/>
      <c r="EG283" s="105"/>
      <c r="EH283" s="105"/>
      <c r="EI283" s="105"/>
      <c r="EJ283" s="105"/>
      <c r="EK283" s="105"/>
      <c r="EL283" s="105"/>
      <c r="EM283" s="105"/>
      <c r="EN283" s="105"/>
      <c r="EO283" s="105"/>
      <c r="EP283" s="105"/>
      <c r="EQ283" s="105"/>
      <c r="ER283" s="105"/>
      <c r="ES283" s="105"/>
      <c r="ET283" s="105"/>
      <c r="EU283" s="105"/>
      <c r="EV283" s="105"/>
      <c r="EW283" s="105"/>
      <c r="EX283" s="105"/>
      <c r="EY283" s="105"/>
      <c r="EZ283" s="105"/>
      <c r="FA283" s="105"/>
      <c r="FB283" s="105"/>
      <c r="FC283" s="105"/>
      <c r="FD283" s="105"/>
      <c r="FE283" s="105"/>
      <c r="FF283" s="105"/>
      <c r="FG283" s="105"/>
      <c r="FH283" s="105"/>
      <c r="FI283" s="105"/>
      <c r="FJ283" s="105"/>
      <c r="FK283" s="105"/>
      <c r="FL283" s="105"/>
      <c r="FM283" s="105"/>
      <c r="FN283" s="105"/>
      <c r="FO283" s="105"/>
      <c r="FP283" s="105"/>
      <c r="FQ283" s="105"/>
      <c r="FR283" s="105"/>
      <c r="FS283" s="105"/>
      <c r="FT283" s="105"/>
      <c r="FU283" s="105"/>
      <c r="FV283" s="105"/>
      <c r="FW283" s="105"/>
      <c r="FX283" s="105"/>
      <c r="FY283" s="105"/>
      <c r="FZ283" s="105"/>
      <c r="GA283" s="105"/>
      <c r="GB283" s="105"/>
      <c r="GC283" s="105"/>
      <c r="GD283" s="105"/>
      <c r="GE283" s="105"/>
      <c r="GF283" s="105"/>
      <c r="GG283" s="105"/>
      <c r="GH283" s="105"/>
      <c r="GI283" s="105"/>
      <c r="GJ283" s="105"/>
      <c r="GK283" s="105"/>
      <c r="GL283" s="105"/>
      <c r="GM283" s="105"/>
      <c r="GN283" s="105"/>
      <c r="GO283" s="105"/>
      <c r="GP283" s="105"/>
      <c r="GQ283" s="105"/>
      <c r="GR283" s="105"/>
      <c r="GS283" s="105"/>
      <c r="GT283" s="105"/>
      <c r="GU283" s="105"/>
      <c r="GV283" s="105"/>
      <c r="GW283" s="105"/>
      <c r="GX283" s="105"/>
      <c r="GY283" s="105"/>
      <c r="GZ283" s="105"/>
      <c r="HA283" s="105"/>
      <c r="HB283" s="105"/>
      <c r="HC283" s="105"/>
      <c r="HD283" s="105"/>
      <c r="HE283" s="105"/>
      <c r="HF283" s="105"/>
      <c r="HG283" s="105"/>
      <c r="HH283" s="105"/>
      <c r="HI283" s="105"/>
      <c r="HJ283" s="105"/>
      <c r="HK283" s="105"/>
      <c r="HL283" s="105"/>
      <c r="HM283" s="105"/>
      <c r="HN283" s="105"/>
      <c r="HO283" s="105"/>
      <c r="HP283" s="105"/>
      <c r="HQ283" s="105"/>
      <c r="HR283" s="105"/>
      <c r="HS283" s="105"/>
      <c r="HT283" s="105"/>
      <c r="HU283" s="105"/>
      <c r="HV283" s="105"/>
      <c r="HW283" s="105"/>
      <c r="HX283" s="105"/>
      <c r="HY283" s="105"/>
      <c r="HZ283" s="105"/>
      <c r="IA283" s="105"/>
      <c r="IB283" s="105"/>
      <c r="IC283" s="105"/>
      <c r="ID283" s="105"/>
      <c r="IE283" s="105"/>
      <c r="IF283" s="105"/>
      <c r="IG283" s="105"/>
      <c r="IH283" s="105"/>
      <c r="II283" s="105"/>
      <c r="IJ283" s="105"/>
      <c r="IK283" s="105"/>
      <c r="IL283" s="105"/>
      <c r="IM283" s="105"/>
      <c r="IN283" s="105"/>
      <c r="IO283" s="105"/>
      <c r="IP283" s="105"/>
      <c r="IQ283" s="105"/>
      <c r="IR283" s="105"/>
      <c r="IS283" s="105"/>
    </row>
    <row r="284" spans="1:253">
      <c r="A284" s="116"/>
      <c r="B284" s="105"/>
      <c r="C284" s="116"/>
      <c r="D284" s="116"/>
      <c r="E284" s="116"/>
      <c r="F284" s="116"/>
      <c r="G284" s="116"/>
      <c r="H284" s="116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 s="105"/>
      <c r="BK284" s="105"/>
      <c r="BL284" s="105"/>
      <c r="BM284" s="105"/>
      <c r="BN284" s="105"/>
      <c r="BO284" s="105"/>
      <c r="BP284" s="105"/>
      <c r="BQ284" s="105"/>
      <c r="BR284" s="105"/>
      <c r="BS284" s="105"/>
      <c r="BT284" s="105"/>
      <c r="BU284" s="105"/>
      <c r="BV284" s="105"/>
      <c r="BW284" s="105"/>
      <c r="BX284" s="105"/>
      <c r="BY284" s="105"/>
      <c r="BZ284" s="105"/>
      <c r="CA284" s="105"/>
      <c r="CB284" s="105"/>
      <c r="CC284" s="105"/>
      <c r="CD284" s="105"/>
      <c r="CE284" s="105"/>
      <c r="CF284" s="105"/>
      <c r="CG284" s="105"/>
      <c r="CH284" s="105"/>
      <c r="CI284" s="105"/>
      <c r="CJ284" s="105"/>
      <c r="CK284" s="105"/>
      <c r="CL284" s="105"/>
      <c r="CM284" s="105"/>
      <c r="CN284" s="105"/>
      <c r="CO284" s="105"/>
      <c r="CP284" s="105"/>
      <c r="CQ284" s="105"/>
      <c r="CR284" s="105"/>
      <c r="CS284" s="105"/>
      <c r="CT284" s="105"/>
      <c r="CU284" s="105"/>
      <c r="CV284" s="105"/>
      <c r="CW284" s="105"/>
      <c r="CX284" s="105"/>
      <c r="CY284" s="105"/>
      <c r="CZ284" s="105"/>
      <c r="DA284" s="105"/>
      <c r="DB284" s="105"/>
      <c r="DC284" s="105"/>
      <c r="DD284" s="105"/>
      <c r="DE284" s="105"/>
      <c r="DF284" s="105"/>
      <c r="DG284" s="105"/>
      <c r="DH284" s="105"/>
      <c r="DI284" s="105"/>
      <c r="DJ284" s="105"/>
      <c r="DK284" s="105"/>
      <c r="DL284" s="105"/>
      <c r="DM284" s="105"/>
      <c r="DN284" s="105"/>
      <c r="DO284" s="105"/>
      <c r="DP284" s="105"/>
      <c r="DQ284" s="105"/>
      <c r="DR284" s="105"/>
      <c r="DS284" s="105"/>
      <c r="DT284" s="105"/>
      <c r="DU284" s="105"/>
      <c r="DV284" s="105"/>
      <c r="DW284" s="105"/>
      <c r="DX284" s="105"/>
      <c r="DY284" s="105"/>
      <c r="DZ284" s="105"/>
      <c r="EA284" s="105"/>
      <c r="EB284" s="105"/>
      <c r="EC284" s="105"/>
      <c r="ED284" s="105"/>
      <c r="EE284" s="105"/>
      <c r="EF284" s="105"/>
      <c r="EG284" s="105"/>
      <c r="EH284" s="105"/>
      <c r="EI284" s="105"/>
      <c r="EJ284" s="105"/>
      <c r="EK284" s="105"/>
      <c r="EL284" s="105"/>
      <c r="EM284" s="105"/>
      <c r="EN284" s="105"/>
      <c r="EO284" s="105"/>
      <c r="EP284" s="105"/>
      <c r="EQ284" s="105"/>
      <c r="ER284" s="105"/>
      <c r="ES284" s="105"/>
      <c r="ET284" s="105"/>
      <c r="EU284" s="105"/>
      <c r="EV284" s="105"/>
      <c r="EW284" s="105"/>
      <c r="EX284" s="105"/>
      <c r="EY284" s="105"/>
      <c r="EZ284" s="105"/>
      <c r="FA284" s="105"/>
      <c r="FB284" s="105"/>
      <c r="FC284" s="105"/>
      <c r="FD284" s="105"/>
      <c r="FE284" s="105"/>
      <c r="FF284" s="105"/>
      <c r="FG284" s="105"/>
      <c r="FH284" s="105"/>
      <c r="FI284" s="105"/>
      <c r="FJ284" s="105"/>
      <c r="FK284" s="105"/>
      <c r="FL284" s="105"/>
      <c r="FM284" s="105"/>
      <c r="FN284" s="105"/>
      <c r="FO284" s="105"/>
      <c r="FP284" s="105"/>
      <c r="FQ284" s="105"/>
      <c r="FR284" s="105"/>
      <c r="FS284" s="105"/>
      <c r="FT284" s="105"/>
      <c r="FU284" s="105"/>
      <c r="FV284" s="105"/>
      <c r="FW284" s="105"/>
      <c r="FX284" s="105"/>
      <c r="FY284" s="105"/>
      <c r="FZ284" s="105"/>
      <c r="GA284" s="105"/>
      <c r="GB284" s="105"/>
      <c r="GC284" s="105"/>
      <c r="GD284" s="105"/>
      <c r="GE284" s="105"/>
      <c r="GF284" s="105"/>
      <c r="GG284" s="105"/>
      <c r="GH284" s="105"/>
      <c r="GI284" s="105"/>
      <c r="GJ284" s="105"/>
      <c r="GK284" s="105"/>
      <c r="GL284" s="105"/>
      <c r="GM284" s="105"/>
      <c r="GN284" s="105"/>
      <c r="GO284" s="105"/>
      <c r="GP284" s="105"/>
      <c r="GQ284" s="105"/>
      <c r="GR284" s="105"/>
      <c r="GS284" s="105"/>
      <c r="GT284" s="105"/>
      <c r="GU284" s="105"/>
      <c r="GV284" s="105"/>
      <c r="GW284" s="105"/>
      <c r="GX284" s="105"/>
      <c r="GY284" s="105"/>
      <c r="GZ284" s="105"/>
      <c r="HA284" s="105"/>
      <c r="HB284" s="105"/>
      <c r="HC284" s="105"/>
      <c r="HD284" s="105"/>
      <c r="HE284" s="105"/>
      <c r="HF284" s="105"/>
      <c r="HG284" s="105"/>
      <c r="HH284" s="105"/>
      <c r="HI284" s="105"/>
      <c r="HJ284" s="105"/>
      <c r="HK284" s="105"/>
      <c r="HL284" s="105"/>
      <c r="HM284" s="105"/>
      <c r="HN284" s="105"/>
      <c r="HO284" s="105"/>
      <c r="HP284" s="105"/>
      <c r="HQ284" s="105"/>
      <c r="HR284" s="105"/>
      <c r="HS284" s="105"/>
      <c r="HT284" s="105"/>
      <c r="HU284" s="105"/>
      <c r="HV284" s="105"/>
      <c r="HW284" s="105"/>
      <c r="HX284" s="105"/>
      <c r="HY284" s="105"/>
      <c r="HZ284" s="105"/>
      <c r="IA284" s="105"/>
      <c r="IB284" s="105"/>
      <c r="IC284" s="105"/>
      <c r="ID284" s="105"/>
      <c r="IE284" s="105"/>
      <c r="IF284" s="105"/>
      <c r="IG284" s="105"/>
      <c r="IH284" s="105"/>
      <c r="II284" s="105"/>
      <c r="IJ284" s="105"/>
      <c r="IK284" s="105"/>
      <c r="IL284" s="105"/>
      <c r="IM284" s="105"/>
      <c r="IN284" s="105"/>
      <c r="IO284" s="105"/>
      <c r="IP284" s="105"/>
      <c r="IQ284" s="105"/>
      <c r="IR284" s="105"/>
      <c r="IS284" s="105"/>
    </row>
    <row r="285" spans="1:253">
      <c r="A285" s="116"/>
      <c r="B285" s="105"/>
      <c r="C285" s="116"/>
      <c r="D285" s="116"/>
      <c r="E285" s="116"/>
      <c r="F285" s="116"/>
      <c r="G285" s="116"/>
      <c r="H285" s="116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5"/>
      <c r="BK285" s="105"/>
      <c r="BL285" s="105"/>
      <c r="BM285" s="105"/>
      <c r="BN285" s="105"/>
      <c r="BO285" s="105"/>
      <c r="BP285" s="105"/>
      <c r="BQ285" s="105"/>
      <c r="BR285" s="105"/>
      <c r="BS285" s="105"/>
      <c r="BT285" s="105"/>
      <c r="BU285" s="105"/>
      <c r="BV285" s="105"/>
      <c r="BW285" s="105"/>
      <c r="BX285" s="105"/>
      <c r="BY285" s="105"/>
      <c r="BZ285" s="105"/>
      <c r="CA285" s="105"/>
      <c r="CB285" s="105"/>
      <c r="CC285" s="105"/>
      <c r="CD285" s="105"/>
      <c r="CE285" s="105"/>
      <c r="CF285" s="105"/>
      <c r="CG285" s="105"/>
      <c r="CH285" s="105"/>
      <c r="CI285" s="105"/>
      <c r="CJ285" s="105"/>
      <c r="CK285" s="105"/>
      <c r="CL285" s="105"/>
      <c r="CM285" s="105"/>
      <c r="CN285" s="105"/>
      <c r="CO285" s="105"/>
      <c r="CP285" s="105"/>
      <c r="CQ285" s="105"/>
      <c r="CR285" s="105"/>
      <c r="CS285" s="105"/>
      <c r="CT285" s="105"/>
      <c r="CU285" s="105"/>
      <c r="CV285" s="105"/>
      <c r="CW285" s="105"/>
      <c r="CX285" s="105"/>
      <c r="CY285" s="105"/>
      <c r="CZ285" s="105"/>
      <c r="DA285" s="105"/>
      <c r="DB285" s="105"/>
      <c r="DC285" s="105"/>
      <c r="DD285" s="105"/>
      <c r="DE285" s="105"/>
      <c r="DF285" s="105"/>
      <c r="DG285" s="105"/>
      <c r="DH285" s="105"/>
      <c r="DI285" s="105"/>
      <c r="DJ285" s="105"/>
      <c r="DK285" s="105"/>
      <c r="DL285" s="105"/>
      <c r="DM285" s="105"/>
      <c r="DN285" s="105"/>
      <c r="DO285" s="105"/>
      <c r="DP285" s="105"/>
      <c r="DQ285" s="105"/>
      <c r="DR285" s="105"/>
      <c r="DS285" s="105"/>
      <c r="DT285" s="105"/>
      <c r="DU285" s="105"/>
      <c r="DV285" s="105"/>
      <c r="DW285" s="105"/>
      <c r="DX285" s="105"/>
      <c r="DY285" s="105"/>
      <c r="DZ285" s="105"/>
      <c r="EA285" s="105"/>
      <c r="EB285" s="105"/>
      <c r="EC285" s="105"/>
      <c r="ED285" s="105"/>
      <c r="EE285" s="105"/>
      <c r="EF285" s="105"/>
      <c r="EG285" s="105"/>
      <c r="EH285" s="105"/>
      <c r="EI285" s="105"/>
      <c r="EJ285" s="105"/>
      <c r="EK285" s="105"/>
      <c r="EL285" s="105"/>
      <c r="EM285" s="105"/>
      <c r="EN285" s="105"/>
      <c r="EO285" s="105"/>
      <c r="EP285" s="105"/>
      <c r="EQ285" s="105"/>
      <c r="ER285" s="105"/>
      <c r="ES285" s="105"/>
      <c r="ET285" s="105"/>
      <c r="EU285" s="105"/>
      <c r="EV285" s="105"/>
      <c r="EW285" s="105"/>
      <c r="EX285" s="105"/>
      <c r="EY285" s="105"/>
      <c r="EZ285" s="105"/>
      <c r="FA285" s="105"/>
      <c r="FB285" s="105"/>
      <c r="FC285" s="105"/>
      <c r="FD285" s="105"/>
      <c r="FE285" s="105"/>
      <c r="FF285" s="105"/>
      <c r="FG285" s="105"/>
      <c r="FH285" s="105"/>
      <c r="FI285" s="105"/>
      <c r="FJ285" s="105"/>
      <c r="FK285" s="105"/>
      <c r="FL285" s="105"/>
      <c r="FM285" s="105"/>
      <c r="FN285" s="105"/>
      <c r="FO285" s="105"/>
      <c r="FP285" s="105"/>
      <c r="FQ285" s="105"/>
      <c r="FR285" s="105"/>
      <c r="FS285" s="105"/>
      <c r="FT285" s="105"/>
      <c r="FU285" s="105"/>
      <c r="FV285" s="105"/>
      <c r="FW285" s="105"/>
      <c r="FX285" s="105"/>
      <c r="FY285" s="105"/>
      <c r="FZ285" s="105"/>
      <c r="GA285" s="105"/>
      <c r="GB285" s="105"/>
      <c r="GC285" s="105"/>
      <c r="GD285" s="105"/>
      <c r="GE285" s="105"/>
      <c r="GF285" s="105"/>
      <c r="GG285" s="105"/>
      <c r="GH285" s="105"/>
      <c r="GI285" s="105"/>
      <c r="GJ285" s="105"/>
      <c r="GK285" s="105"/>
      <c r="GL285" s="105"/>
      <c r="GM285" s="105"/>
      <c r="GN285" s="105"/>
      <c r="GO285" s="105"/>
      <c r="GP285" s="105"/>
      <c r="GQ285" s="105"/>
      <c r="GR285" s="105"/>
      <c r="GS285" s="105"/>
      <c r="GT285" s="105"/>
      <c r="GU285" s="105"/>
      <c r="GV285" s="105"/>
      <c r="GW285" s="105"/>
      <c r="GX285" s="105"/>
      <c r="GY285" s="105"/>
      <c r="GZ285" s="105"/>
      <c r="HA285" s="105"/>
      <c r="HB285" s="105"/>
      <c r="HC285" s="105"/>
      <c r="HD285" s="105"/>
      <c r="HE285" s="105"/>
      <c r="HF285" s="105"/>
      <c r="HG285" s="105"/>
      <c r="HH285" s="105"/>
      <c r="HI285" s="105"/>
      <c r="HJ285" s="105"/>
      <c r="HK285" s="105"/>
      <c r="HL285" s="105"/>
      <c r="HM285" s="105"/>
      <c r="HN285" s="105"/>
      <c r="HO285" s="105"/>
      <c r="HP285" s="105"/>
      <c r="HQ285" s="105"/>
      <c r="HR285" s="105"/>
      <c r="HS285" s="105"/>
      <c r="HT285" s="105"/>
      <c r="HU285" s="105"/>
      <c r="HV285" s="105"/>
      <c r="HW285" s="105"/>
      <c r="HX285" s="105"/>
      <c r="HY285" s="105"/>
      <c r="HZ285" s="105"/>
      <c r="IA285" s="105"/>
      <c r="IB285" s="105"/>
      <c r="IC285" s="105"/>
      <c r="ID285" s="105"/>
      <c r="IE285" s="105"/>
      <c r="IF285" s="105"/>
      <c r="IG285" s="105"/>
      <c r="IH285" s="105"/>
      <c r="II285" s="105"/>
      <c r="IJ285" s="105"/>
      <c r="IK285" s="105"/>
      <c r="IL285" s="105"/>
      <c r="IM285" s="105"/>
      <c r="IN285" s="105"/>
      <c r="IO285" s="105"/>
      <c r="IP285" s="105"/>
      <c r="IQ285" s="105"/>
      <c r="IR285" s="105"/>
      <c r="IS285" s="105"/>
    </row>
    <row r="286" spans="1:253">
      <c r="A286" s="116"/>
      <c r="B286" s="105"/>
      <c r="C286" s="116"/>
      <c r="D286" s="116"/>
      <c r="E286" s="116"/>
      <c r="F286" s="116"/>
      <c r="G286" s="116"/>
      <c r="H286" s="116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05"/>
      <c r="BG286" s="105"/>
      <c r="BH286" s="105"/>
      <c r="BI286" s="105"/>
      <c r="BJ286" s="105"/>
      <c r="BK286" s="105"/>
      <c r="BL286" s="105"/>
      <c r="BM286" s="105"/>
      <c r="BN286" s="105"/>
      <c r="BO286" s="105"/>
      <c r="BP286" s="105"/>
      <c r="BQ286" s="105"/>
      <c r="BR286" s="105"/>
      <c r="BS286" s="105"/>
      <c r="BT286" s="105"/>
      <c r="BU286" s="105"/>
      <c r="BV286" s="105"/>
      <c r="BW286" s="105"/>
      <c r="BX286" s="105"/>
      <c r="BY286" s="105"/>
      <c r="BZ286" s="105"/>
      <c r="CA286" s="105"/>
      <c r="CB286" s="105"/>
      <c r="CC286" s="105"/>
      <c r="CD286" s="105"/>
      <c r="CE286" s="105"/>
      <c r="CF286" s="105"/>
      <c r="CG286" s="105"/>
      <c r="CH286" s="105"/>
      <c r="CI286" s="105"/>
      <c r="CJ286" s="105"/>
      <c r="CK286" s="105"/>
      <c r="CL286" s="105"/>
      <c r="CM286" s="105"/>
      <c r="CN286" s="105"/>
      <c r="CO286" s="105"/>
      <c r="CP286" s="105"/>
      <c r="CQ286" s="105"/>
      <c r="CR286" s="105"/>
      <c r="CS286" s="105"/>
      <c r="CT286" s="105"/>
      <c r="CU286" s="105"/>
      <c r="CV286" s="105"/>
      <c r="CW286" s="105"/>
      <c r="CX286" s="105"/>
      <c r="CY286" s="105"/>
      <c r="CZ286" s="105"/>
      <c r="DA286" s="105"/>
      <c r="DB286" s="105"/>
      <c r="DC286" s="105"/>
      <c r="DD286" s="105"/>
      <c r="DE286" s="105"/>
      <c r="DF286" s="105"/>
      <c r="DG286" s="105"/>
      <c r="DH286" s="105"/>
      <c r="DI286" s="105"/>
      <c r="DJ286" s="105"/>
      <c r="DK286" s="105"/>
      <c r="DL286" s="105"/>
      <c r="DM286" s="105"/>
      <c r="DN286" s="105"/>
      <c r="DO286" s="105"/>
      <c r="DP286" s="105"/>
      <c r="DQ286" s="105"/>
      <c r="DR286" s="105"/>
      <c r="DS286" s="105"/>
      <c r="DT286" s="105"/>
      <c r="DU286" s="105"/>
      <c r="DV286" s="105"/>
      <c r="DW286" s="105"/>
      <c r="DX286" s="105"/>
      <c r="DY286" s="105"/>
      <c r="DZ286" s="105"/>
      <c r="EA286" s="105"/>
      <c r="EB286" s="105"/>
      <c r="EC286" s="105"/>
      <c r="ED286" s="105"/>
      <c r="EE286" s="105"/>
      <c r="EF286" s="105"/>
      <c r="EG286" s="105"/>
      <c r="EH286" s="105"/>
      <c r="EI286" s="105"/>
      <c r="EJ286" s="105"/>
      <c r="EK286" s="105"/>
      <c r="EL286" s="105"/>
      <c r="EM286" s="105"/>
      <c r="EN286" s="105"/>
      <c r="EO286" s="105"/>
      <c r="EP286" s="105"/>
      <c r="EQ286" s="105"/>
      <c r="ER286" s="105"/>
      <c r="ES286" s="105"/>
      <c r="ET286" s="105"/>
      <c r="EU286" s="105"/>
      <c r="EV286" s="105"/>
      <c r="EW286" s="105"/>
      <c r="EX286" s="105"/>
      <c r="EY286" s="105"/>
      <c r="EZ286" s="105"/>
      <c r="FA286" s="105"/>
      <c r="FB286" s="105"/>
      <c r="FC286" s="105"/>
      <c r="FD286" s="105"/>
      <c r="FE286" s="105"/>
      <c r="FF286" s="105"/>
      <c r="FG286" s="105"/>
      <c r="FH286" s="105"/>
      <c r="FI286" s="105"/>
      <c r="FJ286" s="105"/>
      <c r="FK286" s="105"/>
      <c r="FL286" s="105"/>
      <c r="FM286" s="105"/>
      <c r="FN286" s="105"/>
      <c r="FO286" s="105"/>
      <c r="FP286" s="105"/>
      <c r="FQ286" s="105"/>
      <c r="FR286" s="105"/>
      <c r="FS286" s="105"/>
      <c r="FT286" s="105"/>
      <c r="FU286" s="105"/>
      <c r="FV286" s="105"/>
      <c r="FW286" s="105"/>
      <c r="FX286" s="105"/>
      <c r="FY286" s="105"/>
      <c r="FZ286" s="105"/>
      <c r="GA286" s="105"/>
      <c r="GB286" s="105"/>
      <c r="GC286" s="105"/>
      <c r="GD286" s="105"/>
      <c r="GE286" s="105"/>
      <c r="GF286" s="105"/>
      <c r="GG286" s="105"/>
      <c r="GH286" s="105"/>
      <c r="GI286" s="105"/>
      <c r="GJ286" s="105"/>
      <c r="GK286" s="105"/>
      <c r="GL286" s="105"/>
      <c r="GM286" s="105"/>
      <c r="GN286" s="105"/>
      <c r="GO286" s="105"/>
      <c r="GP286" s="105"/>
      <c r="GQ286" s="105"/>
      <c r="GR286" s="105"/>
      <c r="GS286" s="105"/>
      <c r="GT286" s="105"/>
      <c r="GU286" s="105"/>
      <c r="GV286" s="105"/>
      <c r="GW286" s="105"/>
      <c r="GX286" s="105"/>
      <c r="GY286" s="105"/>
      <c r="GZ286" s="105"/>
      <c r="HA286" s="105"/>
      <c r="HB286" s="105"/>
      <c r="HC286" s="105"/>
      <c r="HD286" s="105"/>
      <c r="HE286" s="105"/>
      <c r="HF286" s="105"/>
      <c r="HG286" s="105"/>
      <c r="HH286" s="105"/>
      <c r="HI286" s="105"/>
      <c r="HJ286" s="105"/>
      <c r="HK286" s="105"/>
      <c r="HL286" s="105"/>
      <c r="HM286" s="105"/>
      <c r="HN286" s="105"/>
      <c r="HO286" s="105"/>
      <c r="HP286" s="105"/>
      <c r="HQ286" s="105"/>
      <c r="HR286" s="105"/>
      <c r="HS286" s="105"/>
      <c r="HT286" s="105"/>
      <c r="HU286" s="105"/>
      <c r="HV286" s="105"/>
      <c r="HW286" s="105"/>
      <c r="HX286" s="105"/>
      <c r="HY286" s="105"/>
      <c r="HZ286" s="105"/>
      <c r="IA286" s="105"/>
      <c r="IB286" s="105"/>
      <c r="IC286" s="105"/>
      <c r="ID286" s="105"/>
      <c r="IE286" s="105"/>
      <c r="IF286" s="105"/>
      <c r="IG286" s="105"/>
      <c r="IH286" s="105"/>
      <c r="II286" s="105"/>
      <c r="IJ286" s="105"/>
      <c r="IK286" s="105"/>
      <c r="IL286" s="105"/>
      <c r="IM286" s="105"/>
      <c r="IN286" s="105"/>
      <c r="IO286" s="105"/>
      <c r="IP286" s="105"/>
      <c r="IQ286" s="105"/>
      <c r="IR286" s="105"/>
      <c r="IS286" s="105"/>
    </row>
    <row r="287" spans="1:253">
      <c r="A287" s="116"/>
      <c r="B287" s="105"/>
      <c r="C287" s="116"/>
      <c r="D287" s="116"/>
      <c r="E287" s="116"/>
      <c r="F287" s="116"/>
      <c r="G287" s="116"/>
      <c r="H287" s="116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 s="105"/>
      <c r="BK287" s="105"/>
      <c r="BL287" s="105"/>
      <c r="BM287" s="105"/>
      <c r="BN287" s="105"/>
      <c r="BO287" s="105"/>
      <c r="BP287" s="105"/>
      <c r="BQ287" s="105"/>
      <c r="BR287" s="105"/>
      <c r="BS287" s="105"/>
      <c r="BT287" s="105"/>
      <c r="BU287" s="105"/>
      <c r="BV287" s="105"/>
      <c r="BW287" s="105"/>
      <c r="BX287" s="105"/>
      <c r="BY287" s="105"/>
      <c r="BZ287" s="105"/>
      <c r="CA287" s="105"/>
      <c r="CB287" s="105"/>
      <c r="CC287" s="105"/>
      <c r="CD287" s="105"/>
      <c r="CE287" s="105"/>
      <c r="CF287" s="105"/>
      <c r="CG287" s="105"/>
      <c r="CH287" s="105"/>
      <c r="CI287" s="105"/>
      <c r="CJ287" s="105"/>
      <c r="CK287" s="105"/>
      <c r="CL287" s="105"/>
      <c r="CM287" s="105"/>
      <c r="CN287" s="105"/>
      <c r="CO287" s="105"/>
      <c r="CP287" s="105"/>
      <c r="CQ287" s="105"/>
      <c r="CR287" s="105"/>
      <c r="CS287" s="105"/>
      <c r="CT287" s="105"/>
      <c r="CU287" s="105"/>
      <c r="CV287" s="105"/>
      <c r="CW287" s="105"/>
      <c r="CX287" s="105"/>
      <c r="CY287" s="105"/>
      <c r="CZ287" s="105"/>
      <c r="DA287" s="105"/>
      <c r="DB287" s="105"/>
      <c r="DC287" s="105"/>
      <c r="DD287" s="105"/>
      <c r="DE287" s="105"/>
      <c r="DF287" s="105"/>
      <c r="DG287" s="105"/>
      <c r="DH287" s="105"/>
      <c r="DI287" s="105"/>
      <c r="DJ287" s="105"/>
      <c r="DK287" s="105"/>
      <c r="DL287" s="105"/>
      <c r="DM287" s="105"/>
      <c r="DN287" s="105"/>
      <c r="DO287" s="105"/>
      <c r="DP287" s="105"/>
      <c r="DQ287" s="105"/>
      <c r="DR287" s="105"/>
      <c r="DS287" s="105"/>
      <c r="DT287" s="105"/>
      <c r="DU287" s="105"/>
      <c r="DV287" s="105"/>
      <c r="DW287" s="105"/>
      <c r="DX287" s="105"/>
      <c r="DY287" s="105"/>
      <c r="DZ287" s="105"/>
      <c r="EA287" s="105"/>
      <c r="EB287" s="105"/>
      <c r="EC287" s="105"/>
      <c r="ED287" s="105"/>
      <c r="EE287" s="105"/>
      <c r="EF287" s="105"/>
      <c r="EG287" s="105"/>
      <c r="EH287" s="105"/>
      <c r="EI287" s="105"/>
      <c r="EJ287" s="105"/>
      <c r="EK287" s="105"/>
      <c r="EL287" s="105"/>
      <c r="EM287" s="105"/>
      <c r="EN287" s="105"/>
      <c r="EO287" s="105"/>
      <c r="EP287" s="105"/>
      <c r="EQ287" s="105"/>
      <c r="ER287" s="105"/>
      <c r="ES287" s="105"/>
      <c r="ET287" s="105"/>
      <c r="EU287" s="105"/>
      <c r="EV287" s="105"/>
      <c r="EW287" s="105"/>
      <c r="EX287" s="105"/>
      <c r="EY287" s="105"/>
      <c r="EZ287" s="105"/>
      <c r="FA287" s="105"/>
      <c r="FB287" s="105"/>
      <c r="FC287" s="105"/>
      <c r="FD287" s="105"/>
      <c r="FE287" s="105"/>
      <c r="FF287" s="105"/>
      <c r="FG287" s="105"/>
      <c r="FH287" s="105"/>
      <c r="FI287" s="105"/>
      <c r="FJ287" s="105"/>
      <c r="FK287" s="105"/>
      <c r="FL287" s="105"/>
      <c r="FM287" s="105"/>
      <c r="FN287" s="105"/>
      <c r="FO287" s="105"/>
      <c r="FP287" s="105"/>
      <c r="FQ287" s="105"/>
      <c r="FR287" s="105"/>
      <c r="FS287" s="105"/>
      <c r="FT287" s="105"/>
      <c r="FU287" s="105"/>
      <c r="FV287" s="105"/>
      <c r="FW287" s="105"/>
      <c r="FX287" s="105"/>
      <c r="FY287" s="105"/>
      <c r="FZ287" s="105"/>
      <c r="GA287" s="105"/>
      <c r="GB287" s="105"/>
      <c r="GC287" s="105"/>
      <c r="GD287" s="105"/>
      <c r="GE287" s="105"/>
      <c r="GF287" s="105"/>
      <c r="GG287" s="105"/>
      <c r="GH287" s="105"/>
      <c r="GI287" s="105"/>
      <c r="GJ287" s="105"/>
      <c r="GK287" s="105"/>
      <c r="GL287" s="105"/>
      <c r="GM287" s="105"/>
      <c r="GN287" s="105"/>
      <c r="GO287" s="105"/>
      <c r="GP287" s="105"/>
      <c r="GQ287" s="105"/>
      <c r="GR287" s="105"/>
      <c r="GS287" s="105"/>
      <c r="GT287" s="105"/>
      <c r="GU287" s="105"/>
      <c r="GV287" s="105"/>
      <c r="GW287" s="105"/>
      <c r="GX287" s="105"/>
      <c r="GY287" s="105"/>
      <c r="GZ287" s="105"/>
      <c r="HA287" s="105"/>
      <c r="HB287" s="105"/>
      <c r="HC287" s="105"/>
      <c r="HD287" s="105"/>
      <c r="HE287" s="105"/>
      <c r="HF287" s="105"/>
      <c r="HG287" s="105"/>
      <c r="HH287" s="105"/>
      <c r="HI287" s="105"/>
      <c r="HJ287" s="105"/>
      <c r="HK287" s="105"/>
      <c r="HL287" s="105"/>
      <c r="HM287" s="105"/>
      <c r="HN287" s="105"/>
      <c r="HO287" s="105"/>
      <c r="HP287" s="105"/>
      <c r="HQ287" s="105"/>
      <c r="HR287" s="105"/>
      <c r="HS287" s="105"/>
      <c r="HT287" s="105"/>
      <c r="HU287" s="105"/>
      <c r="HV287" s="105"/>
      <c r="HW287" s="105"/>
      <c r="HX287" s="105"/>
      <c r="HY287" s="105"/>
      <c r="HZ287" s="105"/>
      <c r="IA287" s="105"/>
      <c r="IB287" s="105"/>
      <c r="IC287" s="105"/>
      <c r="ID287" s="105"/>
      <c r="IE287" s="105"/>
      <c r="IF287" s="105"/>
      <c r="IG287" s="105"/>
      <c r="IH287" s="105"/>
      <c r="II287" s="105"/>
      <c r="IJ287" s="105"/>
      <c r="IK287" s="105"/>
      <c r="IL287" s="105"/>
      <c r="IM287" s="105"/>
      <c r="IN287" s="105"/>
      <c r="IO287" s="105"/>
      <c r="IP287" s="105"/>
      <c r="IQ287" s="105"/>
      <c r="IR287" s="105"/>
      <c r="IS287" s="105"/>
    </row>
    <row r="288" spans="1:253">
      <c r="A288" s="116"/>
      <c r="B288" s="105"/>
      <c r="C288" s="116"/>
      <c r="D288" s="116"/>
      <c r="E288" s="116"/>
      <c r="F288" s="116"/>
      <c r="G288" s="116"/>
      <c r="H288" s="116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 s="105"/>
      <c r="BK288" s="105"/>
      <c r="BL288" s="105"/>
      <c r="BM288" s="105"/>
      <c r="BN288" s="105"/>
      <c r="BO288" s="105"/>
      <c r="BP288" s="105"/>
      <c r="BQ288" s="105"/>
      <c r="BR288" s="105"/>
      <c r="BS288" s="105"/>
      <c r="BT288" s="105"/>
      <c r="BU288" s="105"/>
      <c r="BV288" s="105"/>
      <c r="BW288" s="105"/>
      <c r="BX288" s="105"/>
      <c r="BY288" s="105"/>
      <c r="BZ288" s="105"/>
      <c r="CA288" s="105"/>
      <c r="CB288" s="105"/>
      <c r="CC288" s="105"/>
      <c r="CD288" s="105"/>
      <c r="CE288" s="105"/>
      <c r="CF288" s="105"/>
      <c r="CG288" s="105"/>
      <c r="CH288" s="105"/>
      <c r="CI288" s="105"/>
      <c r="CJ288" s="105"/>
      <c r="CK288" s="105"/>
      <c r="CL288" s="105"/>
      <c r="CM288" s="105"/>
      <c r="CN288" s="105"/>
      <c r="CO288" s="105"/>
      <c r="CP288" s="105"/>
      <c r="CQ288" s="105"/>
      <c r="CR288" s="105"/>
      <c r="CS288" s="105"/>
      <c r="CT288" s="105"/>
      <c r="CU288" s="105"/>
      <c r="CV288" s="105"/>
      <c r="CW288" s="105"/>
      <c r="CX288" s="105"/>
      <c r="CY288" s="105"/>
      <c r="CZ288" s="105"/>
      <c r="DA288" s="105"/>
      <c r="DB288" s="105"/>
      <c r="DC288" s="105"/>
      <c r="DD288" s="105"/>
      <c r="DE288" s="105"/>
      <c r="DF288" s="105"/>
      <c r="DG288" s="105"/>
      <c r="DH288" s="105"/>
      <c r="DI288" s="105"/>
      <c r="DJ288" s="105"/>
      <c r="DK288" s="105"/>
      <c r="DL288" s="105"/>
      <c r="DM288" s="105"/>
      <c r="DN288" s="105"/>
      <c r="DO288" s="105"/>
      <c r="DP288" s="105"/>
      <c r="DQ288" s="105"/>
      <c r="DR288" s="105"/>
      <c r="DS288" s="105"/>
      <c r="DT288" s="105"/>
      <c r="DU288" s="105"/>
      <c r="DV288" s="105"/>
      <c r="DW288" s="105"/>
      <c r="DX288" s="105"/>
      <c r="DY288" s="105"/>
      <c r="DZ288" s="105"/>
      <c r="EA288" s="105"/>
      <c r="EB288" s="105"/>
      <c r="EC288" s="105"/>
      <c r="ED288" s="105"/>
      <c r="EE288" s="105"/>
      <c r="EF288" s="105"/>
      <c r="EG288" s="105"/>
      <c r="EH288" s="105"/>
      <c r="EI288" s="105"/>
      <c r="EJ288" s="105"/>
      <c r="EK288" s="105"/>
      <c r="EL288" s="105"/>
      <c r="EM288" s="105"/>
      <c r="EN288" s="105"/>
      <c r="EO288" s="105"/>
      <c r="EP288" s="105"/>
      <c r="EQ288" s="105"/>
      <c r="ER288" s="105"/>
      <c r="ES288" s="105"/>
      <c r="ET288" s="105"/>
      <c r="EU288" s="105"/>
      <c r="EV288" s="105"/>
      <c r="EW288" s="105"/>
      <c r="EX288" s="105"/>
      <c r="EY288" s="105"/>
      <c r="EZ288" s="105"/>
      <c r="FA288" s="105"/>
      <c r="FB288" s="105"/>
      <c r="FC288" s="105"/>
      <c r="FD288" s="105"/>
      <c r="FE288" s="105"/>
      <c r="FF288" s="105"/>
      <c r="FG288" s="105"/>
      <c r="FH288" s="105"/>
      <c r="FI288" s="105"/>
      <c r="FJ288" s="105"/>
      <c r="FK288" s="105"/>
      <c r="FL288" s="105"/>
      <c r="FM288" s="105"/>
      <c r="FN288" s="105"/>
      <c r="FO288" s="105"/>
      <c r="FP288" s="105"/>
      <c r="FQ288" s="105"/>
      <c r="FR288" s="105"/>
      <c r="FS288" s="105"/>
      <c r="FT288" s="105"/>
      <c r="FU288" s="105"/>
      <c r="FV288" s="105"/>
      <c r="FW288" s="105"/>
      <c r="FX288" s="105"/>
      <c r="FY288" s="105"/>
      <c r="FZ288" s="105"/>
      <c r="GA288" s="105"/>
      <c r="GB288" s="105"/>
      <c r="GC288" s="105"/>
      <c r="GD288" s="105"/>
      <c r="GE288" s="105"/>
      <c r="GF288" s="105"/>
      <c r="GG288" s="105"/>
      <c r="GH288" s="105"/>
      <c r="GI288" s="105"/>
      <c r="GJ288" s="105"/>
      <c r="GK288" s="105"/>
      <c r="GL288" s="105"/>
      <c r="GM288" s="105"/>
      <c r="GN288" s="105"/>
      <c r="GO288" s="105"/>
      <c r="GP288" s="105"/>
      <c r="GQ288" s="105"/>
      <c r="GR288" s="105"/>
      <c r="GS288" s="105"/>
      <c r="GT288" s="105"/>
      <c r="GU288" s="105"/>
      <c r="GV288" s="105"/>
      <c r="GW288" s="105"/>
      <c r="GX288" s="105"/>
      <c r="GY288" s="105"/>
      <c r="GZ288" s="105"/>
      <c r="HA288" s="105"/>
      <c r="HB288" s="105"/>
      <c r="HC288" s="105"/>
      <c r="HD288" s="105"/>
      <c r="HE288" s="105"/>
      <c r="HF288" s="105"/>
      <c r="HG288" s="105"/>
      <c r="HH288" s="105"/>
      <c r="HI288" s="105"/>
      <c r="HJ288" s="105"/>
      <c r="HK288" s="105"/>
      <c r="HL288" s="105"/>
      <c r="HM288" s="105"/>
      <c r="HN288" s="105"/>
      <c r="HO288" s="105"/>
      <c r="HP288" s="105"/>
      <c r="HQ288" s="105"/>
      <c r="HR288" s="105"/>
      <c r="HS288" s="105"/>
      <c r="HT288" s="105"/>
      <c r="HU288" s="105"/>
      <c r="HV288" s="105"/>
      <c r="HW288" s="105"/>
      <c r="HX288" s="105"/>
      <c r="HY288" s="105"/>
      <c r="HZ288" s="105"/>
      <c r="IA288" s="105"/>
      <c r="IB288" s="105"/>
      <c r="IC288" s="105"/>
      <c r="ID288" s="105"/>
      <c r="IE288" s="105"/>
      <c r="IF288" s="105"/>
      <c r="IG288" s="105"/>
      <c r="IH288" s="105"/>
      <c r="II288" s="105"/>
      <c r="IJ288" s="105"/>
      <c r="IK288" s="105"/>
      <c r="IL288" s="105"/>
      <c r="IM288" s="105"/>
      <c r="IN288" s="105"/>
      <c r="IO288" s="105"/>
      <c r="IP288" s="105"/>
      <c r="IQ288" s="105"/>
      <c r="IR288" s="105"/>
      <c r="IS288" s="105"/>
    </row>
    <row r="289" spans="1:253">
      <c r="A289" s="116"/>
      <c r="B289" s="105"/>
      <c r="C289" s="116"/>
      <c r="D289" s="116"/>
      <c r="E289" s="116"/>
      <c r="F289" s="116"/>
      <c r="G289" s="116"/>
      <c r="H289" s="116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 s="105"/>
      <c r="BK289" s="105"/>
      <c r="BL289" s="105"/>
      <c r="BM289" s="105"/>
      <c r="BN289" s="105"/>
      <c r="BO289" s="105"/>
      <c r="BP289" s="105"/>
      <c r="BQ289" s="105"/>
      <c r="BR289" s="105"/>
      <c r="BS289" s="105"/>
      <c r="BT289" s="105"/>
      <c r="BU289" s="105"/>
      <c r="BV289" s="105"/>
      <c r="BW289" s="105"/>
      <c r="BX289" s="105"/>
      <c r="BY289" s="105"/>
      <c r="BZ289" s="105"/>
      <c r="CA289" s="105"/>
      <c r="CB289" s="105"/>
      <c r="CC289" s="105"/>
      <c r="CD289" s="105"/>
      <c r="CE289" s="105"/>
      <c r="CF289" s="105"/>
      <c r="CG289" s="105"/>
      <c r="CH289" s="105"/>
      <c r="CI289" s="105"/>
      <c r="CJ289" s="105"/>
      <c r="CK289" s="105"/>
      <c r="CL289" s="105"/>
      <c r="CM289" s="105"/>
      <c r="CN289" s="105"/>
      <c r="CO289" s="105"/>
      <c r="CP289" s="105"/>
      <c r="CQ289" s="105"/>
      <c r="CR289" s="105"/>
      <c r="CS289" s="105"/>
      <c r="CT289" s="105"/>
      <c r="CU289" s="105"/>
      <c r="CV289" s="105"/>
      <c r="CW289" s="105"/>
      <c r="CX289" s="105"/>
      <c r="CY289" s="105"/>
      <c r="CZ289" s="105"/>
      <c r="DA289" s="105"/>
      <c r="DB289" s="105"/>
      <c r="DC289" s="105"/>
      <c r="DD289" s="105"/>
      <c r="DE289" s="105"/>
      <c r="DF289" s="105"/>
      <c r="DG289" s="105"/>
      <c r="DH289" s="105"/>
      <c r="DI289" s="105"/>
      <c r="DJ289" s="105"/>
      <c r="DK289" s="105"/>
      <c r="DL289" s="105"/>
      <c r="DM289" s="105"/>
      <c r="DN289" s="105"/>
      <c r="DO289" s="105"/>
      <c r="DP289" s="105"/>
      <c r="DQ289" s="105"/>
      <c r="DR289" s="105"/>
      <c r="DS289" s="105"/>
      <c r="DT289" s="105"/>
      <c r="DU289" s="105"/>
      <c r="DV289" s="105"/>
      <c r="DW289" s="105"/>
      <c r="DX289" s="105"/>
      <c r="DY289" s="105"/>
      <c r="DZ289" s="105"/>
      <c r="EA289" s="105"/>
      <c r="EB289" s="105"/>
      <c r="EC289" s="105"/>
      <c r="ED289" s="105"/>
      <c r="EE289" s="105"/>
      <c r="EF289" s="105"/>
      <c r="EG289" s="105"/>
      <c r="EH289" s="105"/>
      <c r="EI289" s="105"/>
      <c r="EJ289" s="105"/>
      <c r="EK289" s="105"/>
      <c r="EL289" s="105"/>
      <c r="EM289" s="105"/>
      <c r="EN289" s="105"/>
      <c r="EO289" s="105"/>
      <c r="EP289" s="105"/>
      <c r="EQ289" s="105"/>
      <c r="ER289" s="105"/>
      <c r="ES289" s="105"/>
      <c r="ET289" s="105"/>
      <c r="EU289" s="105"/>
      <c r="EV289" s="105"/>
      <c r="EW289" s="105"/>
      <c r="EX289" s="105"/>
      <c r="EY289" s="105"/>
      <c r="EZ289" s="105"/>
      <c r="FA289" s="105"/>
      <c r="FB289" s="105"/>
      <c r="FC289" s="105"/>
      <c r="FD289" s="105"/>
      <c r="FE289" s="105"/>
      <c r="FF289" s="105"/>
      <c r="FG289" s="105"/>
      <c r="FH289" s="105"/>
      <c r="FI289" s="105"/>
      <c r="FJ289" s="105"/>
      <c r="FK289" s="105"/>
      <c r="FL289" s="105"/>
      <c r="FM289" s="105"/>
      <c r="FN289" s="105"/>
      <c r="FO289" s="105"/>
      <c r="FP289" s="105"/>
      <c r="FQ289" s="105"/>
      <c r="FR289" s="105"/>
      <c r="FS289" s="105"/>
      <c r="FT289" s="105"/>
      <c r="FU289" s="105"/>
      <c r="FV289" s="105"/>
      <c r="FW289" s="105"/>
      <c r="FX289" s="105"/>
      <c r="FY289" s="105"/>
      <c r="FZ289" s="105"/>
      <c r="GA289" s="105"/>
      <c r="GB289" s="105"/>
      <c r="GC289" s="105"/>
      <c r="GD289" s="105"/>
      <c r="GE289" s="105"/>
      <c r="GF289" s="105"/>
      <c r="GG289" s="105"/>
      <c r="GH289" s="105"/>
      <c r="GI289" s="105"/>
      <c r="GJ289" s="105"/>
      <c r="GK289" s="105"/>
      <c r="GL289" s="105"/>
      <c r="GM289" s="105"/>
      <c r="GN289" s="105"/>
      <c r="GO289" s="105"/>
      <c r="GP289" s="105"/>
      <c r="GQ289" s="105"/>
      <c r="GR289" s="105"/>
      <c r="GS289" s="105"/>
      <c r="GT289" s="105"/>
      <c r="GU289" s="105"/>
      <c r="GV289" s="105"/>
      <c r="GW289" s="105"/>
      <c r="GX289" s="105"/>
      <c r="GY289" s="105"/>
      <c r="GZ289" s="105"/>
      <c r="HA289" s="105"/>
      <c r="HB289" s="105"/>
      <c r="HC289" s="105"/>
      <c r="HD289" s="105"/>
      <c r="HE289" s="105"/>
      <c r="HF289" s="105"/>
      <c r="HG289" s="105"/>
      <c r="HH289" s="105"/>
      <c r="HI289" s="105"/>
      <c r="HJ289" s="105"/>
      <c r="HK289" s="105"/>
      <c r="HL289" s="105"/>
      <c r="HM289" s="105"/>
      <c r="HN289" s="105"/>
      <c r="HO289" s="105"/>
      <c r="HP289" s="105"/>
      <c r="HQ289" s="105"/>
      <c r="HR289" s="105"/>
      <c r="HS289" s="105"/>
      <c r="HT289" s="105"/>
      <c r="HU289" s="105"/>
      <c r="HV289" s="105"/>
      <c r="HW289" s="105"/>
      <c r="HX289" s="105"/>
      <c r="HY289" s="105"/>
      <c r="HZ289" s="105"/>
      <c r="IA289" s="105"/>
      <c r="IB289" s="105"/>
      <c r="IC289" s="105"/>
      <c r="ID289" s="105"/>
      <c r="IE289" s="105"/>
      <c r="IF289" s="105"/>
      <c r="IG289" s="105"/>
      <c r="IH289" s="105"/>
      <c r="II289" s="105"/>
      <c r="IJ289" s="105"/>
      <c r="IK289" s="105"/>
      <c r="IL289" s="105"/>
      <c r="IM289" s="105"/>
      <c r="IN289" s="105"/>
      <c r="IO289" s="105"/>
      <c r="IP289" s="105"/>
      <c r="IQ289" s="105"/>
      <c r="IR289" s="105"/>
      <c r="IS289" s="105"/>
    </row>
    <row r="290" spans="1:253">
      <c r="A290" s="116"/>
      <c r="B290" s="105"/>
      <c r="C290" s="116"/>
      <c r="D290" s="116"/>
      <c r="E290" s="116"/>
      <c r="F290" s="116"/>
      <c r="G290" s="116"/>
      <c r="H290" s="116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 s="105"/>
      <c r="BK290" s="105"/>
      <c r="BL290" s="105"/>
      <c r="BM290" s="105"/>
      <c r="BN290" s="105"/>
      <c r="BO290" s="105"/>
      <c r="BP290" s="105"/>
      <c r="BQ290" s="105"/>
      <c r="BR290" s="105"/>
      <c r="BS290" s="105"/>
      <c r="BT290" s="105"/>
      <c r="BU290" s="105"/>
      <c r="BV290" s="105"/>
      <c r="BW290" s="105"/>
      <c r="BX290" s="105"/>
      <c r="BY290" s="105"/>
      <c r="BZ290" s="105"/>
      <c r="CA290" s="105"/>
      <c r="CB290" s="105"/>
      <c r="CC290" s="105"/>
      <c r="CD290" s="105"/>
      <c r="CE290" s="105"/>
      <c r="CF290" s="105"/>
      <c r="CG290" s="105"/>
      <c r="CH290" s="105"/>
      <c r="CI290" s="105"/>
      <c r="CJ290" s="105"/>
      <c r="CK290" s="105"/>
      <c r="CL290" s="105"/>
      <c r="CM290" s="105"/>
      <c r="CN290" s="105"/>
      <c r="CO290" s="105"/>
      <c r="CP290" s="105"/>
      <c r="CQ290" s="105"/>
      <c r="CR290" s="105"/>
      <c r="CS290" s="105"/>
      <c r="CT290" s="105"/>
      <c r="CU290" s="105"/>
      <c r="CV290" s="105"/>
      <c r="CW290" s="105"/>
      <c r="CX290" s="105"/>
      <c r="CY290" s="105"/>
      <c r="CZ290" s="105"/>
      <c r="DA290" s="105"/>
      <c r="DB290" s="105"/>
      <c r="DC290" s="105"/>
      <c r="DD290" s="105"/>
      <c r="DE290" s="105"/>
      <c r="DF290" s="105"/>
      <c r="DG290" s="105"/>
      <c r="DH290" s="105"/>
      <c r="DI290" s="105"/>
      <c r="DJ290" s="105"/>
      <c r="DK290" s="105"/>
      <c r="DL290" s="105"/>
      <c r="DM290" s="105"/>
      <c r="DN290" s="105"/>
      <c r="DO290" s="105"/>
      <c r="DP290" s="105"/>
      <c r="DQ290" s="105"/>
      <c r="DR290" s="105"/>
      <c r="DS290" s="105"/>
      <c r="DT290" s="105"/>
      <c r="DU290" s="105"/>
      <c r="DV290" s="105"/>
      <c r="DW290" s="105"/>
      <c r="DX290" s="105"/>
      <c r="DY290" s="105"/>
      <c r="DZ290" s="105"/>
      <c r="EA290" s="105"/>
      <c r="EB290" s="105"/>
      <c r="EC290" s="105"/>
      <c r="ED290" s="105"/>
      <c r="EE290" s="105"/>
      <c r="EF290" s="105"/>
      <c r="EG290" s="105"/>
      <c r="EH290" s="105"/>
      <c r="EI290" s="105"/>
      <c r="EJ290" s="105"/>
      <c r="EK290" s="105"/>
      <c r="EL290" s="105"/>
      <c r="EM290" s="105"/>
      <c r="EN290" s="105"/>
      <c r="EO290" s="105"/>
      <c r="EP290" s="105"/>
      <c r="EQ290" s="105"/>
      <c r="ER290" s="105"/>
      <c r="ES290" s="105"/>
      <c r="ET290" s="105"/>
      <c r="EU290" s="105"/>
      <c r="EV290" s="105"/>
      <c r="EW290" s="105"/>
      <c r="EX290" s="105"/>
      <c r="EY290" s="105"/>
      <c r="EZ290" s="105"/>
      <c r="FA290" s="105"/>
      <c r="FB290" s="105"/>
      <c r="FC290" s="105"/>
      <c r="FD290" s="105"/>
      <c r="FE290" s="105"/>
      <c r="FF290" s="105"/>
      <c r="FG290" s="105"/>
      <c r="FH290" s="105"/>
      <c r="FI290" s="105"/>
      <c r="FJ290" s="105"/>
      <c r="FK290" s="105"/>
      <c r="FL290" s="105"/>
      <c r="FM290" s="105"/>
      <c r="FN290" s="105"/>
      <c r="FO290" s="105"/>
      <c r="FP290" s="105"/>
      <c r="FQ290" s="105"/>
      <c r="FR290" s="105"/>
      <c r="FS290" s="105"/>
      <c r="FT290" s="105"/>
      <c r="FU290" s="105"/>
      <c r="FV290" s="105"/>
      <c r="FW290" s="105"/>
      <c r="FX290" s="105"/>
      <c r="FY290" s="105"/>
      <c r="FZ290" s="105"/>
      <c r="GA290" s="105"/>
      <c r="GB290" s="105"/>
      <c r="GC290" s="105"/>
      <c r="GD290" s="105"/>
      <c r="GE290" s="105"/>
      <c r="GF290" s="105"/>
      <c r="GG290" s="105"/>
      <c r="GH290" s="105"/>
      <c r="GI290" s="105"/>
      <c r="GJ290" s="105"/>
      <c r="GK290" s="105"/>
      <c r="GL290" s="105"/>
      <c r="GM290" s="105"/>
      <c r="GN290" s="105"/>
      <c r="GO290" s="105"/>
      <c r="GP290" s="105"/>
      <c r="GQ290" s="105"/>
      <c r="GR290" s="105"/>
      <c r="GS290" s="105"/>
      <c r="GT290" s="105"/>
      <c r="GU290" s="105"/>
      <c r="GV290" s="105"/>
      <c r="GW290" s="105"/>
      <c r="GX290" s="105"/>
      <c r="GY290" s="105"/>
      <c r="GZ290" s="105"/>
      <c r="HA290" s="105"/>
      <c r="HB290" s="105"/>
      <c r="HC290" s="105"/>
      <c r="HD290" s="105"/>
      <c r="HE290" s="105"/>
      <c r="HF290" s="105"/>
      <c r="HG290" s="105"/>
      <c r="HH290" s="105"/>
      <c r="HI290" s="105"/>
      <c r="HJ290" s="105"/>
      <c r="HK290" s="105"/>
      <c r="HL290" s="105"/>
      <c r="HM290" s="105"/>
      <c r="HN290" s="105"/>
      <c r="HO290" s="105"/>
      <c r="HP290" s="105"/>
      <c r="HQ290" s="105"/>
      <c r="HR290" s="105"/>
      <c r="HS290" s="105"/>
      <c r="HT290" s="105"/>
      <c r="HU290" s="105"/>
      <c r="HV290" s="105"/>
      <c r="HW290" s="105"/>
      <c r="HX290" s="105"/>
      <c r="HY290" s="105"/>
      <c r="HZ290" s="105"/>
      <c r="IA290" s="105"/>
      <c r="IB290" s="105"/>
      <c r="IC290" s="105"/>
      <c r="ID290" s="105"/>
      <c r="IE290" s="105"/>
      <c r="IF290" s="105"/>
      <c r="IG290" s="105"/>
      <c r="IH290" s="105"/>
      <c r="II290" s="105"/>
      <c r="IJ290" s="105"/>
      <c r="IK290" s="105"/>
      <c r="IL290" s="105"/>
      <c r="IM290" s="105"/>
      <c r="IN290" s="105"/>
      <c r="IO290" s="105"/>
      <c r="IP290" s="105"/>
      <c r="IQ290" s="105"/>
      <c r="IR290" s="105"/>
      <c r="IS290" s="105"/>
    </row>
    <row r="291" spans="1:253">
      <c r="A291" s="116"/>
      <c r="B291" s="105"/>
      <c r="C291" s="116"/>
      <c r="D291" s="116"/>
      <c r="E291" s="116"/>
      <c r="F291" s="116"/>
      <c r="G291" s="116"/>
      <c r="H291" s="116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05"/>
      <c r="BL291" s="105"/>
      <c r="BM291" s="105"/>
      <c r="BN291" s="105"/>
      <c r="BO291" s="105"/>
      <c r="BP291" s="105"/>
      <c r="BQ291" s="105"/>
      <c r="BR291" s="105"/>
      <c r="BS291" s="105"/>
      <c r="BT291" s="105"/>
      <c r="BU291" s="105"/>
      <c r="BV291" s="105"/>
      <c r="BW291" s="105"/>
      <c r="BX291" s="105"/>
      <c r="BY291" s="105"/>
      <c r="BZ291" s="105"/>
      <c r="CA291" s="105"/>
      <c r="CB291" s="105"/>
      <c r="CC291" s="105"/>
      <c r="CD291" s="105"/>
      <c r="CE291" s="105"/>
      <c r="CF291" s="105"/>
      <c r="CG291" s="105"/>
      <c r="CH291" s="105"/>
      <c r="CI291" s="105"/>
      <c r="CJ291" s="105"/>
      <c r="CK291" s="105"/>
      <c r="CL291" s="105"/>
      <c r="CM291" s="105"/>
      <c r="CN291" s="105"/>
      <c r="CO291" s="105"/>
      <c r="CP291" s="105"/>
      <c r="CQ291" s="105"/>
      <c r="CR291" s="105"/>
      <c r="CS291" s="105"/>
      <c r="CT291" s="105"/>
      <c r="CU291" s="105"/>
      <c r="CV291" s="105"/>
      <c r="CW291" s="105"/>
      <c r="CX291" s="105"/>
      <c r="CY291" s="105"/>
      <c r="CZ291" s="105"/>
      <c r="DA291" s="105"/>
      <c r="DB291" s="105"/>
      <c r="DC291" s="105"/>
      <c r="DD291" s="105"/>
      <c r="DE291" s="105"/>
      <c r="DF291" s="105"/>
      <c r="DG291" s="105"/>
      <c r="DH291" s="105"/>
      <c r="DI291" s="105"/>
      <c r="DJ291" s="105"/>
      <c r="DK291" s="105"/>
      <c r="DL291" s="105"/>
      <c r="DM291" s="105"/>
      <c r="DN291" s="105"/>
      <c r="DO291" s="105"/>
      <c r="DP291" s="105"/>
      <c r="DQ291" s="105"/>
      <c r="DR291" s="105"/>
      <c r="DS291" s="105"/>
      <c r="DT291" s="105"/>
      <c r="DU291" s="105"/>
      <c r="DV291" s="105"/>
      <c r="DW291" s="105"/>
      <c r="DX291" s="105"/>
      <c r="DY291" s="105"/>
      <c r="DZ291" s="105"/>
      <c r="EA291" s="105"/>
      <c r="EB291" s="105"/>
      <c r="EC291" s="105"/>
      <c r="ED291" s="105"/>
      <c r="EE291" s="105"/>
      <c r="EF291" s="105"/>
      <c r="EG291" s="105"/>
      <c r="EH291" s="105"/>
      <c r="EI291" s="105"/>
      <c r="EJ291" s="105"/>
      <c r="EK291" s="105"/>
      <c r="EL291" s="105"/>
      <c r="EM291" s="105"/>
      <c r="EN291" s="105"/>
      <c r="EO291" s="105"/>
      <c r="EP291" s="105"/>
      <c r="EQ291" s="105"/>
      <c r="ER291" s="105"/>
      <c r="ES291" s="105"/>
      <c r="ET291" s="105"/>
      <c r="EU291" s="105"/>
      <c r="EV291" s="105"/>
      <c r="EW291" s="105"/>
      <c r="EX291" s="105"/>
      <c r="EY291" s="105"/>
      <c r="EZ291" s="105"/>
      <c r="FA291" s="105"/>
      <c r="FB291" s="105"/>
      <c r="FC291" s="105"/>
      <c r="FD291" s="105"/>
      <c r="FE291" s="105"/>
      <c r="FF291" s="105"/>
      <c r="FG291" s="105"/>
      <c r="FH291" s="105"/>
      <c r="FI291" s="105"/>
      <c r="FJ291" s="105"/>
      <c r="FK291" s="105"/>
      <c r="FL291" s="105"/>
      <c r="FM291" s="105"/>
      <c r="FN291" s="105"/>
      <c r="FO291" s="105"/>
      <c r="FP291" s="105"/>
      <c r="FQ291" s="105"/>
      <c r="FR291" s="105"/>
      <c r="FS291" s="105"/>
      <c r="FT291" s="105"/>
      <c r="FU291" s="105"/>
      <c r="FV291" s="105"/>
      <c r="FW291" s="105"/>
      <c r="FX291" s="105"/>
      <c r="FY291" s="105"/>
      <c r="FZ291" s="105"/>
      <c r="GA291" s="105"/>
      <c r="GB291" s="105"/>
      <c r="GC291" s="105"/>
      <c r="GD291" s="105"/>
      <c r="GE291" s="105"/>
      <c r="GF291" s="105"/>
      <c r="GG291" s="105"/>
      <c r="GH291" s="105"/>
      <c r="GI291" s="105"/>
      <c r="GJ291" s="105"/>
      <c r="GK291" s="105"/>
      <c r="GL291" s="105"/>
      <c r="GM291" s="105"/>
      <c r="GN291" s="105"/>
      <c r="GO291" s="105"/>
      <c r="GP291" s="105"/>
      <c r="GQ291" s="105"/>
      <c r="GR291" s="105"/>
      <c r="GS291" s="105"/>
      <c r="GT291" s="105"/>
      <c r="GU291" s="105"/>
      <c r="GV291" s="105"/>
      <c r="GW291" s="105"/>
      <c r="GX291" s="105"/>
      <c r="GY291" s="105"/>
      <c r="GZ291" s="105"/>
      <c r="HA291" s="105"/>
      <c r="HB291" s="105"/>
      <c r="HC291" s="105"/>
      <c r="HD291" s="105"/>
      <c r="HE291" s="105"/>
      <c r="HF291" s="105"/>
      <c r="HG291" s="105"/>
      <c r="HH291" s="105"/>
      <c r="HI291" s="105"/>
      <c r="HJ291" s="105"/>
      <c r="HK291" s="105"/>
      <c r="HL291" s="105"/>
      <c r="HM291" s="105"/>
      <c r="HN291" s="105"/>
      <c r="HO291" s="105"/>
      <c r="HP291" s="105"/>
      <c r="HQ291" s="105"/>
      <c r="HR291" s="105"/>
      <c r="HS291" s="105"/>
      <c r="HT291" s="105"/>
      <c r="HU291" s="105"/>
      <c r="HV291" s="105"/>
      <c r="HW291" s="105"/>
      <c r="HX291" s="105"/>
      <c r="HY291" s="105"/>
      <c r="HZ291" s="105"/>
      <c r="IA291" s="105"/>
      <c r="IB291" s="105"/>
      <c r="IC291" s="105"/>
      <c r="ID291" s="105"/>
      <c r="IE291" s="105"/>
      <c r="IF291" s="105"/>
      <c r="IG291" s="105"/>
      <c r="IH291" s="105"/>
      <c r="II291" s="105"/>
      <c r="IJ291" s="105"/>
      <c r="IK291" s="105"/>
      <c r="IL291" s="105"/>
      <c r="IM291" s="105"/>
      <c r="IN291" s="105"/>
      <c r="IO291" s="105"/>
      <c r="IP291" s="105"/>
      <c r="IQ291" s="105"/>
      <c r="IR291" s="105"/>
      <c r="IS291" s="105"/>
    </row>
    <row r="292" spans="1:253">
      <c r="A292" s="116"/>
      <c r="B292" s="105"/>
      <c r="C292" s="116"/>
      <c r="D292" s="116"/>
      <c r="E292" s="116"/>
      <c r="F292" s="116"/>
      <c r="G292" s="116"/>
      <c r="H292" s="116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5"/>
      <c r="BK292" s="105"/>
      <c r="BL292" s="105"/>
      <c r="BM292" s="105"/>
      <c r="BN292" s="105"/>
      <c r="BO292" s="105"/>
      <c r="BP292" s="105"/>
      <c r="BQ292" s="105"/>
      <c r="BR292" s="105"/>
      <c r="BS292" s="105"/>
      <c r="BT292" s="105"/>
      <c r="BU292" s="105"/>
      <c r="BV292" s="105"/>
      <c r="BW292" s="105"/>
      <c r="BX292" s="105"/>
      <c r="BY292" s="105"/>
      <c r="BZ292" s="105"/>
      <c r="CA292" s="105"/>
      <c r="CB292" s="105"/>
      <c r="CC292" s="105"/>
      <c r="CD292" s="105"/>
      <c r="CE292" s="105"/>
      <c r="CF292" s="105"/>
      <c r="CG292" s="105"/>
      <c r="CH292" s="105"/>
      <c r="CI292" s="105"/>
      <c r="CJ292" s="105"/>
      <c r="CK292" s="105"/>
      <c r="CL292" s="105"/>
      <c r="CM292" s="105"/>
      <c r="CN292" s="105"/>
      <c r="CO292" s="105"/>
      <c r="CP292" s="105"/>
      <c r="CQ292" s="105"/>
      <c r="CR292" s="105"/>
      <c r="CS292" s="105"/>
      <c r="CT292" s="105"/>
      <c r="CU292" s="105"/>
      <c r="CV292" s="105"/>
      <c r="CW292" s="105"/>
      <c r="CX292" s="105"/>
      <c r="CY292" s="105"/>
      <c r="CZ292" s="105"/>
      <c r="DA292" s="105"/>
      <c r="DB292" s="105"/>
      <c r="DC292" s="105"/>
      <c r="DD292" s="105"/>
      <c r="DE292" s="105"/>
      <c r="DF292" s="105"/>
      <c r="DG292" s="105"/>
      <c r="DH292" s="105"/>
      <c r="DI292" s="105"/>
      <c r="DJ292" s="105"/>
      <c r="DK292" s="105"/>
      <c r="DL292" s="105"/>
      <c r="DM292" s="105"/>
      <c r="DN292" s="105"/>
      <c r="DO292" s="105"/>
      <c r="DP292" s="105"/>
      <c r="DQ292" s="105"/>
      <c r="DR292" s="105"/>
      <c r="DS292" s="105"/>
      <c r="DT292" s="105"/>
      <c r="DU292" s="105"/>
      <c r="DV292" s="105"/>
      <c r="DW292" s="105"/>
      <c r="DX292" s="105"/>
      <c r="DY292" s="105"/>
      <c r="DZ292" s="105"/>
      <c r="EA292" s="105"/>
      <c r="EB292" s="105"/>
      <c r="EC292" s="105"/>
      <c r="ED292" s="105"/>
      <c r="EE292" s="105"/>
      <c r="EF292" s="105"/>
      <c r="EG292" s="105"/>
      <c r="EH292" s="105"/>
      <c r="EI292" s="105"/>
      <c r="EJ292" s="105"/>
      <c r="EK292" s="105"/>
      <c r="EL292" s="105"/>
      <c r="EM292" s="105"/>
      <c r="EN292" s="105"/>
      <c r="EO292" s="105"/>
      <c r="EP292" s="105"/>
      <c r="EQ292" s="105"/>
      <c r="ER292" s="105"/>
      <c r="ES292" s="105"/>
      <c r="ET292" s="105"/>
      <c r="EU292" s="105"/>
      <c r="EV292" s="105"/>
      <c r="EW292" s="105"/>
      <c r="EX292" s="105"/>
      <c r="EY292" s="105"/>
      <c r="EZ292" s="105"/>
      <c r="FA292" s="105"/>
      <c r="FB292" s="105"/>
      <c r="FC292" s="105"/>
      <c r="FD292" s="105"/>
      <c r="FE292" s="105"/>
      <c r="FF292" s="105"/>
      <c r="FG292" s="105"/>
      <c r="FH292" s="105"/>
      <c r="FI292" s="105"/>
      <c r="FJ292" s="105"/>
      <c r="FK292" s="105"/>
      <c r="FL292" s="105"/>
      <c r="FM292" s="105"/>
      <c r="FN292" s="105"/>
      <c r="FO292" s="105"/>
      <c r="FP292" s="105"/>
      <c r="FQ292" s="105"/>
      <c r="FR292" s="105"/>
      <c r="FS292" s="105"/>
      <c r="FT292" s="105"/>
      <c r="FU292" s="105"/>
      <c r="FV292" s="105"/>
      <c r="FW292" s="105"/>
      <c r="FX292" s="105"/>
      <c r="FY292" s="105"/>
      <c r="FZ292" s="105"/>
      <c r="GA292" s="105"/>
      <c r="GB292" s="105"/>
      <c r="GC292" s="105"/>
      <c r="GD292" s="105"/>
      <c r="GE292" s="105"/>
      <c r="GF292" s="105"/>
      <c r="GG292" s="105"/>
      <c r="GH292" s="105"/>
      <c r="GI292" s="105"/>
      <c r="GJ292" s="105"/>
      <c r="GK292" s="105"/>
      <c r="GL292" s="105"/>
      <c r="GM292" s="105"/>
      <c r="GN292" s="105"/>
      <c r="GO292" s="105"/>
      <c r="GP292" s="105"/>
      <c r="GQ292" s="105"/>
      <c r="GR292" s="105"/>
      <c r="GS292" s="105"/>
      <c r="GT292" s="105"/>
      <c r="GU292" s="105"/>
      <c r="GV292" s="105"/>
      <c r="GW292" s="105"/>
      <c r="GX292" s="105"/>
      <c r="GY292" s="105"/>
      <c r="GZ292" s="105"/>
      <c r="HA292" s="105"/>
      <c r="HB292" s="105"/>
      <c r="HC292" s="105"/>
      <c r="HD292" s="105"/>
      <c r="HE292" s="105"/>
      <c r="HF292" s="105"/>
      <c r="HG292" s="105"/>
      <c r="HH292" s="105"/>
      <c r="HI292" s="105"/>
      <c r="HJ292" s="105"/>
      <c r="HK292" s="105"/>
      <c r="HL292" s="105"/>
      <c r="HM292" s="105"/>
      <c r="HN292" s="105"/>
      <c r="HO292" s="105"/>
      <c r="HP292" s="105"/>
      <c r="HQ292" s="105"/>
      <c r="HR292" s="105"/>
      <c r="HS292" s="105"/>
      <c r="HT292" s="105"/>
      <c r="HU292" s="105"/>
      <c r="HV292" s="105"/>
      <c r="HW292" s="105"/>
      <c r="HX292" s="105"/>
      <c r="HY292" s="105"/>
      <c r="HZ292" s="105"/>
      <c r="IA292" s="105"/>
      <c r="IB292" s="105"/>
      <c r="IC292" s="105"/>
      <c r="ID292" s="105"/>
      <c r="IE292" s="105"/>
      <c r="IF292" s="105"/>
      <c r="IG292" s="105"/>
      <c r="IH292" s="105"/>
      <c r="II292" s="105"/>
      <c r="IJ292" s="105"/>
      <c r="IK292" s="105"/>
      <c r="IL292" s="105"/>
      <c r="IM292" s="105"/>
      <c r="IN292" s="105"/>
      <c r="IO292" s="105"/>
      <c r="IP292" s="105"/>
      <c r="IQ292" s="105"/>
      <c r="IR292" s="105"/>
      <c r="IS292" s="105"/>
    </row>
    <row r="293" spans="1:253">
      <c r="A293" s="116"/>
      <c r="B293" s="105"/>
      <c r="C293" s="116"/>
      <c r="D293" s="116"/>
      <c r="E293" s="116"/>
      <c r="F293" s="116"/>
      <c r="G293" s="116"/>
      <c r="H293" s="116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5"/>
      <c r="BK293" s="105"/>
      <c r="BL293" s="105"/>
      <c r="BM293" s="105"/>
      <c r="BN293" s="105"/>
      <c r="BO293" s="105"/>
      <c r="BP293" s="105"/>
      <c r="BQ293" s="105"/>
      <c r="BR293" s="105"/>
      <c r="BS293" s="105"/>
      <c r="BT293" s="105"/>
      <c r="BU293" s="105"/>
      <c r="BV293" s="105"/>
      <c r="BW293" s="105"/>
      <c r="BX293" s="105"/>
      <c r="BY293" s="105"/>
      <c r="BZ293" s="105"/>
      <c r="CA293" s="105"/>
      <c r="CB293" s="105"/>
      <c r="CC293" s="105"/>
      <c r="CD293" s="105"/>
      <c r="CE293" s="105"/>
      <c r="CF293" s="105"/>
      <c r="CG293" s="105"/>
      <c r="CH293" s="105"/>
      <c r="CI293" s="105"/>
      <c r="CJ293" s="105"/>
      <c r="CK293" s="105"/>
      <c r="CL293" s="105"/>
      <c r="CM293" s="105"/>
      <c r="CN293" s="105"/>
      <c r="CO293" s="105"/>
      <c r="CP293" s="105"/>
      <c r="CQ293" s="105"/>
      <c r="CR293" s="105"/>
      <c r="CS293" s="105"/>
      <c r="CT293" s="105"/>
      <c r="CU293" s="105"/>
      <c r="CV293" s="105"/>
      <c r="CW293" s="105"/>
      <c r="CX293" s="105"/>
      <c r="CY293" s="105"/>
      <c r="CZ293" s="105"/>
      <c r="DA293" s="105"/>
      <c r="DB293" s="105"/>
      <c r="DC293" s="105"/>
      <c r="DD293" s="105"/>
      <c r="DE293" s="105"/>
      <c r="DF293" s="105"/>
      <c r="DG293" s="105"/>
      <c r="DH293" s="105"/>
      <c r="DI293" s="105"/>
      <c r="DJ293" s="105"/>
      <c r="DK293" s="105"/>
      <c r="DL293" s="105"/>
      <c r="DM293" s="105"/>
      <c r="DN293" s="105"/>
      <c r="DO293" s="105"/>
      <c r="DP293" s="105"/>
      <c r="DQ293" s="105"/>
      <c r="DR293" s="105"/>
      <c r="DS293" s="105"/>
      <c r="DT293" s="105"/>
      <c r="DU293" s="105"/>
      <c r="DV293" s="105"/>
      <c r="DW293" s="105"/>
      <c r="DX293" s="105"/>
      <c r="DY293" s="105"/>
      <c r="DZ293" s="105"/>
      <c r="EA293" s="105"/>
      <c r="EB293" s="105"/>
      <c r="EC293" s="105"/>
      <c r="ED293" s="105"/>
      <c r="EE293" s="105"/>
      <c r="EF293" s="105"/>
      <c r="EG293" s="105"/>
      <c r="EH293" s="105"/>
      <c r="EI293" s="105"/>
      <c r="EJ293" s="105"/>
      <c r="EK293" s="105"/>
      <c r="EL293" s="105"/>
      <c r="EM293" s="105"/>
      <c r="EN293" s="105"/>
      <c r="EO293" s="105"/>
      <c r="EP293" s="105"/>
      <c r="EQ293" s="105"/>
      <c r="ER293" s="105"/>
      <c r="ES293" s="105"/>
      <c r="ET293" s="105"/>
      <c r="EU293" s="105"/>
      <c r="EV293" s="105"/>
      <c r="EW293" s="105"/>
      <c r="EX293" s="105"/>
      <c r="EY293" s="105"/>
      <c r="EZ293" s="105"/>
      <c r="FA293" s="105"/>
      <c r="FB293" s="105"/>
      <c r="FC293" s="105"/>
      <c r="FD293" s="105"/>
      <c r="FE293" s="105"/>
      <c r="FF293" s="105"/>
      <c r="FG293" s="105"/>
      <c r="FH293" s="105"/>
      <c r="FI293" s="105"/>
      <c r="FJ293" s="105"/>
      <c r="FK293" s="105"/>
      <c r="FL293" s="105"/>
      <c r="FM293" s="105"/>
      <c r="FN293" s="105"/>
      <c r="FO293" s="105"/>
      <c r="FP293" s="105"/>
      <c r="FQ293" s="105"/>
      <c r="FR293" s="105"/>
      <c r="FS293" s="105"/>
      <c r="FT293" s="105"/>
      <c r="FU293" s="105"/>
      <c r="FV293" s="105"/>
      <c r="FW293" s="105"/>
      <c r="FX293" s="105"/>
      <c r="FY293" s="105"/>
      <c r="FZ293" s="105"/>
      <c r="GA293" s="105"/>
      <c r="GB293" s="105"/>
      <c r="GC293" s="105"/>
      <c r="GD293" s="105"/>
      <c r="GE293" s="105"/>
      <c r="GF293" s="105"/>
      <c r="GG293" s="105"/>
      <c r="GH293" s="105"/>
      <c r="GI293" s="105"/>
      <c r="GJ293" s="105"/>
      <c r="GK293" s="105"/>
      <c r="GL293" s="105"/>
      <c r="GM293" s="105"/>
      <c r="GN293" s="105"/>
      <c r="GO293" s="105"/>
      <c r="GP293" s="105"/>
      <c r="GQ293" s="105"/>
      <c r="GR293" s="105"/>
      <c r="GS293" s="105"/>
      <c r="GT293" s="105"/>
      <c r="GU293" s="105"/>
      <c r="GV293" s="105"/>
      <c r="GW293" s="105"/>
      <c r="GX293" s="105"/>
      <c r="GY293" s="105"/>
      <c r="GZ293" s="105"/>
      <c r="HA293" s="105"/>
      <c r="HB293" s="105"/>
      <c r="HC293" s="105"/>
      <c r="HD293" s="105"/>
      <c r="HE293" s="105"/>
      <c r="HF293" s="105"/>
      <c r="HG293" s="105"/>
      <c r="HH293" s="105"/>
      <c r="HI293" s="105"/>
      <c r="HJ293" s="105"/>
      <c r="HK293" s="105"/>
      <c r="HL293" s="105"/>
      <c r="HM293" s="105"/>
      <c r="HN293" s="105"/>
      <c r="HO293" s="105"/>
      <c r="HP293" s="105"/>
      <c r="HQ293" s="105"/>
      <c r="HR293" s="105"/>
      <c r="HS293" s="105"/>
      <c r="HT293" s="105"/>
      <c r="HU293" s="105"/>
      <c r="HV293" s="105"/>
      <c r="HW293" s="105"/>
      <c r="HX293" s="105"/>
      <c r="HY293" s="105"/>
      <c r="HZ293" s="105"/>
      <c r="IA293" s="105"/>
      <c r="IB293" s="105"/>
      <c r="IC293" s="105"/>
      <c r="ID293" s="105"/>
      <c r="IE293" s="105"/>
      <c r="IF293" s="105"/>
      <c r="IG293" s="105"/>
      <c r="IH293" s="105"/>
      <c r="II293" s="105"/>
      <c r="IJ293" s="105"/>
      <c r="IK293" s="105"/>
      <c r="IL293" s="105"/>
      <c r="IM293" s="105"/>
      <c r="IN293" s="105"/>
      <c r="IO293" s="105"/>
      <c r="IP293" s="105"/>
      <c r="IQ293" s="105"/>
      <c r="IR293" s="105"/>
      <c r="IS293" s="105"/>
    </row>
    <row r="294" spans="1:253">
      <c r="A294" s="116"/>
      <c r="B294" s="105"/>
      <c r="C294" s="116"/>
      <c r="D294" s="116"/>
      <c r="E294" s="116"/>
      <c r="F294" s="116"/>
      <c r="G294" s="116"/>
      <c r="H294" s="116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5"/>
      <c r="BK294" s="105"/>
      <c r="BL294" s="105"/>
      <c r="BM294" s="105"/>
      <c r="BN294" s="105"/>
      <c r="BO294" s="105"/>
      <c r="BP294" s="105"/>
      <c r="BQ294" s="105"/>
      <c r="BR294" s="105"/>
      <c r="BS294" s="105"/>
      <c r="BT294" s="105"/>
      <c r="BU294" s="105"/>
      <c r="BV294" s="105"/>
      <c r="BW294" s="105"/>
      <c r="BX294" s="105"/>
      <c r="BY294" s="105"/>
      <c r="BZ294" s="105"/>
      <c r="CA294" s="105"/>
      <c r="CB294" s="105"/>
      <c r="CC294" s="105"/>
      <c r="CD294" s="105"/>
      <c r="CE294" s="105"/>
      <c r="CF294" s="105"/>
      <c r="CG294" s="105"/>
      <c r="CH294" s="105"/>
      <c r="CI294" s="105"/>
      <c r="CJ294" s="105"/>
      <c r="CK294" s="105"/>
      <c r="CL294" s="105"/>
      <c r="CM294" s="105"/>
      <c r="CN294" s="105"/>
      <c r="CO294" s="105"/>
      <c r="CP294" s="105"/>
      <c r="CQ294" s="105"/>
      <c r="CR294" s="105"/>
      <c r="CS294" s="105"/>
      <c r="CT294" s="105"/>
      <c r="CU294" s="105"/>
      <c r="CV294" s="105"/>
      <c r="CW294" s="105"/>
      <c r="CX294" s="105"/>
      <c r="CY294" s="105"/>
      <c r="CZ294" s="105"/>
      <c r="DA294" s="105"/>
      <c r="DB294" s="105"/>
      <c r="DC294" s="105"/>
      <c r="DD294" s="105"/>
      <c r="DE294" s="105"/>
      <c r="DF294" s="105"/>
      <c r="DG294" s="105"/>
      <c r="DH294" s="105"/>
      <c r="DI294" s="105"/>
      <c r="DJ294" s="105"/>
      <c r="DK294" s="105"/>
      <c r="DL294" s="105"/>
      <c r="DM294" s="105"/>
      <c r="DN294" s="105"/>
      <c r="DO294" s="105"/>
      <c r="DP294" s="105"/>
      <c r="DQ294" s="105"/>
      <c r="DR294" s="105"/>
      <c r="DS294" s="105"/>
      <c r="DT294" s="105"/>
      <c r="DU294" s="105"/>
      <c r="DV294" s="105"/>
      <c r="DW294" s="105"/>
      <c r="DX294" s="105"/>
      <c r="DY294" s="105"/>
      <c r="DZ294" s="105"/>
      <c r="EA294" s="105"/>
      <c r="EB294" s="105"/>
      <c r="EC294" s="105"/>
      <c r="ED294" s="105"/>
      <c r="EE294" s="105"/>
      <c r="EF294" s="105"/>
      <c r="EG294" s="105"/>
      <c r="EH294" s="105"/>
      <c r="EI294" s="105"/>
      <c r="EJ294" s="105"/>
      <c r="EK294" s="105"/>
      <c r="EL294" s="105"/>
      <c r="EM294" s="105"/>
      <c r="EN294" s="105"/>
      <c r="EO294" s="105"/>
      <c r="EP294" s="105"/>
      <c r="EQ294" s="105"/>
      <c r="ER294" s="105"/>
      <c r="ES294" s="105"/>
      <c r="ET294" s="105"/>
      <c r="EU294" s="105"/>
      <c r="EV294" s="105"/>
      <c r="EW294" s="105"/>
      <c r="EX294" s="105"/>
      <c r="EY294" s="105"/>
      <c r="EZ294" s="105"/>
      <c r="FA294" s="105"/>
      <c r="FB294" s="105"/>
      <c r="FC294" s="105"/>
      <c r="FD294" s="105"/>
      <c r="FE294" s="105"/>
      <c r="FF294" s="105"/>
      <c r="FG294" s="105"/>
      <c r="FH294" s="105"/>
      <c r="FI294" s="105"/>
      <c r="FJ294" s="105"/>
      <c r="FK294" s="105"/>
      <c r="FL294" s="105"/>
      <c r="FM294" s="105"/>
      <c r="FN294" s="105"/>
      <c r="FO294" s="105"/>
      <c r="FP294" s="105"/>
      <c r="FQ294" s="105"/>
      <c r="FR294" s="105"/>
      <c r="FS294" s="105"/>
      <c r="FT294" s="105"/>
      <c r="FU294" s="105"/>
      <c r="FV294" s="105"/>
      <c r="FW294" s="105"/>
      <c r="FX294" s="105"/>
      <c r="FY294" s="105"/>
      <c r="FZ294" s="105"/>
      <c r="GA294" s="105"/>
      <c r="GB294" s="105"/>
      <c r="GC294" s="105"/>
      <c r="GD294" s="105"/>
      <c r="GE294" s="105"/>
      <c r="GF294" s="105"/>
      <c r="GG294" s="105"/>
      <c r="GH294" s="105"/>
      <c r="GI294" s="105"/>
      <c r="GJ294" s="105"/>
      <c r="GK294" s="105"/>
      <c r="GL294" s="105"/>
      <c r="GM294" s="105"/>
      <c r="GN294" s="105"/>
      <c r="GO294" s="105"/>
      <c r="GP294" s="105"/>
      <c r="GQ294" s="105"/>
      <c r="GR294" s="105"/>
      <c r="GS294" s="105"/>
      <c r="GT294" s="105"/>
      <c r="GU294" s="105"/>
      <c r="GV294" s="105"/>
      <c r="GW294" s="105"/>
      <c r="GX294" s="105"/>
      <c r="GY294" s="105"/>
      <c r="GZ294" s="105"/>
      <c r="HA294" s="105"/>
      <c r="HB294" s="105"/>
      <c r="HC294" s="105"/>
      <c r="HD294" s="105"/>
      <c r="HE294" s="105"/>
      <c r="HF294" s="105"/>
      <c r="HG294" s="105"/>
      <c r="HH294" s="105"/>
      <c r="HI294" s="105"/>
      <c r="HJ294" s="105"/>
      <c r="HK294" s="105"/>
      <c r="HL294" s="105"/>
      <c r="HM294" s="105"/>
      <c r="HN294" s="105"/>
      <c r="HO294" s="105"/>
      <c r="HP294" s="105"/>
      <c r="HQ294" s="105"/>
      <c r="HR294" s="105"/>
      <c r="HS294" s="105"/>
      <c r="HT294" s="105"/>
      <c r="HU294" s="105"/>
      <c r="HV294" s="105"/>
      <c r="HW294" s="105"/>
      <c r="HX294" s="105"/>
      <c r="HY294" s="105"/>
      <c r="HZ294" s="105"/>
      <c r="IA294" s="105"/>
      <c r="IB294" s="105"/>
      <c r="IC294" s="105"/>
      <c r="ID294" s="105"/>
      <c r="IE294" s="105"/>
      <c r="IF294" s="105"/>
      <c r="IG294" s="105"/>
      <c r="IH294" s="105"/>
      <c r="II294" s="105"/>
      <c r="IJ294" s="105"/>
      <c r="IK294" s="105"/>
      <c r="IL294" s="105"/>
      <c r="IM294" s="105"/>
      <c r="IN294" s="105"/>
      <c r="IO294" s="105"/>
      <c r="IP294" s="105"/>
      <c r="IQ294" s="105"/>
      <c r="IR294" s="105"/>
      <c r="IS294" s="105"/>
    </row>
    <row r="295" spans="1:253">
      <c r="A295" s="116"/>
      <c r="B295" s="105"/>
      <c r="C295" s="116"/>
      <c r="D295" s="116"/>
      <c r="E295" s="116"/>
      <c r="F295" s="116"/>
      <c r="G295" s="116"/>
      <c r="H295" s="116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5"/>
      <c r="BK295" s="105"/>
      <c r="BL295" s="105"/>
      <c r="BM295" s="105"/>
      <c r="BN295" s="105"/>
      <c r="BO295" s="105"/>
      <c r="BP295" s="105"/>
      <c r="BQ295" s="105"/>
      <c r="BR295" s="105"/>
      <c r="BS295" s="105"/>
      <c r="BT295" s="105"/>
      <c r="BU295" s="105"/>
      <c r="BV295" s="105"/>
      <c r="BW295" s="105"/>
      <c r="BX295" s="105"/>
      <c r="BY295" s="105"/>
      <c r="BZ295" s="105"/>
      <c r="CA295" s="105"/>
      <c r="CB295" s="105"/>
      <c r="CC295" s="105"/>
      <c r="CD295" s="105"/>
      <c r="CE295" s="105"/>
      <c r="CF295" s="105"/>
      <c r="CG295" s="105"/>
      <c r="CH295" s="105"/>
      <c r="CI295" s="105"/>
      <c r="CJ295" s="105"/>
      <c r="CK295" s="105"/>
      <c r="CL295" s="105"/>
      <c r="CM295" s="105"/>
      <c r="CN295" s="105"/>
      <c r="CO295" s="105"/>
      <c r="CP295" s="105"/>
      <c r="CQ295" s="105"/>
      <c r="CR295" s="105"/>
      <c r="CS295" s="105"/>
      <c r="CT295" s="105"/>
      <c r="CU295" s="105"/>
      <c r="CV295" s="105"/>
      <c r="CW295" s="105"/>
      <c r="CX295" s="105"/>
      <c r="CY295" s="105"/>
      <c r="CZ295" s="105"/>
      <c r="DA295" s="105"/>
      <c r="DB295" s="105"/>
      <c r="DC295" s="105"/>
      <c r="DD295" s="105"/>
      <c r="DE295" s="105"/>
      <c r="DF295" s="105"/>
      <c r="DG295" s="105"/>
      <c r="DH295" s="105"/>
      <c r="DI295" s="105"/>
      <c r="DJ295" s="105"/>
      <c r="DK295" s="105"/>
      <c r="DL295" s="105"/>
      <c r="DM295" s="105"/>
      <c r="DN295" s="105"/>
      <c r="DO295" s="105"/>
      <c r="DP295" s="105"/>
      <c r="DQ295" s="105"/>
      <c r="DR295" s="105"/>
      <c r="DS295" s="105"/>
      <c r="DT295" s="105"/>
      <c r="DU295" s="105"/>
      <c r="DV295" s="105"/>
      <c r="DW295" s="105"/>
      <c r="DX295" s="105"/>
      <c r="DY295" s="105"/>
      <c r="DZ295" s="105"/>
      <c r="EA295" s="105"/>
      <c r="EB295" s="105"/>
      <c r="EC295" s="105"/>
      <c r="ED295" s="105"/>
      <c r="EE295" s="105"/>
      <c r="EF295" s="105"/>
      <c r="EG295" s="105"/>
      <c r="EH295" s="105"/>
      <c r="EI295" s="105"/>
      <c r="EJ295" s="105"/>
      <c r="EK295" s="105"/>
      <c r="EL295" s="105"/>
      <c r="EM295" s="105"/>
      <c r="EN295" s="105"/>
      <c r="EO295" s="105"/>
      <c r="EP295" s="105"/>
      <c r="EQ295" s="105"/>
      <c r="ER295" s="105"/>
      <c r="ES295" s="105"/>
      <c r="ET295" s="105"/>
      <c r="EU295" s="105"/>
      <c r="EV295" s="105"/>
      <c r="EW295" s="105"/>
      <c r="EX295" s="105"/>
      <c r="EY295" s="105"/>
      <c r="EZ295" s="105"/>
      <c r="FA295" s="105"/>
      <c r="FB295" s="105"/>
      <c r="FC295" s="105"/>
      <c r="FD295" s="105"/>
      <c r="FE295" s="105"/>
      <c r="FF295" s="105"/>
      <c r="FG295" s="105"/>
      <c r="FH295" s="105"/>
      <c r="FI295" s="105"/>
      <c r="FJ295" s="105"/>
      <c r="FK295" s="105"/>
      <c r="FL295" s="105"/>
      <c r="FM295" s="105"/>
      <c r="FN295" s="105"/>
      <c r="FO295" s="105"/>
      <c r="FP295" s="105"/>
      <c r="FQ295" s="105"/>
      <c r="FR295" s="105"/>
      <c r="FS295" s="105"/>
      <c r="FT295" s="105"/>
      <c r="FU295" s="105"/>
      <c r="FV295" s="105"/>
      <c r="FW295" s="105"/>
      <c r="FX295" s="105"/>
      <c r="FY295" s="105"/>
      <c r="FZ295" s="105"/>
      <c r="GA295" s="105"/>
      <c r="GB295" s="105"/>
      <c r="GC295" s="105"/>
      <c r="GD295" s="105"/>
      <c r="GE295" s="105"/>
      <c r="GF295" s="105"/>
      <c r="GG295" s="105"/>
      <c r="GH295" s="105"/>
      <c r="GI295" s="105"/>
      <c r="GJ295" s="105"/>
      <c r="GK295" s="105"/>
      <c r="GL295" s="105"/>
      <c r="GM295" s="105"/>
      <c r="GN295" s="105"/>
      <c r="GO295" s="105"/>
      <c r="GP295" s="105"/>
      <c r="GQ295" s="105"/>
      <c r="GR295" s="105"/>
      <c r="GS295" s="105"/>
      <c r="GT295" s="105"/>
      <c r="GU295" s="105"/>
      <c r="GV295" s="105"/>
      <c r="GW295" s="105"/>
      <c r="GX295" s="105"/>
      <c r="GY295" s="105"/>
      <c r="GZ295" s="105"/>
      <c r="HA295" s="105"/>
      <c r="HB295" s="105"/>
      <c r="HC295" s="105"/>
      <c r="HD295" s="105"/>
      <c r="HE295" s="105"/>
      <c r="HF295" s="105"/>
      <c r="HG295" s="105"/>
      <c r="HH295" s="105"/>
      <c r="HI295" s="105"/>
      <c r="HJ295" s="105"/>
      <c r="HK295" s="105"/>
      <c r="HL295" s="105"/>
      <c r="HM295" s="105"/>
      <c r="HN295" s="105"/>
      <c r="HO295" s="105"/>
      <c r="HP295" s="105"/>
      <c r="HQ295" s="105"/>
      <c r="HR295" s="105"/>
      <c r="HS295" s="105"/>
      <c r="HT295" s="105"/>
      <c r="HU295" s="105"/>
      <c r="HV295" s="105"/>
      <c r="HW295" s="105"/>
      <c r="HX295" s="105"/>
      <c r="HY295" s="105"/>
      <c r="HZ295" s="105"/>
      <c r="IA295" s="105"/>
      <c r="IB295" s="105"/>
      <c r="IC295" s="105"/>
      <c r="ID295" s="105"/>
      <c r="IE295" s="105"/>
      <c r="IF295" s="105"/>
      <c r="IG295" s="105"/>
      <c r="IH295" s="105"/>
      <c r="II295" s="105"/>
      <c r="IJ295" s="105"/>
      <c r="IK295" s="105"/>
      <c r="IL295" s="105"/>
      <c r="IM295" s="105"/>
      <c r="IN295" s="105"/>
      <c r="IO295" s="105"/>
      <c r="IP295" s="105"/>
      <c r="IQ295" s="105"/>
      <c r="IR295" s="105"/>
      <c r="IS295" s="105"/>
    </row>
    <row r="296" spans="1:253">
      <c r="A296" s="116"/>
      <c r="B296" s="105"/>
      <c r="C296" s="116"/>
      <c r="D296" s="116"/>
      <c r="E296" s="116"/>
      <c r="F296" s="116"/>
      <c r="G296" s="116"/>
      <c r="H296" s="116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5"/>
      <c r="BK296" s="105"/>
      <c r="BL296" s="105"/>
      <c r="BM296" s="105"/>
      <c r="BN296" s="105"/>
      <c r="BO296" s="105"/>
      <c r="BP296" s="105"/>
      <c r="BQ296" s="105"/>
      <c r="BR296" s="105"/>
      <c r="BS296" s="105"/>
      <c r="BT296" s="105"/>
      <c r="BU296" s="105"/>
      <c r="BV296" s="105"/>
      <c r="BW296" s="105"/>
      <c r="BX296" s="105"/>
      <c r="BY296" s="105"/>
      <c r="BZ296" s="105"/>
      <c r="CA296" s="105"/>
      <c r="CB296" s="105"/>
      <c r="CC296" s="105"/>
      <c r="CD296" s="105"/>
      <c r="CE296" s="105"/>
      <c r="CF296" s="105"/>
      <c r="CG296" s="105"/>
      <c r="CH296" s="105"/>
      <c r="CI296" s="105"/>
      <c r="CJ296" s="105"/>
      <c r="CK296" s="105"/>
      <c r="CL296" s="105"/>
      <c r="CM296" s="105"/>
      <c r="CN296" s="105"/>
      <c r="CO296" s="105"/>
      <c r="CP296" s="105"/>
      <c r="CQ296" s="105"/>
      <c r="CR296" s="105"/>
      <c r="CS296" s="105"/>
      <c r="CT296" s="105"/>
      <c r="CU296" s="105"/>
      <c r="CV296" s="105"/>
      <c r="CW296" s="105"/>
      <c r="CX296" s="105"/>
      <c r="CY296" s="105"/>
      <c r="CZ296" s="105"/>
      <c r="DA296" s="105"/>
      <c r="DB296" s="105"/>
      <c r="DC296" s="105"/>
      <c r="DD296" s="105"/>
      <c r="DE296" s="105"/>
      <c r="DF296" s="105"/>
      <c r="DG296" s="105"/>
      <c r="DH296" s="105"/>
      <c r="DI296" s="105"/>
      <c r="DJ296" s="105"/>
      <c r="DK296" s="105"/>
      <c r="DL296" s="105"/>
      <c r="DM296" s="105"/>
      <c r="DN296" s="105"/>
      <c r="DO296" s="105"/>
      <c r="DP296" s="105"/>
      <c r="DQ296" s="105"/>
      <c r="DR296" s="105"/>
      <c r="DS296" s="105"/>
      <c r="DT296" s="105"/>
      <c r="DU296" s="105"/>
      <c r="DV296" s="105"/>
      <c r="DW296" s="105"/>
      <c r="DX296" s="105"/>
      <c r="DY296" s="105"/>
      <c r="DZ296" s="105"/>
      <c r="EA296" s="105"/>
      <c r="EB296" s="105"/>
      <c r="EC296" s="105"/>
      <c r="ED296" s="105"/>
      <c r="EE296" s="105"/>
      <c r="EF296" s="105"/>
      <c r="EG296" s="105"/>
      <c r="EH296" s="105"/>
      <c r="EI296" s="105"/>
      <c r="EJ296" s="105"/>
      <c r="EK296" s="105"/>
      <c r="EL296" s="105"/>
      <c r="EM296" s="105"/>
      <c r="EN296" s="105"/>
      <c r="EO296" s="105"/>
      <c r="EP296" s="105"/>
      <c r="EQ296" s="105"/>
      <c r="ER296" s="105"/>
      <c r="ES296" s="105"/>
      <c r="ET296" s="105"/>
      <c r="EU296" s="105"/>
      <c r="EV296" s="105"/>
      <c r="EW296" s="105"/>
      <c r="EX296" s="105"/>
      <c r="EY296" s="105"/>
      <c r="EZ296" s="105"/>
      <c r="FA296" s="105"/>
      <c r="FB296" s="105"/>
      <c r="FC296" s="105"/>
      <c r="FD296" s="105"/>
      <c r="FE296" s="105"/>
      <c r="FF296" s="105"/>
      <c r="FG296" s="105"/>
      <c r="FH296" s="105"/>
      <c r="FI296" s="105"/>
      <c r="FJ296" s="105"/>
      <c r="FK296" s="105"/>
      <c r="FL296" s="105"/>
      <c r="FM296" s="105"/>
      <c r="FN296" s="105"/>
      <c r="FO296" s="105"/>
      <c r="FP296" s="105"/>
      <c r="FQ296" s="105"/>
      <c r="FR296" s="105"/>
      <c r="FS296" s="105"/>
      <c r="FT296" s="105"/>
      <c r="FU296" s="105"/>
      <c r="FV296" s="105"/>
      <c r="FW296" s="105"/>
      <c r="FX296" s="105"/>
      <c r="FY296" s="105"/>
      <c r="FZ296" s="105"/>
      <c r="GA296" s="105"/>
      <c r="GB296" s="105"/>
      <c r="GC296" s="105"/>
      <c r="GD296" s="105"/>
      <c r="GE296" s="105"/>
      <c r="GF296" s="105"/>
      <c r="GG296" s="105"/>
      <c r="GH296" s="105"/>
      <c r="GI296" s="105"/>
      <c r="GJ296" s="105"/>
      <c r="GK296" s="105"/>
      <c r="GL296" s="105"/>
      <c r="GM296" s="105"/>
      <c r="GN296" s="105"/>
      <c r="GO296" s="105"/>
      <c r="GP296" s="105"/>
      <c r="GQ296" s="105"/>
      <c r="GR296" s="105"/>
      <c r="GS296" s="105"/>
      <c r="GT296" s="105"/>
      <c r="GU296" s="105"/>
      <c r="GV296" s="105"/>
      <c r="GW296" s="105"/>
      <c r="GX296" s="105"/>
      <c r="GY296" s="105"/>
      <c r="GZ296" s="105"/>
      <c r="HA296" s="105"/>
      <c r="HB296" s="105"/>
      <c r="HC296" s="105"/>
      <c r="HD296" s="105"/>
      <c r="HE296" s="105"/>
      <c r="HF296" s="105"/>
      <c r="HG296" s="105"/>
      <c r="HH296" s="105"/>
      <c r="HI296" s="105"/>
      <c r="HJ296" s="105"/>
      <c r="HK296" s="105"/>
      <c r="HL296" s="105"/>
      <c r="HM296" s="105"/>
      <c r="HN296" s="105"/>
      <c r="HO296" s="105"/>
      <c r="HP296" s="105"/>
      <c r="HQ296" s="105"/>
      <c r="HR296" s="105"/>
      <c r="HS296" s="105"/>
      <c r="HT296" s="105"/>
      <c r="HU296" s="105"/>
      <c r="HV296" s="105"/>
      <c r="HW296" s="105"/>
      <c r="HX296" s="105"/>
      <c r="HY296" s="105"/>
      <c r="HZ296" s="105"/>
      <c r="IA296" s="105"/>
      <c r="IB296" s="105"/>
      <c r="IC296" s="105"/>
      <c r="ID296" s="105"/>
      <c r="IE296" s="105"/>
      <c r="IF296" s="105"/>
      <c r="IG296" s="105"/>
      <c r="IH296" s="105"/>
      <c r="II296" s="105"/>
      <c r="IJ296" s="105"/>
      <c r="IK296" s="105"/>
      <c r="IL296" s="105"/>
      <c r="IM296" s="105"/>
      <c r="IN296" s="105"/>
      <c r="IO296" s="105"/>
      <c r="IP296" s="105"/>
      <c r="IQ296" s="105"/>
      <c r="IR296" s="105"/>
      <c r="IS296" s="105"/>
    </row>
    <row r="297" spans="1:253">
      <c r="A297" s="116"/>
      <c r="B297" s="105"/>
      <c r="C297" s="116"/>
      <c r="D297" s="116"/>
      <c r="E297" s="116"/>
      <c r="F297" s="116"/>
      <c r="G297" s="116"/>
      <c r="H297" s="116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/>
      <c r="BL297" s="105"/>
      <c r="BM297" s="105"/>
      <c r="BN297" s="105"/>
      <c r="BO297" s="105"/>
      <c r="BP297" s="105"/>
      <c r="BQ297" s="105"/>
      <c r="BR297" s="105"/>
      <c r="BS297" s="105"/>
      <c r="BT297" s="105"/>
      <c r="BU297" s="105"/>
      <c r="BV297" s="105"/>
      <c r="BW297" s="105"/>
      <c r="BX297" s="105"/>
      <c r="BY297" s="105"/>
      <c r="BZ297" s="105"/>
      <c r="CA297" s="105"/>
      <c r="CB297" s="105"/>
      <c r="CC297" s="105"/>
      <c r="CD297" s="105"/>
      <c r="CE297" s="105"/>
      <c r="CF297" s="105"/>
      <c r="CG297" s="105"/>
      <c r="CH297" s="105"/>
      <c r="CI297" s="105"/>
      <c r="CJ297" s="105"/>
      <c r="CK297" s="105"/>
      <c r="CL297" s="105"/>
      <c r="CM297" s="105"/>
      <c r="CN297" s="105"/>
      <c r="CO297" s="105"/>
      <c r="CP297" s="105"/>
      <c r="CQ297" s="105"/>
      <c r="CR297" s="105"/>
      <c r="CS297" s="105"/>
      <c r="CT297" s="105"/>
      <c r="CU297" s="105"/>
      <c r="CV297" s="105"/>
      <c r="CW297" s="105"/>
      <c r="CX297" s="105"/>
      <c r="CY297" s="105"/>
      <c r="CZ297" s="105"/>
      <c r="DA297" s="105"/>
      <c r="DB297" s="105"/>
      <c r="DC297" s="105"/>
      <c r="DD297" s="105"/>
      <c r="DE297" s="105"/>
      <c r="DF297" s="105"/>
      <c r="DG297" s="105"/>
      <c r="DH297" s="105"/>
      <c r="DI297" s="105"/>
      <c r="DJ297" s="105"/>
      <c r="DK297" s="105"/>
      <c r="DL297" s="105"/>
      <c r="DM297" s="105"/>
      <c r="DN297" s="105"/>
      <c r="DO297" s="105"/>
      <c r="DP297" s="105"/>
      <c r="DQ297" s="105"/>
      <c r="DR297" s="105"/>
      <c r="DS297" s="105"/>
      <c r="DT297" s="105"/>
      <c r="DU297" s="105"/>
      <c r="DV297" s="105"/>
      <c r="DW297" s="105"/>
      <c r="DX297" s="105"/>
      <c r="DY297" s="105"/>
      <c r="DZ297" s="105"/>
      <c r="EA297" s="105"/>
      <c r="EB297" s="105"/>
      <c r="EC297" s="105"/>
      <c r="ED297" s="105"/>
      <c r="EE297" s="105"/>
      <c r="EF297" s="105"/>
      <c r="EG297" s="105"/>
      <c r="EH297" s="105"/>
      <c r="EI297" s="105"/>
      <c r="EJ297" s="105"/>
      <c r="EK297" s="105"/>
      <c r="EL297" s="105"/>
      <c r="EM297" s="105"/>
      <c r="EN297" s="105"/>
      <c r="EO297" s="105"/>
      <c r="EP297" s="105"/>
      <c r="EQ297" s="105"/>
      <c r="ER297" s="105"/>
      <c r="ES297" s="105"/>
      <c r="ET297" s="105"/>
      <c r="EU297" s="105"/>
      <c r="EV297" s="105"/>
      <c r="EW297" s="105"/>
      <c r="EX297" s="105"/>
      <c r="EY297" s="105"/>
      <c r="EZ297" s="105"/>
      <c r="FA297" s="105"/>
      <c r="FB297" s="105"/>
      <c r="FC297" s="105"/>
      <c r="FD297" s="105"/>
      <c r="FE297" s="105"/>
      <c r="FF297" s="105"/>
      <c r="FG297" s="105"/>
      <c r="FH297" s="105"/>
      <c r="FI297" s="105"/>
      <c r="FJ297" s="105"/>
      <c r="FK297" s="105"/>
      <c r="FL297" s="105"/>
      <c r="FM297" s="105"/>
      <c r="FN297" s="105"/>
      <c r="FO297" s="105"/>
      <c r="FP297" s="105"/>
      <c r="FQ297" s="105"/>
      <c r="FR297" s="105"/>
      <c r="FS297" s="105"/>
      <c r="FT297" s="105"/>
      <c r="FU297" s="105"/>
      <c r="FV297" s="105"/>
      <c r="FW297" s="105"/>
      <c r="FX297" s="105"/>
      <c r="FY297" s="105"/>
      <c r="FZ297" s="105"/>
      <c r="GA297" s="105"/>
      <c r="GB297" s="105"/>
      <c r="GC297" s="105"/>
      <c r="GD297" s="105"/>
      <c r="GE297" s="105"/>
      <c r="GF297" s="105"/>
      <c r="GG297" s="105"/>
      <c r="GH297" s="105"/>
      <c r="GI297" s="105"/>
      <c r="GJ297" s="105"/>
      <c r="GK297" s="105"/>
      <c r="GL297" s="105"/>
      <c r="GM297" s="105"/>
      <c r="GN297" s="105"/>
      <c r="GO297" s="105"/>
      <c r="GP297" s="105"/>
      <c r="GQ297" s="105"/>
      <c r="GR297" s="105"/>
      <c r="GS297" s="105"/>
      <c r="GT297" s="105"/>
      <c r="GU297" s="105"/>
      <c r="GV297" s="105"/>
      <c r="GW297" s="105"/>
      <c r="GX297" s="105"/>
      <c r="GY297" s="105"/>
      <c r="GZ297" s="105"/>
      <c r="HA297" s="105"/>
      <c r="HB297" s="105"/>
      <c r="HC297" s="105"/>
      <c r="HD297" s="105"/>
      <c r="HE297" s="105"/>
      <c r="HF297" s="105"/>
      <c r="HG297" s="105"/>
      <c r="HH297" s="105"/>
      <c r="HI297" s="105"/>
      <c r="HJ297" s="105"/>
      <c r="HK297" s="105"/>
      <c r="HL297" s="105"/>
      <c r="HM297" s="105"/>
      <c r="HN297" s="105"/>
      <c r="HO297" s="105"/>
      <c r="HP297" s="105"/>
      <c r="HQ297" s="105"/>
      <c r="HR297" s="105"/>
      <c r="HS297" s="105"/>
      <c r="HT297" s="105"/>
      <c r="HU297" s="105"/>
      <c r="HV297" s="105"/>
      <c r="HW297" s="105"/>
      <c r="HX297" s="105"/>
      <c r="HY297" s="105"/>
      <c r="HZ297" s="105"/>
      <c r="IA297" s="105"/>
      <c r="IB297" s="105"/>
      <c r="IC297" s="105"/>
      <c r="ID297" s="105"/>
      <c r="IE297" s="105"/>
      <c r="IF297" s="105"/>
      <c r="IG297" s="105"/>
      <c r="IH297" s="105"/>
      <c r="II297" s="105"/>
      <c r="IJ297" s="105"/>
      <c r="IK297" s="105"/>
      <c r="IL297" s="105"/>
      <c r="IM297" s="105"/>
      <c r="IN297" s="105"/>
      <c r="IO297" s="105"/>
      <c r="IP297" s="105"/>
      <c r="IQ297" s="105"/>
      <c r="IR297" s="105"/>
      <c r="IS297" s="105"/>
    </row>
    <row r="298" spans="1:253">
      <c r="A298" s="116"/>
      <c r="B298" s="105"/>
      <c r="C298" s="116"/>
      <c r="D298" s="116"/>
      <c r="E298" s="116"/>
      <c r="F298" s="116"/>
      <c r="G298" s="116"/>
      <c r="H298" s="116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5"/>
      <c r="BK298" s="105"/>
      <c r="BL298" s="105"/>
      <c r="BM298" s="105"/>
      <c r="BN298" s="105"/>
      <c r="BO298" s="105"/>
      <c r="BP298" s="105"/>
      <c r="BQ298" s="105"/>
      <c r="BR298" s="105"/>
      <c r="BS298" s="105"/>
      <c r="BT298" s="105"/>
      <c r="BU298" s="105"/>
      <c r="BV298" s="105"/>
      <c r="BW298" s="105"/>
      <c r="BX298" s="105"/>
      <c r="BY298" s="105"/>
      <c r="BZ298" s="105"/>
      <c r="CA298" s="105"/>
      <c r="CB298" s="105"/>
      <c r="CC298" s="105"/>
      <c r="CD298" s="105"/>
      <c r="CE298" s="105"/>
      <c r="CF298" s="105"/>
      <c r="CG298" s="105"/>
      <c r="CH298" s="105"/>
      <c r="CI298" s="105"/>
      <c r="CJ298" s="105"/>
      <c r="CK298" s="105"/>
      <c r="CL298" s="105"/>
      <c r="CM298" s="105"/>
      <c r="CN298" s="105"/>
      <c r="CO298" s="105"/>
      <c r="CP298" s="105"/>
      <c r="CQ298" s="105"/>
      <c r="CR298" s="105"/>
      <c r="CS298" s="105"/>
      <c r="CT298" s="105"/>
      <c r="CU298" s="105"/>
      <c r="CV298" s="105"/>
      <c r="CW298" s="105"/>
      <c r="CX298" s="105"/>
      <c r="CY298" s="105"/>
      <c r="CZ298" s="105"/>
      <c r="DA298" s="105"/>
      <c r="DB298" s="105"/>
      <c r="DC298" s="105"/>
      <c r="DD298" s="105"/>
      <c r="DE298" s="105"/>
      <c r="DF298" s="105"/>
      <c r="DG298" s="105"/>
      <c r="DH298" s="105"/>
      <c r="DI298" s="105"/>
      <c r="DJ298" s="105"/>
      <c r="DK298" s="105"/>
      <c r="DL298" s="105"/>
      <c r="DM298" s="105"/>
      <c r="DN298" s="105"/>
      <c r="DO298" s="105"/>
      <c r="DP298" s="105"/>
      <c r="DQ298" s="105"/>
      <c r="DR298" s="105"/>
      <c r="DS298" s="105"/>
      <c r="DT298" s="105"/>
      <c r="DU298" s="105"/>
      <c r="DV298" s="105"/>
      <c r="DW298" s="105"/>
      <c r="DX298" s="105"/>
      <c r="DY298" s="105"/>
      <c r="DZ298" s="105"/>
      <c r="EA298" s="105"/>
      <c r="EB298" s="105"/>
      <c r="EC298" s="105"/>
      <c r="ED298" s="105"/>
      <c r="EE298" s="105"/>
      <c r="EF298" s="105"/>
      <c r="EG298" s="105"/>
      <c r="EH298" s="105"/>
      <c r="EI298" s="105"/>
      <c r="EJ298" s="105"/>
      <c r="EK298" s="105"/>
      <c r="EL298" s="105"/>
      <c r="EM298" s="105"/>
      <c r="EN298" s="105"/>
      <c r="EO298" s="105"/>
      <c r="EP298" s="105"/>
      <c r="EQ298" s="105"/>
      <c r="ER298" s="105"/>
      <c r="ES298" s="105"/>
      <c r="ET298" s="105"/>
      <c r="EU298" s="105"/>
      <c r="EV298" s="105"/>
      <c r="EW298" s="105"/>
      <c r="EX298" s="105"/>
      <c r="EY298" s="105"/>
      <c r="EZ298" s="105"/>
      <c r="FA298" s="105"/>
      <c r="FB298" s="105"/>
      <c r="FC298" s="105"/>
      <c r="FD298" s="105"/>
      <c r="FE298" s="105"/>
      <c r="FF298" s="105"/>
      <c r="FG298" s="105"/>
      <c r="FH298" s="105"/>
      <c r="FI298" s="105"/>
      <c r="FJ298" s="105"/>
      <c r="FK298" s="105"/>
      <c r="FL298" s="105"/>
      <c r="FM298" s="105"/>
      <c r="FN298" s="105"/>
      <c r="FO298" s="105"/>
      <c r="FP298" s="105"/>
      <c r="FQ298" s="105"/>
      <c r="FR298" s="105"/>
      <c r="FS298" s="105"/>
      <c r="FT298" s="105"/>
      <c r="FU298" s="105"/>
      <c r="FV298" s="105"/>
      <c r="FW298" s="105"/>
      <c r="FX298" s="105"/>
      <c r="FY298" s="105"/>
      <c r="FZ298" s="105"/>
      <c r="GA298" s="105"/>
      <c r="GB298" s="105"/>
      <c r="GC298" s="105"/>
      <c r="GD298" s="105"/>
      <c r="GE298" s="105"/>
      <c r="GF298" s="105"/>
      <c r="GG298" s="105"/>
      <c r="GH298" s="105"/>
      <c r="GI298" s="105"/>
      <c r="GJ298" s="105"/>
      <c r="GK298" s="105"/>
      <c r="GL298" s="105"/>
      <c r="GM298" s="105"/>
      <c r="GN298" s="105"/>
      <c r="GO298" s="105"/>
      <c r="GP298" s="105"/>
      <c r="GQ298" s="105"/>
      <c r="GR298" s="105"/>
      <c r="GS298" s="105"/>
      <c r="GT298" s="105"/>
      <c r="GU298" s="105"/>
      <c r="GV298" s="105"/>
      <c r="GW298" s="105"/>
      <c r="GX298" s="105"/>
      <c r="GY298" s="105"/>
      <c r="GZ298" s="105"/>
      <c r="HA298" s="105"/>
      <c r="HB298" s="105"/>
      <c r="HC298" s="105"/>
      <c r="HD298" s="105"/>
      <c r="HE298" s="105"/>
      <c r="HF298" s="105"/>
      <c r="HG298" s="105"/>
      <c r="HH298" s="105"/>
      <c r="HI298" s="105"/>
      <c r="HJ298" s="105"/>
      <c r="HK298" s="105"/>
      <c r="HL298" s="105"/>
      <c r="HM298" s="105"/>
      <c r="HN298" s="105"/>
      <c r="HO298" s="105"/>
      <c r="HP298" s="105"/>
      <c r="HQ298" s="105"/>
      <c r="HR298" s="105"/>
      <c r="HS298" s="105"/>
      <c r="HT298" s="105"/>
      <c r="HU298" s="105"/>
      <c r="HV298" s="105"/>
      <c r="HW298" s="105"/>
      <c r="HX298" s="105"/>
      <c r="HY298" s="105"/>
      <c r="HZ298" s="105"/>
      <c r="IA298" s="105"/>
      <c r="IB298" s="105"/>
      <c r="IC298" s="105"/>
      <c r="ID298" s="105"/>
      <c r="IE298" s="105"/>
      <c r="IF298" s="105"/>
      <c r="IG298" s="105"/>
      <c r="IH298" s="105"/>
      <c r="II298" s="105"/>
      <c r="IJ298" s="105"/>
      <c r="IK298" s="105"/>
      <c r="IL298" s="105"/>
      <c r="IM298" s="105"/>
      <c r="IN298" s="105"/>
      <c r="IO298" s="105"/>
      <c r="IP298" s="105"/>
      <c r="IQ298" s="105"/>
      <c r="IR298" s="105"/>
      <c r="IS298" s="105"/>
    </row>
    <row r="299" spans="1:253">
      <c r="A299" s="116"/>
      <c r="B299" s="105"/>
      <c r="C299" s="116"/>
      <c r="D299" s="116"/>
      <c r="E299" s="116"/>
      <c r="F299" s="116"/>
      <c r="G299" s="116"/>
      <c r="H299" s="116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05"/>
      <c r="BL299" s="105"/>
      <c r="BM299" s="105"/>
      <c r="BN299" s="105"/>
      <c r="BO299" s="105"/>
      <c r="BP299" s="105"/>
      <c r="BQ299" s="105"/>
      <c r="BR299" s="105"/>
      <c r="BS299" s="105"/>
      <c r="BT299" s="105"/>
      <c r="BU299" s="105"/>
      <c r="BV299" s="105"/>
      <c r="BW299" s="105"/>
      <c r="BX299" s="105"/>
      <c r="BY299" s="105"/>
      <c r="BZ299" s="105"/>
      <c r="CA299" s="105"/>
      <c r="CB299" s="105"/>
      <c r="CC299" s="105"/>
      <c r="CD299" s="105"/>
      <c r="CE299" s="105"/>
      <c r="CF299" s="105"/>
      <c r="CG299" s="105"/>
      <c r="CH299" s="105"/>
      <c r="CI299" s="105"/>
      <c r="CJ299" s="105"/>
      <c r="CK299" s="105"/>
      <c r="CL299" s="105"/>
      <c r="CM299" s="105"/>
      <c r="CN299" s="105"/>
      <c r="CO299" s="105"/>
      <c r="CP299" s="105"/>
      <c r="CQ299" s="105"/>
      <c r="CR299" s="105"/>
      <c r="CS299" s="105"/>
      <c r="CT299" s="105"/>
      <c r="CU299" s="105"/>
      <c r="CV299" s="105"/>
      <c r="CW299" s="105"/>
      <c r="CX299" s="105"/>
      <c r="CY299" s="105"/>
      <c r="CZ299" s="105"/>
      <c r="DA299" s="105"/>
      <c r="DB299" s="105"/>
      <c r="DC299" s="105"/>
      <c r="DD299" s="105"/>
      <c r="DE299" s="105"/>
      <c r="DF299" s="105"/>
      <c r="DG299" s="105"/>
      <c r="DH299" s="105"/>
      <c r="DI299" s="105"/>
      <c r="DJ299" s="105"/>
      <c r="DK299" s="105"/>
      <c r="DL299" s="105"/>
      <c r="DM299" s="105"/>
      <c r="DN299" s="105"/>
      <c r="DO299" s="105"/>
      <c r="DP299" s="105"/>
      <c r="DQ299" s="105"/>
      <c r="DR299" s="105"/>
      <c r="DS299" s="105"/>
      <c r="DT299" s="105"/>
      <c r="DU299" s="105"/>
      <c r="DV299" s="105"/>
      <c r="DW299" s="105"/>
      <c r="DX299" s="105"/>
      <c r="DY299" s="105"/>
      <c r="DZ299" s="105"/>
      <c r="EA299" s="105"/>
      <c r="EB299" s="105"/>
      <c r="EC299" s="105"/>
      <c r="ED299" s="105"/>
      <c r="EE299" s="105"/>
      <c r="EF299" s="105"/>
      <c r="EG299" s="105"/>
      <c r="EH299" s="105"/>
      <c r="EI299" s="105"/>
      <c r="EJ299" s="105"/>
      <c r="EK299" s="105"/>
      <c r="EL299" s="105"/>
      <c r="EM299" s="105"/>
      <c r="EN299" s="105"/>
      <c r="EO299" s="105"/>
      <c r="EP299" s="105"/>
      <c r="EQ299" s="105"/>
      <c r="ER299" s="105"/>
      <c r="ES299" s="105"/>
      <c r="ET299" s="105"/>
      <c r="EU299" s="105"/>
      <c r="EV299" s="105"/>
      <c r="EW299" s="105"/>
      <c r="EX299" s="105"/>
      <c r="EY299" s="105"/>
      <c r="EZ299" s="105"/>
      <c r="FA299" s="105"/>
      <c r="FB299" s="105"/>
      <c r="FC299" s="105"/>
      <c r="FD299" s="105"/>
      <c r="FE299" s="105"/>
      <c r="FF299" s="105"/>
      <c r="FG299" s="105"/>
      <c r="FH299" s="105"/>
      <c r="FI299" s="105"/>
      <c r="FJ299" s="105"/>
      <c r="FK299" s="105"/>
      <c r="FL299" s="105"/>
      <c r="FM299" s="105"/>
      <c r="FN299" s="105"/>
      <c r="FO299" s="105"/>
      <c r="FP299" s="105"/>
      <c r="FQ299" s="105"/>
      <c r="FR299" s="105"/>
      <c r="FS299" s="105"/>
      <c r="FT299" s="105"/>
      <c r="FU299" s="105"/>
      <c r="FV299" s="105"/>
      <c r="FW299" s="105"/>
      <c r="FX299" s="105"/>
      <c r="FY299" s="105"/>
      <c r="FZ299" s="105"/>
      <c r="GA299" s="105"/>
      <c r="GB299" s="105"/>
      <c r="GC299" s="105"/>
      <c r="GD299" s="105"/>
      <c r="GE299" s="105"/>
      <c r="GF299" s="105"/>
      <c r="GG299" s="105"/>
      <c r="GH299" s="105"/>
      <c r="GI299" s="105"/>
      <c r="GJ299" s="105"/>
      <c r="GK299" s="105"/>
      <c r="GL299" s="105"/>
      <c r="GM299" s="105"/>
      <c r="GN299" s="105"/>
      <c r="GO299" s="105"/>
      <c r="GP299" s="105"/>
      <c r="GQ299" s="105"/>
      <c r="GR299" s="105"/>
      <c r="GS299" s="105"/>
      <c r="GT299" s="105"/>
      <c r="GU299" s="105"/>
      <c r="GV299" s="105"/>
      <c r="GW299" s="105"/>
      <c r="GX299" s="105"/>
      <c r="GY299" s="105"/>
      <c r="GZ299" s="105"/>
      <c r="HA299" s="105"/>
      <c r="HB299" s="105"/>
      <c r="HC299" s="105"/>
      <c r="HD299" s="105"/>
      <c r="HE299" s="105"/>
      <c r="HF299" s="105"/>
      <c r="HG299" s="105"/>
      <c r="HH299" s="105"/>
      <c r="HI299" s="105"/>
      <c r="HJ299" s="105"/>
      <c r="HK299" s="105"/>
      <c r="HL299" s="105"/>
      <c r="HM299" s="105"/>
      <c r="HN299" s="105"/>
      <c r="HO299" s="105"/>
      <c r="HP299" s="105"/>
      <c r="HQ299" s="105"/>
      <c r="HR299" s="105"/>
      <c r="HS299" s="105"/>
      <c r="HT299" s="105"/>
      <c r="HU299" s="105"/>
      <c r="HV299" s="105"/>
      <c r="HW299" s="105"/>
      <c r="HX299" s="105"/>
      <c r="HY299" s="105"/>
      <c r="HZ299" s="105"/>
      <c r="IA299" s="105"/>
      <c r="IB299" s="105"/>
      <c r="IC299" s="105"/>
      <c r="ID299" s="105"/>
      <c r="IE299" s="105"/>
      <c r="IF299" s="105"/>
      <c r="IG299" s="105"/>
      <c r="IH299" s="105"/>
      <c r="II299" s="105"/>
      <c r="IJ299" s="105"/>
      <c r="IK299" s="105"/>
      <c r="IL299" s="105"/>
      <c r="IM299" s="105"/>
      <c r="IN299" s="105"/>
      <c r="IO299" s="105"/>
      <c r="IP299" s="105"/>
      <c r="IQ299" s="105"/>
      <c r="IR299" s="105"/>
      <c r="IS299" s="105"/>
    </row>
    <row r="300" spans="1:253">
      <c r="A300" s="116"/>
      <c r="B300" s="105"/>
      <c r="C300" s="116"/>
      <c r="D300" s="116"/>
      <c r="E300" s="116"/>
      <c r="F300" s="116"/>
      <c r="G300" s="116"/>
      <c r="H300" s="116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 s="105"/>
      <c r="BK300" s="105"/>
      <c r="BL300" s="105"/>
      <c r="BM300" s="105"/>
      <c r="BN300" s="105"/>
      <c r="BO300" s="105"/>
      <c r="BP300" s="105"/>
      <c r="BQ300" s="105"/>
      <c r="BR300" s="105"/>
      <c r="BS300" s="105"/>
      <c r="BT300" s="105"/>
      <c r="BU300" s="105"/>
      <c r="BV300" s="105"/>
      <c r="BW300" s="105"/>
      <c r="BX300" s="105"/>
      <c r="BY300" s="105"/>
      <c r="BZ300" s="105"/>
      <c r="CA300" s="105"/>
      <c r="CB300" s="105"/>
      <c r="CC300" s="105"/>
      <c r="CD300" s="105"/>
      <c r="CE300" s="105"/>
      <c r="CF300" s="105"/>
      <c r="CG300" s="105"/>
      <c r="CH300" s="105"/>
      <c r="CI300" s="105"/>
      <c r="CJ300" s="105"/>
      <c r="CK300" s="105"/>
      <c r="CL300" s="105"/>
      <c r="CM300" s="105"/>
      <c r="CN300" s="105"/>
      <c r="CO300" s="105"/>
      <c r="CP300" s="105"/>
      <c r="CQ300" s="105"/>
      <c r="CR300" s="105"/>
      <c r="CS300" s="105"/>
      <c r="CT300" s="105"/>
      <c r="CU300" s="105"/>
      <c r="CV300" s="105"/>
      <c r="CW300" s="105"/>
      <c r="CX300" s="105"/>
      <c r="CY300" s="105"/>
      <c r="CZ300" s="105"/>
      <c r="DA300" s="105"/>
      <c r="DB300" s="105"/>
      <c r="DC300" s="105"/>
      <c r="DD300" s="105"/>
      <c r="DE300" s="105"/>
      <c r="DF300" s="105"/>
      <c r="DG300" s="105"/>
      <c r="DH300" s="105"/>
      <c r="DI300" s="105"/>
      <c r="DJ300" s="105"/>
      <c r="DK300" s="105"/>
      <c r="DL300" s="105"/>
      <c r="DM300" s="105"/>
      <c r="DN300" s="105"/>
      <c r="DO300" s="105"/>
      <c r="DP300" s="105"/>
      <c r="DQ300" s="105"/>
      <c r="DR300" s="105"/>
      <c r="DS300" s="105"/>
      <c r="DT300" s="105"/>
      <c r="DU300" s="105"/>
      <c r="DV300" s="105"/>
      <c r="DW300" s="105"/>
      <c r="DX300" s="105"/>
      <c r="DY300" s="105"/>
      <c r="DZ300" s="105"/>
      <c r="EA300" s="105"/>
      <c r="EB300" s="105"/>
      <c r="EC300" s="105"/>
      <c r="ED300" s="105"/>
      <c r="EE300" s="105"/>
      <c r="EF300" s="105"/>
      <c r="EG300" s="105"/>
      <c r="EH300" s="105"/>
      <c r="EI300" s="105"/>
      <c r="EJ300" s="105"/>
      <c r="EK300" s="105"/>
      <c r="EL300" s="105"/>
      <c r="EM300" s="105"/>
      <c r="EN300" s="105"/>
      <c r="EO300" s="105"/>
      <c r="EP300" s="105"/>
      <c r="EQ300" s="105"/>
      <c r="ER300" s="105"/>
      <c r="ES300" s="105"/>
      <c r="ET300" s="105"/>
      <c r="EU300" s="105"/>
      <c r="EV300" s="105"/>
      <c r="EW300" s="105"/>
      <c r="EX300" s="105"/>
      <c r="EY300" s="105"/>
      <c r="EZ300" s="105"/>
      <c r="FA300" s="105"/>
      <c r="FB300" s="105"/>
      <c r="FC300" s="105"/>
      <c r="FD300" s="105"/>
      <c r="FE300" s="105"/>
      <c r="FF300" s="105"/>
      <c r="FG300" s="105"/>
      <c r="FH300" s="105"/>
      <c r="FI300" s="105"/>
      <c r="FJ300" s="105"/>
      <c r="FK300" s="105"/>
      <c r="FL300" s="105"/>
      <c r="FM300" s="105"/>
      <c r="FN300" s="105"/>
      <c r="FO300" s="105"/>
      <c r="FP300" s="105"/>
      <c r="FQ300" s="105"/>
      <c r="FR300" s="105"/>
      <c r="FS300" s="105"/>
      <c r="FT300" s="105"/>
      <c r="FU300" s="105"/>
      <c r="FV300" s="105"/>
      <c r="FW300" s="105"/>
      <c r="FX300" s="105"/>
      <c r="FY300" s="105"/>
      <c r="FZ300" s="105"/>
      <c r="GA300" s="105"/>
      <c r="GB300" s="105"/>
      <c r="GC300" s="105"/>
      <c r="GD300" s="105"/>
      <c r="GE300" s="105"/>
      <c r="GF300" s="105"/>
      <c r="GG300" s="105"/>
      <c r="GH300" s="105"/>
      <c r="GI300" s="105"/>
      <c r="GJ300" s="105"/>
      <c r="GK300" s="105"/>
      <c r="GL300" s="105"/>
      <c r="GM300" s="105"/>
      <c r="GN300" s="105"/>
      <c r="GO300" s="105"/>
      <c r="GP300" s="105"/>
      <c r="GQ300" s="105"/>
      <c r="GR300" s="105"/>
      <c r="GS300" s="105"/>
      <c r="GT300" s="105"/>
      <c r="GU300" s="105"/>
      <c r="GV300" s="105"/>
      <c r="GW300" s="105"/>
      <c r="GX300" s="105"/>
      <c r="GY300" s="105"/>
      <c r="GZ300" s="105"/>
      <c r="HA300" s="105"/>
      <c r="HB300" s="105"/>
      <c r="HC300" s="105"/>
      <c r="HD300" s="105"/>
      <c r="HE300" s="105"/>
      <c r="HF300" s="105"/>
      <c r="HG300" s="105"/>
      <c r="HH300" s="105"/>
      <c r="HI300" s="105"/>
      <c r="HJ300" s="105"/>
      <c r="HK300" s="105"/>
      <c r="HL300" s="105"/>
      <c r="HM300" s="105"/>
      <c r="HN300" s="105"/>
      <c r="HO300" s="105"/>
      <c r="HP300" s="105"/>
      <c r="HQ300" s="105"/>
      <c r="HR300" s="105"/>
      <c r="HS300" s="105"/>
      <c r="HT300" s="105"/>
      <c r="HU300" s="105"/>
      <c r="HV300" s="105"/>
      <c r="HW300" s="105"/>
      <c r="HX300" s="105"/>
      <c r="HY300" s="105"/>
      <c r="HZ300" s="105"/>
      <c r="IA300" s="105"/>
      <c r="IB300" s="105"/>
      <c r="IC300" s="105"/>
      <c r="ID300" s="105"/>
      <c r="IE300" s="105"/>
      <c r="IF300" s="105"/>
      <c r="IG300" s="105"/>
      <c r="IH300" s="105"/>
      <c r="II300" s="105"/>
      <c r="IJ300" s="105"/>
      <c r="IK300" s="105"/>
      <c r="IL300" s="105"/>
      <c r="IM300" s="105"/>
      <c r="IN300" s="105"/>
      <c r="IO300" s="105"/>
      <c r="IP300" s="105"/>
      <c r="IQ300" s="105"/>
      <c r="IR300" s="105"/>
      <c r="IS300" s="105"/>
    </row>
    <row r="301" spans="1:253">
      <c r="A301" s="116"/>
      <c r="B301" s="105"/>
      <c r="C301" s="116"/>
      <c r="D301" s="116"/>
      <c r="E301" s="116"/>
      <c r="F301" s="116"/>
      <c r="G301" s="116"/>
      <c r="H301" s="116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5"/>
      <c r="BK301" s="105"/>
      <c r="BL301" s="105"/>
      <c r="BM301" s="105"/>
      <c r="BN301" s="105"/>
      <c r="BO301" s="105"/>
      <c r="BP301" s="105"/>
      <c r="BQ301" s="105"/>
      <c r="BR301" s="105"/>
      <c r="BS301" s="105"/>
      <c r="BT301" s="105"/>
      <c r="BU301" s="105"/>
      <c r="BV301" s="105"/>
      <c r="BW301" s="105"/>
      <c r="BX301" s="105"/>
      <c r="BY301" s="105"/>
      <c r="BZ301" s="105"/>
      <c r="CA301" s="105"/>
      <c r="CB301" s="105"/>
      <c r="CC301" s="105"/>
      <c r="CD301" s="105"/>
      <c r="CE301" s="105"/>
      <c r="CF301" s="105"/>
      <c r="CG301" s="105"/>
      <c r="CH301" s="105"/>
      <c r="CI301" s="105"/>
      <c r="CJ301" s="105"/>
      <c r="CK301" s="105"/>
      <c r="CL301" s="105"/>
      <c r="CM301" s="105"/>
      <c r="CN301" s="105"/>
      <c r="CO301" s="105"/>
      <c r="CP301" s="105"/>
      <c r="CQ301" s="105"/>
      <c r="CR301" s="105"/>
      <c r="CS301" s="105"/>
      <c r="CT301" s="105"/>
      <c r="CU301" s="105"/>
      <c r="CV301" s="105"/>
      <c r="CW301" s="105"/>
      <c r="CX301" s="105"/>
      <c r="CY301" s="105"/>
      <c r="CZ301" s="105"/>
      <c r="DA301" s="105"/>
      <c r="DB301" s="105"/>
      <c r="DC301" s="105"/>
      <c r="DD301" s="105"/>
      <c r="DE301" s="105"/>
      <c r="DF301" s="105"/>
      <c r="DG301" s="105"/>
      <c r="DH301" s="105"/>
      <c r="DI301" s="105"/>
      <c r="DJ301" s="105"/>
      <c r="DK301" s="105"/>
      <c r="DL301" s="105"/>
      <c r="DM301" s="105"/>
      <c r="DN301" s="105"/>
      <c r="DO301" s="105"/>
      <c r="DP301" s="105"/>
      <c r="DQ301" s="105"/>
      <c r="DR301" s="105"/>
      <c r="DS301" s="105"/>
      <c r="DT301" s="105"/>
      <c r="DU301" s="105"/>
      <c r="DV301" s="105"/>
      <c r="DW301" s="105"/>
      <c r="DX301" s="105"/>
      <c r="DY301" s="105"/>
      <c r="DZ301" s="105"/>
      <c r="EA301" s="105"/>
      <c r="EB301" s="105"/>
      <c r="EC301" s="105"/>
      <c r="ED301" s="105"/>
      <c r="EE301" s="105"/>
      <c r="EF301" s="105"/>
      <c r="EG301" s="105"/>
      <c r="EH301" s="105"/>
      <c r="EI301" s="105"/>
      <c r="EJ301" s="105"/>
      <c r="EK301" s="105"/>
      <c r="EL301" s="105"/>
      <c r="EM301" s="105"/>
      <c r="EN301" s="105"/>
      <c r="EO301" s="105"/>
      <c r="EP301" s="105"/>
      <c r="EQ301" s="105"/>
      <c r="ER301" s="105"/>
      <c r="ES301" s="105"/>
      <c r="ET301" s="105"/>
      <c r="EU301" s="105"/>
      <c r="EV301" s="105"/>
      <c r="EW301" s="105"/>
      <c r="EX301" s="105"/>
      <c r="EY301" s="105"/>
      <c r="EZ301" s="105"/>
      <c r="FA301" s="105"/>
      <c r="FB301" s="105"/>
      <c r="FC301" s="105"/>
      <c r="FD301" s="105"/>
      <c r="FE301" s="105"/>
      <c r="FF301" s="105"/>
      <c r="FG301" s="105"/>
      <c r="FH301" s="105"/>
      <c r="FI301" s="105"/>
      <c r="FJ301" s="105"/>
      <c r="FK301" s="105"/>
      <c r="FL301" s="105"/>
      <c r="FM301" s="105"/>
      <c r="FN301" s="105"/>
      <c r="FO301" s="105"/>
      <c r="FP301" s="105"/>
      <c r="FQ301" s="105"/>
      <c r="FR301" s="105"/>
      <c r="FS301" s="105"/>
      <c r="FT301" s="105"/>
      <c r="FU301" s="105"/>
      <c r="FV301" s="105"/>
      <c r="FW301" s="105"/>
      <c r="FX301" s="105"/>
      <c r="FY301" s="105"/>
      <c r="FZ301" s="105"/>
      <c r="GA301" s="105"/>
      <c r="GB301" s="105"/>
      <c r="GC301" s="105"/>
      <c r="GD301" s="105"/>
      <c r="GE301" s="105"/>
      <c r="GF301" s="105"/>
      <c r="GG301" s="105"/>
      <c r="GH301" s="105"/>
      <c r="GI301" s="105"/>
      <c r="GJ301" s="105"/>
      <c r="GK301" s="105"/>
      <c r="GL301" s="105"/>
      <c r="GM301" s="105"/>
      <c r="GN301" s="105"/>
      <c r="GO301" s="105"/>
      <c r="GP301" s="105"/>
      <c r="GQ301" s="105"/>
      <c r="GR301" s="105"/>
      <c r="GS301" s="105"/>
      <c r="GT301" s="105"/>
      <c r="GU301" s="105"/>
      <c r="GV301" s="105"/>
      <c r="GW301" s="105"/>
      <c r="GX301" s="105"/>
      <c r="GY301" s="105"/>
      <c r="GZ301" s="105"/>
      <c r="HA301" s="105"/>
      <c r="HB301" s="105"/>
      <c r="HC301" s="105"/>
      <c r="HD301" s="105"/>
      <c r="HE301" s="105"/>
      <c r="HF301" s="105"/>
      <c r="HG301" s="105"/>
      <c r="HH301" s="105"/>
      <c r="HI301" s="105"/>
      <c r="HJ301" s="105"/>
      <c r="HK301" s="105"/>
      <c r="HL301" s="105"/>
      <c r="HM301" s="105"/>
      <c r="HN301" s="105"/>
      <c r="HO301" s="105"/>
      <c r="HP301" s="105"/>
      <c r="HQ301" s="105"/>
      <c r="HR301" s="105"/>
      <c r="HS301" s="105"/>
      <c r="HT301" s="105"/>
      <c r="HU301" s="105"/>
      <c r="HV301" s="105"/>
      <c r="HW301" s="105"/>
      <c r="HX301" s="105"/>
      <c r="HY301" s="105"/>
      <c r="HZ301" s="105"/>
      <c r="IA301" s="105"/>
      <c r="IB301" s="105"/>
      <c r="IC301" s="105"/>
      <c r="ID301" s="105"/>
      <c r="IE301" s="105"/>
      <c r="IF301" s="105"/>
      <c r="IG301" s="105"/>
      <c r="IH301" s="105"/>
      <c r="II301" s="105"/>
      <c r="IJ301" s="105"/>
      <c r="IK301" s="105"/>
      <c r="IL301" s="105"/>
      <c r="IM301" s="105"/>
      <c r="IN301" s="105"/>
      <c r="IO301" s="105"/>
      <c r="IP301" s="105"/>
      <c r="IQ301" s="105"/>
      <c r="IR301" s="105"/>
      <c r="IS301" s="105"/>
    </row>
    <row r="302" spans="1:253">
      <c r="A302" s="116"/>
      <c r="B302" s="105"/>
      <c r="C302" s="116"/>
      <c r="D302" s="116"/>
      <c r="E302" s="116"/>
      <c r="F302" s="116"/>
      <c r="G302" s="116"/>
      <c r="H302" s="116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 s="105"/>
      <c r="BK302" s="105"/>
      <c r="BL302" s="105"/>
      <c r="BM302" s="105"/>
      <c r="BN302" s="105"/>
      <c r="BO302" s="105"/>
      <c r="BP302" s="105"/>
      <c r="BQ302" s="105"/>
      <c r="BR302" s="105"/>
      <c r="BS302" s="105"/>
      <c r="BT302" s="105"/>
      <c r="BU302" s="105"/>
      <c r="BV302" s="105"/>
      <c r="BW302" s="105"/>
      <c r="BX302" s="105"/>
      <c r="BY302" s="105"/>
      <c r="BZ302" s="105"/>
      <c r="CA302" s="105"/>
      <c r="CB302" s="105"/>
      <c r="CC302" s="105"/>
      <c r="CD302" s="105"/>
      <c r="CE302" s="105"/>
      <c r="CF302" s="105"/>
      <c r="CG302" s="105"/>
      <c r="CH302" s="105"/>
      <c r="CI302" s="105"/>
      <c r="CJ302" s="105"/>
      <c r="CK302" s="105"/>
      <c r="CL302" s="105"/>
      <c r="CM302" s="105"/>
      <c r="CN302" s="105"/>
      <c r="CO302" s="105"/>
      <c r="CP302" s="105"/>
      <c r="CQ302" s="105"/>
      <c r="CR302" s="105"/>
      <c r="CS302" s="105"/>
      <c r="CT302" s="105"/>
      <c r="CU302" s="105"/>
      <c r="CV302" s="105"/>
      <c r="CW302" s="105"/>
      <c r="CX302" s="105"/>
      <c r="CY302" s="105"/>
      <c r="CZ302" s="105"/>
      <c r="DA302" s="105"/>
      <c r="DB302" s="105"/>
      <c r="DC302" s="105"/>
      <c r="DD302" s="105"/>
      <c r="DE302" s="105"/>
      <c r="DF302" s="105"/>
      <c r="DG302" s="105"/>
      <c r="DH302" s="105"/>
      <c r="DI302" s="105"/>
      <c r="DJ302" s="105"/>
      <c r="DK302" s="105"/>
      <c r="DL302" s="105"/>
      <c r="DM302" s="105"/>
      <c r="DN302" s="105"/>
      <c r="DO302" s="105"/>
      <c r="DP302" s="105"/>
      <c r="DQ302" s="105"/>
      <c r="DR302" s="105"/>
      <c r="DS302" s="105"/>
      <c r="DT302" s="105"/>
      <c r="DU302" s="105"/>
      <c r="DV302" s="105"/>
      <c r="DW302" s="105"/>
      <c r="DX302" s="105"/>
      <c r="DY302" s="105"/>
      <c r="DZ302" s="105"/>
      <c r="EA302" s="105"/>
      <c r="EB302" s="105"/>
      <c r="EC302" s="105"/>
      <c r="ED302" s="105"/>
      <c r="EE302" s="105"/>
      <c r="EF302" s="105"/>
      <c r="EG302" s="105"/>
      <c r="EH302" s="105"/>
      <c r="EI302" s="105"/>
      <c r="EJ302" s="105"/>
      <c r="EK302" s="105"/>
      <c r="EL302" s="105"/>
      <c r="EM302" s="105"/>
      <c r="EN302" s="105"/>
      <c r="EO302" s="105"/>
      <c r="EP302" s="105"/>
      <c r="EQ302" s="105"/>
      <c r="ER302" s="105"/>
      <c r="ES302" s="105"/>
      <c r="ET302" s="105"/>
      <c r="EU302" s="105"/>
      <c r="EV302" s="105"/>
      <c r="EW302" s="105"/>
      <c r="EX302" s="105"/>
      <c r="EY302" s="105"/>
      <c r="EZ302" s="105"/>
      <c r="FA302" s="105"/>
      <c r="FB302" s="105"/>
      <c r="FC302" s="105"/>
      <c r="FD302" s="105"/>
      <c r="FE302" s="105"/>
      <c r="FF302" s="105"/>
      <c r="FG302" s="105"/>
      <c r="FH302" s="105"/>
      <c r="FI302" s="105"/>
      <c r="FJ302" s="105"/>
      <c r="FK302" s="105"/>
      <c r="FL302" s="105"/>
      <c r="FM302" s="105"/>
      <c r="FN302" s="105"/>
      <c r="FO302" s="105"/>
      <c r="FP302" s="105"/>
      <c r="FQ302" s="105"/>
      <c r="FR302" s="105"/>
      <c r="FS302" s="105"/>
      <c r="FT302" s="105"/>
      <c r="FU302" s="105"/>
      <c r="FV302" s="105"/>
      <c r="FW302" s="105"/>
      <c r="FX302" s="105"/>
      <c r="FY302" s="105"/>
      <c r="FZ302" s="105"/>
      <c r="GA302" s="105"/>
      <c r="GB302" s="105"/>
      <c r="GC302" s="105"/>
      <c r="GD302" s="105"/>
      <c r="GE302" s="105"/>
      <c r="GF302" s="105"/>
      <c r="GG302" s="105"/>
      <c r="GH302" s="105"/>
      <c r="GI302" s="105"/>
      <c r="GJ302" s="105"/>
      <c r="GK302" s="105"/>
      <c r="GL302" s="105"/>
      <c r="GM302" s="105"/>
      <c r="GN302" s="105"/>
      <c r="GO302" s="105"/>
      <c r="GP302" s="105"/>
      <c r="GQ302" s="105"/>
      <c r="GR302" s="105"/>
      <c r="GS302" s="105"/>
      <c r="GT302" s="105"/>
      <c r="GU302" s="105"/>
      <c r="GV302" s="105"/>
      <c r="GW302" s="105"/>
      <c r="GX302" s="105"/>
      <c r="GY302" s="105"/>
      <c r="GZ302" s="105"/>
      <c r="HA302" s="105"/>
      <c r="HB302" s="105"/>
      <c r="HC302" s="105"/>
      <c r="HD302" s="105"/>
      <c r="HE302" s="105"/>
      <c r="HF302" s="105"/>
      <c r="HG302" s="105"/>
      <c r="HH302" s="105"/>
      <c r="HI302" s="105"/>
      <c r="HJ302" s="105"/>
      <c r="HK302" s="105"/>
      <c r="HL302" s="105"/>
      <c r="HM302" s="105"/>
      <c r="HN302" s="105"/>
      <c r="HO302" s="105"/>
      <c r="HP302" s="105"/>
      <c r="HQ302" s="105"/>
      <c r="HR302" s="105"/>
      <c r="HS302" s="105"/>
      <c r="HT302" s="105"/>
      <c r="HU302" s="105"/>
      <c r="HV302" s="105"/>
      <c r="HW302" s="105"/>
      <c r="HX302" s="105"/>
      <c r="HY302" s="105"/>
      <c r="HZ302" s="105"/>
      <c r="IA302" s="105"/>
      <c r="IB302" s="105"/>
      <c r="IC302" s="105"/>
      <c r="ID302" s="105"/>
      <c r="IE302" s="105"/>
      <c r="IF302" s="105"/>
      <c r="IG302" s="105"/>
      <c r="IH302" s="105"/>
      <c r="II302" s="105"/>
      <c r="IJ302" s="105"/>
      <c r="IK302" s="105"/>
      <c r="IL302" s="105"/>
      <c r="IM302" s="105"/>
      <c r="IN302" s="105"/>
      <c r="IO302" s="105"/>
      <c r="IP302" s="105"/>
      <c r="IQ302" s="105"/>
      <c r="IR302" s="105"/>
      <c r="IS302" s="105"/>
    </row>
    <row r="303" spans="1:253">
      <c r="A303" s="116"/>
      <c r="B303" s="105"/>
      <c r="C303" s="116"/>
      <c r="D303" s="116"/>
      <c r="E303" s="116"/>
      <c r="F303" s="116"/>
      <c r="G303" s="116"/>
      <c r="H303" s="116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 s="105"/>
      <c r="BK303" s="105"/>
      <c r="BL303" s="105"/>
      <c r="BM303" s="105"/>
      <c r="BN303" s="105"/>
      <c r="BO303" s="105"/>
      <c r="BP303" s="105"/>
      <c r="BQ303" s="105"/>
      <c r="BR303" s="105"/>
      <c r="BS303" s="105"/>
      <c r="BT303" s="105"/>
      <c r="BU303" s="105"/>
      <c r="BV303" s="105"/>
      <c r="BW303" s="105"/>
      <c r="BX303" s="105"/>
      <c r="BY303" s="105"/>
      <c r="BZ303" s="105"/>
      <c r="CA303" s="105"/>
      <c r="CB303" s="105"/>
      <c r="CC303" s="105"/>
      <c r="CD303" s="105"/>
      <c r="CE303" s="105"/>
      <c r="CF303" s="105"/>
      <c r="CG303" s="105"/>
      <c r="CH303" s="105"/>
      <c r="CI303" s="105"/>
      <c r="CJ303" s="105"/>
      <c r="CK303" s="105"/>
      <c r="CL303" s="105"/>
      <c r="CM303" s="105"/>
      <c r="CN303" s="105"/>
      <c r="CO303" s="105"/>
      <c r="CP303" s="105"/>
      <c r="CQ303" s="105"/>
      <c r="CR303" s="105"/>
      <c r="CS303" s="105"/>
      <c r="CT303" s="105"/>
      <c r="CU303" s="105"/>
      <c r="CV303" s="105"/>
      <c r="CW303" s="105"/>
      <c r="CX303" s="105"/>
      <c r="CY303" s="105"/>
      <c r="CZ303" s="105"/>
      <c r="DA303" s="105"/>
      <c r="DB303" s="105"/>
      <c r="DC303" s="105"/>
      <c r="DD303" s="105"/>
      <c r="DE303" s="105"/>
      <c r="DF303" s="105"/>
      <c r="DG303" s="105"/>
      <c r="DH303" s="105"/>
      <c r="DI303" s="105"/>
      <c r="DJ303" s="105"/>
      <c r="DK303" s="105"/>
      <c r="DL303" s="105"/>
      <c r="DM303" s="105"/>
      <c r="DN303" s="105"/>
      <c r="DO303" s="105"/>
      <c r="DP303" s="105"/>
      <c r="DQ303" s="105"/>
      <c r="DR303" s="105"/>
      <c r="DS303" s="105"/>
      <c r="DT303" s="105"/>
      <c r="DU303" s="105"/>
      <c r="DV303" s="105"/>
      <c r="DW303" s="105"/>
      <c r="DX303" s="105"/>
      <c r="DY303" s="105"/>
      <c r="DZ303" s="105"/>
      <c r="EA303" s="105"/>
      <c r="EB303" s="105"/>
      <c r="EC303" s="105"/>
      <c r="ED303" s="105"/>
      <c r="EE303" s="105"/>
      <c r="EF303" s="105"/>
      <c r="EG303" s="105"/>
      <c r="EH303" s="105"/>
      <c r="EI303" s="105"/>
      <c r="EJ303" s="105"/>
      <c r="EK303" s="105"/>
      <c r="EL303" s="105"/>
      <c r="EM303" s="105"/>
      <c r="EN303" s="105"/>
      <c r="EO303" s="105"/>
      <c r="EP303" s="105"/>
      <c r="EQ303" s="105"/>
      <c r="ER303" s="105"/>
      <c r="ES303" s="105"/>
      <c r="ET303" s="105"/>
      <c r="EU303" s="105"/>
      <c r="EV303" s="105"/>
      <c r="EW303" s="105"/>
      <c r="EX303" s="105"/>
      <c r="EY303" s="105"/>
      <c r="EZ303" s="105"/>
      <c r="FA303" s="105"/>
      <c r="FB303" s="105"/>
      <c r="FC303" s="105"/>
      <c r="FD303" s="105"/>
      <c r="FE303" s="105"/>
      <c r="FF303" s="105"/>
      <c r="FG303" s="105"/>
      <c r="FH303" s="105"/>
      <c r="FI303" s="105"/>
      <c r="FJ303" s="105"/>
      <c r="FK303" s="105"/>
      <c r="FL303" s="105"/>
      <c r="FM303" s="105"/>
      <c r="FN303" s="105"/>
      <c r="FO303" s="105"/>
      <c r="FP303" s="105"/>
      <c r="FQ303" s="105"/>
      <c r="FR303" s="105"/>
      <c r="FS303" s="105"/>
      <c r="FT303" s="105"/>
      <c r="FU303" s="105"/>
      <c r="FV303" s="105"/>
      <c r="FW303" s="105"/>
      <c r="FX303" s="105"/>
      <c r="FY303" s="105"/>
      <c r="FZ303" s="105"/>
      <c r="GA303" s="105"/>
      <c r="GB303" s="105"/>
      <c r="GC303" s="105"/>
      <c r="GD303" s="105"/>
      <c r="GE303" s="105"/>
      <c r="GF303" s="105"/>
      <c r="GG303" s="105"/>
      <c r="GH303" s="105"/>
      <c r="GI303" s="105"/>
      <c r="GJ303" s="105"/>
      <c r="GK303" s="105"/>
      <c r="GL303" s="105"/>
      <c r="GM303" s="105"/>
      <c r="GN303" s="105"/>
      <c r="GO303" s="105"/>
      <c r="GP303" s="105"/>
      <c r="GQ303" s="105"/>
      <c r="GR303" s="105"/>
      <c r="GS303" s="105"/>
      <c r="GT303" s="105"/>
      <c r="GU303" s="105"/>
      <c r="GV303" s="105"/>
      <c r="GW303" s="105"/>
      <c r="GX303" s="105"/>
      <c r="GY303" s="105"/>
      <c r="GZ303" s="105"/>
      <c r="HA303" s="105"/>
      <c r="HB303" s="105"/>
      <c r="HC303" s="105"/>
      <c r="HD303" s="105"/>
      <c r="HE303" s="105"/>
      <c r="HF303" s="105"/>
      <c r="HG303" s="105"/>
      <c r="HH303" s="105"/>
      <c r="HI303" s="105"/>
      <c r="HJ303" s="105"/>
      <c r="HK303" s="105"/>
      <c r="HL303" s="105"/>
      <c r="HM303" s="105"/>
      <c r="HN303" s="105"/>
      <c r="HO303" s="105"/>
      <c r="HP303" s="105"/>
      <c r="HQ303" s="105"/>
      <c r="HR303" s="105"/>
      <c r="HS303" s="105"/>
      <c r="HT303" s="105"/>
      <c r="HU303" s="105"/>
      <c r="HV303" s="105"/>
      <c r="HW303" s="105"/>
      <c r="HX303" s="105"/>
      <c r="HY303" s="105"/>
      <c r="HZ303" s="105"/>
      <c r="IA303" s="105"/>
      <c r="IB303" s="105"/>
      <c r="IC303" s="105"/>
      <c r="ID303" s="105"/>
      <c r="IE303" s="105"/>
      <c r="IF303" s="105"/>
      <c r="IG303" s="105"/>
      <c r="IH303" s="105"/>
      <c r="II303" s="105"/>
      <c r="IJ303" s="105"/>
      <c r="IK303" s="105"/>
      <c r="IL303" s="105"/>
      <c r="IM303" s="105"/>
      <c r="IN303" s="105"/>
      <c r="IO303" s="105"/>
      <c r="IP303" s="105"/>
      <c r="IQ303" s="105"/>
      <c r="IR303" s="105"/>
      <c r="IS303" s="105"/>
    </row>
    <row r="304" spans="1:253">
      <c r="A304" s="116"/>
      <c r="B304" s="105"/>
      <c r="C304" s="116"/>
      <c r="D304" s="116"/>
      <c r="E304" s="116"/>
      <c r="F304" s="116"/>
      <c r="G304" s="116"/>
      <c r="H304" s="116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 s="105"/>
      <c r="BK304" s="105"/>
      <c r="BL304" s="105"/>
      <c r="BM304" s="105"/>
      <c r="BN304" s="105"/>
      <c r="BO304" s="105"/>
      <c r="BP304" s="105"/>
      <c r="BQ304" s="105"/>
      <c r="BR304" s="105"/>
      <c r="BS304" s="105"/>
      <c r="BT304" s="105"/>
      <c r="BU304" s="105"/>
      <c r="BV304" s="105"/>
      <c r="BW304" s="105"/>
      <c r="BX304" s="105"/>
      <c r="BY304" s="105"/>
      <c r="BZ304" s="105"/>
      <c r="CA304" s="105"/>
      <c r="CB304" s="105"/>
      <c r="CC304" s="105"/>
      <c r="CD304" s="105"/>
      <c r="CE304" s="105"/>
      <c r="CF304" s="105"/>
      <c r="CG304" s="105"/>
      <c r="CH304" s="105"/>
      <c r="CI304" s="105"/>
      <c r="CJ304" s="105"/>
      <c r="CK304" s="105"/>
      <c r="CL304" s="105"/>
      <c r="CM304" s="105"/>
      <c r="CN304" s="105"/>
      <c r="CO304" s="105"/>
      <c r="CP304" s="105"/>
      <c r="CQ304" s="105"/>
      <c r="CR304" s="105"/>
      <c r="CS304" s="105"/>
      <c r="CT304" s="105"/>
      <c r="CU304" s="105"/>
      <c r="CV304" s="105"/>
      <c r="CW304" s="105"/>
      <c r="CX304" s="105"/>
      <c r="CY304" s="105"/>
      <c r="CZ304" s="105"/>
      <c r="DA304" s="105"/>
      <c r="DB304" s="105"/>
      <c r="DC304" s="105"/>
      <c r="DD304" s="105"/>
      <c r="DE304" s="105"/>
      <c r="DF304" s="105"/>
      <c r="DG304" s="105"/>
      <c r="DH304" s="105"/>
      <c r="DI304" s="105"/>
      <c r="DJ304" s="105"/>
      <c r="DK304" s="105"/>
      <c r="DL304" s="105"/>
      <c r="DM304" s="105"/>
      <c r="DN304" s="105"/>
      <c r="DO304" s="105"/>
      <c r="DP304" s="105"/>
      <c r="DQ304" s="105"/>
      <c r="DR304" s="105"/>
      <c r="DS304" s="105"/>
      <c r="DT304" s="105"/>
      <c r="DU304" s="105"/>
      <c r="DV304" s="105"/>
      <c r="DW304" s="105"/>
      <c r="DX304" s="105"/>
      <c r="DY304" s="105"/>
      <c r="DZ304" s="105"/>
      <c r="EA304" s="105"/>
      <c r="EB304" s="105"/>
      <c r="EC304" s="105"/>
      <c r="ED304" s="105"/>
      <c r="EE304" s="105"/>
      <c r="EF304" s="105"/>
      <c r="EG304" s="105"/>
      <c r="EH304" s="105"/>
      <c r="EI304" s="105"/>
      <c r="EJ304" s="105"/>
      <c r="EK304" s="105"/>
      <c r="EL304" s="105"/>
      <c r="EM304" s="105"/>
      <c r="EN304" s="105"/>
      <c r="EO304" s="105"/>
      <c r="EP304" s="105"/>
      <c r="EQ304" s="105"/>
      <c r="ER304" s="105"/>
      <c r="ES304" s="105"/>
      <c r="ET304" s="105"/>
      <c r="EU304" s="105"/>
      <c r="EV304" s="105"/>
      <c r="EW304" s="105"/>
      <c r="EX304" s="105"/>
      <c r="EY304" s="105"/>
      <c r="EZ304" s="105"/>
      <c r="FA304" s="105"/>
      <c r="FB304" s="105"/>
      <c r="FC304" s="105"/>
      <c r="FD304" s="105"/>
      <c r="FE304" s="105"/>
      <c r="FF304" s="105"/>
      <c r="FG304" s="105"/>
      <c r="FH304" s="105"/>
      <c r="FI304" s="105"/>
      <c r="FJ304" s="105"/>
      <c r="FK304" s="105"/>
      <c r="FL304" s="105"/>
      <c r="FM304" s="105"/>
      <c r="FN304" s="105"/>
      <c r="FO304" s="105"/>
      <c r="FP304" s="105"/>
      <c r="FQ304" s="105"/>
      <c r="FR304" s="105"/>
      <c r="FS304" s="105"/>
      <c r="FT304" s="105"/>
      <c r="FU304" s="105"/>
      <c r="FV304" s="105"/>
      <c r="FW304" s="105"/>
      <c r="FX304" s="105"/>
      <c r="FY304" s="105"/>
      <c r="FZ304" s="105"/>
      <c r="GA304" s="105"/>
      <c r="GB304" s="105"/>
      <c r="GC304" s="105"/>
      <c r="GD304" s="105"/>
      <c r="GE304" s="105"/>
      <c r="GF304" s="105"/>
      <c r="GG304" s="105"/>
      <c r="GH304" s="105"/>
      <c r="GI304" s="105"/>
      <c r="GJ304" s="105"/>
      <c r="GK304" s="105"/>
      <c r="GL304" s="105"/>
      <c r="GM304" s="105"/>
      <c r="GN304" s="105"/>
      <c r="GO304" s="105"/>
      <c r="GP304" s="105"/>
      <c r="GQ304" s="105"/>
      <c r="GR304" s="105"/>
      <c r="GS304" s="105"/>
      <c r="GT304" s="105"/>
      <c r="GU304" s="105"/>
      <c r="GV304" s="105"/>
      <c r="GW304" s="105"/>
      <c r="GX304" s="105"/>
      <c r="GY304" s="105"/>
      <c r="GZ304" s="105"/>
      <c r="HA304" s="105"/>
      <c r="HB304" s="105"/>
      <c r="HC304" s="105"/>
      <c r="HD304" s="105"/>
      <c r="HE304" s="105"/>
      <c r="HF304" s="105"/>
      <c r="HG304" s="105"/>
      <c r="HH304" s="105"/>
      <c r="HI304" s="105"/>
      <c r="HJ304" s="105"/>
      <c r="HK304" s="105"/>
      <c r="HL304" s="105"/>
      <c r="HM304" s="105"/>
      <c r="HN304" s="105"/>
      <c r="HO304" s="105"/>
      <c r="HP304" s="105"/>
      <c r="HQ304" s="105"/>
      <c r="HR304" s="105"/>
      <c r="HS304" s="105"/>
      <c r="HT304" s="105"/>
      <c r="HU304" s="105"/>
      <c r="HV304" s="105"/>
      <c r="HW304" s="105"/>
      <c r="HX304" s="105"/>
      <c r="HY304" s="105"/>
      <c r="HZ304" s="105"/>
      <c r="IA304" s="105"/>
      <c r="IB304" s="105"/>
      <c r="IC304" s="105"/>
      <c r="ID304" s="105"/>
      <c r="IE304" s="105"/>
      <c r="IF304" s="105"/>
      <c r="IG304" s="105"/>
      <c r="IH304" s="105"/>
      <c r="II304" s="105"/>
      <c r="IJ304" s="105"/>
      <c r="IK304" s="105"/>
      <c r="IL304" s="105"/>
      <c r="IM304" s="105"/>
      <c r="IN304" s="105"/>
      <c r="IO304" s="105"/>
      <c r="IP304" s="105"/>
      <c r="IQ304" s="105"/>
      <c r="IR304" s="105"/>
      <c r="IS304" s="105"/>
    </row>
    <row r="305" spans="1:253">
      <c r="A305" s="116"/>
      <c r="B305" s="105"/>
      <c r="C305" s="116"/>
      <c r="D305" s="116"/>
      <c r="E305" s="116"/>
      <c r="F305" s="116"/>
      <c r="G305" s="116"/>
      <c r="H305" s="116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 s="105"/>
      <c r="BK305" s="105"/>
      <c r="BL305" s="105"/>
      <c r="BM305" s="105"/>
      <c r="BN305" s="105"/>
      <c r="BO305" s="105"/>
      <c r="BP305" s="105"/>
      <c r="BQ305" s="105"/>
      <c r="BR305" s="105"/>
      <c r="BS305" s="105"/>
      <c r="BT305" s="105"/>
      <c r="BU305" s="105"/>
      <c r="BV305" s="105"/>
      <c r="BW305" s="105"/>
      <c r="BX305" s="105"/>
      <c r="BY305" s="105"/>
      <c r="BZ305" s="105"/>
      <c r="CA305" s="105"/>
      <c r="CB305" s="105"/>
      <c r="CC305" s="105"/>
      <c r="CD305" s="105"/>
      <c r="CE305" s="105"/>
      <c r="CF305" s="105"/>
      <c r="CG305" s="105"/>
      <c r="CH305" s="105"/>
      <c r="CI305" s="105"/>
      <c r="CJ305" s="105"/>
      <c r="CK305" s="105"/>
      <c r="CL305" s="105"/>
      <c r="CM305" s="105"/>
      <c r="CN305" s="105"/>
      <c r="CO305" s="105"/>
      <c r="CP305" s="105"/>
      <c r="CQ305" s="105"/>
      <c r="CR305" s="105"/>
      <c r="CS305" s="105"/>
      <c r="CT305" s="105"/>
      <c r="CU305" s="105"/>
      <c r="CV305" s="105"/>
      <c r="CW305" s="105"/>
      <c r="CX305" s="105"/>
      <c r="CY305" s="105"/>
      <c r="CZ305" s="105"/>
      <c r="DA305" s="105"/>
      <c r="DB305" s="105"/>
      <c r="DC305" s="105"/>
      <c r="DD305" s="105"/>
      <c r="DE305" s="105"/>
      <c r="DF305" s="105"/>
      <c r="DG305" s="105"/>
      <c r="DH305" s="105"/>
      <c r="DI305" s="105"/>
      <c r="DJ305" s="105"/>
      <c r="DK305" s="105"/>
      <c r="DL305" s="105"/>
      <c r="DM305" s="105"/>
      <c r="DN305" s="105"/>
      <c r="DO305" s="105"/>
      <c r="DP305" s="105"/>
      <c r="DQ305" s="105"/>
      <c r="DR305" s="105"/>
      <c r="DS305" s="105"/>
      <c r="DT305" s="105"/>
      <c r="DU305" s="105"/>
      <c r="DV305" s="105"/>
      <c r="DW305" s="105"/>
      <c r="DX305" s="105"/>
      <c r="DY305" s="105"/>
      <c r="DZ305" s="105"/>
      <c r="EA305" s="105"/>
      <c r="EB305" s="105"/>
      <c r="EC305" s="105"/>
      <c r="ED305" s="105"/>
      <c r="EE305" s="105"/>
      <c r="EF305" s="105"/>
      <c r="EG305" s="105"/>
      <c r="EH305" s="105"/>
      <c r="EI305" s="105"/>
      <c r="EJ305" s="105"/>
      <c r="EK305" s="105"/>
      <c r="EL305" s="105"/>
      <c r="EM305" s="105"/>
      <c r="EN305" s="105"/>
      <c r="EO305" s="105"/>
      <c r="EP305" s="105"/>
      <c r="EQ305" s="105"/>
      <c r="ER305" s="105"/>
      <c r="ES305" s="105"/>
      <c r="ET305" s="105"/>
      <c r="EU305" s="105"/>
      <c r="EV305" s="105"/>
      <c r="EW305" s="105"/>
      <c r="EX305" s="105"/>
      <c r="EY305" s="105"/>
      <c r="EZ305" s="105"/>
      <c r="FA305" s="105"/>
      <c r="FB305" s="105"/>
      <c r="FC305" s="105"/>
      <c r="FD305" s="105"/>
      <c r="FE305" s="105"/>
      <c r="FF305" s="105"/>
      <c r="FG305" s="105"/>
      <c r="FH305" s="105"/>
      <c r="FI305" s="105"/>
      <c r="FJ305" s="105"/>
      <c r="FK305" s="105"/>
      <c r="FL305" s="105"/>
      <c r="FM305" s="105"/>
      <c r="FN305" s="105"/>
      <c r="FO305" s="105"/>
      <c r="FP305" s="105"/>
      <c r="FQ305" s="105"/>
      <c r="FR305" s="105"/>
      <c r="FS305" s="105"/>
      <c r="FT305" s="105"/>
      <c r="FU305" s="105"/>
      <c r="FV305" s="105"/>
      <c r="FW305" s="105"/>
      <c r="FX305" s="105"/>
      <c r="FY305" s="105"/>
      <c r="FZ305" s="105"/>
      <c r="GA305" s="105"/>
      <c r="GB305" s="105"/>
      <c r="GC305" s="105"/>
      <c r="GD305" s="105"/>
      <c r="GE305" s="105"/>
      <c r="GF305" s="105"/>
      <c r="GG305" s="105"/>
      <c r="GH305" s="105"/>
      <c r="GI305" s="105"/>
      <c r="GJ305" s="105"/>
      <c r="GK305" s="105"/>
      <c r="GL305" s="105"/>
      <c r="GM305" s="105"/>
      <c r="GN305" s="105"/>
      <c r="GO305" s="105"/>
      <c r="GP305" s="105"/>
      <c r="GQ305" s="105"/>
      <c r="GR305" s="105"/>
      <c r="GS305" s="105"/>
      <c r="GT305" s="105"/>
      <c r="GU305" s="105"/>
      <c r="GV305" s="105"/>
      <c r="GW305" s="105"/>
      <c r="GX305" s="105"/>
      <c r="GY305" s="105"/>
      <c r="GZ305" s="105"/>
      <c r="HA305" s="105"/>
      <c r="HB305" s="105"/>
      <c r="HC305" s="105"/>
      <c r="HD305" s="105"/>
      <c r="HE305" s="105"/>
      <c r="HF305" s="105"/>
      <c r="HG305" s="105"/>
      <c r="HH305" s="105"/>
      <c r="HI305" s="105"/>
      <c r="HJ305" s="105"/>
      <c r="HK305" s="105"/>
      <c r="HL305" s="105"/>
      <c r="HM305" s="105"/>
      <c r="HN305" s="105"/>
      <c r="HO305" s="105"/>
      <c r="HP305" s="105"/>
      <c r="HQ305" s="105"/>
      <c r="HR305" s="105"/>
      <c r="HS305" s="105"/>
      <c r="HT305" s="105"/>
      <c r="HU305" s="105"/>
      <c r="HV305" s="105"/>
      <c r="HW305" s="105"/>
      <c r="HX305" s="105"/>
      <c r="HY305" s="105"/>
      <c r="HZ305" s="105"/>
      <c r="IA305" s="105"/>
      <c r="IB305" s="105"/>
      <c r="IC305" s="105"/>
      <c r="ID305" s="105"/>
      <c r="IE305" s="105"/>
      <c r="IF305" s="105"/>
      <c r="IG305" s="105"/>
      <c r="IH305" s="105"/>
      <c r="II305" s="105"/>
      <c r="IJ305" s="105"/>
      <c r="IK305" s="105"/>
      <c r="IL305" s="105"/>
      <c r="IM305" s="105"/>
      <c r="IN305" s="105"/>
      <c r="IO305" s="105"/>
      <c r="IP305" s="105"/>
      <c r="IQ305" s="105"/>
      <c r="IR305" s="105"/>
      <c r="IS305" s="105"/>
    </row>
    <row r="306" spans="1:253">
      <c r="A306" s="116"/>
      <c r="B306" s="105"/>
      <c r="C306" s="116"/>
      <c r="D306" s="116"/>
      <c r="E306" s="116"/>
      <c r="F306" s="116"/>
      <c r="G306" s="116"/>
      <c r="H306" s="116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5"/>
      <c r="BK306" s="105"/>
      <c r="BL306" s="105"/>
      <c r="BM306" s="105"/>
      <c r="BN306" s="105"/>
      <c r="BO306" s="105"/>
      <c r="BP306" s="105"/>
      <c r="BQ306" s="105"/>
      <c r="BR306" s="105"/>
      <c r="BS306" s="105"/>
      <c r="BT306" s="105"/>
      <c r="BU306" s="105"/>
      <c r="BV306" s="105"/>
      <c r="BW306" s="105"/>
      <c r="BX306" s="105"/>
      <c r="BY306" s="105"/>
      <c r="BZ306" s="105"/>
      <c r="CA306" s="105"/>
      <c r="CB306" s="105"/>
      <c r="CC306" s="105"/>
      <c r="CD306" s="105"/>
      <c r="CE306" s="105"/>
      <c r="CF306" s="105"/>
      <c r="CG306" s="105"/>
      <c r="CH306" s="105"/>
      <c r="CI306" s="105"/>
      <c r="CJ306" s="105"/>
      <c r="CK306" s="105"/>
      <c r="CL306" s="105"/>
      <c r="CM306" s="105"/>
      <c r="CN306" s="105"/>
      <c r="CO306" s="105"/>
      <c r="CP306" s="105"/>
      <c r="CQ306" s="105"/>
      <c r="CR306" s="105"/>
      <c r="CS306" s="105"/>
      <c r="CT306" s="105"/>
      <c r="CU306" s="105"/>
      <c r="CV306" s="105"/>
      <c r="CW306" s="105"/>
      <c r="CX306" s="105"/>
      <c r="CY306" s="105"/>
      <c r="CZ306" s="105"/>
      <c r="DA306" s="105"/>
      <c r="DB306" s="105"/>
      <c r="DC306" s="105"/>
      <c r="DD306" s="105"/>
      <c r="DE306" s="105"/>
      <c r="DF306" s="105"/>
      <c r="DG306" s="105"/>
      <c r="DH306" s="105"/>
      <c r="DI306" s="105"/>
      <c r="DJ306" s="105"/>
      <c r="DK306" s="105"/>
      <c r="DL306" s="105"/>
      <c r="DM306" s="105"/>
      <c r="DN306" s="105"/>
      <c r="DO306" s="105"/>
      <c r="DP306" s="105"/>
      <c r="DQ306" s="105"/>
      <c r="DR306" s="105"/>
      <c r="DS306" s="105"/>
      <c r="DT306" s="105"/>
      <c r="DU306" s="105"/>
      <c r="DV306" s="105"/>
      <c r="DW306" s="105"/>
      <c r="DX306" s="105"/>
      <c r="DY306" s="105"/>
      <c r="DZ306" s="105"/>
      <c r="EA306" s="105"/>
      <c r="EB306" s="105"/>
      <c r="EC306" s="105"/>
      <c r="ED306" s="105"/>
      <c r="EE306" s="105"/>
      <c r="EF306" s="105"/>
      <c r="EG306" s="105"/>
      <c r="EH306" s="105"/>
      <c r="EI306" s="105"/>
      <c r="EJ306" s="105"/>
      <c r="EK306" s="105"/>
      <c r="EL306" s="105"/>
      <c r="EM306" s="105"/>
      <c r="EN306" s="105"/>
      <c r="EO306" s="105"/>
      <c r="EP306" s="105"/>
      <c r="EQ306" s="105"/>
      <c r="ER306" s="105"/>
      <c r="ES306" s="105"/>
      <c r="ET306" s="105"/>
      <c r="EU306" s="105"/>
      <c r="EV306" s="105"/>
      <c r="EW306" s="105"/>
      <c r="EX306" s="105"/>
      <c r="EY306" s="105"/>
      <c r="EZ306" s="105"/>
      <c r="FA306" s="105"/>
      <c r="FB306" s="105"/>
      <c r="FC306" s="105"/>
      <c r="FD306" s="105"/>
      <c r="FE306" s="105"/>
      <c r="FF306" s="105"/>
      <c r="FG306" s="105"/>
      <c r="FH306" s="105"/>
      <c r="FI306" s="105"/>
      <c r="FJ306" s="105"/>
      <c r="FK306" s="105"/>
      <c r="FL306" s="105"/>
      <c r="FM306" s="105"/>
      <c r="FN306" s="105"/>
      <c r="FO306" s="105"/>
      <c r="FP306" s="105"/>
      <c r="FQ306" s="105"/>
      <c r="FR306" s="105"/>
      <c r="FS306" s="105"/>
      <c r="FT306" s="105"/>
      <c r="FU306" s="105"/>
      <c r="FV306" s="105"/>
      <c r="FW306" s="105"/>
      <c r="FX306" s="105"/>
      <c r="FY306" s="105"/>
      <c r="FZ306" s="105"/>
      <c r="GA306" s="105"/>
      <c r="GB306" s="105"/>
      <c r="GC306" s="105"/>
      <c r="GD306" s="105"/>
      <c r="GE306" s="105"/>
      <c r="GF306" s="105"/>
      <c r="GG306" s="105"/>
      <c r="GH306" s="105"/>
      <c r="GI306" s="105"/>
      <c r="GJ306" s="105"/>
      <c r="GK306" s="105"/>
      <c r="GL306" s="105"/>
      <c r="GM306" s="105"/>
      <c r="GN306" s="105"/>
      <c r="GO306" s="105"/>
      <c r="GP306" s="105"/>
      <c r="GQ306" s="105"/>
      <c r="GR306" s="105"/>
      <c r="GS306" s="105"/>
      <c r="GT306" s="105"/>
      <c r="GU306" s="105"/>
      <c r="GV306" s="105"/>
      <c r="GW306" s="105"/>
      <c r="GX306" s="105"/>
      <c r="GY306" s="105"/>
      <c r="GZ306" s="105"/>
      <c r="HA306" s="105"/>
      <c r="HB306" s="105"/>
      <c r="HC306" s="105"/>
      <c r="HD306" s="105"/>
      <c r="HE306" s="105"/>
      <c r="HF306" s="105"/>
      <c r="HG306" s="105"/>
      <c r="HH306" s="105"/>
      <c r="HI306" s="105"/>
      <c r="HJ306" s="105"/>
      <c r="HK306" s="105"/>
      <c r="HL306" s="105"/>
      <c r="HM306" s="105"/>
      <c r="HN306" s="105"/>
      <c r="HO306" s="105"/>
      <c r="HP306" s="105"/>
      <c r="HQ306" s="105"/>
      <c r="HR306" s="105"/>
      <c r="HS306" s="105"/>
      <c r="HT306" s="105"/>
      <c r="HU306" s="105"/>
      <c r="HV306" s="105"/>
      <c r="HW306" s="105"/>
      <c r="HX306" s="105"/>
      <c r="HY306" s="105"/>
      <c r="HZ306" s="105"/>
      <c r="IA306" s="105"/>
      <c r="IB306" s="105"/>
      <c r="IC306" s="105"/>
      <c r="ID306" s="105"/>
      <c r="IE306" s="105"/>
      <c r="IF306" s="105"/>
      <c r="IG306" s="105"/>
      <c r="IH306" s="105"/>
      <c r="II306" s="105"/>
      <c r="IJ306" s="105"/>
      <c r="IK306" s="105"/>
      <c r="IL306" s="105"/>
      <c r="IM306" s="105"/>
      <c r="IN306" s="105"/>
      <c r="IO306" s="105"/>
      <c r="IP306" s="105"/>
      <c r="IQ306" s="105"/>
      <c r="IR306" s="105"/>
      <c r="IS306" s="105"/>
    </row>
    <row r="307" spans="1:253">
      <c r="A307" s="116"/>
      <c r="B307" s="105"/>
      <c r="C307" s="116"/>
      <c r="D307" s="116"/>
      <c r="E307" s="116"/>
      <c r="F307" s="116"/>
      <c r="G307" s="116"/>
      <c r="H307" s="116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05"/>
      <c r="BL307" s="105"/>
      <c r="BM307" s="105"/>
      <c r="BN307" s="105"/>
      <c r="BO307" s="105"/>
      <c r="BP307" s="105"/>
      <c r="BQ307" s="105"/>
      <c r="BR307" s="105"/>
      <c r="BS307" s="105"/>
      <c r="BT307" s="105"/>
      <c r="BU307" s="105"/>
      <c r="BV307" s="105"/>
      <c r="BW307" s="105"/>
      <c r="BX307" s="105"/>
      <c r="BY307" s="105"/>
      <c r="BZ307" s="105"/>
      <c r="CA307" s="105"/>
      <c r="CB307" s="105"/>
      <c r="CC307" s="105"/>
      <c r="CD307" s="105"/>
      <c r="CE307" s="105"/>
      <c r="CF307" s="105"/>
      <c r="CG307" s="105"/>
      <c r="CH307" s="105"/>
      <c r="CI307" s="105"/>
      <c r="CJ307" s="105"/>
      <c r="CK307" s="105"/>
      <c r="CL307" s="105"/>
      <c r="CM307" s="105"/>
      <c r="CN307" s="105"/>
      <c r="CO307" s="105"/>
      <c r="CP307" s="105"/>
      <c r="CQ307" s="105"/>
      <c r="CR307" s="105"/>
      <c r="CS307" s="105"/>
      <c r="CT307" s="105"/>
      <c r="CU307" s="105"/>
      <c r="CV307" s="105"/>
      <c r="CW307" s="105"/>
      <c r="CX307" s="105"/>
      <c r="CY307" s="105"/>
      <c r="CZ307" s="105"/>
      <c r="DA307" s="105"/>
      <c r="DB307" s="105"/>
      <c r="DC307" s="105"/>
      <c r="DD307" s="105"/>
      <c r="DE307" s="105"/>
      <c r="DF307" s="105"/>
      <c r="DG307" s="105"/>
      <c r="DH307" s="105"/>
      <c r="DI307" s="105"/>
      <c r="DJ307" s="105"/>
      <c r="DK307" s="105"/>
      <c r="DL307" s="105"/>
      <c r="DM307" s="105"/>
      <c r="DN307" s="105"/>
      <c r="DO307" s="105"/>
      <c r="DP307" s="105"/>
      <c r="DQ307" s="105"/>
      <c r="DR307" s="105"/>
      <c r="DS307" s="105"/>
      <c r="DT307" s="105"/>
      <c r="DU307" s="105"/>
      <c r="DV307" s="105"/>
      <c r="DW307" s="105"/>
      <c r="DX307" s="105"/>
      <c r="DY307" s="105"/>
      <c r="DZ307" s="105"/>
      <c r="EA307" s="105"/>
      <c r="EB307" s="105"/>
      <c r="EC307" s="105"/>
      <c r="ED307" s="105"/>
      <c r="EE307" s="105"/>
      <c r="EF307" s="105"/>
      <c r="EG307" s="105"/>
      <c r="EH307" s="105"/>
      <c r="EI307" s="105"/>
      <c r="EJ307" s="105"/>
      <c r="EK307" s="105"/>
      <c r="EL307" s="105"/>
      <c r="EM307" s="105"/>
      <c r="EN307" s="105"/>
      <c r="EO307" s="105"/>
      <c r="EP307" s="105"/>
      <c r="EQ307" s="105"/>
      <c r="ER307" s="105"/>
      <c r="ES307" s="105"/>
      <c r="ET307" s="105"/>
      <c r="EU307" s="105"/>
      <c r="EV307" s="105"/>
      <c r="EW307" s="105"/>
      <c r="EX307" s="105"/>
      <c r="EY307" s="105"/>
      <c r="EZ307" s="105"/>
      <c r="FA307" s="105"/>
      <c r="FB307" s="105"/>
      <c r="FC307" s="105"/>
      <c r="FD307" s="105"/>
      <c r="FE307" s="105"/>
      <c r="FF307" s="105"/>
      <c r="FG307" s="105"/>
      <c r="FH307" s="105"/>
      <c r="FI307" s="105"/>
      <c r="FJ307" s="105"/>
      <c r="FK307" s="105"/>
      <c r="FL307" s="105"/>
      <c r="FM307" s="105"/>
      <c r="FN307" s="105"/>
      <c r="FO307" s="105"/>
      <c r="FP307" s="105"/>
      <c r="FQ307" s="105"/>
      <c r="FR307" s="105"/>
      <c r="FS307" s="105"/>
      <c r="FT307" s="105"/>
      <c r="FU307" s="105"/>
      <c r="FV307" s="105"/>
      <c r="FW307" s="105"/>
      <c r="FX307" s="105"/>
      <c r="FY307" s="105"/>
      <c r="FZ307" s="105"/>
      <c r="GA307" s="105"/>
      <c r="GB307" s="105"/>
      <c r="GC307" s="105"/>
      <c r="GD307" s="105"/>
      <c r="GE307" s="105"/>
      <c r="GF307" s="105"/>
      <c r="GG307" s="105"/>
      <c r="GH307" s="105"/>
      <c r="GI307" s="105"/>
      <c r="GJ307" s="105"/>
      <c r="GK307" s="105"/>
      <c r="GL307" s="105"/>
      <c r="GM307" s="105"/>
      <c r="GN307" s="105"/>
      <c r="GO307" s="105"/>
      <c r="GP307" s="105"/>
      <c r="GQ307" s="105"/>
      <c r="GR307" s="105"/>
      <c r="GS307" s="105"/>
      <c r="GT307" s="105"/>
      <c r="GU307" s="105"/>
      <c r="GV307" s="105"/>
      <c r="GW307" s="105"/>
      <c r="GX307" s="105"/>
      <c r="GY307" s="105"/>
      <c r="GZ307" s="105"/>
      <c r="HA307" s="105"/>
      <c r="HB307" s="105"/>
      <c r="HC307" s="105"/>
      <c r="HD307" s="105"/>
      <c r="HE307" s="105"/>
      <c r="HF307" s="105"/>
      <c r="HG307" s="105"/>
      <c r="HH307" s="105"/>
      <c r="HI307" s="105"/>
      <c r="HJ307" s="105"/>
      <c r="HK307" s="105"/>
      <c r="HL307" s="105"/>
      <c r="HM307" s="105"/>
      <c r="HN307" s="105"/>
      <c r="HO307" s="105"/>
      <c r="HP307" s="105"/>
      <c r="HQ307" s="105"/>
      <c r="HR307" s="105"/>
      <c r="HS307" s="105"/>
      <c r="HT307" s="105"/>
      <c r="HU307" s="105"/>
      <c r="HV307" s="105"/>
      <c r="HW307" s="105"/>
      <c r="HX307" s="105"/>
      <c r="HY307" s="105"/>
      <c r="HZ307" s="105"/>
      <c r="IA307" s="105"/>
      <c r="IB307" s="105"/>
      <c r="IC307" s="105"/>
      <c r="ID307" s="105"/>
      <c r="IE307" s="105"/>
      <c r="IF307" s="105"/>
      <c r="IG307" s="105"/>
      <c r="IH307" s="105"/>
      <c r="II307" s="105"/>
      <c r="IJ307" s="105"/>
      <c r="IK307" s="105"/>
      <c r="IL307" s="105"/>
      <c r="IM307" s="105"/>
      <c r="IN307" s="105"/>
      <c r="IO307" s="105"/>
      <c r="IP307" s="105"/>
      <c r="IQ307" s="105"/>
      <c r="IR307" s="105"/>
      <c r="IS307" s="105"/>
    </row>
    <row r="308" spans="1:253">
      <c r="A308" s="116"/>
      <c r="B308" s="105"/>
      <c r="C308" s="116"/>
      <c r="D308" s="116"/>
      <c r="E308" s="116"/>
      <c r="F308" s="116"/>
      <c r="G308" s="116"/>
      <c r="H308" s="116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5"/>
      <c r="BK308" s="105"/>
      <c r="BL308" s="105"/>
      <c r="BM308" s="105"/>
      <c r="BN308" s="105"/>
      <c r="BO308" s="105"/>
      <c r="BP308" s="105"/>
      <c r="BQ308" s="105"/>
      <c r="BR308" s="105"/>
      <c r="BS308" s="105"/>
      <c r="BT308" s="105"/>
      <c r="BU308" s="105"/>
      <c r="BV308" s="105"/>
      <c r="BW308" s="105"/>
      <c r="BX308" s="105"/>
      <c r="BY308" s="105"/>
      <c r="BZ308" s="105"/>
      <c r="CA308" s="105"/>
      <c r="CB308" s="105"/>
      <c r="CC308" s="105"/>
      <c r="CD308" s="105"/>
      <c r="CE308" s="105"/>
      <c r="CF308" s="105"/>
      <c r="CG308" s="105"/>
      <c r="CH308" s="105"/>
      <c r="CI308" s="105"/>
      <c r="CJ308" s="105"/>
      <c r="CK308" s="105"/>
      <c r="CL308" s="105"/>
      <c r="CM308" s="105"/>
      <c r="CN308" s="105"/>
      <c r="CO308" s="105"/>
      <c r="CP308" s="105"/>
      <c r="CQ308" s="105"/>
      <c r="CR308" s="105"/>
      <c r="CS308" s="105"/>
      <c r="CT308" s="105"/>
      <c r="CU308" s="105"/>
      <c r="CV308" s="105"/>
      <c r="CW308" s="105"/>
      <c r="CX308" s="105"/>
      <c r="CY308" s="105"/>
      <c r="CZ308" s="105"/>
      <c r="DA308" s="105"/>
      <c r="DB308" s="105"/>
      <c r="DC308" s="105"/>
      <c r="DD308" s="105"/>
      <c r="DE308" s="105"/>
      <c r="DF308" s="105"/>
      <c r="DG308" s="105"/>
      <c r="DH308" s="105"/>
      <c r="DI308" s="105"/>
      <c r="DJ308" s="105"/>
      <c r="DK308" s="105"/>
      <c r="DL308" s="105"/>
      <c r="DM308" s="105"/>
      <c r="DN308" s="105"/>
      <c r="DO308" s="105"/>
      <c r="DP308" s="105"/>
      <c r="DQ308" s="105"/>
      <c r="DR308" s="105"/>
      <c r="DS308" s="105"/>
      <c r="DT308" s="105"/>
      <c r="DU308" s="105"/>
      <c r="DV308" s="105"/>
      <c r="DW308" s="105"/>
      <c r="DX308" s="105"/>
      <c r="DY308" s="105"/>
      <c r="DZ308" s="105"/>
      <c r="EA308" s="105"/>
      <c r="EB308" s="105"/>
      <c r="EC308" s="105"/>
      <c r="ED308" s="105"/>
      <c r="EE308" s="105"/>
      <c r="EF308" s="105"/>
      <c r="EG308" s="105"/>
      <c r="EH308" s="105"/>
      <c r="EI308" s="105"/>
      <c r="EJ308" s="105"/>
      <c r="EK308" s="105"/>
      <c r="EL308" s="105"/>
      <c r="EM308" s="105"/>
      <c r="EN308" s="105"/>
      <c r="EO308" s="105"/>
      <c r="EP308" s="105"/>
      <c r="EQ308" s="105"/>
      <c r="ER308" s="105"/>
      <c r="ES308" s="105"/>
      <c r="ET308" s="105"/>
      <c r="EU308" s="105"/>
      <c r="EV308" s="105"/>
      <c r="EW308" s="105"/>
      <c r="EX308" s="105"/>
      <c r="EY308" s="105"/>
      <c r="EZ308" s="105"/>
      <c r="FA308" s="105"/>
      <c r="FB308" s="105"/>
      <c r="FC308" s="105"/>
      <c r="FD308" s="105"/>
      <c r="FE308" s="105"/>
      <c r="FF308" s="105"/>
      <c r="FG308" s="105"/>
      <c r="FH308" s="105"/>
      <c r="FI308" s="105"/>
      <c r="FJ308" s="105"/>
      <c r="FK308" s="105"/>
      <c r="FL308" s="105"/>
      <c r="FM308" s="105"/>
      <c r="FN308" s="105"/>
      <c r="FO308" s="105"/>
      <c r="FP308" s="105"/>
      <c r="FQ308" s="105"/>
      <c r="FR308" s="105"/>
      <c r="FS308" s="105"/>
      <c r="FT308" s="105"/>
      <c r="FU308" s="105"/>
      <c r="FV308" s="105"/>
      <c r="FW308" s="105"/>
      <c r="FX308" s="105"/>
      <c r="FY308" s="105"/>
      <c r="FZ308" s="105"/>
      <c r="GA308" s="105"/>
      <c r="GB308" s="105"/>
      <c r="GC308" s="105"/>
      <c r="GD308" s="105"/>
      <c r="GE308" s="105"/>
      <c r="GF308" s="105"/>
      <c r="GG308" s="105"/>
      <c r="GH308" s="105"/>
      <c r="GI308" s="105"/>
      <c r="GJ308" s="105"/>
      <c r="GK308" s="105"/>
      <c r="GL308" s="105"/>
      <c r="GM308" s="105"/>
      <c r="GN308" s="105"/>
      <c r="GO308" s="105"/>
      <c r="GP308" s="105"/>
      <c r="GQ308" s="105"/>
      <c r="GR308" s="105"/>
      <c r="GS308" s="105"/>
      <c r="GT308" s="105"/>
      <c r="GU308" s="105"/>
      <c r="GV308" s="105"/>
      <c r="GW308" s="105"/>
      <c r="GX308" s="105"/>
      <c r="GY308" s="105"/>
      <c r="GZ308" s="105"/>
      <c r="HA308" s="105"/>
      <c r="HB308" s="105"/>
      <c r="HC308" s="105"/>
      <c r="HD308" s="105"/>
      <c r="HE308" s="105"/>
      <c r="HF308" s="105"/>
      <c r="HG308" s="105"/>
      <c r="HH308" s="105"/>
      <c r="HI308" s="105"/>
      <c r="HJ308" s="105"/>
      <c r="HK308" s="105"/>
      <c r="HL308" s="105"/>
      <c r="HM308" s="105"/>
      <c r="HN308" s="105"/>
      <c r="HO308" s="105"/>
      <c r="HP308" s="105"/>
      <c r="HQ308" s="105"/>
      <c r="HR308" s="105"/>
      <c r="HS308" s="105"/>
      <c r="HT308" s="105"/>
      <c r="HU308" s="105"/>
      <c r="HV308" s="105"/>
      <c r="HW308" s="105"/>
      <c r="HX308" s="105"/>
      <c r="HY308" s="105"/>
      <c r="HZ308" s="105"/>
      <c r="IA308" s="105"/>
      <c r="IB308" s="105"/>
      <c r="IC308" s="105"/>
      <c r="ID308" s="105"/>
      <c r="IE308" s="105"/>
      <c r="IF308" s="105"/>
      <c r="IG308" s="105"/>
      <c r="IH308" s="105"/>
      <c r="II308" s="105"/>
      <c r="IJ308" s="105"/>
      <c r="IK308" s="105"/>
      <c r="IL308" s="105"/>
      <c r="IM308" s="105"/>
      <c r="IN308" s="105"/>
      <c r="IO308" s="105"/>
      <c r="IP308" s="105"/>
      <c r="IQ308" s="105"/>
      <c r="IR308" s="105"/>
      <c r="IS308" s="105"/>
    </row>
    <row r="309" spans="1:253">
      <c r="A309" s="116"/>
      <c r="B309" s="105"/>
      <c r="C309" s="116"/>
      <c r="D309" s="116"/>
      <c r="E309" s="116"/>
      <c r="F309" s="116"/>
      <c r="G309" s="116"/>
      <c r="H309" s="116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5"/>
      <c r="BK309" s="105"/>
      <c r="BL309" s="105"/>
      <c r="BM309" s="105"/>
      <c r="BN309" s="105"/>
      <c r="BO309" s="105"/>
      <c r="BP309" s="105"/>
      <c r="BQ309" s="105"/>
      <c r="BR309" s="105"/>
      <c r="BS309" s="105"/>
      <c r="BT309" s="105"/>
      <c r="BU309" s="105"/>
      <c r="BV309" s="105"/>
      <c r="BW309" s="105"/>
      <c r="BX309" s="105"/>
      <c r="BY309" s="105"/>
      <c r="BZ309" s="105"/>
      <c r="CA309" s="105"/>
      <c r="CB309" s="105"/>
      <c r="CC309" s="105"/>
      <c r="CD309" s="105"/>
      <c r="CE309" s="105"/>
      <c r="CF309" s="105"/>
      <c r="CG309" s="105"/>
      <c r="CH309" s="105"/>
      <c r="CI309" s="105"/>
      <c r="CJ309" s="105"/>
      <c r="CK309" s="105"/>
      <c r="CL309" s="105"/>
      <c r="CM309" s="105"/>
      <c r="CN309" s="105"/>
      <c r="CO309" s="105"/>
      <c r="CP309" s="105"/>
      <c r="CQ309" s="105"/>
      <c r="CR309" s="105"/>
      <c r="CS309" s="105"/>
      <c r="CT309" s="105"/>
      <c r="CU309" s="105"/>
      <c r="CV309" s="105"/>
      <c r="CW309" s="105"/>
      <c r="CX309" s="105"/>
      <c r="CY309" s="105"/>
      <c r="CZ309" s="105"/>
      <c r="DA309" s="105"/>
      <c r="DB309" s="105"/>
      <c r="DC309" s="105"/>
      <c r="DD309" s="105"/>
      <c r="DE309" s="105"/>
      <c r="DF309" s="105"/>
      <c r="DG309" s="105"/>
      <c r="DH309" s="105"/>
      <c r="DI309" s="105"/>
      <c r="DJ309" s="105"/>
      <c r="DK309" s="105"/>
      <c r="DL309" s="105"/>
      <c r="DM309" s="105"/>
      <c r="DN309" s="105"/>
      <c r="DO309" s="105"/>
      <c r="DP309" s="105"/>
      <c r="DQ309" s="105"/>
      <c r="DR309" s="105"/>
      <c r="DS309" s="105"/>
      <c r="DT309" s="105"/>
      <c r="DU309" s="105"/>
      <c r="DV309" s="105"/>
      <c r="DW309" s="105"/>
      <c r="DX309" s="105"/>
      <c r="DY309" s="105"/>
      <c r="DZ309" s="105"/>
      <c r="EA309" s="105"/>
      <c r="EB309" s="105"/>
      <c r="EC309" s="105"/>
      <c r="ED309" s="105"/>
      <c r="EE309" s="105"/>
      <c r="EF309" s="105"/>
      <c r="EG309" s="105"/>
      <c r="EH309" s="105"/>
      <c r="EI309" s="105"/>
      <c r="EJ309" s="105"/>
      <c r="EK309" s="105"/>
      <c r="EL309" s="105"/>
      <c r="EM309" s="105"/>
      <c r="EN309" s="105"/>
      <c r="EO309" s="105"/>
      <c r="EP309" s="105"/>
      <c r="EQ309" s="105"/>
      <c r="ER309" s="105"/>
      <c r="ES309" s="105"/>
      <c r="ET309" s="105"/>
      <c r="EU309" s="105"/>
      <c r="EV309" s="105"/>
      <c r="EW309" s="105"/>
      <c r="EX309" s="105"/>
      <c r="EY309" s="105"/>
      <c r="EZ309" s="105"/>
      <c r="FA309" s="105"/>
      <c r="FB309" s="105"/>
      <c r="FC309" s="105"/>
      <c r="FD309" s="105"/>
      <c r="FE309" s="105"/>
      <c r="FF309" s="105"/>
      <c r="FG309" s="105"/>
      <c r="FH309" s="105"/>
      <c r="FI309" s="105"/>
      <c r="FJ309" s="105"/>
      <c r="FK309" s="105"/>
      <c r="FL309" s="105"/>
      <c r="FM309" s="105"/>
      <c r="FN309" s="105"/>
      <c r="FO309" s="105"/>
      <c r="FP309" s="105"/>
      <c r="FQ309" s="105"/>
      <c r="FR309" s="105"/>
      <c r="FS309" s="105"/>
      <c r="FT309" s="105"/>
      <c r="FU309" s="105"/>
      <c r="FV309" s="105"/>
      <c r="FW309" s="105"/>
      <c r="FX309" s="105"/>
      <c r="FY309" s="105"/>
      <c r="FZ309" s="105"/>
      <c r="GA309" s="105"/>
      <c r="GB309" s="105"/>
      <c r="GC309" s="105"/>
      <c r="GD309" s="105"/>
      <c r="GE309" s="105"/>
      <c r="GF309" s="105"/>
      <c r="GG309" s="105"/>
      <c r="GH309" s="105"/>
      <c r="GI309" s="105"/>
      <c r="GJ309" s="105"/>
      <c r="GK309" s="105"/>
      <c r="GL309" s="105"/>
      <c r="GM309" s="105"/>
      <c r="GN309" s="105"/>
      <c r="GO309" s="105"/>
      <c r="GP309" s="105"/>
      <c r="GQ309" s="105"/>
      <c r="GR309" s="105"/>
      <c r="GS309" s="105"/>
      <c r="GT309" s="105"/>
      <c r="GU309" s="105"/>
      <c r="GV309" s="105"/>
      <c r="GW309" s="105"/>
      <c r="GX309" s="105"/>
      <c r="GY309" s="105"/>
      <c r="GZ309" s="105"/>
      <c r="HA309" s="105"/>
      <c r="HB309" s="105"/>
      <c r="HC309" s="105"/>
      <c r="HD309" s="105"/>
      <c r="HE309" s="105"/>
      <c r="HF309" s="105"/>
      <c r="HG309" s="105"/>
      <c r="HH309" s="105"/>
      <c r="HI309" s="105"/>
      <c r="HJ309" s="105"/>
      <c r="HK309" s="105"/>
      <c r="HL309" s="105"/>
      <c r="HM309" s="105"/>
      <c r="HN309" s="105"/>
      <c r="HO309" s="105"/>
      <c r="HP309" s="105"/>
      <c r="HQ309" s="105"/>
      <c r="HR309" s="105"/>
      <c r="HS309" s="105"/>
      <c r="HT309" s="105"/>
      <c r="HU309" s="105"/>
      <c r="HV309" s="105"/>
      <c r="HW309" s="105"/>
      <c r="HX309" s="105"/>
      <c r="HY309" s="105"/>
      <c r="HZ309" s="105"/>
      <c r="IA309" s="105"/>
      <c r="IB309" s="105"/>
      <c r="IC309" s="105"/>
      <c r="ID309" s="105"/>
      <c r="IE309" s="105"/>
      <c r="IF309" s="105"/>
      <c r="IG309" s="105"/>
      <c r="IH309" s="105"/>
      <c r="II309" s="105"/>
      <c r="IJ309" s="105"/>
      <c r="IK309" s="105"/>
      <c r="IL309" s="105"/>
      <c r="IM309" s="105"/>
      <c r="IN309" s="105"/>
      <c r="IO309" s="105"/>
      <c r="IP309" s="105"/>
      <c r="IQ309" s="105"/>
      <c r="IR309" s="105"/>
      <c r="IS309" s="105"/>
    </row>
    <row r="310" spans="1:253">
      <c r="A310" s="116"/>
      <c r="B310" s="105"/>
      <c r="C310" s="116"/>
      <c r="D310" s="116"/>
      <c r="E310" s="116"/>
      <c r="F310" s="116"/>
      <c r="G310" s="116"/>
      <c r="H310" s="116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 s="105"/>
      <c r="BK310" s="105"/>
      <c r="BL310" s="105"/>
      <c r="BM310" s="105"/>
      <c r="BN310" s="105"/>
      <c r="BO310" s="105"/>
      <c r="BP310" s="105"/>
      <c r="BQ310" s="105"/>
      <c r="BR310" s="105"/>
      <c r="BS310" s="105"/>
      <c r="BT310" s="105"/>
      <c r="BU310" s="105"/>
      <c r="BV310" s="105"/>
      <c r="BW310" s="105"/>
      <c r="BX310" s="105"/>
      <c r="BY310" s="105"/>
      <c r="BZ310" s="105"/>
      <c r="CA310" s="105"/>
      <c r="CB310" s="105"/>
      <c r="CC310" s="105"/>
      <c r="CD310" s="105"/>
      <c r="CE310" s="105"/>
      <c r="CF310" s="105"/>
      <c r="CG310" s="105"/>
      <c r="CH310" s="105"/>
      <c r="CI310" s="105"/>
      <c r="CJ310" s="105"/>
      <c r="CK310" s="105"/>
      <c r="CL310" s="105"/>
      <c r="CM310" s="105"/>
      <c r="CN310" s="105"/>
      <c r="CO310" s="105"/>
      <c r="CP310" s="105"/>
      <c r="CQ310" s="105"/>
      <c r="CR310" s="105"/>
      <c r="CS310" s="105"/>
      <c r="CT310" s="105"/>
      <c r="CU310" s="105"/>
      <c r="CV310" s="105"/>
      <c r="CW310" s="105"/>
      <c r="CX310" s="105"/>
      <c r="CY310" s="105"/>
      <c r="CZ310" s="105"/>
      <c r="DA310" s="105"/>
      <c r="DB310" s="105"/>
      <c r="DC310" s="105"/>
      <c r="DD310" s="105"/>
      <c r="DE310" s="105"/>
      <c r="DF310" s="105"/>
      <c r="DG310" s="105"/>
      <c r="DH310" s="105"/>
      <c r="DI310" s="105"/>
      <c r="DJ310" s="105"/>
      <c r="DK310" s="105"/>
      <c r="DL310" s="105"/>
      <c r="DM310" s="105"/>
      <c r="DN310" s="105"/>
      <c r="DO310" s="105"/>
      <c r="DP310" s="105"/>
      <c r="DQ310" s="105"/>
      <c r="DR310" s="105"/>
      <c r="DS310" s="105"/>
      <c r="DT310" s="105"/>
      <c r="DU310" s="105"/>
      <c r="DV310" s="105"/>
      <c r="DW310" s="105"/>
      <c r="DX310" s="105"/>
      <c r="DY310" s="105"/>
      <c r="DZ310" s="105"/>
      <c r="EA310" s="105"/>
      <c r="EB310" s="105"/>
      <c r="EC310" s="105"/>
      <c r="ED310" s="105"/>
      <c r="EE310" s="105"/>
      <c r="EF310" s="105"/>
      <c r="EG310" s="105"/>
      <c r="EH310" s="105"/>
      <c r="EI310" s="105"/>
      <c r="EJ310" s="105"/>
      <c r="EK310" s="105"/>
      <c r="EL310" s="105"/>
      <c r="EM310" s="105"/>
      <c r="EN310" s="105"/>
      <c r="EO310" s="105"/>
      <c r="EP310" s="105"/>
      <c r="EQ310" s="105"/>
      <c r="ER310" s="105"/>
      <c r="ES310" s="105"/>
      <c r="ET310" s="105"/>
      <c r="EU310" s="105"/>
      <c r="EV310" s="105"/>
      <c r="EW310" s="105"/>
      <c r="EX310" s="105"/>
      <c r="EY310" s="105"/>
      <c r="EZ310" s="105"/>
      <c r="FA310" s="105"/>
      <c r="FB310" s="105"/>
      <c r="FC310" s="105"/>
      <c r="FD310" s="105"/>
      <c r="FE310" s="105"/>
      <c r="FF310" s="105"/>
      <c r="FG310" s="105"/>
      <c r="FH310" s="105"/>
      <c r="FI310" s="105"/>
      <c r="FJ310" s="105"/>
      <c r="FK310" s="105"/>
      <c r="FL310" s="105"/>
      <c r="FM310" s="105"/>
      <c r="FN310" s="105"/>
      <c r="FO310" s="105"/>
      <c r="FP310" s="105"/>
      <c r="FQ310" s="105"/>
      <c r="FR310" s="105"/>
      <c r="FS310" s="105"/>
      <c r="FT310" s="105"/>
      <c r="FU310" s="105"/>
      <c r="FV310" s="105"/>
      <c r="FW310" s="105"/>
      <c r="FX310" s="105"/>
      <c r="FY310" s="105"/>
      <c r="FZ310" s="105"/>
      <c r="GA310" s="105"/>
      <c r="GB310" s="105"/>
      <c r="GC310" s="105"/>
      <c r="GD310" s="105"/>
      <c r="GE310" s="105"/>
      <c r="GF310" s="105"/>
      <c r="GG310" s="105"/>
      <c r="GH310" s="105"/>
      <c r="GI310" s="105"/>
      <c r="GJ310" s="105"/>
      <c r="GK310" s="105"/>
      <c r="GL310" s="105"/>
      <c r="GM310" s="105"/>
      <c r="GN310" s="105"/>
      <c r="GO310" s="105"/>
      <c r="GP310" s="105"/>
      <c r="GQ310" s="105"/>
      <c r="GR310" s="105"/>
      <c r="GS310" s="105"/>
      <c r="GT310" s="105"/>
      <c r="GU310" s="105"/>
      <c r="GV310" s="105"/>
      <c r="GW310" s="105"/>
      <c r="GX310" s="105"/>
      <c r="GY310" s="105"/>
      <c r="GZ310" s="105"/>
      <c r="HA310" s="105"/>
      <c r="HB310" s="105"/>
      <c r="HC310" s="105"/>
      <c r="HD310" s="105"/>
      <c r="HE310" s="105"/>
      <c r="HF310" s="105"/>
      <c r="HG310" s="105"/>
      <c r="HH310" s="105"/>
      <c r="HI310" s="105"/>
      <c r="HJ310" s="105"/>
      <c r="HK310" s="105"/>
      <c r="HL310" s="105"/>
      <c r="HM310" s="105"/>
      <c r="HN310" s="105"/>
      <c r="HO310" s="105"/>
      <c r="HP310" s="105"/>
      <c r="HQ310" s="105"/>
      <c r="HR310" s="105"/>
      <c r="HS310" s="105"/>
      <c r="HT310" s="105"/>
      <c r="HU310" s="105"/>
      <c r="HV310" s="105"/>
      <c r="HW310" s="105"/>
      <c r="HX310" s="105"/>
      <c r="HY310" s="105"/>
      <c r="HZ310" s="105"/>
      <c r="IA310" s="105"/>
      <c r="IB310" s="105"/>
      <c r="IC310" s="105"/>
      <c r="ID310" s="105"/>
      <c r="IE310" s="105"/>
      <c r="IF310" s="105"/>
      <c r="IG310" s="105"/>
      <c r="IH310" s="105"/>
      <c r="II310" s="105"/>
      <c r="IJ310" s="105"/>
      <c r="IK310" s="105"/>
      <c r="IL310" s="105"/>
      <c r="IM310" s="105"/>
      <c r="IN310" s="105"/>
      <c r="IO310" s="105"/>
      <c r="IP310" s="105"/>
      <c r="IQ310" s="105"/>
      <c r="IR310" s="105"/>
      <c r="IS310" s="105"/>
    </row>
    <row r="311" spans="1:253">
      <c r="A311" s="116"/>
      <c r="B311" s="105"/>
      <c r="C311" s="116"/>
      <c r="D311" s="116"/>
      <c r="E311" s="116"/>
      <c r="F311" s="116"/>
      <c r="G311" s="116"/>
      <c r="H311" s="116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 s="105"/>
      <c r="BK311" s="105"/>
      <c r="BL311" s="105"/>
      <c r="BM311" s="105"/>
      <c r="BN311" s="105"/>
      <c r="BO311" s="105"/>
      <c r="BP311" s="105"/>
      <c r="BQ311" s="105"/>
      <c r="BR311" s="105"/>
      <c r="BS311" s="105"/>
      <c r="BT311" s="105"/>
      <c r="BU311" s="105"/>
      <c r="BV311" s="105"/>
      <c r="BW311" s="105"/>
      <c r="BX311" s="105"/>
      <c r="BY311" s="105"/>
      <c r="BZ311" s="105"/>
      <c r="CA311" s="105"/>
      <c r="CB311" s="105"/>
      <c r="CC311" s="105"/>
      <c r="CD311" s="105"/>
      <c r="CE311" s="105"/>
      <c r="CF311" s="105"/>
      <c r="CG311" s="105"/>
      <c r="CH311" s="105"/>
      <c r="CI311" s="105"/>
      <c r="CJ311" s="105"/>
      <c r="CK311" s="105"/>
      <c r="CL311" s="105"/>
      <c r="CM311" s="105"/>
      <c r="CN311" s="105"/>
      <c r="CO311" s="105"/>
      <c r="CP311" s="105"/>
      <c r="CQ311" s="105"/>
      <c r="CR311" s="105"/>
      <c r="CS311" s="105"/>
      <c r="CT311" s="105"/>
      <c r="CU311" s="105"/>
      <c r="CV311" s="105"/>
      <c r="CW311" s="105"/>
      <c r="CX311" s="105"/>
      <c r="CY311" s="105"/>
      <c r="CZ311" s="105"/>
      <c r="DA311" s="105"/>
      <c r="DB311" s="105"/>
      <c r="DC311" s="105"/>
      <c r="DD311" s="105"/>
      <c r="DE311" s="105"/>
      <c r="DF311" s="105"/>
      <c r="DG311" s="105"/>
      <c r="DH311" s="105"/>
      <c r="DI311" s="105"/>
      <c r="DJ311" s="105"/>
      <c r="DK311" s="105"/>
      <c r="DL311" s="105"/>
      <c r="DM311" s="105"/>
      <c r="DN311" s="105"/>
      <c r="DO311" s="105"/>
      <c r="DP311" s="105"/>
      <c r="DQ311" s="105"/>
      <c r="DR311" s="105"/>
      <c r="DS311" s="105"/>
      <c r="DT311" s="105"/>
      <c r="DU311" s="105"/>
      <c r="DV311" s="105"/>
      <c r="DW311" s="105"/>
      <c r="DX311" s="105"/>
      <c r="DY311" s="105"/>
      <c r="DZ311" s="105"/>
      <c r="EA311" s="105"/>
      <c r="EB311" s="105"/>
      <c r="EC311" s="105"/>
      <c r="ED311" s="105"/>
      <c r="EE311" s="105"/>
      <c r="EF311" s="105"/>
      <c r="EG311" s="105"/>
      <c r="EH311" s="105"/>
      <c r="EI311" s="105"/>
      <c r="EJ311" s="105"/>
      <c r="EK311" s="105"/>
      <c r="EL311" s="105"/>
      <c r="EM311" s="105"/>
      <c r="EN311" s="105"/>
      <c r="EO311" s="105"/>
      <c r="EP311" s="105"/>
      <c r="EQ311" s="105"/>
      <c r="ER311" s="105"/>
      <c r="ES311" s="105"/>
      <c r="ET311" s="105"/>
      <c r="EU311" s="105"/>
      <c r="EV311" s="105"/>
      <c r="EW311" s="105"/>
      <c r="EX311" s="105"/>
      <c r="EY311" s="105"/>
      <c r="EZ311" s="105"/>
      <c r="FA311" s="105"/>
      <c r="FB311" s="105"/>
      <c r="FC311" s="105"/>
      <c r="FD311" s="105"/>
      <c r="FE311" s="105"/>
      <c r="FF311" s="105"/>
      <c r="FG311" s="105"/>
      <c r="FH311" s="105"/>
      <c r="FI311" s="105"/>
      <c r="FJ311" s="105"/>
      <c r="FK311" s="105"/>
      <c r="FL311" s="105"/>
      <c r="FM311" s="105"/>
      <c r="FN311" s="105"/>
      <c r="FO311" s="105"/>
      <c r="FP311" s="105"/>
      <c r="FQ311" s="105"/>
      <c r="FR311" s="105"/>
      <c r="FS311" s="105"/>
      <c r="FT311" s="105"/>
      <c r="FU311" s="105"/>
      <c r="FV311" s="105"/>
      <c r="FW311" s="105"/>
      <c r="FX311" s="105"/>
      <c r="FY311" s="105"/>
      <c r="FZ311" s="105"/>
      <c r="GA311" s="105"/>
      <c r="GB311" s="105"/>
      <c r="GC311" s="105"/>
      <c r="GD311" s="105"/>
      <c r="GE311" s="105"/>
      <c r="GF311" s="105"/>
      <c r="GG311" s="105"/>
      <c r="GH311" s="105"/>
      <c r="GI311" s="105"/>
      <c r="GJ311" s="105"/>
      <c r="GK311" s="105"/>
      <c r="GL311" s="105"/>
      <c r="GM311" s="105"/>
      <c r="GN311" s="105"/>
      <c r="GO311" s="105"/>
      <c r="GP311" s="105"/>
      <c r="GQ311" s="105"/>
      <c r="GR311" s="105"/>
      <c r="GS311" s="105"/>
      <c r="GT311" s="105"/>
      <c r="GU311" s="105"/>
      <c r="GV311" s="105"/>
      <c r="GW311" s="105"/>
      <c r="GX311" s="105"/>
      <c r="GY311" s="105"/>
      <c r="GZ311" s="105"/>
      <c r="HA311" s="105"/>
      <c r="HB311" s="105"/>
      <c r="HC311" s="105"/>
      <c r="HD311" s="105"/>
      <c r="HE311" s="105"/>
      <c r="HF311" s="105"/>
      <c r="HG311" s="105"/>
      <c r="HH311" s="105"/>
      <c r="HI311" s="105"/>
      <c r="HJ311" s="105"/>
      <c r="HK311" s="105"/>
      <c r="HL311" s="105"/>
      <c r="HM311" s="105"/>
      <c r="HN311" s="105"/>
      <c r="HO311" s="105"/>
      <c r="HP311" s="105"/>
      <c r="HQ311" s="105"/>
      <c r="HR311" s="105"/>
      <c r="HS311" s="105"/>
      <c r="HT311" s="105"/>
      <c r="HU311" s="105"/>
      <c r="HV311" s="105"/>
      <c r="HW311" s="105"/>
      <c r="HX311" s="105"/>
      <c r="HY311" s="105"/>
      <c r="HZ311" s="105"/>
      <c r="IA311" s="105"/>
      <c r="IB311" s="105"/>
      <c r="IC311" s="105"/>
      <c r="ID311" s="105"/>
      <c r="IE311" s="105"/>
      <c r="IF311" s="105"/>
      <c r="IG311" s="105"/>
      <c r="IH311" s="105"/>
      <c r="II311" s="105"/>
      <c r="IJ311" s="105"/>
      <c r="IK311" s="105"/>
      <c r="IL311" s="105"/>
      <c r="IM311" s="105"/>
      <c r="IN311" s="105"/>
      <c r="IO311" s="105"/>
      <c r="IP311" s="105"/>
      <c r="IQ311" s="105"/>
      <c r="IR311" s="105"/>
      <c r="IS311" s="105"/>
    </row>
    <row r="312" spans="1:253">
      <c r="A312" s="116"/>
      <c r="B312" s="105"/>
      <c r="C312" s="116"/>
      <c r="D312" s="116"/>
      <c r="E312" s="116"/>
      <c r="F312" s="116"/>
      <c r="G312" s="116"/>
      <c r="H312" s="116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 s="105"/>
      <c r="BK312" s="105"/>
      <c r="BL312" s="105"/>
      <c r="BM312" s="105"/>
      <c r="BN312" s="105"/>
      <c r="BO312" s="105"/>
      <c r="BP312" s="105"/>
      <c r="BQ312" s="105"/>
      <c r="BR312" s="105"/>
      <c r="BS312" s="105"/>
      <c r="BT312" s="105"/>
      <c r="BU312" s="105"/>
      <c r="BV312" s="105"/>
      <c r="BW312" s="105"/>
      <c r="BX312" s="105"/>
      <c r="BY312" s="105"/>
      <c r="BZ312" s="105"/>
      <c r="CA312" s="105"/>
      <c r="CB312" s="105"/>
      <c r="CC312" s="105"/>
      <c r="CD312" s="105"/>
      <c r="CE312" s="105"/>
      <c r="CF312" s="105"/>
      <c r="CG312" s="105"/>
      <c r="CH312" s="105"/>
      <c r="CI312" s="105"/>
      <c r="CJ312" s="105"/>
      <c r="CK312" s="105"/>
      <c r="CL312" s="105"/>
      <c r="CM312" s="105"/>
      <c r="CN312" s="105"/>
      <c r="CO312" s="105"/>
      <c r="CP312" s="105"/>
      <c r="CQ312" s="105"/>
      <c r="CR312" s="105"/>
      <c r="CS312" s="105"/>
      <c r="CT312" s="105"/>
      <c r="CU312" s="105"/>
      <c r="CV312" s="105"/>
      <c r="CW312" s="105"/>
      <c r="CX312" s="105"/>
      <c r="CY312" s="105"/>
      <c r="CZ312" s="105"/>
      <c r="DA312" s="105"/>
      <c r="DB312" s="105"/>
      <c r="DC312" s="105"/>
      <c r="DD312" s="105"/>
      <c r="DE312" s="105"/>
      <c r="DF312" s="105"/>
      <c r="DG312" s="105"/>
      <c r="DH312" s="105"/>
      <c r="DI312" s="105"/>
      <c r="DJ312" s="105"/>
      <c r="DK312" s="105"/>
      <c r="DL312" s="105"/>
      <c r="DM312" s="105"/>
      <c r="DN312" s="105"/>
      <c r="DO312" s="105"/>
      <c r="DP312" s="105"/>
      <c r="DQ312" s="105"/>
      <c r="DR312" s="105"/>
      <c r="DS312" s="105"/>
      <c r="DT312" s="105"/>
      <c r="DU312" s="105"/>
      <c r="DV312" s="105"/>
      <c r="DW312" s="105"/>
      <c r="DX312" s="105"/>
      <c r="DY312" s="105"/>
      <c r="DZ312" s="105"/>
      <c r="EA312" s="105"/>
      <c r="EB312" s="105"/>
      <c r="EC312" s="105"/>
      <c r="ED312" s="105"/>
      <c r="EE312" s="105"/>
      <c r="EF312" s="105"/>
      <c r="EG312" s="105"/>
      <c r="EH312" s="105"/>
      <c r="EI312" s="105"/>
      <c r="EJ312" s="105"/>
      <c r="EK312" s="105"/>
      <c r="EL312" s="105"/>
      <c r="EM312" s="105"/>
      <c r="EN312" s="105"/>
      <c r="EO312" s="105"/>
      <c r="EP312" s="105"/>
      <c r="EQ312" s="105"/>
      <c r="ER312" s="105"/>
      <c r="ES312" s="105"/>
      <c r="ET312" s="105"/>
      <c r="EU312" s="105"/>
      <c r="EV312" s="105"/>
      <c r="EW312" s="105"/>
      <c r="EX312" s="105"/>
      <c r="EY312" s="105"/>
      <c r="EZ312" s="105"/>
      <c r="FA312" s="105"/>
      <c r="FB312" s="105"/>
      <c r="FC312" s="105"/>
      <c r="FD312" s="105"/>
      <c r="FE312" s="105"/>
      <c r="FF312" s="105"/>
      <c r="FG312" s="105"/>
      <c r="FH312" s="105"/>
      <c r="FI312" s="105"/>
      <c r="FJ312" s="105"/>
      <c r="FK312" s="105"/>
      <c r="FL312" s="105"/>
      <c r="FM312" s="105"/>
      <c r="FN312" s="105"/>
      <c r="FO312" s="105"/>
      <c r="FP312" s="105"/>
      <c r="FQ312" s="105"/>
      <c r="FR312" s="105"/>
      <c r="FS312" s="105"/>
      <c r="FT312" s="105"/>
      <c r="FU312" s="105"/>
      <c r="FV312" s="105"/>
      <c r="FW312" s="105"/>
      <c r="FX312" s="105"/>
      <c r="FY312" s="105"/>
      <c r="FZ312" s="105"/>
      <c r="GA312" s="105"/>
      <c r="GB312" s="105"/>
      <c r="GC312" s="105"/>
      <c r="GD312" s="105"/>
      <c r="GE312" s="105"/>
      <c r="GF312" s="105"/>
      <c r="GG312" s="105"/>
      <c r="GH312" s="105"/>
      <c r="GI312" s="105"/>
      <c r="GJ312" s="105"/>
      <c r="GK312" s="105"/>
      <c r="GL312" s="105"/>
      <c r="GM312" s="105"/>
      <c r="GN312" s="105"/>
      <c r="GO312" s="105"/>
      <c r="GP312" s="105"/>
      <c r="GQ312" s="105"/>
      <c r="GR312" s="105"/>
      <c r="GS312" s="105"/>
      <c r="GT312" s="105"/>
      <c r="GU312" s="105"/>
      <c r="GV312" s="105"/>
      <c r="GW312" s="105"/>
      <c r="GX312" s="105"/>
      <c r="GY312" s="105"/>
      <c r="GZ312" s="105"/>
      <c r="HA312" s="105"/>
      <c r="HB312" s="105"/>
      <c r="HC312" s="105"/>
      <c r="HD312" s="105"/>
      <c r="HE312" s="105"/>
      <c r="HF312" s="105"/>
      <c r="HG312" s="105"/>
      <c r="HH312" s="105"/>
      <c r="HI312" s="105"/>
      <c r="HJ312" s="105"/>
      <c r="HK312" s="105"/>
      <c r="HL312" s="105"/>
      <c r="HM312" s="105"/>
      <c r="HN312" s="105"/>
      <c r="HO312" s="105"/>
      <c r="HP312" s="105"/>
      <c r="HQ312" s="105"/>
      <c r="HR312" s="105"/>
      <c r="HS312" s="105"/>
      <c r="HT312" s="105"/>
      <c r="HU312" s="105"/>
      <c r="HV312" s="105"/>
      <c r="HW312" s="105"/>
      <c r="HX312" s="105"/>
      <c r="HY312" s="105"/>
      <c r="HZ312" s="105"/>
      <c r="IA312" s="105"/>
      <c r="IB312" s="105"/>
      <c r="IC312" s="105"/>
      <c r="ID312" s="105"/>
      <c r="IE312" s="105"/>
      <c r="IF312" s="105"/>
      <c r="IG312" s="105"/>
      <c r="IH312" s="105"/>
      <c r="II312" s="105"/>
      <c r="IJ312" s="105"/>
      <c r="IK312" s="105"/>
      <c r="IL312" s="105"/>
      <c r="IM312" s="105"/>
      <c r="IN312" s="105"/>
      <c r="IO312" s="105"/>
      <c r="IP312" s="105"/>
      <c r="IQ312" s="105"/>
      <c r="IR312" s="105"/>
      <c r="IS312" s="105"/>
    </row>
    <row r="313" spans="1:253">
      <c r="A313" s="116"/>
      <c r="B313" s="105"/>
      <c r="C313" s="116"/>
      <c r="D313" s="116"/>
      <c r="E313" s="116"/>
      <c r="F313" s="116"/>
      <c r="G313" s="116"/>
      <c r="H313" s="116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 s="105"/>
      <c r="BK313" s="105"/>
      <c r="BL313" s="105"/>
      <c r="BM313" s="105"/>
      <c r="BN313" s="105"/>
      <c r="BO313" s="105"/>
      <c r="BP313" s="105"/>
      <c r="BQ313" s="105"/>
      <c r="BR313" s="105"/>
      <c r="BS313" s="105"/>
      <c r="BT313" s="105"/>
      <c r="BU313" s="105"/>
      <c r="BV313" s="105"/>
      <c r="BW313" s="105"/>
      <c r="BX313" s="105"/>
      <c r="BY313" s="105"/>
      <c r="BZ313" s="105"/>
      <c r="CA313" s="105"/>
      <c r="CB313" s="105"/>
      <c r="CC313" s="105"/>
      <c r="CD313" s="105"/>
      <c r="CE313" s="105"/>
      <c r="CF313" s="105"/>
      <c r="CG313" s="105"/>
      <c r="CH313" s="105"/>
      <c r="CI313" s="105"/>
      <c r="CJ313" s="105"/>
      <c r="CK313" s="105"/>
      <c r="CL313" s="105"/>
      <c r="CM313" s="105"/>
      <c r="CN313" s="105"/>
      <c r="CO313" s="105"/>
      <c r="CP313" s="105"/>
      <c r="CQ313" s="105"/>
      <c r="CR313" s="105"/>
      <c r="CS313" s="105"/>
      <c r="CT313" s="105"/>
      <c r="CU313" s="105"/>
      <c r="CV313" s="105"/>
      <c r="CW313" s="105"/>
      <c r="CX313" s="105"/>
      <c r="CY313" s="105"/>
      <c r="CZ313" s="105"/>
      <c r="DA313" s="105"/>
      <c r="DB313" s="105"/>
      <c r="DC313" s="105"/>
      <c r="DD313" s="105"/>
      <c r="DE313" s="105"/>
      <c r="DF313" s="105"/>
      <c r="DG313" s="105"/>
      <c r="DH313" s="105"/>
      <c r="DI313" s="105"/>
      <c r="DJ313" s="105"/>
      <c r="DK313" s="105"/>
      <c r="DL313" s="105"/>
      <c r="DM313" s="105"/>
      <c r="DN313" s="105"/>
      <c r="DO313" s="105"/>
      <c r="DP313" s="105"/>
      <c r="DQ313" s="105"/>
      <c r="DR313" s="105"/>
      <c r="DS313" s="105"/>
      <c r="DT313" s="105"/>
      <c r="DU313" s="105"/>
      <c r="DV313" s="105"/>
      <c r="DW313" s="105"/>
      <c r="DX313" s="105"/>
      <c r="DY313" s="105"/>
      <c r="DZ313" s="105"/>
      <c r="EA313" s="105"/>
      <c r="EB313" s="105"/>
      <c r="EC313" s="105"/>
      <c r="ED313" s="105"/>
      <c r="EE313" s="105"/>
      <c r="EF313" s="105"/>
      <c r="EG313" s="105"/>
      <c r="EH313" s="105"/>
      <c r="EI313" s="105"/>
      <c r="EJ313" s="105"/>
      <c r="EK313" s="105"/>
      <c r="EL313" s="105"/>
      <c r="EM313" s="105"/>
      <c r="EN313" s="105"/>
      <c r="EO313" s="105"/>
      <c r="EP313" s="105"/>
      <c r="EQ313" s="105"/>
      <c r="ER313" s="105"/>
      <c r="ES313" s="105"/>
      <c r="ET313" s="105"/>
      <c r="EU313" s="105"/>
      <c r="EV313" s="105"/>
      <c r="EW313" s="105"/>
      <c r="EX313" s="105"/>
      <c r="EY313" s="105"/>
      <c r="EZ313" s="105"/>
      <c r="FA313" s="105"/>
      <c r="FB313" s="105"/>
      <c r="FC313" s="105"/>
      <c r="FD313" s="105"/>
      <c r="FE313" s="105"/>
      <c r="FF313" s="105"/>
      <c r="FG313" s="105"/>
      <c r="FH313" s="105"/>
      <c r="FI313" s="105"/>
      <c r="FJ313" s="105"/>
      <c r="FK313" s="105"/>
      <c r="FL313" s="105"/>
      <c r="FM313" s="105"/>
      <c r="FN313" s="105"/>
      <c r="FO313" s="105"/>
      <c r="FP313" s="105"/>
      <c r="FQ313" s="105"/>
      <c r="FR313" s="105"/>
      <c r="FS313" s="105"/>
      <c r="FT313" s="105"/>
      <c r="FU313" s="105"/>
      <c r="FV313" s="105"/>
      <c r="FW313" s="105"/>
      <c r="FX313" s="105"/>
      <c r="FY313" s="105"/>
      <c r="FZ313" s="105"/>
      <c r="GA313" s="105"/>
      <c r="GB313" s="105"/>
      <c r="GC313" s="105"/>
      <c r="GD313" s="105"/>
      <c r="GE313" s="105"/>
      <c r="GF313" s="105"/>
      <c r="GG313" s="105"/>
      <c r="GH313" s="105"/>
      <c r="GI313" s="105"/>
      <c r="GJ313" s="105"/>
      <c r="GK313" s="105"/>
      <c r="GL313" s="105"/>
      <c r="GM313" s="105"/>
      <c r="GN313" s="105"/>
      <c r="GO313" s="105"/>
      <c r="GP313" s="105"/>
      <c r="GQ313" s="105"/>
      <c r="GR313" s="105"/>
      <c r="GS313" s="105"/>
      <c r="GT313" s="105"/>
      <c r="GU313" s="105"/>
      <c r="GV313" s="105"/>
      <c r="GW313" s="105"/>
      <c r="GX313" s="105"/>
      <c r="GY313" s="105"/>
      <c r="GZ313" s="105"/>
      <c r="HA313" s="105"/>
      <c r="HB313" s="105"/>
      <c r="HC313" s="105"/>
      <c r="HD313" s="105"/>
      <c r="HE313" s="105"/>
      <c r="HF313" s="105"/>
      <c r="HG313" s="105"/>
      <c r="HH313" s="105"/>
      <c r="HI313" s="105"/>
      <c r="HJ313" s="105"/>
      <c r="HK313" s="105"/>
      <c r="HL313" s="105"/>
      <c r="HM313" s="105"/>
      <c r="HN313" s="105"/>
      <c r="HO313" s="105"/>
      <c r="HP313" s="105"/>
      <c r="HQ313" s="105"/>
      <c r="HR313" s="105"/>
      <c r="HS313" s="105"/>
      <c r="HT313" s="105"/>
      <c r="HU313" s="105"/>
      <c r="HV313" s="105"/>
      <c r="HW313" s="105"/>
      <c r="HX313" s="105"/>
      <c r="HY313" s="105"/>
      <c r="HZ313" s="105"/>
      <c r="IA313" s="105"/>
      <c r="IB313" s="105"/>
      <c r="IC313" s="105"/>
      <c r="ID313" s="105"/>
      <c r="IE313" s="105"/>
      <c r="IF313" s="105"/>
      <c r="IG313" s="105"/>
      <c r="IH313" s="105"/>
      <c r="II313" s="105"/>
      <c r="IJ313" s="105"/>
      <c r="IK313" s="105"/>
      <c r="IL313" s="105"/>
      <c r="IM313" s="105"/>
      <c r="IN313" s="105"/>
      <c r="IO313" s="105"/>
      <c r="IP313" s="105"/>
      <c r="IQ313" s="105"/>
      <c r="IR313" s="105"/>
      <c r="IS313" s="105"/>
    </row>
    <row r="314" spans="1:253">
      <c r="A314" s="116"/>
      <c r="B314" s="105"/>
      <c r="C314" s="116"/>
      <c r="D314" s="116"/>
      <c r="E314" s="116"/>
      <c r="F314" s="116"/>
      <c r="G314" s="116"/>
      <c r="H314" s="116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 s="105"/>
      <c r="BK314" s="105"/>
      <c r="BL314" s="105"/>
      <c r="BM314" s="105"/>
      <c r="BN314" s="105"/>
      <c r="BO314" s="105"/>
      <c r="BP314" s="105"/>
      <c r="BQ314" s="105"/>
      <c r="BR314" s="105"/>
      <c r="BS314" s="105"/>
      <c r="BT314" s="105"/>
      <c r="BU314" s="105"/>
      <c r="BV314" s="105"/>
      <c r="BW314" s="105"/>
      <c r="BX314" s="105"/>
      <c r="BY314" s="105"/>
      <c r="BZ314" s="105"/>
      <c r="CA314" s="105"/>
      <c r="CB314" s="105"/>
      <c r="CC314" s="105"/>
      <c r="CD314" s="105"/>
      <c r="CE314" s="105"/>
      <c r="CF314" s="105"/>
      <c r="CG314" s="105"/>
      <c r="CH314" s="105"/>
      <c r="CI314" s="105"/>
      <c r="CJ314" s="105"/>
      <c r="CK314" s="105"/>
      <c r="CL314" s="105"/>
      <c r="CM314" s="105"/>
      <c r="CN314" s="105"/>
      <c r="CO314" s="105"/>
      <c r="CP314" s="105"/>
      <c r="CQ314" s="105"/>
      <c r="CR314" s="105"/>
      <c r="CS314" s="105"/>
      <c r="CT314" s="105"/>
      <c r="CU314" s="105"/>
      <c r="CV314" s="105"/>
      <c r="CW314" s="105"/>
      <c r="CX314" s="105"/>
      <c r="CY314" s="105"/>
      <c r="CZ314" s="105"/>
      <c r="DA314" s="105"/>
      <c r="DB314" s="105"/>
      <c r="DC314" s="105"/>
      <c r="DD314" s="105"/>
      <c r="DE314" s="105"/>
      <c r="DF314" s="105"/>
      <c r="DG314" s="105"/>
      <c r="DH314" s="105"/>
      <c r="DI314" s="105"/>
      <c r="DJ314" s="105"/>
      <c r="DK314" s="105"/>
      <c r="DL314" s="105"/>
      <c r="DM314" s="105"/>
      <c r="DN314" s="105"/>
      <c r="DO314" s="105"/>
      <c r="DP314" s="105"/>
      <c r="DQ314" s="105"/>
      <c r="DR314" s="105"/>
      <c r="DS314" s="105"/>
      <c r="DT314" s="105"/>
      <c r="DU314" s="105"/>
      <c r="DV314" s="105"/>
      <c r="DW314" s="105"/>
      <c r="DX314" s="105"/>
      <c r="DY314" s="105"/>
      <c r="DZ314" s="105"/>
      <c r="EA314" s="105"/>
      <c r="EB314" s="105"/>
      <c r="EC314" s="105"/>
      <c r="ED314" s="105"/>
      <c r="EE314" s="105"/>
      <c r="EF314" s="105"/>
      <c r="EG314" s="105"/>
      <c r="EH314" s="105"/>
      <c r="EI314" s="105"/>
      <c r="EJ314" s="105"/>
      <c r="EK314" s="105"/>
      <c r="EL314" s="105"/>
      <c r="EM314" s="105"/>
      <c r="EN314" s="105"/>
      <c r="EO314" s="105"/>
      <c r="EP314" s="105"/>
      <c r="EQ314" s="105"/>
      <c r="ER314" s="105"/>
      <c r="ES314" s="105"/>
      <c r="ET314" s="105"/>
      <c r="EU314" s="105"/>
      <c r="EV314" s="105"/>
      <c r="EW314" s="105"/>
      <c r="EX314" s="105"/>
      <c r="EY314" s="105"/>
      <c r="EZ314" s="105"/>
      <c r="FA314" s="105"/>
      <c r="FB314" s="105"/>
      <c r="FC314" s="105"/>
      <c r="FD314" s="105"/>
      <c r="FE314" s="105"/>
      <c r="FF314" s="105"/>
      <c r="FG314" s="105"/>
      <c r="FH314" s="105"/>
      <c r="FI314" s="105"/>
      <c r="FJ314" s="105"/>
      <c r="FK314" s="105"/>
      <c r="FL314" s="105"/>
      <c r="FM314" s="105"/>
      <c r="FN314" s="105"/>
      <c r="FO314" s="105"/>
      <c r="FP314" s="105"/>
      <c r="FQ314" s="105"/>
      <c r="FR314" s="105"/>
      <c r="FS314" s="105"/>
      <c r="FT314" s="105"/>
      <c r="FU314" s="105"/>
      <c r="FV314" s="105"/>
      <c r="FW314" s="105"/>
      <c r="FX314" s="105"/>
      <c r="FY314" s="105"/>
      <c r="FZ314" s="105"/>
      <c r="GA314" s="105"/>
      <c r="GB314" s="105"/>
      <c r="GC314" s="105"/>
      <c r="GD314" s="105"/>
      <c r="GE314" s="105"/>
      <c r="GF314" s="105"/>
      <c r="GG314" s="105"/>
      <c r="GH314" s="105"/>
      <c r="GI314" s="105"/>
      <c r="GJ314" s="105"/>
      <c r="GK314" s="105"/>
      <c r="GL314" s="105"/>
      <c r="GM314" s="105"/>
      <c r="GN314" s="105"/>
      <c r="GO314" s="105"/>
      <c r="GP314" s="105"/>
      <c r="GQ314" s="105"/>
      <c r="GR314" s="105"/>
      <c r="GS314" s="105"/>
      <c r="GT314" s="105"/>
      <c r="GU314" s="105"/>
      <c r="GV314" s="105"/>
      <c r="GW314" s="105"/>
      <c r="GX314" s="105"/>
      <c r="GY314" s="105"/>
      <c r="GZ314" s="105"/>
      <c r="HA314" s="105"/>
      <c r="HB314" s="105"/>
      <c r="HC314" s="105"/>
      <c r="HD314" s="105"/>
      <c r="HE314" s="105"/>
      <c r="HF314" s="105"/>
      <c r="HG314" s="105"/>
      <c r="HH314" s="105"/>
      <c r="HI314" s="105"/>
      <c r="HJ314" s="105"/>
      <c r="HK314" s="105"/>
      <c r="HL314" s="105"/>
      <c r="HM314" s="105"/>
      <c r="HN314" s="105"/>
      <c r="HO314" s="105"/>
      <c r="HP314" s="105"/>
      <c r="HQ314" s="105"/>
      <c r="HR314" s="105"/>
      <c r="HS314" s="105"/>
      <c r="HT314" s="105"/>
      <c r="HU314" s="105"/>
      <c r="HV314" s="105"/>
      <c r="HW314" s="105"/>
      <c r="HX314" s="105"/>
      <c r="HY314" s="105"/>
      <c r="HZ314" s="105"/>
      <c r="IA314" s="105"/>
      <c r="IB314" s="105"/>
      <c r="IC314" s="105"/>
      <c r="ID314" s="105"/>
      <c r="IE314" s="105"/>
      <c r="IF314" s="105"/>
      <c r="IG314" s="105"/>
      <c r="IH314" s="105"/>
      <c r="II314" s="105"/>
      <c r="IJ314" s="105"/>
      <c r="IK314" s="105"/>
      <c r="IL314" s="105"/>
      <c r="IM314" s="105"/>
      <c r="IN314" s="105"/>
      <c r="IO314" s="105"/>
      <c r="IP314" s="105"/>
      <c r="IQ314" s="105"/>
      <c r="IR314" s="105"/>
      <c r="IS314" s="105"/>
    </row>
    <row r="315" spans="1:253">
      <c r="A315" s="116"/>
      <c r="B315" s="105"/>
      <c r="C315" s="116"/>
      <c r="D315" s="116"/>
      <c r="E315" s="116"/>
      <c r="F315" s="116"/>
      <c r="G315" s="116"/>
      <c r="H315" s="116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5"/>
      <c r="BK315" s="105"/>
      <c r="BL315" s="105"/>
      <c r="BM315" s="105"/>
      <c r="BN315" s="105"/>
      <c r="BO315" s="105"/>
      <c r="BP315" s="105"/>
      <c r="BQ315" s="105"/>
      <c r="BR315" s="105"/>
      <c r="BS315" s="105"/>
      <c r="BT315" s="105"/>
      <c r="BU315" s="105"/>
      <c r="BV315" s="105"/>
      <c r="BW315" s="105"/>
      <c r="BX315" s="105"/>
      <c r="BY315" s="105"/>
      <c r="BZ315" s="105"/>
      <c r="CA315" s="105"/>
      <c r="CB315" s="105"/>
      <c r="CC315" s="105"/>
      <c r="CD315" s="105"/>
      <c r="CE315" s="105"/>
      <c r="CF315" s="105"/>
      <c r="CG315" s="105"/>
      <c r="CH315" s="105"/>
      <c r="CI315" s="105"/>
      <c r="CJ315" s="105"/>
      <c r="CK315" s="105"/>
      <c r="CL315" s="105"/>
      <c r="CM315" s="105"/>
      <c r="CN315" s="105"/>
      <c r="CO315" s="105"/>
      <c r="CP315" s="105"/>
      <c r="CQ315" s="105"/>
      <c r="CR315" s="105"/>
      <c r="CS315" s="105"/>
      <c r="CT315" s="105"/>
      <c r="CU315" s="105"/>
      <c r="CV315" s="105"/>
      <c r="CW315" s="105"/>
      <c r="CX315" s="105"/>
      <c r="CY315" s="105"/>
      <c r="CZ315" s="105"/>
      <c r="DA315" s="105"/>
      <c r="DB315" s="105"/>
      <c r="DC315" s="105"/>
      <c r="DD315" s="105"/>
      <c r="DE315" s="105"/>
      <c r="DF315" s="105"/>
      <c r="DG315" s="105"/>
      <c r="DH315" s="105"/>
      <c r="DI315" s="105"/>
      <c r="DJ315" s="105"/>
      <c r="DK315" s="105"/>
      <c r="DL315" s="105"/>
      <c r="DM315" s="105"/>
      <c r="DN315" s="105"/>
      <c r="DO315" s="105"/>
      <c r="DP315" s="105"/>
      <c r="DQ315" s="105"/>
      <c r="DR315" s="105"/>
      <c r="DS315" s="105"/>
      <c r="DT315" s="105"/>
      <c r="DU315" s="105"/>
      <c r="DV315" s="105"/>
      <c r="DW315" s="105"/>
      <c r="DX315" s="105"/>
      <c r="DY315" s="105"/>
      <c r="DZ315" s="105"/>
      <c r="EA315" s="105"/>
      <c r="EB315" s="105"/>
      <c r="EC315" s="105"/>
      <c r="ED315" s="105"/>
      <c r="EE315" s="105"/>
      <c r="EF315" s="105"/>
      <c r="EG315" s="105"/>
      <c r="EH315" s="105"/>
      <c r="EI315" s="105"/>
      <c r="EJ315" s="105"/>
      <c r="EK315" s="105"/>
      <c r="EL315" s="105"/>
      <c r="EM315" s="105"/>
      <c r="EN315" s="105"/>
      <c r="EO315" s="105"/>
      <c r="EP315" s="105"/>
      <c r="EQ315" s="105"/>
      <c r="ER315" s="105"/>
      <c r="ES315" s="105"/>
      <c r="ET315" s="105"/>
      <c r="EU315" s="105"/>
      <c r="EV315" s="105"/>
      <c r="EW315" s="105"/>
      <c r="EX315" s="105"/>
      <c r="EY315" s="105"/>
      <c r="EZ315" s="105"/>
      <c r="FA315" s="105"/>
      <c r="FB315" s="105"/>
      <c r="FC315" s="105"/>
      <c r="FD315" s="105"/>
      <c r="FE315" s="105"/>
      <c r="FF315" s="105"/>
      <c r="FG315" s="105"/>
      <c r="FH315" s="105"/>
      <c r="FI315" s="105"/>
      <c r="FJ315" s="105"/>
      <c r="FK315" s="105"/>
      <c r="FL315" s="105"/>
      <c r="FM315" s="105"/>
      <c r="FN315" s="105"/>
      <c r="FO315" s="105"/>
      <c r="FP315" s="105"/>
      <c r="FQ315" s="105"/>
      <c r="FR315" s="105"/>
      <c r="FS315" s="105"/>
      <c r="FT315" s="105"/>
      <c r="FU315" s="105"/>
      <c r="FV315" s="105"/>
      <c r="FW315" s="105"/>
      <c r="FX315" s="105"/>
      <c r="FY315" s="105"/>
      <c r="FZ315" s="105"/>
      <c r="GA315" s="105"/>
      <c r="GB315" s="105"/>
      <c r="GC315" s="105"/>
      <c r="GD315" s="105"/>
      <c r="GE315" s="105"/>
      <c r="GF315" s="105"/>
      <c r="GG315" s="105"/>
      <c r="GH315" s="105"/>
      <c r="GI315" s="105"/>
      <c r="GJ315" s="105"/>
      <c r="GK315" s="105"/>
      <c r="GL315" s="105"/>
      <c r="GM315" s="105"/>
      <c r="GN315" s="105"/>
      <c r="GO315" s="105"/>
      <c r="GP315" s="105"/>
      <c r="GQ315" s="105"/>
      <c r="GR315" s="105"/>
      <c r="GS315" s="105"/>
      <c r="GT315" s="105"/>
      <c r="GU315" s="105"/>
      <c r="GV315" s="105"/>
      <c r="GW315" s="105"/>
      <c r="GX315" s="105"/>
      <c r="GY315" s="105"/>
      <c r="GZ315" s="105"/>
      <c r="HA315" s="105"/>
      <c r="HB315" s="105"/>
      <c r="HC315" s="105"/>
      <c r="HD315" s="105"/>
      <c r="HE315" s="105"/>
      <c r="HF315" s="105"/>
      <c r="HG315" s="105"/>
      <c r="HH315" s="105"/>
      <c r="HI315" s="105"/>
      <c r="HJ315" s="105"/>
      <c r="HK315" s="105"/>
      <c r="HL315" s="105"/>
      <c r="HM315" s="105"/>
      <c r="HN315" s="105"/>
      <c r="HO315" s="105"/>
      <c r="HP315" s="105"/>
      <c r="HQ315" s="105"/>
      <c r="HR315" s="105"/>
      <c r="HS315" s="105"/>
      <c r="HT315" s="105"/>
      <c r="HU315" s="105"/>
      <c r="HV315" s="105"/>
      <c r="HW315" s="105"/>
      <c r="HX315" s="105"/>
      <c r="HY315" s="105"/>
      <c r="HZ315" s="105"/>
      <c r="IA315" s="105"/>
      <c r="IB315" s="105"/>
      <c r="IC315" s="105"/>
      <c r="ID315" s="105"/>
      <c r="IE315" s="105"/>
      <c r="IF315" s="105"/>
      <c r="IG315" s="105"/>
      <c r="IH315" s="105"/>
      <c r="II315" s="105"/>
      <c r="IJ315" s="105"/>
      <c r="IK315" s="105"/>
      <c r="IL315" s="105"/>
      <c r="IM315" s="105"/>
      <c r="IN315" s="105"/>
      <c r="IO315" s="105"/>
      <c r="IP315" s="105"/>
      <c r="IQ315" s="105"/>
      <c r="IR315" s="105"/>
      <c r="IS315" s="105"/>
    </row>
    <row r="316" spans="1:253">
      <c r="A316" s="116"/>
      <c r="B316" s="105"/>
      <c r="C316" s="116"/>
      <c r="D316" s="116"/>
      <c r="E316" s="116"/>
      <c r="F316" s="116"/>
      <c r="G316" s="116"/>
      <c r="H316" s="116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5"/>
      <c r="BK316" s="105"/>
      <c r="BL316" s="105"/>
      <c r="BM316" s="105"/>
      <c r="BN316" s="105"/>
      <c r="BO316" s="105"/>
      <c r="BP316" s="105"/>
      <c r="BQ316" s="105"/>
      <c r="BR316" s="105"/>
      <c r="BS316" s="105"/>
      <c r="BT316" s="105"/>
      <c r="BU316" s="105"/>
      <c r="BV316" s="105"/>
      <c r="BW316" s="105"/>
      <c r="BX316" s="105"/>
      <c r="BY316" s="105"/>
      <c r="BZ316" s="105"/>
      <c r="CA316" s="105"/>
      <c r="CB316" s="105"/>
      <c r="CC316" s="105"/>
      <c r="CD316" s="105"/>
      <c r="CE316" s="105"/>
      <c r="CF316" s="105"/>
      <c r="CG316" s="105"/>
      <c r="CH316" s="105"/>
      <c r="CI316" s="105"/>
      <c r="CJ316" s="105"/>
      <c r="CK316" s="105"/>
      <c r="CL316" s="105"/>
      <c r="CM316" s="105"/>
      <c r="CN316" s="105"/>
      <c r="CO316" s="105"/>
      <c r="CP316" s="105"/>
      <c r="CQ316" s="105"/>
      <c r="CR316" s="105"/>
      <c r="CS316" s="105"/>
      <c r="CT316" s="105"/>
      <c r="CU316" s="105"/>
      <c r="CV316" s="105"/>
      <c r="CW316" s="105"/>
      <c r="CX316" s="105"/>
      <c r="CY316" s="105"/>
      <c r="CZ316" s="105"/>
      <c r="DA316" s="105"/>
      <c r="DB316" s="105"/>
      <c r="DC316" s="105"/>
      <c r="DD316" s="105"/>
      <c r="DE316" s="105"/>
      <c r="DF316" s="105"/>
      <c r="DG316" s="105"/>
      <c r="DH316" s="105"/>
      <c r="DI316" s="105"/>
      <c r="DJ316" s="105"/>
      <c r="DK316" s="105"/>
      <c r="DL316" s="105"/>
      <c r="DM316" s="105"/>
      <c r="DN316" s="105"/>
      <c r="DO316" s="105"/>
      <c r="DP316" s="105"/>
      <c r="DQ316" s="105"/>
      <c r="DR316" s="105"/>
      <c r="DS316" s="105"/>
      <c r="DT316" s="105"/>
      <c r="DU316" s="105"/>
      <c r="DV316" s="105"/>
      <c r="DW316" s="105"/>
      <c r="DX316" s="105"/>
      <c r="DY316" s="105"/>
      <c r="DZ316" s="105"/>
      <c r="EA316" s="105"/>
      <c r="EB316" s="105"/>
      <c r="EC316" s="105"/>
      <c r="ED316" s="105"/>
      <c r="EE316" s="105"/>
      <c r="EF316" s="105"/>
      <c r="EG316" s="105"/>
      <c r="EH316" s="105"/>
      <c r="EI316" s="105"/>
      <c r="EJ316" s="105"/>
      <c r="EK316" s="105"/>
      <c r="EL316" s="105"/>
      <c r="EM316" s="105"/>
      <c r="EN316" s="105"/>
      <c r="EO316" s="105"/>
      <c r="EP316" s="105"/>
      <c r="EQ316" s="105"/>
      <c r="ER316" s="105"/>
      <c r="ES316" s="105"/>
      <c r="ET316" s="105"/>
      <c r="EU316" s="105"/>
      <c r="EV316" s="105"/>
      <c r="EW316" s="105"/>
      <c r="EX316" s="105"/>
      <c r="EY316" s="105"/>
      <c r="EZ316" s="105"/>
      <c r="FA316" s="105"/>
      <c r="FB316" s="105"/>
      <c r="FC316" s="105"/>
      <c r="FD316" s="105"/>
      <c r="FE316" s="105"/>
      <c r="FF316" s="105"/>
      <c r="FG316" s="105"/>
      <c r="FH316" s="105"/>
      <c r="FI316" s="105"/>
      <c r="FJ316" s="105"/>
      <c r="FK316" s="105"/>
      <c r="FL316" s="105"/>
      <c r="FM316" s="105"/>
      <c r="FN316" s="105"/>
      <c r="FO316" s="105"/>
      <c r="FP316" s="105"/>
      <c r="FQ316" s="105"/>
      <c r="FR316" s="105"/>
      <c r="FS316" s="105"/>
      <c r="FT316" s="105"/>
      <c r="FU316" s="105"/>
      <c r="FV316" s="105"/>
      <c r="FW316" s="105"/>
      <c r="FX316" s="105"/>
      <c r="FY316" s="105"/>
      <c r="FZ316" s="105"/>
      <c r="GA316" s="105"/>
      <c r="GB316" s="105"/>
      <c r="GC316" s="105"/>
      <c r="GD316" s="105"/>
      <c r="GE316" s="105"/>
      <c r="GF316" s="105"/>
      <c r="GG316" s="105"/>
      <c r="GH316" s="105"/>
      <c r="GI316" s="105"/>
      <c r="GJ316" s="105"/>
      <c r="GK316" s="105"/>
      <c r="GL316" s="105"/>
      <c r="GM316" s="105"/>
      <c r="GN316" s="105"/>
      <c r="GO316" s="105"/>
      <c r="GP316" s="105"/>
      <c r="GQ316" s="105"/>
      <c r="GR316" s="105"/>
      <c r="GS316" s="105"/>
      <c r="GT316" s="105"/>
      <c r="GU316" s="105"/>
      <c r="GV316" s="105"/>
      <c r="GW316" s="105"/>
      <c r="GX316" s="105"/>
      <c r="GY316" s="105"/>
      <c r="GZ316" s="105"/>
      <c r="HA316" s="105"/>
      <c r="HB316" s="105"/>
      <c r="HC316" s="105"/>
      <c r="HD316" s="105"/>
      <c r="HE316" s="105"/>
      <c r="HF316" s="105"/>
      <c r="HG316" s="105"/>
      <c r="HH316" s="105"/>
      <c r="HI316" s="105"/>
      <c r="HJ316" s="105"/>
      <c r="HK316" s="105"/>
      <c r="HL316" s="105"/>
      <c r="HM316" s="105"/>
      <c r="HN316" s="105"/>
      <c r="HO316" s="105"/>
      <c r="HP316" s="105"/>
      <c r="HQ316" s="105"/>
      <c r="HR316" s="105"/>
      <c r="HS316" s="105"/>
      <c r="HT316" s="105"/>
      <c r="HU316" s="105"/>
      <c r="HV316" s="105"/>
      <c r="HW316" s="105"/>
      <c r="HX316" s="105"/>
      <c r="HY316" s="105"/>
      <c r="HZ316" s="105"/>
      <c r="IA316" s="105"/>
      <c r="IB316" s="105"/>
      <c r="IC316" s="105"/>
      <c r="ID316" s="105"/>
      <c r="IE316" s="105"/>
      <c r="IF316" s="105"/>
      <c r="IG316" s="105"/>
      <c r="IH316" s="105"/>
      <c r="II316" s="105"/>
      <c r="IJ316" s="105"/>
      <c r="IK316" s="105"/>
      <c r="IL316" s="105"/>
      <c r="IM316" s="105"/>
      <c r="IN316" s="105"/>
      <c r="IO316" s="105"/>
      <c r="IP316" s="105"/>
      <c r="IQ316" s="105"/>
      <c r="IR316" s="105"/>
      <c r="IS316" s="105"/>
    </row>
    <row r="317" spans="1:253">
      <c r="A317" s="116"/>
      <c r="B317" s="105"/>
      <c r="C317" s="116"/>
      <c r="D317" s="116"/>
      <c r="E317" s="116"/>
      <c r="F317" s="116"/>
      <c r="G317" s="116"/>
      <c r="H317" s="116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5"/>
      <c r="BK317" s="105"/>
      <c r="BL317" s="105"/>
      <c r="BM317" s="105"/>
      <c r="BN317" s="105"/>
      <c r="BO317" s="105"/>
      <c r="BP317" s="105"/>
      <c r="BQ317" s="105"/>
      <c r="BR317" s="105"/>
      <c r="BS317" s="105"/>
      <c r="BT317" s="105"/>
      <c r="BU317" s="105"/>
      <c r="BV317" s="105"/>
      <c r="BW317" s="105"/>
      <c r="BX317" s="105"/>
      <c r="BY317" s="105"/>
      <c r="BZ317" s="105"/>
      <c r="CA317" s="105"/>
      <c r="CB317" s="105"/>
      <c r="CC317" s="105"/>
      <c r="CD317" s="105"/>
      <c r="CE317" s="105"/>
      <c r="CF317" s="105"/>
      <c r="CG317" s="105"/>
      <c r="CH317" s="105"/>
      <c r="CI317" s="105"/>
      <c r="CJ317" s="105"/>
      <c r="CK317" s="105"/>
      <c r="CL317" s="105"/>
      <c r="CM317" s="105"/>
      <c r="CN317" s="105"/>
      <c r="CO317" s="105"/>
      <c r="CP317" s="105"/>
      <c r="CQ317" s="105"/>
      <c r="CR317" s="105"/>
      <c r="CS317" s="105"/>
      <c r="CT317" s="105"/>
      <c r="CU317" s="105"/>
      <c r="CV317" s="105"/>
      <c r="CW317" s="105"/>
      <c r="CX317" s="105"/>
      <c r="CY317" s="105"/>
      <c r="CZ317" s="105"/>
      <c r="DA317" s="105"/>
      <c r="DB317" s="105"/>
      <c r="DC317" s="105"/>
      <c r="DD317" s="105"/>
      <c r="DE317" s="105"/>
      <c r="DF317" s="105"/>
      <c r="DG317" s="105"/>
      <c r="DH317" s="105"/>
      <c r="DI317" s="105"/>
      <c r="DJ317" s="105"/>
      <c r="DK317" s="105"/>
      <c r="DL317" s="105"/>
      <c r="DM317" s="105"/>
      <c r="DN317" s="105"/>
      <c r="DO317" s="105"/>
      <c r="DP317" s="105"/>
      <c r="DQ317" s="105"/>
      <c r="DR317" s="105"/>
      <c r="DS317" s="105"/>
      <c r="DT317" s="105"/>
      <c r="DU317" s="105"/>
      <c r="DV317" s="105"/>
      <c r="DW317" s="105"/>
      <c r="DX317" s="105"/>
      <c r="DY317" s="105"/>
      <c r="DZ317" s="105"/>
      <c r="EA317" s="105"/>
      <c r="EB317" s="105"/>
      <c r="EC317" s="105"/>
      <c r="ED317" s="105"/>
      <c r="EE317" s="105"/>
      <c r="EF317" s="105"/>
      <c r="EG317" s="105"/>
      <c r="EH317" s="105"/>
      <c r="EI317" s="105"/>
      <c r="EJ317" s="105"/>
      <c r="EK317" s="105"/>
      <c r="EL317" s="105"/>
      <c r="EM317" s="105"/>
      <c r="EN317" s="105"/>
      <c r="EO317" s="105"/>
      <c r="EP317" s="105"/>
      <c r="EQ317" s="105"/>
      <c r="ER317" s="105"/>
      <c r="ES317" s="105"/>
      <c r="ET317" s="105"/>
      <c r="EU317" s="105"/>
      <c r="EV317" s="105"/>
      <c r="EW317" s="105"/>
      <c r="EX317" s="105"/>
      <c r="EY317" s="105"/>
      <c r="EZ317" s="105"/>
      <c r="FA317" s="105"/>
      <c r="FB317" s="105"/>
      <c r="FC317" s="105"/>
      <c r="FD317" s="105"/>
      <c r="FE317" s="105"/>
      <c r="FF317" s="105"/>
      <c r="FG317" s="105"/>
      <c r="FH317" s="105"/>
      <c r="FI317" s="105"/>
      <c r="FJ317" s="105"/>
      <c r="FK317" s="105"/>
      <c r="FL317" s="105"/>
      <c r="FM317" s="105"/>
      <c r="FN317" s="105"/>
      <c r="FO317" s="105"/>
      <c r="FP317" s="105"/>
      <c r="FQ317" s="105"/>
      <c r="FR317" s="105"/>
      <c r="FS317" s="105"/>
      <c r="FT317" s="105"/>
      <c r="FU317" s="105"/>
      <c r="FV317" s="105"/>
      <c r="FW317" s="105"/>
      <c r="FX317" s="105"/>
      <c r="FY317" s="105"/>
      <c r="FZ317" s="105"/>
      <c r="GA317" s="105"/>
      <c r="GB317" s="105"/>
      <c r="GC317" s="105"/>
      <c r="GD317" s="105"/>
      <c r="GE317" s="105"/>
      <c r="GF317" s="105"/>
      <c r="GG317" s="105"/>
      <c r="GH317" s="105"/>
      <c r="GI317" s="105"/>
      <c r="GJ317" s="105"/>
      <c r="GK317" s="105"/>
      <c r="GL317" s="105"/>
      <c r="GM317" s="105"/>
      <c r="GN317" s="105"/>
      <c r="GO317" s="105"/>
      <c r="GP317" s="105"/>
      <c r="GQ317" s="105"/>
      <c r="GR317" s="105"/>
      <c r="GS317" s="105"/>
      <c r="GT317" s="105"/>
      <c r="GU317" s="105"/>
      <c r="GV317" s="105"/>
      <c r="GW317" s="105"/>
      <c r="GX317" s="105"/>
      <c r="GY317" s="105"/>
      <c r="GZ317" s="105"/>
      <c r="HA317" s="105"/>
      <c r="HB317" s="105"/>
      <c r="HC317" s="105"/>
      <c r="HD317" s="105"/>
      <c r="HE317" s="105"/>
      <c r="HF317" s="105"/>
      <c r="HG317" s="105"/>
      <c r="HH317" s="105"/>
      <c r="HI317" s="105"/>
      <c r="HJ317" s="105"/>
      <c r="HK317" s="105"/>
      <c r="HL317" s="105"/>
      <c r="HM317" s="105"/>
      <c r="HN317" s="105"/>
      <c r="HO317" s="105"/>
      <c r="HP317" s="105"/>
      <c r="HQ317" s="105"/>
      <c r="HR317" s="105"/>
      <c r="HS317" s="105"/>
      <c r="HT317" s="105"/>
      <c r="HU317" s="105"/>
      <c r="HV317" s="105"/>
      <c r="HW317" s="105"/>
      <c r="HX317" s="105"/>
      <c r="HY317" s="105"/>
      <c r="HZ317" s="105"/>
      <c r="IA317" s="105"/>
      <c r="IB317" s="105"/>
      <c r="IC317" s="105"/>
      <c r="ID317" s="105"/>
      <c r="IE317" s="105"/>
      <c r="IF317" s="105"/>
      <c r="IG317" s="105"/>
      <c r="IH317" s="105"/>
      <c r="II317" s="105"/>
      <c r="IJ317" s="105"/>
      <c r="IK317" s="105"/>
      <c r="IL317" s="105"/>
      <c r="IM317" s="105"/>
      <c r="IN317" s="105"/>
      <c r="IO317" s="105"/>
      <c r="IP317" s="105"/>
      <c r="IQ317" s="105"/>
      <c r="IR317" s="105"/>
      <c r="IS317" s="105"/>
    </row>
    <row r="318" spans="1:253">
      <c r="A318" s="116"/>
      <c r="B318" s="105"/>
      <c r="C318" s="116"/>
      <c r="D318" s="116"/>
      <c r="E318" s="116"/>
      <c r="F318" s="116"/>
      <c r="G318" s="116"/>
      <c r="H318" s="116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5"/>
      <c r="BK318" s="105"/>
      <c r="BL318" s="105"/>
      <c r="BM318" s="105"/>
      <c r="BN318" s="105"/>
      <c r="BO318" s="105"/>
      <c r="BP318" s="105"/>
      <c r="BQ318" s="105"/>
      <c r="BR318" s="105"/>
      <c r="BS318" s="105"/>
      <c r="BT318" s="105"/>
      <c r="BU318" s="105"/>
      <c r="BV318" s="105"/>
      <c r="BW318" s="105"/>
      <c r="BX318" s="105"/>
      <c r="BY318" s="105"/>
      <c r="BZ318" s="105"/>
      <c r="CA318" s="105"/>
      <c r="CB318" s="105"/>
      <c r="CC318" s="105"/>
      <c r="CD318" s="105"/>
      <c r="CE318" s="105"/>
      <c r="CF318" s="105"/>
      <c r="CG318" s="105"/>
      <c r="CH318" s="105"/>
      <c r="CI318" s="105"/>
      <c r="CJ318" s="105"/>
      <c r="CK318" s="105"/>
      <c r="CL318" s="105"/>
      <c r="CM318" s="105"/>
      <c r="CN318" s="105"/>
      <c r="CO318" s="105"/>
      <c r="CP318" s="105"/>
      <c r="CQ318" s="105"/>
      <c r="CR318" s="105"/>
      <c r="CS318" s="105"/>
      <c r="CT318" s="105"/>
      <c r="CU318" s="105"/>
      <c r="CV318" s="105"/>
      <c r="CW318" s="105"/>
      <c r="CX318" s="105"/>
      <c r="CY318" s="105"/>
      <c r="CZ318" s="105"/>
      <c r="DA318" s="105"/>
      <c r="DB318" s="105"/>
      <c r="DC318" s="105"/>
      <c r="DD318" s="105"/>
      <c r="DE318" s="105"/>
      <c r="DF318" s="105"/>
      <c r="DG318" s="105"/>
      <c r="DH318" s="105"/>
      <c r="DI318" s="105"/>
      <c r="DJ318" s="105"/>
      <c r="DK318" s="105"/>
      <c r="DL318" s="105"/>
      <c r="DM318" s="105"/>
      <c r="DN318" s="105"/>
      <c r="DO318" s="105"/>
      <c r="DP318" s="105"/>
      <c r="DQ318" s="105"/>
      <c r="DR318" s="105"/>
      <c r="DS318" s="105"/>
      <c r="DT318" s="105"/>
      <c r="DU318" s="105"/>
      <c r="DV318" s="105"/>
      <c r="DW318" s="105"/>
      <c r="DX318" s="105"/>
      <c r="DY318" s="105"/>
      <c r="DZ318" s="105"/>
      <c r="EA318" s="105"/>
      <c r="EB318" s="105"/>
      <c r="EC318" s="105"/>
      <c r="ED318" s="105"/>
      <c r="EE318" s="105"/>
      <c r="EF318" s="105"/>
      <c r="EG318" s="105"/>
      <c r="EH318" s="105"/>
      <c r="EI318" s="105"/>
      <c r="EJ318" s="105"/>
      <c r="EK318" s="105"/>
      <c r="EL318" s="105"/>
      <c r="EM318" s="105"/>
      <c r="EN318" s="105"/>
      <c r="EO318" s="105"/>
      <c r="EP318" s="105"/>
      <c r="EQ318" s="105"/>
      <c r="ER318" s="105"/>
      <c r="ES318" s="105"/>
      <c r="ET318" s="105"/>
      <c r="EU318" s="105"/>
      <c r="EV318" s="105"/>
      <c r="EW318" s="105"/>
      <c r="EX318" s="105"/>
      <c r="EY318" s="105"/>
      <c r="EZ318" s="105"/>
      <c r="FA318" s="105"/>
      <c r="FB318" s="105"/>
      <c r="FC318" s="105"/>
      <c r="FD318" s="105"/>
      <c r="FE318" s="105"/>
      <c r="FF318" s="105"/>
      <c r="FG318" s="105"/>
      <c r="FH318" s="105"/>
      <c r="FI318" s="105"/>
      <c r="FJ318" s="105"/>
      <c r="FK318" s="105"/>
      <c r="FL318" s="105"/>
      <c r="FM318" s="105"/>
      <c r="FN318" s="105"/>
      <c r="FO318" s="105"/>
      <c r="FP318" s="105"/>
      <c r="FQ318" s="105"/>
      <c r="FR318" s="105"/>
      <c r="FS318" s="105"/>
      <c r="FT318" s="105"/>
      <c r="FU318" s="105"/>
      <c r="FV318" s="105"/>
      <c r="FW318" s="105"/>
      <c r="FX318" s="105"/>
      <c r="FY318" s="105"/>
      <c r="FZ318" s="105"/>
      <c r="GA318" s="105"/>
      <c r="GB318" s="105"/>
      <c r="GC318" s="105"/>
      <c r="GD318" s="105"/>
      <c r="GE318" s="105"/>
      <c r="GF318" s="105"/>
      <c r="GG318" s="105"/>
      <c r="GH318" s="105"/>
      <c r="GI318" s="105"/>
      <c r="GJ318" s="105"/>
      <c r="GK318" s="105"/>
      <c r="GL318" s="105"/>
      <c r="GM318" s="105"/>
      <c r="GN318" s="105"/>
      <c r="GO318" s="105"/>
      <c r="GP318" s="105"/>
      <c r="GQ318" s="105"/>
      <c r="GR318" s="105"/>
      <c r="GS318" s="105"/>
      <c r="GT318" s="105"/>
      <c r="GU318" s="105"/>
      <c r="GV318" s="105"/>
      <c r="GW318" s="105"/>
      <c r="GX318" s="105"/>
      <c r="GY318" s="105"/>
      <c r="GZ318" s="105"/>
      <c r="HA318" s="105"/>
      <c r="HB318" s="105"/>
      <c r="HC318" s="105"/>
      <c r="HD318" s="105"/>
      <c r="HE318" s="105"/>
      <c r="HF318" s="105"/>
      <c r="HG318" s="105"/>
      <c r="HH318" s="105"/>
      <c r="HI318" s="105"/>
      <c r="HJ318" s="105"/>
      <c r="HK318" s="105"/>
      <c r="HL318" s="105"/>
      <c r="HM318" s="105"/>
      <c r="HN318" s="105"/>
      <c r="HO318" s="105"/>
      <c r="HP318" s="105"/>
      <c r="HQ318" s="105"/>
      <c r="HR318" s="105"/>
      <c r="HS318" s="105"/>
      <c r="HT318" s="105"/>
      <c r="HU318" s="105"/>
      <c r="HV318" s="105"/>
      <c r="HW318" s="105"/>
      <c r="HX318" s="105"/>
      <c r="HY318" s="105"/>
      <c r="HZ318" s="105"/>
      <c r="IA318" s="105"/>
      <c r="IB318" s="105"/>
      <c r="IC318" s="105"/>
      <c r="ID318" s="105"/>
      <c r="IE318" s="105"/>
      <c r="IF318" s="105"/>
      <c r="IG318" s="105"/>
      <c r="IH318" s="105"/>
      <c r="II318" s="105"/>
      <c r="IJ318" s="105"/>
      <c r="IK318" s="105"/>
      <c r="IL318" s="105"/>
      <c r="IM318" s="105"/>
      <c r="IN318" s="105"/>
      <c r="IO318" s="105"/>
      <c r="IP318" s="105"/>
      <c r="IQ318" s="105"/>
      <c r="IR318" s="105"/>
      <c r="IS318" s="105"/>
    </row>
    <row r="319" spans="1:253">
      <c r="A319" s="116"/>
      <c r="B319" s="105"/>
      <c r="C319" s="116"/>
      <c r="D319" s="116"/>
      <c r="E319" s="116"/>
      <c r="F319" s="116"/>
      <c r="G319" s="116"/>
      <c r="H319" s="116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5"/>
      <c r="BK319" s="105"/>
      <c r="BL319" s="105"/>
      <c r="BM319" s="105"/>
      <c r="BN319" s="105"/>
      <c r="BO319" s="105"/>
      <c r="BP319" s="105"/>
      <c r="BQ319" s="105"/>
      <c r="BR319" s="105"/>
      <c r="BS319" s="105"/>
      <c r="BT319" s="105"/>
      <c r="BU319" s="105"/>
      <c r="BV319" s="105"/>
      <c r="BW319" s="105"/>
      <c r="BX319" s="105"/>
      <c r="BY319" s="105"/>
      <c r="BZ319" s="105"/>
      <c r="CA319" s="105"/>
      <c r="CB319" s="105"/>
      <c r="CC319" s="105"/>
      <c r="CD319" s="105"/>
      <c r="CE319" s="105"/>
      <c r="CF319" s="105"/>
      <c r="CG319" s="105"/>
      <c r="CH319" s="105"/>
      <c r="CI319" s="105"/>
      <c r="CJ319" s="105"/>
      <c r="CK319" s="105"/>
      <c r="CL319" s="105"/>
      <c r="CM319" s="105"/>
      <c r="CN319" s="105"/>
      <c r="CO319" s="105"/>
      <c r="CP319" s="105"/>
      <c r="CQ319" s="105"/>
      <c r="CR319" s="105"/>
      <c r="CS319" s="105"/>
      <c r="CT319" s="105"/>
      <c r="CU319" s="105"/>
      <c r="CV319" s="105"/>
      <c r="CW319" s="105"/>
      <c r="CX319" s="105"/>
      <c r="CY319" s="105"/>
      <c r="CZ319" s="105"/>
      <c r="DA319" s="105"/>
      <c r="DB319" s="105"/>
      <c r="DC319" s="105"/>
      <c r="DD319" s="105"/>
      <c r="DE319" s="105"/>
      <c r="DF319" s="105"/>
      <c r="DG319" s="105"/>
      <c r="DH319" s="105"/>
      <c r="DI319" s="105"/>
      <c r="DJ319" s="105"/>
      <c r="DK319" s="105"/>
      <c r="DL319" s="105"/>
      <c r="DM319" s="105"/>
      <c r="DN319" s="105"/>
      <c r="DO319" s="105"/>
      <c r="DP319" s="105"/>
      <c r="DQ319" s="105"/>
      <c r="DR319" s="105"/>
      <c r="DS319" s="105"/>
      <c r="DT319" s="105"/>
      <c r="DU319" s="105"/>
      <c r="DV319" s="105"/>
      <c r="DW319" s="105"/>
      <c r="DX319" s="105"/>
      <c r="DY319" s="105"/>
      <c r="DZ319" s="105"/>
      <c r="EA319" s="105"/>
      <c r="EB319" s="105"/>
      <c r="EC319" s="105"/>
      <c r="ED319" s="105"/>
      <c r="EE319" s="105"/>
      <c r="EF319" s="105"/>
      <c r="EG319" s="105"/>
      <c r="EH319" s="105"/>
      <c r="EI319" s="105"/>
      <c r="EJ319" s="105"/>
      <c r="EK319" s="105"/>
      <c r="EL319" s="105"/>
      <c r="EM319" s="105"/>
      <c r="EN319" s="105"/>
      <c r="EO319" s="105"/>
      <c r="EP319" s="105"/>
      <c r="EQ319" s="105"/>
      <c r="ER319" s="105"/>
      <c r="ES319" s="105"/>
      <c r="ET319" s="105"/>
      <c r="EU319" s="105"/>
      <c r="EV319" s="105"/>
      <c r="EW319" s="105"/>
      <c r="EX319" s="105"/>
      <c r="EY319" s="105"/>
      <c r="EZ319" s="105"/>
      <c r="FA319" s="105"/>
      <c r="FB319" s="105"/>
      <c r="FC319" s="105"/>
      <c r="FD319" s="105"/>
      <c r="FE319" s="105"/>
      <c r="FF319" s="105"/>
      <c r="FG319" s="105"/>
      <c r="FH319" s="105"/>
      <c r="FI319" s="105"/>
      <c r="FJ319" s="105"/>
      <c r="FK319" s="105"/>
      <c r="FL319" s="105"/>
      <c r="FM319" s="105"/>
      <c r="FN319" s="105"/>
      <c r="FO319" s="105"/>
      <c r="FP319" s="105"/>
      <c r="FQ319" s="105"/>
      <c r="FR319" s="105"/>
      <c r="FS319" s="105"/>
      <c r="FT319" s="105"/>
      <c r="FU319" s="105"/>
      <c r="FV319" s="105"/>
      <c r="FW319" s="105"/>
      <c r="FX319" s="105"/>
      <c r="FY319" s="105"/>
      <c r="FZ319" s="105"/>
      <c r="GA319" s="105"/>
      <c r="GB319" s="105"/>
      <c r="GC319" s="105"/>
      <c r="GD319" s="105"/>
      <c r="GE319" s="105"/>
      <c r="GF319" s="105"/>
      <c r="GG319" s="105"/>
      <c r="GH319" s="105"/>
      <c r="GI319" s="105"/>
      <c r="GJ319" s="105"/>
      <c r="GK319" s="105"/>
      <c r="GL319" s="105"/>
      <c r="GM319" s="105"/>
      <c r="GN319" s="105"/>
      <c r="GO319" s="105"/>
      <c r="GP319" s="105"/>
      <c r="GQ319" s="105"/>
      <c r="GR319" s="105"/>
      <c r="GS319" s="105"/>
      <c r="GT319" s="105"/>
      <c r="GU319" s="105"/>
      <c r="GV319" s="105"/>
      <c r="GW319" s="105"/>
      <c r="GX319" s="105"/>
      <c r="GY319" s="105"/>
      <c r="GZ319" s="105"/>
      <c r="HA319" s="105"/>
      <c r="HB319" s="105"/>
      <c r="HC319" s="105"/>
      <c r="HD319" s="105"/>
      <c r="HE319" s="105"/>
      <c r="HF319" s="105"/>
      <c r="HG319" s="105"/>
      <c r="HH319" s="105"/>
      <c r="HI319" s="105"/>
      <c r="HJ319" s="105"/>
      <c r="HK319" s="105"/>
      <c r="HL319" s="105"/>
      <c r="HM319" s="105"/>
      <c r="HN319" s="105"/>
      <c r="HO319" s="105"/>
      <c r="HP319" s="105"/>
      <c r="HQ319" s="105"/>
      <c r="HR319" s="105"/>
      <c r="HS319" s="105"/>
      <c r="HT319" s="105"/>
      <c r="HU319" s="105"/>
      <c r="HV319" s="105"/>
      <c r="HW319" s="105"/>
      <c r="HX319" s="105"/>
      <c r="HY319" s="105"/>
      <c r="HZ319" s="105"/>
      <c r="IA319" s="105"/>
      <c r="IB319" s="105"/>
      <c r="IC319" s="105"/>
      <c r="ID319" s="105"/>
      <c r="IE319" s="105"/>
      <c r="IF319" s="105"/>
      <c r="IG319" s="105"/>
      <c r="IH319" s="105"/>
      <c r="II319" s="105"/>
      <c r="IJ319" s="105"/>
      <c r="IK319" s="105"/>
      <c r="IL319" s="105"/>
      <c r="IM319" s="105"/>
      <c r="IN319" s="105"/>
      <c r="IO319" s="105"/>
      <c r="IP319" s="105"/>
      <c r="IQ319" s="105"/>
      <c r="IR319" s="105"/>
      <c r="IS319" s="105"/>
    </row>
    <row r="320" spans="1:253">
      <c r="A320" s="116"/>
      <c r="B320" s="105"/>
      <c r="C320" s="116"/>
      <c r="D320" s="116"/>
      <c r="E320" s="116"/>
      <c r="F320" s="116"/>
      <c r="G320" s="116"/>
      <c r="H320" s="116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/>
      <c r="BL320" s="105"/>
      <c r="BM320" s="105"/>
      <c r="BN320" s="105"/>
      <c r="BO320" s="105"/>
      <c r="BP320" s="105"/>
      <c r="BQ320" s="105"/>
      <c r="BR320" s="105"/>
      <c r="BS320" s="105"/>
      <c r="BT320" s="105"/>
      <c r="BU320" s="105"/>
      <c r="BV320" s="105"/>
      <c r="BW320" s="105"/>
      <c r="BX320" s="105"/>
      <c r="BY320" s="105"/>
      <c r="BZ320" s="105"/>
      <c r="CA320" s="105"/>
      <c r="CB320" s="105"/>
      <c r="CC320" s="105"/>
      <c r="CD320" s="105"/>
      <c r="CE320" s="105"/>
      <c r="CF320" s="105"/>
      <c r="CG320" s="105"/>
      <c r="CH320" s="105"/>
      <c r="CI320" s="105"/>
      <c r="CJ320" s="105"/>
      <c r="CK320" s="105"/>
      <c r="CL320" s="105"/>
      <c r="CM320" s="105"/>
      <c r="CN320" s="105"/>
      <c r="CO320" s="105"/>
      <c r="CP320" s="105"/>
      <c r="CQ320" s="105"/>
      <c r="CR320" s="105"/>
      <c r="CS320" s="105"/>
      <c r="CT320" s="105"/>
      <c r="CU320" s="105"/>
      <c r="CV320" s="105"/>
      <c r="CW320" s="105"/>
      <c r="CX320" s="105"/>
      <c r="CY320" s="105"/>
      <c r="CZ320" s="105"/>
      <c r="DA320" s="105"/>
      <c r="DB320" s="105"/>
      <c r="DC320" s="105"/>
      <c r="DD320" s="105"/>
      <c r="DE320" s="105"/>
      <c r="DF320" s="105"/>
      <c r="DG320" s="105"/>
      <c r="DH320" s="105"/>
      <c r="DI320" s="105"/>
      <c r="DJ320" s="105"/>
      <c r="DK320" s="105"/>
      <c r="DL320" s="105"/>
      <c r="DM320" s="105"/>
      <c r="DN320" s="105"/>
      <c r="DO320" s="105"/>
      <c r="DP320" s="105"/>
      <c r="DQ320" s="105"/>
      <c r="DR320" s="105"/>
      <c r="DS320" s="105"/>
      <c r="DT320" s="105"/>
      <c r="DU320" s="105"/>
      <c r="DV320" s="105"/>
      <c r="DW320" s="105"/>
      <c r="DX320" s="105"/>
      <c r="DY320" s="105"/>
      <c r="DZ320" s="105"/>
      <c r="EA320" s="105"/>
      <c r="EB320" s="105"/>
      <c r="EC320" s="105"/>
      <c r="ED320" s="105"/>
      <c r="EE320" s="105"/>
      <c r="EF320" s="105"/>
      <c r="EG320" s="105"/>
      <c r="EH320" s="105"/>
      <c r="EI320" s="105"/>
      <c r="EJ320" s="105"/>
      <c r="EK320" s="105"/>
      <c r="EL320" s="105"/>
      <c r="EM320" s="105"/>
      <c r="EN320" s="105"/>
      <c r="EO320" s="105"/>
      <c r="EP320" s="105"/>
      <c r="EQ320" s="105"/>
      <c r="ER320" s="105"/>
      <c r="ES320" s="105"/>
      <c r="ET320" s="105"/>
      <c r="EU320" s="105"/>
      <c r="EV320" s="105"/>
      <c r="EW320" s="105"/>
      <c r="EX320" s="105"/>
      <c r="EY320" s="105"/>
      <c r="EZ320" s="105"/>
      <c r="FA320" s="105"/>
      <c r="FB320" s="105"/>
      <c r="FC320" s="105"/>
      <c r="FD320" s="105"/>
      <c r="FE320" s="105"/>
      <c r="FF320" s="105"/>
      <c r="FG320" s="105"/>
      <c r="FH320" s="105"/>
      <c r="FI320" s="105"/>
      <c r="FJ320" s="105"/>
      <c r="FK320" s="105"/>
      <c r="FL320" s="105"/>
      <c r="FM320" s="105"/>
      <c r="FN320" s="105"/>
      <c r="FO320" s="105"/>
      <c r="FP320" s="105"/>
      <c r="FQ320" s="105"/>
      <c r="FR320" s="105"/>
      <c r="FS320" s="105"/>
      <c r="FT320" s="105"/>
      <c r="FU320" s="105"/>
      <c r="FV320" s="105"/>
      <c r="FW320" s="105"/>
      <c r="FX320" s="105"/>
      <c r="FY320" s="105"/>
      <c r="FZ320" s="105"/>
      <c r="GA320" s="105"/>
      <c r="GB320" s="105"/>
      <c r="GC320" s="105"/>
      <c r="GD320" s="105"/>
      <c r="GE320" s="105"/>
      <c r="GF320" s="105"/>
      <c r="GG320" s="105"/>
      <c r="GH320" s="105"/>
      <c r="GI320" s="105"/>
      <c r="GJ320" s="105"/>
      <c r="GK320" s="105"/>
      <c r="GL320" s="105"/>
      <c r="GM320" s="105"/>
      <c r="GN320" s="105"/>
      <c r="GO320" s="105"/>
      <c r="GP320" s="105"/>
      <c r="GQ320" s="105"/>
      <c r="GR320" s="105"/>
      <c r="GS320" s="105"/>
      <c r="GT320" s="105"/>
      <c r="GU320" s="105"/>
      <c r="GV320" s="105"/>
      <c r="GW320" s="105"/>
      <c r="GX320" s="105"/>
      <c r="GY320" s="105"/>
      <c r="GZ320" s="105"/>
      <c r="HA320" s="105"/>
      <c r="HB320" s="105"/>
      <c r="HC320" s="105"/>
      <c r="HD320" s="105"/>
      <c r="HE320" s="105"/>
      <c r="HF320" s="105"/>
      <c r="HG320" s="105"/>
      <c r="HH320" s="105"/>
      <c r="HI320" s="105"/>
      <c r="HJ320" s="105"/>
      <c r="HK320" s="105"/>
      <c r="HL320" s="105"/>
      <c r="HM320" s="105"/>
      <c r="HN320" s="105"/>
      <c r="HO320" s="105"/>
      <c r="HP320" s="105"/>
      <c r="HQ320" s="105"/>
      <c r="HR320" s="105"/>
      <c r="HS320" s="105"/>
      <c r="HT320" s="105"/>
      <c r="HU320" s="105"/>
      <c r="HV320" s="105"/>
      <c r="HW320" s="105"/>
      <c r="HX320" s="105"/>
      <c r="HY320" s="105"/>
      <c r="HZ320" s="105"/>
      <c r="IA320" s="105"/>
      <c r="IB320" s="105"/>
      <c r="IC320" s="105"/>
      <c r="ID320" s="105"/>
      <c r="IE320" s="105"/>
      <c r="IF320" s="105"/>
      <c r="IG320" s="105"/>
      <c r="IH320" s="105"/>
      <c r="II320" s="105"/>
      <c r="IJ320" s="105"/>
      <c r="IK320" s="105"/>
      <c r="IL320" s="105"/>
      <c r="IM320" s="105"/>
      <c r="IN320" s="105"/>
      <c r="IO320" s="105"/>
      <c r="IP320" s="105"/>
      <c r="IQ320" s="105"/>
      <c r="IR320" s="105"/>
      <c r="IS320" s="105"/>
    </row>
    <row r="321" spans="1:253">
      <c r="A321" s="116"/>
      <c r="B321" s="105"/>
      <c r="C321" s="116"/>
      <c r="D321" s="116"/>
      <c r="E321" s="116"/>
      <c r="F321" s="116"/>
      <c r="G321" s="116"/>
      <c r="H321" s="116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/>
      <c r="BL321" s="105"/>
      <c r="BM321" s="105"/>
      <c r="BN321" s="105"/>
      <c r="BO321" s="105"/>
      <c r="BP321" s="105"/>
      <c r="BQ321" s="105"/>
      <c r="BR321" s="105"/>
      <c r="BS321" s="105"/>
      <c r="BT321" s="105"/>
      <c r="BU321" s="105"/>
      <c r="BV321" s="105"/>
      <c r="BW321" s="105"/>
      <c r="BX321" s="105"/>
      <c r="BY321" s="105"/>
      <c r="BZ321" s="105"/>
      <c r="CA321" s="105"/>
      <c r="CB321" s="105"/>
      <c r="CC321" s="105"/>
      <c r="CD321" s="105"/>
      <c r="CE321" s="105"/>
      <c r="CF321" s="105"/>
      <c r="CG321" s="105"/>
      <c r="CH321" s="105"/>
      <c r="CI321" s="105"/>
      <c r="CJ321" s="105"/>
      <c r="CK321" s="105"/>
      <c r="CL321" s="105"/>
      <c r="CM321" s="105"/>
      <c r="CN321" s="105"/>
      <c r="CO321" s="105"/>
      <c r="CP321" s="105"/>
      <c r="CQ321" s="105"/>
      <c r="CR321" s="105"/>
      <c r="CS321" s="105"/>
      <c r="CT321" s="105"/>
      <c r="CU321" s="105"/>
      <c r="CV321" s="105"/>
      <c r="CW321" s="105"/>
      <c r="CX321" s="105"/>
      <c r="CY321" s="105"/>
      <c r="CZ321" s="105"/>
      <c r="DA321" s="105"/>
      <c r="DB321" s="105"/>
      <c r="DC321" s="105"/>
      <c r="DD321" s="105"/>
      <c r="DE321" s="105"/>
      <c r="DF321" s="105"/>
      <c r="DG321" s="105"/>
      <c r="DH321" s="105"/>
      <c r="DI321" s="105"/>
      <c r="DJ321" s="105"/>
      <c r="DK321" s="105"/>
      <c r="DL321" s="105"/>
      <c r="DM321" s="105"/>
      <c r="DN321" s="105"/>
      <c r="DO321" s="105"/>
      <c r="DP321" s="105"/>
      <c r="DQ321" s="105"/>
      <c r="DR321" s="105"/>
      <c r="DS321" s="105"/>
      <c r="DT321" s="105"/>
      <c r="DU321" s="105"/>
      <c r="DV321" s="105"/>
      <c r="DW321" s="105"/>
      <c r="DX321" s="105"/>
      <c r="DY321" s="105"/>
      <c r="DZ321" s="105"/>
      <c r="EA321" s="105"/>
      <c r="EB321" s="105"/>
      <c r="EC321" s="105"/>
      <c r="ED321" s="105"/>
      <c r="EE321" s="105"/>
      <c r="EF321" s="105"/>
      <c r="EG321" s="105"/>
      <c r="EH321" s="105"/>
      <c r="EI321" s="105"/>
      <c r="EJ321" s="105"/>
      <c r="EK321" s="105"/>
      <c r="EL321" s="105"/>
      <c r="EM321" s="105"/>
      <c r="EN321" s="105"/>
      <c r="EO321" s="105"/>
      <c r="EP321" s="105"/>
      <c r="EQ321" s="105"/>
      <c r="ER321" s="105"/>
      <c r="ES321" s="105"/>
      <c r="ET321" s="105"/>
      <c r="EU321" s="105"/>
      <c r="EV321" s="105"/>
      <c r="EW321" s="105"/>
      <c r="EX321" s="105"/>
      <c r="EY321" s="105"/>
      <c r="EZ321" s="105"/>
      <c r="FA321" s="105"/>
      <c r="FB321" s="105"/>
      <c r="FC321" s="105"/>
      <c r="FD321" s="105"/>
      <c r="FE321" s="105"/>
      <c r="FF321" s="105"/>
      <c r="FG321" s="105"/>
      <c r="FH321" s="105"/>
      <c r="FI321" s="105"/>
      <c r="FJ321" s="105"/>
      <c r="FK321" s="105"/>
      <c r="FL321" s="105"/>
      <c r="FM321" s="105"/>
      <c r="FN321" s="105"/>
      <c r="FO321" s="105"/>
      <c r="FP321" s="105"/>
      <c r="FQ321" s="105"/>
      <c r="FR321" s="105"/>
      <c r="FS321" s="105"/>
      <c r="FT321" s="105"/>
      <c r="FU321" s="105"/>
      <c r="FV321" s="105"/>
      <c r="FW321" s="105"/>
      <c r="FX321" s="105"/>
      <c r="FY321" s="105"/>
      <c r="FZ321" s="105"/>
      <c r="GA321" s="105"/>
      <c r="GB321" s="105"/>
      <c r="GC321" s="105"/>
      <c r="GD321" s="105"/>
      <c r="GE321" s="105"/>
      <c r="GF321" s="105"/>
      <c r="GG321" s="105"/>
      <c r="GH321" s="105"/>
      <c r="GI321" s="105"/>
      <c r="GJ321" s="105"/>
      <c r="GK321" s="105"/>
      <c r="GL321" s="105"/>
      <c r="GM321" s="105"/>
      <c r="GN321" s="105"/>
      <c r="GO321" s="105"/>
      <c r="GP321" s="105"/>
      <c r="GQ321" s="105"/>
      <c r="GR321" s="105"/>
      <c r="GS321" s="105"/>
      <c r="GT321" s="105"/>
      <c r="GU321" s="105"/>
      <c r="GV321" s="105"/>
      <c r="GW321" s="105"/>
      <c r="GX321" s="105"/>
      <c r="GY321" s="105"/>
      <c r="GZ321" s="105"/>
      <c r="HA321" s="105"/>
      <c r="HB321" s="105"/>
      <c r="HC321" s="105"/>
      <c r="HD321" s="105"/>
      <c r="HE321" s="105"/>
      <c r="HF321" s="105"/>
      <c r="HG321" s="105"/>
      <c r="HH321" s="105"/>
      <c r="HI321" s="105"/>
      <c r="HJ321" s="105"/>
      <c r="HK321" s="105"/>
      <c r="HL321" s="105"/>
      <c r="HM321" s="105"/>
      <c r="HN321" s="105"/>
      <c r="HO321" s="105"/>
      <c r="HP321" s="105"/>
      <c r="HQ321" s="105"/>
      <c r="HR321" s="105"/>
      <c r="HS321" s="105"/>
      <c r="HT321" s="105"/>
      <c r="HU321" s="105"/>
      <c r="HV321" s="105"/>
      <c r="HW321" s="105"/>
      <c r="HX321" s="105"/>
      <c r="HY321" s="105"/>
      <c r="HZ321" s="105"/>
      <c r="IA321" s="105"/>
      <c r="IB321" s="105"/>
      <c r="IC321" s="105"/>
      <c r="ID321" s="105"/>
      <c r="IE321" s="105"/>
      <c r="IF321" s="105"/>
      <c r="IG321" s="105"/>
      <c r="IH321" s="105"/>
      <c r="II321" s="105"/>
      <c r="IJ321" s="105"/>
      <c r="IK321" s="105"/>
      <c r="IL321" s="105"/>
      <c r="IM321" s="105"/>
      <c r="IN321" s="105"/>
      <c r="IO321" s="105"/>
      <c r="IP321" s="105"/>
      <c r="IQ321" s="105"/>
      <c r="IR321" s="105"/>
      <c r="IS321" s="105"/>
    </row>
    <row r="322" spans="1:253">
      <c r="A322" s="116"/>
      <c r="B322" s="105"/>
      <c r="C322" s="116"/>
      <c r="D322" s="116"/>
      <c r="E322" s="116"/>
      <c r="F322" s="116"/>
      <c r="G322" s="116"/>
      <c r="H322" s="116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/>
      <c r="BL322" s="105"/>
      <c r="BM322" s="105"/>
      <c r="BN322" s="105"/>
      <c r="BO322" s="105"/>
      <c r="BP322" s="105"/>
      <c r="BQ322" s="105"/>
      <c r="BR322" s="105"/>
      <c r="BS322" s="105"/>
      <c r="BT322" s="105"/>
      <c r="BU322" s="105"/>
      <c r="BV322" s="105"/>
      <c r="BW322" s="105"/>
      <c r="BX322" s="105"/>
      <c r="BY322" s="105"/>
      <c r="BZ322" s="105"/>
      <c r="CA322" s="105"/>
      <c r="CB322" s="105"/>
      <c r="CC322" s="105"/>
      <c r="CD322" s="105"/>
      <c r="CE322" s="105"/>
      <c r="CF322" s="105"/>
      <c r="CG322" s="105"/>
      <c r="CH322" s="105"/>
      <c r="CI322" s="105"/>
      <c r="CJ322" s="105"/>
      <c r="CK322" s="105"/>
      <c r="CL322" s="105"/>
      <c r="CM322" s="105"/>
      <c r="CN322" s="105"/>
      <c r="CO322" s="105"/>
      <c r="CP322" s="105"/>
      <c r="CQ322" s="105"/>
      <c r="CR322" s="105"/>
      <c r="CS322" s="105"/>
      <c r="CT322" s="105"/>
      <c r="CU322" s="105"/>
      <c r="CV322" s="105"/>
      <c r="CW322" s="105"/>
      <c r="CX322" s="105"/>
      <c r="CY322" s="105"/>
      <c r="CZ322" s="105"/>
      <c r="DA322" s="105"/>
      <c r="DB322" s="105"/>
      <c r="DC322" s="105"/>
      <c r="DD322" s="105"/>
      <c r="DE322" s="105"/>
      <c r="DF322" s="105"/>
      <c r="DG322" s="105"/>
      <c r="DH322" s="105"/>
      <c r="DI322" s="105"/>
      <c r="DJ322" s="105"/>
      <c r="DK322" s="105"/>
      <c r="DL322" s="105"/>
      <c r="DM322" s="105"/>
      <c r="DN322" s="105"/>
      <c r="DO322" s="105"/>
      <c r="DP322" s="105"/>
      <c r="DQ322" s="105"/>
      <c r="DR322" s="105"/>
      <c r="DS322" s="105"/>
      <c r="DT322" s="105"/>
      <c r="DU322" s="105"/>
      <c r="DV322" s="105"/>
      <c r="DW322" s="105"/>
      <c r="DX322" s="105"/>
      <c r="DY322" s="105"/>
      <c r="DZ322" s="105"/>
      <c r="EA322" s="105"/>
      <c r="EB322" s="105"/>
      <c r="EC322" s="105"/>
      <c r="ED322" s="105"/>
      <c r="EE322" s="105"/>
      <c r="EF322" s="105"/>
      <c r="EG322" s="105"/>
      <c r="EH322" s="105"/>
      <c r="EI322" s="105"/>
      <c r="EJ322" s="105"/>
      <c r="EK322" s="105"/>
      <c r="EL322" s="105"/>
      <c r="EM322" s="105"/>
      <c r="EN322" s="105"/>
      <c r="EO322" s="105"/>
      <c r="EP322" s="105"/>
      <c r="EQ322" s="105"/>
      <c r="ER322" s="105"/>
      <c r="ES322" s="105"/>
      <c r="ET322" s="105"/>
      <c r="EU322" s="105"/>
      <c r="EV322" s="105"/>
      <c r="EW322" s="105"/>
      <c r="EX322" s="105"/>
      <c r="EY322" s="105"/>
      <c r="EZ322" s="105"/>
      <c r="FA322" s="105"/>
      <c r="FB322" s="105"/>
      <c r="FC322" s="105"/>
      <c r="FD322" s="105"/>
      <c r="FE322" s="105"/>
      <c r="FF322" s="105"/>
      <c r="FG322" s="105"/>
      <c r="FH322" s="105"/>
      <c r="FI322" s="105"/>
      <c r="FJ322" s="105"/>
      <c r="FK322" s="105"/>
      <c r="FL322" s="105"/>
      <c r="FM322" s="105"/>
      <c r="FN322" s="105"/>
      <c r="FO322" s="105"/>
      <c r="FP322" s="105"/>
      <c r="FQ322" s="105"/>
      <c r="FR322" s="105"/>
      <c r="FS322" s="105"/>
      <c r="FT322" s="105"/>
      <c r="FU322" s="105"/>
      <c r="FV322" s="105"/>
      <c r="FW322" s="105"/>
      <c r="FX322" s="105"/>
      <c r="FY322" s="105"/>
      <c r="FZ322" s="105"/>
      <c r="GA322" s="105"/>
      <c r="GB322" s="105"/>
      <c r="GC322" s="105"/>
      <c r="GD322" s="105"/>
      <c r="GE322" s="105"/>
      <c r="GF322" s="105"/>
      <c r="GG322" s="105"/>
      <c r="GH322" s="105"/>
      <c r="GI322" s="105"/>
      <c r="GJ322" s="105"/>
      <c r="GK322" s="105"/>
      <c r="GL322" s="105"/>
      <c r="GM322" s="105"/>
      <c r="GN322" s="105"/>
      <c r="GO322" s="105"/>
      <c r="GP322" s="105"/>
      <c r="GQ322" s="105"/>
      <c r="GR322" s="105"/>
      <c r="GS322" s="105"/>
      <c r="GT322" s="105"/>
      <c r="GU322" s="105"/>
      <c r="GV322" s="105"/>
      <c r="GW322" s="105"/>
      <c r="GX322" s="105"/>
      <c r="GY322" s="105"/>
      <c r="GZ322" s="105"/>
      <c r="HA322" s="105"/>
      <c r="HB322" s="105"/>
      <c r="HC322" s="105"/>
      <c r="HD322" s="105"/>
      <c r="HE322" s="105"/>
      <c r="HF322" s="105"/>
      <c r="HG322" s="105"/>
      <c r="HH322" s="105"/>
      <c r="HI322" s="105"/>
      <c r="HJ322" s="105"/>
      <c r="HK322" s="105"/>
      <c r="HL322" s="105"/>
      <c r="HM322" s="105"/>
      <c r="HN322" s="105"/>
      <c r="HO322" s="105"/>
      <c r="HP322" s="105"/>
      <c r="HQ322" s="105"/>
      <c r="HR322" s="105"/>
      <c r="HS322" s="105"/>
      <c r="HT322" s="105"/>
      <c r="HU322" s="105"/>
      <c r="HV322" s="105"/>
      <c r="HW322" s="105"/>
      <c r="HX322" s="105"/>
      <c r="HY322" s="105"/>
      <c r="HZ322" s="105"/>
      <c r="IA322" s="105"/>
      <c r="IB322" s="105"/>
      <c r="IC322" s="105"/>
      <c r="ID322" s="105"/>
      <c r="IE322" s="105"/>
      <c r="IF322" s="105"/>
      <c r="IG322" s="105"/>
      <c r="IH322" s="105"/>
      <c r="II322" s="105"/>
      <c r="IJ322" s="105"/>
      <c r="IK322" s="105"/>
      <c r="IL322" s="105"/>
      <c r="IM322" s="105"/>
      <c r="IN322" s="105"/>
      <c r="IO322" s="105"/>
      <c r="IP322" s="105"/>
      <c r="IQ322" s="105"/>
      <c r="IR322" s="105"/>
      <c r="IS322" s="105"/>
    </row>
    <row r="323" spans="1:253">
      <c r="A323" s="116"/>
      <c r="B323" s="105"/>
      <c r="C323" s="116"/>
      <c r="D323" s="116"/>
      <c r="E323" s="116"/>
      <c r="F323" s="116"/>
      <c r="G323" s="116"/>
      <c r="H323" s="116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  <c r="BL323" s="105"/>
      <c r="BM323" s="105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5"/>
      <c r="BY323" s="105"/>
      <c r="BZ323" s="105"/>
      <c r="CA323" s="105"/>
      <c r="CB323" s="105"/>
      <c r="CC323" s="105"/>
      <c r="CD323" s="105"/>
      <c r="CE323" s="105"/>
      <c r="CF323" s="105"/>
      <c r="CG323" s="105"/>
      <c r="CH323" s="105"/>
      <c r="CI323" s="105"/>
      <c r="CJ323" s="105"/>
      <c r="CK323" s="105"/>
      <c r="CL323" s="105"/>
      <c r="CM323" s="105"/>
      <c r="CN323" s="105"/>
      <c r="CO323" s="105"/>
      <c r="CP323" s="105"/>
      <c r="CQ323" s="105"/>
      <c r="CR323" s="105"/>
      <c r="CS323" s="105"/>
      <c r="CT323" s="105"/>
      <c r="CU323" s="105"/>
      <c r="CV323" s="105"/>
      <c r="CW323" s="105"/>
      <c r="CX323" s="105"/>
      <c r="CY323" s="105"/>
      <c r="CZ323" s="105"/>
      <c r="DA323" s="105"/>
      <c r="DB323" s="105"/>
      <c r="DC323" s="105"/>
      <c r="DD323" s="105"/>
      <c r="DE323" s="105"/>
      <c r="DF323" s="105"/>
      <c r="DG323" s="105"/>
      <c r="DH323" s="105"/>
      <c r="DI323" s="105"/>
      <c r="DJ323" s="105"/>
      <c r="DK323" s="105"/>
      <c r="DL323" s="105"/>
      <c r="DM323" s="105"/>
      <c r="DN323" s="105"/>
      <c r="DO323" s="105"/>
      <c r="DP323" s="105"/>
      <c r="DQ323" s="105"/>
      <c r="DR323" s="105"/>
      <c r="DS323" s="105"/>
      <c r="DT323" s="105"/>
      <c r="DU323" s="105"/>
      <c r="DV323" s="105"/>
      <c r="DW323" s="105"/>
      <c r="DX323" s="105"/>
      <c r="DY323" s="105"/>
      <c r="DZ323" s="105"/>
      <c r="EA323" s="105"/>
      <c r="EB323" s="105"/>
      <c r="EC323" s="105"/>
      <c r="ED323" s="105"/>
      <c r="EE323" s="105"/>
      <c r="EF323" s="105"/>
      <c r="EG323" s="105"/>
      <c r="EH323" s="105"/>
      <c r="EI323" s="105"/>
      <c r="EJ323" s="105"/>
      <c r="EK323" s="105"/>
      <c r="EL323" s="105"/>
      <c r="EM323" s="105"/>
      <c r="EN323" s="105"/>
      <c r="EO323" s="105"/>
      <c r="EP323" s="105"/>
      <c r="EQ323" s="105"/>
      <c r="ER323" s="105"/>
      <c r="ES323" s="105"/>
      <c r="ET323" s="105"/>
      <c r="EU323" s="105"/>
      <c r="EV323" s="105"/>
      <c r="EW323" s="105"/>
      <c r="EX323" s="105"/>
      <c r="EY323" s="105"/>
      <c r="EZ323" s="105"/>
      <c r="FA323" s="105"/>
      <c r="FB323" s="105"/>
      <c r="FC323" s="105"/>
      <c r="FD323" s="105"/>
      <c r="FE323" s="105"/>
      <c r="FF323" s="105"/>
      <c r="FG323" s="105"/>
      <c r="FH323" s="105"/>
      <c r="FI323" s="105"/>
      <c r="FJ323" s="105"/>
      <c r="FK323" s="105"/>
      <c r="FL323" s="105"/>
      <c r="FM323" s="105"/>
      <c r="FN323" s="105"/>
      <c r="FO323" s="105"/>
      <c r="FP323" s="105"/>
      <c r="FQ323" s="105"/>
      <c r="FR323" s="105"/>
      <c r="FS323" s="105"/>
      <c r="FT323" s="105"/>
      <c r="FU323" s="105"/>
      <c r="FV323" s="105"/>
      <c r="FW323" s="105"/>
      <c r="FX323" s="105"/>
      <c r="FY323" s="105"/>
      <c r="FZ323" s="105"/>
      <c r="GA323" s="105"/>
      <c r="GB323" s="105"/>
      <c r="GC323" s="105"/>
      <c r="GD323" s="105"/>
      <c r="GE323" s="105"/>
      <c r="GF323" s="105"/>
      <c r="GG323" s="105"/>
      <c r="GH323" s="105"/>
      <c r="GI323" s="105"/>
      <c r="GJ323" s="105"/>
      <c r="GK323" s="105"/>
      <c r="GL323" s="105"/>
      <c r="GM323" s="105"/>
      <c r="GN323" s="105"/>
      <c r="GO323" s="105"/>
      <c r="GP323" s="105"/>
      <c r="GQ323" s="105"/>
      <c r="GR323" s="105"/>
      <c r="GS323" s="105"/>
      <c r="GT323" s="105"/>
      <c r="GU323" s="105"/>
      <c r="GV323" s="105"/>
      <c r="GW323" s="105"/>
      <c r="GX323" s="105"/>
      <c r="GY323" s="105"/>
      <c r="GZ323" s="105"/>
      <c r="HA323" s="105"/>
      <c r="HB323" s="105"/>
      <c r="HC323" s="105"/>
      <c r="HD323" s="105"/>
      <c r="HE323" s="105"/>
      <c r="HF323" s="105"/>
      <c r="HG323" s="105"/>
      <c r="HH323" s="105"/>
      <c r="HI323" s="105"/>
      <c r="HJ323" s="105"/>
      <c r="HK323" s="105"/>
      <c r="HL323" s="105"/>
      <c r="HM323" s="105"/>
      <c r="HN323" s="105"/>
      <c r="HO323" s="105"/>
      <c r="HP323" s="105"/>
      <c r="HQ323" s="105"/>
      <c r="HR323" s="105"/>
      <c r="HS323" s="105"/>
      <c r="HT323" s="105"/>
      <c r="HU323" s="105"/>
      <c r="HV323" s="105"/>
      <c r="HW323" s="105"/>
      <c r="HX323" s="105"/>
      <c r="HY323" s="105"/>
      <c r="HZ323" s="105"/>
      <c r="IA323" s="105"/>
      <c r="IB323" s="105"/>
      <c r="IC323" s="105"/>
      <c r="ID323" s="105"/>
      <c r="IE323" s="105"/>
      <c r="IF323" s="105"/>
      <c r="IG323" s="105"/>
      <c r="IH323" s="105"/>
      <c r="II323" s="105"/>
      <c r="IJ323" s="105"/>
      <c r="IK323" s="105"/>
      <c r="IL323" s="105"/>
      <c r="IM323" s="105"/>
      <c r="IN323" s="105"/>
      <c r="IO323" s="105"/>
      <c r="IP323" s="105"/>
      <c r="IQ323" s="105"/>
      <c r="IR323" s="105"/>
      <c r="IS323" s="105"/>
    </row>
    <row r="324" spans="1:253">
      <c r="A324" s="116"/>
      <c r="B324" s="105"/>
      <c r="C324" s="116"/>
      <c r="D324" s="116"/>
      <c r="E324" s="116"/>
      <c r="F324" s="116"/>
      <c r="G324" s="116"/>
      <c r="H324" s="116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5"/>
      <c r="BK324" s="105"/>
      <c r="BL324" s="105"/>
      <c r="BM324" s="105"/>
      <c r="BN324" s="105"/>
      <c r="BO324" s="105"/>
      <c r="BP324" s="105"/>
      <c r="BQ324" s="105"/>
      <c r="BR324" s="105"/>
      <c r="BS324" s="105"/>
      <c r="BT324" s="105"/>
      <c r="BU324" s="105"/>
      <c r="BV324" s="105"/>
      <c r="BW324" s="105"/>
      <c r="BX324" s="105"/>
      <c r="BY324" s="105"/>
      <c r="BZ324" s="105"/>
      <c r="CA324" s="105"/>
      <c r="CB324" s="105"/>
      <c r="CC324" s="105"/>
      <c r="CD324" s="105"/>
      <c r="CE324" s="105"/>
      <c r="CF324" s="105"/>
      <c r="CG324" s="105"/>
      <c r="CH324" s="105"/>
      <c r="CI324" s="105"/>
      <c r="CJ324" s="105"/>
      <c r="CK324" s="105"/>
      <c r="CL324" s="105"/>
      <c r="CM324" s="105"/>
      <c r="CN324" s="105"/>
      <c r="CO324" s="105"/>
      <c r="CP324" s="105"/>
      <c r="CQ324" s="105"/>
      <c r="CR324" s="105"/>
      <c r="CS324" s="105"/>
      <c r="CT324" s="105"/>
      <c r="CU324" s="105"/>
      <c r="CV324" s="105"/>
      <c r="CW324" s="105"/>
      <c r="CX324" s="105"/>
      <c r="CY324" s="105"/>
      <c r="CZ324" s="105"/>
      <c r="DA324" s="105"/>
      <c r="DB324" s="105"/>
      <c r="DC324" s="105"/>
      <c r="DD324" s="105"/>
      <c r="DE324" s="105"/>
      <c r="DF324" s="105"/>
      <c r="DG324" s="105"/>
      <c r="DH324" s="105"/>
      <c r="DI324" s="105"/>
      <c r="DJ324" s="105"/>
      <c r="DK324" s="105"/>
      <c r="DL324" s="105"/>
      <c r="DM324" s="105"/>
      <c r="DN324" s="105"/>
      <c r="DO324" s="105"/>
      <c r="DP324" s="105"/>
      <c r="DQ324" s="105"/>
      <c r="DR324" s="105"/>
      <c r="DS324" s="105"/>
      <c r="DT324" s="105"/>
      <c r="DU324" s="105"/>
      <c r="DV324" s="105"/>
      <c r="DW324" s="105"/>
      <c r="DX324" s="105"/>
      <c r="DY324" s="105"/>
      <c r="DZ324" s="105"/>
      <c r="EA324" s="105"/>
      <c r="EB324" s="105"/>
      <c r="EC324" s="105"/>
      <c r="ED324" s="105"/>
      <c r="EE324" s="105"/>
      <c r="EF324" s="105"/>
      <c r="EG324" s="105"/>
      <c r="EH324" s="105"/>
      <c r="EI324" s="105"/>
      <c r="EJ324" s="105"/>
      <c r="EK324" s="105"/>
      <c r="EL324" s="105"/>
      <c r="EM324" s="105"/>
      <c r="EN324" s="105"/>
      <c r="EO324" s="105"/>
      <c r="EP324" s="105"/>
      <c r="EQ324" s="105"/>
      <c r="ER324" s="105"/>
      <c r="ES324" s="105"/>
      <c r="ET324" s="105"/>
      <c r="EU324" s="105"/>
      <c r="EV324" s="105"/>
      <c r="EW324" s="105"/>
      <c r="EX324" s="105"/>
      <c r="EY324" s="105"/>
      <c r="EZ324" s="105"/>
      <c r="FA324" s="105"/>
      <c r="FB324" s="105"/>
      <c r="FC324" s="105"/>
      <c r="FD324" s="105"/>
      <c r="FE324" s="105"/>
      <c r="FF324" s="105"/>
      <c r="FG324" s="105"/>
      <c r="FH324" s="105"/>
      <c r="FI324" s="105"/>
      <c r="FJ324" s="105"/>
      <c r="FK324" s="105"/>
      <c r="FL324" s="105"/>
      <c r="FM324" s="105"/>
      <c r="FN324" s="105"/>
      <c r="FO324" s="105"/>
      <c r="FP324" s="105"/>
      <c r="FQ324" s="105"/>
      <c r="FR324" s="105"/>
      <c r="FS324" s="105"/>
      <c r="FT324" s="105"/>
      <c r="FU324" s="105"/>
      <c r="FV324" s="105"/>
      <c r="FW324" s="105"/>
      <c r="FX324" s="105"/>
      <c r="FY324" s="105"/>
      <c r="FZ324" s="105"/>
      <c r="GA324" s="105"/>
      <c r="GB324" s="105"/>
      <c r="GC324" s="105"/>
      <c r="GD324" s="105"/>
      <c r="GE324" s="105"/>
      <c r="GF324" s="105"/>
      <c r="GG324" s="105"/>
      <c r="GH324" s="105"/>
      <c r="GI324" s="105"/>
      <c r="GJ324" s="105"/>
      <c r="GK324" s="105"/>
      <c r="GL324" s="105"/>
      <c r="GM324" s="105"/>
      <c r="GN324" s="105"/>
      <c r="GO324" s="105"/>
      <c r="GP324" s="105"/>
      <c r="GQ324" s="105"/>
      <c r="GR324" s="105"/>
      <c r="GS324" s="105"/>
      <c r="GT324" s="105"/>
      <c r="GU324" s="105"/>
      <c r="GV324" s="105"/>
      <c r="GW324" s="105"/>
      <c r="GX324" s="105"/>
      <c r="GY324" s="105"/>
      <c r="GZ324" s="105"/>
      <c r="HA324" s="105"/>
      <c r="HB324" s="105"/>
      <c r="HC324" s="105"/>
      <c r="HD324" s="105"/>
      <c r="HE324" s="105"/>
      <c r="HF324" s="105"/>
      <c r="HG324" s="105"/>
      <c r="HH324" s="105"/>
      <c r="HI324" s="105"/>
      <c r="HJ324" s="105"/>
      <c r="HK324" s="105"/>
      <c r="HL324" s="105"/>
      <c r="HM324" s="105"/>
      <c r="HN324" s="105"/>
      <c r="HO324" s="105"/>
      <c r="HP324" s="105"/>
      <c r="HQ324" s="105"/>
      <c r="HR324" s="105"/>
      <c r="HS324" s="105"/>
      <c r="HT324" s="105"/>
      <c r="HU324" s="105"/>
      <c r="HV324" s="105"/>
      <c r="HW324" s="105"/>
      <c r="HX324" s="105"/>
      <c r="HY324" s="105"/>
      <c r="HZ324" s="105"/>
      <c r="IA324" s="105"/>
      <c r="IB324" s="105"/>
      <c r="IC324" s="105"/>
      <c r="ID324" s="105"/>
      <c r="IE324" s="105"/>
      <c r="IF324" s="105"/>
      <c r="IG324" s="105"/>
      <c r="IH324" s="105"/>
      <c r="II324" s="105"/>
      <c r="IJ324" s="105"/>
      <c r="IK324" s="105"/>
      <c r="IL324" s="105"/>
      <c r="IM324" s="105"/>
      <c r="IN324" s="105"/>
      <c r="IO324" s="105"/>
      <c r="IP324" s="105"/>
      <c r="IQ324" s="105"/>
      <c r="IR324" s="105"/>
      <c r="IS324" s="105"/>
    </row>
    <row r="325" spans="1:253">
      <c r="A325" s="116"/>
      <c r="B325" s="105"/>
      <c r="C325" s="116"/>
      <c r="D325" s="116"/>
      <c r="E325" s="116"/>
      <c r="F325" s="116"/>
      <c r="G325" s="116"/>
      <c r="H325" s="116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05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05"/>
      <c r="BX325" s="105"/>
      <c r="BY325" s="105"/>
      <c r="BZ325" s="105"/>
      <c r="CA325" s="105"/>
      <c r="CB325" s="105"/>
      <c r="CC325" s="105"/>
      <c r="CD325" s="105"/>
      <c r="CE325" s="105"/>
      <c r="CF325" s="105"/>
      <c r="CG325" s="105"/>
      <c r="CH325" s="105"/>
      <c r="CI325" s="105"/>
      <c r="CJ325" s="105"/>
      <c r="CK325" s="105"/>
      <c r="CL325" s="105"/>
      <c r="CM325" s="105"/>
      <c r="CN325" s="105"/>
      <c r="CO325" s="105"/>
      <c r="CP325" s="105"/>
      <c r="CQ325" s="105"/>
      <c r="CR325" s="105"/>
      <c r="CS325" s="105"/>
      <c r="CT325" s="105"/>
      <c r="CU325" s="105"/>
      <c r="CV325" s="105"/>
      <c r="CW325" s="105"/>
      <c r="CX325" s="105"/>
      <c r="CY325" s="105"/>
      <c r="CZ325" s="105"/>
      <c r="DA325" s="105"/>
      <c r="DB325" s="105"/>
      <c r="DC325" s="105"/>
      <c r="DD325" s="105"/>
      <c r="DE325" s="105"/>
      <c r="DF325" s="105"/>
      <c r="DG325" s="105"/>
      <c r="DH325" s="105"/>
      <c r="DI325" s="105"/>
      <c r="DJ325" s="105"/>
      <c r="DK325" s="105"/>
      <c r="DL325" s="105"/>
      <c r="DM325" s="105"/>
      <c r="DN325" s="105"/>
      <c r="DO325" s="105"/>
      <c r="DP325" s="105"/>
      <c r="DQ325" s="105"/>
      <c r="DR325" s="105"/>
      <c r="DS325" s="105"/>
      <c r="DT325" s="105"/>
      <c r="DU325" s="105"/>
      <c r="DV325" s="105"/>
      <c r="DW325" s="105"/>
      <c r="DX325" s="105"/>
      <c r="DY325" s="105"/>
      <c r="DZ325" s="105"/>
      <c r="EA325" s="105"/>
      <c r="EB325" s="105"/>
      <c r="EC325" s="105"/>
      <c r="ED325" s="105"/>
      <c r="EE325" s="105"/>
      <c r="EF325" s="105"/>
      <c r="EG325" s="105"/>
      <c r="EH325" s="105"/>
      <c r="EI325" s="105"/>
      <c r="EJ325" s="105"/>
      <c r="EK325" s="105"/>
      <c r="EL325" s="105"/>
      <c r="EM325" s="105"/>
      <c r="EN325" s="105"/>
      <c r="EO325" s="105"/>
      <c r="EP325" s="105"/>
      <c r="EQ325" s="105"/>
      <c r="ER325" s="105"/>
      <c r="ES325" s="105"/>
      <c r="ET325" s="105"/>
      <c r="EU325" s="105"/>
      <c r="EV325" s="105"/>
      <c r="EW325" s="105"/>
      <c r="EX325" s="105"/>
      <c r="EY325" s="105"/>
      <c r="EZ325" s="105"/>
      <c r="FA325" s="105"/>
      <c r="FB325" s="105"/>
      <c r="FC325" s="105"/>
      <c r="FD325" s="105"/>
      <c r="FE325" s="105"/>
      <c r="FF325" s="105"/>
      <c r="FG325" s="105"/>
      <c r="FH325" s="105"/>
      <c r="FI325" s="105"/>
      <c r="FJ325" s="105"/>
      <c r="FK325" s="105"/>
      <c r="FL325" s="105"/>
      <c r="FM325" s="105"/>
      <c r="FN325" s="105"/>
      <c r="FO325" s="105"/>
      <c r="FP325" s="105"/>
      <c r="FQ325" s="105"/>
      <c r="FR325" s="105"/>
      <c r="FS325" s="105"/>
      <c r="FT325" s="105"/>
      <c r="FU325" s="105"/>
      <c r="FV325" s="105"/>
      <c r="FW325" s="105"/>
      <c r="FX325" s="105"/>
      <c r="FY325" s="105"/>
      <c r="FZ325" s="105"/>
      <c r="GA325" s="105"/>
      <c r="GB325" s="105"/>
      <c r="GC325" s="105"/>
      <c r="GD325" s="105"/>
      <c r="GE325" s="105"/>
      <c r="GF325" s="105"/>
      <c r="GG325" s="105"/>
      <c r="GH325" s="105"/>
      <c r="GI325" s="105"/>
      <c r="GJ325" s="105"/>
      <c r="GK325" s="105"/>
      <c r="GL325" s="105"/>
      <c r="GM325" s="105"/>
      <c r="GN325" s="105"/>
      <c r="GO325" s="105"/>
      <c r="GP325" s="105"/>
      <c r="GQ325" s="105"/>
      <c r="GR325" s="105"/>
      <c r="GS325" s="105"/>
      <c r="GT325" s="105"/>
      <c r="GU325" s="105"/>
      <c r="GV325" s="105"/>
      <c r="GW325" s="105"/>
      <c r="GX325" s="105"/>
      <c r="GY325" s="105"/>
      <c r="GZ325" s="105"/>
      <c r="HA325" s="105"/>
      <c r="HB325" s="105"/>
      <c r="HC325" s="105"/>
      <c r="HD325" s="105"/>
      <c r="HE325" s="105"/>
      <c r="HF325" s="105"/>
      <c r="HG325" s="105"/>
      <c r="HH325" s="105"/>
      <c r="HI325" s="105"/>
      <c r="HJ325" s="105"/>
      <c r="HK325" s="105"/>
      <c r="HL325" s="105"/>
      <c r="HM325" s="105"/>
      <c r="HN325" s="105"/>
      <c r="HO325" s="105"/>
      <c r="HP325" s="105"/>
      <c r="HQ325" s="105"/>
      <c r="HR325" s="105"/>
      <c r="HS325" s="105"/>
      <c r="HT325" s="105"/>
      <c r="HU325" s="105"/>
      <c r="HV325" s="105"/>
      <c r="HW325" s="105"/>
      <c r="HX325" s="105"/>
      <c r="HY325" s="105"/>
      <c r="HZ325" s="105"/>
      <c r="IA325" s="105"/>
      <c r="IB325" s="105"/>
      <c r="IC325" s="105"/>
      <c r="ID325" s="105"/>
      <c r="IE325" s="105"/>
      <c r="IF325" s="105"/>
      <c r="IG325" s="105"/>
      <c r="IH325" s="105"/>
      <c r="II325" s="105"/>
      <c r="IJ325" s="105"/>
      <c r="IK325" s="105"/>
      <c r="IL325" s="105"/>
      <c r="IM325" s="105"/>
      <c r="IN325" s="105"/>
      <c r="IO325" s="105"/>
      <c r="IP325" s="105"/>
      <c r="IQ325" s="105"/>
      <c r="IR325" s="105"/>
      <c r="IS325" s="105"/>
    </row>
    <row r="326" spans="1:253">
      <c r="A326" s="116"/>
      <c r="B326" s="105"/>
      <c r="C326" s="116"/>
      <c r="D326" s="116"/>
      <c r="E326" s="116"/>
      <c r="F326" s="116"/>
      <c r="G326" s="116"/>
      <c r="H326" s="116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05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05"/>
      <c r="BX326" s="105"/>
      <c r="BY326" s="105"/>
      <c r="BZ326" s="105"/>
      <c r="CA326" s="105"/>
      <c r="CB326" s="105"/>
      <c r="CC326" s="105"/>
      <c r="CD326" s="105"/>
      <c r="CE326" s="105"/>
      <c r="CF326" s="105"/>
      <c r="CG326" s="105"/>
      <c r="CH326" s="105"/>
      <c r="CI326" s="105"/>
      <c r="CJ326" s="105"/>
      <c r="CK326" s="105"/>
      <c r="CL326" s="105"/>
      <c r="CM326" s="105"/>
      <c r="CN326" s="105"/>
      <c r="CO326" s="105"/>
      <c r="CP326" s="105"/>
      <c r="CQ326" s="105"/>
      <c r="CR326" s="105"/>
      <c r="CS326" s="105"/>
      <c r="CT326" s="105"/>
      <c r="CU326" s="105"/>
      <c r="CV326" s="105"/>
      <c r="CW326" s="105"/>
      <c r="CX326" s="105"/>
      <c r="CY326" s="105"/>
      <c r="CZ326" s="105"/>
      <c r="DA326" s="105"/>
      <c r="DB326" s="105"/>
      <c r="DC326" s="105"/>
      <c r="DD326" s="105"/>
      <c r="DE326" s="105"/>
      <c r="DF326" s="105"/>
      <c r="DG326" s="105"/>
      <c r="DH326" s="105"/>
      <c r="DI326" s="105"/>
      <c r="DJ326" s="105"/>
      <c r="DK326" s="105"/>
      <c r="DL326" s="105"/>
      <c r="DM326" s="105"/>
      <c r="DN326" s="105"/>
      <c r="DO326" s="105"/>
      <c r="DP326" s="105"/>
      <c r="DQ326" s="105"/>
      <c r="DR326" s="105"/>
      <c r="DS326" s="105"/>
      <c r="DT326" s="105"/>
      <c r="DU326" s="105"/>
      <c r="DV326" s="105"/>
      <c r="DW326" s="105"/>
      <c r="DX326" s="105"/>
      <c r="DY326" s="105"/>
      <c r="DZ326" s="105"/>
      <c r="EA326" s="105"/>
      <c r="EB326" s="105"/>
      <c r="EC326" s="105"/>
      <c r="ED326" s="105"/>
      <c r="EE326" s="105"/>
      <c r="EF326" s="105"/>
      <c r="EG326" s="105"/>
      <c r="EH326" s="105"/>
      <c r="EI326" s="105"/>
      <c r="EJ326" s="105"/>
      <c r="EK326" s="105"/>
      <c r="EL326" s="105"/>
      <c r="EM326" s="105"/>
      <c r="EN326" s="105"/>
      <c r="EO326" s="105"/>
      <c r="EP326" s="105"/>
      <c r="EQ326" s="105"/>
      <c r="ER326" s="105"/>
      <c r="ES326" s="105"/>
      <c r="ET326" s="105"/>
      <c r="EU326" s="105"/>
      <c r="EV326" s="105"/>
      <c r="EW326" s="105"/>
      <c r="EX326" s="105"/>
      <c r="EY326" s="105"/>
      <c r="EZ326" s="105"/>
      <c r="FA326" s="105"/>
      <c r="FB326" s="105"/>
      <c r="FC326" s="105"/>
      <c r="FD326" s="105"/>
      <c r="FE326" s="105"/>
      <c r="FF326" s="105"/>
      <c r="FG326" s="105"/>
      <c r="FH326" s="105"/>
      <c r="FI326" s="105"/>
      <c r="FJ326" s="105"/>
      <c r="FK326" s="105"/>
      <c r="FL326" s="105"/>
      <c r="FM326" s="105"/>
      <c r="FN326" s="105"/>
      <c r="FO326" s="105"/>
      <c r="FP326" s="105"/>
      <c r="FQ326" s="105"/>
      <c r="FR326" s="105"/>
      <c r="FS326" s="105"/>
      <c r="FT326" s="105"/>
      <c r="FU326" s="105"/>
      <c r="FV326" s="105"/>
      <c r="FW326" s="105"/>
      <c r="FX326" s="105"/>
      <c r="FY326" s="105"/>
      <c r="FZ326" s="105"/>
      <c r="GA326" s="105"/>
      <c r="GB326" s="105"/>
      <c r="GC326" s="105"/>
      <c r="GD326" s="105"/>
      <c r="GE326" s="105"/>
      <c r="GF326" s="105"/>
      <c r="GG326" s="105"/>
      <c r="GH326" s="105"/>
      <c r="GI326" s="105"/>
      <c r="GJ326" s="105"/>
      <c r="GK326" s="105"/>
      <c r="GL326" s="105"/>
      <c r="GM326" s="105"/>
      <c r="GN326" s="105"/>
      <c r="GO326" s="105"/>
      <c r="GP326" s="105"/>
      <c r="GQ326" s="105"/>
      <c r="GR326" s="105"/>
      <c r="GS326" s="105"/>
      <c r="GT326" s="105"/>
      <c r="GU326" s="105"/>
      <c r="GV326" s="105"/>
      <c r="GW326" s="105"/>
      <c r="GX326" s="105"/>
      <c r="GY326" s="105"/>
      <c r="GZ326" s="105"/>
      <c r="HA326" s="105"/>
      <c r="HB326" s="105"/>
      <c r="HC326" s="105"/>
      <c r="HD326" s="105"/>
      <c r="HE326" s="105"/>
      <c r="HF326" s="105"/>
      <c r="HG326" s="105"/>
      <c r="HH326" s="105"/>
      <c r="HI326" s="105"/>
      <c r="HJ326" s="105"/>
      <c r="HK326" s="105"/>
      <c r="HL326" s="105"/>
      <c r="HM326" s="105"/>
      <c r="HN326" s="105"/>
      <c r="HO326" s="105"/>
      <c r="HP326" s="105"/>
      <c r="HQ326" s="105"/>
      <c r="HR326" s="105"/>
      <c r="HS326" s="105"/>
      <c r="HT326" s="105"/>
      <c r="HU326" s="105"/>
      <c r="HV326" s="105"/>
      <c r="HW326" s="105"/>
      <c r="HX326" s="105"/>
      <c r="HY326" s="105"/>
      <c r="HZ326" s="105"/>
      <c r="IA326" s="105"/>
      <c r="IB326" s="105"/>
      <c r="IC326" s="105"/>
      <c r="ID326" s="105"/>
      <c r="IE326" s="105"/>
      <c r="IF326" s="105"/>
      <c r="IG326" s="105"/>
      <c r="IH326" s="105"/>
      <c r="II326" s="105"/>
      <c r="IJ326" s="105"/>
      <c r="IK326" s="105"/>
      <c r="IL326" s="105"/>
      <c r="IM326" s="105"/>
      <c r="IN326" s="105"/>
      <c r="IO326" s="105"/>
      <c r="IP326" s="105"/>
      <c r="IQ326" s="105"/>
      <c r="IR326" s="105"/>
      <c r="IS326" s="105"/>
    </row>
    <row r="327" spans="1:253">
      <c r="A327" s="116"/>
      <c r="B327" s="105"/>
      <c r="C327" s="116"/>
      <c r="D327" s="116"/>
      <c r="E327" s="116"/>
      <c r="F327" s="116"/>
      <c r="G327" s="116"/>
      <c r="H327" s="116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05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05"/>
      <c r="BX327" s="105"/>
      <c r="BY327" s="105"/>
      <c r="BZ327" s="105"/>
      <c r="CA327" s="105"/>
      <c r="CB327" s="105"/>
      <c r="CC327" s="105"/>
      <c r="CD327" s="105"/>
      <c r="CE327" s="105"/>
      <c r="CF327" s="105"/>
      <c r="CG327" s="105"/>
      <c r="CH327" s="105"/>
      <c r="CI327" s="105"/>
      <c r="CJ327" s="105"/>
      <c r="CK327" s="105"/>
      <c r="CL327" s="105"/>
      <c r="CM327" s="105"/>
      <c r="CN327" s="105"/>
      <c r="CO327" s="105"/>
      <c r="CP327" s="105"/>
      <c r="CQ327" s="105"/>
      <c r="CR327" s="105"/>
      <c r="CS327" s="105"/>
      <c r="CT327" s="105"/>
      <c r="CU327" s="105"/>
      <c r="CV327" s="105"/>
      <c r="CW327" s="105"/>
      <c r="CX327" s="105"/>
      <c r="CY327" s="105"/>
      <c r="CZ327" s="105"/>
      <c r="DA327" s="105"/>
      <c r="DB327" s="105"/>
      <c r="DC327" s="105"/>
      <c r="DD327" s="105"/>
      <c r="DE327" s="105"/>
      <c r="DF327" s="105"/>
      <c r="DG327" s="105"/>
      <c r="DH327" s="105"/>
      <c r="DI327" s="105"/>
      <c r="DJ327" s="105"/>
      <c r="DK327" s="105"/>
      <c r="DL327" s="105"/>
      <c r="DM327" s="105"/>
      <c r="DN327" s="105"/>
      <c r="DO327" s="105"/>
      <c r="DP327" s="105"/>
      <c r="DQ327" s="105"/>
      <c r="DR327" s="105"/>
      <c r="DS327" s="105"/>
      <c r="DT327" s="105"/>
      <c r="DU327" s="105"/>
      <c r="DV327" s="105"/>
      <c r="DW327" s="105"/>
      <c r="DX327" s="105"/>
      <c r="DY327" s="105"/>
      <c r="DZ327" s="105"/>
      <c r="EA327" s="105"/>
      <c r="EB327" s="105"/>
      <c r="EC327" s="105"/>
      <c r="ED327" s="105"/>
      <c r="EE327" s="105"/>
      <c r="EF327" s="105"/>
      <c r="EG327" s="105"/>
      <c r="EH327" s="105"/>
      <c r="EI327" s="105"/>
      <c r="EJ327" s="105"/>
      <c r="EK327" s="105"/>
      <c r="EL327" s="105"/>
      <c r="EM327" s="105"/>
      <c r="EN327" s="105"/>
      <c r="EO327" s="105"/>
      <c r="EP327" s="105"/>
      <c r="EQ327" s="105"/>
      <c r="ER327" s="105"/>
      <c r="ES327" s="105"/>
      <c r="ET327" s="105"/>
      <c r="EU327" s="105"/>
      <c r="EV327" s="105"/>
      <c r="EW327" s="105"/>
      <c r="EX327" s="105"/>
      <c r="EY327" s="105"/>
      <c r="EZ327" s="105"/>
      <c r="FA327" s="105"/>
      <c r="FB327" s="105"/>
      <c r="FC327" s="105"/>
      <c r="FD327" s="105"/>
      <c r="FE327" s="105"/>
      <c r="FF327" s="105"/>
      <c r="FG327" s="105"/>
      <c r="FH327" s="105"/>
      <c r="FI327" s="105"/>
      <c r="FJ327" s="105"/>
      <c r="FK327" s="105"/>
      <c r="FL327" s="105"/>
      <c r="FM327" s="105"/>
      <c r="FN327" s="105"/>
      <c r="FO327" s="105"/>
      <c r="FP327" s="105"/>
      <c r="FQ327" s="105"/>
      <c r="FR327" s="105"/>
      <c r="FS327" s="105"/>
      <c r="FT327" s="105"/>
      <c r="FU327" s="105"/>
      <c r="FV327" s="105"/>
      <c r="FW327" s="105"/>
      <c r="FX327" s="105"/>
      <c r="FY327" s="105"/>
      <c r="FZ327" s="105"/>
      <c r="GA327" s="105"/>
      <c r="GB327" s="105"/>
      <c r="GC327" s="105"/>
      <c r="GD327" s="105"/>
      <c r="GE327" s="105"/>
      <c r="GF327" s="105"/>
      <c r="GG327" s="105"/>
      <c r="GH327" s="105"/>
      <c r="GI327" s="105"/>
      <c r="GJ327" s="105"/>
      <c r="GK327" s="105"/>
      <c r="GL327" s="105"/>
      <c r="GM327" s="105"/>
      <c r="GN327" s="105"/>
      <c r="GO327" s="105"/>
      <c r="GP327" s="105"/>
      <c r="GQ327" s="105"/>
      <c r="GR327" s="105"/>
      <c r="GS327" s="105"/>
      <c r="GT327" s="105"/>
      <c r="GU327" s="105"/>
      <c r="GV327" s="105"/>
      <c r="GW327" s="105"/>
      <c r="GX327" s="105"/>
      <c r="GY327" s="105"/>
      <c r="GZ327" s="105"/>
      <c r="HA327" s="105"/>
      <c r="HB327" s="105"/>
      <c r="HC327" s="105"/>
      <c r="HD327" s="105"/>
      <c r="HE327" s="105"/>
      <c r="HF327" s="105"/>
      <c r="HG327" s="105"/>
      <c r="HH327" s="105"/>
      <c r="HI327" s="105"/>
      <c r="HJ327" s="105"/>
      <c r="HK327" s="105"/>
      <c r="HL327" s="105"/>
      <c r="HM327" s="105"/>
      <c r="HN327" s="105"/>
      <c r="HO327" s="105"/>
      <c r="HP327" s="105"/>
      <c r="HQ327" s="105"/>
      <c r="HR327" s="105"/>
      <c r="HS327" s="105"/>
      <c r="HT327" s="105"/>
      <c r="HU327" s="105"/>
      <c r="HV327" s="105"/>
      <c r="HW327" s="105"/>
      <c r="HX327" s="105"/>
      <c r="HY327" s="105"/>
      <c r="HZ327" s="105"/>
      <c r="IA327" s="105"/>
      <c r="IB327" s="105"/>
      <c r="IC327" s="105"/>
      <c r="ID327" s="105"/>
      <c r="IE327" s="105"/>
      <c r="IF327" s="105"/>
      <c r="IG327" s="105"/>
      <c r="IH327" s="105"/>
      <c r="II327" s="105"/>
      <c r="IJ327" s="105"/>
      <c r="IK327" s="105"/>
      <c r="IL327" s="105"/>
      <c r="IM327" s="105"/>
      <c r="IN327" s="105"/>
      <c r="IO327" s="105"/>
      <c r="IP327" s="105"/>
      <c r="IQ327" s="105"/>
      <c r="IR327" s="105"/>
      <c r="IS327" s="105"/>
    </row>
    <row r="328" spans="1:253">
      <c r="A328" s="116"/>
      <c r="B328" s="105"/>
      <c r="C328" s="116"/>
      <c r="D328" s="116"/>
      <c r="E328" s="116"/>
      <c r="F328" s="116"/>
      <c r="G328" s="116"/>
      <c r="H328" s="116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05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05"/>
      <c r="BX328" s="105"/>
      <c r="BY328" s="105"/>
      <c r="BZ328" s="105"/>
      <c r="CA328" s="105"/>
      <c r="CB328" s="105"/>
      <c r="CC328" s="105"/>
      <c r="CD328" s="105"/>
      <c r="CE328" s="105"/>
      <c r="CF328" s="105"/>
      <c r="CG328" s="105"/>
      <c r="CH328" s="105"/>
      <c r="CI328" s="105"/>
      <c r="CJ328" s="105"/>
      <c r="CK328" s="105"/>
      <c r="CL328" s="105"/>
      <c r="CM328" s="105"/>
      <c r="CN328" s="105"/>
      <c r="CO328" s="105"/>
      <c r="CP328" s="105"/>
      <c r="CQ328" s="105"/>
      <c r="CR328" s="105"/>
      <c r="CS328" s="105"/>
      <c r="CT328" s="105"/>
      <c r="CU328" s="105"/>
      <c r="CV328" s="105"/>
      <c r="CW328" s="105"/>
      <c r="CX328" s="105"/>
      <c r="CY328" s="105"/>
      <c r="CZ328" s="105"/>
      <c r="DA328" s="105"/>
      <c r="DB328" s="105"/>
      <c r="DC328" s="105"/>
      <c r="DD328" s="105"/>
      <c r="DE328" s="105"/>
      <c r="DF328" s="105"/>
      <c r="DG328" s="105"/>
      <c r="DH328" s="105"/>
      <c r="DI328" s="105"/>
      <c r="DJ328" s="105"/>
      <c r="DK328" s="105"/>
      <c r="DL328" s="105"/>
      <c r="DM328" s="105"/>
      <c r="DN328" s="105"/>
      <c r="DO328" s="105"/>
      <c r="DP328" s="105"/>
      <c r="DQ328" s="105"/>
      <c r="DR328" s="105"/>
      <c r="DS328" s="105"/>
      <c r="DT328" s="105"/>
      <c r="DU328" s="105"/>
      <c r="DV328" s="105"/>
      <c r="DW328" s="105"/>
      <c r="DX328" s="105"/>
      <c r="DY328" s="105"/>
      <c r="DZ328" s="105"/>
      <c r="EA328" s="105"/>
      <c r="EB328" s="105"/>
      <c r="EC328" s="105"/>
      <c r="ED328" s="105"/>
      <c r="EE328" s="105"/>
      <c r="EF328" s="105"/>
      <c r="EG328" s="105"/>
      <c r="EH328" s="105"/>
      <c r="EI328" s="105"/>
      <c r="EJ328" s="105"/>
      <c r="EK328" s="105"/>
      <c r="EL328" s="105"/>
      <c r="EM328" s="105"/>
      <c r="EN328" s="105"/>
      <c r="EO328" s="105"/>
      <c r="EP328" s="105"/>
      <c r="EQ328" s="105"/>
      <c r="ER328" s="105"/>
      <c r="ES328" s="105"/>
      <c r="ET328" s="105"/>
      <c r="EU328" s="105"/>
      <c r="EV328" s="105"/>
      <c r="EW328" s="105"/>
      <c r="EX328" s="105"/>
      <c r="EY328" s="105"/>
      <c r="EZ328" s="105"/>
      <c r="FA328" s="105"/>
      <c r="FB328" s="105"/>
      <c r="FC328" s="105"/>
      <c r="FD328" s="105"/>
      <c r="FE328" s="105"/>
      <c r="FF328" s="105"/>
      <c r="FG328" s="105"/>
      <c r="FH328" s="105"/>
      <c r="FI328" s="105"/>
      <c r="FJ328" s="105"/>
      <c r="FK328" s="105"/>
      <c r="FL328" s="105"/>
      <c r="FM328" s="105"/>
      <c r="FN328" s="105"/>
      <c r="FO328" s="105"/>
      <c r="FP328" s="105"/>
      <c r="FQ328" s="105"/>
      <c r="FR328" s="105"/>
      <c r="FS328" s="105"/>
      <c r="FT328" s="105"/>
      <c r="FU328" s="105"/>
      <c r="FV328" s="105"/>
      <c r="FW328" s="105"/>
      <c r="FX328" s="105"/>
      <c r="FY328" s="105"/>
      <c r="FZ328" s="105"/>
      <c r="GA328" s="105"/>
      <c r="GB328" s="105"/>
      <c r="GC328" s="105"/>
      <c r="GD328" s="105"/>
      <c r="GE328" s="105"/>
      <c r="GF328" s="105"/>
      <c r="GG328" s="105"/>
      <c r="GH328" s="105"/>
      <c r="GI328" s="105"/>
      <c r="GJ328" s="105"/>
      <c r="GK328" s="105"/>
      <c r="GL328" s="105"/>
      <c r="GM328" s="105"/>
      <c r="GN328" s="105"/>
      <c r="GO328" s="105"/>
      <c r="GP328" s="105"/>
      <c r="GQ328" s="105"/>
      <c r="GR328" s="105"/>
      <c r="GS328" s="105"/>
      <c r="GT328" s="105"/>
      <c r="GU328" s="105"/>
      <c r="GV328" s="105"/>
      <c r="GW328" s="105"/>
      <c r="GX328" s="105"/>
      <c r="GY328" s="105"/>
      <c r="GZ328" s="105"/>
      <c r="HA328" s="105"/>
      <c r="HB328" s="105"/>
      <c r="HC328" s="105"/>
      <c r="HD328" s="105"/>
      <c r="HE328" s="105"/>
      <c r="HF328" s="105"/>
      <c r="HG328" s="105"/>
      <c r="HH328" s="105"/>
      <c r="HI328" s="105"/>
      <c r="HJ328" s="105"/>
      <c r="HK328" s="105"/>
      <c r="HL328" s="105"/>
      <c r="HM328" s="105"/>
      <c r="HN328" s="105"/>
      <c r="HO328" s="105"/>
      <c r="HP328" s="105"/>
      <c r="HQ328" s="105"/>
      <c r="HR328" s="105"/>
      <c r="HS328" s="105"/>
      <c r="HT328" s="105"/>
      <c r="HU328" s="105"/>
      <c r="HV328" s="105"/>
      <c r="HW328" s="105"/>
      <c r="HX328" s="105"/>
      <c r="HY328" s="105"/>
      <c r="HZ328" s="105"/>
      <c r="IA328" s="105"/>
      <c r="IB328" s="105"/>
      <c r="IC328" s="105"/>
      <c r="ID328" s="105"/>
      <c r="IE328" s="105"/>
      <c r="IF328" s="105"/>
      <c r="IG328" s="105"/>
      <c r="IH328" s="105"/>
      <c r="II328" s="105"/>
      <c r="IJ328" s="105"/>
      <c r="IK328" s="105"/>
      <c r="IL328" s="105"/>
      <c r="IM328" s="105"/>
      <c r="IN328" s="105"/>
      <c r="IO328" s="105"/>
      <c r="IP328" s="105"/>
      <c r="IQ328" s="105"/>
      <c r="IR328" s="105"/>
      <c r="IS328" s="105"/>
    </row>
    <row r="329" spans="1:253">
      <c r="A329" s="116"/>
      <c r="B329" s="105"/>
      <c r="C329" s="116"/>
      <c r="D329" s="116"/>
      <c r="E329" s="116"/>
      <c r="F329" s="116"/>
      <c r="G329" s="116"/>
      <c r="H329" s="116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05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05"/>
      <c r="BX329" s="105"/>
      <c r="BY329" s="105"/>
      <c r="BZ329" s="105"/>
      <c r="CA329" s="105"/>
      <c r="CB329" s="105"/>
      <c r="CC329" s="105"/>
      <c r="CD329" s="105"/>
      <c r="CE329" s="105"/>
      <c r="CF329" s="105"/>
      <c r="CG329" s="105"/>
      <c r="CH329" s="105"/>
      <c r="CI329" s="105"/>
      <c r="CJ329" s="105"/>
      <c r="CK329" s="105"/>
      <c r="CL329" s="105"/>
      <c r="CM329" s="105"/>
      <c r="CN329" s="105"/>
      <c r="CO329" s="105"/>
      <c r="CP329" s="105"/>
      <c r="CQ329" s="105"/>
      <c r="CR329" s="105"/>
      <c r="CS329" s="105"/>
      <c r="CT329" s="105"/>
      <c r="CU329" s="105"/>
      <c r="CV329" s="105"/>
      <c r="CW329" s="105"/>
      <c r="CX329" s="105"/>
      <c r="CY329" s="105"/>
      <c r="CZ329" s="105"/>
      <c r="DA329" s="105"/>
      <c r="DB329" s="105"/>
      <c r="DC329" s="105"/>
      <c r="DD329" s="105"/>
      <c r="DE329" s="105"/>
      <c r="DF329" s="105"/>
      <c r="DG329" s="105"/>
      <c r="DH329" s="105"/>
      <c r="DI329" s="105"/>
      <c r="DJ329" s="105"/>
      <c r="DK329" s="105"/>
      <c r="DL329" s="105"/>
      <c r="DM329" s="105"/>
      <c r="DN329" s="105"/>
      <c r="DO329" s="105"/>
      <c r="DP329" s="105"/>
      <c r="DQ329" s="105"/>
      <c r="DR329" s="105"/>
      <c r="DS329" s="105"/>
      <c r="DT329" s="105"/>
      <c r="DU329" s="105"/>
      <c r="DV329" s="105"/>
      <c r="DW329" s="105"/>
      <c r="DX329" s="105"/>
      <c r="DY329" s="105"/>
      <c r="DZ329" s="105"/>
      <c r="EA329" s="105"/>
      <c r="EB329" s="105"/>
      <c r="EC329" s="105"/>
      <c r="ED329" s="105"/>
      <c r="EE329" s="105"/>
      <c r="EF329" s="105"/>
      <c r="EG329" s="105"/>
      <c r="EH329" s="105"/>
      <c r="EI329" s="105"/>
      <c r="EJ329" s="105"/>
      <c r="EK329" s="105"/>
      <c r="EL329" s="105"/>
      <c r="EM329" s="105"/>
      <c r="EN329" s="105"/>
      <c r="EO329" s="105"/>
      <c r="EP329" s="105"/>
      <c r="EQ329" s="105"/>
      <c r="ER329" s="105"/>
      <c r="ES329" s="105"/>
      <c r="ET329" s="105"/>
      <c r="EU329" s="105"/>
      <c r="EV329" s="105"/>
      <c r="EW329" s="105"/>
      <c r="EX329" s="105"/>
      <c r="EY329" s="105"/>
      <c r="EZ329" s="105"/>
      <c r="FA329" s="105"/>
      <c r="FB329" s="105"/>
      <c r="FC329" s="105"/>
      <c r="FD329" s="105"/>
      <c r="FE329" s="105"/>
      <c r="FF329" s="105"/>
      <c r="FG329" s="105"/>
      <c r="FH329" s="105"/>
      <c r="FI329" s="105"/>
      <c r="FJ329" s="105"/>
      <c r="FK329" s="105"/>
      <c r="FL329" s="105"/>
      <c r="FM329" s="105"/>
      <c r="FN329" s="105"/>
      <c r="FO329" s="105"/>
      <c r="FP329" s="105"/>
      <c r="FQ329" s="105"/>
      <c r="FR329" s="105"/>
      <c r="FS329" s="105"/>
      <c r="FT329" s="105"/>
      <c r="FU329" s="105"/>
      <c r="FV329" s="105"/>
      <c r="FW329" s="105"/>
      <c r="FX329" s="105"/>
      <c r="FY329" s="105"/>
      <c r="FZ329" s="105"/>
      <c r="GA329" s="105"/>
      <c r="GB329" s="105"/>
      <c r="GC329" s="105"/>
      <c r="GD329" s="105"/>
      <c r="GE329" s="105"/>
      <c r="GF329" s="105"/>
      <c r="GG329" s="105"/>
      <c r="GH329" s="105"/>
      <c r="GI329" s="105"/>
      <c r="GJ329" s="105"/>
      <c r="GK329" s="105"/>
      <c r="GL329" s="105"/>
      <c r="GM329" s="105"/>
      <c r="GN329" s="105"/>
      <c r="GO329" s="105"/>
      <c r="GP329" s="105"/>
      <c r="GQ329" s="105"/>
      <c r="GR329" s="105"/>
      <c r="GS329" s="105"/>
      <c r="GT329" s="105"/>
      <c r="GU329" s="105"/>
      <c r="GV329" s="105"/>
      <c r="GW329" s="105"/>
      <c r="GX329" s="105"/>
      <c r="GY329" s="105"/>
      <c r="GZ329" s="105"/>
      <c r="HA329" s="105"/>
      <c r="HB329" s="105"/>
      <c r="HC329" s="105"/>
      <c r="HD329" s="105"/>
      <c r="HE329" s="105"/>
      <c r="HF329" s="105"/>
      <c r="HG329" s="105"/>
      <c r="HH329" s="105"/>
      <c r="HI329" s="105"/>
      <c r="HJ329" s="105"/>
      <c r="HK329" s="105"/>
      <c r="HL329" s="105"/>
      <c r="HM329" s="105"/>
      <c r="HN329" s="105"/>
      <c r="HO329" s="105"/>
      <c r="HP329" s="105"/>
      <c r="HQ329" s="105"/>
      <c r="HR329" s="105"/>
      <c r="HS329" s="105"/>
      <c r="HT329" s="105"/>
      <c r="HU329" s="105"/>
      <c r="HV329" s="105"/>
      <c r="HW329" s="105"/>
      <c r="HX329" s="105"/>
      <c r="HY329" s="105"/>
      <c r="HZ329" s="105"/>
      <c r="IA329" s="105"/>
      <c r="IB329" s="105"/>
      <c r="IC329" s="105"/>
      <c r="ID329" s="105"/>
      <c r="IE329" s="105"/>
      <c r="IF329" s="105"/>
      <c r="IG329" s="105"/>
      <c r="IH329" s="105"/>
      <c r="II329" s="105"/>
      <c r="IJ329" s="105"/>
      <c r="IK329" s="105"/>
      <c r="IL329" s="105"/>
      <c r="IM329" s="105"/>
      <c r="IN329" s="105"/>
      <c r="IO329" s="105"/>
      <c r="IP329" s="105"/>
      <c r="IQ329" s="105"/>
      <c r="IR329" s="105"/>
      <c r="IS329" s="105"/>
    </row>
    <row r="330" spans="1:253">
      <c r="A330" s="116"/>
      <c r="B330" s="105"/>
      <c r="C330" s="116"/>
      <c r="D330" s="116"/>
      <c r="E330" s="116"/>
      <c r="F330" s="116"/>
      <c r="G330" s="116"/>
      <c r="H330" s="116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05"/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05"/>
      <c r="BX330" s="105"/>
      <c r="BY330" s="105"/>
      <c r="BZ330" s="105"/>
      <c r="CA330" s="105"/>
      <c r="CB330" s="105"/>
      <c r="CC330" s="105"/>
      <c r="CD330" s="105"/>
      <c r="CE330" s="105"/>
      <c r="CF330" s="105"/>
      <c r="CG330" s="105"/>
      <c r="CH330" s="105"/>
      <c r="CI330" s="105"/>
      <c r="CJ330" s="105"/>
      <c r="CK330" s="105"/>
      <c r="CL330" s="105"/>
      <c r="CM330" s="105"/>
      <c r="CN330" s="105"/>
      <c r="CO330" s="105"/>
      <c r="CP330" s="105"/>
      <c r="CQ330" s="105"/>
      <c r="CR330" s="105"/>
      <c r="CS330" s="105"/>
      <c r="CT330" s="105"/>
      <c r="CU330" s="105"/>
      <c r="CV330" s="105"/>
      <c r="CW330" s="105"/>
      <c r="CX330" s="105"/>
      <c r="CY330" s="105"/>
      <c r="CZ330" s="105"/>
      <c r="DA330" s="105"/>
      <c r="DB330" s="105"/>
      <c r="DC330" s="105"/>
      <c r="DD330" s="105"/>
      <c r="DE330" s="105"/>
      <c r="DF330" s="105"/>
      <c r="DG330" s="105"/>
      <c r="DH330" s="105"/>
      <c r="DI330" s="105"/>
      <c r="DJ330" s="105"/>
      <c r="DK330" s="105"/>
      <c r="DL330" s="105"/>
      <c r="DM330" s="105"/>
      <c r="DN330" s="105"/>
      <c r="DO330" s="105"/>
      <c r="DP330" s="105"/>
      <c r="DQ330" s="105"/>
      <c r="DR330" s="105"/>
      <c r="DS330" s="105"/>
      <c r="DT330" s="105"/>
      <c r="DU330" s="105"/>
      <c r="DV330" s="105"/>
      <c r="DW330" s="105"/>
      <c r="DX330" s="105"/>
      <c r="DY330" s="105"/>
      <c r="DZ330" s="105"/>
      <c r="EA330" s="105"/>
      <c r="EB330" s="105"/>
      <c r="EC330" s="105"/>
      <c r="ED330" s="105"/>
      <c r="EE330" s="105"/>
      <c r="EF330" s="105"/>
      <c r="EG330" s="105"/>
      <c r="EH330" s="105"/>
      <c r="EI330" s="105"/>
      <c r="EJ330" s="105"/>
      <c r="EK330" s="105"/>
      <c r="EL330" s="105"/>
      <c r="EM330" s="105"/>
      <c r="EN330" s="105"/>
      <c r="EO330" s="105"/>
      <c r="EP330" s="105"/>
      <c r="EQ330" s="105"/>
      <c r="ER330" s="105"/>
      <c r="ES330" s="105"/>
      <c r="ET330" s="105"/>
      <c r="EU330" s="105"/>
      <c r="EV330" s="105"/>
      <c r="EW330" s="105"/>
      <c r="EX330" s="105"/>
      <c r="EY330" s="105"/>
      <c r="EZ330" s="105"/>
      <c r="FA330" s="105"/>
      <c r="FB330" s="105"/>
      <c r="FC330" s="105"/>
      <c r="FD330" s="105"/>
      <c r="FE330" s="105"/>
      <c r="FF330" s="105"/>
      <c r="FG330" s="105"/>
      <c r="FH330" s="105"/>
      <c r="FI330" s="105"/>
      <c r="FJ330" s="105"/>
      <c r="FK330" s="105"/>
      <c r="FL330" s="105"/>
      <c r="FM330" s="105"/>
      <c r="FN330" s="105"/>
      <c r="FO330" s="105"/>
      <c r="FP330" s="105"/>
      <c r="FQ330" s="105"/>
      <c r="FR330" s="105"/>
      <c r="FS330" s="105"/>
      <c r="FT330" s="105"/>
      <c r="FU330" s="105"/>
      <c r="FV330" s="105"/>
      <c r="FW330" s="105"/>
      <c r="FX330" s="105"/>
      <c r="FY330" s="105"/>
      <c r="FZ330" s="105"/>
      <c r="GA330" s="105"/>
      <c r="GB330" s="105"/>
      <c r="GC330" s="105"/>
      <c r="GD330" s="105"/>
      <c r="GE330" s="105"/>
      <c r="GF330" s="105"/>
      <c r="GG330" s="105"/>
      <c r="GH330" s="105"/>
      <c r="GI330" s="105"/>
      <c r="GJ330" s="105"/>
      <c r="GK330" s="105"/>
      <c r="GL330" s="105"/>
      <c r="GM330" s="105"/>
      <c r="GN330" s="105"/>
      <c r="GO330" s="105"/>
      <c r="GP330" s="105"/>
      <c r="GQ330" s="105"/>
      <c r="GR330" s="105"/>
      <c r="GS330" s="105"/>
      <c r="GT330" s="105"/>
      <c r="GU330" s="105"/>
      <c r="GV330" s="105"/>
      <c r="GW330" s="105"/>
      <c r="GX330" s="105"/>
      <c r="GY330" s="105"/>
      <c r="GZ330" s="105"/>
      <c r="HA330" s="105"/>
      <c r="HB330" s="105"/>
      <c r="HC330" s="105"/>
      <c r="HD330" s="105"/>
      <c r="HE330" s="105"/>
      <c r="HF330" s="105"/>
      <c r="HG330" s="105"/>
      <c r="HH330" s="105"/>
      <c r="HI330" s="105"/>
      <c r="HJ330" s="105"/>
      <c r="HK330" s="105"/>
      <c r="HL330" s="105"/>
      <c r="HM330" s="105"/>
      <c r="HN330" s="105"/>
      <c r="HO330" s="105"/>
      <c r="HP330" s="105"/>
      <c r="HQ330" s="105"/>
      <c r="HR330" s="105"/>
      <c r="HS330" s="105"/>
      <c r="HT330" s="105"/>
      <c r="HU330" s="105"/>
      <c r="HV330" s="105"/>
      <c r="HW330" s="105"/>
      <c r="HX330" s="105"/>
      <c r="HY330" s="105"/>
      <c r="HZ330" s="105"/>
      <c r="IA330" s="105"/>
      <c r="IB330" s="105"/>
      <c r="IC330" s="105"/>
      <c r="ID330" s="105"/>
      <c r="IE330" s="105"/>
      <c r="IF330" s="105"/>
      <c r="IG330" s="105"/>
      <c r="IH330" s="105"/>
      <c r="II330" s="105"/>
      <c r="IJ330" s="105"/>
      <c r="IK330" s="105"/>
      <c r="IL330" s="105"/>
      <c r="IM330" s="105"/>
      <c r="IN330" s="105"/>
      <c r="IO330" s="105"/>
      <c r="IP330" s="105"/>
      <c r="IQ330" s="105"/>
      <c r="IR330" s="105"/>
      <c r="IS330" s="105"/>
    </row>
    <row r="331" spans="1:253">
      <c r="A331" s="116"/>
      <c r="B331" s="105"/>
      <c r="C331" s="116"/>
      <c r="D331" s="116"/>
      <c r="E331" s="116"/>
      <c r="F331" s="116"/>
      <c r="G331" s="116"/>
      <c r="H331" s="116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05"/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05"/>
      <c r="BX331" s="105"/>
      <c r="BY331" s="105"/>
      <c r="BZ331" s="105"/>
      <c r="CA331" s="105"/>
      <c r="CB331" s="105"/>
      <c r="CC331" s="105"/>
      <c r="CD331" s="105"/>
      <c r="CE331" s="105"/>
      <c r="CF331" s="105"/>
      <c r="CG331" s="105"/>
      <c r="CH331" s="105"/>
      <c r="CI331" s="105"/>
      <c r="CJ331" s="105"/>
      <c r="CK331" s="105"/>
      <c r="CL331" s="105"/>
      <c r="CM331" s="105"/>
      <c r="CN331" s="105"/>
      <c r="CO331" s="105"/>
      <c r="CP331" s="105"/>
      <c r="CQ331" s="105"/>
      <c r="CR331" s="105"/>
      <c r="CS331" s="105"/>
      <c r="CT331" s="105"/>
      <c r="CU331" s="105"/>
      <c r="CV331" s="105"/>
      <c r="CW331" s="105"/>
      <c r="CX331" s="105"/>
      <c r="CY331" s="105"/>
      <c r="CZ331" s="105"/>
      <c r="DA331" s="105"/>
      <c r="DB331" s="105"/>
      <c r="DC331" s="105"/>
      <c r="DD331" s="105"/>
      <c r="DE331" s="105"/>
      <c r="DF331" s="105"/>
      <c r="DG331" s="105"/>
      <c r="DH331" s="105"/>
      <c r="DI331" s="105"/>
      <c r="DJ331" s="105"/>
      <c r="DK331" s="105"/>
      <c r="DL331" s="105"/>
      <c r="DM331" s="105"/>
      <c r="DN331" s="105"/>
      <c r="DO331" s="105"/>
      <c r="DP331" s="105"/>
      <c r="DQ331" s="105"/>
      <c r="DR331" s="105"/>
      <c r="DS331" s="105"/>
      <c r="DT331" s="105"/>
      <c r="DU331" s="105"/>
      <c r="DV331" s="105"/>
      <c r="DW331" s="105"/>
      <c r="DX331" s="105"/>
      <c r="DY331" s="105"/>
      <c r="DZ331" s="105"/>
      <c r="EA331" s="105"/>
      <c r="EB331" s="105"/>
      <c r="EC331" s="105"/>
      <c r="ED331" s="105"/>
      <c r="EE331" s="105"/>
      <c r="EF331" s="105"/>
      <c r="EG331" s="105"/>
      <c r="EH331" s="105"/>
      <c r="EI331" s="105"/>
      <c r="EJ331" s="105"/>
      <c r="EK331" s="105"/>
      <c r="EL331" s="105"/>
      <c r="EM331" s="105"/>
      <c r="EN331" s="105"/>
      <c r="EO331" s="105"/>
      <c r="EP331" s="105"/>
      <c r="EQ331" s="105"/>
      <c r="ER331" s="105"/>
      <c r="ES331" s="105"/>
      <c r="ET331" s="105"/>
      <c r="EU331" s="105"/>
      <c r="EV331" s="105"/>
      <c r="EW331" s="105"/>
      <c r="EX331" s="105"/>
      <c r="EY331" s="105"/>
      <c r="EZ331" s="105"/>
      <c r="FA331" s="105"/>
      <c r="FB331" s="105"/>
      <c r="FC331" s="105"/>
      <c r="FD331" s="105"/>
      <c r="FE331" s="105"/>
      <c r="FF331" s="105"/>
      <c r="FG331" s="105"/>
      <c r="FH331" s="105"/>
      <c r="FI331" s="105"/>
      <c r="FJ331" s="105"/>
      <c r="FK331" s="105"/>
      <c r="FL331" s="105"/>
      <c r="FM331" s="105"/>
      <c r="FN331" s="105"/>
      <c r="FO331" s="105"/>
      <c r="FP331" s="105"/>
      <c r="FQ331" s="105"/>
      <c r="FR331" s="105"/>
      <c r="FS331" s="105"/>
      <c r="FT331" s="105"/>
      <c r="FU331" s="105"/>
      <c r="FV331" s="105"/>
      <c r="FW331" s="105"/>
      <c r="FX331" s="105"/>
      <c r="FY331" s="105"/>
      <c r="FZ331" s="105"/>
      <c r="GA331" s="105"/>
      <c r="GB331" s="105"/>
      <c r="GC331" s="105"/>
      <c r="GD331" s="105"/>
      <c r="GE331" s="105"/>
      <c r="GF331" s="105"/>
      <c r="GG331" s="105"/>
      <c r="GH331" s="105"/>
      <c r="GI331" s="105"/>
      <c r="GJ331" s="105"/>
      <c r="GK331" s="105"/>
      <c r="GL331" s="105"/>
      <c r="GM331" s="105"/>
      <c r="GN331" s="105"/>
      <c r="GO331" s="105"/>
      <c r="GP331" s="105"/>
      <c r="GQ331" s="105"/>
      <c r="GR331" s="105"/>
      <c r="GS331" s="105"/>
      <c r="GT331" s="105"/>
      <c r="GU331" s="105"/>
      <c r="GV331" s="105"/>
      <c r="GW331" s="105"/>
      <c r="GX331" s="105"/>
      <c r="GY331" s="105"/>
      <c r="GZ331" s="105"/>
      <c r="HA331" s="105"/>
      <c r="HB331" s="105"/>
      <c r="HC331" s="105"/>
      <c r="HD331" s="105"/>
      <c r="HE331" s="105"/>
      <c r="HF331" s="105"/>
      <c r="HG331" s="105"/>
      <c r="HH331" s="105"/>
      <c r="HI331" s="105"/>
      <c r="HJ331" s="105"/>
      <c r="HK331" s="105"/>
      <c r="HL331" s="105"/>
      <c r="HM331" s="105"/>
      <c r="HN331" s="105"/>
      <c r="HO331" s="105"/>
      <c r="HP331" s="105"/>
      <c r="HQ331" s="105"/>
      <c r="HR331" s="105"/>
      <c r="HS331" s="105"/>
      <c r="HT331" s="105"/>
      <c r="HU331" s="105"/>
      <c r="HV331" s="105"/>
      <c r="HW331" s="105"/>
      <c r="HX331" s="105"/>
      <c r="HY331" s="105"/>
      <c r="HZ331" s="105"/>
      <c r="IA331" s="105"/>
      <c r="IB331" s="105"/>
      <c r="IC331" s="105"/>
      <c r="ID331" s="105"/>
      <c r="IE331" s="105"/>
      <c r="IF331" s="105"/>
      <c r="IG331" s="105"/>
      <c r="IH331" s="105"/>
      <c r="II331" s="105"/>
      <c r="IJ331" s="105"/>
      <c r="IK331" s="105"/>
      <c r="IL331" s="105"/>
      <c r="IM331" s="105"/>
      <c r="IN331" s="105"/>
      <c r="IO331" s="105"/>
      <c r="IP331" s="105"/>
      <c r="IQ331" s="105"/>
      <c r="IR331" s="105"/>
      <c r="IS331" s="105"/>
    </row>
    <row r="332" spans="1:253">
      <c r="A332" s="116"/>
      <c r="B332" s="105"/>
      <c r="C332" s="116"/>
      <c r="D332" s="116"/>
      <c r="E332" s="116"/>
      <c r="F332" s="116"/>
      <c r="G332" s="116"/>
      <c r="H332" s="116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05"/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05"/>
      <c r="BX332" s="105"/>
      <c r="BY332" s="105"/>
      <c r="BZ332" s="105"/>
      <c r="CA332" s="105"/>
      <c r="CB332" s="105"/>
      <c r="CC332" s="105"/>
      <c r="CD332" s="105"/>
      <c r="CE332" s="105"/>
      <c r="CF332" s="105"/>
      <c r="CG332" s="105"/>
      <c r="CH332" s="105"/>
      <c r="CI332" s="105"/>
      <c r="CJ332" s="105"/>
      <c r="CK332" s="105"/>
      <c r="CL332" s="105"/>
      <c r="CM332" s="105"/>
      <c r="CN332" s="105"/>
      <c r="CO332" s="105"/>
      <c r="CP332" s="105"/>
      <c r="CQ332" s="105"/>
      <c r="CR332" s="105"/>
      <c r="CS332" s="105"/>
      <c r="CT332" s="105"/>
      <c r="CU332" s="105"/>
      <c r="CV332" s="105"/>
      <c r="CW332" s="105"/>
      <c r="CX332" s="105"/>
      <c r="CY332" s="105"/>
      <c r="CZ332" s="105"/>
      <c r="DA332" s="105"/>
      <c r="DB332" s="105"/>
      <c r="DC332" s="105"/>
      <c r="DD332" s="105"/>
      <c r="DE332" s="105"/>
      <c r="DF332" s="105"/>
      <c r="DG332" s="105"/>
      <c r="DH332" s="105"/>
      <c r="DI332" s="105"/>
      <c r="DJ332" s="105"/>
      <c r="DK332" s="105"/>
      <c r="DL332" s="105"/>
      <c r="DM332" s="105"/>
      <c r="DN332" s="105"/>
      <c r="DO332" s="105"/>
      <c r="DP332" s="105"/>
      <c r="DQ332" s="105"/>
      <c r="DR332" s="105"/>
      <c r="DS332" s="105"/>
      <c r="DT332" s="105"/>
      <c r="DU332" s="105"/>
      <c r="DV332" s="105"/>
      <c r="DW332" s="105"/>
      <c r="DX332" s="105"/>
      <c r="DY332" s="105"/>
      <c r="DZ332" s="105"/>
      <c r="EA332" s="105"/>
      <c r="EB332" s="105"/>
      <c r="EC332" s="105"/>
      <c r="ED332" s="105"/>
      <c r="EE332" s="105"/>
      <c r="EF332" s="105"/>
      <c r="EG332" s="105"/>
      <c r="EH332" s="105"/>
      <c r="EI332" s="105"/>
      <c r="EJ332" s="105"/>
      <c r="EK332" s="105"/>
      <c r="EL332" s="105"/>
      <c r="EM332" s="105"/>
      <c r="EN332" s="105"/>
      <c r="EO332" s="105"/>
      <c r="EP332" s="105"/>
      <c r="EQ332" s="105"/>
      <c r="ER332" s="105"/>
      <c r="ES332" s="105"/>
      <c r="ET332" s="105"/>
      <c r="EU332" s="105"/>
      <c r="EV332" s="105"/>
      <c r="EW332" s="105"/>
      <c r="EX332" s="105"/>
      <c r="EY332" s="105"/>
      <c r="EZ332" s="105"/>
      <c r="FA332" s="105"/>
      <c r="FB332" s="105"/>
      <c r="FC332" s="105"/>
      <c r="FD332" s="105"/>
      <c r="FE332" s="105"/>
      <c r="FF332" s="105"/>
      <c r="FG332" s="105"/>
      <c r="FH332" s="105"/>
      <c r="FI332" s="105"/>
      <c r="FJ332" s="105"/>
      <c r="FK332" s="105"/>
      <c r="FL332" s="105"/>
      <c r="FM332" s="105"/>
      <c r="FN332" s="105"/>
      <c r="FO332" s="105"/>
      <c r="FP332" s="105"/>
      <c r="FQ332" s="105"/>
      <c r="FR332" s="105"/>
      <c r="FS332" s="105"/>
      <c r="FT332" s="105"/>
      <c r="FU332" s="105"/>
      <c r="FV332" s="105"/>
      <c r="FW332" s="105"/>
      <c r="FX332" s="105"/>
      <c r="FY332" s="105"/>
      <c r="FZ332" s="105"/>
      <c r="GA332" s="105"/>
      <c r="GB332" s="105"/>
      <c r="GC332" s="105"/>
      <c r="GD332" s="105"/>
      <c r="GE332" s="105"/>
      <c r="GF332" s="105"/>
      <c r="GG332" s="105"/>
      <c r="GH332" s="105"/>
      <c r="GI332" s="105"/>
      <c r="GJ332" s="105"/>
      <c r="GK332" s="105"/>
      <c r="GL332" s="105"/>
      <c r="GM332" s="105"/>
      <c r="GN332" s="105"/>
      <c r="GO332" s="105"/>
      <c r="GP332" s="105"/>
      <c r="GQ332" s="105"/>
      <c r="GR332" s="105"/>
      <c r="GS332" s="105"/>
      <c r="GT332" s="105"/>
      <c r="GU332" s="105"/>
      <c r="GV332" s="105"/>
      <c r="GW332" s="105"/>
      <c r="GX332" s="105"/>
      <c r="GY332" s="105"/>
      <c r="GZ332" s="105"/>
      <c r="HA332" s="105"/>
      <c r="HB332" s="105"/>
      <c r="HC332" s="105"/>
      <c r="HD332" s="105"/>
      <c r="HE332" s="105"/>
      <c r="HF332" s="105"/>
      <c r="HG332" s="105"/>
      <c r="HH332" s="105"/>
      <c r="HI332" s="105"/>
      <c r="HJ332" s="105"/>
      <c r="HK332" s="105"/>
      <c r="HL332" s="105"/>
      <c r="HM332" s="105"/>
      <c r="HN332" s="105"/>
      <c r="HO332" s="105"/>
      <c r="HP332" s="105"/>
      <c r="HQ332" s="105"/>
      <c r="HR332" s="105"/>
      <c r="HS332" s="105"/>
      <c r="HT332" s="105"/>
      <c r="HU332" s="105"/>
      <c r="HV332" s="105"/>
      <c r="HW332" s="105"/>
      <c r="HX332" s="105"/>
      <c r="HY332" s="105"/>
      <c r="HZ332" s="105"/>
      <c r="IA332" s="105"/>
      <c r="IB332" s="105"/>
      <c r="IC332" s="105"/>
      <c r="ID332" s="105"/>
      <c r="IE332" s="105"/>
      <c r="IF332" s="105"/>
      <c r="IG332" s="105"/>
      <c r="IH332" s="105"/>
      <c r="II332" s="105"/>
      <c r="IJ332" s="105"/>
      <c r="IK332" s="105"/>
      <c r="IL332" s="105"/>
      <c r="IM332" s="105"/>
      <c r="IN332" s="105"/>
      <c r="IO332" s="105"/>
      <c r="IP332" s="105"/>
      <c r="IQ332" s="105"/>
      <c r="IR332" s="105"/>
      <c r="IS332" s="105"/>
    </row>
    <row r="333" spans="1:253">
      <c r="A333" s="116"/>
      <c r="B333" s="105"/>
      <c r="C333" s="116"/>
      <c r="D333" s="116"/>
      <c r="E333" s="116"/>
      <c r="F333" s="116"/>
      <c r="G333" s="116"/>
      <c r="H333" s="116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  <c r="BF333" s="105"/>
      <c r="BG333" s="105"/>
      <c r="BH333" s="105"/>
      <c r="BI333" s="105"/>
      <c r="BJ333" s="105"/>
      <c r="BK333" s="105"/>
      <c r="BL333" s="105"/>
      <c r="BM333" s="105"/>
      <c r="BN333" s="105"/>
      <c r="BO333" s="105"/>
      <c r="BP333" s="105"/>
      <c r="BQ333" s="105"/>
      <c r="BR333" s="105"/>
      <c r="BS333" s="105"/>
      <c r="BT333" s="105"/>
      <c r="BU333" s="105"/>
      <c r="BV333" s="105"/>
      <c r="BW333" s="105"/>
      <c r="BX333" s="105"/>
      <c r="BY333" s="105"/>
      <c r="BZ333" s="105"/>
      <c r="CA333" s="105"/>
      <c r="CB333" s="105"/>
      <c r="CC333" s="105"/>
      <c r="CD333" s="105"/>
      <c r="CE333" s="105"/>
      <c r="CF333" s="105"/>
      <c r="CG333" s="105"/>
      <c r="CH333" s="105"/>
      <c r="CI333" s="105"/>
      <c r="CJ333" s="105"/>
      <c r="CK333" s="105"/>
      <c r="CL333" s="105"/>
      <c r="CM333" s="105"/>
      <c r="CN333" s="105"/>
      <c r="CO333" s="105"/>
      <c r="CP333" s="105"/>
      <c r="CQ333" s="105"/>
      <c r="CR333" s="105"/>
      <c r="CS333" s="105"/>
      <c r="CT333" s="105"/>
      <c r="CU333" s="105"/>
      <c r="CV333" s="105"/>
      <c r="CW333" s="105"/>
      <c r="CX333" s="105"/>
      <c r="CY333" s="105"/>
      <c r="CZ333" s="105"/>
      <c r="DA333" s="105"/>
      <c r="DB333" s="105"/>
      <c r="DC333" s="105"/>
      <c r="DD333" s="105"/>
      <c r="DE333" s="105"/>
      <c r="DF333" s="105"/>
      <c r="DG333" s="105"/>
      <c r="DH333" s="105"/>
      <c r="DI333" s="105"/>
      <c r="DJ333" s="105"/>
      <c r="DK333" s="105"/>
      <c r="DL333" s="105"/>
      <c r="DM333" s="105"/>
      <c r="DN333" s="105"/>
      <c r="DO333" s="105"/>
      <c r="DP333" s="105"/>
      <c r="DQ333" s="105"/>
      <c r="DR333" s="105"/>
      <c r="DS333" s="105"/>
      <c r="DT333" s="105"/>
      <c r="DU333" s="105"/>
      <c r="DV333" s="105"/>
      <c r="DW333" s="105"/>
      <c r="DX333" s="105"/>
      <c r="DY333" s="105"/>
      <c r="DZ333" s="105"/>
      <c r="EA333" s="105"/>
      <c r="EB333" s="105"/>
      <c r="EC333" s="105"/>
      <c r="ED333" s="105"/>
      <c r="EE333" s="105"/>
      <c r="EF333" s="105"/>
      <c r="EG333" s="105"/>
      <c r="EH333" s="105"/>
      <c r="EI333" s="105"/>
      <c r="EJ333" s="105"/>
      <c r="EK333" s="105"/>
      <c r="EL333" s="105"/>
      <c r="EM333" s="105"/>
      <c r="EN333" s="105"/>
      <c r="EO333" s="105"/>
      <c r="EP333" s="105"/>
      <c r="EQ333" s="105"/>
      <c r="ER333" s="105"/>
      <c r="ES333" s="105"/>
      <c r="ET333" s="105"/>
      <c r="EU333" s="105"/>
      <c r="EV333" s="105"/>
      <c r="EW333" s="105"/>
      <c r="EX333" s="105"/>
      <c r="EY333" s="105"/>
      <c r="EZ333" s="105"/>
      <c r="FA333" s="105"/>
      <c r="FB333" s="105"/>
      <c r="FC333" s="105"/>
      <c r="FD333" s="105"/>
      <c r="FE333" s="105"/>
      <c r="FF333" s="105"/>
      <c r="FG333" s="105"/>
      <c r="FH333" s="105"/>
      <c r="FI333" s="105"/>
      <c r="FJ333" s="105"/>
      <c r="FK333" s="105"/>
      <c r="FL333" s="105"/>
      <c r="FM333" s="105"/>
      <c r="FN333" s="105"/>
      <c r="FO333" s="105"/>
      <c r="FP333" s="105"/>
      <c r="FQ333" s="105"/>
      <c r="FR333" s="105"/>
      <c r="FS333" s="105"/>
      <c r="FT333" s="105"/>
      <c r="FU333" s="105"/>
      <c r="FV333" s="105"/>
      <c r="FW333" s="105"/>
      <c r="FX333" s="105"/>
      <c r="FY333" s="105"/>
      <c r="FZ333" s="105"/>
      <c r="GA333" s="105"/>
      <c r="GB333" s="105"/>
      <c r="GC333" s="105"/>
      <c r="GD333" s="105"/>
      <c r="GE333" s="105"/>
      <c r="GF333" s="105"/>
      <c r="GG333" s="105"/>
      <c r="GH333" s="105"/>
      <c r="GI333" s="105"/>
      <c r="GJ333" s="105"/>
      <c r="GK333" s="105"/>
      <c r="GL333" s="105"/>
      <c r="GM333" s="105"/>
      <c r="GN333" s="105"/>
      <c r="GO333" s="105"/>
      <c r="GP333" s="105"/>
      <c r="GQ333" s="105"/>
      <c r="GR333" s="105"/>
      <c r="GS333" s="105"/>
      <c r="GT333" s="105"/>
      <c r="GU333" s="105"/>
      <c r="GV333" s="105"/>
      <c r="GW333" s="105"/>
      <c r="GX333" s="105"/>
      <c r="GY333" s="105"/>
      <c r="GZ333" s="105"/>
      <c r="HA333" s="105"/>
      <c r="HB333" s="105"/>
      <c r="HC333" s="105"/>
      <c r="HD333" s="105"/>
      <c r="HE333" s="105"/>
      <c r="HF333" s="105"/>
      <c r="HG333" s="105"/>
      <c r="HH333" s="105"/>
      <c r="HI333" s="105"/>
      <c r="HJ333" s="105"/>
      <c r="HK333" s="105"/>
      <c r="HL333" s="105"/>
      <c r="HM333" s="105"/>
      <c r="HN333" s="105"/>
      <c r="HO333" s="105"/>
      <c r="HP333" s="105"/>
      <c r="HQ333" s="105"/>
      <c r="HR333" s="105"/>
      <c r="HS333" s="105"/>
      <c r="HT333" s="105"/>
      <c r="HU333" s="105"/>
      <c r="HV333" s="105"/>
      <c r="HW333" s="105"/>
      <c r="HX333" s="105"/>
      <c r="HY333" s="105"/>
      <c r="HZ333" s="105"/>
      <c r="IA333" s="105"/>
      <c r="IB333" s="105"/>
      <c r="IC333" s="105"/>
      <c r="ID333" s="105"/>
      <c r="IE333" s="105"/>
      <c r="IF333" s="105"/>
      <c r="IG333" s="105"/>
      <c r="IH333" s="105"/>
      <c r="II333" s="105"/>
      <c r="IJ333" s="105"/>
      <c r="IK333" s="105"/>
      <c r="IL333" s="105"/>
      <c r="IM333" s="105"/>
      <c r="IN333" s="105"/>
      <c r="IO333" s="105"/>
      <c r="IP333" s="105"/>
      <c r="IQ333" s="105"/>
      <c r="IR333" s="105"/>
      <c r="IS333" s="105"/>
    </row>
    <row r="334" spans="1:253">
      <c r="A334" s="116"/>
      <c r="B334" s="105"/>
      <c r="C334" s="116"/>
      <c r="D334" s="116"/>
      <c r="E334" s="116"/>
      <c r="F334" s="116"/>
      <c r="G334" s="116"/>
      <c r="H334" s="116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05"/>
      <c r="BG334" s="105"/>
      <c r="BH334" s="105"/>
      <c r="BI334" s="105"/>
      <c r="BJ334" s="105"/>
      <c r="BK334" s="105"/>
      <c r="BL334" s="105"/>
      <c r="BM334" s="105"/>
      <c r="BN334" s="105"/>
      <c r="BO334" s="105"/>
      <c r="BP334" s="105"/>
      <c r="BQ334" s="105"/>
      <c r="BR334" s="105"/>
      <c r="BS334" s="105"/>
      <c r="BT334" s="105"/>
      <c r="BU334" s="105"/>
      <c r="BV334" s="105"/>
      <c r="BW334" s="105"/>
      <c r="BX334" s="105"/>
      <c r="BY334" s="105"/>
      <c r="BZ334" s="105"/>
      <c r="CA334" s="105"/>
      <c r="CB334" s="105"/>
      <c r="CC334" s="105"/>
      <c r="CD334" s="105"/>
      <c r="CE334" s="105"/>
      <c r="CF334" s="105"/>
      <c r="CG334" s="105"/>
      <c r="CH334" s="105"/>
      <c r="CI334" s="105"/>
      <c r="CJ334" s="105"/>
      <c r="CK334" s="105"/>
      <c r="CL334" s="105"/>
      <c r="CM334" s="105"/>
      <c r="CN334" s="105"/>
      <c r="CO334" s="105"/>
      <c r="CP334" s="105"/>
      <c r="CQ334" s="105"/>
      <c r="CR334" s="105"/>
      <c r="CS334" s="105"/>
      <c r="CT334" s="105"/>
      <c r="CU334" s="105"/>
      <c r="CV334" s="105"/>
      <c r="CW334" s="105"/>
      <c r="CX334" s="105"/>
      <c r="CY334" s="105"/>
      <c r="CZ334" s="105"/>
      <c r="DA334" s="105"/>
      <c r="DB334" s="105"/>
      <c r="DC334" s="105"/>
      <c r="DD334" s="105"/>
      <c r="DE334" s="105"/>
      <c r="DF334" s="105"/>
      <c r="DG334" s="105"/>
      <c r="DH334" s="105"/>
      <c r="DI334" s="105"/>
      <c r="DJ334" s="105"/>
      <c r="DK334" s="105"/>
      <c r="DL334" s="105"/>
      <c r="DM334" s="105"/>
      <c r="DN334" s="105"/>
      <c r="DO334" s="105"/>
      <c r="DP334" s="105"/>
      <c r="DQ334" s="105"/>
      <c r="DR334" s="105"/>
      <c r="DS334" s="105"/>
      <c r="DT334" s="105"/>
      <c r="DU334" s="105"/>
      <c r="DV334" s="105"/>
      <c r="DW334" s="105"/>
      <c r="DX334" s="105"/>
      <c r="DY334" s="105"/>
      <c r="DZ334" s="105"/>
      <c r="EA334" s="105"/>
      <c r="EB334" s="105"/>
      <c r="EC334" s="105"/>
      <c r="ED334" s="105"/>
      <c r="EE334" s="105"/>
      <c r="EF334" s="105"/>
      <c r="EG334" s="105"/>
      <c r="EH334" s="105"/>
      <c r="EI334" s="105"/>
      <c r="EJ334" s="105"/>
      <c r="EK334" s="105"/>
      <c r="EL334" s="105"/>
      <c r="EM334" s="105"/>
      <c r="EN334" s="105"/>
      <c r="EO334" s="105"/>
      <c r="EP334" s="105"/>
      <c r="EQ334" s="105"/>
      <c r="ER334" s="105"/>
      <c r="ES334" s="105"/>
      <c r="ET334" s="105"/>
      <c r="EU334" s="105"/>
      <c r="EV334" s="105"/>
      <c r="EW334" s="105"/>
      <c r="EX334" s="105"/>
      <c r="EY334" s="105"/>
      <c r="EZ334" s="105"/>
      <c r="FA334" s="105"/>
      <c r="FB334" s="105"/>
      <c r="FC334" s="105"/>
      <c r="FD334" s="105"/>
      <c r="FE334" s="105"/>
      <c r="FF334" s="105"/>
      <c r="FG334" s="105"/>
      <c r="FH334" s="105"/>
      <c r="FI334" s="105"/>
      <c r="FJ334" s="105"/>
      <c r="FK334" s="105"/>
      <c r="FL334" s="105"/>
      <c r="FM334" s="105"/>
      <c r="FN334" s="105"/>
      <c r="FO334" s="105"/>
      <c r="FP334" s="105"/>
      <c r="FQ334" s="105"/>
      <c r="FR334" s="105"/>
      <c r="FS334" s="105"/>
      <c r="FT334" s="105"/>
      <c r="FU334" s="105"/>
      <c r="FV334" s="105"/>
      <c r="FW334" s="105"/>
      <c r="FX334" s="105"/>
      <c r="FY334" s="105"/>
      <c r="FZ334" s="105"/>
      <c r="GA334" s="105"/>
      <c r="GB334" s="105"/>
      <c r="GC334" s="105"/>
      <c r="GD334" s="105"/>
      <c r="GE334" s="105"/>
      <c r="GF334" s="105"/>
      <c r="GG334" s="105"/>
      <c r="GH334" s="105"/>
      <c r="GI334" s="105"/>
      <c r="GJ334" s="105"/>
      <c r="GK334" s="105"/>
      <c r="GL334" s="105"/>
      <c r="GM334" s="105"/>
      <c r="GN334" s="105"/>
      <c r="GO334" s="105"/>
      <c r="GP334" s="105"/>
      <c r="GQ334" s="105"/>
      <c r="GR334" s="105"/>
      <c r="GS334" s="105"/>
      <c r="GT334" s="105"/>
      <c r="GU334" s="105"/>
      <c r="GV334" s="105"/>
      <c r="GW334" s="105"/>
      <c r="GX334" s="105"/>
      <c r="GY334" s="105"/>
      <c r="GZ334" s="105"/>
      <c r="HA334" s="105"/>
      <c r="HB334" s="105"/>
      <c r="HC334" s="105"/>
      <c r="HD334" s="105"/>
      <c r="HE334" s="105"/>
      <c r="HF334" s="105"/>
      <c r="HG334" s="105"/>
      <c r="HH334" s="105"/>
      <c r="HI334" s="105"/>
      <c r="HJ334" s="105"/>
      <c r="HK334" s="105"/>
      <c r="HL334" s="105"/>
      <c r="HM334" s="105"/>
      <c r="HN334" s="105"/>
      <c r="HO334" s="105"/>
      <c r="HP334" s="105"/>
      <c r="HQ334" s="105"/>
      <c r="HR334" s="105"/>
      <c r="HS334" s="105"/>
      <c r="HT334" s="105"/>
      <c r="HU334" s="105"/>
      <c r="HV334" s="105"/>
      <c r="HW334" s="105"/>
      <c r="HX334" s="105"/>
      <c r="HY334" s="105"/>
      <c r="HZ334" s="105"/>
      <c r="IA334" s="105"/>
      <c r="IB334" s="105"/>
      <c r="IC334" s="105"/>
      <c r="ID334" s="105"/>
      <c r="IE334" s="105"/>
      <c r="IF334" s="105"/>
      <c r="IG334" s="105"/>
      <c r="IH334" s="105"/>
      <c r="II334" s="105"/>
      <c r="IJ334" s="105"/>
      <c r="IK334" s="105"/>
      <c r="IL334" s="105"/>
      <c r="IM334" s="105"/>
      <c r="IN334" s="105"/>
      <c r="IO334" s="105"/>
      <c r="IP334" s="105"/>
      <c r="IQ334" s="105"/>
      <c r="IR334" s="105"/>
      <c r="IS334" s="105"/>
    </row>
    <row r="335" spans="1:253">
      <c r="A335" s="116"/>
      <c r="B335" s="105"/>
      <c r="C335" s="116"/>
      <c r="D335" s="116"/>
      <c r="E335" s="116"/>
      <c r="F335" s="116"/>
      <c r="G335" s="116"/>
      <c r="H335" s="116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  <c r="BF335" s="105"/>
      <c r="BG335" s="105"/>
      <c r="BH335" s="105"/>
      <c r="BI335" s="105"/>
      <c r="BJ335" s="105"/>
      <c r="BK335" s="105"/>
      <c r="BL335" s="105"/>
      <c r="BM335" s="105"/>
      <c r="BN335" s="105"/>
      <c r="BO335" s="105"/>
      <c r="BP335" s="105"/>
      <c r="BQ335" s="105"/>
      <c r="BR335" s="105"/>
      <c r="BS335" s="105"/>
      <c r="BT335" s="105"/>
      <c r="BU335" s="105"/>
      <c r="BV335" s="105"/>
      <c r="BW335" s="105"/>
      <c r="BX335" s="105"/>
      <c r="BY335" s="105"/>
      <c r="BZ335" s="105"/>
      <c r="CA335" s="105"/>
      <c r="CB335" s="105"/>
      <c r="CC335" s="105"/>
      <c r="CD335" s="105"/>
      <c r="CE335" s="105"/>
      <c r="CF335" s="105"/>
      <c r="CG335" s="105"/>
      <c r="CH335" s="105"/>
      <c r="CI335" s="105"/>
      <c r="CJ335" s="105"/>
      <c r="CK335" s="105"/>
      <c r="CL335" s="105"/>
      <c r="CM335" s="105"/>
      <c r="CN335" s="105"/>
      <c r="CO335" s="105"/>
      <c r="CP335" s="105"/>
      <c r="CQ335" s="105"/>
      <c r="CR335" s="105"/>
      <c r="CS335" s="105"/>
      <c r="CT335" s="105"/>
      <c r="CU335" s="105"/>
      <c r="CV335" s="105"/>
      <c r="CW335" s="105"/>
      <c r="CX335" s="105"/>
      <c r="CY335" s="105"/>
      <c r="CZ335" s="105"/>
      <c r="DA335" s="105"/>
      <c r="DB335" s="105"/>
      <c r="DC335" s="105"/>
      <c r="DD335" s="105"/>
      <c r="DE335" s="105"/>
      <c r="DF335" s="105"/>
      <c r="DG335" s="105"/>
      <c r="DH335" s="105"/>
      <c r="DI335" s="105"/>
      <c r="DJ335" s="105"/>
      <c r="DK335" s="105"/>
      <c r="DL335" s="105"/>
      <c r="DM335" s="105"/>
      <c r="DN335" s="105"/>
      <c r="DO335" s="105"/>
      <c r="DP335" s="105"/>
      <c r="DQ335" s="105"/>
      <c r="DR335" s="105"/>
      <c r="DS335" s="105"/>
      <c r="DT335" s="105"/>
      <c r="DU335" s="105"/>
      <c r="DV335" s="105"/>
      <c r="DW335" s="105"/>
      <c r="DX335" s="105"/>
      <c r="DY335" s="105"/>
      <c r="DZ335" s="105"/>
      <c r="EA335" s="105"/>
      <c r="EB335" s="105"/>
      <c r="EC335" s="105"/>
      <c r="ED335" s="105"/>
      <c r="EE335" s="105"/>
      <c r="EF335" s="105"/>
      <c r="EG335" s="105"/>
      <c r="EH335" s="105"/>
      <c r="EI335" s="105"/>
      <c r="EJ335" s="105"/>
      <c r="EK335" s="105"/>
      <c r="EL335" s="105"/>
      <c r="EM335" s="105"/>
      <c r="EN335" s="105"/>
      <c r="EO335" s="105"/>
      <c r="EP335" s="105"/>
      <c r="EQ335" s="105"/>
      <c r="ER335" s="105"/>
      <c r="ES335" s="105"/>
      <c r="ET335" s="105"/>
      <c r="EU335" s="105"/>
      <c r="EV335" s="105"/>
      <c r="EW335" s="105"/>
      <c r="EX335" s="105"/>
      <c r="EY335" s="105"/>
      <c r="EZ335" s="105"/>
      <c r="FA335" s="105"/>
      <c r="FB335" s="105"/>
      <c r="FC335" s="105"/>
      <c r="FD335" s="105"/>
      <c r="FE335" s="105"/>
      <c r="FF335" s="105"/>
      <c r="FG335" s="105"/>
      <c r="FH335" s="105"/>
      <c r="FI335" s="105"/>
      <c r="FJ335" s="105"/>
      <c r="FK335" s="105"/>
      <c r="FL335" s="105"/>
      <c r="FM335" s="105"/>
      <c r="FN335" s="105"/>
      <c r="FO335" s="105"/>
      <c r="FP335" s="105"/>
      <c r="FQ335" s="105"/>
      <c r="FR335" s="105"/>
      <c r="FS335" s="105"/>
      <c r="FT335" s="105"/>
      <c r="FU335" s="105"/>
      <c r="FV335" s="105"/>
      <c r="FW335" s="105"/>
      <c r="FX335" s="105"/>
      <c r="FY335" s="105"/>
      <c r="FZ335" s="105"/>
      <c r="GA335" s="105"/>
      <c r="GB335" s="105"/>
      <c r="GC335" s="105"/>
      <c r="GD335" s="105"/>
      <c r="GE335" s="105"/>
      <c r="GF335" s="105"/>
      <c r="GG335" s="105"/>
      <c r="GH335" s="105"/>
      <c r="GI335" s="105"/>
      <c r="GJ335" s="105"/>
      <c r="GK335" s="105"/>
      <c r="GL335" s="105"/>
      <c r="GM335" s="105"/>
      <c r="GN335" s="105"/>
      <c r="GO335" s="105"/>
      <c r="GP335" s="105"/>
      <c r="GQ335" s="105"/>
      <c r="GR335" s="105"/>
      <c r="GS335" s="105"/>
      <c r="GT335" s="105"/>
      <c r="GU335" s="105"/>
      <c r="GV335" s="105"/>
      <c r="GW335" s="105"/>
      <c r="GX335" s="105"/>
      <c r="GY335" s="105"/>
      <c r="GZ335" s="105"/>
      <c r="HA335" s="105"/>
      <c r="HB335" s="105"/>
      <c r="HC335" s="105"/>
      <c r="HD335" s="105"/>
      <c r="HE335" s="105"/>
      <c r="HF335" s="105"/>
      <c r="HG335" s="105"/>
      <c r="HH335" s="105"/>
      <c r="HI335" s="105"/>
      <c r="HJ335" s="105"/>
      <c r="HK335" s="105"/>
      <c r="HL335" s="105"/>
      <c r="HM335" s="105"/>
      <c r="HN335" s="105"/>
      <c r="HO335" s="105"/>
      <c r="HP335" s="105"/>
      <c r="HQ335" s="105"/>
      <c r="HR335" s="105"/>
      <c r="HS335" s="105"/>
      <c r="HT335" s="105"/>
      <c r="HU335" s="105"/>
      <c r="HV335" s="105"/>
      <c r="HW335" s="105"/>
      <c r="HX335" s="105"/>
      <c r="HY335" s="105"/>
      <c r="HZ335" s="105"/>
      <c r="IA335" s="105"/>
      <c r="IB335" s="105"/>
      <c r="IC335" s="105"/>
      <c r="ID335" s="105"/>
      <c r="IE335" s="105"/>
      <c r="IF335" s="105"/>
      <c r="IG335" s="105"/>
      <c r="IH335" s="105"/>
      <c r="II335" s="105"/>
      <c r="IJ335" s="105"/>
      <c r="IK335" s="105"/>
      <c r="IL335" s="105"/>
      <c r="IM335" s="105"/>
      <c r="IN335" s="105"/>
      <c r="IO335" s="105"/>
      <c r="IP335" s="105"/>
      <c r="IQ335" s="105"/>
      <c r="IR335" s="105"/>
      <c r="IS335" s="105"/>
    </row>
    <row r="336" spans="1:253">
      <c r="A336" s="116"/>
      <c r="B336" s="105"/>
      <c r="C336" s="116"/>
      <c r="D336" s="116"/>
      <c r="E336" s="116"/>
      <c r="F336" s="116"/>
      <c r="G336" s="116"/>
      <c r="H336" s="116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05"/>
      <c r="BG336" s="105"/>
      <c r="BH336" s="105"/>
      <c r="BI336" s="105"/>
      <c r="BJ336" s="105"/>
      <c r="BK336" s="105"/>
      <c r="BL336" s="105"/>
      <c r="BM336" s="105"/>
      <c r="BN336" s="105"/>
      <c r="BO336" s="105"/>
      <c r="BP336" s="105"/>
      <c r="BQ336" s="105"/>
      <c r="BR336" s="105"/>
      <c r="BS336" s="105"/>
      <c r="BT336" s="105"/>
      <c r="BU336" s="105"/>
      <c r="BV336" s="105"/>
      <c r="BW336" s="105"/>
      <c r="BX336" s="105"/>
      <c r="BY336" s="105"/>
      <c r="BZ336" s="105"/>
      <c r="CA336" s="105"/>
      <c r="CB336" s="105"/>
      <c r="CC336" s="105"/>
      <c r="CD336" s="105"/>
      <c r="CE336" s="105"/>
      <c r="CF336" s="105"/>
      <c r="CG336" s="105"/>
      <c r="CH336" s="105"/>
      <c r="CI336" s="105"/>
      <c r="CJ336" s="105"/>
      <c r="CK336" s="105"/>
      <c r="CL336" s="105"/>
      <c r="CM336" s="105"/>
      <c r="CN336" s="105"/>
      <c r="CO336" s="105"/>
      <c r="CP336" s="105"/>
      <c r="CQ336" s="105"/>
      <c r="CR336" s="105"/>
      <c r="CS336" s="105"/>
      <c r="CT336" s="105"/>
      <c r="CU336" s="105"/>
      <c r="CV336" s="105"/>
      <c r="CW336" s="105"/>
      <c r="CX336" s="105"/>
      <c r="CY336" s="105"/>
      <c r="CZ336" s="105"/>
      <c r="DA336" s="105"/>
      <c r="DB336" s="105"/>
      <c r="DC336" s="105"/>
      <c r="DD336" s="105"/>
      <c r="DE336" s="105"/>
      <c r="DF336" s="105"/>
      <c r="DG336" s="105"/>
      <c r="DH336" s="105"/>
      <c r="DI336" s="105"/>
      <c r="DJ336" s="105"/>
      <c r="DK336" s="105"/>
      <c r="DL336" s="105"/>
      <c r="DM336" s="105"/>
      <c r="DN336" s="105"/>
      <c r="DO336" s="105"/>
      <c r="DP336" s="105"/>
      <c r="DQ336" s="105"/>
      <c r="DR336" s="105"/>
      <c r="DS336" s="105"/>
      <c r="DT336" s="105"/>
      <c r="DU336" s="105"/>
      <c r="DV336" s="105"/>
      <c r="DW336" s="105"/>
      <c r="DX336" s="105"/>
      <c r="DY336" s="105"/>
      <c r="DZ336" s="105"/>
      <c r="EA336" s="105"/>
      <c r="EB336" s="105"/>
      <c r="EC336" s="105"/>
      <c r="ED336" s="105"/>
      <c r="EE336" s="105"/>
      <c r="EF336" s="105"/>
      <c r="EG336" s="105"/>
      <c r="EH336" s="105"/>
      <c r="EI336" s="105"/>
      <c r="EJ336" s="105"/>
      <c r="EK336" s="105"/>
      <c r="EL336" s="105"/>
      <c r="EM336" s="105"/>
      <c r="EN336" s="105"/>
      <c r="EO336" s="105"/>
      <c r="EP336" s="105"/>
      <c r="EQ336" s="105"/>
      <c r="ER336" s="105"/>
      <c r="ES336" s="105"/>
      <c r="ET336" s="105"/>
      <c r="EU336" s="105"/>
      <c r="EV336" s="105"/>
      <c r="EW336" s="105"/>
      <c r="EX336" s="105"/>
      <c r="EY336" s="105"/>
      <c r="EZ336" s="105"/>
      <c r="FA336" s="105"/>
      <c r="FB336" s="105"/>
      <c r="FC336" s="105"/>
      <c r="FD336" s="105"/>
      <c r="FE336" s="105"/>
      <c r="FF336" s="105"/>
      <c r="FG336" s="105"/>
      <c r="FH336" s="105"/>
      <c r="FI336" s="105"/>
      <c r="FJ336" s="105"/>
      <c r="FK336" s="105"/>
      <c r="FL336" s="105"/>
      <c r="FM336" s="105"/>
      <c r="FN336" s="105"/>
      <c r="FO336" s="105"/>
      <c r="FP336" s="105"/>
      <c r="FQ336" s="105"/>
      <c r="FR336" s="105"/>
      <c r="FS336" s="105"/>
      <c r="FT336" s="105"/>
      <c r="FU336" s="105"/>
      <c r="FV336" s="105"/>
      <c r="FW336" s="105"/>
      <c r="FX336" s="105"/>
      <c r="FY336" s="105"/>
      <c r="FZ336" s="105"/>
      <c r="GA336" s="105"/>
      <c r="GB336" s="105"/>
      <c r="GC336" s="105"/>
      <c r="GD336" s="105"/>
      <c r="GE336" s="105"/>
      <c r="GF336" s="105"/>
      <c r="GG336" s="105"/>
      <c r="GH336" s="105"/>
      <c r="GI336" s="105"/>
      <c r="GJ336" s="105"/>
      <c r="GK336" s="105"/>
      <c r="GL336" s="105"/>
      <c r="GM336" s="105"/>
      <c r="GN336" s="105"/>
      <c r="GO336" s="105"/>
      <c r="GP336" s="105"/>
      <c r="GQ336" s="105"/>
      <c r="GR336" s="105"/>
      <c r="GS336" s="105"/>
      <c r="GT336" s="105"/>
      <c r="GU336" s="105"/>
      <c r="GV336" s="105"/>
      <c r="GW336" s="105"/>
      <c r="GX336" s="105"/>
      <c r="GY336" s="105"/>
      <c r="GZ336" s="105"/>
      <c r="HA336" s="105"/>
      <c r="HB336" s="105"/>
      <c r="HC336" s="105"/>
      <c r="HD336" s="105"/>
      <c r="HE336" s="105"/>
      <c r="HF336" s="105"/>
      <c r="HG336" s="105"/>
      <c r="HH336" s="105"/>
      <c r="HI336" s="105"/>
      <c r="HJ336" s="105"/>
      <c r="HK336" s="105"/>
      <c r="HL336" s="105"/>
      <c r="HM336" s="105"/>
      <c r="HN336" s="105"/>
      <c r="HO336" s="105"/>
      <c r="HP336" s="105"/>
      <c r="HQ336" s="105"/>
      <c r="HR336" s="105"/>
      <c r="HS336" s="105"/>
      <c r="HT336" s="105"/>
      <c r="HU336" s="105"/>
      <c r="HV336" s="105"/>
      <c r="HW336" s="105"/>
      <c r="HX336" s="105"/>
      <c r="HY336" s="105"/>
      <c r="HZ336" s="105"/>
      <c r="IA336" s="105"/>
      <c r="IB336" s="105"/>
      <c r="IC336" s="105"/>
      <c r="ID336" s="105"/>
      <c r="IE336" s="105"/>
      <c r="IF336" s="105"/>
      <c r="IG336" s="105"/>
      <c r="IH336" s="105"/>
      <c r="II336" s="105"/>
      <c r="IJ336" s="105"/>
      <c r="IK336" s="105"/>
      <c r="IL336" s="105"/>
      <c r="IM336" s="105"/>
      <c r="IN336" s="105"/>
      <c r="IO336" s="105"/>
      <c r="IP336" s="105"/>
      <c r="IQ336" s="105"/>
      <c r="IR336" s="105"/>
      <c r="IS336" s="105"/>
    </row>
    <row r="337" spans="1:253">
      <c r="A337" s="116"/>
      <c r="B337" s="105"/>
      <c r="C337" s="116"/>
      <c r="D337" s="116"/>
      <c r="E337" s="116"/>
      <c r="F337" s="116"/>
      <c r="G337" s="116"/>
      <c r="H337" s="116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  <c r="BF337" s="105"/>
      <c r="BG337" s="105"/>
      <c r="BH337" s="105"/>
      <c r="BI337" s="105"/>
      <c r="BJ337" s="105"/>
      <c r="BK337" s="105"/>
      <c r="BL337" s="105"/>
      <c r="BM337" s="105"/>
      <c r="BN337" s="105"/>
      <c r="BO337" s="105"/>
      <c r="BP337" s="105"/>
      <c r="BQ337" s="105"/>
      <c r="BR337" s="105"/>
      <c r="BS337" s="105"/>
      <c r="BT337" s="105"/>
      <c r="BU337" s="105"/>
      <c r="BV337" s="105"/>
      <c r="BW337" s="105"/>
      <c r="BX337" s="105"/>
      <c r="BY337" s="105"/>
      <c r="BZ337" s="105"/>
      <c r="CA337" s="105"/>
      <c r="CB337" s="105"/>
      <c r="CC337" s="105"/>
      <c r="CD337" s="105"/>
      <c r="CE337" s="105"/>
      <c r="CF337" s="105"/>
      <c r="CG337" s="105"/>
      <c r="CH337" s="105"/>
      <c r="CI337" s="105"/>
      <c r="CJ337" s="105"/>
      <c r="CK337" s="105"/>
      <c r="CL337" s="105"/>
      <c r="CM337" s="105"/>
      <c r="CN337" s="105"/>
      <c r="CO337" s="105"/>
      <c r="CP337" s="105"/>
      <c r="CQ337" s="105"/>
      <c r="CR337" s="105"/>
      <c r="CS337" s="105"/>
      <c r="CT337" s="105"/>
      <c r="CU337" s="105"/>
      <c r="CV337" s="105"/>
      <c r="CW337" s="105"/>
      <c r="CX337" s="105"/>
      <c r="CY337" s="105"/>
      <c r="CZ337" s="105"/>
      <c r="DA337" s="105"/>
      <c r="DB337" s="105"/>
      <c r="DC337" s="105"/>
      <c r="DD337" s="105"/>
      <c r="DE337" s="105"/>
      <c r="DF337" s="105"/>
      <c r="DG337" s="105"/>
      <c r="DH337" s="105"/>
      <c r="DI337" s="105"/>
      <c r="DJ337" s="105"/>
      <c r="DK337" s="105"/>
      <c r="DL337" s="105"/>
      <c r="DM337" s="105"/>
      <c r="DN337" s="105"/>
      <c r="DO337" s="105"/>
      <c r="DP337" s="105"/>
      <c r="DQ337" s="105"/>
      <c r="DR337" s="105"/>
      <c r="DS337" s="105"/>
      <c r="DT337" s="105"/>
      <c r="DU337" s="105"/>
      <c r="DV337" s="105"/>
      <c r="DW337" s="105"/>
      <c r="DX337" s="105"/>
      <c r="DY337" s="105"/>
      <c r="DZ337" s="105"/>
      <c r="EA337" s="105"/>
      <c r="EB337" s="105"/>
      <c r="EC337" s="105"/>
      <c r="ED337" s="105"/>
      <c r="EE337" s="105"/>
      <c r="EF337" s="105"/>
      <c r="EG337" s="105"/>
      <c r="EH337" s="105"/>
      <c r="EI337" s="105"/>
      <c r="EJ337" s="105"/>
      <c r="EK337" s="105"/>
      <c r="EL337" s="105"/>
      <c r="EM337" s="105"/>
      <c r="EN337" s="105"/>
      <c r="EO337" s="105"/>
      <c r="EP337" s="105"/>
      <c r="EQ337" s="105"/>
      <c r="ER337" s="105"/>
      <c r="ES337" s="105"/>
      <c r="ET337" s="105"/>
      <c r="EU337" s="105"/>
      <c r="EV337" s="105"/>
      <c r="EW337" s="105"/>
      <c r="EX337" s="105"/>
      <c r="EY337" s="105"/>
      <c r="EZ337" s="105"/>
      <c r="FA337" s="105"/>
      <c r="FB337" s="105"/>
      <c r="FC337" s="105"/>
      <c r="FD337" s="105"/>
      <c r="FE337" s="105"/>
      <c r="FF337" s="105"/>
      <c r="FG337" s="105"/>
      <c r="FH337" s="105"/>
      <c r="FI337" s="105"/>
      <c r="FJ337" s="105"/>
      <c r="FK337" s="105"/>
      <c r="FL337" s="105"/>
      <c r="FM337" s="105"/>
      <c r="FN337" s="105"/>
      <c r="FO337" s="105"/>
      <c r="FP337" s="105"/>
      <c r="FQ337" s="105"/>
      <c r="FR337" s="105"/>
      <c r="FS337" s="105"/>
      <c r="FT337" s="105"/>
      <c r="FU337" s="105"/>
      <c r="FV337" s="105"/>
      <c r="FW337" s="105"/>
      <c r="FX337" s="105"/>
      <c r="FY337" s="105"/>
      <c r="FZ337" s="105"/>
      <c r="GA337" s="105"/>
      <c r="GB337" s="105"/>
      <c r="GC337" s="105"/>
      <c r="GD337" s="105"/>
      <c r="GE337" s="105"/>
      <c r="GF337" s="105"/>
      <c r="GG337" s="105"/>
      <c r="GH337" s="105"/>
      <c r="GI337" s="105"/>
      <c r="GJ337" s="105"/>
      <c r="GK337" s="105"/>
      <c r="GL337" s="105"/>
      <c r="GM337" s="105"/>
      <c r="GN337" s="105"/>
      <c r="GO337" s="105"/>
      <c r="GP337" s="105"/>
      <c r="GQ337" s="105"/>
      <c r="GR337" s="105"/>
      <c r="GS337" s="105"/>
      <c r="GT337" s="105"/>
      <c r="GU337" s="105"/>
      <c r="GV337" s="105"/>
      <c r="GW337" s="105"/>
      <c r="GX337" s="105"/>
      <c r="GY337" s="105"/>
      <c r="GZ337" s="105"/>
      <c r="HA337" s="105"/>
      <c r="HB337" s="105"/>
      <c r="HC337" s="105"/>
      <c r="HD337" s="105"/>
      <c r="HE337" s="105"/>
      <c r="HF337" s="105"/>
      <c r="HG337" s="105"/>
      <c r="HH337" s="105"/>
      <c r="HI337" s="105"/>
      <c r="HJ337" s="105"/>
      <c r="HK337" s="105"/>
      <c r="HL337" s="105"/>
      <c r="HM337" s="105"/>
      <c r="HN337" s="105"/>
      <c r="HO337" s="105"/>
      <c r="HP337" s="105"/>
      <c r="HQ337" s="105"/>
      <c r="HR337" s="105"/>
      <c r="HS337" s="105"/>
      <c r="HT337" s="105"/>
      <c r="HU337" s="105"/>
      <c r="HV337" s="105"/>
      <c r="HW337" s="105"/>
      <c r="HX337" s="105"/>
      <c r="HY337" s="105"/>
      <c r="HZ337" s="105"/>
      <c r="IA337" s="105"/>
      <c r="IB337" s="105"/>
      <c r="IC337" s="105"/>
      <c r="ID337" s="105"/>
      <c r="IE337" s="105"/>
      <c r="IF337" s="105"/>
      <c r="IG337" s="105"/>
      <c r="IH337" s="105"/>
      <c r="II337" s="105"/>
      <c r="IJ337" s="105"/>
      <c r="IK337" s="105"/>
      <c r="IL337" s="105"/>
      <c r="IM337" s="105"/>
      <c r="IN337" s="105"/>
      <c r="IO337" s="105"/>
      <c r="IP337" s="105"/>
      <c r="IQ337" s="105"/>
      <c r="IR337" s="105"/>
      <c r="IS337" s="105"/>
    </row>
    <row r="338" spans="1:253">
      <c r="A338" s="116"/>
      <c r="B338" s="105"/>
      <c r="C338" s="116"/>
      <c r="D338" s="116"/>
      <c r="E338" s="116"/>
      <c r="F338" s="116"/>
      <c r="G338" s="116"/>
      <c r="H338" s="116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  <c r="BF338" s="105"/>
      <c r="BG338" s="105"/>
      <c r="BH338" s="105"/>
      <c r="BI338" s="105"/>
      <c r="BJ338" s="105"/>
      <c r="BK338" s="105"/>
      <c r="BL338" s="105"/>
      <c r="BM338" s="105"/>
      <c r="BN338" s="105"/>
      <c r="BO338" s="105"/>
      <c r="BP338" s="105"/>
      <c r="BQ338" s="105"/>
      <c r="BR338" s="105"/>
      <c r="BS338" s="105"/>
      <c r="BT338" s="105"/>
      <c r="BU338" s="105"/>
      <c r="BV338" s="105"/>
      <c r="BW338" s="105"/>
      <c r="BX338" s="105"/>
      <c r="BY338" s="105"/>
      <c r="BZ338" s="105"/>
      <c r="CA338" s="105"/>
      <c r="CB338" s="105"/>
      <c r="CC338" s="105"/>
      <c r="CD338" s="105"/>
      <c r="CE338" s="105"/>
      <c r="CF338" s="105"/>
      <c r="CG338" s="105"/>
      <c r="CH338" s="105"/>
      <c r="CI338" s="105"/>
      <c r="CJ338" s="105"/>
      <c r="CK338" s="105"/>
      <c r="CL338" s="105"/>
      <c r="CM338" s="105"/>
      <c r="CN338" s="105"/>
      <c r="CO338" s="105"/>
      <c r="CP338" s="105"/>
      <c r="CQ338" s="105"/>
      <c r="CR338" s="105"/>
      <c r="CS338" s="105"/>
      <c r="CT338" s="105"/>
      <c r="CU338" s="105"/>
      <c r="CV338" s="105"/>
      <c r="CW338" s="105"/>
      <c r="CX338" s="105"/>
      <c r="CY338" s="105"/>
      <c r="CZ338" s="105"/>
      <c r="DA338" s="105"/>
      <c r="DB338" s="105"/>
      <c r="DC338" s="105"/>
      <c r="DD338" s="105"/>
      <c r="DE338" s="105"/>
      <c r="DF338" s="105"/>
      <c r="DG338" s="105"/>
      <c r="DH338" s="105"/>
      <c r="DI338" s="105"/>
      <c r="DJ338" s="105"/>
      <c r="DK338" s="105"/>
      <c r="DL338" s="105"/>
      <c r="DM338" s="105"/>
      <c r="DN338" s="105"/>
      <c r="DO338" s="105"/>
      <c r="DP338" s="105"/>
      <c r="DQ338" s="105"/>
      <c r="DR338" s="105"/>
      <c r="DS338" s="105"/>
      <c r="DT338" s="105"/>
      <c r="DU338" s="105"/>
      <c r="DV338" s="105"/>
      <c r="DW338" s="105"/>
      <c r="DX338" s="105"/>
      <c r="DY338" s="105"/>
      <c r="DZ338" s="105"/>
      <c r="EA338" s="105"/>
      <c r="EB338" s="105"/>
      <c r="EC338" s="105"/>
      <c r="ED338" s="105"/>
      <c r="EE338" s="105"/>
      <c r="EF338" s="105"/>
      <c r="EG338" s="105"/>
      <c r="EH338" s="105"/>
      <c r="EI338" s="105"/>
      <c r="EJ338" s="105"/>
      <c r="EK338" s="105"/>
      <c r="EL338" s="105"/>
      <c r="EM338" s="105"/>
      <c r="EN338" s="105"/>
      <c r="EO338" s="105"/>
      <c r="EP338" s="105"/>
      <c r="EQ338" s="105"/>
      <c r="ER338" s="105"/>
      <c r="ES338" s="105"/>
      <c r="ET338" s="105"/>
      <c r="EU338" s="105"/>
      <c r="EV338" s="105"/>
      <c r="EW338" s="105"/>
      <c r="EX338" s="105"/>
      <c r="EY338" s="105"/>
      <c r="EZ338" s="105"/>
      <c r="FA338" s="105"/>
      <c r="FB338" s="105"/>
      <c r="FC338" s="105"/>
      <c r="FD338" s="105"/>
      <c r="FE338" s="105"/>
      <c r="FF338" s="105"/>
      <c r="FG338" s="105"/>
      <c r="FH338" s="105"/>
      <c r="FI338" s="105"/>
      <c r="FJ338" s="105"/>
      <c r="FK338" s="105"/>
      <c r="FL338" s="105"/>
      <c r="FM338" s="105"/>
      <c r="FN338" s="105"/>
      <c r="FO338" s="105"/>
      <c r="FP338" s="105"/>
      <c r="FQ338" s="105"/>
      <c r="FR338" s="105"/>
      <c r="FS338" s="105"/>
      <c r="FT338" s="105"/>
      <c r="FU338" s="105"/>
      <c r="FV338" s="105"/>
      <c r="FW338" s="105"/>
      <c r="FX338" s="105"/>
      <c r="FY338" s="105"/>
      <c r="FZ338" s="105"/>
      <c r="GA338" s="105"/>
      <c r="GB338" s="105"/>
      <c r="GC338" s="105"/>
      <c r="GD338" s="105"/>
      <c r="GE338" s="105"/>
      <c r="GF338" s="105"/>
      <c r="GG338" s="105"/>
      <c r="GH338" s="105"/>
      <c r="GI338" s="105"/>
      <c r="GJ338" s="105"/>
      <c r="GK338" s="105"/>
      <c r="GL338" s="105"/>
      <c r="GM338" s="105"/>
      <c r="GN338" s="105"/>
      <c r="GO338" s="105"/>
      <c r="GP338" s="105"/>
      <c r="GQ338" s="105"/>
      <c r="GR338" s="105"/>
      <c r="GS338" s="105"/>
      <c r="GT338" s="105"/>
      <c r="GU338" s="105"/>
      <c r="GV338" s="105"/>
      <c r="GW338" s="105"/>
      <c r="GX338" s="105"/>
      <c r="GY338" s="105"/>
      <c r="GZ338" s="105"/>
      <c r="HA338" s="105"/>
      <c r="HB338" s="105"/>
      <c r="HC338" s="105"/>
      <c r="HD338" s="105"/>
      <c r="HE338" s="105"/>
      <c r="HF338" s="105"/>
      <c r="HG338" s="105"/>
      <c r="HH338" s="105"/>
      <c r="HI338" s="105"/>
      <c r="HJ338" s="105"/>
      <c r="HK338" s="105"/>
      <c r="HL338" s="105"/>
      <c r="HM338" s="105"/>
      <c r="HN338" s="105"/>
      <c r="HO338" s="105"/>
      <c r="HP338" s="105"/>
      <c r="HQ338" s="105"/>
      <c r="HR338" s="105"/>
      <c r="HS338" s="105"/>
      <c r="HT338" s="105"/>
      <c r="HU338" s="105"/>
      <c r="HV338" s="105"/>
      <c r="HW338" s="105"/>
      <c r="HX338" s="105"/>
      <c r="HY338" s="105"/>
      <c r="HZ338" s="105"/>
      <c r="IA338" s="105"/>
      <c r="IB338" s="105"/>
      <c r="IC338" s="105"/>
      <c r="ID338" s="105"/>
      <c r="IE338" s="105"/>
      <c r="IF338" s="105"/>
      <c r="IG338" s="105"/>
      <c r="IH338" s="105"/>
      <c r="II338" s="105"/>
      <c r="IJ338" s="105"/>
      <c r="IK338" s="105"/>
      <c r="IL338" s="105"/>
      <c r="IM338" s="105"/>
      <c r="IN338" s="105"/>
      <c r="IO338" s="105"/>
      <c r="IP338" s="105"/>
      <c r="IQ338" s="105"/>
      <c r="IR338" s="105"/>
      <c r="IS338" s="105"/>
    </row>
    <row r="339" spans="1:253">
      <c r="A339" s="116"/>
      <c r="B339" s="105"/>
      <c r="C339" s="116"/>
      <c r="D339" s="116"/>
      <c r="E339" s="116"/>
      <c r="F339" s="116"/>
      <c r="G339" s="116"/>
      <c r="H339" s="116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  <c r="BF339" s="105"/>
      <c r="BG339" s="105"/>
      <c r="BH339" s="105"/>
      <c r="BI339" s="105"/>
      <c r="BJ339" s="105"/>
      <c r="BK339" s="105"/>
      <c r="BL339" s="105"/>
      <c r="BM339" s="105"/>
      <c r="BN339" s="105"/>
      <c r="BO339" s="105"/>
      <c r="BP339" s="105"/>
      <c r="BQ339" s="105"/>
      <c r="BR339" s="105"/>
      <c r="BS339" s="105"/>
      <c r="BT339" s="105"/>
      <c r="BU339" s="105"/>
      <c r="BV339" s="105"/>
      <c r="BW339" s="105"/>
      <c r="BX339" s="105"/>
      <c r="BY339" s="105"/>
      <c r="BZ339" s="105"/>
      <c r="CA339" s="105"/>
      <c r="CB339" s="105"/>
      <c r="CC339" s="105"/>
      <c r="CD339" s="105"/>
      <c r="CE339" s="105"/>
      <c r="CF339" s="105"/>
      <c r="CG339" s="105"/>
      <c r="CH339" s="105"/>
      <c r="CI339" s="105"/>
      <c r="CJ339" s="105"/>
      <c r="CK339" s="105"/>
      <c r="CL339" s="105"/>
      <c r="CM339" s="105"/>
      <c r="CN339" s="105"/>
      <c r="CO339" s="105"/>
      <c r="CP339" s="105"/>
      <c r="CQ339" s="105"/>
      <c r="CR339" s="105"/>
      <c r="CS339" s="105"/>
      <c r="CT339" s="105"/>
      <c r="CU339" s="105"/>
      <c r="CV339" s="105"/>
      <c r="CW339" s="105"/>
      <c r="CX339" s="105"/>
      <c r="CY339" s="105"/>
      <c r="CZ339" s="105"/>
      <c r="DA339" s="105"/>
      <c r="DB339" s="105"/>
      <c r="DC339" s="105"/>
      <c r="DD339" s="105"/>
      <c r="DE339" s="105"/>
      <c r="DF339" s="105"/>
      <c r="DG339" s="105"/>
      <c r="DH339" s="105"/>
      <c r="DI339" s="105"/>
      <c r="DJ339" s="105"/>
      <c r="DK339" s="105"/>
      <c r="DL339" s="105"/>
      <c r="DM339" s="105"/>
      <c r="DN339" s="105"/>
      <c r="DO339" s="105"/>
      <c r="DP339" s="105"/>
      <c r="DQ339" s="105"/>
      <c r="DR339" s="105"/>
      <c r="DS339" s="105"/>
      <c r="DT339" s="105"/>
      <c r="DU339" s="105"/>
      <c r="DV339" s="105"/>
      <c r="DW339" s="105"/>
      <c r="DX339" s="105"/>
      <c r="DY339" s="105"/>
      <c r="DZ339" s="105"/>
      <c r="EA339" s="105"/>
      <c r="EB339" s="105"/>
      <c r="EC339" s="105"/>
      <c r="ED339" s="105"/>
      <c r="EE339" s="105"/>
      <c r="EF339" s="105"/>
      <c r="EG339" s="105"/>
      <c r="EH339" s="105"/>
      <c r="EI339" s="105"/>
      <c r="EJ339" s="105"/>
      <c r="EK339" s="105"/>
      <c r="EL339" s="105"/>
      <c r="EM339" s="105"/>
      <c r="EN339" s="105"/>
      <c r="EO339" s="105"/>
      <c r="EP339" s="105"/>
      <c r="EQ339" s="105"/>
      <c r="ER339" s="105"/>
      <c r="ES339" s="105"/>
      <c r="ET339" s="105"/>
      <c r="EU339" s="105"/>
      <c r="EV339" s="105"/>
      <c r="EW339" s="105"/>
      <c r="EX339" s="105"/>
      <c r="EY339" s="105"/>
      <c r="EZ339" s="105"/>
      <c r="FA339" s="105"/>
      <c r="FB339" s="105"/>
      <c r="FC339" s="105"/>
      <c r="FD339" s="105"/>
      <c r="FE339" s="105"/>
      <c r="FF339" s="105"/>
      <c r="FG339" s="105"/>
      <c r="FH339" s="105"/>
      <c r="FI339" s="105"/>
      <c r="FJ339" s="105"/>
      <c r="FK339" s="105"/>
      <c r="FL339" s="105"/>
      <c r="FM339" s="105"/>
      <c r="FN339" s="105"/>
      <c r="FO339" s="105"/>
      <c r="FP339" s="105"/>
      <c r="FQ339" s="105"/>
      <c r="FR339" s="105"/>
      <c r="FS339" s="105"/>
      <c r="FT339" s="105"/>
      <c r="FU339" s="105"/>
      <c r="FV339" s="105"/>
      <c r="FW339" s="105"/>
      <c r="FX339" s="105"/>
      <c r="FY339" s="105"/>
      <c r="FZ339" s="105"/>
      <c r="GA339" s="105"/>
      <c r="GB339" s="105"/>
      <c r="GC339" s="105"/>
      <c r="GD339" s="105"/>
      <c r="GE339" s="105"/>
      <c r="GF339" s="105"/>
      <c r="GG339" s="105"/>
      <c r="GH339" s="105"/>
      <c r="GI339" s="105"/>
      <c r="GJ339" s="105"/>
      <c r="GK339" s="105"/>
      <c r="GL339" s="105"/>
      <c r="GM339" s="105"/>
      <c r="GN339" s="105"/>
      <c r="GO339" s="105"/>
      <c r="GP339" s="105"/>
      <c r="GQ339" s="105"/>
      <c r="GR339" s="105"/>
      <c r="GS339" s="105"/>
      <c r="GT339" s="105"/>
      <c r="GU339" s="105"/>
      <c r="GV339" s="105"/>
      <c r="GW339" s="105"/>
      <c r="GX339" s="105"/>
      <c r="GY339" s="105"/>
      <c r="GZ339" s="105"/>
      <c r="HA339" s="105"/>
      <c r="HB339" s="105"/>
      <c r="HC339" s="105"/>
      <c r="HD339" s="105"/>
      <c r="HE339" s="105"/>
      <c r="HF339" s="105"/>
      <c r="HG339" s="105"/>
      <c r="HH339" s="105"/>
      <c r="HI339" s="105"/>
      <c r="HJ339" s="105"/>
      <c r="HK339" s="105"/>
      <c r="HL339" s="105"/>
      <c r="HM339" s="105"/>
      <c r="HN339" s="105"/>
      <c r="HO339" s="105"/>
      <c r="HP339" s="105"/>
      <c r="HQ339" s="105"/>
      <c r="HR339" s="105"/>
      <c r="HS339" s="105"/>
      <c r="HT339" s="105"/>
      <c r="HU339" s="105"/>
      <c r="HV339" s="105"/>
      <c r="HW339" s="105"/>
      <c r="HX339" s="105"/>
      <c r="HY339" s="105"/>
      <c r="HZ339" s="105"/>
      <c r="IA339" s="105"/>
      <c r="IB339" s="105"/>
      <c r="IC339" s="105"/>
      <c r="ID339" s="105"/>
      <c r="IE339" s="105"/>
      <c r="IF339" s="105"/>
      <c r="IG339" s="105"/>
      <c r="IH339" s="105"/>
      <c r="II339" s="105"/>
      <c r="IJ339" s="105"/>
      <c r="IK339" s="105"/>
      <c r="IL339" s="105"/>
      <c r="IM339" s="105"/>
      <c r="IN339" s="105"/>
      <c r="IO339" s="105"/>
      <c r="IP339" s="105"/>
      <c r="IQ339" s="105"/>
      <c r="IR339" s="105"/>
      <c r="IS339" s="105"/>
    </row>
    <row r="340" spans="1:253">
      <c r="A340" s="116"/>
      <c r="B340" s="105"/>
      <c r="C340" s="116"/>
      <c r="D340" s="116"/>
      <c r="E340" s="116"/>
      <c r="F340" s="116"/>
      <c r="G340" s="116"/>
      <c r="H340" s="116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05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05"/>
      <c r="BX340" s="105"/>
      <c r="BY340" s="105"/>
      <c r="BZ340" s="105"/>
      <c r="CA340" s="105"/>
      <c r="CB340" s="105"/>
      <c r="CC340" s="105"/>
      <c r="CD340" s="105"/>
      <c r="CE340" s="105"/>
      <c r="CF340" s="105"/>
      <c r="CG340" s="105"/>
      <c r="CH340" s="105"/>
      <c r="CI340" s="105"/>
      <c r="CJ340" s="105"/>
      <c r="CK340" s="105"/>
      <c r="CL340" s="105"/>
      <c r="CM340" s="105"/>
      <c r="CN340" s="105"/>
      <c r="CO340" s="105"/>
      <c r="CP340" s="105"/>
      <c r="CQ340" s="105"/>
      <c r="CR340" s="105"/>
      <c r="CS340" s="105"/>
      <c r="CT340" s="105"/>
      <c r="CU340" s="105"/>
      <c r="CV340" s="105"/>
      <c r="CW340" s="105"/>
      <c r="CX340" s="105"/>
      <c r="CY340" s="105"/>
      <c r="CZ340" s="105"/>
      <c r="DA340" s="105"/>
      <c r="DB340" s="105"/>
      <c r="DC340" s="105"/>
      <c r="DD340" s="105"/>
      <c r="DE340" s="105"/>
      <c r="DF340" s="105"/>
      <c r="DG340" s="105"/>
      <c r="DH340" s="105"/>
      <c r="DI340" s="105"/>
      <c r="DJ340" s="105"/>
      <c r="DK340" s="105"/>
      <c r="DL340" s="105"/>
      <c r="DM340" s="105"/>
      <c r="DN340" s="105"/>
      <c r="DO340" s="105"/>
      <c r="DP340" s="105"/>
      <c r="DQ340" s="105"/>
      <c r="DR340" s="105"/>
      <c r="DS340" s="105"/>
      <c r="DT340" s="105"/>
      <c r="DU340" s="105"/>
      <c r="DV340" s="105"/>
      <c r="DW340" s="105"/>
      <c r="DX340" s="105"/>
      <c r="DY340" s="105"/>
      <c r="DZ340" s="105"/>
      <c r="EA340" s="105"/>
      <c r="EB340" s="105"/>
      <c r="EC340" s="105"/>
      <c r="ED340" s="105"/>
      <c r="EE340" s="105"/>
      <c r="EF340" s="105"/>
      <c r="EG340" s="105"/>
      <c r="EH340" s="105"/>
      <c r="EI340" s="105"/>
      <c r="EJ340" s="105"/>
      <c r="EK340" s="105"/>
      <c r="EL340" s="105"/>
      <c r="EM340" s="105"/>
      <c r="EN340" s="105"/>
      <c r="EO340" s="105"/>
      <c r="EP340" s="105"/>
      <c r="EQ340" s="105"/>
      <c r="ER340" s="105"/>
      <c r="ES340" s="105"/>
      <c r="ET340" s="105"/>
      <c r="EU340" s="105"/>
      <c r="EV340" s="105"/>
      <c r="EW340" s="105"/>
      <c r="EX340" s="105"/>
      <c r="EY340" s="105"/>
      <c r="EZ340" s="105"/>
      <c r="FA340" s="105"/>
      <c r="FB340" s="105"/>
      <c r="FC340" s="105"/>
      <c r="FD340" s="105"/>
      <c r="FE340" s="105"/>
      <c r="FF340" s="105"/>
      <c r="FG340" s="105"/>
      <c r="FH340" s="105"/>
      <c r="FI340" s="105"/>
      <c r="FJ340" s="105"/>
      <c r="FK340" s="105"/>
      <c r="FL340" s="105"/>
      <c r="FM340" s="105"/>
      <c r="FN340" s="105"/>
      <c r="FO340" s="105"/>
      <c r="FP340" s="105"/>
      <c r="FQ340" s="105"/>
      <c r="FR340" s="105"/>
      <c r="FS340" s="105"/>
      <c r="FT340" s="105"/>
      <c r="FU340" s="105"/>
      <c r="FV340" s="105"/>
      <c r="FW340" s="105"/>
      <c r="FX340" s="105"/>
      <c r="FY340" s="105"/>
      <c r="FZ340" s="105"/>
      <c r="GA340" s="105"/>
      <c r="GB340" s="105"/>
      <c r="GC340" s="105"/>
      <c r="GD340" s="105"/>
      <c r="GE340" s="105"/>
      <c r="GF340" s="105"/>
      <c r="GG340" s="105"/>
      <c r="GH340" s="105"/>
      <c r="GI340" s="105"/>
      <c r="GJ340" s="105"/>
      <c r="GK340" s="105"/>
      <c r="GL340" s="105"/>
      <c r="GM340" s="105"/>
      <c r="GN340" s="105"/>
      <c r="GO340" s="105"/>
      <c r="GP340" s="105"/>
      <c r="GQ340" s="105"/>
      <c r="GR340" s="105"/>
      <c r="GS340" s="105"/>
      <c r="GT340" s="105"/>
      <c r="GU340" s="105"/>
      <c r="GV340" s="105"/>
      <c r="GW340" s="105"/>
      <c r="GX340" s="105"/>
      <c r="GY340" s="105"/>
      <c r="GZ340" s="105"/>
      <c r="HA340" s="105"/>
      <c r="HB340" s="105"/>
      <c r="HC340" s="105"/>
      <c r="HD340" s="105"/>
      <c r="HE340" s="105"/>
      <c r="HF340" s="105"/>
      <c r="HG340" s="105"/>
      <c r="HH340" s="105"/>
      <c r="HI340" s="105"/>
      <c r="HJ340" s="105"/>
      <c r="HK340" s="105"/>
      <c r="HL340" s="105"/>
      <c r="HM340" s="105"/>
      <c r="HN340" s="105"/>
      <c r="HO340" s="105"/>
      <c r="HP340" s="105"/>
      <c r="HQ340" s="105"/>
      <c r="HR340" s="105"/>
      <c r="HS340" s="105"/>
      <c r="HT340" s="105"/>
      <c r="HU340" s="105"/>
      <c r="HV340" s="105"/>
      <c r="HW340" s="105"/>
      <c r="HX340" s="105"/>
      <c r="HY340" s="105"/>
      <c r="HZ340" s="105"/>
      <c r="IA340" s="105"/>
      <c r="IB340" s="105"/>
      <c r="IC340" s="105"/>
      <c r="ID340" s="105"/>
      <c r="IE340" s="105"/>
      <c r="IF340" s="105"/>
      <c r="IG340" s="105"/>
      <c r="IH340" s="105"/>
      <c r="II340" s="105"/>
      <c r="IJ340" s="105"/>
      <c r="IK340" s="105"/>
      <c r="IL340" s="105"/>
      <c r="IM340" s="105"/>
      <c r="IN340" s="105"/>
      <c r="IO340" s="105"/>
      <c r="IP340" s="105"/>
      <c r="IQ340" s="105"/>
      <c r="IR340" s="105"/>
      <c r="IS340" s="105"/>
    </row>
    <row r="341" spans="1:253">
      <c r="A341" s="116"/>
      <c r="B341" s="105"/>
      <c r="C341" s="116"/>
      <c r="D341" s="116"/>
      <c r="E341" s="116"/>
      <c r="F341" s="116"/>
      <c r="G341" s="116"/>
      <c r="H341" s="116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  <c r="BF341" s="105"/>
      <c r="BG341" s="105"/>
      <c r="BH341" s="105"/>
      <c r="BI341" s="105"/>
      <c r="BJ341" s="105"/>
      <c r="BK341" s="105"/>
      <c r="BL341" s="105"/>
      <c r="BM341" s="105"/>
      <c r="BN341" s="105"/>
      <c r="BO341" s="105"/>
      <c r="BP341" s="105"/>
      <c r="BQ341" s="105"/>
      <c r="BR341" s="105"/>
      <c r="BS341" s="105"/>
      <c r="BT341" s="105"/>
      <c r="BU341" s="105"/>
      <c r="BV341" s="105"/>
      <c r="BW341" s="105"/>
      <c r="BX341" s="105"/>
      <c r="BY341" s="105"/>
      <c r="BZ341" s="105"/>
      <c r="CA341" s="105"/>
      <c r="CB341" s="105"/>
      <c r="CC341" s="105"/>
      <c r="CD341" s="105"/>
      <c r="CE341" s="105"/>
      <c r="CF341" s="105"/>
      <c r="CG341" s="105"/>
      <c r="CH341" s="105"/>
      <c r="CI341" s="105"/>
      <c r="CJ341" s="105"/>
      <c r="CK341" s="105"/>
      <c r="CL341" s="105"/>
      <c r="CM341" s="105"/>
      <c r="CN341" s="105"/>
      <c r="CO341" s="105"/>
      <c r="CP341" s="105"/>
      <c r="CQ341" s="105"/>
      <c r="CR341" s="105"/>
      <c r="CS341" s="105"/>
      <c r="CT341" s="105"/>
      <c r="CU341" s="105"/>
      <c r="CV341" s="105"/>
      <c r="CW341" s="105"/>
      <c r="CX341" s="105"/>
      <c r="CY341" s="105"/>
      <c r="CZ341" s="105"/>
      <c r="DA341" s="105"/>
      <c r="DB341" s="105"/>
      <c r="DC341" s="105"/>
      <c r="DD341" s="105"/>
      <c r="DE341" s="105"/>
      <c r="DF341" s="105"/>
      <c r="DG341" s="105"/>
      <c r="DH341" s="105"/>
      <c r="DI341" s="105"/>
      <c r="DJ341" s="105"/>
      <c r="DK341" s="105"/>
      <c r="DL341" s="105"/>
      <c r="DM341" s="105"/>
      <c r="DN341" s="105"/>
      <c r="DO341" s="105"/>
      <c r="DP341" s="105"/>
      <c r="DQ341" s="105"/>
      <c r="DR341" s="105"/>
      <c r="DS341" s="105"/>
      <c r="DT341" s="105"/>
      <c r="DU341" s="105"/>
      <c r="DV341" s="105"/>
      <c r="DW341" s="105"/>
      <c r="DX341" s="105"/>
      <c r="DY341" s="105"/>
      <c r="DZ341" s="105"/>
      <c r="EA341" s="105"/>
      <c r="EB341" s="105"/>
      <c r="EC341" s="105"/>
      <c r="ED341" s="105"/>
      <c r="EE341" s="105"/>
      <c r="EF341" s="105"/>
      <c r="EG341" s="105"/>
      <c r="EH341" s="105"/>
      <c r="EI341" s="105"/>
      <c r="EJ341" s="105"/>
      <c r="EK341" s="105"/>
      <c r="EL341" s="105"/>
      <c r="EM341" s="105"/>
      <c r="EN341" s="105"/>
      <c r="EO341" s="105"/>
      <c r="EP341" s="105"/>
      <c r="EQ341" s="105"/>
      <c r="ER341" s="105"/>
      <c r="ES341" s="105"/>
      <c r="ET341" s="105"/>
      <c r="EU341" s="105"/>
      <c r="EV341" s="105"/>
      <c r="EW341" s="105"/>
      <c r="EX341" s="105"/>
      <c r="EY341" s="105"/>
      <c r="EZ341" s="105"/>
      <c r="FA341" s="105"/>
      <c r="FB341" s="105"/>
      <c r="FC341" s="105"/>
      <c r="FD341" s="105"/>
      <c r="FE341" s="105"/>
      <c r="FF341" s="105"/>
      <c r="FG341" s="105"/>
      <c r="FH341" s="105"/>
      <c r="FI341" s="105"/>
      <c r="FJ341" s="105"/>
      <c r="FK341" s="105"/>
      <c r="FL341" s="105"/>
      <c r="FM341" s="105"/>
      <c r="FN341" s="105"/>
      <c r="FO341" s="105"/>
      <c r="FP341" s="105"/>
      <c r="FQ341" s="105"/>
      <c r="FR341" s="105"/>
      <c r="FS341" s="105"/>
      <c r="FT341" s="105"/>
      <c r="FU341" s="105"/>
      <c r="FV341" s="105"/>
      <c r="FW341" s="105"/>
      <c r="FX341" s="105"/>
      <c r="FY341" s="105"/>
      <c r="FZ341" s="105"/>
      <c r="GA341" s="105"/>
      <c r="GB341" s="105"/>
      <c r="GC341" s="105"/>
      <c r="GD341" s="105"/>
      <c r="GE341" s="105"/>
      <c r="GF341" s="105"/>
      <c r="GG341" s="105"/>
      <c r="GH341" s="105"/>
      <c r="GI341" s="105"/>
      <c r="GJ341" s="105"/>
      <c r="GK341" s="105"/>
      <c r="GL341" s="105"/>
      <c r="GM341" s="105"/>
      <c r="GN341" s="105"/>
      <c r="GO341" s="105"/>
      <c r="GP341" s="105"/>
      <c r="GQ341" s="105"/>
      <c r="GR341" s="105"/>
      <c r="GS341" s="105"/>
      <c r="GT341" s="105"/>
      <c r="GU341" s="105"/>
      <c r="GV341" s="105"/>
      <c r="GW341" s="105"/>
      <c r="GX341" s="105"/>
      <c r="GY341" s="105"/>
      <c r="GZ341" s="105"/>
      <c r="HA341" s="105"/>
      <c r="HB341" s="105"/>
      <c r="HC341" s="105"/>
      <c r="HD341" s="105"/>
      <c r="HE341" s="105"/>
      <c r="HF341" s="105"/>
      <c r="HG341" s="105"/>
      <c r="HH341" s="105"/>
      <c r="HI341" s="105"/>
      <c r="HJ341" s="105"/>
      <c r="HK341" s="105"/>
      <c r="HL341" s="105"/>
      <c r="HM341" s="105"/>
      <c r="HN341" s="105"/>
      <c r="HO341" s="105"/>
      <c r="HP341" s="105"/>
      <c r="HQ341" s="105"/>
      <c r="HR341" s="105"/>
      <c r="HS341" s="105"/>
      <c r="HT341" s="105"/>
      <c r="HU341" s="105"/>
      <c r="HV341" s="105"/>
      <c r="HW341" s="105"/>
      <c r="HX341" s="105"/>
      <c r="HY341" s="105"/>
      <c r="HZ341" s="105"/>
      <c r="IA341" s="105"/>
      <c r="IB341" s="105"/>
      <c r="IC341" s="105"/>
      <c r="ID341" s="105"/>
      <c r="IE341" s="105"/>
      <c r="IF341" s="105"/>
      <c r="IG341" s="105"/>
      <c r="IH341" s="105"/>
      <c r="II341" s="105"/>
      <c r="IJ341" s="105"/>
      <c r="IK341" s="105"/>
      <c r="IL341" s="105"/>
      <c r="IM341" s="105"/>
      <c r="IN341" s="105"/>
      <c r="IO341" s="105"/>
      <c r="IP341" s="105"/>
      <c r="IQ341" s="105"/>
      <c r="IR341" s="105"/>
      <c r="IS341" s="105"/>
    </row>
    <row r="342" spans="1:253">
      <c r="A342" s="116"/>
      <c r="B342" s="105"/>
      <c r="C342" s="116"/>
      <c r="D342" s="116"/>
      <c r="E342" s="116"/>
      <c r="F342" s="116"/>
      <c r="G342" s="116"/>
      <c r="H342" s="116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  <c r="BF342" s="105"/>
      <c r="BG342" s="105"/>
      <c r="BH342" s="105"/>
      <c r="BI342" s="105"/>
      <c r="BJ342" s="105"/>
      <c r="BK342" s="105"/>
      <c r="BL342" s="105"/>
      <c r="BM342" s="105"/>
      <c r="BN342" s="105"/>
      <c r="BO342" s="105"/>
      <c r="BP342" s="105"/>
      <c r="BQ342" s="105"/>
      <c r="BR342" s="105"/>
      <c r="BS342" s="105"/>
      <c r="BT342" s="105"/>
      <c r="BU342" s="105"/>
      <c r="BV342" s="105"/>
      <c r="BW342" s="105"/>
      <c r="BX342" s="105"/>
      <c r="BY342" s="105"/>
      <c r="BZ342" s="105"/>
      <c r="CA342" s="105"/>
      <c r="CB342" s="105"/>
      <c r="CC342" s="105"/>
      <c r="CD342" s="105"/>
      <c r="CE342" s="105"/>
      <c r="CF342" s="105"/>
      <c r="CG342" s="105"/>
      <c r="CH342" s="105"/>
      <c r="CI342" s="105"/>
      <c r="CJ342" s="105"/>
      <c r="CK342" s="105"/>
      <c r="CL342" s="105"/>
      <c r="CM342" s="105"/>
      <c r="CN342" s="105"/>
      <c r="CO342" s="105"/>
      <c r="CP342" s="105"/>
      <c r="CQ342" s="105"/>
      <c r="CR342" s="105"/>
      <c r="CS342" s="105"/>
      <c r="CT342" s="105"/>
      <c r="CU342" s="105"/>
      <c r="CV342" s="105"/>
      <c r="CW342" s="105"/>
      <c r="CX342" s="105"/>
      <c r="CY342" s="105"/>
      <c r="CZ342" s="105"/>
      <c r="DA342" s="105"/>
      <c r="DB342" s="105"/>
      <c r="DC342" s="105"/>
      <c r="DD342" s="105"/>
      <c r="DE342" s="105"/>
      <c r="DF342" s="105"/>
      <c r="DG342" s="105"/>
      <c r="DH342" s="105"/>
      <c r="DI342" s="105"/>
      <c r="DJ342" s="105"/>
      <c r="DK342" s="105"/>
      <c r="DL342" s="105"/>
      <c r="DM342" s="105"/>
      <c r="DN342" s="105"/>
      <c r="DO342" s="105"/>
      <c r="DP342" s="105"/>
      <c r="DQ342" s="105"/>
      <c r="DR342" s="105"/>
      <c r="DS342" s="105"/>
      <c r="DT342" s="105"/>
      <c r="DU342" s="105"/>
      <c r="DV342" s="105"/>
      <c r="DW342" s="105"/>
      <c r="DX342" s="105"/>
      <c r="DY342" s="105"/>
      <c r="DZ342" s="105"/>
      <c r="EA342" s="105"/>
      <c r="EB342" s="105"/>
      <c r="EC342" s="105"/>
      <c r="ED342" s="105"/>
      <c r="EE342" s="105"/>
      <c r="EF342" s="105"/>
      <c r="EG342" s="105"/>
      <c r="EH342" s="105"/>
      <c r="EI342" s="105"/>
      <c r="EJ342" s="105"/>
      <c r="EK342" s="105"/>
      <c r="EL342" s="105"/>
      <c r="EM342" s="105"/>
      <c r="EN342" s="105"/>
      <c r="EO342" s="105"/>
      <c r="EP342" s="105"/>
      <c r="EQ342" s="105"/>
      <c r="ER342" s="105"/>
      <c r="ES342" s="105"/>
      <c r="ET342" s="105"/>
      <c r="EU342" s="105"/>
      <c r="EV342" s="105"/>
      <c r="EW342" s="105"/>
      <c r="EX342" s="105"/>
      <c r="EY342" s="105"/>
      <c r="EZ342" s="105"/>
      <c r="FA342" s="105"/>
      <c r="FB342" s="105"/>
      <c r="FC342" s="105"/>
      <c r="FD342" s="105"/>
      <c r="FE342" s="105"/>
      <c r="FF342" s="105"/>
      <c r="FG342" s="105"/>
      <c r="FH342" s="105"/>
      <c r="FI342" s="105"/>
      <c r="FJ342" s="105"/>
      <c r="FK342" s="105"/>
      <c r="FL342" s="105"/>
      <c r="FM342" s="105"/>
      <c r="FN342" s="105"/>
      <c r="FO342" s="105"/>
      <c r="FP342" s="105"/>
      <c r="FQ342" s="105"/>
      <c r="FR342" s="105"/>
      <c r="FS342" s="105"/>
      <c r="FT342" s="105"/>
      <c r="FU342" s="105"/>
      <c r="FV342" s="105"/>
      <c r="FW342" s="105"/>
      <c r="FX342" s="105"/>
      <c r="FY342" s="105"/>
      <c r="FZ342" s="105"/>
      <c r="GA342" s="105"/>
      <c r="GB342" s="105"/>
      <c r="GC342" s="105"/>
      <c r="GD342" s="105"/>
      <c r="GE342" s="105"/>
      <c r="GF342" s="105"/>
      <c r="GG342" s="105"/>
      <c r="GH342" s="105"/>
      <c r="GI342" s="105"/>
      <c r="GJ342" s="105"/>
      <c r="GK342" s="105"/>
      <c r="GL342" s="105"/>
      <c r="GM342" s="105"/>
      <c r="GN342" s="105"/>
      <c r="GO342" s="105"/>
      <c r="GP342" s="105"/>
      <c r="GQ342" s="105"/>
      <c r="GR342" s="105"/>
      <c r="GS342" s="105"/>
      <c r="GT342" s="105"/>
      <c r="GU342" s="105"/>
      <c r="GV342" s="105"/>
      <c r="GW342" s="105"/>
      <c r="GX342" s="105"/>
      <c r="GY342" s="105"/>
      <c r="GZ342" s="105"/>
      <c r="HA342" s="105"/>
      <c r="HB342" s="105"/>
      <c r="HC342" s="105"/>
      <c r="HD342" s="105"/>
      <c r="HE342" s="105"/>
      <c r="HF342" s="105"/>
      <c r="HG342" s="105"/>
      <c r="HH342" s="105"/>
      <c r="HI342" s="105"/>
      <c r="HJ342" s="105"/>
      <c r="HK342" s="105"/>
      <c r="HL342" s="105"/>
      <c r="HM342" s="105"/>
      <c r="HN342" s="105"/>
      <c r="HO342" s="105"/>
      <c r="HP342" s="105"/>
      <c r="HQ342" s="105"/>
      <c r="HR342" s="105"/>
      <c r="HS342" s="105"/>
      <c r="HT342" s="105"/>
      <c r="HU342" s="105"/>
      <c r="HV342" s="105"/>
      <c r="HW342" s="105"/>
      <c r="HX342" s="105"/>
      <c r="HY342" s="105"/>
      <c r="HZ342" s="105"/>
      <c r="IA342" s="105"/>
      <c r="IB342" s="105"/>
      <c r="IC342" s="105"/>
      <c r="ID342" s="105"/>
      <c r="IE342" s="105"/>
      <c r="IF342" s="105"/>
      <c r="IG342" s="105"/>
      <c r="IH342" s="105"/>
      <c r="II342" s="105"/>
      <c r="IJ342" s="105"/>
      <c r="IK342" s="105"/>
      <c r="IL342" s="105"/>
      <c r="IM342" s="105"/>
      <c r="IN342" s="105"/>
      <c r="IO342" s="105"/>
      <c r="IP342" s="105"/>
      <c r="IQ342" s="105"/>
      <c r="IR342" s="105"/>
      <c r="IS342" s="105"/>
    </row>
    <row r="343" spans="1:253">
      <c r="A343" s="116"/>
      <c r="B343" s="105"/>
      <c r="C343" s="116"/>
      <c r="D343" s="116"/>
      <c r="E343" s="116"/>
      <c r="F343" s="116"/>
      <c r="G343" s="116"/>
      <c r="H343" s="116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  <c r="BF343" s="105"/>
      <c r="BG343" s="105"/>
      <c r="BH343" s="105"/>
      <c r="BI343" s="105"/>
      <c r="BJ343" s="105"/>
      <c r="BK343" s="105"/>
      <c r="BL343" s="105"/>
      <c r="BM343" s="105"/>
      <c r="BN343" s="105"/>
      <c r="BO343" s="105"/>
      <c r="BP343" s="105"/>
      <c r="BQ343" s="105"/>
      <c r="BR343" s="105"/>
      <c r="BS343" s="105"/>
      <c r="BT343" s="105"/>
      <c r="BU343" s="105"/>
      <c r="BV343" s="105"/>
      <c r="BW343" s="105"/>
      <c r="BX343" s="105"/>
      <c r="BY343" s="105"/>
      <c r="BZ343" s="105"/>
      <c r="CA343" s="105"/>
      <c r="CB343" s="105"/>
      <c r="CC343" s="105"/>
      <c r="CD343" s="105"/>
      <c r="CE343" s="105"/>
      <c r="CF343" s="105"/>
      <c r="CG343" s="105"/>
      <c r="CH343" s="105"/>
      <c r="CI343" s="105"/>
      <c r="CJ343" s="105"/>
      <c r="CK343" s="105"/>
      <c r="CL343" s="105"/>
      <c r="CM343" s="105"/>
      <c r="CN343" s="105"/>
      <c r="CO343" s="105"/>
      <c r="CP343" s="105"/>
      <c r="CQ343" s="105"/>
      <c r="CR343" s="105"/>
      <c r="CS343" s="105"/>
      <c r="CT343" s="105"/>
      <c r="CU343" s="105"/>
      <c r="CV343" s="105"/>
      <c r="CW343" s="105"/>
      <c r="CX343" s="105"/>
      <c r="CY343" s="105"/>
      <c r="CZ343" s="105"/>
      <c r="DA343" s="105"/>
      <c r="DB343" s="105"/>
      <c r="DC343" s="105"/>
      <c r="DD343" s="105"/>
      <c r="DE343" s="105"/>
      <c r="DF343" s="105"/>
      <c r="DG343" s="105"/>
      <c r="DH343" s="105"/>
      <c r="DI343" s="105"/>
      <c r="DJ343" s="105"/>
      <c r="DK343" s="105"/>
      <c r="DL343" s="105"/>
      <c r="DM343" s="105"/>
      <c r="DN343" s="105"/>
      <c r="DO343" s="105"/>
      <c r="DP343" s="105"/>
      <c r="DQ343" s="105"/>
      <c r="DR343" s="105"/>
      <c r="DS343" s="105"/>
      <c r="DT343" s="105"/>
      <c r="DU343" s="105"/>
      <c r="DV343" s="105"/>
      <c r="DW343" s="105"/>
      <c r="DX343" s="105"/>
      <c r="DY343" s="105"/>
      <c r="DZ343" s="105"/>
      <c r="EA343" s="105"/>
      <c r="EB343" s="105"/>
      <c r="EC343" s="105"/>
      <c r="ED343" s="105"/>
      <c r="EE343" s="105"/>
      <c r="EF343" s="105"/>
      <c r="EG343" s="105"/>
      <c r="EH343" s="105"/>
      <c r="EI343" s="105"/>
      <c r="EJ343" s="105"/>
      <c r="EK343" s="105"/>
      <c r="EL343" s="105"/>
      <c r="EM343" s="105"/>
      <c r="EN343" s="105"/>
      <c r="EO343" s="105"/>
      <c r="EP343" s="105"/>
      <c r="EQ343" s="105"/>
      <c r="ER343" s="105"/>
      <c r="ES343" s="105"/>
      <c r="ET343" s="105"/>
      <c r="EU343" s="105"/>
      <c r="EV343" s="105"/>
      <c r="EW343" s="105"/>
      <c r="EX343" s="105"/>
      <c r="EY343" s="105"/>
      <c r="EZ343" s="105"/>
      <c r="FA343" s="105"/>
      <c r="FB343" s="105"/>
      <c r="FC343" s="105"/>
      <c r="FD343" s="105"/>
      <c r="FE343" s="105"/>
      <c r="FF343" s="105"/>
      <c r="FG343" s="105"/>
      <c r="FH343" s="105"/>
      <c r="FI343" s="105"/>
      <c r="FJ343" s="105"/>
      <c r="FK343" s="105"/>
      <c r="FL343" s="105"/>
      <c r="FM343" s="105"/>
      <c r="FN343" s="105"/>
      <c r="FO343" s="105"/>
      <c r="FP343" s="105"/>
      <c r="FQ343" s="105"/>
      <c r="FR343" s="105"/>
      <c r="FS343" s="105"/>
      <c r="FT343" s="105"/>
      <c r="FU343" s="105"/>
      <c r="FV343" s="105"/>
      <c r="FW343" s="105"/>
      <c r="FX343" s="105"/>
      <c r="FY343" s="105"/>
      <c r="FZ343" s="105"/>
      <c r="GA343" s="105"/>
      <c r="GB343" s="105"/>
      <c r="GC343" s="105"/>
      <c r="GD343" s="105"/>
      <c r="GE343" s="105"/>
      <c r="GF343" s="105"/>
      <c r="GG343" s="105"/>
      <c r="GH343" s="105"/>
      <c r="GI343" s="105"/>
      <c r="GJ343" s="105"/>
      <c r="GK343" s="105"/>
      <c r="GL343" s="105"/>
      <c r="GM343" s="105"/>
      <c r="GN343" s="105"/>
      <c r="GO343" s="105"/>
      <c r="GP343" s="105"/>
      <c r="GQ343" s="105"/>
      <c r="GR343" s="105"/>
      <c r="GS343" s="105"/>
      <c r="GT343" s="105"/>
      <c r="GU343" s="105"/>
      <c r="GV343" s="105"/>
      <c r="GW343" s="105"/>
      <c r="GX343" s="105"/>
      <c r="GY343" s="105"/>
      <c r="GZ343" s="105"/>
      <c r="HA343" s="105"/>
      <c r="HB343" s="105"/>
      <c r="HC343" s="105"/>
      <c r="HD343" s="105"/>
      <c r="HE343" s="105"/>
      <c r="HF343" s="105"/>
      <c r="HG343" s="105"/>
      <c r="HH343" s="105"/>
      <c r="HI343" s="105"/>
      <c r="HJ343" s="105"/>
      <c r="HK343" s="105"/>
      <c r="HL343" s="105"/>
      <c r="HM343" s="105"/>
      <c r="HN343" s="105"/>
      <c r="HO343" s="105"/>
      <c r="HP343" s="105"/>
      <c r="HQ343" s="105"/>
      <c r="HR343" s="105"/>
      <c r="HS343" s="105"/>
      <c r="HT343" s="105"/>
      <c r="HU343" s="105"/>
      <c r="HV343" s="105"/>
      <c r="HW343" s="105"/>
      <c r="HX343" s="105"/>
      <c r="HY343" s="105"/>
      <c r="HZ343" s="105"/>
      <c r="IA343" s="105"/>
      <c r="IB343" s="105"/>
      <c r="IC343" s="105"/>
      <c r="ID343" s="105"/>
      <c r="IE343" s="105"/>
      <c r="IF343" s="105"/>
      <c r="IG343" s="105"/>
      <c r="IH343" s="105"/>
      <c r="II343" s="105"/>
      <c r="IJ343" s="105"/>
      <c r="IK343" s="105"/>
      <c r="IL343" s="105"/>
      <c r="IM343" s="105"/>
      <c r="IN343" s="105"/>
      <c r="IO343" s="105"/>
      <c r="IP343" s="105"/>
      <c r="IQ343" s="105"/>
      <c r="IR343" s="105"/>
      <c r="IS343" s="105"/>
    </row>
    <row r="344" spans="1:253">
      <c r="A344" s="116"/>
      <c r="B344" s="105"/>
      <c r="C344" s="116"/>
      <c r="D344" s="116"/>
      <c r="E344" s="116"/>
      <c r="F344" s="116"/>
      <c r="G344" s="116"/>
      <c r="H344" s="116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  <c r="BF344" s="105"/>
      <c r="BG344" s="105"/>
      <c r="BH344" s="105"/>
      <c r="BI344" s="105"/>
      <c r="BJ344" s="105"/>
      <c r="BK344" s="105"/>
      <c r="BL344" s="105"/>
      <c r="BM344" s="105"/>
      <c r="BN344" s="105"/>
      <c r="BO344" s="105"/>
      <c r="BP344" s="105"/>
      <c r="BQ344" s="105"/>
      <c r="BR344" s="105"/>
      <c r="BS344" s="105"/>
      <c r="BT344" s="105"/>
      <c r="BU344" s="105"/>
      <c r="BV344" s="105"/>
      <c r="BW344" s="105"/>
      <c r="BX344" s="105"/>
      <c r="BY344" s="105"/>
      <c r="BZ344" s="105"/>
      <c r="CA344" s="105"/>
      <c r="CB344" s="105"/>
      <c r="CC344" s="105"/>
      <c r="CD344" s="105"/>
      <c r="CE344" s="105"/>
      <c r="CF344" s="105"/>
      <c r="CG344" s="105"/>
      <c r="CH344" s="105"/>
      <c r="CI344" s="105"/>
      <c r="CJ344" s="105"/>
      <c r="CK344" s="105"/>
      <c r="CL344" s="105"/>
      <c r="CM344" s="105"/>
      <c r="CN344" s="105"/>
      <c r="CO344" s="105"/>
      <c r="CP344" s="105"/>
      <c r="CQ344" s="105"/>
      <c r="CR344" s="105"/>
      <c r="CS344" s="105"/>
      <c r="CT344" s="105"/>
      <c r="CU344" s="105"/>
      <c r="CV344" s="105"/>
      <c r="CW344" s="105"/>
      <c r="CX344" s="105"/>
      <c r="CY344" s="105"/>
      <c r="CZ344" s="105"/>
      <c r="DA344" s="105"/>
      <c r="DB344" s="105"/>
      <c r="DC344" s="105"/>
      <c r="DD344" s="105"/>
      <c r="DE344" s="105"/>
      <c r="DF344" s="105"/>
      <c r="DG344" s="105"/>
      <c r="DH344" s="105"/>
      <c r="DI344" s="105"/>
      <c r="DJ344" s="105"/>
      <c r="DK344" s="105"/>
      <c r="DL344" s="105"/>
      <c r="DM344" s="105"/>
      <c r="DN344" s="105"/>
      <c r="DO344" s="105"/>
      <c r="DP344" s="105"/>
      <c r="DQ344" s="105"/>
      <c r="DR344" s="105"/>
      <c r="DS344" s="105"/>
      <c r="DT344" s="105"/>
      <c r="DU344" s="105"/>
      <c r="DV344" s="105"/>
      <c r="DW344" s="105"/>
      <c r="DX344" s="105"/>
      <c r="DY344" s="105"/>
      <c r="DZ344" s="105"/>
      <c r="EA344" s="105"/>
      <c r="EB344" s="105"/>
      <c r="EC344" s="105"/>
      <c r="ED344" s="105"/>
      <c r="EE344" s="105"/>
      <c r="EF344" s="105"/>
      <c r="EG344" s="105"/>
      <c r="EH344" s="105"/>
      <c r="EI344" s="105"/>
      <c r="EJ344" s="105"/>
      <c r="EK344" s="105"/>
      <c r="EL344" s="105"/>
      <c r="EM344" s="105"/>
      <c r="EN344" s="105"/>
      <c r="EO344" s="105"/>
      <c r="EP344" s="105"/>
      <c r="EQ344" s="105"/>
      <c r="ER344" s="105"/>
      <c r="ES344" s="105"/>
      <c r="ET344" s="105"/>
      <c r="EU344" s="105"/>
      <c r="EV344" s="105"/>
      <c r="EW344" s="105"/>
      <c r="EX344" s="105"/>
      <c r="EY344" s="105"/>
      <c r="EZ344" s="105"/>
      <c r="FA344" s="105"/>
      <c r="FB344" s="105"/>
      <c r="FC344" s="105"/>
      <c r="FD344" s="105"/>
      <c r="FE344" s="105"/>
      <c r="FF344" s="105"/>
      <c r="FG344" s="105"/>
      <c r="FH344" s="105"/>
      <c r="FI344" s="105"/>
      <c r="FJ344" s="105"/>
      <c r="FK344" s="105"/>
      <c r="FL344" s="105"/>
      <c r="FM344" s="105"/>
      <c r="FN344" s="105"/>
      <c r="FO344" s="105"/>
      <c r="FP344" s="105"/>
      <c r="FQ344" s="105"/>
      <c r="FR344" s="105"/>
      <c r="FS344" s="105"/>
      <c r="FT344" s="105"/>
      <c r="FU344" s="105"/>
      <c r="FV344" s="105"/>
      <c r="FW344" s="105"/>
      <c r="FX344" s="105"/>
      <c r="FY344" s="105"/>
      <c r="FZ344" s="105"/>
      <c r="GA344" s="105"/>
      <c r="GB344" s="105"/>
      <c r="GC344" s="105"/>
      <c r="GD344" s="105"/>
      <c r="GE344" s="105"/>
      <c r="GF344" s="105"/>
      <c r="GG344" s="105"/>
      <c r="GH344" s="105"/>
      <c r="GI344" s="105"/>
      <c r="GJ344" s="105"/>
      <c r="GK344" s="105"/>
      <c r="GL344" s="105"/>
      <c r="GM344" s="105"/>
      <c r="GN344" s="105"/>
      <c r="GO344" s="105"/>
      <c r="GP344" s="105"/>
      <c r="GQ344" s="105"/>
      <c r="GR344" s="105"/>
      <c r="GS344" s="105"/>
      <c r="GT344" s="105"/>
      <c r="GU344" s="105"/>
      <c r="GV344" s="105"/>
      <c r="GW344" s="105"/>
      <c r="GX344" s="105"/>
      <c r="GY344" s="105"/>
      <c r="GZ344" s="105"/>
      <c r="HA344" s="105"/>
      <c r="HB344" s="105"/>
      <c r="HC344" s="105"/>
      <c r="HD344" s="105"/>
      <c r="HE344" s="105"/>
      <c r="HF344" s="105"/>
      <c r="HG344" s="105"/>
      <c r="HH344" s="105"/>
      <c r="HI344" s="105"/>
      <c r="HJ344" s="105"/>
      <c r="HK344" s="105"/>
      <c r="HL344" s="105"/>
      <c r="HM344" s="105"/>
      <c r="HN344" s="105"/>
      <c r="HO344" s="105"/>
      <c r="HP344" s="105"/>
      <c r="HQ344" s="105"/>
      <c r="HR344" s="105"/>
      <c r="HS344" s="105"/>
      <c r="HT344" s="105"/>
      <c r="HU344" s="105"/>
      <c r="HV344" s="105"/>
      <c r="HW344" s="105"/>
      <c r="HX344" s="105"/>
      <c r="HY344" s="105"/>
      <c r="HZ344" s="105"/>
      <c r="IA344" s="105"/>
      <c r="IB344" s="105"/>
      <c r="IC344" s="105"/>
      <c r="ID344" s="105"/>
      <c r="IE344" s="105"/>
      <c r="IF344" s="105"/>
      <c r="IG344" s="105"/>
      <c r="IH344" s="105"/>
      <c r="II344" s="105"/>
      <c r="IJ344" s="105"/>
      <c r="IK344" s="105"/>
      <c r="IL344" s="105"/>
      <c r="IM344" s="105"/>
      <c r="IN344" s="105"/>
      <c r="IO344" s="105"/>
      <c r="IP344" s="105"/>
      <c r="IQ344" s="105"/>
      <c r="IR344" s="105"/>
      <c r="IS344" s="105"/>
    </row>
    <row r="345" spans="1:253">
      <c r="A345" s="116"/>
      <c r="B345" s="105"/>
      <c r="C345" s="116"/>
      <c r="D345" s="116"/>
      <c r="E345" s="116"/>
      <c r="F345" s="116"/>
      <c r="G345" s="116"/>
      <c r="H345" s="116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  <c r="BF345" s="105"/>
      <c r="BG345" s="105"/>
      <c r="BH345" s="105"/>
      <c r="BI345" s="105"/>
      <c r="BJ345" s="105"/>
      <c r="BK345" s="105"/>
      <c r="BL345" s="105"/>
      <c r="BM345" s="105"/>
      <c r="BN345" s="105"/>
      <c r="BO345" s="105"/>
      <c r="BP345" s="105"/>
      <c r="BQ345" s="105"/>
      <c r="BR345" s="105"/>
      <c r="BS345" s="105"/>
      <c r="BT345" s="105"/>
      <c r="BU345" s="105"/>
      <c r="BV345" s="105"/>
      <c r="BW345" s="105"/>
      <c r="BX345" s="105"/>
      <c r="BY345" s="105"/>
      <c r="BZ345" s="105"/>
      <c r="CA345" s="105"/>
      <c r="CB345" s="105"/>
      <c r="CC345" s="105"/>
      <c r="CD345" s="105"/>
      <c r="CE345" s="105"/>
      <c r="CF345" s="105"/>
      <c r="CG345" s="105"/>
      <c r="CH345" s="105"/>
      <c r="CI345" s="105"/>
      <c r="CJ345" s="105"/>
      <c r="CK345" s="105"/>
      <c r="CL345" s="105"/>
      <c r="CM345" s="105"/>
      <c r="CN345" s="105"/>
      <c r="CO345" s="105"/>
      <c r="CP345" s="105"/>
      <c r="CQ345" s="105"/>
      <c r="CR345" s="105"/>
      <c r="CS345" s="105"/>
      <c r="CT345" s="105"/>
      <c r="CU345" s="105"/>
      <c r="CV345" s="105"/>
      <c r="CW345" s="105"/>
      <c r="CX345" s="105"/>
      <c r="CY345" s="105"/>
      <c r="CZ345" s="105"/>
      <c r="DA345" s="105"/>
      <c r="DB345" s="105"/>
      <c r="DC345" s="105"/>
      <c r="DD345" s="105"/>
      <c r="DE345" s="105"/>
      <c r="DF345" s="105"/>
      <c r="DG345" s="105"/>
      <c r="DH345" s="105"/>
      <c r="DI345" s="105"/>
      <c r="DJ345" s="105"/>
      <c r="DK345" s="105"/>
      <c r="DL345" s="105"/>
      <c r="DM345" s="105"/>
      <c r="DN345" s="105"/>
      <c r="DO345" s="105"/>
      <c r="DP345" s="105"/>
      <c r="DQ345" s="105"/>
      <c r="DR345" s="105"/>
      <c r="DS345" s="105"/>
      <c r="DT345" s="105"/>
      <c r="DU345" s="105"/>
      <c r="DV345" s="105"/>
      <c r="DW345" s="105"/>
      <c r="DX345" s="105"/>
      <c r="DY345" s="105"/>
      <c r="DZ345" s="105"/>
      <c r="EA345" s="105"/>
      <c r="EB345" s="105"/>
      <c r="EC345" s="105"/>
      <c r="ED345" s="105"/>
      <c r="EE345" s="105"/>
      <c r="EF345" s="105"/>
      <c r="EG345" s="105"/>
      <c r="EH345" s="105"/>
      <c r="EI345" s="105"/>
      <c r="EJ345" s="105"/>
      <c r="EK345" s="105"/>
      <c r="EL345" s="105"/>
      <c r="EM345" s="105"/>
      <c r="EN345" s="105"/>
      <c r="EO345" s="105"/>
      <c r="EP345" s="105"/>
      <c r="EQ345" s="105"/>
      <c r="ER345" s="105"/>
      <c r="ES345" s="105"/>
      <c r="ET345" s="105"/>
      <c r="EU345" s="105"/>
      <c r="EV345" s="105"/>
      <c r="EW345" s="105"/>
      <c r="EX345" s="105"/>
      <c r="EY345" s="105"/>
      <c r="EZ345" s="105"/>
      <c r="FA345" s="105"/>
      <c r="FB345" s="105"/>
      <c r="FC345" s="105"/>
      <c r="FD345" s="105"/>
      <c r="FE345" s="105"/>
      <c r="FF345" s="105"/>
      <c r="FG345" s="105"/>
      <c r="FH345" s="105"/>
      <c r="FI345" s="105"/>
      <c r="FJ345" s="105"/>
      <c r="FK345" s="105"/>
      <c r="FL345" s="105"/>
      <c r="FM345" s="105"/>
      <c r="FN345" s="105"/>
      <c r="FO345" s="105"/>
      <c r="FP345" s="105"/>
      <c r="FQ345" s="105"/>
      <c r="FR345" s="105"/>
      <c r="FS345" s="105"/>
      <c r="FT345" s="105"/>
      <c r="FU345" s="105"/>
      <c r="FV345" s="105"/>
      <c r="FW345" s="105"/>
      <c r="FX345" s="105"/>
      <c r="FY345" s="105"/>
      <c r="FZ345" s="105"/>
      <c r="GA345" s="105"/>
      <c r="GB345" s="105"/>
      <c r="GC345" s="105"/>
      <c r="GD345" s="105"/>
      <c r="GE345" s="105"/>
      <c r="GF345" s="105"/>
      <c r="GG345" s="105"/>
      <c r="GH345" s="105"/>
      <c r="GI345" s="105"/>
      <c r="GJ345" s="105"/>
      <c r="GK345" s="105"/>
      <c r="GL345" s="105"/>
      <c r="GM345" s="105"/>
      <c r="GN345" s="105"/>
      <c r="GO345" s="105"/>
      <c r="GP345" s="105"/>
      <c r="GQ345" s="105"/>
      <c r="GR345" s="105"/>
      <c r="GS345" s="105"/>
      <c r="GT345" s="105"/>
      <c r="GU345" s="105"/>
      <c r="GV345" s="105"/>
      <c r="GW345" s="105"/>
      <c r="GX345" s="105"/>
      <c r="GY345" s="105"/>
      <c r="GZ345" s="105"/>
      <c r="HA345" s="105"/>
      <c r="HB345" s="105"/>
      <c r="HC345" s="105"/>
      <c r="HD345" s="105"/>
      <c r="HE345" s="105"/>
      <c r="HF345" s="105"/>
      <c r="HG345" s="105"/>
      <c r="HH345" s="105"/>
      <c r="HI345" s="105"/>
      <c r="HJ345" s="105"/>
      <c r="HK345" s="105"/>
      <c r="HL345" s="105"/>
      <c r="HM345" s="105"/>
      <c r="HN345" s="105"/>
      <c r="HO345" s="105"/>
      <c r="HP345" s="105"/>
      <c r="HQ345" s="105"/>
      <c r="HR345" s="105"/>
      <c r="HS345" s="105"/>
      <c r="HT345" s="105"/>
      <c r="HU345" s="105"/>
      <c r="HV345" s="105"/>
      <c r="HW345" s="105"/>
      <c r="HX345" s="105"/>
      <c r="HY345" s="105"/>
      <c r="HZ345" s="105"/>
      <c r="IA345" s="105"/>
      <c r="IB345" s="105"/>
      <c r="IC345" s="105"/>
      <c r="ID345" s="105"/>
      <c r="IE345" s="105"/>
      <c r="IF345" s="105"/>
      <c r="IG345" s="105"/>
      <c r="IH345" s="105"/>
      <c r="II345" s="105"/>
      <c r="IJ345" s="105"/>
      <c r="IK345" s="105"/>
      <c r="IL345" s="105"/>
      <c r="IM345" s="105"/>
      <c r="IN345" s="105"/>
      <c r="IO345" s="105"/>
      <c r="IP345" s="105"/>
      <c r="IQ345" s="105"/>
      <c r="IR345" s="105"/>
      <c r="IS345" s="105"/>
    </row>
    <row r="346" spans="1:253">
      <c r="A346" s="116"/>
      <c r="B346" s="105"/>
      <c r="C346" s="116"/>
      <c r="D346" s="116"/>
      <c r="E346" s="116"/>
      <c r="F346" s="116"/>
      <c r="G346" s="116"/>
      <c r="H346" s="116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05"/>
      <c r="BG346" s="105"/>
      <c r="BH346" s="105"/>
      <c r="BI346" s="105"/>
      <c r="BJ346" s="105"/>
      <c r="BK346" s="105"/>
      <c r="BL346" s="105"/>
      <c r="BM346" s="105"/>
      <c r="BN346" s="105"/>
      <c r="BO346" s="105"/>
      <c r="BP346" s="105"/>
      <c r="BQ346" s="105"/>
      <c r="BR346" s="105"/>
      <c r="BS346" s="105"/>
      <c r="BT346" s="105"/>
      <c r="BU346" s="105"/>
      <c r="BV346" s="105"/>
      <c r="BW346" s="105"/>
      <c r="BX346" s="105"/>
      <c r="BY346" s="105"/>
      <c r="BZ346" s="105"/>
      <c r="CA346" s="105"/>
      <c r="CB346" s="105"/>
      <c r="CC346" s="105"/>
      <c r="CD346" s="105"/>
      <c r="CE346" s="105"/>
      <c r="CF346" s="105"/>
      <c r="CG346" s="105"/>
      <c r="CH346" s="105"/>
      <c r="CI346" s="105"/>
      <c r="CJ346" s="105"/>
      <c r="CK346" s="105"/>
      <c r="CL346" s="105"/>
      <c r="CM346" s="105"/>
      <c r="CN346" s="105"/>
      <c r="CO346" s="105"/>
      <c r="CP346" s="105"/>
      <c r="CQ346" s="105"/>
      <c r="CR346" s="105"/>
      <c r="CS346" s="105"/>
      <c r="CT346" s="105"/>
      <c r="CU346" s="105"/>
      <c r="CV346" s="105"/>
      <c r="CW346" s="105"/>
      <c r="CX346" s="105"/>
      <c r="CY346" s="105"/>
      <c r="CZ346" s="105"/>
      <c r="DA346" s="105"/>
      <c r="DB346" s="105"/>
      <c r="DC346" s="105"/>
      <c r="DD346" s="105"/>
      <c r="DE346" s="105"/>
      <c r="DF346" s="105"/>
      <c r="DG346" s="105"/>
      <c r="DH346" s="105"/>
      <c r="DI346" s="105"/>
      <c r="DJ346" s="105"/>
      <c r="DK346" s="105"/>
      <c r="DL346" s="105"/>
      <c r="DM346" s="105"/>
      <c r="DN346" s="105"/>
      <c r="DO346" s="105"/>
      <c r="DP346" s="105"/>
      <c r="DQ346" s="105"/>
      <c r="DR346" s="105"/>
      <c r="DS346" s="105"/>
      <c r="DT346" s="105"/>
      <c r="DU346" s="105"/>
      <c r="DV346" s="105"/>
      <c r="DW346" s="105"/>
      <c r="DX346" s="105"/>
      <c r="DY346" s="105"/>
      <c r="DZ346" s="105"/>
      <c r="EA346" s="105"/>
      <c r="EB346" s="105"/>
      <c r="EC346" s="105"/>
      <c r="ED346" s="105"/>
      <c r="EE346" s="105"/>
      <c r="EF346" s="105"/>
      <c r="EG346" s="105"/>
      <c r="EH346" s="105"/>
      <c r="EI346" s="105"/>
      <c r="EJ346" s="105"/>
      <c r="EK346" s="105"/>
      <c r="EL346" s="105"/>
      <c r="EM346" s="105"/>
      <c r="EN346" s="105"/>
      <c r="EO346" s="105"/>
      <c r="EP346" s="105"/>
      <c r="EQ346" s="105"/>
      <c r="ER346" s="105"/>
      <c r="ES346" s="105"/>
      <c r="ET346" s="105"/>
      <c r="EU346" s="105"/>
      <c r="EV346" s="105"/>
      <c r="EW346" s="105"/>
      <c r="EX346" s="105"/>
      <c r="EY346" s="105"/>
      <c r="EZ346" s="105"/>
      <c r="FA346" s="105"/>
      <c r="FB346" s="105"/>
      <c r="FC346" s="105"/>
      <c r="FD346" s="105"/>
      <c r="FE346" s="105"/>
      <c r="FF346" s="105"/>
      <c r="FG346" s="105"/>
      <c r="FH346" s="105"/>
      <c r="FI346" s="105"/>
      <c r="FJ346" s="105"/>
      <c r="FK346" s="105"/>
      <c r="FL346" s="105"/>
      <c r="FM346" s="105"/>
      <c r="FN346" s="105"/>
      <c r="FO346" s="105"/>
      <c r="FP346" s="105"/>
      <c r="FQ346" s="105"/>
      <c r="FR346" s="105"/>
      <c r="FS346" s="105"/>
      <c r="FT346" s="105"/>
      <c r="FU346" s="105"/>
      <c r="FV346" s="105"/>
      <c r="FW346" s="105"/>
      <c r="FX346" s="105"/>
      <c r="FY346" s="105"/>
      <c r="FZ346" s="105"/>
      <c r="GA346" s="105"/>
      <c r="GB346" s="105"/>
      <c r="GC346" s="105"/>
      <c r="GD346" s="105"/>
      <c r="GE346" s="105"/>
      <c r="GF346" s="105"/>
      <c r="GG346" s="105"/>
      <c r="GH346" s="105"/>
      <c r="GI346" s="105"/>
      <c r="GJ346" s="105"/>
      <c r="GK346" s="105"/>
      <c r="GL346" s="105"/>
      <c r="GM346" s="105"/>
      <c r="GN346" s="105"/>
      <c r="GO346" s="105"/>
      <c r="GP346" s="105"/>
      <c r="GQ346" s="105"/>
      <c r="GR346" s="105"/>
      <c r="GS346" s="105"/>
      <c r="GT346" s="105"/>
      <c r="GU346" s="105"/>
      <c r="GV346" s="105"/>
      <c r="GW346" s="105"/>
      <c r="GX346" s="105"/>
      <c r="GY346" s="105"/>
      <c r="GZ346" s="105"/>
      <c r="HA346" s="105"/>
      <c r="HB346" s="105"/>
      <c r="HC346" s="105"/>
      <c r="HD346" s="105"/>
      <c r="HE346" s="105"/>
      <c r="HF346" s="105"/>
      <c r="HG346" s="105"/>
      <c r="HH346" s="105"/>
      <c r="HI346" s="105"/>
      <c r="HJ346" s="105"/>
      <c r="HK346" s="105"/>
      <c r="HL346" s="105"/>
      <c r="HM346" s="105"/>
      <c r="HN346" s="105"/>
      <c r="HO346" s="105"/>
      <c r="HP346" s="105"/>
      <c r="HQ346" s="105"/>
      <c r="HR346" s="105"/>
      <c r="HS346" s="105"/>
      <c r="HT346" s="105"/>
      <c r="HU346" s="105"/>
      <c r="HV346" s="105"/>
      <c r="HW346" s="105"/>
      <c r="HX346" s="105"/>
      <c r="HY346" s="105"/>
      <c r="HZ346" s="105"/>
      <c r="IA346" s="105"/>
      <c r="IB346" s="105"/>
      <c r="IC346" s="105"/>
      <c r="ID346" s="105"/>
      <c r="IE346" s="105"/>
      <c r="IF346" s="105"/>
      <c r="IG346" s="105"/>
      <c r="IH346" s="105"/>
      <c r="II346" s="105"/>
      <c r="IJ346" s="105"/>
      <c r="IK346" s="105"/>
      <c r="IL346" s="105"/>
      <c r="IM346" s="105"/>
      <c r="IN346" s="105"/>
      <c r="IO346" s="105"/>
      <c r="IP346" s="105"/>
      <c r="IQ346" s="105"/>
      <c r="IR346" s="105"/>
      <c r="IS346" s="105"/>
    </row>
    <row r="347" spans="1:253">
      <c r="A347" s="116"/>
      <c r="B347" s="105"/>
      <c r="C347" s="116"/>
      <c r="D347" s="116"/>
      <c r="E347" s="116"/>
      <c r="F347" s="116"/>
      <c r="G347" s="116"/>
      <c r="H347" s="116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5"/>
      <c r="BK347" s="105"/>
      <c r="BL347" s="105"/>
      <c r="BM347" s="105"/>
      <c r="BN347" s="105"/>
      <c r="BO347" s="105"/>
      <c r="BP347" s="105"/>
      <c r="BQ347" s="105"/>
      <c r="BR347" s="105"/>
      <c r="BS347" s="105"/>
      <c r="BT347" s="105"/>
      <c r="BU347" s="105"/>
      <c r="BV347" s="105"/>
      <c r="BW347" s="105"/>
      <c r="BX347" s="105"/>
      <c r="BY347" s="105"/>
      <c r="BZ347" s="105"/>
      <c r="CA347" s="105"/>
      <c r="CB347" s="105"/>
      <c r="CC347" s="105"/>
      <c r="CD347" s="105"/>
      <c r="CE347" s="105"/>
      <c r="CF347" s="105"/>
      <c r="CG347" s="105"/>
      <c r="CH347" s="105"/>
      <c r="CI347" s="105"/>
      <c r="CJ347" s="105"/>
      <c r="CK347" s="105"/>
      <c r="CL347" s="105"/>
      <c r="CM347" s="105"/>
      <c r="CN347" s="105"/>
      <c r="CO347" s="105"/>
      <c r="CP347" s="105"/>
      <c r="CQ347" s="105"/>
      <c r="CR347" s="105"/>
      <c r="CS347" s="105"/>
      <c r="CT347" s="105"/>
      <c r="CU347" s="105"/>
      <c r="CV347" s="105"/>
      <c r="CW347" s="105"/>
      <c r="CX347" s="105"/>
      <c r="CY347" s="105"/>
      <c r="CZ347" s="105"/>
      <c r="DA347" s="105"/>
      <c r="DB347" s="105"/>
      <c r="DC347" s="105"/>
      <c r="DD347" s="105"/>
      <c r="DE347" s="105"/>
      <c r="DF347" s="105"/>
      <c r="DG347" s="105"/>
      <c r="DH347" s="105"/>
      <c r="DI347" s="105"/>
      <c r="DJ347" s="105"/>
      <c r="DK347" s="105"/>
      <c r="DL347" s="105"/>
      <c r="DM347" s="105"/>
      <c r="DN347" s="105"/>
      <c r="DO347" s="105"/>
      <c r="DP347" s="105"/>
      <c r="DQ347" s="105"/>
      <c r="DR347" s="105"/>
      <c r="DS347" s="105"/>
      <c r="DT347" s="105"/>
      <c r="DU347" s="105"/>
      <c r="DV347" s="105"/>
      <c r="DW347" s="105"/>
      <c r="DX347" s="105"/>
      <c r="DY347" s="105"/>
      <c r="DZ347" s="105"/>
      <c r="EA347" s="105"/>
      <c r="EB347" s="105"/>
      <c r="EC347" s="105"/>
      <c r="ED347" s="105"/>
      <c r="EE347" s="105"/>
      <c r="EF347" s="105"/>
      <c r="EG347" s="105"/>
      <c r="EH347" s="105"/>
      <c r="EI347" s="105"/>
      <c r="EJ347" s="105"/>
      <c r="EK347" s="105"/>
      <c r="EL347" s="105"/>
      <c r="EM347" s="105"/>
      <c r="EN347" s="105"/>
      <c r="EO347" s="105"/>
      <c r="EP347" s="105"/>
      <c r="EQ347" s="105"/>
      <c r="ER347" s="105"/>
      <c r="ES347" s="105"/>
      <c r="ET347" s="105"/>
      <c r="EU347" s="105"/>
      <c r="EV347" s="105"/>
      <c r="EW347" s="105"/>
      <c r="EX347" s="105"/>
      <c r="EY347" s="105"/>
      <c r="EZ347" s="105"/>
      <c r="FA347" s="105"/>
      <c r="FB347" s="105"/>
      <c r="FC347" s="105"/>
      <c r="FD347" s="105"/>
      <c r="FE347" s="105"/>
      <c r="FF347" s="105"/>
      <c r="FG347" s="105"/>
      <c r="FH347" s="105"/>
      <c r="FI347" s="105"/>
      <c r="FJ347" s="105"/>
      <c r="FK347" s="105"/>
      <c r="FL347" s="105"/>
      <c r="FM347" s="105"/>
      <c r="FN347" s="105"/>
      <c r="FO347" s="105"/>
      <c r="FP347" s="105"/>
      <c r="FQ347" s="105"/>
      <c r="FR347" s="105"/>
      <c r="FS347" s="105"/>
      <c r="FT347" s="105"/>
      <c r="FU347" s="105"/>
      <c r="FV347" s="105"/>
      <c r="FW347" s="105"/>
      <c r="FX347" s="105"/>
      <c r="FY347" s="105"/>
      <c r="FZ347" s="105"/>
      <c r="GA347" s="105"/>
      <c r="GB347" s="105"/>
      <c r="GC347" s="105"/>
      <c r="GD347" s="105"/>
      <c r="GE347" s="105"/>
      <c r="GF347" s="105"/>
      <c r="GG347" s="105"/>
      <c r="GH347" s="105"/>
      <c r="GI347" s="105"/>
      <c r="GJ347" s="105"/>
      <c r="GK347" s="105"/>
      <c r="GL347" s="105"/>
      <c r="GM347" s="105"/>
      <c r="GN347" s="105"/>
      <c r="GO347" s="105"/>
      <c r="GP347" s="105"/>
      <c r="GQ347" s="105"/>
      <c r="GR347" s="105"/>
      <c r="GS347" s="105"/>
      <c r="GT347" s="105"/>
      <c r="GU347" s="105"/>
      <c r="GV347" s="105"/>
      <c r="GW347" s="105"/>
      <c r="GX347" s="105"/>
      <c r="GY347" s="105"/>
      <c r="GZ347" s="105"/>
      <c r="HA347" s="105"/>
      <c r="HB347" s="105"/>
      <c r="HC347" s="105"/>
      <c r="HD347" s="105"/>
      <c r="HE347" s="105"/>
      <c r="HF347" s="105"/>
      <c r="HG347" s="105"/>
      <c r="HH347" s="105"/>
      <c r="HI347" s="105"/>
      <c r="HJ347" s="105"/>
      <c r="HK347" s="105"/>
      <c r="HL347" s="105"/>
      <c r="HM347" s="105"/>
      <c r="HN347" s="105"/>
      <c r="HO347" s="105"/>
      <c r="HP347" s="105"/>
      <c r="HQ347" s="105"/>
      <c r="HR347" s="105"/>
      <c r="HS347" s="105"/>
      <c r="HT347" s="105"/>
      <c r="HU347" s="105"/>
      <c r="HV347" s="105"/>
      <c r="HW347" s="105"/>
      <c r="HX347" s="105"/>
      <c r="HY347" s="105"/>
      <c r="HZ347" s="105"/>
      <c r="IA347" s="105"/>
      <c r="IB347" s="105"/>
      <c r="IC347" s="105"/>
      <c r="ID347" s="105"/>
      <c r="IE347" s="105"/>
      <c r="IF347" s="105"/>
      <c r="IG347" s="105"/>
      <c r="IH347" s="105"/>
      <c r="II347" s="105"/>
      <c r="IJ347" s="105"/>
      <c r="IK347" s="105"/>
      <c r="IL347" s="105"/>
      <c r="IM347" s="105"/>
      <c r="IN347" s="105"/>
      <c r="IO347" s="105"/>
      <c r="IP347" s="105"/>
      <c r="IQ347" s="105"/>
      <c r="IR347" s="105"/>
      <c r="IS347" s="105"/>
    </row>
    <row r="348" spans="1:253">
      <c r="A348" s="116"/>
      <c r="B348" s="105"/>
      <c r="C348" s="116"/>
      <c r="D348" s="116"/>
      <c r="E348" s="116"/>
      <c r="F348" s="116"/>
      <c r="G348" s="116"/>
      <c r="H348" s="116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  <c r="BF348" s="105"/>
      <c r="BG348" s="105"/>
      <c r="BH348" s="105"/>
      <c r="BI348" s="105"/>
      <c r="BJ348" s="105"/>
      <c r="BK348" s="105"/>
      <c r="BL348" s="105"/>
      <c r="BM348" s="105"/>
      <c r="BN348" s="105"/>
      <c r="BO348" s="105"/>
      <c r="BP348" s="105"/>
      <c r="BQ348" s="105"/>
      <c r="BR348" s="105"/>
      <c r="BS348" s="105"/>
      <c r="BT348" s="105"/>
      <c r="BU348" s="105"/>
      <c r="BV348" s="105"/>
      <c r="BW348" s="105"/>
      <c r="BX348" s="105"/>
      <c r="BY348" s="105"/>
      <c r="BZ348" s="105"/>
      <c r="CA348" s="105"/>
      <c r="CB348" s="105"/>
      <c r="CC348" s="105"/>
      <c r="CD348" s="105"/>
      <c r="CE348" s="105"/>
      <c r="CF348" s="105"/>
      <c r="CG348" s="105"/>
      <c r="CH348" s="105"/>
      <c r="CI348" s="105"/>
      <c r="CJ348" s="105"/>
      <c r="CK348" s="105"/>
      <c r="CL348" s="105"/>
      <c r="CM348" s="105"/>
      <c r="CN348" s="105"/>
      <c r="CO348" s="105"/>
      <c r="CP348" s="105"/>
      <c r="CQ348" s="105"/>
      <c r="CR348" s="105"/>
      <c r="CS348" s="105"/>
      <c r="CT348" s="105"/>
      <c r="CU348" s="105"/>
      <c r="CV348" s="105"/>
      <c r="CW348" s="105"/>
      <c r="CX348" s="105"/>
      <c r="CY348" s="105"/>
      <c r="CZ348" s="105"/>
      <c r="DA348" s="105"/>
      <c r="DB348" s="105"/>
      <c r="DC348" s="105"/>
      <c r="DD348" s="105"/>
      <c r="DE348" s="105"/>
      <c r="DF348" s="105"/>
      <c r="DG348" s="105"/>
      <c r="DH348" s="105"/>
      <c r="DI348" s="105"/>
      <c r="DJ348" s="105"/>
      <c r="DK348" s="105"/>
      <c r="DL348" s="105"/>
      <c r="DM348" s="105"/>
      <c r="DN348" s="105"/>
      <c r="DO348" s="105"/>
      <c r="DP348" s="105"/>
      <c r="DQ348" s="105"/>
      <c r="DR348" s="105"/>
      <c r="DS348" s="105"/>
      <c r="DT348" s="105"/>
      <c r="DU348" s="105"/>
      <c r="DV348" s="105"/>
      <c r="DW348" s="105"/>
      <c r="DX348" s="105"/>
      <c r="DY348" s="105"/>
      <c r="DZ348" s="105"/>
      <c r="EA348" s="105"/>
      <c r="EB348" s="105"/>
      <c r="EC348" s="105"/>
      <c r="ED348" s="105"/>
      <c r="EE348" s="105"/>
      <c r="EF348" s="105"/>
      <c r="EG348" s="105"/>
      <c r="EH348" s="105"/>
      <c r="EI348" s="105"/>
      <c r="EJ348" s="105"/>
      <c r="EK348" s="105"/>
      <c r="EL348" s="105"/>
      <c r="EM348" s="105"/>
      <c r="EN348" s="105"/>
      <c r="EO348" s="105"/>
      <c r="EP348" s="105"/>
      <c r="EQ348" s="105"/>
      <c r="ER348" s="105"/>
      <c r="ES348" s="105"/>
      <c r="ET348" s="105"/>
      <c r="EU348" s="105"/>
      <c r="EV348" s="105"/>
      <c r="EW348" s="105"/>
      <c r="EX348" s="105"/>
      <c r="EY348" s="105"/>
      <c r="EZ348" s="105"/>
      <c r="FA348" s="105"/>
      <c r="FB348" s="105"/>
      <c r="FC348" s="105"/>
      <c r="FD348" s="105"/>
      <c r="FE348" s="105"/>
      <c r="FF348" s="105"/>
      <c r="FG348" s="105"/>
      <c r="FH348" s="105"/>
      <c r="FI348" s="105"/>
      <c r="FJ348" s="105"/>
      <c r="FK348" s="105"/>
      <c r="FL348" s="105"/>
      <c r="FM348" s="105"/>
      <c r="FN348" s="105"/>
      <c r="FO348" s="105"/>
      <c r="FP348" s="105"/>
      <c r="FQ348" s="105"/>
      <c r="FR348" s="105"/>
      <c r="FS348" s="105"/>
      <c r="FT348" s="105"/>
      <c r="FU348" s="105"/>
      <c r="FV348" s="105"/>
      <c r="FW348" s="105"/>
      <c r="FX348" s="105"/>
      <c r="FY348" s="105"/>
      <c r="FZ348" s="105"/>
      <c r="GA348" s="105"/>
      <c r="GB348" s="105"/>
      <c r="GC348" s="105"/>
      <c r="GD348" s="105"/>
      <c r="GE348" s="105"/>
      <c r="GF348" s="105"/>
      <c r="GG348" s="105"/>
      <c r="GH348" s="105"/>
      <c r="GI348" s="105"/>
      <c r="GJ348" s="105"/>
      <c r="GK348" s="105"/>
      <c r="GL348" s="105"/>
      <c r="GM348" s="105"/>
      <c r="GN348" s="105"/>
      <c r="GO348" s="105"/>
      <c r="GP348" s="105"/>
      <c r="GQ348" s="105"/>
      <c r="GR348" s="105"/>
      <c r="GS348" s="105"/>
      <c r="GT348" s="105"/>
      <c r="GU348" s="105"/>
      <c r="GV348" s="105"/>
      <c r="GW348" s="105"/>
      <c r="GX348" s="105"/>
      <c r="GY348" s="105"/>
      <c r="GZ348" s="105"/>
      <c r="HA348" s="105"/>
      <c r="HB348" s="105"/>
      <c r="HC348" s="105"/>
      <c r="HD348" s="105"/>
      <c r="HE348" s="105"/>
      <c r="HF348" s="105"/>
      <c r="HG348" s="105"/>
      <c r="HH348" s="105"/>
      <c r="HI348" s="105"/>
      <c r="HJ348" s="105"/>
      <c r="HK348" s="105"/>
      <c r="HL348" s="105"/>
      <c r="HM348" s="105"/>
      <c r="HN348" s="105"/>
      <c r="HO348" s="105"/>
      <c r="HP348" s="105"/>
      <c r="HQ348" s="105"/>
      <c r="HR348" s="105"/>
      <c r="HS348" s="105"/>
      <c r="HT348" s="105"/>
      <c r="HU348" s="105"/>
      <c r="HV348" s="105"/>
      <c r="HW348" s="105"/>
      <c r="HX348" s="105"/>
      <c r="HY348" s="105"/>
      <c r="HZ348" s="105"/>
      <c r="IA348" s="105"/>
      <c r="IB348" s="105"/>
      <c r="IC348" s="105"/>
      <c r="ID348" s="105"/>
      <c r="IE348" s="105"/>
      <c r="IF348" s="105"/>
      <c r="IG348" s="105"/>
      <c r="IH348" s="105"/>
      <c r="II348" s="105"/>
      <c r="IJ348" s="105"/>
      <c r="IK348" s="105"/>
      <c r="IL348" s="105"/>
      <c r="IM348" s="105"/>
      <c r="IN348" s="105"/>
      <c r="IO348" s="105"/>
      <c r="IP348" s="105"/>
      <c r="IQ348" s="105"/>
      <c r="IR348" s="105"/>
      <c r="IS348" s="105"/>
    </row>
    <row r="349" spans="1:253">
      <c r="A349" s="116"/>
      <c r="B349" s="105"/>
      <c r="C349" s="116"/>
      <c r="D349" s="116"/>
      <c r="E349" s="116"/>
      <c r="F349" s="116"/>
      <c r="G349" s="116"/>
      <c r="H349" s="116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  <c r="BF349" s="105"/>
      <c r="BG349" s="105"/>
      <c r="BH349" s="105"/>
      <c r="BI349" s="105"/>
      <c r="BJ349" s="105"/>
      <c r="BK349" s="105"/>
      <c r="BL349" s="105"/>
      <c r="BM349" s="105"/>
      <c r="BN349" s="105"/>
      <c r="BO349" s="105"/>
      <c r="BP349" s="105"/>
      <c r="BQ349" s="105"/>
      <c r="BR349" s="105"/>
      <c r="BS349" s="105"/>
      <c r="BT349" s="105"/>
      <c r="BU349" s="105"/>
      <c r="BV349" s="105"/>
      <c r="BW349" s="105"/>
      <c r="BX349" s="105"/>
      <c r="BY349" s="105"/>
      <c r="BZ349" s="105"/>
      <c r="CA349" s="105"/>
      <c r="CB349" s="105"/>
      <c r="CC349" s="105"/>
      <c r="CD349" s="105"/>
      <c r="CE349" s="105"/>
      <c r="CF349" s="105"/>
      <c r="CG349" s="105"/>
      <c r="CH349" s="105"/>
      <c r="CI349" s="105"/>
      <c r="CJ349" s="105"/>
      <c r="CK349" s="105"/>
      <c r="CL349" s="105"/>
      <c r="CM349" s="105"/>
      <c r="CN349" s="105"/>
      <c r="CO349" s="105"/>
      <c r="CP349" s="105"/>
      <c r="CQ349" s="105"/>
      <c r="CR349" s="105"/>
      <c r="CS349" s="105"/>
      <c r="CT349" s="105"/>
      <c r="CU349" s="105"/>
      <c r="CV349" s="105"/>
      <c r="CW349" s="105"/>
      <c r="CX349" s="105"/>
      <c r="CY349" s="105"/>
      <c r="CZ349" s="105"/>
      <c r="DA349" s="105"/>
      <c r="DB349" s="105"/>
      <c r="DC349" s="105"/>
      <c r="DD349" s="105"/>
      <c r="DE349" s="105"/>
      <c r="DF349" s="105"/>
      <c r="DG349" s="105"/>
      <c r="DH349" s="105"/>
      <c r="DI349" s="105"/>
      <c r="DJ349" s="105"/>
      <c r="DK349" s="105"/>
      <c r="DL349" s="105"/>
      <c r="DM349" s="105"/>
      <c r="DN349" s="105"/>
      <c r="DO349" s="105"/>
      <c r="DP349" s="105"/>
      <c r="DQ349" s="105"/>
      <c r="DR349" s="105"/>
      <c r="DS349" s="105"/>
      <c r="DT349" s="105"/>
      <c r="DU349" s="105"/>
      <c r="DV349" s="105"/>
      <c r="DW349" s="105"/>
      <c r="DX349" s="105"/>
      <c r="DY349" s="105"/>
      <c r="DZ349" s="105"/>
      <c r="EA349" s="105"/>
      <c r="EB349" s="105"/>
      <c r="EC349" s="105"/>
      <c r="ED349" s="105"/>
      <c r="EE349" s="105"/>
      <c r="EF349" s="105"/>
      <c r="EG349" s="105"/>
      <c r="EH349" s="105"/>
      <c r="EI349" s="105"/>
      <c r="EJ349" s="105"/>
      <c r="EK349" s="105"/>
      <c r="EL349" s="105"/>
      <c r="EM349" s="105"/>
      <c r="EN349" s="105"/>
      <c r="EO349" s="105"/>
      <c r="EP349" s="105"/>
      <c r="EQ349" s="105"/>
      <c r="ER349" s="105"/>
      <c r="ES349" s="105"/>
      <c r="ET349" s="105"/>
      <c r="EU349" s="105"/>
      <c r="EV349" s="105"/>
      <c r="EW349" s="105"/>
      <c r="EX349" s="105"/>
      <c r="EY349" s="105"/>
      <c r="EZ349" s="105"/>
      <c r="FA349" s="105"/>
      <c r="FB349" s="105"/>
      <c r="FC349" s="105"/>
      <c r="FD349" s="105"/>
      <c r="FE349" s="105"/>
      <c r="FF349" s="105"/>
      <c r="FG349" s="105"/>
      <c r="FH349" s="105"/>
      <c r="FI349" s="105"/>
      <c r="FJ349" s="105"/>
      <c r="FK349" s="105"/>
      <c r="FL349" s="105"/>
      <c r="FM349" s="105"/>
      <c r="FN349" s="105"/>
      <c r="FO349" s="105"/>
      <c r="FP349" s="105"/>
      <c r="FQ349" s="105"/>
      <c r="FR349" s="105"/>
      <c r="FS349" s="105"/>
      <c r="FT349" s="105"/>
      <c r="FU349" s="105"/>
      <c r="FV349" s="105"/>
      <c r="FW349" s="105"/>
      <c r="FX349" s="105"/>
      <c r="FY349" s="105"/>
      <c r="FZ349" s="105"/>
      <c r="GA349" s="105"/>
      <c r="GB349" s="105"/>
      <c r="GC349" s="105"/>
      <c r="GD349" s="105"/>
      <c r="GE349" s="105"/>
      <c r="GF349" s="105"/>
      <c r="GG349" s="105"/>
      <c r="GH349" s="105"/>
      <c r="GI349" s="105"/>
      <c r="GJ349" s="105"/>
      <c r="GK349" s="105"/>
      <c r="GL349" s="105"/>
      <c r="GM349" s="105"/>
      <c r="GN349" s="105"/>
      <c r="GO349" s="105"/>
      <c r="GP349" s="105"/>
      <c r="GQ349" s="105"/>
      <c r="GR349" s="105"/>
      <c r="GS349" s="105"/>
      <c r="GT349" s="105"/>
      <c r="GU349" s="105"/>
      <c r="GV349" s="105"/>
      <c r="GW349" s="105"/>
      <c r="GX349" s="105"/>
      <c r="GY349" s="105"/>
      <c r="GZ349" s="105"/>
      <c r="HA349" s="105"/>
      <c r="HB349" s="105"/>
      <c r="HC349" s="105"/>
      <c r="HD349" s="105"/>
      <c r="HE349" s="105"/>
      <c r="HF349" s="105"/>
      <c r="HG349" s="105"/>
      <c r="HH349" s="105"/>
      <c r="HI349" s="105"/>
      <c r="HJ349" s="105"/>
      <c r="HK349" s="105"/>
      <c r="HL349" s="105"/>
      <c r="HM349" s="105"/>
      <c r="HN349" s="105"/>
      <c r="HO349" s="105"/>
      <c r="HP349" s="105"/>
      <c r="HQ349" s="105"/>
      <c r="HR349" s="105"/>
      <c r="HS349" s="105"/>
      <c r="HT349" s="105"/>
      <c r="HU349" s="105"/>
      <c r="HV349" s="105"/>
      <c r="HW349" s="105"/>
      <c r="HX349" s="105"/>
      <c r="HY349" s="105"/>
      <c r="HZ349" s="105"/>
      <c r="IA349" s="105"/>
      <c r="IB349" s="105"/>
      <c r="IC349" s="105"/>
      <c r="ID349" s="105"/>
      <c r="IE349" s="105"/>
      <c r="IF349" s="105"/>
      <c r="IG349" s="105"/>
      <c r="IH349" s="105"/>
      <c r="II349" s="105"/>
      <c r="IJ349" s="105"/>
      <c r="IK349" s="105"/>
      <c r="IL349" s="105"/>
      <c r="IM349" s="105"/>
      <c r="IN349" s="105"/>
      <c r="IO349" s="105"/>
      <c r="IP349" s="105"/>
      <c r="IQ349" s="105"/>
      <c r="IR349" s="105"/>
      <c r="IS349" s="105"/>
    </row>
    <row r="350" spans="1:253">
      <c r="A350" s="116"/>
      <c r="B350" s="105"/>
      <c r="C350" s="116"/>
      <c r="D350" s="116"/>
      <c r="E350" s="116"/>
      <c r="F350" s="116"/>
      <c r="G350" s="116"/>
      <c r="H350" s="116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  <c r="BF350" s="105"/>
      <c r="BG350" s="105"/>
      <c r="BH350" s="105"/>
      <c r="BI350" s="105"/>
      <c r="BJ350" s="105"/>
      <c r="BK350" s="105"/>
      <c r="BL350" s="105"/>
      <c r="BM350" s="105"/>
      <c r="BN350" s="105"/>
      <c r="BO350" s="105"/>
      <c r="BP350" s="105"/>
      <c r="BQ350" s="105"/>
      <c r="BR350" s="105"/>
      <c r="BS350" s="105"/>
      <c r="BT350" s="105"/>
      <c r="BU350" s="105"/>
      <c r="BV350" s="105"/>
      <c r="BW350" s="105"/>
      <c r="BX350" s="105"/>
      <c r="BY350" s="105"/>
      <c r="BZ350" s="105"/>
      <c r="CA350" s="105"/>
      <c r="CB350" s="105"/>
      <c r="CC350" s="105"/>
      <c r="CD350" s="105"/>
      <c r="CE350" s="105"/>
      <c r="CF350" s="105"/>
      <c r="CG350" s="105"/>
      <c r="CH350" s="105"/>
      <c r="CI350" s="105"/>
      <c r="CJ350" s="105"/>
      <c r="CK350" s="105"/>
      <c r="CL350" s="105"/>
      <c r="CM350" s="105"/>
      <c r="CN350" s="105"/>
      <c r="CO350" s="105"/>
      <c r="CP350" s="105"/>
      <c r="CQ350" s="105"/>
      <c r="CR350" s="105"/>
      <c r="CS350" s="105"/>
      <c r="CT350" s="105"/>
      <c r="CU350" s="105"/>
      <c r="CV350" s="105"/>
      <c r="CW350" s="105"/>
      <c r="CX350" s="105"/>
      <c r="CY350" s="105"/>
      <c r="CZ350" s="105"/>
      <c r="DA350" s="105"/>
      <c r="DB350" s="105"/>
      <c r="DC350" s="105"/>
      <c r="DD350" s="105"/>
      <c r="DE350" s="105"/>
      <c r="DF350" s="105"/>
      <c r="DG350" s="105"/>
      <c r="DH350" s="105"/>
      <c r="DI350" s="105"/>
      <c r="DJ350" s="105"/>
      <c r="DK350" s="105"/>
      <c r="DL350" s="105"/>
      <c r="DM350" s="105"/>
      <c r="DN350" s="105"/>
      <c r="DO350" s="105"/>
      <c r="DP350" s="105"/>
      <c r="DQ350" s="105"/>
      <c r="DR350" s="105"/>
      <c r="DS350" s="105"/>
      <c r="DT350" s="105"/>
      <c r="DU350" s="105"/>
      <c r="DV350" s="105"/>
      <c r="DW350" s="105"/>
      <c r="DX350" s="105"/>
      <c r="DY350" s="105"/>
      <c r="DZ350" s="105"/>
      <c r="EA350" s="105"/>
      <c r="EB350" s="105"/>
      <c r="EC350" s="105"/>
      <c r="ED350" s="105"/>
      <c r="EE350" s="105"/>
      <c r="EF350" s="105"/>
      <c r="EG350" s="105"/>
      <c r="EH350" s="105"/>
      <c r="EI350" s="105"/>
      <c r="EJ350" s="105"/>
      <c r="EK350" s="105"/>
      <c r="EL350" s="105"/>
      <c r="EM350" s="105"/>
      <c r="EN350" s="105"/>
      <c r="EO350" s="105"/>
      <c r="EP350" s="105"/>
      <c r="EQ350" s="105"/>
      <c r="ER350" s="105"/>
      <c r="ES350" s="105"/>
      <c r="ET350" s="105"/>
      <c r="EU350" s="105"/>
      <c r="EV350" s="105"/>
      <c r="EW350" s="105"/>
      <c r="EX350" s="105"/>
      <c r="EY350" s="105"/>
      <c r="EZ350" s="105"/>
      <c r="FA350" s="105"/>
      <c r="FB350" s="105"/>
      <c r="FC350" s="105"/>
      <c r="FD350" s="105"/>
      <c r="FE350" s="105"/>
      <c r="FF350" s="105"/>
      <c r="FG350" s="105"/>
      <c r="FH350" s="105"/>
      <c r="FI350" s="105"/>
      <c r="FJ350" s="105"/>
      <c r="FK350" s="105"/>
      <c r="FL350" s="105"/>
      <c r="FM350" s="105"/>
      <c r="FN350" s="105"/>
      <c r="FO350" s="105"/>
      <c r="FP350" s="105"/>
      <c r="FQ350" s="105"/>
      <c r="FR350" s="105"/>
      <c r="FS350" s="105"/>
      <c r="FT350" s="105"/>
      <c r="FU350" s="105"/>
      <c r="FV350" s="105"/>
      <c r="FW350" s="105"/>
      <c r="FX350" s="105"/>
      <c r="FY350" s="105"/>
      <c r="FZ350" s="105"/>
      <c r="GA350" s="105"/>
      <c r="GB350" s="105"/>
      <c r="GC350" s="105"/>
      <c r="GD350" s="105"/>
      <c r="GE350" s="105"/>
      <c r="GF350" s="105"/>
      <c r="GG350" s="105"/>
      <c r="GH350" s="105"/>
      <c r="GI350" s="105"/>
      <c r="GJ350" s="105"/>
      <c r="GK350" s="105"/>
      <c r="GL350" s="105"/>
      <c r="GM350" s="105"/>
      <c r="GN350" s="105"/>
      <c r="GO350" s="105"/>
      <c r="GP350" s="105"/>
      <c r="GQ350" s="105"/>
      <c r="GR350" s="105"/>
      <c r="GS350" s="105"/>
      <c r="GT350" s="105"/>
      <c r="GU350" s="105"/>
      <c r="GV350" s="105"/>
      <c r="GW350" s="105"/>
      <c r="GX350" s="105"/>
      <c r="GY350" s="105"/>
      <c r="GZ350" s="105"/>
      <c r="HA350" s="105"/>
      <c r="HB350" s="105"/>
      <c r="HC350" s="105"/>
      <c r="HD350" s="105"/>
      <c r="HE350" s="105"/>
      <c r="HF350" s="105"/>
      <c r="HG350" s="105"/>
      <c r="HH350" s="105"/>
      <c r="HI350" s="105"/>
      <c r="HJ350" s="105"/>
      <c r="HK350" s="105"/>
      <c r="HL350" s="105"/>
      <c r="HM350" s="105"/>
      <c r="HN350" s="105"/>
      <c r="HO350" s="105"/>
      <c r="HP350" s="105"/>
      <c r="HQ350" s="105"/>
      <c r="HR350" s="105"/>
      <c r="HS350" s="105"/>
      <c r="HT350" s="105"/>
      <c r="HU350" s="105"/>
      <c r="HV350" s="105"/>
      <c r="HW350" s="105"/>
      <c r="HX350" s="105"/>
      <c r="HY350" s="105"/>
      <c r="HZ350" s="105"/>
      <c r="IA350" s="105"/>
      <c r="IB350" s="105"/>
      <c r="IC350" s="105"/>
      <c r="ID350" s="105"/>
      <c r="IE350" s="105"/>
      <c r="IF350" s="105"/>
      <c r="IG350" s="105"/>
      <c r="IH350" s="105"/>
      <c r="II350" s="105"/>
      <c r="IJ350" s="105"/>
      <c r="IK350" s="105"/>
      <c r="IL350" s="105"/>
      <c r="IM350" s="105"/>
      <c r="IN350" s="105"/>
      <c r="IO350" s="105"/>
      <c r="IP350" s="105"/>
      <c r="IQ350" s="105"/>
      <c r="IR350" s="105"/>
      <c r="IS350" s="105"/>
    </row>
    <row r="351" spans="1:253">
      <c r="A351" s="116"/>
      <c r="B351" s="105"/>
      <c r="C351" s="116"/>
      <c r="D351" s="116"/>
      <c r="E351" s="116"/>
      <c r="F351" s="116"/>
      <c r="G351" s="116"/>
      <c r="H351" s="116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  <c r="BF351" s="105"/>
      <c r="BG351" s="105"/>
      <c r="BH351" s="105"/>
      <c r="BI351" s="105"/>
      <c r="BJ351" s="105"/>
      <c r="BK351" s="105"/>
      <c r="BL351" s="105"/>
      <c r="BM351" s="105"/>
      <c r="BN351" s="105"/>
      <c r="BO351" s="105"/>
      <c r="BP351" s="105"/>
      <c r="BQ351" s="105"/>
      <c r="BR351" s="105"/>
      <c r="BS351" s="105"/>
      <c r="BT351" s="105"/>
      <c r="BU351" s="105"/>
      <c r="BV351" s="105"/>
      <c r="BW351" s="105"/>
      <c r="BX351" s="105"/>
      <c r="BY351" s="105"/>
      <c r="BZ351" s="105"/>
      <c r="CA351" s="105"/>
      <c r="CB351" s="105"/>
      <c r="CC351" s="105"/>
      <c r="CD351" s="105"/>
      <c r="CE351" s="105"/>
      <c r="CF351" s="105"/>
      <c r="CG351" s="105"/>
      <c r="CH351" s="105"/>
      <c r="CI351" s="105"/>
      <c r="CJ351" s="105"/>
      <c r="CK351" s="105"/>
      <c r="CL351" s="105"/>
      <c r="CM351" s="105"/>
      <c r="CN351" s="105"/>
      <c r="CO351" s="105"/>
      <c r="CP351" s="105"/>
      <c r="CQ351" s="105"/>
      <c r="CR351" s="105"/>
      <c r="CS351" s="105"/>
      <c r="CT351" s="105"/>
      <c r="CU351" s="105"/>
      <c r="CV351" s="105"/>
      <c r="CW351" s="105"/>
      <c r="CX351" s="105"/>
      <c r="CY351" s="105"/>
      <c r="CZ351" s="105"/>
      <c r="DA351" s="105"/>
      <c r="DB351" s="105"/>
      <c r="DC351" s="105"/>
      <c r="DD351" s="105"/>
      <c r="DE351" s="105"/>
      <c r="DF351" s="105"/>
      <c r="DG351" s="105"/>
      <c r="DH351" s="105"/>
      <c r="DI351" s="105"/>
      <c r="DJ351" s="105"/>
      <c r="DK351" s="105"/>
      <c r="DL351" s="105"/>
      <c r="DM351" s="105"/>
      <c r="DN351" s="105"/>
      <c r="DO351" s="105"/>
      <c r="DP351" s="105"/>
      <c r="DQ351" s="105"/>
      <c r="DR351" s="105"/>
      <c r="DS351" s="105"/>
      <c r="DT351" s="105"/>
      <c r="DU351" s="105"/>
      <c r="DV351" s="105"/>
      <c r="DW351" s="105"/>
      <c r="DX351" s="105"/>
      <c r="DY351" s="105"/>
      <c r="DZ351" s="105"/>
      <c r="EA351" s="105"/>
      <c r="EB351" s="105"/>
      <c r="EC351" s="105"/>
      <c r="ED351" s="105"/>
      <c r="EE351" s="105"/>
      <c r="EF351" s="105"/>
      <c r="EG351" s="105"/>
      <c r="EH351" s="105"/>
      <c r="EI351" s="105"/>
      <c r="EJ351" s="105"/>
      <c r="EK351" s="105"/>
      <c r="EL351" s="105"/>
      <c r="EM351" s="105"/>
      <c r="EN351" s="105"/>
      <c r="EO351" s="105"/>
      <c r="EP351" s="105"/>
      <c r="EQ351" s="105"/>
      <c r="ER351" s="105"/>
      <c r="ES351" s="105"/>
      <c r="ET351" s="105"/>
      <c r="EU351" s="105"/>
      <c r="EV351" s="105"/>
      <c r="EW351" s="105"/>
      <c r="EX351" s="105"/>
      <c r="EY351" s="105"/>
      <c r="EZ351" s="105"/>
      <c r="FA351" s="105"/>
      <c r="FB351" s="105"/>
      <c r="FC351" s="105"/>
      <c r="FD351" s="105"/>
      <c r="FE351" s="105"/>
      <c r="FF351" s="105"/>
      <c r="FG351" s="105"/>
      <c r="FH351" s="105"/>
      <c r="FI351" s="105"/>
      <c r="FJ351" s="105"/>
      <c r="FK351" s="105"/>
      <c r="FL351" s="105"/>
      <c r="FM351" s="105"/>
      <c r="FN351" s="105"/>
      <c r="FO351" s="105"/>
      <c r="FP351" s="105"/>
      <c r="FQ351" s="105"/>
      <c r="FR351" s="105"/>
      <c r="FS351" s="105"/>
      <c r="FT351" s="105"/>
      <c r="FU351" s="105"/>
      <c r="FV351" s="105"/>
      <c r="FW351" s="105"/>
      <c r="FX351" s="105"/>
      <c r="FY351" s="105"/>
      <c r="FZ351" s="105"/>
      <c r="GA351" s="105"/>
      <c r="GB351" s="105"/>
      <c r="GC351" s="105"/>
      <c r="GD351" s="105"/>
      <c r="GE351" s="105"/>
      <c r="GF351" s="105"/>
      <c r="GG351" s="105"/>
      <c r="GH351" s="105"/>
      <c r="GI351" s="105"/>
      <c r="GJ351" s="105"/>
      <c r="GK351" s="105"/>
      <c r="GL351" s="105"/>
      <c r="GM351" s="105"/>
      <c r="GN351" s="105"/>
      <c r="GO351" s="105"/>
      <c r="GP351" s="105"/>
      <c r="GQ351" s="105"/>
      <c r="GR351" s="105"/>
      <c r="GS351" s="105"/>
      <c r="GT351" s="105"/>
      <c r="GU351" s="105"/>
      <c r="GV351" s="105"/>
      <c r="GW351" s="105"/>
      <c r="GX351" s="105"/>
      <c r="GY351" s="105"/>
      <c r="GZ351" s="105"/>
      <c r="HA351" s="105"/>
      <c r="HB351" s="105"/>
      <c r="HC351" s="105"/>
      <c r="HD351" s="105"/>
      <c r="HE351" s="105"/>
      <c r="HF351" s="105"/>
      <c r="HG351" s="105"/>
      <c r="HH351" s="105"/>
      <c r="HI351" s="105"/>
      <c r="HJ351" s="105"/>
      <c r="HK351" s="105"/>
      <c r="HL351" s="105"/>
      <c r="HM351" s="105"/>
      <c r="HN351" s="105"/>
      <c r="HO351" s="105"/>
      <c r="HP351" s="105"/>
      <c r="HQ351" s="105"/>
      <c r="HR351" s="105"/>
      <c r="HS351" s="105"/>
      <c r="HT351" s="105"/>
      <c r="HU351" s="105"/>
      <c r="HV351" s="105"/>
      <c r="HW351" s="105"/>
      <c r="HX351" s="105"/>
      <c r="HY351" s="105"/>
      <c r="HZ351" s="105"/>
      <c r="IA351" s="105"/>
      <c r="IB351" s="105"/>
      <c r="IC351" s="105"/>
      <c r="ID351" s="105"/>
      <c r="IE351" s="105"/>
      <c r="IF351" s="105"/>
      <c r="IG351" s="105"/>
      <c r="IH351" s="105"/>
      <c r="II351" s="105"/>
      <c r="IJ351" s="105"/>
      <c r="IK351" s="105"/>
      <c r="IL351" s="105"/>
      <c r="IM351" s="105"/>
      <c r="IN351" s="105"/>
      <c r="IO351" s="105"/>
      <c r="IP351" s="105"/>
      <c r="IQ351" s="105"/>
      <c r="IR351" s="105"/>
      <c r="IS351" s="105"/>
    </row>
    <row r="352" spans="1:253">
      <c r="A352" s="116"/>
      <c r="B352" s="105"/>
      <c r="C352" s="116"/>
      <c r="D352" s="116"/>
      <c r="E352" s="116"/>
      <c r="F352" s="116"/>
      <c r="G352" s="116"/>
      <c r="H352" s="116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  <c r="BF352" s="105"/>
      <c r="BG352" s="105"/>
      <c r="BH352" s="105"/>
      <c r="BI352" s="105"/>
      <c r="BJ352" s="105"/>
      <c r="BK352" s="105"/>
      <c r="BL352" s="105"/>
      <c r="BM352" s="105"/>
      <c r="BN352" s="105"/>
      <c r="BO352" s="105"/>
      <c r="BP352" s="105"/>
      <c r="BQ352" s="105"/>
      <c r="BR352" s="105"/>
      <c r="BS352" s="105"/>
      <c r="BT352" s="105"/>
      <c r="BU352" s="105"/>
      <c r="BV352" s="105"/>
      <c r="BW352" s="105"/>
      <c r="BX352" s="105"/>
      <c r="BY352" s="105"/>
      <c r="BZ352" s="105"/>
      <c r="CA352" s="105"/>
      <c r="CB352" s="105"/>
      <c r="CC352" s="105"/>
      <c r="CD352" s="105"/>
      <c r="CE352" s="105"/>
      <c r="CF352" s="105"/>
      <c r="CG352" s="105"/>
      <c r="CH352" s="105"/>
      <c r="CI352" s="105"/>
      <c r="CJ352" s="105"/>
      <c r="CK352" s="105"/>
      <c r="CL352" s="105"/>
      <c r="CM352" s="105"/>
      <c r="CN352" s="105"/>
      <c r="CO352" s="105"/>
      <c r="CP352" s="105"/>
      <c r="CQ352" s="105"/>
      <c r="CR352" s="105"/>
      <c r="CS352" s="105"/>
      <c r="CT352" s="105"/>
      <c r="CU352" s="105"/>
      <c r="CV352" s="105"/>
      <c r="CW352" s="105"/>
      <c r="CX352" s="105"/>
      <c r="CY352" s="105"/>
      <c r="CZ352" s="105"/>
      <c r="DA352" s="105"/>
      <c r="DB352" s="105"/>
      <c r="DC352" s="105"/>
      <c r="DD352" s="105"/>
      <c r="DE352" s="105"/>
      <c r="DF352" s="105"/>
      <c r="DG352" s="105"/>
      <c r="DH352" s="105"/>
      <c r="DI352" s="105"/>
      <c r="DJ352" s="105"/>
      <c r="DK352" s="105"/>
      <c r="DL352" s="105"/>
      <c r="DM352" s="105"/>
      <c r="DN352" s="105"/>
      <c r="DO352" s="105"/>
      <c r="DP352" s="105"/>
      <c r="DQ352" s="105"/>
      <c r="DR352" s="105"/>
      <c r="DS352" s="105"/>
      <c r="DT352" s="105"/>
      <c r="DU352" s="105"/>
      <c r="DV352" s="105"/>
      <c r="DW352" s="105"/>
      <c r="DX352" s="105"/>
      <c r="DY352" s="105"/>
      <c r="DZ352" s="105"/>
      <c r="EA352" s="105"/>
      <c r="EB352" s="105"/>
      <c r="EC352" s="105"/>
      <c r="ED352" s="105"/>
      <c r="EE352" s="105"/>
      <c r="EF352" s="105"/>
      <c r="EG352" s="105"/>
      <c r="EH352" s="105"/>
      <c r="EI352" s="105"/>
      <c r="EJ352" s="105"/>
      <c r="EK352" s="105"/>
      <c r="EL352" s="105"/>
      <c r="EM352" s="105"/>
      <c r="EN352" s="105"/>
      <c r="EO352" s="105"/>
      <c r="EP352" s="105"/>
      <c r="EQ352" s="105"/>
      <c r="ER352" s="105"/>
      <c r="ES352" s="105"/>
      <c r="ET352" s="105"/>
      <c r="EU352" s="105"/>
      <c r="EV352" s="105"/>
      <c r="EW352" s="105"/>
      <c r="EX352" s="105"/>
      <c r="EY352" s="105"/>
      <c r="EZ352" s="105"/>
      <c r="FA352" s="105"/>
      <c r="FB352" s="105"/>
      <c r="FC352" s="105"/>
      <c r="FD352" s="105"/>
      <c r="FE352" s="105"/>
      <c r="FF352" s="105"/>
      <c r="FG352" s="105"/>
      <c r="FH352" s="105"/>
      <c r="FI352" s="105"/>
      <c r="FJ352" s="105"/>
      <c r="FK352" s="105"/>
      <c r="FL352" s="105"/>
      <c r="FM352" s="105"/>
      <c r="FN352" s="105"/>
      <c r="FO352" s="105"/>
      <c r="FP352" s="105"/>
      <c r="FQ352" s="105"/>
      <c r="FR352" s="105"/>
      <c r="FS352" s="105"/>
      <c r="FT352" s="105"/>
      <c r="FU352" s="105"/>
      <c r="FV352" s="105"/>
      <c r="FW352" s="105"/>
      <c r="FX352" s="105"/>
      <c r="FY352" s="105"/>
      <c r="FZ352" s="105"/>
      <c r="GA352" s="105"/>
      <c r="GB352" s="105"/>
      <c r="GC352" s="105"/>
      <c r="GD352" s="105"/>
      <c r="GE352" s="105"/>
      <c r="GF352" s="105"/>
      <c r="GG352" s="105"/>
      <c r="GH352" s="105"/>
      <c r="GI352" s="105"/>
      <c r="GJ352" s="105"/>
      <c r="GK352" s="105"/>
      <c r="GL352" s="105"/>
      <c r="GM352" s="105"/>
      <c r="GN352" s="105"/>
      <c r="GO352" s="105"/>
      <c r="GP352" s="105"/>
      <c r="GQ352" s="105"/>
      <c r="GR352" s="105"/>
      <c r="GS352" s="105"/>
      <c r="GT352" s="105"/>
      <c r="GU352" s="105"/>
      <c r="GV352" s="105"/>
      <c r="GW352" s="105"/>
      <c r="GX352" s="105"/>
      <c r="GY352" s="105"/>
      <c r="GZ352" s="105"/>
      <c r="HA352" s="105"/>
      <c r="HB352" s="105"/>
      <c r="HC352" s="105"/>
      <c r="HD352" s="105"/>
      <c r="HE352" s="105"/>
      <c r="HF352" s="105"/>
      <c r="HG352" s="105"/>
      <c r="HH352" s="105"/>
      <c r="HI352" s="105"/>
      <c r="HJ352" s="105"/>
      <c r="HK352" s="105"/>
      <c r="HL352" s="105"/>
      <c r="HM352" s="105"/>
      <c r="HN352" s="105"/>
      <c r="HO352" s="105"/>
      <c r="HP352" s="105"/>
      <c r="HQ352" s="105"/>
      <c r="HR352" s="105"/>
      <c r="HS352" s="105"/>
      <c r="HT352" s="105"/>
      <c r="HU352" s="105"/>
      <c r="HV352" s="105"/>
      <c r="HW352" s="105"/>
      <c r="HX352" s="105"/>
      <c r="HY352" s="105"/>
      <c r="HZ352" s="105"/>
      <c r="IA352" s="105"/>
      <c r="IB352" s="105"/>
      <c r="IC352" s="105"/>
      <c r="ID352" s="105"/>
      <c r="IE352" s="105"/>
      <c r="IF352" s="105"/>
      <c r="IG352" s="105"/>
      <c r="IH352" s="105"/>
      <c r="II352" s="105"/>
      <c r="IJ352" s="105"/>
      <c r="IK352" s="105"/>
      <c r="IL352" s="105"/>
      <c r="IM352" s="105"/>
      <c r="IN352" s="105"/>
      <c r="IO352" s="105"/>
      <c r="IP352" s="105"/>
      <c r="IQ352" s="105"/>
      <c r="IR352" s="105"/>
      <c r="IS352" s="105"/>
    </row>
    <row r="353" spans="1:253">
      <c r="A353" s="116"/>
      <c r="B353" s="105"/>
      <c r="C353" s="116"/>
      <c r="D353" s="116"/>
      <c r="E353" s="116"/>
      <c r="F353" s="116"/>
      <c r="G353" s="116"/>
      <c r="H353" s="116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  <c r="BF353" s="105"/>
      <c r="BG353" s="105"/>
      <c r="BH353" s="105"/>
      <c r="BI353" s="105"/>
      <c r="BJ353" s="105"/>
      <c r="BK353" s="105"/>
      <c r="BL353" s="105"/>
      <c r="BM353" s="105"/>
      <c r="BN353" s="105"/>
      <c r="BO353" s="105"/>
      <c r="BP353" s="105"/>
      <c r="BQ353" s="105"/>
      <c r="BR353" s="105"/>
      <c r="BS353" s="105"/>
      <c r="BT353" s="105"/>
      <c r="BU353" s="105"/>
      <c r="BV353" s="105"/>
      <c r="BW353" s="105"/>
      <c r="BX353" s="105"/>
      <c r="BY353" s="105"/>
      <c r="BZ353" s="105"/>
      <c r="CA353" s="105"/>
      <c r="CB353" s="105"/>
      <c r="CC353" s="105"/>
      <c r="CD353" s="105"/>
      <c r="CE353" s="105"/>
      <c r="CF353" s="105"/>
      <c r="CG353" s="105"/>
      <c r="CH353" s="105"/>
      <c r="CI353" s="105"/>
      <c r="CJ353" s="105"/>
      <c r="CK353" s="105"/>
      <c r="CL353" s="105"/>
      <c r="CM353" s="105"/>
      <c r="CN353" s="105"/>
      <c r="CO353" s="105"/>
      <c r="CP353" s="105"/>
      <c r="CQ353" s="105"/>
      <c r="CR353" s="105"/>
      <c r="CS353" s="105"/>
      <c r="CT353" s="105"/>
      <c r="CU353" s="105"/>
      <c r="CV353" s="105"/>
      <c r="CW353" s="105"/>
      <c r="CX353" s="105"/>
      <c r="CY353" s="105"/>
      <c r="CZ353" s="105"/>
      <c r="DA353" s="105"/>
      <c r="DB353" s="105"/>
      <c r="DC353" s="105"/>
      <c r="DD353" s="105"/>
      <c r="DE353" s="105"/>
      <c r="DF353" s="105"/>
      <c r="DG353" s="105"/>
      <c r="DH353" s="105"/>
      <c r="DI353" s="105"/>
      <c r="DJ353" s="105"/>
      <c r="DK353" s="105"/>
      <c r="DL353" s="105"/>
      <c r="DM353" s="105"/>
      <c r="DN353" s="105"/>
      <c r="DO353" s="105"/>
      <c r="DP353" s="105"/>
      <c r="DQ353" s="105"/>
      <c r="DR353" s="105"/>
      <c r="DS353" s="105"/>
      <c r="DT353" s="105"/>
      <c r="DU353" s="105"/>
      <c r="DV353" s="105"/>
      <c r="DW353" s="105"/>
      <c r="DX353" s="105"/>
      <c r="DY353" s="105"/>
      <c r="DZ353" s="105"/>
      <c r="EA353" s="105"/>
      <c r="EB353" s="105"/>
      <c r="EC353" s="105"/>
      <c r="ED353" s="105"/>
      <c r="EE353" s="105"/>
      <c r="EF353" s="105"/>
      <c r="EG353" s="105"/>
      <c r="EH353" s="105"/>
      <c r="EI353" s="105"/>
      <c r="EJ353" s="105"/>
      <c r="EK353" s="105"/>
      <c r="EL353" s="105"/>
      <c r="EM353" s="105"/>
      <c r="EN353" s="105"/>
      <c r="EO353" s="105"/>
      <c r="EP353" s="105"/>
      <c r="EQ353" s="105"/>
      <c r="ER353" s="105"/>
      <c r="ES353" s="105"/>
      <c r="ET353" s="105"/>
      <c r="EU353" s="105"/>
      <c r="EV353" s="105"/>
      <c r="EW353" s="105"/>
      <c r="EX353" s="105"/>
      <c r="EY353" s="105"/>
      <c r="EZ353" s="105"/>
      <c r="FA353" s="105"/>
      <c r="FB353" s="105"/>
      <c r="FC353" s="105"/>
      <c r="FD353" s="105"/>
      <c r="FE353" s="105"/>
      <c r="FF353" s="105"/>
      <c r="FG353" s="105"/>
      <c r="FH353" s="105"/>
      <c r="FI353" s="105"/>
      <c r="FJ353" s="105"/>
      <c r="FK353" s="105"/>
      <c r="FL353" s="105"/>
      <c r="FM353" s="105"/>
      <c r="FN353" s="105"/>
      <c r="FO353" s="105"/>
      <c r="FP353" s="105"/>
      <c r="FQ353" s="105"/>
      <c r="FR353" s="105"/>
      <c r="FS353" s="105"/>
      <c r="FT353" s="105"/>
      <c r="FU353" s="105"/>
      <c r="FV353" s="105"/>
      <c r="FW353" s="105"/>
      <c r="FX353" s="105"/>
      <c r="FY353" s="105"/>
      <c r="FZ353" s="105"/>
      <c r="GA353" s="105"/>
      <c r="GB353" s="105"/>
      <c r="GC353" s="105"/>
      <c r="GD353" s="105"/>
      <c r="GE353" s="105"/>
      <c r="GF353" s="105"/>
      <c r="GG353" s="105"/>
      <c r="GH353" s="105"/>
      <c r="GI353" s="105"/>
      <c r="GJ353" s="105"/>
      <c r="GK353" s="105"/>
      <c r="GL353" s="105"/>
      <c r="GM353" s="105"/>
      <c r="GN353" s="105"/>
      <c r="GO353" s="105"/>
      <c r="GP353" s="105"/>
      <c r="GQ353" s="105"/>
      <c r="GR353" s="105"/>
      <c r="GS353" s="105"/>
      <c r="GT353" s="105"/>
      <c r="GU353" s="105"/>
      <c r="GV353" s="105"/>
      <c r="GW353" s="105"/>
      <c r="GX353" s="105"/>
      <c r="GY353" s="105"/>
      <c r="GZ353" s="105"/>
      <c r="HA353" s="105"/>
      <c r="HB353" s="105"/>
      <c r="HC353" s="105"/>
      <c r="HD353" s="105"/>
      <c r="HE353" s="105"/>
      <c r="HF353" s="105"/>
      <c r="HG353" s="105"/>
      <c r="HH353" s="105"/>
      <c r="HI353" s="105"/>
      <c r="HJ353" s="105"/>
      <c r="HK353" s="105"/>
      <c r="HL353" s="105"/>
      <c r="HM353" s="105"/>
      <c r="HN353" s="105"/>
      <c r="HO353" s="105"/>
      <c r="HP353" s="105"/>
      <c r="HQ353" s="105"/>
      <c r="HR353" s="105"/>
      <c r="HS353" s="105"/>
      <c r="HT353" s="105"/>
      <c r="HU353" s="105"/>
      <c r="HV353" s="105"/>
      <c r="HW353" s="105"/>
      <c r="HX353" s="105"/>
      <c r="HY353" s="105"/>
      <c r="HZ353" s="105"/>
      <c r="IA353" s="105"/>
      <c r="IB353" s="105"/>
      <c r="IC353" s="105"/>
      <c r="ID353" s="105"/>
      <c r="IE353" s="105"/>
      <c r="IF353" s="105"/>
      <c r="IG353" s="105"/>
      <c r="IH353" s="105"/>
      <c r="II353" s="105"/>
      <c r="IJ353" s="105"/>
      <c r="IK353" s="105"/>
      <c r="IL353" s="105"/>
      <c r="IM353" s="105"/>
      <c r="IN353" s="105"/>
      <c r="IO353" s="105"/>
      <c r="IP353" s="105"/>
      <c r="IQ353" s="105"/>
      <c r="IR353" s="105"/>
      <c r="IS353" s="105"/>
    </row>
    <row r="354" spans="1:253">
      <c r="A354" s="116"/>
      <c r="B354" s="105"/>
      <c r="C354" s="116"/>
      <c r="D354" s="116"/>
      <c r="E354" s="116"/>
      <c r="F354" s="116"/>
      <c r="G354" s="116"/>
      <c r="H354" s="116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  <c r="BF354" s="105"/>
      <c r="BG354" s="105"/>
      <c r="BH354" s="105"/>
      <c r="BI354" s="105"/>
      <c r="BJ354" s="105"/>
      <c r="BK354" s="105"/>
      <c r="BL354" s="105"/>
      <c r="BM354" s="105"/>
      <c r="BN354" s="105"/>
      <c r="BO354" s="105"/>
      <c r="BP354" s="105"/>
      <c r="BQ354" s="105"/>
      <c r="BR354" s="105"/>
      <c r="BS354" s="105"/>
      <c r="BT354" s="105"/>
      <c r="BU354" s="105"/>
      <c r="BV354" s="105"/>
      <c r="BW354" s="105"/>
      <c r="BX354" s="105"/>
      <c r="BY354" s="105"/>
      <c r="BZ354" s="105"/>
      <c r="CA354" s="105"/>
      <c r="CB354" s="105"/>
      <c r="CC354" s="105"/>
      <c r="CD354" s="105"/>
      <c r="CE354" s="105"/>
      <c r="CF354" s="105"/>
      <c r="CG354" s="105"/>
      <c r="CH354" s="105"/>
      <c r="CI354" s="105"/>
      <c r="CJ354" s="105"/>
      <c r="CK354" s="105"/>
      <c r="CL354" s="105"/>
      <c r="CM354" s="105"/>
      <c r="CN354" s="105"/>
      <c r="CO354" s="105"/>
      <c r="CP354" s="105"/>
      <c r="CQ354" s="105"/>
      <c r="CR354" s="105"/>
      <c r="CS354" s="105"/>
      <c r="CT354" s="105"/>
      <c r="CU354" s="105"/>
      <c r="CV354" s="105"/>
      <c r="CW354" s="105"/>
      <c r="CX354" s="105"/>
      <c r="CY354" s="105"/>
      <c r="CZ354" s="105"/>
      <c r="DA354" s="105"/>
      <c r="DB354" s="105"/>
      <c r="DC354" s="105"/>
      <c r="DD354" s="105"/>
      <c r="DE354" s="105"/>
      <c r="DF354" s="105"/>
      <c r="DG354" s="105"/>
      <c r="DH354" s="105"/>
      <c r="DI354" s="105"/>
      <c r="DJ354" s="105"/>
      <c r="DK354" s="105"/>
      <c r="DL354" s="105"/>
      <c r="DM354" s="105"/>
      <c r="DN354" s="105"/>
      <c r="DO354" s="105"/>
      <c r="DP354" s="105"/>
      <c r="DQ354" s="105"/>
      <c r="DR354" s="105"/>
      <c r="DS354" s="105"/>
      <c r="DT354" s="105"/>
      <c r="DU354" s="105"/>
      <c r="DV354" s="105"/>
      <c r="DW354" s="105"/>
      <c r="DX354" s="105"/>
      <c r="DY354" s="105"/>
      <c r="DZ354" s="105"/>
      <c r="EA354" s="105"/>
      <c r="EB354" s="105"/>
      <c r="EC354" s="105"/>
      <c r="ED354" s="105"/>
      <c r="EE354" s="105"/>
      <c r="EF354" s="105"/>
      <c r="EG354" s="105"/>
      <c r="EH354" s="105"/>
      <c r="EI354" s="105"/>
      <c r="EJ354" s="105"/>
      <c r="EK354" s="105"/>
      <c r="EL354" s="105"/>
      <c r="EM354" s="105"/>
      <c r="EN354" s="105"/>
      <c r="EO354" s="105"/>
      <c r="EP354" s="105"/>
      <c r="EQ354" s="105"/>
      <c r="ER354" s="105"/>
      <c r="ES354" s="105"/>
      <c r="ET354" s="105"/>
      <c r="EU354" s="105"/>
      <c r="EV354" s="105"/>
      <c r="EW354" s="105"/>
      <c r="EX354" s="105"/>
      <c r="EY354" s="105"/>
      <c r="EZ354" s="105"/>
      <c r="FA354" s="105"/>
      <c r="FB354" s="105"/>
      <c r="FC354" s="105"/>
      <c r="FD354" s="105"/>
      <c r="FE354" s="105"/>
      <c r="FF354" s="105"/>
      <c r="FG354" s="105"/>
      <c r="FH354" s="105"/>
      <c r="FI354" s="105"/>
      <c r="FJ354" s="105"/>
      <c r="FK354" s="105"/>
      <c r="FL354" s="105"/>
      <c r="FM354" s="105"/>
      <c r="FN354" s="105"/>
      <c r="FO354" s="105"/>
      <c r="FP354" s="105"/>
      <c r="FQ354" s="105"/>
      <c r="FR354" s="105"/>
      <c r="FS354" s="105"/>
      <c r="FT354" s="105"/>
      <c r="FU354" s="105"/>
      <c r="FV354" s="105"/>
      <c r="FW354" s="105"/>
      <c r="FX354" s="105"/>
      <c r="FY354" s="105"/>
      <c r="FZ354" s="105"/>
      <c r="GA354" s="105"/>
      <c r="GB354" s="105"/>
      <c r="GC354" s="105"/>
      <c r="GD354" s="105"/>
      <c r="GE354" s="105"/>
      <c r="GF354" s="105"/>
      <c r="GG354" s="105"/>
      <c r="GH354" s="105"/>
      <c r="GI354" s="105"/>
      <c r="GJ354" s="105"/>
      <c r="GK354" s="105"/>
      <c r="GL354" s="105"/>
      <c r="GM354" s="105"/>
      <c r="GN354" s="105"/>
      <c r="GO354" s="105"/>
      <c r="GP354" s="105"/>
      <c r="GQ354" s="105"/>
      <c r="GR354" s="105"/>
      <c r="GS354" s="105"/>
      <c r="GT354" s="105"/>
      <c r="GU354" s="105"/>
      <c r="GV354" s="105"/>
      <c r="GW354" s="105"/>
      <c r="GX354" s="105"/>
      <c r="GY354" s="105"/>
      <c r="GZ354" s="105"/>
      <c r="HA354" s="105"/>
      <c r="HB354" s="105"/>
      <c r="HC354" s="105"/>
      <c r="HD354" s="105"/>
      <c r="HE354" s="105"/>
      <c r="HF354" s="105"/>
      <c r="HG354" s="105"/>
      <c r="HH354" s="105"/>
      <c r="HI354" s="105"/>
      <c r="HJ354" s="105"/>
      <c r="HK354" s="105"/>
      <c r="HL354" s="105"/>
      <c r="HM354" s="105"/>
      <c r="HN354" s="105"/>
      <c r="HO354" s="105"/>
      <c r="HP354" s="105"/>
      <c r="HQ354" s="105"/>
      <c r="HR354" s="105"/>
      <c r="HS354" s="105"/>
      <c r="HT354" s="105"/>
      <c r="HU354" s="105"/>
      <c r="HV354" s="105"/>
      <c r="HW354" s="105"/>
      <c r="HX354" s="105"/>
      <c r="HY354" s="105"/>
      <c r="HZ354" s="105"/>
      <c r="IA354" s="105"/>
      <c r="IB354" s="105"/>
      <c r="IC354" s="105"/>
      <c r="ID354" s="105"/>
      <c r="IE354" s="105"/>
      <c r="IF354" s="105"/>
      <c r="IG354" s="105"/>
      <c r="IH354" s="105"/>
      <c r="II354" s="105"/>
      <c r="IJ354" s="105"/>
      <c r="IK354" s="105"/>
      <c r="IL354" s="105"/>
      <c r="IM354" s="105"/>
      <c r="IN354" s="105"/>
      <c r="IO354" s="105"/>
      <c r="IP354" s="105"/>
      <c r="IQ354" s="105"/>
      <c r="IR354" s="105"/>
      <c r="IS354" s="105"/>
    </row>
    <row r="355" spans="1:253">
      <c r="A355" s="116"/>
      <c r="B355" s="105"/>
      <c r="C355" s="116"/>
      <c r="D355" s="116"/>
      <c r="E355" s="116"/>
      <c r="F355" s="116"/>
      <c r="G355" s="116"/>
      <c r="H355" s="116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  <c r="BF355" s="105"/>
      <c r="BG355" s="105"/>
      <c r="BH355" s="105"/>
      <c r="BI355" s="105"/>
      <c r="BJ355" s="105"/>
      <c r="BK355" s="105"/>
      <c r="BL355" s="105"/>
      <c r="BM355" s="105"/>
      <c r="BN355" s="105"/>
      <c r="BO355" s="105"/>
      <c r="BP355" s="105"/>
      <c r="BQ355" s="105"/>
      <c r="BR355" s="105"/>
      <c r="BS355" s="105"/>
      <c r="BT355" s="105"/>
      <c r="BU355" s="105"/>
      <c r="BV355" s="105"/>
      <c r="BW355" s="105"/>
      <c r="BX355" s="105"/>
      <c r="BY355" s="105"/>
      <c r="BZ355" s="105"/>
      <c r="CA355" s="105"/>
      <c r="CB355" s="105"/>
      <c r="CC355" s="105"/>
      <c r="CD355" s="105"/>
      <c r="CE355" s="105"/>
      <c r="CF355" s="105"/>
      <c r="CG355" s="105"/>
      <c r="CH355" s="105"/>
      <c r="CI355" s="105"/>
      <c r="CJ355" s="105"/>
      <c r="CK355" s="105"/>
      <c r="CL355" s="105"/>
      <c r="CM355" s="105"/>
      <c r="CN355" s="105"/>
      <c r="CO355" s="105"/>
      <c r="CP355" s="105"/>
      <c r="CQ355" s="105"/>
      <c r="CR355" s="105"/>
      <c r="CS355" s="105"/>
      <c r="CT355" s="105"/>
      <c r="CU355" s="105"/>
      <c r="CV355" s="105"/>
      <c r="CW355" s="105"/>
      <c r="CX355" s="105"/>
      <c r="CY355" s="105"/>
      <c r="CZ355" s="105"/>
      <c r="DA355" s="105"/>
      <c r="DB355" s="105"/>
      <c r="DC355" s="105"/>
      <c r="DD355" s="105"/>
      <c r="DE355" s="105"/>
      <c r="DF355" s="105"/>
      <c r="DG355" s="105"/>
      <c r="DH355" s="105"/>
      <c r="DI355" s="105"/>
      <c r="DJ355" s="105"/>
      <c r="DK355" s="105"/>
      <c r="DL355" s="105"/>
      <c r="DM355" s="105"/>
      <c r="DN355" s="105"/>
      <c r="DO355" s="105"/>
      <c r="DP355" s="105"/>
      <c r="DQ355" s="105"/>
      <c r="DR355" s="105"/>
      <c r="DS355" s="105"/>
      <c r="DT355" s="105"/>
      <c r="DU355" s="105"/>
      <c r="DV355" s="105"/>
      <c r="DW355" s="105"/>
      <c r="DX355" s="105"/>
      <c r="DY355" s="105"/>
      <c r="DZ355" s="105"/>
      <c r="EA355" s="105"/>
      <c r="EB355" s="105"/>
      <c r="EC355" s="105"/>
      <c r="ED355" s="105"/>
      <c r="EE355" s="105"/>
      <c r="EF355" s="105"/>
      <c r="EG355" s="105"/>
      <c r="EH355" s="105"/>
      <c r="EI355" s="105"/>
      <c r="EJ355" s="105"/>
      <c r="EK355" s="105"/>
      <c r="EL355" s="105"/>
      <c r="EM355" s="105"/>
      <c r="EN355" s="105"/>
      <c r="EO355" s="105"/>
      <c r="EP355" s="105"/>
      <c r="EQ355" s="105"/>
      <c r="ER355" s="105"/>
      <c r="ES355" s="105"/>
      <c r="ET355" s="105"/>
      <c r="EU355" s="105"/>
      <c r="EV355" s="105"/>
      <c r="EW355" s="105"/>
      <c r="EX355" s="105"/>
      <c r="EY355" s="105"/>
      <c r="EZ355" s="105"/>
      <c r="FA355" s="105"/>
      <c r="FB355" s="105"/>
      <c r="FC355" s="105"/>
      <c r="FD355" s="105"/>
      <c r="FE355" s="105"/>
      <c r="FF355" s="105"/>
      <c r="FG355" s="105"/>
      <c r="FH355" s="105"/>
      <c r="FI355" s="105"/>
      <c r="FJ355" s="105"/>
      <c r="FK355" s="105"/>
      <c r="FL355" s="105"/>
      <c r="FM355" s="105"/>
      <c r="FN355" s="105"/>
      <c r="FO355" s="105"/>
      <c r="FP355" s="105"/>
      <c r="FQ355" s="105"/>
      <c r="FR355" s="105"/>
      <c r="FS355" s="105"/>
      <c r="FT355" s="105"/>
      <c r="FU355" s="105"/>
      <c r="FV355" s="105"/>
      <c r="FW355" s="105"/>
      <c r="FX355" s="105"/>
      <c r="FY355" s="105"/>
      <c r="FZ355" s="105"/>
      <c r="GA355" s="105"/>
      <c r="GB355" s="105"/>
      <c r="GC355" s="105"/>
      <c r="GD355" s="105"/>
      <c r="GE355" s="105"/>
      <c r="GF355" s="105"/>
      <c r="GG355" s="105"/>
      <c r="GH355" s="105"/>
      <c r="GI355" s="105"/>
      <c r="GJ355" s="105"/>
      <c r="GK355" s="105"/>
      <c r="GL355" s="105"/>
      <c r="GM355" s="105"/>
      <c r="GN355" s="105"/>
      <c r="GO355" s="105"/>
      <c r="GP355" s="105"/>
      <c r="GQ355" s="105"/>
      <c r="GR355" s="105"/>
      <c r="GS355" s="105"/>
      <c r="GT355" s="105"/>
      <c r="GU355" s="105"/>
      <c r="GV355" s="105"/>
      <c r="GW355" s="105"/>
      <c r="GX355" s="105"/>
      <c r="GY355" s="105"/>
      <c r="GZ355" s="105"/>
      <c r="HA355" s="105"/>
      <c r="HB355" s="105"/>
      <c r="HC355" s="105"/>
      <c r="HD355" s="105"/>
      <c r="HE355" s="105"/>
      <c r="HF355" s="105"/>
      <c r="HG355" s="105"/>
      <c r="HH355" s="105"/>
      <c r="HI355" s="105"/>
      <c r="HJ355" s="105"/>
      <c r="HK355" s="105"/>
      <c r="HL355" s="105"/>
      <c r="HM355" s="105"/>
      <c r="HN355" s="105"/>
      <c r="HO355" s="105"/>
      <c r="HP355" s="105"/>
      <c r="HQ355" s="105"/>
      <c r="HR355" s="105"/>
      <c r="HS355" s="105"/>
      <c r="HT355" s="105"/>
      <c r="HU355" s="105"/>
      <c r="HV355" s="105"/>
      <c r="HW355" s="105"/>
      <c r="HX355" s="105"/>
      <c r="HY355" s="105"/>
      <c r="HZ355" s="105"/>
      <c r="IA355" s="105"/>
      <c r="IB355" s="105"/>
      <c r="IC355" s="105"/>
      <c r="ID355" s="105"/>
      <c r="IE355" s="105"/>
      <c r="IF355" s="105"/>
      <c r="IG355" s="105"/>
      <c r="IH355" s="105"/>
      <c r="II355" s="105"/>
      <c r="IJ355" s="105"/>
      <c r="IK355" s="105"/>
      <c r="IL355" s="105"/>
      <c r="IM355" s="105"/>
      <c r="IN355" s="105"/>
      <c r="IO355" s="105"/>
      <c r="IP355" s="105"/>
      <c r="IQ355" s="105"/>
      <c r="IR355" s="105"/>
      <c r="IS355" s="105"/>
    </row>
    <row r="356" spans="1:253">
      <c r="A356" s="116"/>
      <c r="B356" s="105"/>
      <c r="C356" s="116"/>
      <c r="D356" s="116"/>
      <c r="E356" s="116"/>
      <c r="F356" s="116"/>
      <c r="G356" s="116"/>
      <c r="H356" s="116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05"/>
      <c r="BG356" s="105"/>
      <c r="BH356" s="105"/>
      <c r="BI356" s="105"/>
      <c r="BJ356" s="105"/>
      <c r="BK356" s="105"/>
      <c r="BL356" s="105"/>
      <c r="BM356" s="105"/>
      <c r="BN356" s="105"/>
      <c r="BO356" s="105"/>
      <c r="BP356" s="105"/>
      <c r="BQ356" s="105"/>
      <c r="BR356" s="105"/>
      <c r="BS356" s="105"/>
      <c r="BT356" s="105"/>
      <c r="BU356" s="105"/>
      <c r="BV356" s="105"/>
      <c r="BW356" s="105"/>
      <c r="BX356" s="105"/>
      <c r="BY356" s="105"/>
      <c r="BZ356" s="105"/>
      <c r="CA356" s="105"/>
      <c r="CB356" s="105"/>
      <c r="CC356" s="105"/>
      <c r="CD356" s="105"/>
      <c r="CE356" s="105"/>
      <c r="CF356" s="105"/>
      <c r="CG356" s="105"/>
      <c r="CH356" s="105"/>
      <c r="CI356" s="105"/>
      <c r="CJ356" s="105"/>
      <c r="CK356" s="105"/>
      <c r="CL356" s="105"/>
      <c r="CM356" s="105"/>
      <c r="CN356" s="105"/>
      <c r="CO356" s="105"/>
      <c r="CP356" s="105"/>
      <c r="CQ356" s="105"/>
      <c r="CR356" s="105"/>
      <c r="CS356" s="105"/>
      <c r="CT356" s="105"/>
      <c r="CU356" s="105"/>
      <c r="CV356" s="105"/>
      <c r="CW356" s="105"/>
      <c r="CX356" s="105"/>
      <c r="CY356" s="105"/>
      <c r="CZ356" s="105"/>
      <c r="DA356" s="105"/>
      <c r="DB356" s="105"/>
      <c r="DC356" s="105"/>
      <c r="DD356" s="105"/>
      <c r="DE356" s="105"/>
      <c r="DF356" s="105"/>
      <c r="DG356" s="105"/>
      <c r="DH356" s="105"/>
      <c r="DI356" s="105"/>
      <c r="DJ356" s="105"/>
      <c r="DK356" s="105"/>
      <c r="DL356" s="105"/>
      <c r="DM356" s="105"/>
      <c r="DN356" s="105"/>
      <c r="DO356" s="105"/>
      <c r="DP356" s="105"/>
      <c r="DQ356" s="105"/>
      <c r="DR356" s="105"/>
      <c r="DS356" s="105"/>
      <c r="DT356" s="105"/>
      <c r="DU356" s="105"/>
      <c r="DV356" s="105"/>
      <c r="DW356" s="105"/>
      <c r="DX356" s="105"/>
      <c r="DY356" s="105"/>
      <c r="DZ356" s="105"/>
      <c r="EA356" s="105"/>
      <c r="EB356" s="105"/>
      <c r="EC356" s="105"/>
      <c r="ED356" s="105"/>
      <c r="EE356" s="105"/>
      <c r="EF356" s="105"/>
      <c r="EG356" s="105"/>
      <c r="EH356" s="105"/>
      <c r="EI356" s="105"/>
      <c r="EJ356" s="105"/>
      <c r="EK356" s="105"/>
      <c r="EL356" s="105"/>
      <c r="EM356" s="105"/>
      <c r="EN356" s="105"/>
      <c r="EO356" s="105"/>
      <c r="EP356" s="105"/>
      <c r="EQ356" s="105"/>
      <c r="ER356" s="105"/>
      <c r="ES356" s="105"/>
      <c r="ET356" s="105"/>
      <c r="EU356" s="105"/>
      <c r="EV356" s="105"/>
      <c r="EW356" s="105"/>
      <c r="EX356" s="105"/>
      <c r="EY356" s="105"/>
      <c r="EZ356" s="105"/>
      <c r="FA356" s="105"/>
      <c r="FB356" s="105"/>
      <c r="FC356" s="105"/>
      <c r="FD356" s="105"/>
      <c r="FE356" s="105"/>
      <c r="FF356" s="105"/>
      <c r="FG356" s="105"/>
      <c r="FH356" s="105"/>
      <c r="FI356" s="105"/>
      <c r="FJ356" s="105"/>
      <c r="FK356" s="105"/>
      <c r="FL356" s="105"/>
      <c r="FM356" s="105"/>
      <c r="FN356" s="105"/>
      <c r="FO356" s="105"/>
      <c r="FP356" s="105"/>
      <c r="FQ356" s="105"/>
      <c r="FR356" s="105"/>
      <c r="FS356" s="105"/>
      <c r="FT356" s="105"/>
      <c r="FU356" s="105"/>
      <c r="FV356" s="105"/>
      <c r="FW356" s="105"/>
      <c r="FX356" s="105"/>
      <c r="FY356" s="105"/>
      <c r="FZ356" s="105"/>
      <c r="GA356" s="105"/>
      <c r="GB356" s="105"/>
      <c r="GC356" s="105"/>
      <c r="GD356" s="105"/>
      <c r="GE356" s="105"/>
      <c r="GF356" s="105"/>
      <c r="GG356" s="105"/>
      <c r="GH356" s="105"/>
      <c r="GI356" s="105"/>
      <c r="GJ356" s="105"/>
      <c r="GK356" s="105"/>
      <c r="GL356" s="105"/>
      <c r="GM356" s="105"/>
      <c r="GN356" s="105"/>
      <c r="GO356" s="105"/>
      <c r="GP356" s="105"/>
      <c r="GQ356" s="105"/>
      <c r="GR356" s="105"/>
      <c r="GS356" s="105"/>
      <c r="GT356" s="105"/>
      <c r="GU356" s="105"/>
      <c r="GV356" s="105"/>
      <c r="GW356" s="105"/>
      <c r="GX356" s="105"/>
      <c r="GY356" s="105"/>
      <c r="GZ356" s="105"/>
      <c r="HA356" s="105"/>
      <c r="HB356" s="105"/>
      <c r="HC356" s="105"/>
      <c r="HD356" s="105"/>
      <c r="HE356" s="105"/>
      <c r="HF356" s="105"/>
      <c r="HG356" s="105"/>
      <c r="HH356" s="105"/>
      <c r="HI356" s="105"/>
      <c r="HJ356" s="105"/>
      <c r="HK356" s="105"/>
      <c r="HL356" s="105"/>
      <c r="HM356" s="105"/>
      <c r="HN356" s="105"/>
      <c r="HO356" s="105"/>
      <c r="HP356" s="105"/>
      <c r="HQ356" s="105"/>
      <c r="HR356" s="105"/>
      <c r="HS356" s="105"/>
      <c r="HT356" s="105"/>
      <c r="HU356" s="105"/>
      <c r="HV356" s="105"/>
      <c r="HW356" s="105"/>
      <c r="HX356" s="105"/>
      <c r="HY356" s="105"/>
      <c r="HZ356" s="105"/>
      <c r="IA356" s="105"/>
      <c r="IB356" s="105"/>
      <c r="IC356" s="105"/>
      <c r="ID356" s="105"/>
      <c r="IE356" s="105"/>
      <c r="IF356" s="105"/>
      <c r="IG356" s="105"/>
      <c r="IH356" s="105"/>
      <c r="II356" s="105"/>
      <c r="IJ356" s="105"/>
      <c r="IK356" s="105"/>
      <c r="IL356" s="105"/>
      <c r="IM356" s="105"/>
      <c r="IN356" s="105"/>
      <c r="IO356" s="105"/>
      <c r="IP356" s="105"/>
      <c r="IQ356" s="105"/>
      <c r="IR356" s="105"/>
      <c r="IS356" s="105"/>
    </row>
    <row r="357" spans="1:253">
      <c r="A357" s="116"/>
      <c r="B357" s="105"/>
      <c r="C357" s="116"/>
      <c r="D357" s="116"/>
      <c r="E357" s="116"/>
      <c r="F357" s="116"/>
      <c r="G357" s="116"/>
      <c r="H357" s="116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  <c r="BF357" s="105"/>
      <c r="BG357" s="105"/>
      <c r="BH357" s="105"/>
      <c r="BI357" s="105"/>
      <c r="BJ357" s="105"/>
      <c r="BK357" s="105"/>
      <c r="BL357" s="105"/>
      <c r="BM357" s="105"/>
      <c r="BN357" s="105"/>
      <c r="BO357" s="105"/>
      <c r="BP357" s="105"/>
      <c r="BQ357" s="105"/>
      <c r="BR357" s="105"/>
      <c r="BS357" s="105"/>
      <c r="BT357" s="105"/>
      <c r="BU357" s="105"/>
      <c r="BV357" s="105"/>
      <c r="BW357" s="105"/>
      <c r="BX357" s="105"/>
      <c r="BY357" s="105"/>
      <c r="BZ357" s="105"/>
      <c r="CA357" s="105"/>
      <c r="CB357" s="105"/>
      <c r="CC357" s="105"/>
      <c r="CD357" s="105"/>
      <c r="CE357" s="105"/>
      <c r="CF357" s="105"/>
      <c r="CG357" s="105"/>
      <c r="CH357" s="105"/>
      <c r="CI357" s="105"/>
      <c r="CJ357" s="105"/>
      <c r="CK357" s="105"/>
      <c r="CL357" s="105"/>
      <c r="CM357" s="105"/>
      <c r="CN357" s="105"/>
      <c r="CO357" s="105"/>
      <c r="CP357" s="105"/>
      <c r="CQ357" s="105"/>
      <c r="CR357" s="105"/>
      <c r="CS357" s="105"/>
      <c r="CT357" s="105"/>
      <c r="CU357" s="105"/>
      <c r="CV357" s="105"/>
      <c r="CW357" s="105"/>
      <c r="CX357" s="105"/>
      <c r="CY357" s="105"/>
      <c r="CZ357" s="105"/>
      <c r="DA357" s="105"/>
      <c r="DB357" s="105"/>
      <c r="DC357" s="105"/>
      <c r="DD357" s="105"/>
      <c r="DE357" s="105"/>
      <c r="DF357" s="105"/>
      <c r="DG357" s="105"/>
      <c r="DH357" s="105"/>
      <c r="DI357" s="105"/>
      <c r="DJ357" s="105"/>
      <c r="DK357" s="105"/>
      <c r="DL357" s="105"/>
      <c r="DM357" s="105"/>
      <c r="DN357" s="105"/>
      <c r="DO357" s="105"/>
      <c r="DP357" s="105"/>
      <c r="DQ357" s="105"/>
      <c r="DR357" s="105"/>
      <c r="DS357" s="105"/>
      <c r="DT357" s="105"/>
      <c r="DU357" s="105"/>
      <c r="DV357" s="105"/>
      <c r="DW357" s="105"/>
      <c r="DX357" s="105"/>
      <c r="DY357" s="105"/>
      <c r="DZ357" s="105"/>
      <c r="EA357" s="105"/>
      <c r="EB357" s="105"/>
      <c r="EC357" s="105"/>
      <c r="ED357" s="105"/>
      <c r="EE357" s="105"/>
      <c r="EF357" s="105"/>
      <c r="EG357" s="105"/>
      <c r="EH357" s="105"/>
      <c r="EI357" s="105"/>
      <c r="EJ357" s="105"/>
      <c r="EK357" s="105"/>
      <c r="EL357" s="105"/>
      <c r="EM357" s="105"/>
      <c r="EN357" s="105"/>
      <c r="EO357" s="105"/>
      <c r="EP357" s="105"/>
      <c r="EQ357" s="105"/>
      <c r="ER357" s="105"/>
      <c r="ES357" s="105"/>
      <c r="ET357" s="105"/>
      <c r="EU357" s="105"/>
      <c r="EV357" s="105"/>
      <c r="EW357" s="105"/>
      <c r="EX357" s="105"/>
      <c r="EY357" s="105"/>
      <c r="EZ357" s="105"/>
      <c r="FA357" s="105"/>
      <c r="FB357" s="105"/>
      <c r="FC357" s="105"/>
      <c r="FD357" s="105"/>
      <c r="FE357" s="105"/>
      <c r="FF357" s="105"/>
      <c r="FG357" s="105"/>
      <c r="FH357" s="105"/>
      <c r="FI357" s="105"/>
      <c r="FJ357" s="105"/>
      <c r="FK357" s="105"/>
      <c r="FL357" s="105"/>
      <c r="FM357" s="105"/>
      <c r="FN357" s="105"/>
      <c r="FO357" s="105"/>
      <c r="FP357" s="105"/>
      <c r="FQ357" s="105"/>
      <c r="FR357" s="105"/>
      <c r="FS357" s="105"/>
      <c r="FT357" s="105"/>
      <c r="FU357" s="105"/>
      <c r="FV357" s="105"/>
      <c r="FW357" s="105"/>
      <c r="FX357" s="105"/>
      <c r="FY357" s="105"/>
      <c r="FZ357" s="105"/>
      <c r="GA357" s="105"/>
      <c r="GB357" s="105"/>
      <c r="GC357" s="105"/>
      <c r="GD357" s="105"/>
      <c r="GE357" s="105"/>
      <c r="GF357" s="105"/>
      <c r="GG357" s="105"/>
      <c r="GH357" s="105"/>
      <c r="GI357" s="105"/>
      <c r="GJ357" s="105"/>
      <c r="GK357" s="105"/>
      <c r="GL357" s="105"/>
      <c r="GM357" s="105"/>
      <c r="GN357" s="105"/>
      <c r="GO357" s="105"/>
      <c r="GP357" s="105"/>
      <c r="GQ357" s="105"/>
      <c r="GR357" s="105"/>
      <c r="GS357" s="105"/>
      <c r="GT357" s="105"/>
      <c r="GU357" s="105"/>
      <c r="GV357" s="105"/>
      <c r="GW357" s="105"/>
      <c r="GX357" s="105"/>
      <c r="GY357" s="105"/>
      <c r="GZ357" s="105"/>
      <c r="HA357" s="105"/>
      <c r="HB357" s="105"/>
      <c r="HC357" s="105"/>
      <c r="HD357" s="105"/>
      <c r="HE357" s="105"/>
      <c r="HF357" s="105"/>
      <c r="HG357" s="105"/>
      <c r="HH357" s="105"/>
      <c r="HI357" s="105"/>
      <c r="HJ357" s="105"/>
      <c r="HK357" s="105"/>
      <c r="HL357" s="105"/>
      <c r="HM357" s="105"/>
      <c r="HN357" s="105"/>
      <c r="HO357" s="105"/>
      <c r="HP357" s="105"/>
      <c r="HQ357" s="105"/>
      <c r="HR357" s="105"/>
      <c r="HS357" s="105"/>
      <c r="HT357" s="105"/>
      <c r="HU357" s="105"/>
      <c r="HV357" s="105"/>
      <c r="HW357" s="105"/>
      <c r="HX357" s="105"/>
      <c r="HY357" s="105"/>
      <c r="HZ357" s="105"/>
      <c r="IA357" s="105"/>
      <c r="IB357" s="105"/>
      <c r="IC357" s="105"/>
      <c r="ID357" s="105"/>
      <c r="IE357" s="105"/>
      <c r="IF357" s="105"/>
      <c r="IG357" s="105"/>
      <c r="IH357" s="105"/>
      <c r="II357" s="105"/>
      <c r="IJ357" s="105"/>
      <c r="IK357" s="105"/>
      <c r="IL357" s="105"/>
      <c r="IM357" s="105"/>
      <c r="IN357" s="105"/>
      <c r="IO357" s="105"/>
      <c r="IP357" s="105"/>
      <c r="IQ357" s="105"/>
      <c r="IR357" s="105"/>
      <c r="IS357" s="105"/>
    </row>
    <row r="358" spans="1:253">
      <c r="A358" s="116"/>
      <c r="B358" s="105"/>
      <c r="C358" s="116"/>
      <c r="D358" s="116"/>
      <c r="E358" s="116"/>
      <c r="F358" s="116"/>
      <c r="G358" s="116"/>
      <c r="H358" s="116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  <c r="BF358" s="105"/>
      <c r="BG358" s="105"/>
      <c r="BH358" s="105"/>
      <c r="BI358" s="105"/>
      <c r="BJ358" s="105"/>
      <c r="BK358" s="105"/>
      <c r="BL358" s="105"/>
      <c r="BM358" s="105"/>
      <c r="BN358" s="105"/>
      <c r="BO358" s="105"/>
      <c r="BP358" s="105"/>
      <c r="BQ358" s="105"/>
      <c r="BR358" s="105"/>
      <c r="BS358" s="105"/>
      <c r="BT358" s="105"/>
      <c r="BU358" s="105"/>
      <c r="BV358" s="105"/>
      <c r="BW358" s="105"/>
      <c r="BX358" s="105"/>
      <c r="BY358" s="105"/>
      <c r="BZ358" s="105"/>
      <c r="CA358" s="105"/>
      <c r="CB358" s="105"/>
      <c r="CC358" s="105"/>
      <c r="CD358" s="105"/>
      <c r="CE358" s="105"/>
      <c r="CF358" s="105"/>
      <c r="CG358" s="105"/>
      <c r="CH358" s="105"/>
      <c r="CI358" s="105"/>
      <c r="CJ358" s="105"/>
      <c r="CK358" s="105"/>
      <c r="CL358" s="105"/>
      <c r="CM358" s="105"/>
      <c r="CN358" s="105"/>
      <c r="CO358" s="105"/>
      <c r="CP358" s="105"/>
      <c r="CQ358" s="105"/>
      <c r="CR358" s="105"/>
      <c r="CS358" s="105"/>
      <c r="CT358" s="105"/>
      <c r="CU358" s="105"/>
      <c r="CV358" s="105"/>
      <c r="CW358" s="105"/>
      <c r="CX358" s="105"/>
      <c r="CY358" s="105"/>
      <c r="CZ358" s="105"/>
      <c r="DA358" s="105"/>
      <c r="DB358" s="105"/>
      <c r="DC358" s="105"/>
      <c r="DD358" s="105"/>
      <c r="DE358" s="105"/>
      <c r="DF358" s="105"/>
      <c r="DG358" s="105"/>
      <c r="DH358" s="105"/>
      <c r="DI358" s="105"/>
      <c r="DJ358" s="105"/>
      <c r="DK358" s="105"/>
      <c r="DL358" s="105"/>
      <c r="DM358" s="105"/>
      <c r="DN358" s="105"/>
      <c r="DO358" s="105"/>
      <c r="DP358" s="105"/>
      <c r="DQ358" s="105"/>
      <c r="DR358" s="105"/>
      <c r="DS358" s="105"/>
      <c r="DT358" s="105"/>
      <c r="DU358" s="105"/>
      <c r="DV358" s="105"/>
      <c r="DW358" s="105"/>
      <c r="DX358" s="105"/>
      <c r="DY358" s="105"/>
      <c r="DZ358" s="105"/>
      <c r="EA358" s="105"/>
      <c r="EB358" s="105"/>
      <c r="EC358" s="105"/>
      <c r="ED358" s="105"/>
      <c r="EE358" s="105"/>
      <c r="EF358" s="105"/>
      <c r="EG358" s="105"/>
      <c r="EH358" s="105"/>
      <c r="EI358" s="105"/>
      <c r="EJ358" s="105"/>
      <c r="EK358" s="105"/>
      <c r="EL358" s="105"/>
      <c r="EM358" s="105"/>
      <c r="EN358" s="105"/>
      <c r="EO358" s="105"/>
      <c r="EP358" s="105"/>
      <c r="EQ358" s="105"/>
      <c r="ER358" s="105"/>
      <c r="ES358" s="105"/>
      <c r="ET358" s="105"/>
      <c r="EU358" s="105"/>
      <c r="EV358" s="105"/>
      <c r="EW358" s="105"/>
      <c r="EX358" s="105"/>
      <c r="EY358" s="105"/>
      <c r="EZ358" s="105"/>
      <c r="FA358" s="105"/>
      <c r="FB358" s="105"/>
      <c r="FC358" s="105"/>
      <c r="FD358" s="105"/>
      <c r="FE358" s="105"/>
      <c r="FF358" s="105"/>
      <c r="FG358" s="105"/>
      <c r="FH358" s="105"/>
      <c r="FI358" s="105"/>
      <c r="FJ358" s="105"/>
      <c r="FK358" s="105"/>
      <c r="FL358" s="105"/>
      <c r="FM358" s="105"/>
      <c r="FN358" s="105"/>
      <c r="FO358" s="105"/>
      <c r="FP358" s="105"/>
      <c r="FQ358" s="105"/>
      <c r="FR358" s="105"/>
      <c r="FS358" s="105"/>
      <c r="FT358" s="105"/>
      <c r="FU358" s="105"/>
      <c r="FV358" s="105"/>
      <c r="FW358" s="105"/>
      <c r="FX358" s="105"/>
      <c r="FY358" s="105"/>
      <c r="FZ358" s="105"/>
      <c r="GA358" s="105"/>
      <c r="GB358" s="105"/>
      <c r="GC358" s="105"/>
      <c r="GD358" s="105"/>
      <c r="GE358" s="105"/>
      <c r="GF358" s="105"/>
      <c r="GG358" s="105"/>
      <c r="GH358" s="105"/>
      <c r="GI358" s="105"/>
      <c r="GJ358" s="105"/>
      <c r="GK358" s="105"/>
      <c r="GL358" s="105"/>
      <c r="GM358" s="105"/>
      <c r="GN358" s="105"/>
      <c r="GO358" s="105"/>
      <c r="GP358" s="105"/>
      <c r="GQ358" s="105"/>
      <c r="GR358" s="105"/>
      <c r="GS358" s="105"/>
      <c r="GT358" s="105"/>
      <c r="GU358" s="105"/>
      <c r="GV358" s="105"/>
      <c r="GW358" s="105"/>
      <c r="GX358" s="105"/>
      <c r="GY358" s="105"/>
      <c r="GZ358" s="105"/>
      <c r="HA358" s="105"/>
      <c r="HB358" s="105"/>
      <c r="HC358" s="105"/>
      <c r="HD358" s="105"/>
      <c r="HE358" s="105"/>
      <c r="HF358" s="105"/>
      <c r="HG358" s="105"/>
      <c r="HH358" s="105"/>
      <c r="HI358" s="105"/>
      <c r="HJ358" s="105"/>
      <c r="HK358" s="105"/>
      <c r="HL358" s="105"/>
      <c r="HM358" s="105"/>
      <c r="HN358" s="105"/>
      <c r="HO358" s="105"/>
      <c r="HP358" s="105"/>
      <c r="HQ358" s="105"/>
      <c r="HR358" s="105"/>
      <c r="HS358" s="105"/>
      <c r="HT358" s="105"/>
      <c r="HU358" s="105"/>
      <c r="HV358" s="105"/>
      <c r="HW358" s="105"/>
      <c r="HX358" s="105"/>
      <c r="HY358" s="105"/>
      <c r="HZ358" s="105"/>
      <c r="IA358" s="105"/>
      <c r="IB358" s="105"/>
      <c r="IC358" s="105"/>
      <c r="ID358" s="105"/>
      <c r="IE358" s="105"/>
      <c r="IF358" s="105"/>
      <c r="IG358" s="105"/>
      <c r="IH358" s="105"/>
      <c r="II358" s="105"/>
      <c r="IJ358" s="105"/>
      <c r="IK358" s="105"/>
      <c r="IL358" s="105"/>
      <c r="IM358" s="105"/>
      <c r="IN358" s="105"/>
      <c r="IO358" s="105"/>
      <c r="IP358" s="105"/>
      <c r="IQ358" s="105"/>
      <c r="IR358" s="105"/>
      <c r="IS358" s="105"/>
    </row>
    <row r="359" spans="1:253">
      <c r="A359" s="116"/>
      <c r="B359" s="105"/>
      <c r="C359" s="116"/>
      <c r="D359" s="116"/>
      <c r="E359" s="116"/>
      <c r="F359" s="116"/>
      <c r="G359" s="116"/>
      <c r="H359" s="116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  <c r="BF359" s="105"/>
      <c r="BG359" s="105"/>
      <c r="BH359" s="105"/>
      <c r="BI359" s="105"/>
      <c r="BJ359" s="105"/>
      <c r="BK359" s="105"/>
      <c r="BL359" s="105"/>
      <c r="BM359" s="105"/>
      <c r="BN359" s="105"/>
      <c r="BO359" s="105"/>
      <c r="BP359" s="105"/>
      <c r="BQ359" s="105"/>
      <c r="BR359" s="105"/>
      <c r="BS359" s="105"/>
      <c r="BT359" s="105"/>
      <c r="BU359" s="105"/>
      <c r="BV359" s="105"/>
      <c r="BW359" s="105"/>
      <c r="BX359" s="105"/>
      <c r="BY359" s="105"/>
      <c r="BZ359" s="105"/>
      <c r="CA359" s="105"/>
      <c r="CB359" s="105"/>
      <c r="CC359" s="105"/>
      <c r="CD359" s="105"/>
      <c r="CE359" s="105"/>
      <c r="CF359" s="105"/>
      <c r="CG359" s="105"/>
      <c r="CH359" s="105"/>
      <c r="CI359" s="105"/>
      <c r="CJ359" s="105"/>
      <c r="CK359" s="105"/>
      <c r="CL359" s="105"/>
      <c r="CM359" s="105"/>
      <c r="CN359" s="105"/>
      <c r="CO359" s="105"/>
      <c r="CP359" s="105"/>
      <c r="CQ359" s="105"/>
      <c r="CR359" s="105"/>
      <c r="CS359" s="105"/>
      <c r="CT359" s="105"/>
      <c r="CU359" s="105"/>
      <c r="CV359" s="105"/>
      <c r="CW359" s="105"/>
      <c r="CX359" s="105"/>
      <c r="CY359" s="105"/>
      <c r="CZ359" s="105"/>
      <c r="DA359" s="105"/>
      <c r="DB359" s="105"/>
      <c r="DC359" s="105"/>
      <c r="DD359" s="105"/>
      <c r="DE359" s="105"/>
      <c r="DF359" s="105"/>
      <c r="DG359" s="105"/>
      <c r="DH359" s="105"/>
      <c r="DI359" s="105"/>
      <c r="DJ359" s="105"/>
      <c r="DK359" s="105"/>
      <c r="DL359" s="105"/>
      <c r="DM359" s="105"/>
      <c r="DN359" s="105"/>
      <c r="DO359" s="105"/>
      <c r="DP359" s="105"/>
      <c r="DQ359" s="105"/>
      <c r="DR359" s="105"/>
      <c r="DS359" s="105"/>
      <c r="DT359" s="105"/>
      <c r="DU359" s="105"/>
      <c r="DV359" s="105"/>
      <c r="DW359" s="105"/>
      <c r="DX359" s="105"/>
      <c r="DY359" s="105"/>
      <c r="DZ359" s="105"/>
      <c r="EA359" s="105"/>
      <c r="EB359" s="105"/>
      <c r="EC359" s="105"/>
      <c r="ED359" s="105"/>
      <c r="EE359" s="105"/>
      <c r="EF359" s="105"/>
      <c r="EG359" s="105"/>
      <c r="EH359" s="105"/>
      <c r="EI359" s="105"/>
      <c r="EJ359" s="105"/>
      <c r="EK359" s="105"/>
      <c r="EL359" s="105"/>
      <c r="EM359" s="105"/>
      <c r="EN359" s="105"/>
      <c r="EO359" s="105"/>
      <c r="EP359" s="105"/>
      <c r="EQ359" s="105"/>
      <c r="ER359" s="105"/>
      <c r="ES359" s="105"/>
      <c r="ET359" s="105"/>
      <c r="EU359" s="105"/>
      <c r="EV359" s="105"/>
      <c r="EW359" s="105"/>
      <c r="EX359" s="105"/>
      <c r="EY359" s="105"/>
      <c r="EZ359" s="105"/>
      <c r="FA359" s="105"/>
      <c r="FB359" s="105"/>
      <c r="FC359" s="105"/>
      <c r="FD359" s="105"/>
      <c r="FE359" s="105"/>
      <c r="FF359" s="105"/>
      <c r="FG359" s="105"/>
      <c r="FH359" s="105"/>
      <c r="FI359" s="105"/>
      <c r="FJ359" s="105"/>
      <c r="FK359" s="105"/>
      <c r="FL359" s="105"/>
      <c r="FM359" s="105"/>
      <c r="FN359" s="105"/>
      <c r="FO359" s="105"/>
      <c r="FP359" s="105"/>
      <c r="FQ359" s="105"/>
      <c r="FR359" s="105"/>
      <c r="FS359" s="105"/>
      <c r="FT359" s="105"/>
      <c r="FU359" s="105"/>
      <c r="FV359" s="105"/>
      <c r="FW359" s="105"/>
      <c r="FX359" s="105"/>
      <c r="FY359" s="105"/>
      <c r="FZ359" s="105"/>
      <c r="GA359" s="105"/>
      <c r="GB359" s="105"/>
      <c r="GC359" s="105"/>
      <c r="GD359" s="105"/>
      <c r="GE359" s="105"/>
      <c r="GF359" s="105"/>
      <c r="GG359" s="105"/>
      <c r="GH359" s="105"/>
      <c r="GI359" s="105"/>
      <c r="GJ359" s="105"/>
      <c r="GK359" s="105"/>
      <c r="GL359" s="105"/>
      <c r="GM359" s="105"/>
      <c r="GN359" s="105"/>
      <c r="GO359" s="105"/>
      <c r="GP359" s="105"/>
      <c r="GQ359" s="105"/>
      <c r="GR359" s="105"/>
      <c r="GS359" s="105"/>
      <c r="GT359" s="105"/>
      <c r="GU359" s="105"/>
      <c r="GV359" s="105"/>
      <c r="GW359" s="105"/>
      <c r="GX359" s="105"/>
      <c r="GY359" s="105"/>
      <c r="GZ359" s="105"/>
      <c r="HA359" s="105"/>
      <c r="HB359" s="105"/>
      <c r="HC359" s="105"/>
      <c r="HD359" s="105"/>
      <c r="HE359" s="105"/>
      <c r="HF359" s="105"/>
      <c r="HG359" s="105"/>
      <c r="HH359" s="105"/>
      <c r="HI359" s="105"/>
      <c r="HJ359" s="105"/>
      <c r="HK359" s="105"/>
      <c r="HL359" s="105"/>
      <c r="HM359" s="105"/>
      <c r="HN359" s="105"/>
      <c r="HO359" s="105"/>
      <c r="HP359" s="105"/>
      <c r="HQ359" s="105"/>
      <c r="HR359" s="105"/>
      <c r="HS359" s="105"/>
      <c r="HT359" s="105"/>
      <c r="HU359" s="105"/>
      <c r="HV359" s="105"/>
      <c r="HW359" s="105"/>
      <c r="HX359" s="105"/>
      <c r="HY359" s="105"/>
      <c r="HZ359" s="105"/>
      <c r="IA359" s="105"/>
      <c r="IB359" s="105"/>
      <c r="IC359" s="105"/>
      <c r="ID359" s="105"/>
      <c r="IE359" s="105"/>
      <c r="IF359" s="105"/>
      <c r="IG359" s="105"/>
      <c r="IH359" s="105"/>
      <c r="II359" s="105"/>
      <c r="IJ359" s="105"/>
      <c r="IK359" s="105"/>
      <c r="IL359" s="105"/>
      <c r="IM359" s="105"/>
      <c r="IN359" s="105"/>
      <c r="IO359" s="105"/>
      <c r="IP359" s="105"/>
      <c r="IQ359" s="105"/>
      <c r="IR359" s="105"/>
      <c r="IS359" s="105"/>
    </row>
    <row r="360" spans="1:253">
      <c r="A360" s="116"/>
      <c r="B360" s="105"/>
      <c r="C360" s="116"/>
      <c r="D360" s="116"/>
      <c r="E360" s="116"/>
      <c r="F360" s="116"/>
      <c r="G360" s="116"/>
      <c r="H360" s="116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  <c r="BF360" s="105"/>
      <c r="BG360" s="105"/>
      <c r="BH360" s="105"/>
      <c r="BI360" s="105"/>
      <c r="BJ360" s="105"/>
      <c r="BK360" s="105"/>
      <c r="BL360" s="105"/>
      <c r="BM360" s="105"/>
      <c r="BN360" s="105"/>
      <c r="BO360" s="105"/>
      <c r="BP360" s="105"/>
      <c r="BQ360" s="105"/>
      <c r="BR360" s="105"/>
      <c r="BS360" s="105"/>
      <c r="BT360" s="105"/>
      <c r="BU360" s="105"/>
      <c r="BV360" s="105"/>
      <c r="BW360" s="105"/>
      <c r="BX360" s="105"/>
      <c r="BY360" s="105"/>
      <c r="BZ360" s="105"/>
      <c r="CA360" s="105"/>
      <c r="CB360" s="105"/>
      <c r="CC360" s="105"/>
      <c r="CD360" s="105"/>
      <c r="CE360" s="105"/>
      <c r="CF360" s="105"/>
      <c r="CG360" s="105"/>
      <c r="CH360" s="105"/>
      <c r="CI360" s="105"/>
      <c r="CJ360" s="105"/>
      <c r="CK360" s="105"/>
      <c r="CL360" s="105"/>
      <c r="CM360" s="105"/>
      <c r="CN360" s="105"/>
      <c r="CO360" s="105"/>
      <c r="CP360" s="105"/>
      <c r="CQ360" s="105"/>
      <c r="CR360" s="105"/>
      <c r="CS360" s="105"/>
      <c r="CT360" s="105"/>
      <c r="CU360" s="105"/>
      <c r="CV360" s="105"/>
      <c r="CW360" s="105"/>
      <c r="CX360" s="105"/>
      <c r="CY360" s="105"/>
      <c r="CZ360" s="105"/>
      <c r="DA360" s="105"/>
      <c r="DB360" s="105"/>
      <c r="DC360" s="105"/>
      <c r="DD360" s="105"/>
      <c r="DE360" s="105"/>
      <c r="DF360" s="105"/>
      <c r="DG360" s="105"/>
      <c r="DH360" s="105"/>
      <c r="DI360" s="105"/>
      <c r="DJ360" s="105"/>
      <c r="DK360" s="105"/>
      <c r="DL360" s="105"/>
      <c r="DM360" s="105"/>
      <c r="DN360" s="105"/>
      <c r="DO360" s="105"/>
      <c r="DP360" s="105"/>
      <c r="DQ360" s="105"/>
      <c r="DR360" s="105"/>
      <c r="DS360" s="105"/>
      <c r="DT360" s="105"/>
      <c r="DU360" s="105"/>
      <c r="DV360" s="105"/>
      <c r="DW360" s="105"/>
      <c r="DX360" s="105"/>
      <c r="DY360" s="105"/>
      <c r="DZ360" s="105"/>
      <c r="EA360" s="105"/>
      <c r="EB360" s="105"/>
      <c r="EC360" s="105"/>
      <c r="ED360" s="105"/>
      <c r="EE360" s="105"/>
      <c r="EF360" s="105"/>
      <c r="EG360" s="105"/>
      <c r="EH360" s="105"/>
      <c r="EI360" s="105"/>
      <c r="EJ360" s="105"/>
      <c r="EK360" s="105"/>
      <c r="EL360" s="105"/>
      <c r="EM360" s="105"/>
      <c r="EN360" s="105"/>
      <c r="EO360" s="105"/>
      <c r="EP360" s="105"/>
      <c r="EQ360" s="105"/>
      <c r="ER360" s="105"/>
      <c r="ES360" s="105"/>
      <c r="ET360" s="105"/>
      <c r="EU360" s="105"/>
      <c r="EV360" s="105"/>
      <c r="EW360" s="105"/>
      <c r="EX360" s="105"/>
      <c r="EY360" s="105"/>
      <c r="EZ360" s="105"/>
      <c r="FA360" s="105"/>
      <c r="FB360" s="105"/>
      <c r="FC360" s="105"/>
      <c r="FD360" s="105"/>
      <c r="FE360" s="105"/>
      <c r="FF360" s="105"/>
      <c r="FG360" s="105"/>
      <c r="FH360" s="105"/>
      <c r="FI360" s="105"/>
      <c r="FJ360" s="105"/>
      <c r="FK360" s="105"/>
      <c r="FL360" s="105"/>
      <c r="FM360" s="105"/>
      <c r="FN360" s="105"/>
      <c r="FO360" s="105"/>
      <c r="FP360" s="105"/>
      <c r="FQ360" s="105"/>
      <c r="FR360" s="105"/>
      <c r="FS360" s="105"/>
      <c r="FT360" s="105"/>
      <c r="FU360" s="105"/>
      <c r="FV360" s="105"/>
      <c r="FW360" s="105"/>
      <c r="FX360" s="105"/>
      <c r="FY360" s="105"/>
      <c r="FZ360" s="105"/>
      <c r="GA360" s="105"/>
      <c r="GB360" s="105"/>
      <c r="GC360" s="105"/>
      <c r="GD360" s="105"/>
      <c r="GE360" s="105"/>
      <c r="GF360" s="105"/>
      <c r="GG360" s="105"/>
      <c r="GH360" s="105"/>
      <c r="GI360" s="105"/>
      <c r="GJ360" s="105"/>
      <c r="GK360" s="105"/>
      <c r="GL360" s="105"/>
      <c r="GM360" s="105"/>
      <c r="GN360" s="105"/>
      <c r="GO360" s="105"/>
      <c r="GP360" s="105"/>
      <c r="GQ360" s="105"/>
      <c r="GR360" s="105"/>
      <c r="GS360" s="105"/>
      <c r="GT360" s="105"/>
      <c r="GU360" s="105"/>
      <c r="GV360" s="105"/>
      <c r="GW360" s="105"/>
      <c r="GX360" s="105"/>
      <c r="GY360" s="105"/>
      <c r="GZ360" s="105"/>
      <c r="HA360" s="105"/>
      <c r="HB360" s="105"/>
      <c r="HC360" s="105"/>
      <c r="HD360" s="105"/>
      <c r="HE360" s="105"/>
      <c r="HF360" s="105"/>
      <c r="HG360" s="105"/>
      <c r="HH360" s="105"/>
      <c r="HI360" s="105"/>
      <c r="HJ360" s="105"/>
      <c r="HK360" s="105"/>
      <c r="HL360" s="105"/>
      <c r="HM360" s="105"/>
      <c r="HN360" s="105"/>
      <c r="HO360" s="105"/>
      <c r="HP360" s="105"/>
      <c r="HQ360" s="105"/>
      <c r="HR360" s="105"/>
      <c r="HS360" s="105"/>
      <c r="HT360" s="105"/>
      <c r="HU360" s="105"/>
      <c r="HV360" s="105"/>
      <c r="HW360" s="105"/>
      <c r="HX360" s="105"/>
      <c r="HY360" s="105"/>
      <c r="HZ360" s="105"/>
      <c r="IA360" s="105"/>
      <c r="IB360" s="105"/>
      <c r="IC360" s="105"/>
      <c r="ID360" s="105"/>
      <c r="IE360" s="105"/>
      <c r="IF360" s="105"/>
      <c r="IG360" s="105"/>
      <c r="IH360" s="105"/>
      <c r="II360" s="105"/>
      <c r="IJ360" s="105"/>
      <c r="IK360" s="105"/>
      <c r="IL360" s="105"/>
      <c r="IM360" s="105"/>
      <c r="IN360" s="105"/>
      <c r="IO360" s="105"/>
      <c r="IP360" s="105"/>
      <c r="IQ360" s="105"/>
      <c r="IR360" s="105"/>
      <c r="IS360" s="105"/>
    </row>
    <row r="361" spans="1:253">
      <c r="A361" s="116"/>
      <c r="B361" s="105"/>
      <c r="C361" s="116"/>
      <c r="D361" s="116"/>
      <c r="E361" s="116"/>
      <c r="F361" s="116"/>
      <c r="G361" s="116"/>
      <c r="H361" s="116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  <c r="BF361" s="105"/>
      <c r="BG361" s="105"/>
      <c r="BH361" s="105"/>
      <c r="BI361" s="105"/>
      <c r="BJ361" s="105"/>
      <c r="BK361" s="105"/>
      <c r="BL361" s="105"/>
      <c r="BM361" s="105"/>
      <c r="BN361" s="105"/>
      <c r="BO361" s="105"/>
      <c r="BP361" s="105"/>
      <c r="BQ361" s="105"/>
      <c r="BR361" s="105"/>
      <c r="BS361" s="105"/>
      <c r="BT361" s="105"/>
      <c r="BU361" s="105"/>
      <c r="BV361" s="105"/>
      <c r="BW361" s="105"/>
      <c r="BX361" s="105"/>
      <c r="BY361" s="105"/>
      <c r="BZ361" s="105"/>
      <c r="CA361" s="105"/>
      <c r="CB361" s="105"/>
      <c r="CC361" s="105"/>
      <c r="CD361" s="105"/>
      <c r="CE361" s="105"/>
      <c r="CF361" s="105"/>
      <c r="CG361" s="105"/>
      <c r="CH361" s="105"/>
      <c r="CI361" s="105"/>
      <c r="CJ361" s="105"/>
      <c r="CK361" s="105"/>
      <c r="CL361" s="105"/>
      <c r="CM361" s="105"/>
      <c r="CN361" s="105"/>
      <c r="CO361" s="105"/>
      <c r="CP361" s="105"/>
      <c r="CQ361" s="105"/>
      <c r="CR361" s="105"/>
      <c r="CS361" s="105"/>
      <c r="CT361" s="105"/>
      <c r="CU361" s="105"/>
      <c r="CV361" s="105"/>
      <c r="CW361" s="105"/>
      <c r="CX361" s="105"/>
      <c r="CY361" s="105"/>
      <c r="CZ361" s="105"/>
      <c r="DA361" s="105"/>
      <c r="DB361" s="105"/>
      <c r="DC361" s="105"/>
      <c r="DD361" s="105"/>
      <c r="DE361" s="105"/>
      <c r="DF361" s="105"/>
      <c r="DG361" s="105"/>
      <c r="DH361" s="105"/>
      <c r="DI361" s="105"/>
      <c r="DJ361" s="105"/>
      <c r="DK361" s="105"/>
      <c r="DL361" s="105"/>
      <c r="DM361" s="105"/>
      <c r="DN361" s="105"/>
      <c r="DO361" s="105"/>
      <c r="DP361" s="105"/>
      <c r="DQ361" s="105"/>
      <c r="DR361" s="105"/>
      <c r="DS361" s="105"/>
      <c r="DT361" s="105"/>
      <c r="DU361" s="105"/>
      <c r="DV361" s="105"/>
      <c r="DW361" s="105"/>
      <c r="DX361" s="105"/>
      <c r="DY361" s="105"/>
      <c r="DZ361" s="105"/>
      <c r="EA361" s="105"/>
      <c r="EB361" s="105"/>
      <c r="EC361" s="105"/>
      <c r="ED361" s="105"/>
      <c r="EE361" s="105"/>
      <c r="EF361" s="105"/>
      <c r="EG361" s="105"/>
      <c r="EH361" s="105"/>
      <c r="EI361" s="105"/>
      <c r="EJ361" s="105"/>
      <c r="EK361" s="105"/>
      <c r="EL361" s="105"/>
      <c r="EM361" s="105"/>
      <c r="EN361" s="105"/>
      <c r="EO361" s="105"/>
      <c r="EP361" s="105"/>
      <c r="EQ361" s="105"/>
      <c r="ER361" s="105"/>
      <c r="ES361" s="105"/>
      <c r="ET361" s="105"/>
      <c r="EU361" s="105"/>
      <c r="EV361" s="105"/>
      <c r="EW361" s="105"/>
      <c r="EX361" s="105"/>
      <c r="EY361" s="105"/>
      <c r="EZ361" s="105"/>
      <c r="FA361" s="105"/>
      <c r="FB361" s="105"/>
      <c r="FC361" s="105"/>
      <c r="FD361" s="105"/>
      <c r="FE361" s="105"/>
      <c r="FF361" s="105"/>
      <c r="FG361" s="105"/>
      <c r="FH361" s="105"/>
      <c r="FI361" s="105"/>
      <c r="FJ361" s="105"/>
      <c r="FK361" s="105"/>
      <c r="FL361" s="105"/>
      <c r="FM361" s="105"/>
      <c r="FN361" s="105"/>
      <c r="FO361" s="105"/>
      <c r="FP361" s="105"/>
      <c r="FQ361" s="105"/>
      <c r="FR361" s="105"/>
      <c r="FS361" s="105"/>
      <c r="FT361" s="105"/>
      <c r="FU361" s="105"/>
      <c r="FV361" s="105"/>
      <c r="FW361" s="105"/>
      <c r="FX361" s="105"/>
      <c r="FY361" s="105"/>
      <c r="FZ361" s="105"/>
      <c r="GA361" s="105"/>
      <c r="GB361" s="105"/>
      <c r="GC361" s="105"/>
      <c r="GD361" s="105"/>
      <c r="GE361" s="105"/>
      <c r="GF361" s="105"/>
      <c r="GG361" s="105"/>
      <c r="GH361" s="105"/>
      <c r="GI361" s="105"/>
      <c r="GJ361" s="105"/>
      <c r="GK361" s="105"/>
      <c r="GL361" s="105"/>
      <c r="GM361" s="105"/>
      <c r="GN361" s="105"/>
      <c r="GO361" s="105"/>
      <c r="GP361" s="105"/>
      <c r="GQ361" s="105"/>
      <c r="GR361" s="105"/>
      <c r="GS361" s="105"/>
      <c r="GT361" s="105"/>
      <c r="GU361" s="105"/>
      <c r="GV361" s="105"/>
      <c r="GW361" s="105"/>
      <c r="GX361" s="105"/>
      <c r="GY361" s="105"/>
      <c r="GZ361" s="105"/>
      <c r="HA361" s="105"/>
      <c r="HB361" s="105"/>
      <c r="HC361" s="105"/>
      <c r="HD361" s="105"/>
      <c r="HE361" s="105"/>
      <c r="HF361" s="105"/>
      <c r="HG361" s="105"/>
      <c r="HH361" s="105"/>
      <c r="HI361" s="105"/>
      <c r="HJ361" s="105"/>
      <c r="HK361" s="105"/>
      <c r="HL361" s="105"/>
      <c r="HM361" s="105"/>
      <c r="HN361" s="105"/>
      <c r="HO361" s="105"/>
      <c r="HP361" s="105"/>
      <c r="HQ361" s="105"/>
      <c r="HR361" s="105"/>
      <c r="HS361" s="105"/>
      <c r="HT361" s="105"/>
      <c r="HU361" s="105"/>
      <c r="HV361" s="105"/>
      <c r="HW361" s="105"/>
      <c r="HX361" s="105"/>
      <c r="HY361" s="105"/>
      <c r="HZ361" s="105"/>
      <c r="IA361" s="105"/>
      <c r="IB361" s="105"/>
      <c r="IC361" s="105"/>
      <c r="ID361" s="105"/>
      <c r="IE361" s="105"/>
      <c r="IF361" s="105"/>
      <c r="IG361" s="105"/>
      <c r="IH361" s="105"/>
      <c r="II361" s="105"/>
      <c r="IJ361" s="105"/>
      <c r="IK361" s="105"/>
      <c r="IL361" s="105"/>
      <c r="IM361" s="105"/>
      <c r="IN361" s="105"/>
      <c r="IO361" s="105"/>
      <c r="IP361" s="105"/>
      <c r="IQ361" s="105"/>
      <c r="IR361" s="105"/>
      <c r="IS361" s="105"/>
    </row>
    <row r="362" spans="1:253">
      <c r="A362" s="116"/>
      <c r="B362" s="105"/>
      <c r="C362" s="116"/>
      <c r="D362" s="116"/>
      <c r="E362" s="116"/>
      <c r="F362" s="116"/>
      <c r="G362" s="116"/>
      <c r="H362" s="116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  <c r="BF362" s="105"/>
      <c r="BG362" s="105"/>
      <c r="BH362" s="105"/>
      <c r="BI362" s="105"/>
      <c r="BJ362" s="105"/>
      <c r="BK362" s="105"/>
      <c r="BL362" s="105"/>
      <c r="BM362" s="105"/>
      <c r="BN362" s="105"/>
      <c r="BO362" s="105"/>
      <c r="BP362" s="105"/>
      <c r="BQ362" s="105"/>
      <c r="BR362" s="105"/>
      <c r="BS362" s="105"/>
      <c r="BT362" s="105"/>
      <c r="BU362" s="105"/>
      <c r="BV362" s="105"/>
      <c r="BW362" s="105"/>
      <c r="BX362" s="105"/>
      <c r="BY362" s="105"/>
      <c r="BZ362" s="105"/>
      <c r="CA362" s="105"/>
      <c r="CB362" s="105"/>
      <c r="CC362" s="105"/>
      <c r="CD362" s="105"/>
      <c r="CE362" s="105"/>
      <c r="CF362" s="105"/>
      <c r="CG362" s="105"/>
      <c r="CH362" s="105"/>
      <c r="CI362" s="105"/>
      <c r="CJ362" s="105"/>
      <c r="CK362" s="105"/>
      <c r="CL362" s="105"/>
      <c r="CM362" s="105"/>
      <c r="CN362" s="105"/>
      <c r="CO362" s="105"/>
      <c r="CP362" s="105"/>
      <c r="CQ362" s="105"/>
      <c r="CR362" s="105"/>
      <c r="CS362" s="105"/>
      <c r="CT362" s="105"/>
      <c r="CU362" s="105"/>
      <c r="CV362" s="105"/>
      <c r="CW362" s="105"/>
      <c r="CX362" s="105"/>
      <c r="CY362" s="105"/>
      <c r="CZ362" s="105"/>
      <c r="DA362" s="105"/>
      <c r="DB362" s="105"/>
      <c r="DC362" s="105"/>
      <c r="DD362" s="105"/>
      <c r="DE362" s="105"/>
      <c r="DF362" s="105"/>
      <c r="DG362" s="105"/>
      <c r="DH362" s="105"/>
      <c r="DI362" s="105"/>
      <c r="DJ362" s="105"/>
      <c r="DK362" s="105"/>
      <c r="DL362" s="105"/>
      <c r="DM362" s="105"/>
      <c r="DN362" s="105"/>
      <c r="DO362" s="105"/>
      <c r="DP362" s="105"/>
      <c r="DQ362" s="105"/>
      <c r="DR362" s="105"/>
      <c r="DS362" s="105"/>
      <c r="DT362" s="105"/>
      <c r="DU362" s="105"/>
      <c r="DV362" s="105"/>
      <c r="DW362" s="105"/>
      <c r="DX362" s="105"/>
      <c r="DY362" s="105"/>
      <c r="DZ362" s="105"/>
      <c r="EA362" s="105"/>
      <c r="EB362" s="105"/>
      <c r="EC362" s="105"/>
      <c r="ED362" s="105"/>
      <c r="EE362" s="105"/>
      <c r="EF362" s="105"/>
      <c r="EG362" s="105"/>
      <c r="EH362" s="105"/>
      <c r="EI362" s="105"/>
      <c r="EJ362" s="105"/>
      <c r="EK362" s="105"/>
      <c r="EL362" s="105"/>
      <c r="EM362" s="105"/>
      <c r="EN362" s="105"/>
      <c r="EO362" s="105"/>
      <c r="EP362" s="105"/>
      <c r="EQ362" s="105"/>
      <c r="ER362" s="105"/>
      <c r="ES362" s="105"/>
      <c r="ET362" s="105"/>
      <c r="EU362" s="105"/>
      <c r="EV362" s="105"/>
      <c r="EW362" s="105"/>
      <c r="EX362" s="105"/>
      <c r="EY362" s="105"/>
      <c r="EZ362" s="105"/>
      <c r="FA362" s="105"/>
      <c r="FB362" s="105"/>
      <c r="FC362" s="105"/>
      <c r="FD362" s="105"/>
      <c r="FE362" s="105"/>
      <c r="FF362" s="105"/>
      <c r="FG362" s="105"/>
      <c r="FH362" s="105"/>
      <c r="FI362" s="105"/>
      <c r="FJ362" s="105"/>
      <c r="FK362" s="105"/>
      <c r="FL362" s="105"/>
      <c r="FM362" s="105"/>
      <c r="FN362" s="105"/>
      <c r="FO362" s="105"/>
      <c r="FP362" s="105"/>
      <c r="FQ362" s="105"/>
      <c r="FR362" s="105"/>
      <c r="FS362" s="105"/>
      <c r="FT362" s="105"/>
      <c r="FU362" s="105"/>
      <c r="FV362" s="105"/>
      <c r="FW362" s="105"/>
      <c r="FX362" s="105"/>
      <c r="FY362" s="105"/>
      <c r="FZ362" s="105"/>
      <c r="GA362" s="105"/>
      <c r="GB362" s="105"/>
      <c r="GC362" s="105"/>
      <c r="GD362" s="105"/>
      <c r="GE362" s="105"/>
      <c r="GF362" s="105"/>
      <c r="GG362" s="105"/>
      <c r="GH362" s="105"/>
      <c r="GI362" s="105"/>
      <c r="GJ362" s="105"/>
      <c r="GK362" s="105"/>
      <c r="GL362" s="105"/>
      <c r="GM362" s="105"/>
      <c r="GN362" s="105"/>
      <c r="GO362" s="105"/>
      <c r="GP362" s="105"/>
      <c r="GQ362" s="105"/>
      <c r="GR362" s="105"/>
      <c r="GS362" s="105"/>
      <c r="GT362" s="105"/>
      <c r="GU362" s="105"/>
      <c r="GV362" s="105"/>
      <c r="GW362" s="105"/>
      <c r="GX362" s="105"/>
      <c r="GY362" s="105"/>
      <c r="GZ362" s="105"/>
      <c r="HA362" s="105"/>
      <c r="HB362" s="105"/>
      <c r="HC362" s="105"/>
      <c r="HD362" s="105"/>
      <c r="HE362" s="105"/>
      <c r="HF362" s="105"/>
      <c r="HG362" s="105"/>
      <c r="HH362" s="105"/>
      <c r="HI362" s="105"/>
      <c r="HJ362" s="105"/>
      <c r="HK362" s="105"/>
      <c r="HL362" s="105"/>
      <c r="HM362" s="105"/>
      <c r="HN362" s="105"/>
      <c r="HO362" s="105"/>
      <c r="HP362" s="105"/>
      <c r="HQ362" s="105"/>
      <c r="HR362" s="105"/>
      <c r="HS362" s="105"/>
      <c r="HT362" s="105"/>
      <c r="HU362" s="105"/>
      <c r="HV362" s="105"/>
      <c r="HW362" s="105"/>
      <c r="HX362" s="105"/>
      <c r="HY362" s="105"/>
      <c r="HZ362" s="105"/>
      <c r="IA362" s="105"/>
      <c r="IB362" s="105"/>
      <c r="IC362" s="105"/>
      <c r="ID362" s="105"/>
      <c r="IE362" s="105"/>
      <c r="IF362" s="105"/>
      <c r="IG362" s="105"/>
      <c r="IH362" s="105"/>
      <c r="II362" s="105"/>
      <c r="IJ362" s="105"/>
      <c r="IK362" s="105"/>
      <c r="IL362" s="105"/>
      <c r="IM362" s="105"/>
      <c r="IN362" s="105"/>
      <c r="IO362" s="105"/>
      <c r="IP362" s="105"/>
      <c r="IQ362" s="105"/>
      <c r="IR362" s="105"/>
      <c r="IS362" s="105"/>
    </row>
    <row r="363" spans="1:253">
      <c r="A363" s="116"/>
      <c r="B363" s="105"/>
      <c r="C363" s="116"/>
      <c r="D363" s="116"/>
      <c r="E363" s="116"/>
      <c r="F363" s="116"/>
      <c r="G363" s="116"/>
      <c r="H363" s="116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  <c r="BF363" s="105"/>
      <c r="BG363" s="105"/>
      <c r="BH363" s="105"/>
      <c r="BI363" s="105"/>
      <c r="BJ363" s="105"/>
      <c r="BK363" s="105"/>
      <c r="BL363" s="105"/>
      <c r="BM363" s="105"/>
      <c r="BN363" s="105"/>
      <c r="BO363" s="105"/>
      <c r="BP363" s="105"/>
      <c r="BQ363" s="105"/>
      <c r="BR363" s="105"/>
      <c r="BS363" s="105"/>
      <c r="BT363" s="105"/>
      <c r="BU363" s="105"/>
      <c r="BV363" s="105"/>
      <c r="BW363" s="105"/>
      <c r="BX363" s="105"/>
      <c r="BY363" s="105"/>
      <c r="BZ363" s="105"/>
      <c r="CA363" s="105"/>
      <c r="CB363" s="105"/>
      <c r="CC363" s="105"/>
      <c r="CD363" s="105"/>
      <c r="CE363" s="105"/>
      <c r="CF363" s="105"/>
      <c r="CG363" s="105"/>
      <c r="CH363" s="105"/>
      <c r="CI363" s="105"/>
      <c r="CJ363" s="105"/>
      <c r="CK363" s="105"/>
      <c r="CL363" s="105"/>
      <c r="CM363" s="105"/>
      <c r="CN363" s="105"/>
      <c r="CO363" s="105"/>
      <c r="CP363" s="105"/>
      <c r="CQ363" s="105"/>
      <c r="CR363" s="105"/>
      <c r="CS363" s="105"/>
      <c r="CT363" s="105"/>
      <c r="CU363" s="105"/>
      <c r="CV363" s="105"/>
      <c r="CW363" s="105"/>
      <c r="CX363" s="105"/>
      <c r="CY363" s="105"/>
      <c r="CZ363" s="105"/>
      <c r="DA363" s="105"/>
      <c r="DB363" s="105"/>
      <c r="DC363" s="105"/>
      <c r="DD363" s="105"/>
      <c r="DE363" s="105"/>
      <c r="DF363" s="105"/>
      <c r="DG363" s="105"/>
      <c r="DH363" s="105"/>
      <c r="DI363" s="105"/>
      <c r="DJ363" s="105"/>
      <c r="DK363" s="105"/>
      <c r="DL363" s="105"/>
      <c r="DM363" s="105"/>
      <c r="DN363" s="105"/>
      <c r="DO363" s="105"/>
      <c r="DP363" s="105"/>
      <c r="DQ363" s="105"/>
      <c r="DR363" s="105"/>
      <c r="DS363" s="105"/>
      <c r="DT363" s="105"/>
      <c r="DU363" s="105"/>
      <c r="DV363" s="105"/>
      <c r="DW363" s="105"/>
      <c r="DX363" s="105"/>
      <c r="DY363" s="105"/>
      <c r="DZ363" s="105"/>
      <c r="EA363" s="105"/>
      <c r="EB363" s="105"/>
      <c r="EC363" s="105"/>
      <c r="ED363" s="105"/>
      <c r="EE363" s="105"/>
      <c r="EF363" s="105"/>
      <c r="EG363" s="105"/>
      <c r="EH363" s="105"/>
      <c r="EI363" s="105"/>
      <c r="EJ363" s="105"/>
      <c r="EK363" s="105"/>
      <c r="EL363" s="105"/>
      <c r="EM363" s="105"/>
      <c r="EN363" s="105"/>
      <c r="EO363" s="105"/>
      <c r="EP363" s="105"/>
      <c r="EQ363" s="105"/>
      <c r="ER363" s="105"/>
      <c r="ES363" s="105"/>
      <c r="ET363" s="105"/>
      <c r="EU363" s="105"/>
      <c r="EV363" s="105"/>
      <c r="EW363" s="105"/>
      <c r="EX363" s="105"/>
      <c r="EY363" s="105"/>
      <c r="EZ363" s="105"/>
      <c r="FA363" s="105"/>
      <c r="FB363" s="105"/>
      <c r="FC363" s="105"/>
      <c r="FD363" s="105"/>
      <c r="FE363" s="105"/>
      <c r="FF363" s="105"/>
      <c r="FG363" s="105"/>
      <c r="FH363" s="105"/>
      <c r="FI363" s="105"/>
      <c r="FJ363" s="105"/>
      <c r="FK363" s="105"/>
      <c r="FL363" s="105"/>
      <c r="FM363" s="105"/>
      <c r="FN363" s="105"/>
      <c r="FO363" s="105"/>
      <c r="FP363" s="105"/>
      <c r="FQ363" s="105"/>
      <c r="FR363" s="105"/>
      <c r="FS363" s="105"/>
      <c r="FT363" s="105"/>
      <c r="FU363" s="105"/>
      <c r="FV363" s="105"/>
      <c r="FW363" s="105"/>
      <c r="FX363" s="105"/>
      <c r="FY363" s="105"/>
      <c r="FZ363" s="105"/>
      <c r="GA363" s="105"/>
      <c r="GB363" s="105"/>
      <c r="GC363" s="105"/>
      <c r="GD363" s="105"/>
      <c r="GE363" s="105"/>
      <c r="GF363" s="105"/>
      <c r="GG363" s="105"/>
      <c r="GH363" s="105"/>
      <c r="GI363" s="105"/>
      <c r="GJ363" s="105"/>
      <c r="GK363" s="105"/>
      <c r="GL363" s="105"/>
      <c r="GM363" s="105"/>
      <c r="GN363" s="105"/>
      <c r="GO363" s="105"/>
      <c r="GP363" s="105"/>
      <c r="GQ363" s="105"/>
      <c r="GR363" s="105"/>
      <c r="GS363" s="105"/>
      <c r="GT363" s="105"/>
      <c r="GU363" s="105"/>
      <c r="GV363" s="105"/>
      <c r="GW363" s="105"/>
      <c r="GX363" s="105"/>
      <c r="GY363" s="105"/>
      <c r="GZ363" s="105"/>
      <c r="HA363" s="105"/>
      <c r="HB363" s="105"/>
      <c r="HC363" s="105"/>
      <c r="HD363" s="105"/>
      <c r="HE363" s="105"/>
      <c r="HF363" s="105"/>
      <c r="HG363" s="105"/>
      <c r="HH363" s="105"/>
      <c r="HI363" s="105"/>
      <c r="HJ363" s="105"/>
      <c r="HK363" s="105"/>
      <c r="HL363" s="105"/>
      <c r="HM363" s="105"/>
      <c r="HN363" s="105"/>
      <c r="HO363" s="105"/>
      <c r="HP363" s="105"/>
      <c r="HQ363" s="105"/>
      <c r="HR363" s="105"/>
      <c r="HS363" s="105"/>
      <c r="HT363" s="105"/>
      <c r="HU363" s="105"/>
      <c r="HV363" s="105"/>
      <c r="HW363" s="105"/>
      <c r="HX363" s="105"/>
      <c r="HY363" s="105"/>
      <c r="HZ363" s="105"/>
      <c r="IA363" s="105"/>
      <c r="IB363" s="105"/>
      <c r="IC363" s="105"/>
      <c r="ID363" s="105"/>
      <c r="IE363" s="105"/>
      <c r="IF363" s="105"/>
      <c r="IG363" s="105"/>
      <c r="IH363" s="105"/>
      <c r="II363" s="105"/>
      <c r="IJ363" s="105"/>
      <c r="IK363" s="105"/>
      <c r="IL363" s="105"/>
      <c r="IM363" s="105"/>
      <c r="IN363" s="105"/>
      <c r="IO363" s="105"/>
      <c r="IP363" s="105"/>
      <c r="IQ363" s="105"/>
      <c r="IR363" s="105"/>
      <c r="IS363" s="105"/>
    </row>
    <row r="364" spans="1:253">
      <c r="A364" s="116"/>
      <c r="B364" s="105"/>
      <c r="C364" s="116"/>
      <c r="D364" s="116"/>
      <c r="E364" s="116"/>
      <c r="F364" s="116"/>
      <c r="G364" s="116"/>
      <c r="H364" s="116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  <c r="BF364" s="105"/>
      <c r="BG364" s="105"/>
      <c r="BH364" s="105"/>
      <c r="BI364" s="105"/>
      <c r="BJ364" s="105"/>
      <c r="BK364" s="105"/>
      <c r="BL364" s="105"/>
      <c r="BM364" s="105"/>
      <c r="BN364" s="105"/>
      <c r="BO364" s="105"/>
      <c r="BP364" s="105"/>
      <c r="BQ364" s="105"/>
      <c r="BR364" s="105"/>
      <c r="BS364" s="105"/>
      <c r="BT364" s="105"/>
      <c r="BU364" s="105"/>
      <c r="BV364" s="105"/>
      <c r="BW364" s="105"/>
      <c r="BX364" s="105"/>
      <c r="BY364" s="105"/>
      <c r="BZ364" s="105"/>
      <c r="CA364" s="105"/>
      <c r="CB364" s="105"/>
      <c r="CC364" s="105"/>
      <c r="CD364" s="105"/>
      <c r="CE364" s="105"/>
      <c r="CF364" s="105"/>
      <c r="CG364" s="105"/>
      <c r="CH364" s="105"/>
      <c r="CI364" s="105"/>
      <c r="CJ364" s="105"/>
      <c r="CK364" s="105"/>
      <c r="CL364" s="105"/>
      <c r="CM364" s="105"/>
      <c r="CN364" s="105"/>
      <c r="CO364" s="105"/>
      <c r="CP364" s="105"/>
      <c r="CQ364" s="105"/>
      <c r="CR364" s="105"/>
      <c r="CS364" s="105"/>
      <c r="CT364" s="105"/>
      <c r="CU364" s="105"/>
      <c r="CV364" s="105"/>
      <c r="CW364" s="105"/>
      <c r="CX364" s="105"/>
      <c r="CY364" s="105"/>
      <c r="CZ364" s="105"/>
      <c r="DA364" s="105"/>
      <c r="DB364" s="105"/>
      <c r="DC364" s="105"/>
      <c r="DD364" s="105"/>
      <c r="DE364" s="105"/>
      <c r="DF364" s="105"/>
      <c r="DG364" s="105"/>
      <c r="DH364" s="105"/>
      <c r="DI364" s="105"/>
      <c r="DJ364" s="105"/>
      <c r="DK364" s="105"/>
      <c r="DL364" s="105"/>
      <c r="DM364" s="105"/>
      <c r="DN364" s="105"/>
      <c r="DO364" s="105"/>
      <c r="DP364" s="105"/>
      <c r="DQ364" s="105"/>
      <c r="DR364" s="105"/>
      <c r="DS364" s="105"/>
      <c r="DT364" s="105"/>
      <c r="DU364" s="105"/>
      <c r="DV364" s="105"/>
      <c r="DW364" s="105"/>
      <c r="DX364" s="105"/>
      <c r="DY364" s="105"/>
      <c r="DZ364" s="105"/>
      <c r="EA364" s="105"/>
      <c r="EB364" s="105"/>
      <c r="EC364" s="105"/>
      <c r="ED364" s="105"/>
      <c r="EE364" s="105"/>
      <c r="EF364" s="105"/>
      <c r="EG364" s="105"/>
      <c r="EH364" s="105"/>
      <c r="EI364" s="105"/>
      <c r="EJ364" s="105"/>
      <c r="EK364" s="105"/>
      <c r="EL364" s="105"/>
      <c r="EM364" s="105"/>
      <c r="EN364" s="105"/>
      <c r="EO364" s="105"/>
      <c r="EP364" s="105"/>
      <c r="EQ364" s="105"/>
      <c r="ER364" s="105"/>
      <c r="ES364" s="105"/>
      <c r="ET364" s="105"/>
      <c r="EU364" s="105"/>
      <c r="EV364" s="105"/>
      <c r="EW364" s="105"/>
      <c r="EX364" s="105"/>
      <c r="EY364" s="105"/>
      <c r="EZ364" s="105"/>
      <c r="FA364" s="105"/>
      <c r="FB364" s="105"/>
      <c r="FC364" s="105"/>
      <c r="FD364" s="105"/>
      <c r="FE364" s="105"/>
      <c r="FF364" s="105"/>
      <c r="FG364" s="105"/>
      <c r="FH364" s="105"/>
      <c r="FI364" s="105"/>
      <c r="FJ364" s="105"/>
      <c r="FK364" s="105"/>
      <c r="FL364" s="105"/>
      <c r="FM364" s="105"/>
      <c r="FN364" s="105"/>
      <c r="FO364" s="105"/>
      <c r="FP364" s="105"/>
      <c r="FQ364" s="105"/>
      <c r="FR364" s="105"/>
      <c r="FS364" s="105"/>
      <c r="FT364" s="105"/>
      <c r="FU364" s="105"/>
      <c r="FV364" s="105"/>
      <c r="FW364" s="105"/>
      <c r="FX364" s="105"/>
      <c r="FY364" s="105"/>
      <c r="FZ364" s="105"/>
      <c r="GA364" s="105"/>
      <c r="GB364" s="105"/>
      <c r="GC364" s="105"/>
      <c r="GD364" s="105"/>
      <c r="GE364" s="105"/>
      <c r="GF364" s="105"/>
      <c r="GG364" s="105"/>
      <c r="GH364" s="105"/>
      <c r="GI364" s="105"/>
      <c r="GJ364" s="105"/>
      <c r="GK364" s="105"/>
      <c r="GL364" s="105"/>
      <c r="GM364" s="105"/>
      <c r="GN364" s="105"/>
      <c r="GO364" s="105"/>
      <c r="GP364" s="105"/>
      <c r="GQ364" s="105"/>
      <c r="GR364" s="105"/>
      <c r="GS364" s="105"/>
      <c r="GT364" s="105"/>
      <c r="GU364" s="105"/>
      <c r="GV364" s="105"/>
      <c r="GW364" s="105"/>
      <c r="GX364" s="105"/>
      <c r="GY364" s="105"/>
      <c r="GZ364" s="105"/>
      <c r="HA364" s="105"/>
      <c r="HB364" s="105"/>
      <c r="HC364" s="105"/>
      <c r="HD364" s="105"/>
      <c r="HE364" s="105"/>
      <c r="HF364" s="105"/>
      <c r="HG364" s="105"/>
      <c r="HH364" s="105"/>
      <c r="HI364" s="105"/>
      <c r="HJ364" s="105"/>
      <c r="HK364" s="105"/>
      <c r="HL364" s="105"/>
      <c r="HM364" s="105"/>
      <c r="HN364" s="105"/>
      <c r="HO364" s="105"/>
      <c r="HP364" s="105"/>
      <c r="HQ364" s="105"/>
      <c r="HR364" s="105"/>
      <c r="HS364" s="105"/>
      <c r="HT364" s="105"/>
      <c r="HU364" s="105"/>
      <c r="HV364" s="105"/>
      <c r="HW364" s="105"/>
      <c r="HX364" s="105"/>
      <c r="HY364" s="105"/>
      <c r="HZ364" s="105"/>
      <c r="IA364" s="105"/>
      <c r="IB364" s="105"/>
      <c r="IC364" s="105"/>
      <c r="ID364" s="105"/>
      <c r="IE364" s="105"/>
      <c r="IF364" s="105"/>
      <c r="IG364" s="105"/>
      <c r="IH364" s="105"/>
      <c r="II364" s="105"/>
      <c r="IJ364" s="105"/>
      <c r="IK364" s="105"/>
      <c r="IL364" s="105"/>
      <c r="IM364" s="105"/>
      <c r="IN364" s="105"/>
      <c r="IO364" s="105"/>
      <c r="IP364" s="105"/>
      <c r="IQ364" s="105"/>
      <c r="IR364" s="105"/>
      <c r="IS364" s="105"/>
    </row>
    <row r="365" spans="1:253">
      <c r="A365" s="116"/>
      <c r="B365" s="105"/>
      <c r="C365" s="116"/>
      <c r="D365" s="116"/>
      <c r="E365" s="116"/>
      <c r="F365" s="116"/>
      <c r="G365" s="116"/>
      <c r="H365" s="116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  <c r="BF365" s="105"/>
      <c r="BG365" s="105"/>
      <c r="BH365" s="105"/>
      <c r="BI365" s="105"/>
      <c r="BJ365" s="105"/>
      <c r="BK365" s="105"/>
      <c r="BL365" s="105"/>
      <c r="BM365" s="105"/>
      <c r="BN365" s="105"/>
      <c r="BO365" s="105"/>
      <c r="BP365" s="105"/>
      <c r="BQ365" s="105"/>
      <c r="BR365" s="105"/>
      <c r="BS365" s="105"/>
      <c r="BT365" s="105"/>
      <c r="BU365" s="105"/>
      <c r="BV365" s="105"/>
      <c r="BW365" s="105"/>
      <c r="BX365" s="105"/>
      <c r="BY365" s="105"/>
      <c r="BZ365" s="105"/>
      <c r="CA365" s="105"/>
      <c r="CB365" s="105"/>
      <c r="CC365" s="105"/>
      <c r="CD365" s="105"/>
      <c r="CE365" s="105"/>
      <c r="CF365" s="105"/>
      <c r="CG365" s="105"/>
      <c r="CH365" s="105"/>
      <c r="CI365" s="105"/>
      <c r="CJ365" s="105"/>
      <c r="CK365" s="105"/>
      <c r="CL365" s="105"/>
      <c r="CM365" s="105"/>
      <c r="CN365" s="105"/>
      <c r="CO365" s="105"/>
      <c r="CP365" s="105"/>
      <c r="CQ365" s="105"/>
      <c r="CR365" s="105"/>
      <c r="CS365" s="105"/>
      <c r="CT365" s="105"/>
      <c r="CU365" s="105"/>
      <c r="CV365" s="105"/>
      <c r="CW365" s="105"/>
      <c r="CX365" s="105"/>
      <c r="CY365" s="105"/>
      <c r="CZ365" s="105"/>
      <c r="DA365" s="105"/>
      <c r="DB365" s="105"/>
      <c r="DC365" s="105"/>
      <c r="DD365" s="105"/>
      <c r="DE365" s="105"/>
      <c r="DF365" s="105"/>
      <c r="DG365" s="105"/>
      <c r="DH365" s="105"/>
      <c r="DI365" s="105"/>
      <c r="DJ365" s="105"/>
      <c r="DK365" s="105"/>
      <c r="DL365" s="105"/>
      <c r="DM365" s="105"/>
      <c r="DN365" s="105"/>
      <c r="DO365" s="105"/>
      <c r="DP365" s="105"/>
      <c r="DQ365" s="105"/>
      <c r="DR365" s="105"/>
      <c r="DS365" s="105"/>
      <c r="DT365" s="105"/>
      <c r="DU365" s="105"/>
      <c r="DV365" s="105"/>
      <c r="DW365" s="105"/>
      <c r="DX365" s="105"/>
      <c r="DY365" s="105"/>
      <c r="DZ365" s="105"/>
      <c r="EA365" s="105"/>
      <c r="EB365" s="105"/>
      <c r="EC365" s="105"/>
      <c r="ED365" s="105"/>
      <c r="EE365" s="105"/>
      <c r="EF365" s="105"/>
      <c r="EG365" s="105"/>
      <c r="EH365" s="105"/>
      <c r="EI365" s="105"/>
      <c r="EJ365" s="105"/>
      <c r="EK365" s="105"/>
      <c r="EL365" s="105"/>
      <c r="EM365" s="105"/>
      <c r="EN365" s="105"/>
      <c r="EO365" s="105"/>
      <c r="EP365" s="105"/>
      <c r="EQ365" s="105"/>
      <c r="ER365" s="105"/>
      <c r="ES365" s="105"/>
      <c r="ET365" s="105"/>
      <c r="EU365" s="105"/>
      <c r="EV365" s="105"/>
      <c r="EW365" s="105"/>
      <c r="EX365" s="105"/>
      <c r="EY365" s="105"/>
      <c r="EZ365" s="105"/>
      <c r="FA365" s="105"/>
      <c r="FB365" s="105"/>
      <c r="FC365" s="105"/>
      <c r="FD365" s="105"/>
      <c r="FE365" s="105"/>
      <c r="FF365" s="105"/>
      <c r="FG365" s="105"/>
      <c r="FH365" s="105"/>
      <c r="FI365" s="105"/>
      <c r="FJ365" s="105"/>
      <c r="FK365" s="105"/>
      <c r="FL365" s="105"/>
      <c r="FM365" s="105"/>
      <c r="FN365" s="105"/>
      <c r="FO365" s="105"/>
      <c r="FP365" s="105"/>
      <c r="FQ365" s="105"/>
      <c r="FR365" s="105"/>
      <c r="FS365" s="105"/>
      <c r="FT365" s="105"/>
      <c r="FU365" s="105"/>
      <c r="FV365" s="105"/>
      <c r="FW365" s="105"/>
      <c r="FX365" s="105"/>
      <c r="FY365" s="105"/>
      <c r="FZ365" s="105"/>
      <c r="GA365" s="105"/>
      <c r="GB365" s="105"/>
      <c r="GC365" s="105"/>
      <c r="GD365" s="105"/>
      <c r="GE365" s="105"/>
      <c r="GF365" s="105"/>
      <c r="GG365" s="105"/>
      <c r="GH365" s="105"/>
      <c r="GI365" s="105"/>
      <c r="GJ365" s="105"/>
      <c r="GK365" s="105"/>
      <c r="GL365" s="105"/>
      <c r="GM365" s="105"/>
      <c r="GN365" s="105"/>
      <c r="GO365" s="105"/>
      <c r="GP365" s="105"/>
      <c r="GQ365" s="105"/>
      <c r="GR365" s="105"/>
      <c r="GS365" s="105"/>
      <c r="GT365" s="105"/>
      <c r="GU365" s="105"/>
      <c r="GV365" s="105"/>
      <c r="GW365" s="105"/>
      <c r="GX365" s="105"/>
      <c r="GY365" s="105"/>
      <c r="GZ365" s="105"/>
      <c r="HA365" s="105"/>
      <c r="HB365" s="105"/>
      <c r="HC365" s="105"/>
      <c r="HD365" s="105"/>
      <c r="HE365" s="105"/>
      <c r="HF365" s="105"/>
      <c r="HG365" s="105"/>
      <c r="HH365" s="105"/>
      <c r="HI365" s="105"/>
      <c r="HJ365" s="105"/>
      <c r="HK365" s="105"/>
      <c r="HL365" s="105"/>
      <c r="HM365" s="105"/>
      <c r="HN365" s="105"/>
      <c r="HO365" s="105"/>
      <c r="HP365" s="105"/>
      <c r="HQ365" s="105"/>
      <c r="HR365" s="105"/>
      <c r="HS365" s="105"/>
      <c r="HT365" s="105"/>
      <c r="HU365" s="105"/>
      <c r="HV365" s="105"/>
      <c r="HW365" s="105"/>
      <c r="HX365" s="105"/>
      <c r="HY365" s="105"/>
      <c r="HZ365" s="105"/>
      <c r="IA365" s="105"/>
      <c r="IB365" s="105"/>
      <c r="IC365" s="105"/>
      <c r="ID365" s="105"/>
      <c r="IE365" s="105"/>
      <c r="IF365" s="105"/>
      <c r="IG365" s="105"/>
      <c r="IH365" s="105"/>
      <c r="II365" s="105"/>
      <c r="IJ365" s="105"/>
      <c r="IK365" s="105"/>
      <c r="IL365" s="105"/>
      <c r="IM365" s="105"/>
      <c r="IN365" s="105"/>
      <c r="IO365" s="105"/>
      <c r="IP365" s="105"/>
      <c r="IQ365" s="105"/>
      <c r="IR365" s="105"/>
      <c r="IS365" s="105"/>
    </row>
    <row r="366" spans="1:253">
      <c r="A366" s="116"/>
      <c r="B366" s="105"/>
      <c r="C366" s="116"/>
      <c r="D366" s="116"/>
      <c r="E366" s="116"/>
      <c r="F366" s="116"/>
      <c r="G366" s="116"/>
      <c r="H366" s="116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05"/>
      <c r="BG366" s="105"/>
      <c r="BH366" s="105"/>
      <c r="BI366" s="105"/>
      <c r="BJ366" s="105"/>
      <c r="BK366" s="105"/>
      <c r="BL366" s="105"/>
      <c r="BM366" s="105"/>
      <c r="BN366" s="105"/>
      <c r="BO366" s="105"/>
      <c r="BP366" s="105"/>
      <c r="BQ366" s="105"/>
      <c r="BR366" s="105"/>
      <c r="BS366" s="105"/>
      <c r="BT366" s="105"/>
      <c r="BU366" s="105"/>
      <c r="BV366" s="105"/>
      <c r="BW366" s="105"/>
      <c r="BX366" s="105"/>
      <c r="BY366" s="105"/>
      <c r="BZ366" s="105"/>
      <c r="CA366" s="105"/>
      <c r="CB366" s="105"/>
      <c r="CC366" s="105"/>
      <c r="CD366" s="105"/>
      <c r="CE366" s="105"/>
      <c r="CF366" s="105"/>
      <c r="CG366" s="105"/>
      <c r="CH366" s="105"/>
      <c r="CI366" s="105"/>
      <c r="CJ366" s="105"/>
      <c r="CK366" s="105"/>
      <c r="CL366" s="105"/>
      <c r="CM366" s="105"/>
      <c r="CN366" s="105"/>
      <c r="CO366" s="105"/>
      <c r="CP366" s="105"/>
      <c r="CQ366" s="105"/>
      <c r="CR366" s="105"/>
      <c r="CS366" s="105"/>
      <c r="CT366" s="105"/>
      <c r="CU366" s="105"/>
      <c r="CV366" s="105"/>
      <c r="CW366" s="105"/>
      <c r="CX366" s="105"/>
      <c r="CY366" s="105"/>
      <c r="CZ366" s="105"/>
      <c r="DA366" s="105"/>
      <c r="DB366" s="105"/>
      <c r="DC366" s="105"/>
      <c r="DD366" s="105"/>
      <c r="DE366" s="105"/>
      <c r="DF366" s="105"/>
      <c r="DG366" s="105"/>
      <c r="DH366" s="105"/>
      <c r="DI366" s="105"/>
      <c r="DJ366" s="105"/>
      <c r="DK366" s="105"/>
      <c r="DL366" s="105"/>
      <c r="DM366" s="105"/>
      <c r="DN366" s="105"/>
      <c r="DO366" s="105"/>
      <c r="DP366" s="105"/>
      <c r="DQ366" s="105"/>
      <c r="DR366" s="105"/>
      <c r="DS366" s="105"/>
      <c r="DT366" s="105"/>
      <c r="DU366" s="105"/>
      <c r="DV366" s="105"/>
      <c r="DW366" s="105"/>
      <c r="DX366" s="105"/>
      <c r="DY366" s="105"/>
      <c r="DZ366" s="105"/>
      <c r="EA366" s="105"/>
      <c r="EB366" s="105"/>
      <c r="EC366" s="105"/>
      <c r="ED366" s="105"/>
      <c r="EE366" s="105"/>
      <c r="EF366" s="105"/>
      <c r="EG366" s="105"/>
      <c r="EH366" s="105"/>
      <c r="EI366" s="105"/>
      <c r="EJ366" s="105"/>
      <c r="EK366" s="105"/>
      <c r="EL366" s="105"/>
      <c r="EM366" s="105"/>
      <c r="EN366" s="105"/>
      <c r="EO366" s="105"/>
      <c r="EP366" s="105"/>
      <c r="EQ366" s="105"/>
      <c r="ER366" s="105"/>
      <c r="ES366" s="105"/>
      <c r="ET366" s="105"/>
      <c r="EU366" s="105"/>
      <c r="EV366" s="105"/>
      <c r="EW366" s="105"/>
      <c r="EX366" s="105"/>
      <c r="EY366" s="105"/>
      <c r="EZ366" s="105"/>
      <c r="FA366" s="105"/>
      <c r="FB366" s="105"/>
      <c r="FC366" s="105"/>
      <c r="FD366" s="105"/>
      <c r="FE366" s="105"/>
      <c r="FF366" s="105"/>
      <c r="FG366" s="105"/>
      <c r="FH366" s="105"/>
      <c r="FI366" s="105"/>
      <c r="FJ366" s="105"/>
      <c r="FK366" s="105"/>
      <c r="FL366" s="105"/>
      <c r="FM366" s="105"/>
      <c r="FN366" s="105"/>
      <c r="FO366" s="105"/>
      <c r="FP366" s="105"/>
      <c r="FQ366" s="105"/>
      <c r="FR366" s="105"/>
      <c r="FS366" s="105"/>
      <c r="FT366" s="105"/>
      <c r="FU366" s="105"/>
      <c r="FV366" s="105"/>
      <c r="FW366" s="105"/>
      <c r="FX366" s="105"/>
      <c r="FY366" s="105"/>
      <c r="FZ366" s="105"/>
      <c r="GA366" s="105"/>
      <c r="GB366" s="105"/>
      <c r="GC366" s="105"/>
      <c r="GD366" s="105"/>
      <c r="GE366" s="105"/>
      <c r="GF366" s="105"/>
      <c r="GG366" s="105"/>
      <c r="GH366" s="105"/>
      <c r="GI366" s="105"/>
      <c r="GJ366" s="105"/>
      <c r="GK366" s="105"/>
      <c r="GL366" s="105"/>
      <c r="GM366" s="105"/>
      <c r="GN366" s="105"/>
      <c r="GO366" s="105"/>
      <c r="GP366" s="105"/>
      <c r="GQ366" s="105"/>
      <c r="GR366" s="105"/>
      <c r="GS366" s="105"/>
      <c r="GT366" s="105"/>
      <c r="GU366" s="105"/>
      <c r="GV366" s="105"/>
      <c r="GW366" s="105"/>
      <c r="GX366" s="105"/>
      <c r="GY366" s="105"/>
      <c r="GZ366" s="105"/>
      <c r="HA366" s="105"/>
      <c r="HB366" s="105"/>
      <c r="HC366" s="105"/>
      <c r="HD366" s="105"/>
      <c r="HE366" s="105"/>
      <c r="HF366" s="105"/>
      <c r="HG366" s="105"/>
      <c r="HH366" s="105"/>
      <c r="HI366" s="105"/>
      <c r="HJ366" s="105"/>
      <c r="HK366" s="105"/>
      <c r="HL366" s="105"/>
      <c r="HM366" s="105"/>
      <c r="HN366" s="105"/>
      <c r="HO366" s="105"/>
      <c r="HP366" s="105"/>
      <c r="HQ366" s="105"/>
      <c r="HR366" s="105"/>
      <c r="HS366" s="105"/>
      <c r="HT366" s="105"/>
      <c r="HU366" s="105"/>
      <c r="HV366" s="105"/>
      <c r="HW366" s="105"/>
      <c r="HX366" s="105"/>
      <c r="HY366" s="105"/>
      <c r="HZ366" s="105"/>
      <c r="IA366" s="105"/>
      <c r="IB366" s="105"/>
      <c r="IC366" s="105"/>
      <c r="ID366" s="105"/>
      <c r="IE366" s="105"/>
      <c r="IF366" s="105"/>
      <c r="IG366" s="105"/>
      <c r="IH366" s="105"/>
      <c r="II366" s="105"/>
      <c r="IJ366" s="105"/>
      <c r="IK366" s="105"/>
      <c r="IL366" s="105"/>
      <c r="IM366" s="105"/>
      <c r="IN366" s="105"/>
      <c r="IO366" s="105"/>
      <c r="IP366" s="105"/>
      <c r="IQ366" s="105"/>
      <c r="IR366" s="105"/>
      <c r="IS366" s="105"/>
    </row>
    <row r="367" spans="1:253">
      <c r="A367" s="116"/>
      <c r="B367" s="105"/>
      <c r="C367" s="116"/>
      <c r="D367" s="116"/>
      <c r="E367" s="116"/>
      <c r="F367" s="116"/>
      <c r="G367" s="116"/>
      <c r="H367" s="116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  <c r="BF367" s="105"/>
      <c r="BG367" s="105"/>
      <c r="BH367" s="105"/>
      <c r="BI367" s="105"/>
      <c r="BJ367" s="105"/>
      <c r="BK367" s="105"/>
      <c r="BL367" s="105"/>
      <c r="BM367" s="105"/>
      <c r="BN367" s="105"/>
      <c r="BO367" s="105"/>
      <c r="BP367" s="105"/>
      <c r="BQ367" s="105"/>
      <c r="BR367" s="105"/>
      <c r="BS367" s="105"/>
      <c r="BT367" s="105"/>
      <c r="BU367" s="105"/>
      <c r="BV367" s="105"/>
      <c r="BW367" s="105"/>
      <c r="BX367" s="105"/>
      <c r="BY367" s="105"/>
      <c r="BZ367" s="105"/>
      <c r="CA367" s="105"/>
      <c r="CB367" s="105"/>
      <c r="CC367" s="105"/>
      <c r="CD367" s="105"/>
      <c r="CE367" s="105"/>
      <c r="CF367" s="105"/>
      <c r="CG367" s="105"/>
      <c r="CH367" s="105"/>
      <c r="CI367" s="105"/>
      <c r="CJ367" s="105"/>
      <c r="CK367" s="105"/>
      <c r="CL367" s="105"/>
      <c r="CM367" s="105"/>
      <c r="CN367" s="105"/>
      <c r="CO367" s="105"/>
      <c r="CP367" s="105"/>
      <c r="CQ367" s="105"/>
      <c r="CR367" s="105"/>
      <c r="CS367" s="105"/>
      <c r="CT367" s="105"/>
      <c r="CU367" s="105"/>
      <c r="CV367" s="105"/>
      <c r="CW367" s="105"/>
      <c r="CX367" s="105"/>
      <c r="CY367" s="105"/>
      <c r="CZ367" s="105"/>
      <c r="DA367" s="105"/>
      <c r="DB367" s="105"/>
      <c r="DC367" s="105"/>
      <c r="DD367" s="105"/>
      <c r="DE367" s="105"/>
      <c r="DF367" s="105"/>
      <c r="DG367" s="105"/>
      <c r="DH367" s="105"/>
      <c r="DI367" s="105"/>
      <c r="DJ367" s="105"/>
      <c r="DK367" s="105"/>
      <c r="DL367" s="105"/>
      <c r="DM367" s="105"/>
      <c r="DN367" s="105"/>
      <c r="DO367" s="105"/>
      <c r="DP367" s="105"/>
      <c r="DQ367" s="105"/>
      <c r="DR367" s="105"/>
      <c r="DS367" s="105"/>
      <c r="DT367" s="105"/>
      <c r="DU367" s="105"/>
      <c r="DV367" s="105"/>
      <c r="DW367" s="105"/>
      <c r="DX367" s="105"/>
      <c r="DY367" s="105"/>
      <c r="DZ367" s="105"/>
      <c r="EA367" s="105"/>
      <c r="EB367" s="105"/>
      <c r="EC367" s="105"/>
      <c r="ED367" s="105"/>
      <c r="EE367" s="105"/>
      <c r="EF367" s="105"/>
      <c r="EG367" s="105"/>
      <c r="EH367" s="105"/>
      <c r="EI367" s="105"/>
      <c r="EJ367" s="105"/>
      <c r="EK367" s="105"/>
      <c r="EL367" s="105"/>
      <c r="EM367" s="105"/>
      <c r="EN367" s="105"/>
      <c r="EO367" s="105"/>
      <c r="EP367" s="105"/>
      <c r="EQ367" s="105"/>
      <c r="ER367" s="105"/>
      <c r="ES367" s="105"/>
      <c r="ET367" s="105"/>
      <c r="EU367" s="105"/>
      <c r="EV367" s="105"/>
      <c r="EW367" s="105"/>
      <c r="EX367" s="105"/>
      <c r="EY367" s="105"/>
      <c r="EZ367" s="105"/>
      <c r="FA367" s="105"/>
      <c r="FB367" s="105"/>
      <c r="FC367" s="105"/>
      <c r="FD367" s="105"/>
      <c r="FE367" s="105"/>
      <c r="FF367" s="105"/>
      <c r="FG367" s="105"/>
      <c r="FH367" s="105"/>
      <c r="FI367" s="105"/>
      <c r="FJ367" s="105"/>
      <c r="FK367" s="105"/>
      <c r="FL367" s="105"/>
      <c r="FM367" s="105"/>
      <c r="FN367" s="105"/>
      <c r="FO367" s="105"/>
      <c r="FP367" s="105"/>
      <c r="FQ367" s="105"/>
      <c r="FR367" s="105"/>
      <c r="FS367" s="105"/>
      <c r="FT367" s="105"/>
      <c r="FU367" s="105"/>
      <c r="FV367" s="105"/>
      <c r="FW367" s="105"/>
      <c r="FX367" s="105"/>
      <c r="FY367" s="105"/>
      <c r="FZ367" s="105"/>
      <c r="GA367" s="105"/>
      <c r="GB367" s="105"/>
      <c r="GC367" s="105"/>
      <c r="GD367" s="105"/>
      <c r="GE367" s="105"/>
      <c r="GF367" s="105"/>
      <c r="GG367" s="105"/>
      <c r="GH367" s="105"/>
      <c r="GI367" s="105"/>
      <c r="GJ367" s="105"/>
      <c r="GK367" s="105"/>
      <c r="GL367" s="105"/>
      <c r="GM367" s="105"/>
      <c r="GN367" s="105"/>
      <c r="GO367" s="105"/>
      <c r="GP367" s="105"/>
      <c r="GQ367" s="105"/>
      <c r="GR367" s="105"/>
      <c r="GS367" s="105"/>
      <c r="GT367" s="105"/>
      <c r="GU367" s="105"/>
      <c r="GV367" s="105"/>
      <c r="GW367" s="105"/>
      <c r="GX367" s="105"/>
      <c r="GY367" s="105"/>
      <c r="GZ367" s="105"/>
      <c r="HA367" s="105"/>
      <c r="HB367" s="105"/>
      <c r="HC367" s="105"/>
      <c r="HD367" s="105"/>
      <c r="HE367" s="105"/>
      <c r="HF367" s="105"/>
      <c r="HG367" s="105"/>
      <c r="HH367" s="105"/>
      <c r="HI367" s="105"/>
      <c r="HJ367" s="105"/>
      <c r="HK367" s="105"/>
      <c r="HL367" s="105"/>
      <c r="HM367" s="105"/>
      <c r="HN367" s="105"/>
      <c r="HO367" s="105"/>
      <c r="HP367" s="105"/>
      <c r="HQ367" s="105"/>
      <c r="HR367" s="105"/>
      <c r="HS367" s="105"/>
      <c r="HT367" s="105"/>
      <c r="HU367" s="105"/>
      <c r="HV367" s="105"/>
      <c r="HW367" s="105"/>
      <c r="HX367" s="105"/>
      <c r="HY367" s="105"/>
      <c r="HZ367" s="105"/>
      <c r="IA367" s="105"/>
      <c r="IB367" s="105"/>
      <c r="IC367" s="105"/>
      <c r="ID367" s="105"/>
      <c r="IE367" s="105"/>
      <c r="IF367" s="105"/>
      <c r="IG367" s="105"/>
      <c r="IH367" s="105"/>
      <c r="II367" s="105"/>
      <c r="IJ367" s="105"/>
      <c r="IK367" s="105"/>
      <c r="IL367" s="105"/>
      <c r="IM367" s="105"/>
      <c r="IN367" s="105"/>
      <c r="IO367" s="105"/>
      <c r="IP367" s="105"/>
      <c r="IQ367" s="105"/>
      <c r="IR367" s="105"/>
      <c r="IS367" s="105"/>
    </row>
    <row r="368" spans="1:253">
      <c r="A368" s="116"/>
      <c r="B368" s="105"/>
      <c r="C368" s="116"/>
      <c r="D368" s="116"/>
      <c r="E368" s="116"/>
      <c r="F368" s="116"/>
      <c r="G368" s="116"/>
      <c r="H368" s="116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  <c r="BF368" s="105"/>
      <c r="BG368" s="105"/>
      <c r="BH368" s="105"/>
      <c r="BI368" s="105"/>
      <c r="BJ368" s="105"/>
      <c r="BK368" s="105"/>
      <c r="BL368" s="105"/>
      <c r="BM368" s="105"/>
      <c r="BN368" s="105"/>
      <c r="BO368" s="105"/>
      <c r="BP368" s="105"/>
      <c r="BQ368" s="105"/>
      <c r="BR368" s="105"/>
      <c r="BS368" s="105"/>
      <c r="BT368" s="105"/>
      <c r="BU368" s="105"/>
      <c r="BV368" s="105"/>
      <c r="BW368" s="105"/>
      <c r="BX368" s="105"/>
      <c r="BY368" s="105"/>
      <c r="BZ368" s="105"/>
      <c r="CA368" s="105"/>
      <c r="CB368" s="105"/>
      <c r="CC368" s="105"/>
      <c r="CD368" s="105"/>
      <c r="CE368" s="105"/>
      <c r="CF368" s="105"/>
      <c r="CG368" s="105"/>
      <c r="CH368" s="105"/>
      <c r="CI368" s="105"/>
      <c r="CJ368" s="105"/>
      <c r="CK368" s="105"/>
      <c r="CL368" s="105"/>
      <c r="CM368" s="105"/>
      <c r="CN368" s="105"/>
      <c r="CO368" s="105"/>
      <c r="CP368" s="105"/>
      <c r="CQ368" s="105"/>
      <c r="CR368" s="105"/>
      <c r="CS368" s="105"/>
      <c r="CT368" s="105"/>
      <c r="CU368" s="105"/>
      <c r="CV368" s="105"/>
      <c r="CW368" s="105"/>
      <c r="CX368" s="105"/>
      <c r="CY368" s="105"/>
      <c r="CZ368" s="105"/>
      <c r="DA368" s="105"/>
      <c r="DB368" s="105"/>
      <c r="DC368" s="105"/>
      <c r="DD368" s="105"/>
      <c r="DE368" s="105"/>
      <c r="DF368" s="105"/>
      <c r="DG368" s="105"/>
      <c r="DH368" s="105"/>
      <c r="DI368" s="105"/>
      <c r="DJ368" s="105"/>
      <c r="DK368" s="105"/>
      <c r="DL368" s="105"/>
      <c r="DM368" s="105"/>
      <c r="DN368" s="105"/>
      <c r="DO368" s="105"/>
      <c r="DP368" s="105"/>
      <c r="DQ368" s="105"/>
      <c r="DR368" s="105"/>
      <c r="DS368" s="105"/>
      <c r="DT368" s="105"/>
      <c r="DU368" s="105"/>
      <c r="DV368" s="105"/>
      <c r="DW368" s="105"/>
      <c r="DX368" s="105"/>
      <c r="DY368" s="105"/>
      <c r="DZ368" s="105"/>
      <c r="EA368" s="105"/>
      <c r="EB368" s="105"/>
      <c r="EC368" s="105"/>
      <c r="ED368" s="105"/>
      <c r="EE368" s="105"/>
      <c r="EF368" s="105"/>
      <c r="EG368" s="105"/>
      <c r="EH368" s="105"/>
      <c r="EI368" s="105"/>
      <c r="EJ368" s="105"/>
      <c r="EK368" s="105"/>
      <c r="EL368" s="105"/>
      <c r="EM368" s="105"/>
      <c r="EN368" s="105"/>
      <c r="EO368" s="105"/>
      <c r="EP368" s="105"/>
      <c r="EQ368" s="105"/>
      <c r="ER368" s="105"/>
      <c r="ES368" s="105"/>
      <c r="ET368" s="105"/>
      <c r="EU368" s="105"/>
      <c r="EV368" s="105"/>
      <c r="EW368" s="105"/>
      <c r="EX368" s="105"/>
      <c r="EY368" s="105"/>
      <c r="EZ368" s="105"/>
      <c r="FA368" s="105"/>
      <c r="FB368" s="105"/>
      <c r="FC368" s="105"/>
      <c r="FD368" s="105"/>
      <c r="FE368" s="105"/>
      <c r="FF368" s="105"/>
      <c r="FG368" s="105"/>
      <c r="FH368" s="105"/>
      <c r="FI368" s="105"/>
      <c r="FJ368" s="105"/>
      <c r="FK368" s="105"/>
      <c r="FL368" s="105"/>
      <c r="FM368" s="105"/>
      <c r="FN368" s="105"/>
      <c r="FO368" s="105"/>
      <c r="FP368" s="105"/>
      <c r="FQ368" s="105"/>
      <c r="FR368" s="105"/>
      <c r="FS368" s="105"/>
      <c r="FT368" s="105"/>
      <c r="FU368" s="105"/>
      <c r="FV368" s="105"/>
      <c r="FW368" s="105"/>
      <c r="FX368" s="105"/>
      <c r="FY368" s="105"/>
      <c r="FZ368" s="105"/>
      <c r="GA368" s="105"/>
      <c r="GB368" s="105"/>
      <c r="GC368" s="105"/>
      <c r="GD368" s="105"/>
      <c r="GE368" s="105"/>
      <c r="GF368" s="105"/>
      <c r="GG368" s="105"/>
      <c r="GH368" s="105"/>
      <c r="GI368" s="105"/>
      <c r="GJ368" s="105"/>
      <c r="GK368" s="105"/>
      <c r="GL368" s="105"/>
      <c r="GM368" s="105"/>
      <c r="GN368" s="105"/>
      <c r="GO368" s="105"/>
      <c r="GP368" s="105"/>
      <c r="GQ368" s="105"/>
      <c r="GR368" s="105"/>
      <c r="GS368" s="105"/>
      <c r="GT368" s="105"/>
      <c r="GU368" s="105"/>
      <c r="GV368" s="105"/>
      <c r="GW368" s="105"/>
      <c r="GX368" s="105"/>
      <c r="GY368" s="105"/>
      <c r="GZ368" s="105"/>
      <c r="HA368" s="105"/>
      <c r="HB368" s="105"/>
      <c r="HC368" s="105"/>
      <c r="HD368" s="105"/>
      <c r="HE368" s="105"/>
      <c r="HF368" s="105"/>
      <c r="HG368" s="105"/>
      <c r="HH368" s="105"/>
      <c r="HI368" s="105"/>
      <c r="HJ368" s="105"/>
      <c r="HK368" s="105"/>
      <c r="HL368" s="105"/>
      <c r="HM368" s="105"/>
      <c r="HN368" s="105"/>
      <c r="HO368" s="105"/>
      <c r="HP368" s="105"/>
      <c r="HQ368" s="105"/>
      <c r="HR368" s="105"/>
      <c r="HS368" s="105"/>
      <c r="HT368" s="105"/>
      <c r="HU368" s="105"/>
      <c r="HV368" s="105"/>
      <c r="HW368" s="105"/>
      <c r="HX368" s="105"/>
      <c r="HY368" s="105"/>
      <c r="HZ368" s="105"/>
      <c r="IA368" s="105"/>
      <c r="IB368" s="105"/>
      <c r="IC368" s="105"/>
      <c r="ID368" s="105"/>
      <c r="IE368" s="105"/>
      <c r="IF368" s="105"/>
      <c r="IG368" s="105"/>
      <c r="IH368" s="105"/>
      <c r="II368" s="105"/>
      <c r="IJ368" s="105"/>
      <c r="IK368" s="105"/>
      <c r="IL368" s="105"/>
      <c r="IM368" s="105"/>
      <c r="IN368" s="105"/>
      <c r="IO368" s="105"/>
      <c r="IP368" s="105"/>
      <c r="IQ368" s="105"/>
      <c r="IR368" s="105"/>
      <c r="IS368" s="105"/>
    </row>
    <row r="369" spans="1:253">
      <c r="A369" s="116"/>
      <c r="B369" s="105"/>
      <c r="C369" s="116"/>
      <c r="D369" s="116"/>
      <c r="E369" s="116"/>
      <c r="F369" s="116"/>
      <c r="G369" s="116"/>
      <c r="H369" s="116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  <c r="BF369" s="105"/>
      <c r="BG369" s="105"/>
      <c r="BH369" s="105"/>
      <c r="BI369" s="105"/>
      <c r="BJ369" s="105"/>
      <c r="BK369" s="105"/>
      <c r="BL369" s="105"/>
      <c r="BM369" s="105"/>
      <c r="BN369" s="105"/>
      <c r="BO369" s="105"/>
      <c r="BP369" s="105"/>
      <c r="BQ369" s="105"/>
      <c r="BR369" s="105"/>
      <c r="BS369" s="105"/>
      <c r="BT369" s="105"/>
      <c r="BU369" s="105"/>
      <c r="BV369" s="105"/>
      <c r="BW369" s="105"/>
      <c r="BX369" s="105"/>
      <c r="BY369" s="105"/>
      <c r="BZ369" s="105"/>
      <c r="CA369" s="105"/>
      <c r="CB369" s="105"/>
      <c r="CC369" s="105"/>
      <c r="CD369" s="105"/>
      <c r="CE369" s="105"/>
      <c r="CF369" s="105"/>
      <c r="CG369" s="105"/>
      <c r="CH369" s="105"/>
      <c r="CI369" s="105"/>
      <c r="CJ369" s="105"/>
      <c r="CK369" s="105"/>
      <c r="CL369" s="105"/>
      <c r="CM369" s="105"/>
      <c r="CN369" s="105"/>
      <c r="CO369" s="105"/>
      <c r="CP369" s="105"/>
      <c r="CQ369" s="105"/>
      <c r="CR369" s="105"/>
      <c r="CS369" s="105"/>
      <c r="CT369" s="105"/>
      <c r="CU369" s="105"/>
      <c r="CV369" s="105"/>
      <c r="CW369" s="105"/>
      <c r="CX369" s="105"/>
      <c r="CY369" s="105"/>
      <c r="CZ369" s="105"/>
      <c r="DA369" s="105"/>
      <c r="DB369" s="105"/>
      <c r="DC369" s="105"/>
      <c r="DD369" s="105"/>
      <c r="DE369" s="105"/>
      <c r="DF369" s="105"/>
      <c r="DG369" s="105"/>
      <c r="DH369" s="105"/>
      <c r="DI369" s="105"/>
      <c r="DJ369" s="105"/>
      <c r="DK369" s="105"/>
      <c r="DL369" s="105"/>
      <c r="DM369" s="105"/>
      <c r="DN369" s="105"/>
      <c r="DO369" s="105"/>
      <c r="DP369" s="105"/>
      <c r="DQ369" s="105"/>
      <c r="DR369" s="105"/>
      <c r="DS369" s="105"/>
      <c r="DT369" s="105"/>
      <c r="DU369" s="105"/>
      <c r="DV369" s="105"/>
      <c r="DW369" s="105"/>
      <c r="DX369" s="105"/>
      <c r="DY369" s="105"/>
      <c r="DZ369" s="105"/>
      <c r="EA369" s="105"/>
      <c r="EB369" s="105"/>
      <c r="EC369" s="105"/>
      <c r="ED369" s="105"/>
      <c r="EE369" s="105"/>
      <c r="EF369" s="105"/>
      <c r="EG369" s="105"/>
      <c r="EH369" s="105"/>
      <c r="EI369" s="105"/>
      <c r="EJ369" s="105"/>
      <c r="EK369" s="105"/>
      <c r="EL369" s="105"/>
      <c r="EM369" s="105"/>
      <c r="EN369" s="105"/>
      <c r="EO369" s="105"/>
      <c r="EP369" s="105"/>
      <c r="EQ369" s="105"/>
      <c r="ER369" s="105"/>
      <c r="ES369" s="105"/>
      <c r="ET369" s="105"/>
      <c r="EU369" s="105"/>
      <c r="EV369" s="105"/>
      <c r="EW369" s="105"/>
      <c r="EX369" s="105"/>
      <c r="EY369" s="105"/>
      <c r="EZ369" s="105"/>
      <c r="FA369" s="105"/>
      <c r="FB369" s="105"/>
      <c r="FC369" s="105"/>
      <c r="FD369" s="105"/>
      <c r="FE369" s="105"/>
      <c r="FF369" s="105"/>
      <c r="FG369" s="105"/>
      <c r="FH369" s="105"/>
      <c r="FI369" s="105"/>
      <c r="FJ369" s="105"/>
      <c r="FK369" s="105"/>
      <c r="FL369" s="105"/>
      <c r="FM369" s="105"/>
      <c r="FN369" s="105"/>
      <c r="FO369" s="105"/>
      <c r="FP369" s="105"/>
      <c r="FQ369" s="105"/>
      <c r="FR369" s="105"/>
      <c r="FS369" s="105"/>
      <c r="FT369" s="105"/>
      <c r="FU369" s="105"/>
      <c r="FV369" s="105"/>
      <c r="FW369" s="105"/>
      <c r="FX369" s="105"/>
      <c r="FY369" s="105"/>
      <c r="FZ369" s="105"/>
      <c r="GA369" s="105"/>
      <c r="GB369" s="105"/>
      <c r="GC369" s="105"/>
      <c r="GD369" s="105"/>
      <c r="GE369" s="105"/>
      <c r="GF369" s="105"/>
      <c r="GG369" s="105"/>
      <c r="GH369" s="105"/>
      <c r="GI369" s="105"/>
      <c r="GJ369" s="105"/>
      <c r="GK369" s="105"/>
      <c r="GL369" s="105"/>
      <c r="GM369" s="105"/>
      <c r="GN369" s="105"/>
      <c r="GO369" s="105"/>
      <c r="GP369" s="105"/>
      <c r="GQ369" s="105"/>
      <c r="GR369" s="105"/>
      <c r="GS369" s="105"/>
      <c r="GT369" s="105"/>
      <c r="GU369" s="105"/>
      <c r="GV369" s="105"/>
      <c r="GW369" s="105"/>
      <c r="GX369" s="105"/>
      <c r="GY369" s="105"/>
      <c r="GZ369" s="105"/>
      <c r="HA369" s="105"/>
      <c r="HB369" s="105"/>
      <c r="HC369" s="105"/>
      <c r="HD369" s="105"/>
      <c r="HE369" s="105"/>
      <c r="HF369" s="105"/>
      <c r="HG369" s="105"/>
      <c r="HH369" s="105"/>
      <c r="HI369" s="105"/>
      <c r="HJ369" s="105"/>
      <c r="HK369" s="105"/>
      <c r="HL369" s="105"/>
      <c r="HM369" s="105"/>
      <c r="HN369" s="105"/>
      <c r="HO369" s="105"/>
      <c r="HP369" s="105"/>
      <c r="HQ369" s="105"/>
      <c r="HR369" s="105"/>
      <c r="HS369" s="105"/>
      <c r="HT369" s="105"/>
      <c r="HU369" s="105"/>
      <c r="HV369" s="105"/>
      <c r="HW369" s="105"/>
      <c r="HX369" s="105"/>
      <c r="HY369" s="105"/>
      <c r="HZ369" s="105"/>
      <c r="IA369" s="105"/>
      <c r="IB369" s="105"/>
      <c r="IC369" s="105"/>
      <c r="ID369" s="105"/>
      <c r="IE369" s="105"/>
      <c r="IF369" s="105"/>
      <c r="IG369" s="105"/>
      <c r="IH369" s="105"/>
      <c r="II369" s="105"/>
      <c r="IJ369" s="105"/>
      <c r="IK369" s="105"/>
      <c r="IL369" s="105"/>
      <c r="IM369" s="105"/>
      <c r="IN369" s="105"/>
      <c r="IO369" s="105"/>
      <c r="IP369" s="105"/>
      <c r="IQ369" s="105"/>
      <c r="IR369" s="105"/>
      <c r="IS369" s="105"/>
    </row>
    <row r="370" spans="1:253">
      <c r="A370" s="116"/>
      <c r="B370" s="105"/>
      <c r="C370" s="116"/>
      <c r="D370" s="116"/>
      <c r="E370" s="116"/>
      <c r="F370" s="116"/>
      <c r="G370" s="116"/>
      <c r="H370" s="116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  <c r="BF370" s="105"/>
      <c r="BG370" s="105"/>
      <c r="BH370" s="105"/>
      <c r="BI370" s="105"/>
      <c r="BJ370" s="105"/>
      <c r="BK370" s="105"/>
      <c r="BL370" s="105"/>
      <c r="BM370" s="105"/>
      <c r="BN370" s="105"/>
      <c r="BO370" s="105"/>
      <c r="BP370" s="105"/>
      <c r="BQ370" s="105"/>
      <c r="BR370" s="105"/>
      <c r="BS370" s="105"/>
      <c r="BT370" s="105"/>
      <c r="BU370" s="105"/>
      <c r="BV370" s="105"/>
      <c r="BW370" s="105"/>
      <c r="BX370" s="105"/>
      <c r="BY370" s="105"/>
      <c r="BZ370" s="105"/>
      <c r="CA370" s="105"/>
      <c r="CB370" s="105"/>
      <c r="CC370" s="105"/>
      <c r="CD370" s="105"/>
      <c r="CE370" s="105"/>
      <c r="CF370" s="105"/>
      <c r="CG370" s="105"/>
      <c r="CH370" s="105"/>
      <c r="CI370" s="105"/>
      <c r="CJ370" s="105"/>
      <c r="CK370" s="105"/>
      <c r="CL370" s="105"/>
      <c r="CM370" s="105"/>
      <c r="CN370" s="105"/>
      <c r="CO370" s="105"/>
      <c r="CP370" s="105"/>
      <c r="CQ370" s="105"/>
      <c r="CR370" s="105"/>
      <c r="CS370" s="105"/>
      <c r="CT370" s="105"/>
      <c r="CU370" s="105"/>
      <c r="CV370" s="105"/>
      <c r="CW370" s="105"/>
      <c r="CX370" s="105"/>
      <c r="CY370" s="105"/>
      <c r="CZ370" s="105"/>
      <c r="DA370" s="105"/>
      <c r="DB370" s="105"/>
      <c r="DC370" s="105"/>
      <c r="DD370" s="105"/>
      <c r="DE370" s="105"/>
      <c r="DF370" s="105"/>
      <c r="DG370" s="105"/>
      <c r="DH370" s="105"/>
      <c r="DI370" s="105"/>
      <c r="DJ370" s="105"/>
      <c r="DK370" s="105"/>
      <c r="DL370" s="105"/>
      <c r="DM370" s="105"/>
      <c r="DN370" s="105"/>
      <c r="DO370" s="105"/>
      <c r="DP370" s="105"/>
      <c r="DQ370" s="105"/>
      <c r="DR370" s="105"/>
      <c r="DS370" s="105"/>
      <c r="DT370" s="105"/>
      <c r="DU370" s="105"/>
      <c r="DV370" s="105"/>
      <c r="DW370" s="105"/>
      <c r="DX370" s="105"/>
      <c r="DY370" s="105"/>
      <c r="DZ370" s="105"/>
      <c r="EA370" s="105"/>
      <c r="EB370" s="105"/>
      <c r="EC370" s="105"/>
      <c r="ED370" s="105"/>
      <c r="EE370" s="105"/>
      <c r="EF370" s="105"/>
      <c r="EG370" s="105"/>
      <c r="EH370" s="105"/>
      <c r="EI370" s="105"/>
      <c r="EJ370" s="105"/>
      <c r="EK370" s="105"/>
      <c r="EL370" s="105"/>
      <c r="EM370" s="105"/>
      <c r="EN370" s="105"/>
      <c r="EO370" s="105"/>
      <c r="EP370" s="105"/>
      <c r="EQ370" s="105"/>
      <c r="ER370" s="105"/>
      <c r="ES370" s="105"/>
      <c r="ET370" s="105"/>
      <c r="EU370" s="105"/>
      <c r="EV370" s="105"/>
      <c r="EW370" s="105"/>
      <c r="EX370" s="105"/>
      <c r="EY370" s="105"/>
      <c r="EZ370" s="105"/>
      <c r="FA370" s="105"/>
      <c r="FB370" s="105"/>
      <c r="FC370" s="105"/>
      <c r="FD370" s="105"/>
      <c r="FE370" s="105"/>
      <c r="FF370" s="105"/>
      <c r="FG370" s="105"/>
      <c r="FH370" s="105"/>
      <c r="FI370" s="105"/>
      <c r="FJ370" s="105"/>
      <c r="FK370" s="105"/>
      <c r="FL370" s="105"/>
      <c r="FM370" s="105"/>
      <c r="FN370" s="105"/>
      <c r="FO370" s="105"/>
      <c r="FP370" s="105"/>
      <c r="FQ370" s="105"/>
      <c r="FR370" s="105"/>
      <c r="FS370" s="105"/>
      <c r="FT370" s="105"/>
      <c r="FU370" s="105"/>
      <c r="FV370" s="105"/>
      <c r="FW370" s="105"/>
      <c r="FX370" s="105"/>
      <c r="FY370" s="105"/>
      <c r="FZ370" s="105"/>
      <c r="GA370" s="105"/>
      <c r="GB370" s="105"/>
      <c r="GC370" s="105"/>
      <c r="GD370" s="105"/>
      <c r="GE370" s="105"/>
      <c r="GF370" s="105"/>
      <c r="GG370" s="105"/>
      <c r="GH370" s="105"/>
      <c r="GI370" s="105"/>
      <c r="GJ370" s="105"/>
      <c r="GK370" s="105"/>
      <c r="GL370" s="105"/>
      <c r="GM370" s="105"/>
      <c r="GN370" s="105"/>
      <c r="GO370" s="105"/>
      <c r="GP370" s="105"/>
      <c r="GQ370" s="105"/>
      <c r="GR370" s="105"/>
      <c r="GS370" s="105"/>
      <c r="GT370" s="105"/>
      <c r="GU370" s="105"/>
      <c r="GV370" s="105"/>
      <c r="GW370" s="105"/>
      <c r="GX370" s="105"/>
      <c r="GY370" s="105"/>
      <c r="GZ370" s="105"/>
      <c r="HA370" s="105"/>
      <c r="HB370" s="105"/>
      <c r="HC370" s="105"/>
      <c r="HD370" s="105"/>
      <c r="HE370" s="105"/>
      <c r="HF370" s="105"/>
      <c r="HG370" s="105"/>
      <c r="HH370" s="105"/>
      <c r="HI370" s="105"/>
      <c r="HJ370" s="105"/>
      <c r="HK370" s="105"/>
      <c r="HL370" s="105"/>
      <c r="HM370" s="105"/>
      <c r="HN370" s="105"/>
      <c r="HO370" s="105"/>
      <c r="HP370" s="105"/>
      <c r="HQ370" s="105"/>
      <c r="HR370" s="105"/>
      <c r="HS370" s="105"/>
      <c r="HT370" s="105"/>
      <c r="HU370" s="105"/>
      <c r="HV370" s="105"/>
      <c r="HW370" s="105"/>
      <c r="HX370" s="105"/>
      <c r="HY370" s="105"/>
      <c r="HZ370" s="105"/>
      <c r="IA370" s="105"/>
      <c r="IB370" s="105"/>
      <c r="IC370" s="105"/>
      <c r="ID370" s="105"/>
      <c r="IE370" s="105"/>
      <c r="IF370" s="105"/>
      <c r="IG370" s="105"/>
      <c r="IH370" s="105"/>
      <c r="II370" s="105"/>
      <c r="IJ370" s="105"/>
      <c r="IK370" s="105"/>
      <c r="IL370" s="105"/>
      <c r="IM370" s="105"/>
      <c r="IN370" s="105"/>
      <c r="IO370" s="105"/>
      <c r="IP370" s="105"/>
      <c r="IQ370" s="105"/>
      <c r="IR370" s="105"/>
      <c r="IS370" s="105"/>
    </row>
    <row r="371" spans="1:253">
      <c r="A371" s="116"/>
      <c r="B371" s="105"/>
      <c r="C371" s="116"/>
      <c r="D371" s="116"/>
      <c r="E371" s="116"/>
      <c r="F371" s="116"/>
      <c r="G371" s="116"/>
      <c r="H371" s="116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  <c r="BF371" s="105"/>
      <c r="BG371" s="105"/>
      <c r="BH371" s="105"/>
      <c r="BI371" s="105"/>
      <c r="BJ371" s="105"/>
      <c r="BK371" s="105"/>
      <c r="BL371" s="105"/>
      <c r="BM371" s="105"/>
      <c r="BN371" s="105"/>
      <c r="BO371" s="105"/>
      <c r="BP371" s="105"/>
      <c r="BQ371" s="105"/>
      <c r="BR371" s="105"/>
      <c r="BS371" s="105"/>
      <c r="BT371" s="105"/>
      <c r="BU371" s="105"/>
      <c r="BV371" s="105"/>
      <c r="BW371" s="105"/>
      <c r="BX371" s="105"/>
      <c r="BY371" s="105"/>
      <c r="BZ371" s="105"/>
      <c r="CA371" s="105"/>
      <c r="CB371" s="105"/>
      <c r="CC371" s="105"/>
      <c r="CD371" s="105"/>
      <c r="CE371" s="105"/>
      <c r="CF371" s="105"/>
      <c r="CG371" s="105"/>
      <c r="CH371" s="105"/>
      <c r="CI371" s="105"/>
      <c r="CJ371" s="105"/>
      <c r="CK371" s="105"/>
      <c r="CL371" s="105"/>
      <c r="CM371" s="105"/>
      <c r="CN371" s="105"/>
      <c r="CO371" s="105"/>
      <c r="CP371" s="105"/>
      <c r="CQ371" s="105"/>
      <c r="CR371" s="105"/>
      <c r="CS371" s="105"/>
      <c r="CT371" s="105"/>
      <c r="CU371" s="105"/>
      <c r="CV371" s="105"/>
      <c r="CW371" s="105"/>
      <c r="CX371" s="105"/>
      <c r="CY371" s="105"/>
      <c r="CZ371" s="105"/>
      <c r="DA371" s="105"/>
      <c r="DB371" s="105"/>
      <c r="DC371" s="105"/>
      <c r="DD371" s="105"/>
      <c r="DE371" s="105"/>
      <c r="DF371" s="105"/>
      <c r="DG371" s="105"/>
      <c r="DH371" s="105"/>
      <c r="DI371" s="105"/>
      <c r="DJ371" s="105"/>
      <c r="DK371" s="105"/>
      <c r="DL371" s="105"/>
      <c r="DM371" s="105"/>
      <c r="DN371" s="105"/>
      <c r="DO371" s="105"/>
      <c r="DP371" s="105"/>
      <c r="DQ371" s="105"/>
      <c r="DR371" s="105"/>
      <c r="DS371" s="105"/>
      <c r="DT371" s="105"/>
      <c r="DU371" s="105"/>
      <c r="DV371" s="105"/>
      <c r="DW371" s="105"/>
      <c r="DX371" s="105"/>
      <c r="DY371" s="105"/>
      <c r="DZ371" s="105"/>
      <c r="EA371" s="105"/>
      <c r="EB371" s="105"/>
      <c r="EC371" s="105"/>
      <c r="ED371" s="105"/>
      <c r="EE371" s="105"/>
      <c r="EF371" s="105"/>
      <c r="EG371" s="105"/>
      <c r="EH371" s="105"/>
      <c r="EI371" s="105"/>
      <c r="EJ371" s="105"/>
      <c r="EK371" s="105"/>
      <c r="EL371" s="105"/>
      <c r="EM371" s="105"/>
      <c r="EN371" s="105"/>
      <c r="EO371" s="105"/>
      <c r="EP371" s="105"/>
      <c r="EQ371" s="105"/>
      <c r="ER371" s="105"/>
      <c r="ES371" s="105"/>
      <c r="ET371" s="105"/>
      <c r="EU371" s="105"/>
      <c r="EV371" s="105"/>
      <c r="EW371" s="105"/>
      <c r="EX371" s="105"/>
      <c r="EY371" s="105"/>
      <c r="EZ371" s="105"/>
      <c r="FA371" s="105"/>
      <c r="FB371" s="105"/>
      <c r="FC371" s="105"/>
      <c r="FD371" s="105"/>
      <c r="FE371" s="105"/>
      <c r="FF371" s="105"/>
      <c r="FG371" s="105"/>
      <c r="FH371" s="105"/>
      <c r="FI371" s="105"/>
      <c r="FJ371" s="105"/>
      <c r="FK371" s="105"/>
      <c r="FL371" s="105"/>
      <c r="FM371" s="105"/>
      <c r="FN371" s="105"/>
      <c r="FO371" s="105"/>
      <c r="FP371" s="105"/>
      <c r="FQ371" s="105"/>
      <c r="FR371" s="105"/>
      <c r="FS371" s="105"/>
      <c r="FT371" s="105"/>
      <c r="FU371" s="105"/>
      <c r="FV371" s="105"/>
      <c r="FW371" s="105"/>
      <c r="FX371" s="105"/>
      <c r="FY371" s="105"/>
      <c r="FZ371" s="105"/>
      <c r="GA371" s="105"/>
      <c r="GB371" s="105"/>
      <c r="GC371" s="105"/>
      <c r="GD371" s="105"/>
      <c r="GE371" s="105"/>
      <c r="GF371" s="105"/>
      <c r="GG371" s="105"/>
      <c r="GH371" s="105"/>
      <c r="GI371" s="105"/>
      <c r="GJ371" s="105"/>
      <c r="GK371" s="105"/>
      <c r="GL371" s="105"/>
      <c r="GM371" s="105"/>
      <c r="GN371" s="105"/>
      <c r="GO371" s="105"/>
      <c r="GP371" s="105"/>
      <c r="GQ371" s="105"/>
      <c r="GR371" s="105"/>
      <c r="GS371" s="105"/>
      <c r="GT371" s="105"/>
      <c r="GU371" s="105"/>
      <c r="GV371" s="105"/>
      <c r="GW371" s="105"/>
      <c r="GX371" s="105"/>
      <c r="GY371" s="105"/>
      <c r="GZ371" s="105"/>
      <c r="HA371" s="105"/>
      <c r="HB371" s="105"/>
      <c r="HC371" s="105"/>
      <c r="HD371" s="105"/>
      <c r="HE371" s="105"/>
      <c r="HF371" s="105"/>
      <c r="HG371" s="105"/>
      <c r="HH371" s="105"/>
      <c r="HI371" s="105"/>
      <c r="HJ371" s="105"/>
      <c r="HK371" s="105"/>
      <c r="HL371" s="105"/>
      <c r="HM371" s="105"/>
      <c r="HN371" s="105"/>
      <c r="HO371" s="105"/>
      <c r="HP371" s="105"/>
      <c r="HQ371" s="105"/>
      <c r="HR371" s="105"/>
      <c r="HS371" s="105"/>
      <c r="HT371" s="105"/>
      <c r="HU371" s="105"/>
      <c r="HV371" s="105"/>
      <c r="HW371" s="105"/>
      <c r="HX371" s="105"/>
      <c r="HY371" s="105"/>
      <c r="HZ371" s="105"/>
      <c r="IA371" s="105"/>
      <c r="IB371" s="105"/>
      <c r="IC371" s="105"/>
      <c r="ID371" s="105"/>
      <c r="IE371" s="105"/>
      <c r="IF371" s="105"/>
      <c r="IG371" s="105"/>
      <c r="IH371" s="105"/>
      <c r="II371" s="105"/>
      <c r="IJ371" s="105"/>
      <c r="IK371" s="105"/>
      <c r="IL371" s="105"/>
      <c r="IM371" s="105"/>
      <c r="IN371" s="105"/>
      <c r="IO371" s="105"/>
      <c r="IP371" s="105"/>
      <c r="IQ371" s="105"/>
      <c r="IR371" s="105"/>
      <c r="IS371" s="105"/>
    </row>
    <row r="372" spans="1:253">
      <c r="A372" s="116"/>
      <c r="B372" s="105"/>
      <c r="C372" s="116"/>
      <c r="D372" s="116"/>
      <c r="E372" s="116"/>
      <c r="F372" s="116"/>
      <c r="G372" s="116"/>
      <c r="H372" s="116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05"/>
      <c r="BG372" s="105"/>
      <c r="BH372" s="105"/>
      <c r="BI372" s="105"/>
      <c r="BJ372" s="105"/>
      <c r="BK372" s="105"/>
      <c r="BL372" s="105"/>
      <c r="BM372" s="105"/>
      <c r="BN372" s="105"/>
      <c r="BO372" s="105"/>
      <c r="BP372" s="105"/>
      <c r="BQ372" s="105"/>
      <c r="BR372" s="105"/>
      <c r="BS372" s="105"/>
      <c r="BT372" s="105"/>
      <c r="BU372" s="105"/>
      <c r="BV372" s="105"/>
      <c r="BW372" s="105"/>
      <c r="BX372" s="105"/>
      <c r="BY372" s="105"/>
      <c r="BZ372" s="105"/>
      <c r="CA372" s="105"/>
      <c r="CB372" s="105"/>
      <c r="CC372" s="105"/>
      <c r="CD372" s="105"/>
      <c r="CE372" s="105"/>
      <c r="CF372" s="105"/>
      <c r="CG372" s="105"/>
      <c r="CH372" s="105"/>
      <c r="CI372" s="105"/>
      <c r="CJ372" s="105"/>
      <c r="CK372" s="105"/>
      <c r="CL372" s="105"/>
      <c r="CM372" s="105"/>
      <c r="CN372" s="105"/>
      <c r="CO372" s="105"/>
      <c r="CP372" s="105"/>
      <c r="CQ372" s="105"/>
      <c r="CR372" s="105"/>
      <c r="CS372" s="105"/>
      <c r="CT372" s="105"/>
      <c r="CU372" s="105"/>
      <c r="CV372" s="105"/>
      <c r="CW372" s="105"/>
      <c r="CX372" s="105"/>
      <c r="CY372" s="105"/>
      <c r="CZ372" s="105"/>
      <c r="DA372" s="105"/>
      <c r="DB372" s="105"/>
      <c r="DC372" s="105"/>
      <c r="DD372" s="105"/>
      <c r="DE372" s="105"/>
      <c r="DF372" s="105"/>
      <c r="DG372" s="105"/>
      <c r="DH372" s="105"/>
      <c r="DI372" s="105"/>
      <c r="DJ372" s="105"/>
      <c r="DK372" s="105"/>
      <c r="DL372" s="105"/>
      <c r="DM372" s="105"/>
      <c r="DN372" s="105"/>
      <c r="DO372" s="105"/>
      <c r="DP372" s="105"/>
      <c r="DQ372" s="105"/>
      <c r="DR372" s="105"/>
      <c r="DS372" s="105"/>
      <c r="DT372" s="105"/>
      <c r="DU372" s="105"/>
      <c r="DV372" s="105"/>
      <c r="DW372" s="105"/>
      <c r="DX372" s="105"/>
      <c r="DY372" s="105"/>
      <c r="DZ372" s="105"/>
      <c r="EA372" s="105"/>
      <c r="EB372" s="105"/>
      <c r="EC372" s="105"/>
      <c r="ED372" s="105"/>
      <c r="EE372" s="105"/>
      <c r="EF372" s="105"/>
      <c r="EG372" s="105"/>
      <c r="EH372" s="105"/>
      <c r="EI372" s="105"/>
      <c r="EJ372" s="105"/>
      <c r="EK372" s="105"/>
      <c r="EL372" s="105"/>
      <c r="EM372" s="105"/>
      <c r="EN372" s="105"/>
      <c r="EO372" s="105"/>
      <c r="EP372" s="105"/>
      <c r="EQ372" s="105"/>
      <c r="ER372" s="105"/>
      <c r="ES372" s="105"/>
      <c r="ET372" s="105"/>
      <c r="EU372" s="105"/>
      <c r="EV372" s="105"/>
      <c r="EW372" s="105"/>
      <c r="EX372" s="105"/>
      <c r="EY372" s="105"/>
      <c r="EZ372" s="105"/>
      <c r="FA372" s="105"/>
      <c r="FB372" s="105"/>
      <c r="FC372" s="105"/>
      <c r="FD372" s="105"/>
      <c r="FE372" s="105"/>
      <c r="FF372" s="105"/>
      <c r="FG372" s="105"/>
      <c r="FH372" s="105"/>
      <c r="FI372" s="105"/>
      <c r="FJ372" s="105"/>
      <c r="FK372" s="105"/>
      <c r="FL372" s="105"/>
      <c r="FM372" s="105"/>
      <c r="FN372" s="105"/>
      <c r="FO372" s="105"/>
      <c r="FP372" s="105"/>
      <c r="FQ372" s="105"/>
      <c r="FR372" s="105"/>
      <c r="FS372" s="105"/>
      <c r="FT372" s="105"/>
      <c r="FU372" s="105"/>
      <c r="FV372" s="105"/>
      <c r="FW372" s="105"/>
      <c r="FX372" s="105"/>
      <c r="FY372" s="105"/>
      <c r="FZ372" s="105"/>
      <c r="GA372" s="105"/>
      <c r="GB372" s="105"/>
      <c r="GC372" s="105"/>
      <c r="GD372" s="105"/>
      <c r="GE372" s="105"/>
      <c r="GF372" s="105"/>
      <c r="GG372" s="105"/>
      <c r="GH372" s="105"/>
      <c r="GI372" s="105"/>
      <c r="GJ372" s="105"/>
      <c r="GK372" s="105"/>
      <c r="GL372" s="105"/>
      <c r="GM372" s="105"/>
      <c r="GN372" s="105"/>
      <c r="GO372" s="105"/>
      <c r="GP372" s="105"/>
      <c r="GQ372" s="105"/>
      <c r="GR372" s="105"/>
      <c r="GS372" s="105"/>
      <c r="GT372" s="105"/>
      <c r="GU372" s="105"/>
      <c r="GV372" s="105"/>
      <c r="GW372" s="105"/>
      <c r="GX372" s="105"/>
      <c r="GY372" s="105"/>
      <c r="GZ372" s="105"/>
      <c r="HA372" s="105"/>
      <c r="HB372" s="105"/>
      <c r="HC372" s="105"/>
      <c r="HD372" s="105"/>
      <c r="HE372" s="105"/>
      <c r="HF372" s="105"/>
      <c r="HG372" s="105"/>
      <c r="HH372" s="105"/>
      <c r="HI372" s="105"/>
      <c r="HJ372" s="105"/>
      <c r="HK372" s="105"/>
      <c r="HL372" s="105"/>
      <c r="HM372" s="105"/>
      <c r="HN372" s="105"/>
      <c r="HO372" s="105"/>
      <c r="HP372" s="105"/>
      <c r="HQ372" s="105"/>
      <c r="HR372" s="105"/>
      <c r="HS372" s="105"/>
      <c r="HT372" s="105"/>
      <c r="HU372" s="105"/>
      <c r="HV372" s="105"/>
      <c r="HW372" s="105"/>
      <c r="HX372" s="105"/>
      <c r="HY372" s="105"/>
      <c r="HZ372" s="105"/>
      <c r="IA372" s="105"/>
      <c r="IB372" s="105"/>
      <c r="IC372" s="105"/>
      <c r="ID372" s="105"/>
      <c r="IE372" s="105"/>
      <c r="IF372" s="105"/>
      <c r="IG372" s="105"/>
      <c r="IH372" s="105"/>
      <c r="II372" s="105"/>
      <c r="IJ372" s="105"/>
      <c r="IK372" s="105"/>
      <c r="IL372" s="105"/>
      <c r="IM372" s="105"/>
      <c r="IN372" s="105"/>
      <c r="IO372" s="105"/>
      <c r="IP372" s="105"/>
      <c r="IQ372" s="105"/>
      <c r="IR372" s="105"/>
      <c r="IS372" s="105"/>
    </row>
    <row r="373" spans="1:253">
      <c r="A373" s="116"/>
      <c r="B373" s="105"/>
      <c r="C373" s="116"/>
      <c r="D373" s="116"/>
      <c r="E373" s="116"/>
      <c r="F373" s="116"/>
      <c r="G373" s="116"/>
      <c r="H373" s="116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  <c r="BF373" s="105"/>
      <c r="BG373" s="105"/>
      <c r="BH373" s="105"/>
      <c r="BI373" s="105"/>
      <c r="BJ373" s="105"/>
      <c r="BK373" s="105"/>
      <c r="BL373" s="105"/>
      <c r="BM373" s="105"/>
      <c r="BN373" s="105"/>
      <c r="BO373" s="105"/>
      <c r="BP373" s="105"/>
      <c r="BQ373" s="105"/>
      <c r="BR373" s="105"/>
      <c r="BS373" s="105"/>
      <c r="BT373" s="105"/>
      <c r="BU373" s="105"/>
      <c r="BV373" s="105"/>
      <c r="BW373" s="105"/>
      <c r="BX373" s="105"/>
      <c r="BY373" s="105"/>
      <c r="BZ373" s="105"/>
      <c r="CA373" s="105"/>
      <c r="CB373" s="105"/>
      <c r="CC373" s="105"/>
      <c r="CD373" s="105"/>
      <c r="CE373" s="105"/>
      <c r="CF373" s="105"/>
      <c r="CG373" s="105"/>
      <c r="CH373" s="105"/>
      <c r="CI373" s="105"/>
      <c r="CJ373" s="105"/>
      <c r="CK373" s="105"/>
      <c r="CL373" s="105"/>
      <c r="CM373" s="105"/>
      <c r="CN373" s="105"/>
      <c r="CO373" s="105"/>
      <c r="CP373" s="105"/>
      <c r="CQ373" s="105"/>
      <c r="CR373" s="105"/>
      <c r="CS373" s="105"/>
      <c r="CT373" s="105"/>
      <c r="CU373" s="105"/>
      <c r="CV373" s="105"/>
      <c r="CW373" s="105"/>
      <c r="CX373" s="105"/>
      <c r="CY373" s="105"/>
      <c r="CZ373" s="105"/>
      <c r="DA373" s="105"/>
      <c r="DB373" s="105"/>
      <c r="DC373" s="105"/>
      <c r="DD373" s="105"/>
      <c r="DE373" s="105"/>
      <c r="DF373" s="105"/>
      <c r="DG373" s="105"/>
      <c r="DH373" s="105"/>
      <c r="DI373" s="105"/>
      <c r="DJ373" s="105"/>
      <c r="DK373" s="105"/>
      <c r="DL373" s="105"/>
      <c r="DM373" s="105"/>
      <c r="DN373" s="105"/>
      <c r="DO373" s="105"/>
      <c r="DP373" s="105"/>
      <c r="DQ373" s="105"/>
      <c r="DR373" s="105"/>
      <c r="DS373" s="105"/>
      <c r="DT373" s="105"/>
      <c r="DU373" s="105"/>
      <c r="DV373" s="105"/>
      <c r="DW373" s="105"/>
      <c r="DX373" s="105"/>
      <c r="DY373" s="105"/>
      <c r="DZ373" s="105"/>
      <c r="EA373" s="105"/>
      <c r="EB373" s="105"/>
      <c r="EC373" s="105"/>
      <c r="ED373" s="105"/>
      <c r="EE373" s="105"/>
      <c r="EF373" s="105"/>
      <c r="EG373" s="105"/>
      <c r="EH373" s="105"/>
      <c r="EI373" s="105"/>
      <c r="EJ373" s="105"/>
      <c r="EK373" s="105"/>
      <c r="EL373" s="105"/>
      <c r="EM373" s="105"/>
      <c r="EN373" s="105"/>
      <c r="EO373" s="105"/>
      <c r="EP373" s="105"/>
      <c r="EQ373" s="105"/>
      <c r="ER373" s="105"/>
      <c r="ES373" s="105"/>
      <c r="ET373" s="105"/>
      <c r="EU373" s="105"/>
      <c r="EV373" s="105"/>
      <c r="EW373" s="105"/>
      <c r="EX373" s="105"/>
      <c r="EY373" s="105"/>
      <c r="EZ373" s="105"/>
      <c r="FA373" s="105"/>
      <c r="FB373" s="105"/>
      <c r="FC373" s="105"/>
      <c r="FD373" s="105"/>
      <c r="FE373" s="105"/>
      <c r="FF373" s="105"/>
      <c r="FG373" s="105"/>
      <c r="FH373" s="105"/>
      <c r="FI373" s="105"/>
      <c r="FJ373" s="105"/>
      <c r="FK373" s="105"/>
      <c r="FL373" s="105"/>
      <c r="FM373" s="105"/>
      <c r="FN373" s="105"/>
      <c r="FO373" s="105"/>
      <c r="FP373" s="105"/>
      <c r="FQ373" s="105"/>
      <c r="FR373" s="105"/>
      <c r="FS373" s="105"/>
      <c r="FT373" s="105"/>
      <c r="FU373" s="105"/>
      <c r="FV373" s="105"/>
      <c r="FW373" s="105"/>
      <c r="FX373" s="105"/>
      <c r="FY373" s="105"/>
      <c r="FZ373" s="105"/>
      <c r="GA373" s="105"/>
      <c r="GB373" s="105"/>
      <c r="GC373" s="105"/>
      <c r="GD373" s="105"/>
      <c r="GE373" s="105"/>
      <c r="GF373" s="105"/>
      <c r="GG373" s="105"/>
      <c r="GH373" s="105"/>
      <c r="GI373" s="105"/>
      <c r="GJ373" s="105"/>
      <c r="GK373" s="105"/>
      <c r="GL373" s="105"/>
      <c r="GM373" s="105"/>
      <c r="GN373" s="105"/>
      <c r="GO373" s="105"/>
      <c r="GP373" s="105"/>
      <c r="GQ373" s="105"/>
      <c r="GR373" s="105"/>
      <c r="GS373" s="105"/>
      <c r="GT373" s="105"/>
      <c r="GU373" s="105"/>
      <c r="GV373" s="105"/>
      <c r="GW373" s="105"/>
      <c r="GX373" s="105"/>
      <c r="GY373" s="105"/>
      <c r="GZ373" s="105"/>
      <c r="HA373" s="105"/>
      <c r="HB373" s="105"/>
      <c r="HC373" s="105"/>
      <c r="HD373" s="105"/>
      <c r="HE373" s="105"/>
      <c r="HF373" s="105"/>
      <c r="HG373" s="105"/>
      <c r="HH373" s="105"/>
      <c r="HI373" s="105"/>
      <c r="HJ373" s="105"/>
      <c r="HK373" s="105"/>
      <c r="HL373" s="105"/>
      <c r="HM373" s="105"/>
      <c r="HN373" s="105"/>
      <c r="HO373" s="105"/>
      <c r="HP373" s="105"/>
      <c r="HQ373" s="105"/>
      <c r="HR373" s="105"/>
      <c r="HS373" s="105"/>
      <c r="HT373" s="105"/>
      <c r="HU373" s="105"/>
      <c r="HV373" s="105"/>
      <c r="HW373" s="105"/>
      <c r="HX373" s="105"/>
      <c r="HY373" s="105"/>
      <c r="HZ373" s="105"/>
      <c r="IA373" s="105"/>
      <c r="IB373" s="105"/>
      <c r="IC373" s="105"/>
      <c r="ID373" s="105"/>
      <c r="IE373" s="105"/>
      <c r="IF373" s="105"/>
      <c r="IG373" s="105"/>
      <c r="IH373" s="105"/>
      <c r="II373" s="105"/>
      <c r="IJ373" s="105"/>
      <c r="IK373" s="105"/>
      <c r="IL373" s="105"/>
      <c r="IM373" s="105"/>
      <c r="IN373" s="105"/>
      <c r="IO373" s="105"/>
      <c r="IP373" s="105"/>
      <c r="IQ373" s="105"/>
      <c r="IR373" s="105"/>
      <c r="IS373" s="105"/>
    </row>
    <row r="374" spans="1:253">
      <c r="A374" s="116"/>
      <c r="B374" s="105"/>
      <c r="C374" s="116"/>
      <c r="D374" s="116"/>
      <c r="E374" s="116"/>
      <c r="F374" s="116"/>
      <c r="G374" s="116"/>
      <c r="H374" s="116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  <c r="BF374" s="105"/>
      <c r="BG374" s="105"/>
      <c r="BH374" s="105"/>
      <c r="BI374" s="105"/>
      <c r="BJ374" s="105"/>
      <c r="BK374" s="105"/>
      <c r="BL374" s="105"/>
      <c r="BM374" s="105"/>
      <c r="BN374" s="105"/>
      <c r="BO374" s="105"/>
      <c r="BP374" s="105"/>
      <c r="BQ374" s="105"/>
      <c r="BR374" s="105"/>
      <c r="BS374" s="105"/>
      <c r="BT374" s="105"/>
      <c r="BU374" s="105"/>
      <c r="BV374" s="105"/>
      <c r="BW374" s="105"/>
      <c r="BX374" s="105"/>
      <c r="BY374" s="105"/>
      <c r="BZ374" s="105"/>
      <c r="CA374" s="105"/>
      <c r="CB374" s="105"/>
      <c r="CC374" s="105"/>
      <c r="CD374" s="105"/>
      <c r="CE374" s="105"/>
      <c r="CF374" s="105"/>
      <c r="CG374" s="105"/>
      <c r="CH374" s="105"/>
      <c r="CI374" s="105"/>
      <c r="CJ374" s="105"/>
      <c r="CK374" s="105"/>
      <c r="CL374" s="105"/>
      <c r="CM374" s="105"/>
      <c r="CN374" s="105"/>
      <c r="CO374" s="105"/>
      <c r="CP374" s="105"/>
      <c r="CQ374" s="105"/>
      <c r="CR374" s="105"/>
      <c r="CS374" s="105"/>
      <c r="CT374" s="105"/>
      <c r="CU374" s="105"/>
      <c r="CV374" s="105"/>
      <c r="CW374" s="105"/>
      <c r="CX374" s="105"/>
      <c r="CY374" s="105"/>
      <c r="CZ374" s="105"/>
      <c r="DA374" s="105"/>
      <c r="DB374" s="105"/>
      <c r="DC374" s="105"/>
      <c r="DD374" s="105"/>
      <c r="DE374" s="105"/>
      <c r="DF374" s="105"/>
      <c r="DG374" s="105"/>
      <c r="DH374" s="105"/>
      <c r="DI374" s="105"/>
      <c r="DJ374" s="105"/>
      <c r="DK374" s="105"/>
      <c r="DL374" s="105"/>
      <c r="DM374" s="105"/>
      <c r="DN374" s="105"/>
      <c r="DO374" s="105"/>
      <c r="DP374" s="105"/>
      <c r="DQ374" s="105"/>
      <c r="DR374" s="105"/>
      <c r="DS374" s="105"/>
      <c r="DT374" s="105"/>
      <c r="DU374" s="105"/>
      <c r="DV374" s="105"/>
      <c r="DW374" s="105"/>
      <c r="DX374" s="105"/>
      <c r="DY374" s="105"/>
      <c r="DZ374" s="105"/>
      <c r="EA374" s="105"/>
      <c r="EB374" s="105"/>
      <c r="EC374" s="105"/>
      <c r="ED374" s="105"/>
      <c r="EE374" s="105"/>
      <c r="EF374" s="105"/>
      <c r="EG374" s="105"/>
      <c r="EH374" s="105"/>
      <c r="EI374" s="105"/>
      <c r="EJ374" s="105"/>
      <c r="EK374" s="105"/>
      <c r="EL374" s="105"/>
      <c r="EM374" s="105"/>
      <c r="EN374" s="105"/>
      <c r="EO374" s="105"/>
      <c r="EP374" s="105"/>
      <c r="EQ374" s="105"/>
      <c r="ER374" s="105"/>
      <c r="ES374" s="105"/>
      <c r="ET374" s="105"/>
      <c r="EU374" s="105"/>
      <c r="EV374" s="105"/>
      <c r="EW374" s="105"/>
      <c r="EX374" s="105"/>
      <c r="EY374" s="105"/>
      <c r="EZ374" s="105"/>
      <c r="FA374" s="105"/>
      <c r="FB374" s="105"/>
      <c r="FC374" s="105"/>
      <c r="FD374" s="105"/>
      <c r="FE374" s="105"/>
      <c r="FF374" s="105"/>
      <c r="FG374" s="105"/>
      <c r="FH374" s="105"/>
      <c r="FI374" s="105"/>
      <c r="FJ374" s="105"/>
      <c r="FK374" s="105"/>
      <c r="FL374" s="105"/>
      <c r="FM374" s="105"/>
      <c r="FN374" s="105"/>
      <c r="FO374" s="105"/>
      <c r="FP374" s="105"/>
      <c r="FQ374" s="105"/>
      <c r="FR374" s="105"/>
      <c r="FS374" s="105"/>
      <c r="FT374" s="105"/>
      <c r="FU374" s="105"/>
      <c r="FV374" s="105"/>
      <c r="FW374" s="105"/>
      <c r="FX374" s="105"/>
      <c r="FY374" s="105"/>
      <c r="FZ374" s="105"/>
      <c r="GA374" s="105"/>
      <c r="GB374" s="105"/>
      <c r="GC374" s="105"/>
      <c r="GD374" s="105"/>
      <c r="GE374" s="105"/>
      <c r="GF374" s="105"/>
      <c r="GG374" s="105"/>
      <c r="GH374" s="105"/>
      <c r="GI374" s="105"/>
      <c r="GJ374" s="105"/>
      <c r="GK374" s="105"/>
      <c r="GL374" s="105"/>
      <c r="GM374" s="105"/>
      <c r="GN374" s="105"/>
      <c r="GO374" s="105"/>
      <c r="GP374" s="105"/>
      <c r="GQ374" s="105"/>
      <c r="GR374" s="105"/>
      <c r="GS374" s="105"/>
      <c r="GT374" s="105"/>
      <c r="GU374" s="105"/>
      <c r="GV374" s="105"/>
      <c r="GW374" s="105"/>
      <c r="GX374" s="105"/>
      <c r="GY374" s="105"/>
      <c r="GZ374" s="105"/>
      <c r="HA374" s="105"/>
      <c r="HB374" s="105"/>
      <c r="HC374" s="105"/>
      <c r="HD374" s="105"/>
      <c r="HE374" s="105"/>
      <c r="HF374" s="105"/>
      <c r="HG374" s="105"/>
      <c r="HH374" s="105"/>
      <c r="HI374" s="105"/>
      <c r="HJ374" s="105"/>
      <c r="HK374" s="105"/>
      <c r="HL374" s="105"/>
      <c r="HM374" s="105"/>
      <c r="HN374" s="105"/>
      <c r="HO374" s="105"/>
      <c r="HP374" s="105"/>
      <c r="HQ374" s="105"/>
      <c r="HR374" s="105"/>
      <c r="HS374" s="105"/>
      <c r="HT374" s="105"/>
      <c r="HU374" s="105"/>
      <c r="HV374" s="105"/>
      <c r="HW374" s="105"/>
      <c r="HX374" s="105"/>
      <c r="HY374" s="105"/>
      <c r="HZ374" s="105"/>
      <c r="IA374" s="105"/>
      <c r="IB374" s="105"/>
      <c r="IC374" s="105"/>
      <c r="ID374" s="105"/>
      <c r="IE374" s="105"/>
      <c r="IF374" s="105"/>
      <c r="IG374" s="105"/>
      <c r="IH374" s="105"/>
      <c r="II374" s="105"/>
      <c r="IJ374" s="105"/>
      <c r="IK374" s="105"/>
      <c r="IL374" s="105"/>
      <c r="IM374" s="105"/>
      <c r="IN374" s="105"/>
      <c r="IO374" s="105"/>
      <c r="IP374" s="105"/>
      <c r="IQ374" s="105"/>
      <c r="IR374" s="105"/>
      <c r="IS374" s="105"/>
    </row>
    <row r="375" spans="1:253">
      <c r="A375" s="116"/>
      <c r="B375" s="105"/>
      <c r="C375" s="116"/>
      <c r="D375" s="116"/>
      <c r="E375" s="116"/>
      <c r="F375" s="116"/>
      <c r="G375" s="116"/>
      <c r="H375" s="116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  <c r="BF375" s="105"/>
      <c r="BG375" s="105"/>
      <c r="BH375" s="105"/>
      <c r="BI375" s="105"/>
      <c r="BJ375" s="105"/>
      <c r="BK375" s="105"/>
      <c r="BL375" s="105"/>
      <c r="BM375" s="105"/>
      <c r="BN375" s="105"/>
      <c r="BO375" s="105"/>
      <c r="BP375" s="105"/>
      <c r="BQ375" s="105"/>
      <c r="BR375" s="105"/>
      <c r="BS375" s="105"/>
      <c r="BT375" s="105"/>
      <c r="BU375" s="105"/>
      <c r="BV375" s="105"/>
      <c r="BW375" s="105"/>
      <c r="BX375" s="105"/>
      <c r="BY375" s="105"/>
      <c r="BZ375" s="105"/>
      <c r="CA375" s="105"/>
      <c r="CB375" s="105"/>
      <c r="CC375" s="105"/>
      <c r="CD375" s="105"/>
      <c r="CE375" s="105"/>
      <c r="CF375" s="105"/>
      <c r="CG375" s="105"/>
      <c r="CH375" s="105"/>
      <c r="CI375" s="105"/>
      <c r="CJ375" s="105"/>
      <c r="CK375" s="105"/>
      <c r="CL375" s="105"/>
      <c r="CM375" s="105"/>
      <c r="CN375" s="105"/>
      <c r="CO375" s="105"/>
      <c r="CP375" s="105"/>
      <c r="CQ375" s="105"/>
      <c r="CR375" s="105"/>
      <c r="CS375" s="105"/>
      <c r="CT375" s="105"/>
      <c r="CU375" s="105"/>
      <c r="CV375" s="105"/>
      <c r="CW375" s="105"/>
      <c r="CX375" s="105"/>
      <c r="CY375" s="105"/>
      <c r="CZ375" s="105"/>
      <c r="DA375" s="105"/>
      <c r="DB375" s="105"/>
      <c r="DC375" s="105"/>
      <c r="DD375" s="105"/>
      <c r="DE375" s="105"/>
      <c r="DF375" s="105"/>
      <c r="DG375" s="105"/>
      <c r="DH375" s="105"/>
      <c r="DI375" s="105"/>
      <c r="DJ375" s="105"/>
      <c r="DK375" s="105"/>
      <c r="DL375" s="105"/>
      <c r="DM375" s="105"/>
      <c r="DN375" s="105"/>
      <c r="DO375" s="105"/>
      <c r="DP375" s="105"/>
      <c r="DQ375" s="105"/>
      <c r="DR375" s="105"/>
      <c r="DS375" s="105"/>
      <c r="DT375" s="105"/>
      <c r="DU375" s="105"/>
      <c r="DV375" s="105"/>
      <c r="DW375" s="105"/>
      <c r="DX375" s="105"/>
      <c r="DY375" s="105"/>
      <c r="DZ375" s="105"/>
      <c r="EA375" s="105"/>
      <c r="EB375" s="105"/>
      <c r="EC375" s="105"/>
      <c r="ED375" s="105"/>
      <c r="EE375" s="105"/>
      <c r="EF375" s="105"/>
      <c r="EG375" s="105"/>
      <c r="EH375" s="105"/>
      <c r="EI375" s="105"/>
      <c r="EJ375" s="105"/>
      <c r="EK375" s="105"/>
      <c r="EL375" s="105"/>
      <c r="EM375" s="105"/>
      <c r="EN375" s="105"/>
      <c r="EO375" s="105"/>
      <c r="EP375" s="105"/>
      <c r="EQ375" s="105"/>
      <c r="ER375" s="105"/>
      <c r="ES375" s="105"/>
      <c r="ET375" s="105"/>
      <c r="EU375" s="105"/>
      <c r="EV375" s="105"/>
      <c r="EW375" s="105"/>
      <c r="EX375" s="105"/>
      <c r="EY375" s="105"/>
      <c r="EZ375" s="105"/>
      <c r="FA375" s="105"/>
      <c r="FB375" s="105"/>
      <c r="FC375" s="105"/>
      <c r="FD375" s="105"/>
      <c r="FE375" s="105"/>
      <c r="FF375" s="105"/>
      <c r="FG375" s="105"/>
      <c r="FH375" s="105"/>
      <c r="FI375" s="105"/>
      <c r="FJ375" s="105"/>
      <c r="FK375" s="105"/>
      <c r="FL375" s="105"/>
      <c r="FM375" s="105"/>
      <c r="FN375" s="105"/>
      <c r="FO375" s="105"/>
      <c r="FP375" s="105"/>
      <c r="FQ375" s="105"/>
      <c r="FR375" s="105"/>
      <c r="FS375" s="105"/>
      <c r="FT375" s="105"/>
      <c r="FU375" s="105"/>
      <c r="FV375" s="105"/>
      <c r="FW375" s="105"/>
      <c r="FX375" s="105"/>
      <c r="FY375" s="105"/>
      <c r="FZ375" s="105"/>
      <c r="GA375" s="105"/>
      <c r="GB375" s="105"/>
      <c r="GC375" s="105"/>
      <c r="GD375" s="105"/>
      <c r="GE375" s="105"/>
      <c r="GF375" s="105"/>
      <c r="GG375" s="105"/>
      <c r="GH375" s="105"/>
      <c r="GI375" s="105"/>
      <c r="GJ375" s="105"/>
      <c r="GK375" s="105"/>
      <c r="GL375" s="105"/>
      <c r="GM375" s="105"/>
      <c r="GN375" s="105"/>
      <c r="GO375" s="105"/>
      <c r="GP375" s="105"/>
      <c r="GQ375" s="105"/>
      <c r="GR375" s="105"/>
      <c r="GS375" s="105"/>
      <c r="GT375" s="105"/>
      <c r="GU375" s="105"/>
      <c r="GV375" s="105"/>
      <c r="GW375" s="105"/>
      <c r="GX375" s="105"/>
      <c r="GY375" s="105"/>
      <c r="GZ375" s="105"/>
      <c r="HA375" s="105"/>
      <c r="HB375" s="105"/>
      <c r="HC375" s="105"/>
      <c r="HD375" s="105"/>
      <c r="HE375" s="105"/>
      <c r="HF375" s="105"/>
      <c r="HG375" s="105"/>
      <c r="HH375" s="105"/>
      <c r="HI375" s="105"/>
      <c r="HJ375" s="105"/>
      <c r="HK375" s="105"/>
      <c r="HL375" s="105"/>
      <c r="HM375" s="105"/>
      <c r="HN375" s="105"/>
      <c r="HO375" s="105"/>
      <c r="HP375" s="105"/>
      <c r="HQ375" s="105"/>
      <c r="HR375" s="105"/>
      <c r="HS375" s="105"/>
      <c r="HT375" s="105"/>
      <c r="HU375" s="105"/>
      <c r="HV375" s="105"/>
      <c r="HW375" s="105"/>
      <c r="HX375" s="105"/>
      <c r="HY375" s="105"/>
      <c r="HZ375" s="105"/>
      <c r="IA375" s="105"/>
      <c r="IB375" s="105"/>
      <c r="IC375" s="105"/>
      <c r="ID375" s="105"/>
      <c r="IE375" s="105"/>
      <c r="IF375" s="105"/>
      <c r="IG375" s="105"/>
      <c r="IH375" s="105"/>
      <c r="II375" s="105"/>
      <c r="IJ375" s="105"/>
      <c r="IK375" s="105"/>
      <c r="IL375" s="105"/>
      <c r="IM375" s="105"/>
      <c r="IN375" s="105"/>
      <c r="IO375" s="105"/>
      <c r="IP375" s="105"/>
      <c r="IQ375" s="105"/>
      <c r="IR375" s="105"/>
      <c r="IS375" s="105"/>
    </row>
    <row r="376" spans="1:253">
      <c r="A376" s="116"/>
      <c r="B376" s="105"/>
      <c r="C376" s="116"/>
      <c r="D376" s="116"/>
      <c r="E376" s="116"/>
      <c r="F376" s="116"/>
      <c r="G376" s="116"/>
      <c r="H376" s="116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  <c r="BF376" s="105"/>
      <c r="BG376" s="105"/>
      <c r="BH376" s="105"/>
      <c r="BI376" s="105"/>
      <c r="BJ376" s="105"/>
      <c r="BK376" s="105"/>
      <c r="BL376" s="105"/>
      <c r="BM376" s="105"/>
      <c r="BN376" s="105"/>
      <c r="BO376" s="105"/>
      <c r="BP376" s="105"/>
      <c r="BQ376" s="105"/>
      <c r="BR376" s="105"/>
      <c r="BS376" s="105"/>
      <c r="BT376" s="105"/>
      <c r="BU376" s="105"/>
      <c r="BV376" s="105"/>
      <c r="BW376" s="105"/>
      <c r="BX376" s="105"/>
      <c r="BY376" s="105"/>
      <c r="BZ376" s="105"/>
      <c r="CA376" s="105"/>
      <c r="CB376" s="105"/>
      <c r="CC376" s="105"/>
      <c r="CD376" s="105"/>
      <c r="CE376" s="105"/>
      <c r="CF376" s="105"/>
      <c r="CG376" s="105"/>
      <c r="CH376" s="105"/>
      <c r="CI376" s="105"/>
      <c r="CJ376" s="105"/>
      <c r="CK376" s="105"/>
      <c r="CL376" s="105"/>
      <c r="CM376" s="105"/>
      <c r="CN376" s="105"/>
      <c r="CO376" s="105"/>
      <c r="CP376" s="105"/>
      <c r="CQ376" s="105"/>
      <c r="CR376" s="105"/>
      <c r="CS376" s="105"/>
      <c r="CT376" s="105"/>
      <c r="CU376" s="105"/>
      <c r="CV376" s="105"/>
      <c r="CW376" s="105"/>
      <c r="CX376" s="105"/>
      <c r="CY376" s="105"/>
      <c r="CZ376" s="105"/>
      <c r="DA376" s="105"/>
      <c r="DB376" s="105"/>
      <c r="DC376" s="105"/>
      <c r="DD376" s="105"/>
      <c r="DE376" s="105"/>
      <c r="DF376" s="105"/>
      <c r="DG376" s="105"/>
      <c r="DH376" s="105"/>
      <c r="DI376" s="105"/>
      <c r="DJ376" s="105"/>
      <c r="DK376" s="105"/>
      <c r="DL376" s="105"/>
      <c r="DM376" s="105"/>
      <c r="DN376" s="105"/>
      <c r="DO376" s="105"/>
      <c r="DP376" s="105"/>
      <c r="DQ376" s="105"/>
      <c r="DR376" s="105"/>
      <c r="DS376" s="105"/>
      <c r="DT376" s="105"/>
      <c r="DU376" s="105"/>
      <c r="DV376" s="105"/>
      <c r="DW376" s="105"/>
      <c r="DX376" s="105"/>
      <c r="DY376" s="105"/>
      <c r="DZ376" s="105"/>
      <c r="EA376" s="105"/>
      <c r="EB376" s="105"/>
      <c r="EC376" s="105"/>
      <c r="ED376" s="105"/>
      <c r="EE376" s="105"/>
      <c r="EF376" s="105"/>
      <c r="EG376" s="105"/>
      <c r="EH376" s="105"/>
      <c r="EI376" s="105"/>
      <c r="EJ376" s="105"/>
      <c r="EK376" s="105"/>
      <c r="EL376" s="105"/>
      <c r="EM376" s="105"/>
      <c r="EN376" s="105"/>
      <c r="EO376" s="105"/>
      <c r="EP376" s="105"/>
      <c r="EQ376" s="105"/>
      <c r="ER376" s="105"/>
      <c r="ES376" s="105"/>
      <c r="ET376" s="105"/>
      <c r="EU376" s="105"/>
      <c r="EV376" s="105"/>
      <c r="EW376" s="105"/>
      <c r="EX376" s="105"/>
      <c r="EY376" s="105"/>
      <c r="EZ376" s="105"/>
      <c r="FA376" s="105"/>
      <c r="FB376" s="105"/>
      <c r="FC376" s="105"/>
      <c r="FD376" s="105"/>
      <c r="FE376" s="105"/>
      <c r="FF376" s="105"/>
      <c r="FG376" s="105"/>
      <c r="FH376" s="105"/>
      <c r="FI376" s="105"/>
      <c r="FJ376" s="105"/>
      <c r="FK376" s="105"/>
      <c r="FL376" s="105"/>
      <c r="FM376" s="105"/>
      <c r="FN376" s="105"/>
      <c r="FO376" s="105"/>
      <c r="FP376" s="105"/>
      <c r="FQ376" s="105"/>
      <c r="FR376" s="105"/>
      <c r="FS376" s="105"/>
      <c r="FT376" s="105"/>
      <c r="FU376" s="105"/>
      <c r="FV376" s="105"/>
      <c r="FW376" s="105"/>
      <c r="FX376" s="105"/>
      <c r="FY376" s="105"/>
      <c r="FZ376" s="105"/>
      <c r="GA376" s="105"/>
      <c r="GB376" s="105"/>
      <c r="GC376" s="105"/>
      <c r="GD376" s="105"/>
      <c r="GE376" s="105"/>
      <c r="GF376" s="105"/>
      <c r="GG376" s="105"/>
      <c r="GH376" s="105"/>
      <c r="GI376" s="105"/>
      <c r="GJ376" s="105"/>
      <c r="GK376" s="105"/>
      <c r="GL376" s="105"/>
      <c r="GM376" s="105"/>
      <c r="GN376" s="105"/>
      <c r="GO376" s="105"/>
      <c r="GP376" s="105"/>
      <c r="GQ376" s="105"/>
      <c r="GR376" s="105"/>
      <c r="GS376" s="105"/>
      <c r="GT376" s="105"/>
      <c r="GU376" s="105"/>
      <c r="GV376" s="105"/>
      <c r="GW376" s="105"/>
      <c r="GX376" s="105"/>
      <c r="GY376" s="105"/>
      <c r="GZ376" s="105"/>
      <c r="HA376" s="105"/>
      <c r="HB376" s="105"/>
      <c r="HC376" s="105"/>
      <c r="HD376" s="105"/>
      <c r="HE376" s="105"/>
      <c r="HF376" s="105"/>
      <c r="HG376" s="105"/>
      <c r="HH376" s="105"/>
      <c r="HI376" s="105"/>
      <c r="HJ376" s="105"/>
      <c r="HK376" s="105"/>
      <c r="HL376" s="105"/>
      <c r="HM376" s="105"/>
      <c r="HN376" s="105"/>
      <c r="HO376" s="105"/>
      <c r="HP376" s="105"/>
      <c r="HQ376" s="105"/>
      <c r="HR376" s="105"/>
      <c r="HS376" s="105"/>
      <c r="HT376" s="105"/>
      <c r="HU376" s="105"/>
      <c r="HV376" s="105"/>
      <c r="HW376" s="105"/>
      <c r="HX376" s="105"/>
      <c r="HY376" s="105"/>
      <c r="HZ376" s="105"/>
      <c r="IA376" s="105"/>
      <c r="IB376" s="105"/>
      <c r="IC376" s="105"/>
      <c r="ID376" s="105"/>
      <c r="IE376" s="105"/>
      <c r="IF376" s="105"/>
      <c r="IG376" s="105"/>
      <c r="IH376" s="105"/>
      <c r="II376" s="105"/>
      <c r="IJ376" s="105"/>
      <c r="IK376" s="105"/>
      <c r="IL376" s="105"/>
      <c r="IM376" s="105"/>
      <c r="IN376" s="105"/>
      <c r="IO376" s="105"/>
      <c r="IP376" s="105"/>
      <c r="IQ376" s="105"/>
      <c r="IR376" s="105"/>
      <c r="IS376" s="105"/>
    </row>
    <row r="377" spans="1:253">
      <c r="A377" s="116"/>
      <c r="B377" s="105"/>
      <c r="C377" s="116"/>
      <c r="D377" s="116"/>
      <c r="E377" s="116"/>
      <c r="F377" s="116"/>
      <c r="G377" s="116"/>
      <c r="H377" s="116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  <c r="BF377" s="105"/>
      <c r="BG377" s="105"/>
      <c r="BH377" s="105"/>
      <c r="BI377" s="105"/>
      <c r="BJ377" s="105"/>
      <c r="BK377" s="105"/>
      <c r="BL377" s="105"/>
      <c r="BM377" s="105"/>
      <c r="BN377" s="105"/>
      <c r="BO377" s="105"/>
      <c r="BP377" s="105"/>
      <c r="BQ377" s="105"/>
      <c r="BR377" s="105"/>
      <c r="BS377" s="105"/>
      <c r="BT377" s="105"/>
      <c r="BU377" s="105"/>
      <c r="BV377" s="105"/>
      <c r="BW377" s="105"/>
      <c r="BX377" s="105"/>
      <c r="BY377" s="105"/>
      <c r="BZ377" s="105"/>
      <c r="CA377" s="105"/>
      <c r="CB377" s="105"/>
      <c r="CC377" s="105"/>
      <c r="CD377" s="105"/>
      <c r="CE377" s="105"/>
      <c r="CF377" s="105"/>
      <c r="CG377" s="105"/>
      <c r="CH377" s="105"/>
      <c r="CI377" s="105"/>
      <c r="CJ377" s="105"/>
      <c r="CK377" s="105"/>
      <c r="CL377" s="105"/>
      <c r="CM377" s="105"/>
      <c r="CN377" s="105"/>
      <c r="CO377" s="105"/>
      <c r="CP377" s="105"/>
      <c r="CQ377" s="105"/>
      <c r="CR377" s="105"/>
      <c r="CS377" s="105"/>
      <c r="CT377" s="105"/>
      <c r="CU377" s="105"/>
      <c r="CV377" s="105"/>
      <c r="CW377" s="105"/>
      <c r="CX377" s="105"/>
      <c r="CY377" s="105"/>
      <c r="CZ377" s="105"/>
      <c r="DA377" s="105"/>
      <c r="DB377" s="105"/>
      <c r="DC377" s="105"/>
      <c r="DD377" s="105"/>
      <c r="DE377" s="105"/>
      <c r="DF377" s="105"/>
      <c r="DG377" s="105"/>
      <c r="DH377" s="105"/>
      <c r="DI377" s="105"/>
      <c r="DJ377" s="105"/>
      <c r="DK377" s="105"/>
      <c r="DL377" s="105"/>
      <c r="DM377" s="105"/>
      <c r="DN377" s="105"/>
      <c r="DO377" s="105"/>
      <c r="DP377" s="105"/>
      <c r="DQ377" s="105"/>
      <c r="DR377" s="105"/>
      <c r="DS377" s="105"/>
      <c r="DT377" s="105"/>
      <c r="DU377" s="105"/>
      <c r="DV377" s="105"/>
      <c r="DW377" s="105"/>
      <c r="DX377" s="105"/>
      <c r="DY377" s="105"/>
      <c r="DZ377" s="105"/>
      <c r="EA377" s="105"/>
      <c r="EB377" s="105"/>
      <c r="EC377" s="105"/>
      <c r="ED377" s="105"/>
      <c r="EE377" s="105"/>
      <c r="EF377" s="105"/>
      <c r="EG377" s="105"/>
      <c r="EH377" s="105"/>
      <c r="EI377" s="105"/>
      <c r="EJ377" s="105"/>
      <c r="EK377" s="105"/>
      <c r="EL377" s="105"/>
      <c r="EM377" s="105"/>
      <c r="EN377" s="105"/>
      <c r="EO377" s="105"/>
      <c r="EP377" s="105"/>
      <c r="EQ377" s="105"/>
      <c r="ER377" s="105"/>
      <c r="ES377" s="105"/>
      <c r="ET377" s="105"/>
      <c r="EU377" s="105"/>
      <c r="EV377" s="105"/>
      <c r="EW377" s="105"/>
      <c r="EX377" s="105"/>
      <c r="EY377" s="105"/>
      <c r="EZ377" s="105"/>
      <c r="FA377" s="105"/>
      <c r="FB377" s="105"/>
      <c r="FC377" s="105"/>
      <c r="FD377" s="105"/>
      <c r="FE377" s="105"/>
      <c r="FF377" s="105"/>
      <c r="FG377" s="105"/>
      <c r="FH377" s="105"/>
      <c r="FI377" s="105"/>
      <c r="FJ377" s="105"/>
      <c r="FK377" s="105"/>
      <c r="FL377" s="105"/>
      <c r="FM377" s="105"/>
      <c r="FN377" s="105"/>
      <c r="FO377" s="105"/>
      <c r="FP377" s="105"/>
      <c r="FQ377" s="105"/>
      <c r="FR377" s="105"/>
      <c r="FS377" s="105"/>
      <c r="FT377" s="105"/>
      <c r="FU377" s="105"/>
      <c r="FV377" s="105"/>
      <c r="FW377" s="105"/>
      <c r="FX377" s="105"/>
      <c r="FY377" s="105"/>
      <c r="FZ377" s="105"/>
      <c r="GA377" s="105"/>
      <c r="GB377" s="105"/>
      <c r="GC377" s="105"/>
      <c r="GD377" s="105"/>
      <c r="GE377" s="105"/>
      <c r="GF377" s="105"/>
      <c r="GG377" s="105"/>
      <c r="GH377" s="105"/>
      <c r="GI377" s="105"/>
      <c r="GJ377" s="105"/>
      <c r="GK377" s="105"/>
      <c r="GL377" s="105"/>
      <c r="GM377" s="105"/>
      <c r="GN377" s="105"/>
      <c r="GO377" s="105"/>
      <c r="GP377" s="105"/>
      <c r="GQ377" s="105"/>
      <c r="GR377" s="105"/>
      <c r="GS377" s="105"/>
      <c r="GT377" s="105"/>
      <c r="GU377" s="105"/>
      <c r="GV377" s="105"/>
      <c r="GW377" s="105"/>
      <c r="GX377" s="105"/>
      <c r="GY377" s="105"/>
      <c r="GZ377" s="105"/>
      <c r="HA377" s="105"/>
      <c r="HB377" s="105"/>
      <c r="HC377" s="105"/>
      <c r="HD377" s="105"/>
      <c r="HE377" s="105"/>
      <c r="HF377" s="105"/>
      <c r="HG377" s="105"/>
      <c r="HH377" s="105"/>
      <c r="HI377" s="105"/>
      <c r="HJ377" s="105"/>
      <c r="HK377" s="105"/>
      <c r="HL377" s="105"/>
      <c r="HM377" s="105"/>
      <c r="HN377" s="105"/>
      <c r="HO377" s="105"/>
      <c r="HP377" s="105"/>
      <c r="HQ377" s="105"/>
      <c r="HR377" s="105"/>
      <c r="HS377" s="105"/>
      <c r="HT377" s="105"/>
      <c r="HU377" s="105"/>
      <c r="HV377" s="105"/>
      <c r="HW377" s="105"/>
      <c r="HX377" s="105"/>
      <c r="HY377" s="105"/>
      <c r="HZ377" s="105"/>
      <c r="IA377" s="105"/>
      <c r="IB377" s="105"/>
      <c r="IC377" s="105"/>
      <c r="ID377" s="105"/>
      <c r="IE377" s="105"/>
      <c r="IF377" s="105"/>
      <c r="IG377" s="105"/>
      <c r="IH377" s="105"/>
      <c r="II377" s="105"/>
      <c r="IJ377" s="105"/>
      <c r="IK377" s="105"/>
      <c r="IL377" s="105"/>
      <c r="IM377" s="105"/>
      <c r="IN377" s="105"/>
      <c r="IO377" s="105"/>
      <c r="IP377" s="105"/>
      <c r="IQ377" s="105"/>
      <c r="IR377" s="105"/>
      <c r="IS377" s="105"/>
    </row>
    <row r="378" spans="1:253">
      <c r="A378" s="116"/>
      <c r="B378" s="105"/>
      <c r="C378" s="116"/>
      <c r="D378" s="116"/>
      <c r="E378" s="116"/>
      <c r="F378" s="116"/>
      <c r="G378" s="116"/>
      <c r="H378" s="116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  <c r="BF378" s="105"/>
      <c r="BG378" s="105"/>
      <c r="BH378" s="105"/>
      <c r="BI378" s="105"/>
      <c r="BJ378" s="105"/>
      <c r="BK378" s="105"/>
      <c r="BL378" s="105"/>
      <c r="BM378" s="105"/>
      <c r="BN378" s="105"/>
      <c r="BO378" s="105"/>
      <c r="BP378" s="105"/>
      <c r="BQ378" s="105"/>
      <c r="BR378" s="105"/>
      <c r="BS378" s="105"/>
      <c r="BT378" s="105"/>
      <c r="BU378" s="105"/>
      <c r="BV378" s="105"/>
      <c r="BW378" s="105"/>
      <c r="BX378" s="105"/>
      <c r="BY378" s="105"/>
      <c r="BZ378" s="105"/>
      <c r="CA378" s="105"/>
      <c r="CB378" s="105"/>
      <c r="CC378" s="105"/>
      <c r="CD378" s="105"/>
      <c r="CE378" s="105"/>
      <c r="CF378" s="105"/>
      <c r="CG378" s="105"/>
      <c r="CH378" s="105"/>
      <c r="CI378" s="105"/>
      <c r="CJ378" s="105"/>
      <c r="CK378" s="105"/>
      <c r="CL378" s="105"/>
      <c r="CM378" s="105"/>
      <c r="CN378" s="105"/>
      <c r="CO378" s="105"/>
      <c r="CP378" s="105"/>
      <c r="CQ378" s="105"/>
      <c r="CR378" s="105"/>
      <c r="CS378" s="105"/>
      <c r="CT378" s="105"/>
      <c r="CU378" s="105"/>
      <c r="CV378" s="105"/>
      <c r="CW378" s="105"/>
      <c r="CX378" s="105"/>
      <c r="CY378" s="105"/>
      <c r="CZ378" s="105"/>
      <c r="DA378" s="105"/>
      <c r="DB378" s="105"/>
      <c r="DC378" s="105"/>
      <c r="DD378" s="105"/>
      <c r="DE378" s="105"/>
      <c r="DF378" s="105"/>
      <c r="DG378" s="105"/>
      <c r="DH378" s="105"/>
      <c r="DI378" s="105"/>
      <c r="DJ378" s="105"/>
      <c r="DK378" s="105"/>
      <c r="DL378" s="105"/>
      <c r="DM378" s="105"/>
      <c r="DN378" s="105"/>
      <c r="DO378" s="105"/>
      <c r="DP378" s="105"/>
      <c r="DQ378" s="105"/>
      <c r="DR378" s="105"/>
      <c r="DS378" s="105"/>
      <c r="DT378" s="105"/>
      <c r="DU378" s="105"/>
      <c r="DV378" s="105"/>
      <c r="DW378" s="105"/>
      <c r="DX378" s="105"/>
      <c r="DY378" s="105"/>
      <c r="DZ378" s="105"/>
      <c r="EA378" s="105"/>
      <c r="EB378" s="105"/>
      <c r="EC378" s="105"/>
      <c r="ED378" s="105"/>
      <c r="EE378" s="105"/>
      <c r="EF378" s="105"/>
      <c r="EG378" s="105"/>
      <c r="EH378" s="105"/>
      <c r="EI378" s="105"/>
      <c r="EJ378" s="105"/>
      <c r="EK378" s="105"/>
      <c r="EL378" s="105"/>
      <c r="EM378" s="105"/>
      <c r="EN378" s="105"/>
      <c r="EO378" s="105"/>
      <c r="EP378" s="105"/>
      <c r="EQ378" s="105"/>
      <c r="ER378" s="105"/>
      <c r="ES378" s="105"/>
      <c r="ET378" s="105"/>
      <c r="EU378" s="105"/>
      <c r="EV378" s="105"/>
      <c r="EW378" s="105"/>
      <c r="EX378" s="105"/>
      <c r="EY378" s="105"/>
      <c r="EZ378" s="105"/>
      <c r="FA378" s="105"/>
      <c r="FB378" s="105"/>
      <c r="FC378" s="105"/>
      <c r="FD378" s="105"/>
      <c r="FE378" s="105"/>
      <c r="FF378" s="105"/>
      <c r="FG378" s="105"/>
      <c r="FH378" s="105"/>
      <c r="FI378" s="105"/>
      <c r="FJ378" s="105"/>
      <c r="FK378" s="105"/>
      <c r="FL378" s="105"/>
      <c r="FM378" s="105"/>
      <c r="FN378" s="105"/>
      <c r="FO378" s="105"/>
      <c r="FP378" s="105"/>
      <c r="FQ378" s="105"/>
      <c r="FR378" s="105"/>
      <c r="FS378" s="105"/>
      <c r="FT378" s="105"/>
      <c r="FU378" s="105"/>
      <c r="FV378" s="105"/>
      <c r="FW378" s="105"/>
      <c r="FX378" s="105"/>
      <c r="FY378" s="105"/>
      <c r="FZ378" s="105"/>
      <c r="GA378" s="105"/>
      <c r="GB378" s="105"/>
      <c r="GC378" s="105"/>
      <c r="GD378" s="105"/>
      <c r="GE378" s="105"/>
      <c r="GF378" s="105"/>
      <c r="GG378" s="105"/>
      <c r="GH378" s="105"/>
      <c r="GI378" s="105"/>
      <c r="GJ378" s="105"/>
      <c r="GK378" s="105"/>
      <c r="GL378" s="105"/>
      <c r="GM378" s="105"/>
      <c r="GN378" s="105"/>
      <c r="GO378" s="105"/>
      <c r="GP378" s="105"/>
      <c r="GQ378" s="105"/>
      <c r="GR378" s="105"/>
      <c r="GS378" s="105"/>
      <c r="GT378" s="105"/>
      <c r="GU378" s="105"/>
      <c r="GV378" s="105"/>
      <c r="GW378" s="105"/>
      <c r="GX378" s="105"/>
      <c r="GY378" s="105"/>
      <c r="GZ378" s="105"/>
      <c r="HA378" s="105"/>
      <c r="HB378" s="105"/>
      <c r="HC378" s="105"/>
      <c r="HD378" s="105"/>
      <c r="HE378" s="105"/>
      <c r="HF378" s="105"/>
      <c r="HG378" s="105"/>
      <c r="HH378" s="105"/>
      <c r="HI378" s="105"/>
      <c r="HJ378" s="105"/>
      <c r="HK378" s="105"/>
      <c r="HL378" s="105"/>
      <c r="HM378" s="105"/>
      <c r="HN378" s="105"/>
      <c r="HO378" s="105"/>
      <c r="HP378" s="105"/>
      <c r="HQ378" s="105"/>
      <c r="HR378" s="105"/>
      <c r="HS378" s="105"/>
      <c r="HT378" s="105"/>
      <c r="HU378" s="105"/>
      <c r="HV378" s="105"/>
      <c r="HW378" s="105"/>
      <c r="HX378" s="105"/>
      <c r="HY378" s="105"/>
      <c r="HZ378" s="105"/>
      <c r="IA378" s="105"/>
      <c r="IB378" s="105"/>
      <c r="IC378" s="105"/>
      <c r="ID378" s="105"/>
      <c r="IE378" s="105"/>
      <c r="IF378" s="105"/>
      <c r="IG378" s="105"/>
      <c r="IH378" s="105"/>
      <c r="II378" s="105"/>
      <c r="IJ378" s="105"/>
      <c r="IK378" s="105"/>
      <c r="IL378" s="105"/>
      <c r="IM378" s="105"/>
      <c r="IN378" s="105"/>
      <c r="IO378" s="105"/>
      <c r="IP378" s="105"/>
      <c r="IQ378" s="105"/>
      <c r="IR378" s="105"/>
      <c r="IS378" s="105"/>
    </row>
    <row r="379" spans="1:253">
      <c r="A379" s="116"/>
      <c r="B379" s="105"/>
      <c r="C379" s="116"/>
      <c r="D379" s="116"/>
      <c r="E379" s="116"/>
      <c r="F379" s="116"/>
      <c r="G379" s="116"/>
      <c r="H379" s="116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  <c r="BF379" s="105"/>
      <c r="BG379" s="105"/>
      <c r="BH379" s="105"/>
      <c r="BI379" s="105"/>
      <c r="BJ379" s="105"/>
      <c r="BK379" s="105"/>
      <c r="BL379" s="105"/>
      <c r="BM379" s="105"/>
      <c r="BN379" s="105"/>
      <c r="BO379" s="105"/>
      <c r="BP379" s="105"/>
      <c r="BQ379" s="105"/>
      <c r="BR379" s="105"/>
      <c r="BS379" s="105"/>
      <c r="BT379" s="105"/>
      <c r="BU379" s="105"/>
      <c r="BV379" s="105"/>
      <c r="BW379" s="105"/>
      <c r="BX379" s="105"/>
      <c r="BY379" s="105"/>
      <c r="BZ379" s="105"/>
      <c r="CA379" s="105"/>
      <c r="CB379" s="105"/>
      <c r="CC379" s="105"/>
      <c r="CD379" s="105"/>
      <c r="CE379" s="105"/>
      <c r="CF379" s="105"/>
      <c r="CG379" s="105"/>
      <c r="CH379" s="105"/>
      <c r="CI379" s="105"/>
      <c r="CJ379" s="105"/>
      <c r="CK379" s="105"/>
      <c r="CL379" s="105"/>
      <c r="CM379" s="105"/>
      <c r="CN379" s="105"/>
      <c r="CO379" s="105"/>
      <c r="CP379" s="105"/>
      <c r="CQ379" s="105"/>
      <c r="CR379" s="105"/>
      <c r="CS379" s="105"/>
      <c r="CT379" s="105"/>
      <c r="CU379" s="105"/>
      <c r="CV379" s="105"/>
      <c r="CW379" s="105"/>
      <c r="CX379" s="105"/>
      <c r="CY379" s="105"/>
      <c r="CZ379" s="105"/>
      <c r="DA379" s="105"/>
      <c r="DB379" s="105"/>
      <c r="DC379" s="105"/>
      <c r="DD379" s="105"/>
      <c r="DE379" s="105"/>
      <c r="DF379" s="105"/>
      <c r="DG379" s="105"/>
      <c r="DH379" s="105"/>
      <c r="DI379" s="105"/>
      <c r="DJ379" s="105"/>
      <c r="DK379" s="105"/>
      <c r="DL379" s="105"/>
      <c r="DM379" s="105"/>
      <c r="DN379" s="105"/>
      <c r="DO379" s="105"/>
      <c r="DP379" s="105"/>
      <c r="DQ379" s="105"/>
      <c r="DR379" s="105"/>
      <c r="DS379" s="105"/>
      <c r="DT379" s="105"/>
      <c r="DU379" s="105"/>
      <c r="DV379" s="105"/>
      <c r="DW379" s="105"/>
      <c r="DX379" s="105"/>
      <c r="DY379" s="105"/>
      <c r="DZ379" s="105"/>
      <c r="EA379" s="105"/>
      <c r="EB379" s="105"/>
      <c r="EC379" s="105"/>
      <c r="ED379" s="105"/>
      <c r="EE379" s="105"/>
      <c r="EF379" s="105"/>
      <c r="EG379" s="105"/>
      <c r="EH379" s="105"/>
      <c r="EI379" s="105"/>
      <c r="EJ379" s="105"/>
      <c r="EK379" s="105"/>
      <c r="EL379" s="105"/>
      <c r="EM379" s="105"/>
      <c r="EN379" s="105"/>
      <c r="EO379" s="105"/>
      <c r="EP379" s="105"/>
      <c r="EQ379" s="105"/>
      <c r="ER379" s="105"/>
      <c r="ES379" s="105"/>
      <c r="ET379" s="105"/>
      <c r="EU379" s="105"/>
      <c r="EV379" s="105"/>
      <c r="EW379" s="105"/>
      <c r="EX379" s="105"/>
      <c r="EY379" s="105"/>
      <c r="EZ379" s="105"/>
      <c r="FA379" s="105"/>
      <c r="FB379" s="105"/>
      <c r="FC379" s="105"/>
      <c r="FD379" s="105"/>
      <c r="FE379" s="105"/>
      <c r="FF379" s="105"/>
      <c r="FG379" s="105"/>
      <c r="FH379" s="105"/>
      <c r="FI379" s="105"/>
      <c r="FJ379" s="105"/>
      <c r="FK379" s="105"/>
      <c r="FL379" s="105"/>
      <c r="FM379" s="105"/>
      <c r="FN379" s="105"/>
      <c r="FO379" s="105"/>
      <c r="FP379" s="105"/>
      <c r="FQ379" s="105"/>
      <c r="FR379" s="105"/>
      <c r="FS379" s="105"/>
      <c r="FT379" s="105"/>
      <c r="FU379" s="105"/>
      <c r="FV379" s="105"/>
      <c r="FW379" s="105"/>
      <c r="FX379" s="105"/>
      <c r="FY379" s="105"/>
      <c r="FZ379" s="105"/>
      <c r="GA379" s="105"/>
      <c r="GB379" s="105"/>
      <c r="GC379" s="105"/>
      <c r="GD379" s="105"/>
      <c r="GE379" s="105"/>
      <c r="GF379" s="105"/>
      <c r="GG379" s="105"/>
      <c r="GH379" s="105"/>
      <c r="GI379" s="105"/>
      <c r="GJ379" s="105"/>
      <c r="GK379" s="105"/>
      <c r="GL379" s="105"/>
      <c r="GM379" s="105"/>
      <c r="GN379" s="105"/>
      <c r="GO379" s="105"/>
      <c r="GP379" s="105"/>
      <c r="GQ379" s="105"/>
      <c r="GR379" s="105"/>
      <c r="GS379" s="105"/>
      <c r="GT379" s="105"/>
      <c r="GU379" s="105"/>
      <c r="GV379" s="105"/>
      <c r="GW379" s="105"/>
      <c r="GX379" s="105"/>
      <c r="GY379" s="105"/>
      <c r="GZ379" s="105"/>
      <c r="HA379" s="105"/>
      <c r="HB379" s="105"/>
      <c r="HC379" s="105"/>
      <c r="HD379" s="105"/>
      <c r="HE379" s="105"/>
      <c r="HF379" s="105"/>
      <c r="HG379" s="105"/>
      <c r="HH379" s="105"/>
      <c r="HI379" s="105"/>
      <c r="HJ379" s="105"/>
      <c r="HK379" s="105"/>
      <c r="HL379" s="105"/>
      <c r="HM379" s="105"/>
      <c r="HN379" s="105"/>
      <c r="HO379" s="105"/>
      <c r="HP379" s="105"/>
      <c r="HQ379" s="105"/>
      <c r="HR379" s="105"/>
      <c r="HS379" s="105"/>
      <c r="HT379" s="105"/>
      <c r="HU379" s="105"/>
      <c r="HV379" s="105"/>
      <c r="HW379" s="105"/>
      <c r="HX379" s="105"/>
      <c r="HY379" s="105"/>
      <c r="HZ379" s="105"/>
      <c r="IA379" s="105"/>
      <c r="IB379" s="105"/>
      <c r="IC379" s="105"/>
      <c r="ID379" s="105"/>
      <c r="IE379" s="105"/>
      <c r="IF379" s="105"/>
      <c r="IG379" s="105"/>
      <c r="IH379" s="105"/>
      <c r="II379" s="105"/>
      <c r="IJ379" s="105"/>
      <c r="IK379" s="105"/>
      <c r="IL379" s="105"/>
      <c r="IM379" s="105"/>
      <c r="IN379" s="105"/>
      <c r="IO379" s="105"/>
      <c r="IP379" s="105"/>
      <c r="IQ379" s="105"/>
      <c r="IR379" s="105"/>
      <c r="IS379" s="105"/>
    </row>
    <row r="380" spans="1:253">
      <c r="A380" s="116"/>
      <c r="B380" s="105"/>
      <c r="C380" s="116"/>
      <c r="D380" s="116"/>
      <c r="E380" s="116"/>
      <c r="F380" s="116"/>
      <c r="G380" s="116"/>
      <c r="H380" s="116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  <c r="BF380" s="105"/>
      <c r="BG380" s="105"/>
      <c r="BH380" s="105"/>
      <c r="BI380" s="105"/>
      <c r="BJ380" s="105"/>
      <c r="BK380" s="105"/>
      <c r="BL380" s="105"/>
      <c r="BM380" s="105"/>
      <c r="BN380" s="105"/>
      <c r="BO380" s="105"/>
      <c r="BP380" s="105"/>
      <c r="BQ380" s="105"/>
      <c r="BR380" s="105"/>
      <c r="BS380" s="105"/>
      <c r="BT380" s="105"/>
      <c r="BU380" s="105"/>
      <c r="BV380" s="105"/>
      <c r="BW380" s="105"/>
      <c r="BX380" s="105"/>
      <c r="BY380" s="105"/>
      <c r="BZ380" s="105"/>
      <c r="CA380" s="105"/>
      <c r="CB380" s="105"/>
      <c r="CC380" s="105"/>
      <c r="CD380" s="105"/>
      <c r="CE380" s="105"/>
      <c r="CF380" s="105"/>
      <c r="CG380" s="105"/>
      <c r="CH380" s="105"/>
      <c r="CI380" s="105"/>
      <c r="CJ380" s="105"/>
      <c r="CK380" s="105"/>
      <c r="CL380" s="105"/>
      <c r="CM380" s="105"/>
      <c r="CN380" s="105"/>
      <c r="CO380" s="105"/>
      <c r="CP380" s="105"/>
      <c r="CQ380" s="105"/>
      <c r="CR380" s="105"/>
      <c r="CS380" s="105"/>
      <c r="CT380" s="105"/>
      <c r="CU380" s="105"/>
      <c r="CV380" s="105"/>
      <c r="CW380" s="105"/>
      <c r="CX380" s="105"/>
      <c r="CY380" s="105"/>
      <c r="CZ380" s="105"/>
      <c r="DA380" s="105"/>
      <c r="DB380" s="105"/>
      <c r="DC380" s="105"/>
      <c r="DD380" s="105"/>
      <c r="DE380" s="105"/>
      <c r="DF380" s="105"/>
      <c r="DG380" s="105"/>
      <c r="DH380" s="105"/>
      <c r="DI380" s="105"/>
      <c r="DJ380" s="105"/>
      <c r="DK380" s="105"/>
      <c r="DL380" s="105"/>
      <c r="DM380" s="105"/>
      <c r="DN380" s="105"/>
      <c r="DO380" s="105"/>
      <c r="DP380" s="105"/>
      <c r="DQ380" s="105"/>
      <c r="DR380" s="105"/>
      <c r="DS380" s="105"/>
      <c r="DT380" s="105"/>
      <c r="DU380" s="105"/>
      <c r="DV380" s="105"/>
      <c r="DW380" s="105"/>
      <c r="DX380" s="105"/>
      <c r="DY380" s="105"/>
      <c r="DZ380" s="105"/>
      <c r="EA380" s="105"/>
      <c r="EB380" s="105"/>
      <c r="EC380" s="105"/>
      <c r="ED380" s="105"/>
      <c r="EE380" s="105"/>
      <c r="EF380" s="105"/>
      <c r="EG380" s="105"/>
      <c r="EH380" s="105"/>
      <c r="EI380" s="105"/>
      <c r="EJ380" s="105"/>
      <c r="EK380" s="105"/>
      <c r="EL380" s="105"/>
      <c r="EM380" s="105"/>
      <c r="EN380" s="105"/>
      <c r="EO380" s="105"/>
      <c r="EP380" s="105"/>
      <c r="EQ380" s="105"/>
      <c r="ER380" s="105"/>
      <c r="ES380" s="105"/>
      <c r="ET380" s="105"/>
      <c r="EU380" s="105"/>
      <c r="EV380" s="105"/>
      <c r="EW380" s="105"/>
      <c r="EX380" s="105"/>
      <c r="EY380" s="105"/>
      <c r="EZ380" s="105"/>
      <c r="FA380" s="105"/>
      <c r="FB380" s="105"/>
      <c r="FC380" s="105"/>
      <c r="FD380" s="105"/>
      <c r="FE380" s="105"/>
      <c r="FF380" s="105"/>
      <c r="FG380" s="105"/>
      <c r="FH380" s="105"/>
      <c r="FI380" s="105"/>
      <c r="FJ380" s="105"/>
      <c r="FK380" s="105"/>
      <c r="FL380" s="105"/>
      <c r="FM380" s="105"/>
      <c r="FN380" s="105"/>
      <c r="FO380" s="105"/>
      <c r="FP380" s="105"/>
      <c r="FQ380" s="105"/>
      <c r="FR380" s="105"/>
      <c r="FS380" s="105"/>
      <c r="FT380" s="105"/>
      <c r="FU380" s="105"/>
      <c r="FV380" s="105"/>
      <c r="FW380" s="105"/>
      <c r="FX380" s="105"/>
      <c r="FY380" s="105"/>
      <c r="FZ380" s="105"/>
      <c r="GA380" s="105"/>
      <c r="GB380" s="105"/>
      <c r="GC380" s="105"/>
      <c r="GD380" s="105"/>
      <c r="GE380" s="105"/>
      <c r="GF380" s="105"/>
      <c r="GG380" s="105"/>
      <c r="GH380" s="105"/>
      <c r="GI380" s="105"/>
      <c r="GJ380" s="105"/>
      <c r="GK380" s="105"/>
      <c r="GL380" s="105"/>
      <c r="GM380" s="105"/>
      <c r="GN380" s="105"/>
      <c r="GO380" s="105"/>
      <c r="GP380" s="105"/>
      <c r="GQ380" s="105"/>
      <c r="GR380" s="105"/>
      <c r="GS380" s="105"/>
      <c r="GT380" s="105"/>
      <c r="GU380" s="105"/>
      <c r="GV380" s="105"/>
      <c r="GW380" s="105"/>
      <c r="GX380" s="105"/>
      <c r="GY380" s="105"/>
      <c r="GZ380" s="105"/>
      <c r="HA380" s="105"/>
      <c r="HB380" s="105"/>
      <c r="HC380" s="105"/>
      <c r="HD380" s="105"/>
      <c r="HE380" s="105"/>
      <c r="HF380" s="105"/>
      <c r="HG380" s="105"/>
      <c r="HH380" s="105"/>
      <c r="HI380" s="105"/>
      <c r="HJ380" s="105"/>
      <c r="HK380" s="105"/>
      <c r="HL380" s="105"/>
      <c r="HM380" s="105"/>
      <c r="HN380" s="105"/>
      <c r="HO380" s="105"/>
      <c r="HP380" s="105"/>
      <c r="HQ380" s="105"/>
      <c r="HR380" s="105"/>
      <c r="HS380" s="105"/>
      <c r="HT380" s="105"/>
      <c r="HU380" s="105"/>
      <c r="HV380" s="105"/>
      <c r="HW380" s="105"/>
      <c r="HX380" s="105"/>
      <c r="HY380" s="105"/>
      <c r="HZ380" s="105"/>
      <c r="IA380" s="105"/>
      <c r="IB380" s="105"/>
      <c r="IC380" s="105"/>
      <c r="ID380" s="105"/>
      <c r="IE380" s="105"/>
      <c r="IF380" s="105"/>
      <c r="IG380" s="105"/>
      <c r="IH380" s="105"/>
      <c r="II380" s="105"/>
      <c r="IJ380" s="105"/>
      <c r="IK380" s="105"/>
      <c r="IL380" s="105"/>
      <c r="IM380" s="105"/>
      <c r="IN380" s="105"/>
      <c r="IO380" s="105"/>
      <c r="IP380" s="105"/>
      <c r="IQ380" s="105"/>
      <c r="IR380" s="105"/>
      <c r="IS380" s="105"/>
    </row>
    <row r="381" spans="1:253">
      <c r="A381" s="116"/>
      <c r="B381" s="105"/>
      <c r="C381" s="116"/>
      <c r="D381" s="116"/>
      <c r="E381" s="116"/>
      <c r="F381" s="116"/>
      <c r="G381" s="116"/>
      <c r="H381" s="116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  <c r="BF381" s="105"/>
      <c r="BG381" s="105"/>
      <c r="BH381" s="105"/>
      <c r="BI381" s="105"/>
      <c r="BJ381" s="105"/>
      <c r="BK381" s="105"/>
      <c r="BL381" s="105"/>
      <c r="BM381" s="105"/>
      <c r="BN381" s="105"/>
      <c r="BO381" s="105"/>
      <c r="BP381" s="105"/>
      <c r="BQ381" s="105"/>
      <c r="BR381" s="105"/>
      <c r="BS381" s="105"/>
      <c r="BT381" s="105"/>
      <c r="BU381" s="105"/>
      <c r="BV381" s="105"/>
      <c r="BW381" s="105"/>
      <c r="BX381" s="105"/>
      <c r="BY381" s="105"/>
      <c r="BZ381" s="105"/>
      <c r="CA381" s="105"/>
      <c r="CB381" s="105"/>
      <c r="CC381" s="105"/>
      <c r="CD381" s="105"/>
      <c r="CE381" s="105"/>
      <c r="CF381" s="105"/>
      <c r="CG381" s="105"/>
      <c r="CH381" s="105"/>
      <c r="CI381" s="105"/>
      <c r="CJ381" s="105"/>
      <c r="CK381" s="105"/>
      <c r="CL381" s="105"/>
      <c r="CM381" s="105"/>
      <c r="CN381" s="105"/>
      <c r="CO381" s="105"/>
      <c r="CP381" s="105"/>
      <c r="CQ381" s="105"/>
      <c r="CR381" s="105"/>
      <c r="CS381" s="105"/>
      <c r="CT381" s="105"/>
      <c r="CU381" s="105"/>
      <c r="CV381" s="105"/>
      <c r="CW381" s="105"/>
      <c r="CX381" s="105"/>
      <c r="CY381" s="105"/>
      <c r="CZ381" s="105"/>
      <c r="DA381" s="105"/>
      <c r="DB381" s="105"/>
      <c r="DC381" s="105"/>
      <c r="DD381" s="105"/>
      <c r="DE381" s="105"/>
      <c r="DF381" s="105"/>
      <c r="DG381" s="105"/>
      <c r="DH381" s="105"/>
      <c r="DI381" s="105"/>
      <c r="DJ381" s="105"/>
      <c r="DK381" s="105"/>
      <c r="DL381" s="105"/>
      <c r="DM381" s="105"/>
      <c r="DN381" s="105"/>
      <c r="DO381" s="105"/>
      <c r="DP381" s="105"/>
      <c r="DQ381" s="105"/>
      <c r="DR381" s="105"/>
      <c r="DS381" s="105"/>
      <c r="DT381" s="105"/>
      <c r="DU381" s="105"/>
      <c r="DV381" s="105"/>
      <c r="DW381" s="105"/>
      <c r="DX381" s="105"/>
      <c r="DY381" s="105"/>
      <c r="DZ381" s="105"/>
      <c r="EA381" s="105"/>
      <c r="EB381" s="105"/>
      <c r="EC381" s="105"/>
      <c r="ED381" s="105"/>
      <c r="EE381" s="105"/>
      <c r="EF381" s="105"/>
      <c r="EG381" s="105"/>
      <c r="EH381" s="105"/>
      <c r="EI381" s="105"/>
      <c r="EJ381" s="105"/>
      <c r="EK381" s="105"/>
      <c r="EL381" s="105"/>
      <c r="EM381" s="105"/>
      <c r="EN381" s="105"/>
      <c r="EO381" s="105"/>
      <c r="EP381" s="105"/>
      <c r="EQ381" s="105"/>
      <c r="ER381" s="105"/>
      <c r="ES381" s="105"/>
      <c r="ET381" s="105"/>
      <c r="EU381" s="105"/>
      <c r="EV381" s="105"/>
      <c r="EW381" s="105"/>
      <c r="EX381" s="105"/>
      <c r="EY381" s="105"/>
      <c r="EZ381" s="105"/>
      <c r="FA381" s="105"/>
      <c r="FB381" s="105"/>
      <c r="FC381" s="105"/>
      <c r="FD381" s="105"/>
      <c r="FE381" s="105"/>
      <c r="FF381" s="105"/>
      <c r="FG381" s="105"/>
      <c r="FH381" s="105"/>
      <c r="FI381" s="105"/>
      <c r="FJ381" s="105"/>
      <c r="FK381" s="105"/>
      <c r="FL381" s="105"/>
      <c r="FM381" s="105"/>
      <c r="FN381" s="105"/>
      <c r="FO381" s="105"/>
      <c r="FP381" s="105"/>
      <c r="FQ381" s="105"/>
      <c r="FR381" s="105"/>
      <c r="FS381" s="105"/>
      <c r="FT381" s="105"/>
      <c r="FU381" s="105"/>
      <c r="FV381" s="105"/>
      <c r="FW381" s="105"/>
      <c r="FX381" s="105"/>
      <c r="FY381" s="105"/>
      <c r="FZ381" s="105"/>
      <c r="GA381" s="105"/>
      <c r="GB381" s="105"/>
      <c r="GC381" s="105"/>
      <c r="GD381" s="105"/>
      <c r="GE381" s="105"/>
      <c r="GF381" s="105"/>
      <c r="GG381" s="105"/>
      <c r="GH381" s="105"/>
      <c r="GI381" s="105"/>
      <c r="GJ381" s="105"/>
      <c r="GK381" s="105"/>
      <c r="GL381" s="105"/>
      <c r="GM381" s="105"/>
      <c r="GN381" s="105"/>
      <c r="GO381" s="105"/>
      <c r="GP381" s="105"/>
      <c r="GQ381" s="105"/>
      <c r="GR381" s="105"/>
      <c r="GS381" s="105"/>
      <c r="GT381" s="105"/>
      <c r="GU381" s="105"/>
      <c r="GV381" s="105"/>
      <c r="GW381" s="105"/>
      <c r="GX381" s="105"/>
      <c r="GY381" s="105"/>
      <c r="GZ381" s="105"/>
      <c r="HA381" s="105"/>
      <c r="HB381" s="105"/>
      <c r="HC381" s="105"/>
      <c r="HD381" s="105"/>
      <c r="HE381" s="105"/>
      <c r="HF381" s="105"/>
      <c r="HG381" s="105"/>
      <c r="HH381" s="105"/>
      <c r="HI381" s="105"/>
      <c r="HJ381" s="105"/>
      <c r="HK381" s="105"/>
      <c r="HL381" s="105"/>
      <c r="HM381" s="105"/>
      <c r="HN381" s="105"/>
      <c r="HO381" s="105"/>
      <c r="HP381" s="105"/>
      <c r="HQ381" s="105"/>
      <c r="HR381" s="105"/>
      <c r="HS381" s="105"/>
      <c r="HT381" s="105"/>
      <c r="HU381" s="105"/>
      <c r="HV381" s="105"/>
      <c r="HW381" s="105"/>
      <c r="HX381" s="105"/>
      <c r="HY381" s="105"/>
      <c r="HZ381" s="105"/>
      <c r="IA381" s="105"/>
      <c r="IB381" s="105"/>
      <c r="IC381" s="105"/>
      <c r="ID381" s="105"/>
      <c r="IE381" s="105"/>
      <c r="IF381" s="105"/>
      <c r="IG381" s="105"/>
      <c r="IH381" s="105"/>
      <c r="II381" s="105"/>
      <c r="IJ381" s="105"/>
      <c r="IK381" s="105"/>
      <c r="IL381" s="105"/>
      <c r="IM381" s="105"/>
      <c r="IN381" s="105"/>
      <c r="IO381" s="105"/>
      <c r="IP381" s="105"/>
      <c r="IQ381" s="105"/>
      <c r="IR381" s="105"/>
      <c r="IS381" s="105"/>
    </row>
    <row r="382" spans="1:253">
      <c r="A382" s="116"/>
      <c r="B382" s="105"/>
      <c r="C382" s="116"/>
      <c r="D382" s="116"/>
      <c r="E382" s="116"/>
      <c r="F382" s="116"/>
      <c r="G382" s="116"/>
      <c r="H382" s="116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  <c r="BF382" s="105"/>
      <c r="BG382" s="105"/>
      <c r="BH382" s="105"/>
      <c r="BI382" s="105"/>
      <c r="BJ382" s="105"/>
      <c r="BK382" s="105"/>
      <c r="BL382" s="105"/>
      <c r="BM382" s="105"/>
      <c r="BN382" s="105"/>
      <c r="BO382" s="105"/>
      <c r="BP382" s="105"/>
      <c r="BQ382" s="105"/>
      <c r="BR382" s="105"/>
      <c r="BS382" s="105"/>
      <c r="BT382" s="105"/>
      <c r="BU382" s="105"/>
      <c r="BV382" s="105"/>
      <c r="BW382" s="105"/>
      <c r="BX382" s="105"/>
      <c r="BY382" s="105"/>
      <c r="BZ382" s="105"/>
      <c r="CA382" s="105"/>
      <c r="CB382" s="105"/>
      <c r="CC382" s="105"/>
      <c r="CD382" s="105"/>
      <c r="CE382" s="105"/>
      <c r="CF382" s="105"/>
      <c r="CG382" s="105"/>
      <c r="CH382" s="105"/>
      <c r="CI382" s="105"/>
      <c r="CJ382" s="105"/>
      <c r="CK382" s="105"/>
      <c r="CL382" s="105"/>
      <c r="CM382" s="105"/>
      <c r="CN382" s="105"/>
      <c r="CO382" s="105"/>
      <c r="CP382" s="105"/>
      <c r="CQ382" s="105"/>
      <c r="CR382" s="105"/>
      <c r="CS382" s="105"/>
      <c r="CT382" s="105"/>
      <c r="CU382" s="105"/>
      <c r="CV382" s="105"/>
      <c r="CW382" s="105"/>
      <c r="CX382" s="105"/>
      <c r="CY382" s="105"/>
      <c r="CZ382" s="105"/>
      <c r="DA382" s="105"/>
      <c r="DB382" s="105"/>
      <c r="DC382" s="105"/>
      <c r="DD382" s="105"/>
      <c r="DE382" s="105"/>
      <c r="DF382" s="105"/>
      <c r="DG382" s="105"/>
      <c r="DH382" s="105"/>
      <c r="DI382" s="105"/>
      <c r="DJ382" s="105"/>
      <c r="DK382" s="105"/>
      <c r="DL382" s="105"/>
      <c r="DM382" s="105"/>
      <c r="DN382" s="105"/>
      <c r="DO382" s="105"/>
      <c r="DP382" s="105"/>
      <c r="DQ382" s="105"/>
      <c r="DR382" s="105"/>
      <c r="DS382" s="105"/>
      <c r="DT382" s="105"/>
      <c r="DU382" s="105"/>
      <c r="DV382" s="105"/>
      <c r="DW382" s="105"/>
      <c r="DX382" s="105"/>
      <c r="DY382" s="105"/>
      <c r="DZ382" s="105"/>
      <c r="EA382" s="105"/>
      <c r="EB382" s="105"/>
      <c r="EC382" s="105"/>
      <c r="ED382" s="105"/>
      <c r="EE382" s="105"/>
      <c r="EF382" s="105"/>
      <c r="EG382" s="105"/>
      <c r="EH382" s="105"/>
      <c r="EI382" s="105"/>
      <c r="EJ382" s="105"/>
      <c r="EK382" s="105"/>
      <c r="EL382" s="105"/>
      <c r="EM382" s="105"/>
      <c r="EN382" s="105"/>
      <c r="EO382" s="105"/>
      <c r="EP382" s="105"/>
      <c r="EQ382" s="105"/>
      <c r="ER382" s="105"/>
      <c r="ES382" s="105"/>
      <c r="ET382" s="105"/>
      <c r="EU382" s="105"/>
      <c r="EV382" s="105"/>
      <c r="EW382" s="105"/>
      <c r="EX382" s="105"/>
      <c r="EY382" s="105"/>
      <c r="EZ382" s="105"/>
      <c r="FA382" s="105"/>
      <c r="FB382" s="105"/>
      <c r="FC382" s="105"/>
      <c r="FD382" s="105"/>
      <c r="FE382" s="105"/>
      <c r="FF382" s="105"/>
      <c r="FG382" s="105"/>
      <c r="FH382" s="105"/>
      <c r="FI382" s="105"/>
      <c r="FJ382" s="105"/>
      <c r="FK382" s="105"/>
      <c r="FL382" s="105"/>
      <c r="FM382" s="105"/>
      <c r="FN382" s="105"/>
      <c r="FO382" s="105"/>
      <c r="FP382" s="105"/>
      <c r="FQ382" s="105"/>
      <c r="FR382" s="105"/>
      <c r="FS382" s="105"/>
      <c r="FT382" s="105"/>
      <c r="FU382" s="105"/>
      <c r="FV382" s="105"/>
      <c r="FW382" s="105"/>
      <c r="FX382" s="105"/>
      <c r="FY382" s="105"/>
      <c r="FZ382" s="105"/>
      <c r="GA382" s="105"/>
      <c r="GB382" s="105"/>
      <c r="GC382" s="105"/>
      <c r="GD382" s="105"/>
      <c r="GE382" s="105"/>
      <c r="GF382" s="105"/>
      <c r="GG382" s="105"/>
      <c r="GH382" s="105"/>
      <c r="GI382" s="105"/>
      <c r="GJ382" s="105"/>
      <c r="GK382" s="105"/>
      <c r="GL382" s="105"/>
      <c r="GM382" s="105"/>
      <c r="GN382" s="105"/>
      <c r="GO382" s="105"/>
      <c r="GP382" s="105"/>
      <c r="GQ382" s="105"/>
      <c r="GR382" s="105"/>
      <c r="GS382" s="105"/>
      <c r="GT382" s="105"/>
      <c r="GU382" s="105"/>
      <c r="GV382" s="105"/>
      <c r="GW382" s="105"/>
      <c r="GX382" s="105"/>
      <c r="GY382" s="105"/>
      <c r="GZ382" s="105"/>
      <c r="HA382" s="105"/>
      <c r="HB382" s="105"/>
      <c r="HC382" s="105"/>
      <c r="HD382" s="105"/>
      <c r="HE382" s="105"/>
      <c r="HF382" s="105"/>
      <c r="HG382" s="105"/>
      <c r="HH382" s="105"/>
      <c r="HI382" s="105"/>
      <c r="HJ382" s="105"/>
      <c r="HK382" s="105"/>
      <c r="HL382" s="105"/>
      <c r="HM382" s="105"/>
      <c r="HN382" s="105"/>
      <c r="HO382" s="105"/>
      <c r="HP382" s="105"/>
      <c r="HQ382" s="105"/>
      <c r="HR382" s="105"/>
      <c r="HS382" s="105"/>
      <c r="HT382" s="105"/>
      <c r="HU382" s="105"/>
      <c r="HV382" s="105"/>
      <c r="HW382" s="105"/>
      <c r="HX382" s="105"/>
      <c r="HY382" s="105"/>
      <c r="HZ382" s="105"/>
      <c r="IA382" s="105"/>
      <c r="IB382" s="105"/>
      <c r="IC382" s="105"/>
      <c r="ID382" s="105"/>
      <c r="IE382" s="105"/>
      <c r="IF382" s="105"/>
      <c r="IG382" s="105"/>
      <c r="IH382" s="105"/>
      <c r="II382" s="105"/>
      <c r="IJ382" s="105"/>
      <c r="IK382" s="105"/>
      <c r="IL382" s="105"/>
      <c r="IM382" s="105"/>
      <c r="IN382" s="105"/>
      <c r="IO382" s="105"/>
      <c r="IP382" s="105"/>
      <c r="IQ382" s="105"/>
      <c r="IR382" s="105"/>
      <c r="IS382" s="105"/>
    </row>
    <row r="383" spans="1:253">
      <c r="A383" s="116"/>
      <c r="B383" s="105"/>
      <c r="C383" s="116"/>
      <c r="D383" s="116"/>
      <c r="E383" s="116"/>
      <c r="F383" s="116"/>
      <c r="G383" s="116"/>
      <c r="H383" s="116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  <c r="BF383" s="105"/>
      <c r="BG383" s="105"/>
      <c r="BH383" s="105"/>
      <c r="BI383" s="105"/>
      <c r="BJ383" s="105"/>
      <c r="BK383" s="105"/>
      <c r="BL383" s="105"/>
      <c r="BM383" s="105"/>
      <c r="BN383" s="105"/>
      <c r="BO383" s="105"/>
      <c r="BP383" s="105"/>
      <c r="BQ383" s="105"/>
      <c r="BR383" s="105"/>
      <c r="BS383" s="105"/>
      <c r="BT383" s="105"/>
      <c r="BU383" s="105"/>
      <c r="BV383" s="105"/>
      <c r="BW383" s="105"/>
      <c r="BX383" s="105"/>
      <c r="BY383" s="105"/>
      <c r="BZ383" s="105"/>
      <c r="CA383" s="105"/>
      <c r="CB383" s="105"/>
      <c r="CC383" s="105"/>
      <c r="CD383" s="105"/>
      <c r="CE383" s="105"/>
      <c r="CF383" s="105"/>
      <c r="CG383" s="105"/>
      <c r="CH383" s="105"/>
      <c r="CI383" s="105"/>
      <c r="CJ383" s="105"/>
      <c r="CK383" s="105"/>
      <c r="CL383" s="105"/>
      <c r="CM383" s="105"/>
      <c r="CN383" s="105"/>
      <c r="CO383" s="105"/>
      <c r="CP383" s="105"/>
      <c r="CQ383" s="105"/>
      <c r="CR383" s="105"/>
      <c r="CS383" s="105"/>
      <c r="CT383" s="105"/>
      <c r="CU383" s="105"/>
      <c r="CV383" s="105"/>
      <c r="CW383" s="105"/>
      <c r="CX383" s="105"/>
      <c r="CY383" s="105"/>
      <c r="CZ383" s="105"/>
      <c r="DA383" s="105"/>
      <c r="DB383" s="105"/>
      <c r="DC383" s="105"/>
      <c r="DD383" s="105"/>
      <c r="DE383" s="105"/>
      <c r="DF383" s="105"/>
      <c r="DG383" s="105"/>
      <c r="DH383" s="105"/>
      <c r="DI383" s="105"/>
      <c r="DJ383" s="105"/>
      <c r="DK383" s="105"/>
      <c r="DL383" s="105"/>
      <c r="DM383" s="105"/>
      <c r="DN383" s="105"/>
      <c r="DO383" s="105"/>
      <c r="DP383" s="105"/>
      <c r="DQ383" s="105"/>
      <c r="DR383" s="105"/>
      <c r="DS383" s="105"/>
      <c r="DT383" s="105"/>
      <c r="DU383" s="105"/>
      <c r="DV383" s="105"/>
      <c r="DW383" s="105"/>
      <c r="DX383" s="105"/>
      <c r="DY383" s="105"/>
      <c r="DZ383" s="105"/>
      <c r="EA383" s="105"/>
      <c r="EB383" s="105"/>
      <c r="EC383" s="105"/>
      <c r="ED383" s="105"/>
      <c r="EE383" s="105"/>
      <c r="EF383" s="105"/>
      <c r="EG383" s="105"/>
      <c r="EH383" s="105"/>
      <c r="EI383" s="105"/>
      <c r="EJ383" s="105"/>
      <c r="EK383" s="105"/>
      <c r="EL383" s="105"/>
      <c r="EM383" s="105"/>
      <c r="EN383" s="105"/>
      <c r="EO383" s="105"/>
      <c r="EP383" s="105"/>
      <c r="EQ383" s="105"/>
      <c r="ER383" s="105"/>
      <c r="ES383" s="105"/>
      <c r="ET383" s="105"/>
      <c r="EU383" s="105"/>
      <c r="EV383" s="105"/>
      <c r="EW383" s="105"/>
      <c r="EX383" s="105"/>
      <c r="EY383" s="105"/>
      <c r="EZ383" s="105"/>
      <c r="FA383" s="105"/>
      <c r="FB383" s="105"/>
      <c r="FC383" s="105"/>
      <c r="FD383" s="105"/>
      <c r="FE383" s="105"/>
      <c r="FF383" s="105"/>
      <c r="FG383" s="105"/>
      <c r="FH383" s="105"/>
      <c r="FI383" s="105"/>
      <c r="FJ383" s="105"/>
      <c r="FK383" s="105"/>
      <c r="FL383" s="105"/>
      <c r="FM383" s="105"/>
      <c r="FN383" s="105"/>
      <c r="FO383" s="105"/>
      <c r="FP383" s="105"/>
      <c r="FQ383" s="105"/>
      <c r="FR383" s="105"/>
      <c r="FS383" s="105"/>
      <c r="FT383" s="105"/>
      <c r="FU383" s="105"/>
      <c r="FV383" s="105"/>
      <c r="FW383" s="105"/>
      <c r="FX383" s="105"/>
      <c r="FY383" s="105"/>
      <c r="FZ383" s="105"/>
      <c r="GA383" s="105"/>
      <c r="GB383" s="105"/>
      <c r="GC383" s="105"/>
      <c r="GD383" s="105"/>
      <c r="GE383" s="105"/>
      <c r="GF383" s="105"/>
      <c r="GG383" s="105"/>
      <c r="GH383" s="105"/>
      <c r="GI383" s="105"/>
      <c r="GJ383" s="105"/>
      <c r="GK383" s="105"/>
      <c r="GL383" s="105"/>
      <c r="GM383" s="105"/>
      <c r="GN383" s="105"/>
      <c r="GO383" s="105"/>
      <c r="GP383" s="105"/>
      <c r="GQ383" s="105"/>
      <c r="GR383" s="105"/>
      <c r="GS383" s="105"/>
      <c r="GT383" s="105"/>
      <c r="GU383" s="105"/>
      <c r="GV383" s="105"/>
      <c r="GW383" s="105"/>
      <c r="GX383" s="105"/>
      <c r="GY383" s="105"/>
      <c r="GZ383" s="105"/>
      <c r="HA383" s="105"/>
      <c r="HB383" s="105"/>
      <c r="HC383" s="105"/>
      <c r="HD383" s="105"/>
      <c r="HE383" s="105"/>
      <c r="HF383" s="105"/>
      <c r="HG383" s="105"/>
      <c r="HH383" s="105"/>
      <c r="HI383" s="105"/>
      <c r="HJ383" s="105"/>
      <c r="HK383" s="105"/>
      <c r="HL383" s="105"/>
      <c r="HM383" s="105"/>
      <c r="HN383" s="105"/>
      <c r="HO383" s="105"/>
      <c r="HP383" s="105"/>
      <c r="HQ383" s="105"/>
      <c r="HR383" s="105"/>
      <c r="HS383" s="105"/>
      <c r="HT383" s="105"/>
      <c r="HU383" s="105"/>
      <c r="HV383" s="105"/>
      <c r="HW383" s="105"/>
      <c r="HX383" s="105"/>
      <c r="HY383" s="105"/>
      <c r="HZ383" s="105"/>
      <c r="IA383" s="105"/>
      <c r="IB383" s="105"/>
      <c r="IC383" s="105"/>
      <c r="ID383" s="105"/>
      <c r="IE383" s="105"/>
      <c r="IF383" s="105"/>
      <c r="IG383" s="105"/>
      <c r="IH383" s="105"/>
      <c r="II383" s="105"/>
      <c r="IJ383" s="105"/>
      <c r="IK383" s="105"/>
      <c r="IL383" s="105"/>
      <c r="IM383" s="105"/>
      <c r="IN383" s="105"/>
      <c r="IO383" s="105"/>
      <c r="IP383" s="105"/>
      <c r="IQ383" s="105"/>
      <c r="IR383" s="105"/>
      <c r="IS383" s="105"/>
    </row>
    <row r="384" spans="1:253">
      <c r="A384" s="116"/>
      <c r="B384" s="105"/>
      <c r="C384" s="116"/>
      <c r="D384" s="116"/>
      <c r="E384" s="116"/>
      <c r="F384" s="116"/>
      <c r="G384" s="116"/>
      <c r="H384" s="116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  <c r="BF384" s="105"/>
      <c r="BG384" s="105"/>
      <c r="BH384" s="105"/>
      <c r="BI384" s="105"/>
      <c r="BJ384" s="105"/>
      <c r="BK384" s="105"/>
      <c r="BL384" s="105"/>
      <c r="BM384" s="105"/>
      <c r="BN384" s="105"/>
      <c r="BO384" s="105"/>
      <c r="BP384" s="105"/>
      <c r="BQ384" s="105"/>
      <c r="BR384" s="105"/>
      <c r="BS384" s="105"/>
      <c r="BT384" s="105"/>
      <c r="BU384" s="105"/>
      <c r="BV384" s="105"/>
      <c r="BW384" s="105"/>
      <c r="BX384" s="105"/>
      <c r="BY384" s="105"/>
      <c r="BZ384" s="105"/>
      <c r="CA384" s="105"/>
      <c r="CB384" s="105"/>
      <c r="CC384" s="105"/>
      <c r="CD384" s="105"/>
      <c r="CE384" s="105"/>
      <c r="CF384" s="105"/>
      <c r="CG384" s="105"/>
      <c r="CH384" s="105"/>
      <c r="CI384" s="105"/>
      <c r="CJ384" s="105"/>
      <c r="CK384" s="105"/>
      <c r="CL384" s="105"/>
      <c r="CM384" s="105"/>
      <c r="CN384" s="105"/>
      <c r="CO384" s="105"/>
      <c r="CP384" s="105"/>
      <c r="CQ384" s="105"/>
      <c r="CR384" s="105"/>
      <c r="CS384" s="105"/>
      <c r="CT384" s="105"/>
      <c r="CU384" s="105"/>
      <c r="CV384" s="105"/>
      <c r="CW384" s="105"/>
      <c r="CX384" s="105"/>
      <c r="CY384" s="105"/>
      <c r="CZ384" s="105"/>
      <c r="DA384" s="105"/>
      <c r="DB384" s="105"/>
      <c r="DC384" s="105"/>
      <c r="DD384" s="105"/>
      <c r="DE384" s="105"/>
      <c r="DF384" s="105"/>
      <c r="DG384" s="105"/>
      <c r="DH384" s="105"/>
      <c r="DI384" s="105"/>
      <c r="DJ384" s="105"/>
      <c r="DK384" s="105"/>
      <c r="DL384" s="105"/>
      <c r="DM384" s="105"/>
      <c r="DN384" s="105"/>
      <c r="DO384" s="105"/>
      <c r="DP384" s="105"/>
      <c r="DQ384" s="105"/>
      <c r="DR384" s="105"/>
      <c r="DS384" s="105"/>
      <c r="DT384" s="105"/>
      <c r="DU384" s="105"/>
      <c r="DV384" s="105"/>
      <c r="DW384" s="105"/>
      <c r="DX384" s="105"/>
      <c r="DY384" s="105"/>
      <c r="DZ384" s="105"/>
      <c r="EA384" s="105"/>
      <c r="EB384" s="105"/>
      <c r="EC384" s="105"/>
      <c r="ED384" s="105"/>
      <c r="EE384" s="105"/>
      <c r="EF384" s="105"/>
      <c r="EG384" s="105"/>
      <c r="EH384" s="105"/>
      <c r="EI384" s="105"/>
      <c r="EJ384" s="105"/>
      <c r="EK384" s="105"/>
      <c r="EL384" s="105"/>
      <c r="EM384" s="105"/>
      <c r="EN384" s="105"/>
      <c r="EO384" s="105"/>
      <c r="EP384" s="105"/>
      <c r="EQ384" s="105"/>
      <c r="ER384" s="105"/>
      <c r="ES384" s="105"/>
      <c r="ET384" s="105"/>
      <c r="EU384" s="105"/>
      <c r="EV384" s="105"/>
      <c r="EW384" s="105"/>
      <c r="EX384" s="105"/>
      <c r="EY384" s="105"/>
      <c r="EZ384" s="105"/>
      <c r="FA384" s="105"/>
      <c r="FB384" s="105"/>
      <c r="FC384" s="105"/>
      <c r="FD384" s="105"/>
      <c r="FE384" s="105"/>
      <c r="FF384" s="105"/>
      <c r="FG384" s="105"/>
      <c r="FH384" s="105"/>
      <c r="FI384" s="105"/>
      <c r="FJ384" s="105"/>
      <c r="FK384" s="105"/>
      <c r="FL384" s="105"/>
      <c r="FM384" s="105"/>
      <c r="FN384" s="105"/>
      <c r="FO384" s="105"/>
      <c r="FP384" s="105"/>
      <c r="FQ384" s="105"/>
      <c r="FR384" s="105"/>
      <c r="FS384" s="105"/>
      <c r="FT384" s="105"/>
      <c r="FU384" s="105"/>
      <c r="FV384" s="105"/>
      <c r="FW384" s="105"/>
      <c r="FX384" s="105"/>
      <c r="FY384" s="105"/>
      <c r="FZ384" s="105"/>
      <c r="GA384" s="105"/>
      <c r="GB384" s="105"/>
      <c r="GC384" s="105"/>
      <c r="GD384" s="105"/>
      <c r="GE384" s="105"/>
      <c r="GF384" s="105"/>
      <c r="GG384" s="105"/>
      <c r="GH384" s="105"/>
      <c r="GI384" s="105"/>
      <c r="GJ384" s="105"/>
      <c r="GK384" s="105"/>
      <c r="GL384" s="105"/>
      <c r="GM384" s="105"/>
      <c r="GN384" s="105"/>
      <c r="GO384" s="105"/>
      <c r="GP384" s="105"/>
      <c r="GQ384" s="105"/>
      <c r="GR384" s="105"/>
      <c r="GS384" s="105"/>
      <c r="GT384" s="105"/>
      <c r="GU384" s="105"/>
      <c r="GV384" s="105"/>
      <c r="GW384" s="105"/>
      <c r="GX384" s="105"/>
      <c r="GY384" s="105"/>
      <c r="GZ384" s="105"/>
      <c r="HA384" s="105"/>
      <c r="HB384" s="105"/>
      <c r="HC384" s="105"/>
      <c r="HD384" s="105"/>
      <c r="HE384" s="105"/>
      <c r="HF384" s="105"/>
      <c r="HG384" s="105"/>
      <c r="HH384" s="105"/>
      <c r="HI384" s="105"/>
      <c r="HJ384" s="105"/>
      <c r="HK384" s="105"/>
      <c r="HL384" s="105"/>
      <c r="HM384" s="105"/>
      <c r="HN384" s="105"/>
      <c r="HO384" s="105"/>
      <c r="HP384" s="105"/>
      <c r="HQ384" s="105"/>
      <c r="HR384" s="105"/>
      <c r="HS384" s="105"/>
      <c r="HT384" s="105"/>
      <c r="HU384" s="105"/>
      <c r="HV384" s="105"/>
      <c r="HW384" s="105"/>
      <c r="HX384" s="105"/>
      <c r="HY384" s="105"/>
      <c r="HZ384" s="105"/>
      <c r="IA384" s="105"/>
      <c r="IB384" s="105"/>
      <c r="IC384" s="105"/>
      <c r="ID384" s="105"/>
      <c r="IE384" s="105"/>
      <c r="IF384" s="105"/>
      <c r="IG384" s="105"/>
      <c r="IH384" s="105"/>
      <c r="II384" s="105"/>
      <c r="IJ384" s="105"/>
      <c r="IK384" s="105"/>
      <c r="IL384" s="105"/>
      <c r="IM384" s="105"/>
      <c r="IN384" s="105"/>
      <c r="IO384" s="105"/>
      <c r="IP384" s="105"/>
      <c r="IQ384" s="105"/>
      <c r="IR384" s="105"/>
      <c r="IS384" s="105"/>
    </row>
    <row r="385" spans="1:253">
      <c r="A385" s="116"/>
      <c r="B385" s="105"/>
      <c r="C385" s="116"/>
      <c r="D385" s="116"/>
      <c r="E385" s="116"/>
      <c r="F385" s="116"/>
      <c r="G385" s="116"/>
      <c r="H385" s="116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  <c r="BF385" s="105"/>
      <c r="BG385" s="105"/>
      <c r="BH385" s="105"/>
      <c r="BI385" s="105"/>
      <c r="BJ385" s="105"/>
      <c r="BK385" s="105"/>
      <c r="BL385" s="105"/>
      <c r="BM385" s="105"/>
      <c r="BN385" s="105"/>
      <c r="BO385" s="105"/>
      <c r="BP385" s="105"/>
      <c r="BQ385" s="105"/>
      <c r="BR385" s="105"/>
      <c r="BS385" s="105"/>
      <c r="BT385" s="105"/>
      <c r="BU385" s="105"/>
      <c r="BV385" s="105"/>
      <c r="BW385" s="105"/>
      <c r="BX385" s="105"/>
      <c r="BY385" s="105"/>
      <c r="BZ385" s="105"/>
      <c r="CA385" s="105"/>
      <c r="CB385" s="105"/>
      <c r="CC385" s="105"/>
      <c r="CD385" s="105"/>
      <c r="CE385" s="105"/>
      <c r="CF385" s="105"/>
      <c r="CG385" s="105"/>
      <c r="CH385" s="105"/>
      <c r="CI385" s="105"/>
      <c r="CJ385" s="105"/>
      <c r="CK385" s="105"/>
      <c r="CL385" s="105"/>
      <c r="CM385" s="105"/>
      <c r="CN385" s="105"/>
      <c r="CO385" s="105"/>
      <c r="CP385" s="105"/>
      <c r="CQ385" s="105"/>
      <c r="CR385" s="105"/>
      <c r="CS385" s="105"/>
      <c r="CT385" s="105"/>
      <c r="CU385" s="105"/>
      <c r="CV385" s="105"/>
      <c r="CW385" s="105"/>
      <c r="CX385" s="105"/>
      <c r="CY385" s="105"/>
      <c r="CZ385" s="105"/>
      <c r="DA385" s="105"/>
      <c r="DB385" s="105"/>
      <c r="DC385" s="105"/>
      <c r="DD385" s="105"/>
      <c r="DE385" s="105"/>
      <c r="DF385" s="105"/>
      <c r="DG385" s="105"/>
      <c r="DH385" s="105"/>
      <c r="DI385" s="105"/>
      <c r="DJ385" s="105"/>
      <c r="DK385" s="105"/>
      <c r="DL385" s="105"/>
      <c r="DM385" s="105"/>
      <c r="DN385" s="105"/>
      <c r="DO385" s="105"/>
      <c r="DP385" s="105"/>
      <c r="DQ385" s="105"/>
      <c r="DR385" s="105"/>
      <c r="DS385" s="105"/>
      <c r="DT385" s="105"/>
      <c r="DU385" s="105"/>
      <c r="DV385" s="105"/>
      <c r="DW385" s="105"/>
      <c r="DX385" s="105"/>
      <c r="DY385" s="105"/>
      <c r="DZ385" s="105"/>
      <c r="EA385" s="105"/>
      <c r="EB385" s="105"/>
      <c r="EC385" s="105"/>
      <c r="ED385" s="105"/>
      <c r="EE385" s="105"/>
      <c r="EF385" s="105"/>
      <c r="EG385" s="105"/>
      <c r="EH385" s="105"/>
      <c r="EI385" s="105"/>
      <c r="EJ385" s="105"/>
      <c r="EK385" s="105"/>
      <c r="EL385" s="105"/>
      <c r="EM385" s="105"/>
      <c r="EN385" s="105"/>
      <c r="EO385" s="105"/>
      <c r="EP385" s="105"/>
      <c r="EQ385" s="105"/>
      <c r="ER385" s="105"/>
      <c r="ES385" s="105"/>
      <c r="ET385" s="105"/>
      <c r="EU385" s="105"/>
      <c r="EV385" s="105"/>
      <c r="EW385" s="105"/>
      <c r="EX385" s="105"/>
      <c r="EY385" s="105"/>
      <c r="EZ385" s="105"/>
      <c r="FA385" s="105"/>
      <c r="FB385" s="105"/>
      <c r="FC385" s="105"/>
      <c r="FD385" s="105"/>
      <c r="FE385" s="105"/>
      <c r="FF385" s="105"/>
      <c r="FG385" s="105"/>
      <c r="FH385" s="105"/>
      <c r="FI385" s="105"/>
      <c r="FJ385" s="105"/>
      <c r="FK385" s="105"/>
      <c r="FL385" s="105"/>
      <c r="FM385" s="105"/>
      <c r="FN385" s="105"/>
      <c r="FO385" s="105"/>
      <c r="FP385" s="105"/>
      <c r="FQ385" s="105"/>
      <c r="FR385" s="105"/>
      <c r="FS385" s="105"/>
      <c r="FT385" s="105"/>
      <c r="FU385" s="105"/>
      <c r="FV385" s="105"/>
      <c r="FW385" s="105"/>
      <c r="FX385" s="105"/>
      <c r="FY385" s="105"/>
      <c r="FZ385" s="105"/>
      <c r="GA385" s="105"/>
      <c r="GB385" s="105"/>
      <c r="GC385" s="105"/>
      <c r="GD385" s="105"/>
      <c r="GE385" s="105"/>
      <c r="GF385" s="105"/>
      <c r="GG385" s="105"/>
      <c r="GH385" s="105"/>
      <c r="GI385" s="105"/>
      <c r="GJ385" s="105"/>
      <c r="GK385" s="105"/>
      <c r="GL385" s="105"/>
      <c r="GM385" s="105"/>
      <c r="GN385" s="105"/>
      <c r="GO385" s="105"/>
      <c r="GP385" s="105"/>
      <c r="GQ385" s="105"/>
      <c r="GR385" s="105"/>
      <c r="GS385" s="105"/>
      <c r="GT385" s="105"/>
      <c r="GU385" s="105"/>
      <c r="GV385" s="105"/>
      <c r="GW385" s="105"/>
      <c r="GX385" s="105"/>
      <c r="GY385" s="105"/>
      <c r="GZ385" s="105"/>
      <c r="HA385" s="105"/>
      <c r="HB385" s="105"/>
      <c r="HC385" s="105"/>
      <c r="HD385" s="105"/>
      <c r="HE385" s="105"/>
      <c r="HF385" s="105"/>
      <c r="HG385" s="105"/>
      <c r="HH385" s="105"/>
      <c r="HI385" s="105"/>
      <c r="HJ385" s="105"/>
      <c r="HK385" s="105"/>
      <c r="HL385" s="105"/>
      <c r="HM385" s="105"/>
      <c r="HN385" s="105"/>
      <c r="HO385" s="105"/>
      <c r="HP385" s="105"/>
      <c r="HQ385" s="105"/>
      <c r="HR385" s="105"/>
      <c r="HS385" s="105"/>
      <c r="HT385" s="105"/>
      <c r="HU385" s="105"/>
      <c r="HV385" s="105"/>
      <c r="HW385" s="105"/>
      <c r="HX385" s="105"/>
      <c r="HY385" s="105"/>
      <c r="HZ385" s="105"/>
      <c r="IA385" s="105"/>
      <c r="IB385" s="105"/>
      <c r="IC385" s="105"/>
      <c r="ID385" s="105"/>
      <c r="IE385" s="105"/>
      <c r="IF385" s="105"/>
      <c r="IG385" s="105"/>
      <c r="IH385" s="105"/>
      <c r="II385" s="105"/>
      <c r="IJ385" s="105"/>
      <c r="IK385" s="105"/>
      <c r="IL385" s="105"/>
      <c r="IM385" s="105"/>
      <c r="IN385" s="105"/>
      <c r="IO385" s="105"/>
      <c r="IP385" s="105"/>
      <c r="IQ385" s="105"/>
      <c r="IR385" s="105"/>
      <c r="IS385" s="105"/>
    </row>
    <row r="386" spans="1:253">
      <c r="A386" s="116"/>
      <c r="B386" s="105"/>
      <c r="C386" s="116"/>
      <c r="D386" s="116"/>
      <c r="E386" s="116"/>
      <c r="F386" s="116"/>
      <c r="G386" s="116"/>
      <c r="H386" s="116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  <c r="BF386" s="105"/>
      <c r="BG386" s="105"/>
      <c r="BH386" s="105"/>
      <c r="BI386" s="105"/>
      <c r="BJ386" s="105"/>
      <c r="BK386" s="105"/>
      <c r="BL386" s="105"/>
      <c r="BM386" s="105"/>
      <c r="BN386" s="105"/>
      <c r="BO386" s="105"/>
      <c r="BP386" s="105"/>
      <c r="BQ386" s="105"/>
      <c r="BR386" s="105"/>
      <c r="BS386" s="105"/>
      <c r="BT386" s="105"/>
      <c r="BU386" s="105"/>
      <c r="BV386" s="105"/>
      <c r="BW386" s="105"/>
      <c r="BX386" s="105"/>
      <c r="BY386" s="105"/>
      <c r="BZ386" s="105"/>
      <c r="CA386" s="105"/>
      <c r="CB386" s="105"/>
      <c r="CC386" s="105"/>
      <c r="CD386" s="105"/>
      <c r="CE386" s="105"/>
      <c r="CF386" s="105"/>
      <c r="CG386" s="105"/>
      <c r="CH386" s="105"/>
      <c r="CI386" s="105"/>
      <c r="CJ386" s="105"/>
      <c r="CK386" s="105"/>
      <c r="CL386" s="105"/>
      <c r="CM386" s="105"/>
      <c r="CN386" s="105"/>
      <c r="CO386" s="105"/>
      <c r="CP386" s="105"/>
      <c r="CQ386" s="105"/>
      <c r="CR386" s="105"/>
      <c r="CS386" s="105"/>
      <c r="CT386" s="105"/>
      <c r="CU386" s="105"/>
      <c r="CV386" s="105"/>
      <c r="CW386" s="105"/>
      <c r="CX386" s="105"/>
      <c r="CY386" s="105"/>
      <c r="CZ386" s="105"/>
      <c r="DA386" s="105"/>
      <c r="DB386" s="105"/>
      <c r="DC386" s="105"/>
      <c r="DD386" s="105"/>
      <c r="DE386" s="105"/>
      <c r="DF386" s="105"/>
      <c r="DG386" s="105"/>
      <c r="DH386" s="105"/>
      <c r="DI386" s="105"/>
      <c r="DJ386" s="105"/>
      <c r="DK386" s="105"/>
      <c r="DL386" s="105"/>
      <c r="DM386" s="105"/>
      <c r="DN386" s="105"/>
      <c r="DO386" s="105"/>
      <c r="DP386" s="105"/>
      <c r="DQ386" s="105"/>
      <c r="DR386" s="105"/>
      <c r="DS386" s="105"/>
      <c r="DT386" s="105"/>
      <c r="DU386" s="105"/>
      <c r="DV386" s="105"/>
      <c r="DW386" s="105"/>
      <c r="DX386" s="105"/>
      <c r="DY386" s="105"/>
      <c r="DZ386" s="105"/>
      <c r="EA386" s="105"/>
      <c r="EB386" s="105"/>
      <c r="EC386" s="105"/>
      <c r="ED386" s="105"/>
      <c r="EE386" s="105"/>
      <c r="EF386" s="105"/>
      <c r="EG386" s="105"/>
      <c r="EH386" s="105"/>
      <c r="EI386" s="105"/>
      <c r="EJ386" s="105"/>
      <c r="EK386" s="105"/>
      <c r="EL386" s="105"/>
      <c r="EM386" s="105"/>
      <c r="EN386" s="105"/>
      <c r="EO386" s="105"/>
      <c r="EP386" s="105"/>
      <c r="EQ386" s="105"/>
      <c r="ER386" s="105"/>
      <c r="ES386" s="105"/>
      <c r="ET386" s="105"/>
      <c r="EU386" s="105"/>
      <c r="EV386" s="105"/>
      <c r="EW386" s="105"/>
      <c r="EX386" s="105"/>
      <c r="EY386" s="105"/>
      <c r="EZ386" s="105"/>
      <c r="FA386" s="105"/>
      <c r="FB386" s="105"/>
      <c r="FC386" s="105"/>
      <c r="FD386" s="105"/>
      <c r="FE386" s="105"/>
      <c r="FF386" s="105"/>
      <c r="FG386" s="105"/>
      <c r="FH386" s="105"/>
      <c r="FI386" s="105"/>
      <c r="FJ386" s="105"/>
      <c r="FK386" s="105"/>
      <c r="FL386" s="105"/>
      <c r="FM386" s="105"/>
      <c r="FN386" s="105"/>
      <c r="FO386" s="105"/>
      <c r="FP386" s="105"/>
      <c r="FQ386" s="105"/>
      <c r="FR386" s="105"/>
      <c r="FS386" s="105"/>
      <c r="FT386" s="105"/>
      <c r="FU386" s="105"/>
      <c r="FV386" s="105"/>
      <c r="FW386" s="105"/>
      <c r="FX386" s="105"/>
      <c r="FY386" s="105"/>
      <c r="FZ386" s="105"/>
      <c r="GA386" s="105"/>
      <c r="GB386" s="105"/>
      <c r="GC386" s="105"/>
      <c r="GD386" s="105"/>
      <c r="GE386" s="105"/>
      <c r="GF386" s="105"/>
      <c r="GG386" s="105"/>
      <c r="GH386" s="105"/>
      <c r="GI386" s="105"/>
      <c r="GJ386" s="105"/>
      <c r="GK386" s="105"/>
      <c r="GL386" s="105"/>
      <c r="GM386" s="105"/>
      <c r="GN386" s="105"/>
      <c r="GO386" s="105"/>
      <c r="GP386" s="105"/>
      <c r="GQ386" s="105"/>
      <c r="GR386" s="105"/>
      <c r="GS386" s="105"/>
      <c r="GT386" s="105"/>
      <c r="GU386" s="105"/>
      <c r="GV386" s="105"/>
      <c r="GW386" s="105"/>
      <c r="GX386" s="105"/>
      <c r="GY386" s="105"/>
      <c r="GZ386" s="105"/>
      <c r="HA386" s="105"/>
      <c r="HB386" s="105"/>
      <c r="HC386" s="105"/>
      <c r="HD386" s="105"/>
      <c r="HE386" s="105"/>
      <c r="HF386" s="105"/>
      <c r="HG386" s="105"/>
      <c r="HH386" s="105"/>
      <c r="HI386" s="105"/>
      <c r="HJ386" s="105"/>
      <c r="HK386" s="105"/>
      <c r="HL386" s="105"/>
      <c r="HM386" s="105"/>
      <c r="HN386" s="105"/>
      <c r="HO386" s="105"/>
      <c r="HP386" s="105"/>
      <c r="HQ386" s="105"/>
      <c r="HR386" s="105"/>
      <c r="HS386" s="105"/>
      <c r="HT386" s="105"/>
      <c r="HU386" s="105"/>
      <c r="HV386" s="105"/>
      <c r="HW386" s="105"/>
      <c r="HX386" s="105"/>
      <c r="HY386" s="105"/>
      <c r="HZ386" s="105"/>
      <c r="IA386" s="105"/>
      <c r="IB386" s="105"/>
      <c r="IC386" s="105"/>
      <c r="ID386" s="105"/>
      <c r="IE386" s="105"/>
      <c r="IF386" s="105"/>
      <c r="IG386" s="105"/>
      <c r="IH386" s="105"/>
      <c r="II386" s="105"/>
      <c r="IJ386" s="105"/>
      <c r="IK386" s="105"/>
      <c r="IL386" s="105"/>
      <c r="IM386" s="105"/>
      <c r="IN386" s="105"/>
      <c r="IO386" s="105"/>
      <c r="IP386" s="105"/>
      <c r="IQ386" s="105"/>
      <c r="IR386" s="105"/>
      <c r="IS386" s="105"/>
    </row>
    <row r="387" spans="1:253">
      <c r="A387" s="116"/>
      <c r="B387" s="105"/>
      <c r="C387" s="116"/>
      <c r="D387" s="116"/>
      <c r="E387" s="116"/>
      <c r="F387" s="116"/>
      <c r="G387" s="116"/>
      <c r="H387" s="116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  <c r="BF387" s="105"/>
      <c r="BG387" s="105"/>
      <c r="BH387" s="105"/>
      <c r="BI387" s="105"/>
      <c r="BJ387" s="105"/>
      <c r="BK387" s="105"/>
      <c r="BL387" s="105"/>
      <c r="BM387" s="105"/>
      <c r="BN387" s="105"/>
      <c r="BO387" s="105"/>
      <c r="BP387" s="105"/>
      <c r="BQ387" s="105"/>
      <c r="BR387" s="105"/>
      <c r="BS387" s="105"/>
      <c r="BT387" s="105"/>
      <c r="BU387" s="105"/>
      <c r="BV387" s="105"/>
      <c r="BW387" s="105"/>
      <c r="BX387" s="105"/>
      <c r="BY387" s="105"/>
      <c r="BZ387" s="105"/>
      <c r="CA387" s="105"/>
      <c r="CB387" s="105"/>
      <c r="CC387" s="105"/>
      <c r="CD387" s="105"/>
      <c r="CE387" s="105"/>
      <c r="CF387" s="105"/>
      <c r="CG387" s="105"/>
      <c r="CH387" s="105"/>
      <c r="CI387" s="105"/>
      <c r="CJ387" s="105"/>
      <c r="CK387" s="105"/>
      <c r="CL387" s="105"/>
      <c r="CM387" s="105"/>
      <c r="CN387" s="105"/>
      <c r="CO387" s="105"/>
      <c r="CP387" s="105"/>
      <c r="CQ387" s="105"/>
      <c r="CR387" s="105"/>
      <c r="CS387" s="105"/>
      <c r="CT387" s="105"/>
      <c r="CU387" s="105"/>
      <c r="CV387" s="105"/>
      <c r="CW387" s="105"/>
      <c r="CX387" s="105"/>
      <c r="CY387" s="105"/>
      <c r="CZ387" s="105"/>
      <c r="DA387" s="105"/>
      <c r="DB387" s="105"/>
      <c r="DC387" s="105"/>
      <c r="DD387" s="105"/>
      <c r="DE387" s="105"/>
      <c r="DF387" s="105"/>
      <c r="DG387" s="105"/>
      <c r="DH387" s="105"/>
      <c r="DI387" s="105"/>
      <c r="DJ387" s="105"/>
      <c r="DK387" s="105"/>
      <c r="DL387" s="105"/>
      <c r="DM387" s="105"/>
      <c r="DN387" s="105"/>
      <c r="DO387" s="105"/>
      <c r="DP387" s="105"/>
      <c r="DQ387" s="105"/>
      <c r="DR387" s="105"/>
      <c r="DS387" s="105"/>
      <c r="DT387" s="105"/>
      <c r="DU387" s="105"/>
      <c r="DV387" s="105"/>
      <c r="DW387" s="105"/>
      <c r="DX387" s="105"/>
      <c r="DY387" s="105"/>
      <c r="DZ387" s="105"/>
      <c r="EA387" s="105"/>
      <c r="EB387" s="105"/>
      <c r="EC387" s="105"/>
      <c r="ED387" s="105"/>
      <c r="EE387" s="105"/>
      <c r="EF387" s="105"/>
      <c r="EG387" s="105"/>
      <c r="EH387" s="105"/>
      <c r="EI387" s="105"/>
      <c r="EJ387" s="105"/>
      <c r="EK387" s="105"/>
      <c r="EL387" s="105"/>
      <c r="EM387" s="105"/>
      <c r="EN387" s="105"/>
      <c r="EO387" s="105"/>
      <c r="EP387" s="105"/>
      <c r="EQ387" s="105"/>
      <c r="ER387" s="105"/>
      <c r="ES387" s="105"/>
      <c r="ET387" s="105"/>
      <c r="EU387" s="105"/>
      <c r="EV387" s="105"/>
      <c r="EW387" s="105"/>
      <c r="EX387" s="105"/>
      <c r="EY387" s="105"/>
      <c r="EZ387" s="105"/>
      <c r="FA387" s="105"/>
      <c r="FB387" s="105"/>
      <c r="FC387" s="105"/>
      <c r="FD387" s="105"/>
      <c r="FE387" s="105"/>
      <c r="FF387" s="105"/>
      <c r="FG387" s="105"/>
      <c r="FH387" s="105"/>
      <c r="FI387" s="105"/>
      <c r="FJ387" s="105"/>
      <c r="FK387" s="105"/>
      <c r="FL387" s="105"/>
      <c r="FM387" s="105"/>
      <c r="FN387" s="105"/>
      <c r="FO387" s="105"/>
      <c r="FP387" s="105"/>
      <c r="FQ387" s="105"/>
      <c r="FR387" s="105"/>
      <c r="FS387" s="105"/>
      <c r="FT387" s="105"/>
      <c r="FU387" s="105"/>
      <c r="FV387" s="105"/>
      <c r="FW387" s="105"/>
      <c r="FX387" s="105"/>
      <c r="FY387" s="105"/>
      <c r="FZ387" s="105"/>
      <c r="GA387" s="105"/>
      <c r="GB387" s="105"/>
      <c r="GC387" s="105"/>
      <c r="GD387" s="105"/>
      <c r="GE387" s="105"/>
      <c r="GF387" s="105"/>
      <c r="GG387" s="105"/>
      <c r="GH387" s="105"/>
      <c r="GI387" s="105"/>
      <c r="GJ387" s="105"/>
      <c r="GK387" s="105"/>
      <c r="GL387" s="105"/>
      <c r="GM387" s="105"/>
      <c r="GN387" s="105"/>
      <c r="GO387" s="105"/>
      <c r="GP387" s="105"/>
      <c r="GQ387" s="105"/>
      <c r="GR387" s="105"/>
      <c r="GS387" s="105"/>
      <c r="GT387" s="105"/>
      <c r="GU387" s="105"/>
      <c r="GV387" s="105"/>
      <c r="GW387" s="105"/>
      <c r="GX387" s="105"/>
      <c r="GY387" s="105"/>
      <c r="GZ387" s="105"/>
      <c r="HA387" s="105"/>
      <c r="HB387" s="105"/>
      <c r="HC387" s="105"/>
      <c r="HD387" s="105"/>
      <c r="HE387" s="105"/>
      <c r="HF387" s="105"/>
      <c r="HG387" s="105"/>
      <c r="HH387" s="105"/>
      <c r="HI387" s="105"/>
      <c r="HJ387" s="105"/>
      <c r="HK387" s="105"/>
      <c r="HL387" s="105"/>
      <c r="HM387" s="105"/>
      <c r="HN387" s="105"/>
      <c r="HO387" s="105"/>
      <c r="HP387" s="105"/>
      <c r="HQ387" s="105"/>
      <c r="HR387" s="105"/>
      <c r="HS387" s="105"/>
      <c r="HT387" s="105"/>
      <c r="HU387" s="105"/>
      <c r="HV387" s="105"/>
      <c r="HW387" s="105"/>
      <c r="HX387" s="105"/>
      <c r="HY387" s="105"/>
      <c r="HZ387" s="105"/>
      <c r="IA387" s="105"/>
      <c r="IB387" s="105"/>
      <c r="IC387" s="105"/>
      <c r="ID387" s="105"/>
      <c r="IE387" s="105"/>
      <c r="IF387" s="105"/>
      <c r="IG387" s="105"/>
      <c r="IH387" s="105"/>
      <c r="II387" s="105"/>
      <c r="IJ387" s="105"/>
      <c r="IK387" s="105"/>
      <c r="IL387" s="105"/>
      <c r="IM387" s="105"/>
      <c r="IN387" s="105"/>
      <c r="IO387" s="105"/>
      <c r="IP387" s="105"/>
      <c r="IQ387" s="105"/>
      <c r="IR387" s="105"/>
      <c r="IS387" s="105"/>
    </row>
    <row r="388" spans="1:253">
      <c r="A388" s="116"/>
      <c r="B388" s="105"/>
      <c r="C388" s="116"/>
      <c r="D388" s="116"/>
      <c r="E388" s="116"/>
      <c r="F388" s="116"/>
      <c r="G388" s="116"/>
      <c r="H388" s="116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  <c r="BF388" s="105"/>
      <c r="BG388" s="105"/>
      <c r="BH388" s="105"/>
      <c r="BI388" s="105"/>
      <c r="BJ388" s="105"/>
      <c r="BK388" s="105"/>
      <c r="BL388" s="105"/>
      <c r="BM388" s="105"/>
      <c r="BN388" s="105"/>
      <c r="BO388" s="105"/>
      <c r="BP388" s="105"/>
      <c r="BQ388" s="105"/>
      <c r="BR388" s="105"/>
      <c r="BS388" s="105"/>
      <c r="BT388" s="105"/>
      <c r="BU388" s="105"/>
      <c r="BV388" s="105"/>
      <c r="BW388" s="105"/>
      <c r="BX388" s="105"/>
      <c r="BY388" s="105"/>
      <c r="BZ388" s="105"/>
      <c r="CA388" s="105"/>
      <c r="CB388" s="105"/>
      <c r="CC388" s="105"/>
      <c r="CD388" s="105"/>
      <c r="CE388" s="105"/>
      <c r="CF388" s="105"/>
      <c r="CG388" s="105"/>
      <c r="CH388" s="105"/>
      <c r="CI388" s="105"/>
      <c r="CJ388" s="105"/>
      <c r="CK388" s="105"/>
      <c r="CL388" s="105"/>
      <c r="CM388" s="105"/>
      <c r="CN388" s="105"/>
      <c r="CO388" s="105"/>
      <c r="CP388" s="105"/>
      <c r="CQ388" s="105"/>
      <c r="CR388" s="105"/>
      <c r="CS388" s="105"/>
      <c r="CT388" s="105"/>
      <c r="CU388" s="105"/>
      <c r="CV388" s="105"/>
      <c r="CW388" s="105"/>
      <c r="CX388" s="105"/>
      <c r="CY388" s="105"/>
      <c r="CZ388" s="105"/>
      <c r="DA388" s="105"/>
      <c r="DB388" s="105"/>
      <c r="DC388" s="105"/>
      <c r="DD388" s="105"/>
      <c r="DE388" s="105"/>
      <c r="DF388" s="105"/>
      <c r="DG388" s="105"/>
      <c r="DH388" s="105"/>
      <c r="DI388" s="105"/>
      <c r="DJ388" s="105"/>
      <c r="DK388" s="105"/>
      <c r="DL388" s="105"/>
      <c r="DM388" s="105"/>
      <c r="DN388" s="105"/>
      <c r="DO388" s="105"/>
      <c r="DP388" s="105"/>
      <c r="DQ388" s="105"/>
      <c r="DR388" s="105"/>
      <c r="DS388" s="105"/>
      <c r="DT388" s="105"/>
      <c r="DU388" s="105"/>
      <c r="DV388" s="105"/>
      <c r="DW388" s="105"/>
      <c r="DX388" s="105"/>
      <c r="DY388" s="105"/>
      <c r="DZ388" s="105"/>
      <c r="EA388" s="105"/>
      <c r="EB388" s="105"/>
      <c r="EC388" s="105"/>
      <c r="ED388" s="105"/>
      <c r="EE388" s="105"/>
      <c r="EF388" s="105"/>
      <c r="EG388" s="105"/>
      <c r="EH388" s="105"/>
      <c r="EI388" s="105"/>
      <c r="EJ388" s="105"/>
      <c r="EK388" s="105"/>
      <c r="EL388" s="105"/>
      <c r="EM388" s="105"/>
      <c r="EN388" s="105"/>
      <c r="EO388" s="105"/>
      <c r="EP388" s="105"/>
      <c r="EQ388" s="105"/>
      <c r="ER388" s="105"/>
      <c r="ES388" s="105"/>
      <c r="ET388" s="105"/>
      <c r="EU388" s="105"/>
      <c r="EV388" s="105"/>
      <c r="EW388" s="105"/>
      <c r="EX388" s="105"/>
      <c r="EY388" s="105"/>
      <c r="EZ388" s="105"/>
      <c r="FA388" s="105"/>
      <c r="FB388" s="105"/>
      <c r="FC388" s="105"/>
      <c r="FD388" s="105"/>
      <c r="FE388" s="105"/>
      <c r="FF388" s="105"/>
      <c r="FG388" s="105"/>
      <c r="FH388" s="105"/>
      <c r="FI388" s="105"/>
      <c r="FJ388" s="105"/>
      <c r="FK388" s="105"/>
      <c r="FL388" s="105"/>
      <c r="FM388" s="105"/>
      <c r="FN388" s="105"/>
      <c r="FO388" s="105"/>
      <c r="FP388" s="105"/>
      <c r="FQ388" s="105"/>
      <c r="FR388" s="105"/>
      <c r="FS388" s="105"/>
      <c r="FT388" s="105"/>
      <c r="FU388" s="105"/>
      <c r="FV388" s="105"/>
      <c r="FW388" s="105"/>
      <c r="FX388" s="105"/>
      <c r="FY388" s="105"/>
      <c r="FZ388" s="105"/>
      <c r="GA388" s="105"/>
      <c r="GB388" s="105"/>
      <c r="GC388" s="105"/>
      <c r="GD388" s="105"/>
      <c r="GE388" s="105"/>
      <c r="GF388" s="105"/>
      <c r="GG388" s="105"/>
      <c r="GH388" s="105"/>
      <c r="GI388" s="105"/>
      <c r="GJ388" s="105"/>
      <c r="GK388" s="105"/>
      <c r="GL388" s="105"/>
      <c r="GM388" s="105"/>
      <c r="GN388" s="105"/>
      <c r="GO388" s="105"/>
      <c r="GP388" s="105"/>
      <c r="GQ388" s="105"/>
      <c r="GR388" s="105"/>
      <c r="GS388" s="105"/>
      <c r="GT388" s="105"/>
      <c r="GU388" s="105"/>
      <c r="GV388" s="105"/>
      <c r="GW388" s="105"/>
      <c r="GX388" s="105"/>
      <c r="GY388" s="105"/>
      <c r="GZ388" s="105"/>
      <c r="HA388" s="105"/>
      <c r="HB388" s="105"/>
      <c r="HC388" s="105"/>
      <c r="HD388" s="105"/>
      <c r="HE388" s="105"/>
      <c r="HF388" s="105"/>
      <c r="HG388" s="105"/>
      <c r="HH388" s="105"/>
      <c r="HI388" s="105"/>
      <c r="HJ388" s="105"/>
      <c r="HK388" s="105"/>
      <c r="HL388" s="105"/>
      <c r="HM388" s="105"/>
      <c r="HN388" s="105"/>
      <c r="HO388" s="105"/>
      <c r="HP388" s="105"/>
      <c r="HQ388" s="105"/>
      <c r="HR388" s="105"/>
      <c r="HS388" s="105"/>
      <c r="HT388" s="105"/>
      <c r="HU388" s="105"/>
      <c r="HV388" s="105"/>
      <c r="HW388" s="105"/>
      <c r="HX388" s="105"/>
      <c r="HY388" s="105"/>
      <c r="HZ388" s="105"/>
      <c r="IA388" s="105"/>
      <c r="IB388" s="105"/>
      <c r="IC388" s="105"/>
      <c r="ID388" s="105"/>
      <c r="IE388" s="105"/>
      <c r="IF388" s="105"/>
      <c r="IG388" s="105"/>
      <c r="IH388" s="105"/>
      <c r="II388" s="105"/>
      <c r="IJ388" s="105"/>
      <c r="IK388" s="105"/>
      <c r="IL388" s="105"/>
      <c r="IM388" s="105"/>
      <c r="IN388" s="105"/>
      <c r="IO388" s="105"/>
      <c r="IP388" s="105"/>
      <c r="IQ388" s="105"/>
      <c r="IR388" s="105"/>
      <c r="IS388" s="105"/>
    </row>
    <row r="389" spans="1:253">
      <c r="A389" s="116"/>
      <c r="B389" s="105"/>
      <c r="C389" s="116"/>
      <c r="D389" s="116"/>
      <c r="E389" s="116"/>
      <c r="F389" s="116"/>
      <c r="G389" s="116"/>
      <c r="H389" s="116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5"/>
      <c r="BE389" s="105"/>
      <c r="BF389" s="105"/>
      <c r="BG389" s="105"/>
      <c r="BH389" s="105"/>
      <c r="BI389" s="105"/>
      <c r="BJ389" s="105"/>
      <c r="BK389" s="105"/>
      <c r="BL389" s="105"/>
      <c r="BM389" s="105"/>
      <c r="BN389" s="105"/>
      <c r="BO389" s="105"/>
      <c r="BP389" s="105"/>
      <c r="BQ389" s="105"/>
      <c r="BR389" s="105"/>
      <c r="BS389" s="105"/>
      <c r="BT389" s="105"/>
      <c r="BU389" s="105"/>
      <c r="BV389" s="105"/>
      <c r="BW389" s="105"/>
      <c r="BX389" s="105"/>
      <c r="BY389" s="105"/>
      <c r="BZ389" s="105"/>
      <c r="CA389" s="105"/>
      <c r="CB389" s="105"/>
      <c r="CC389" s="105"/>
      <c r="CD389" s="105"/>
      <c r="CE389" s="105"/>
      <c r="CF389" s="105"/>
      <c r="CG389" s="105"/>
      <c r="CH389" s="105"/>
      <c r="CI389" s="105"/>
      <c r="CJ389" s="105"/>
      <c r="CK389" s="105"/>
      <c r="CL389" s="105"/>
      <c r="CM389" s="105"/>
      <c r="CN389" s="105"/>
      <c r="CO389" s="105"/>
      <c r="CP389" s="105"/>
      <c r="CQ389" s="105"/>
      <c r="CR389" s="105"/>
      <c r="CS389" s="105"/>
      <c r="CT389" s="105"/>
      <c r="CU389" s="105"/>
      <c r="CV389" s="105"/>
      <c r="CW389" s="105"/>
      <c r="CX389" s="105"/>
      <c r="CY389" s="105"/>
      <c r="CZ389" s="105"/>
      <c r="DA389" s="105"/>
      <c r="DB389" s="105"/>
      <c r="DC389" s="105"/>
      <c r="DD389" s="105"/>
      <c r="DE389" s="105"/>
      <c r="DF389" s="105"/>
      <c r="DG389" s="105"/>
      <c r="DH389" s="105"/>
      <c r="DI389" s="105"/>
      <c r="DJ389" s="105"/>
      <c r="DK389" s="105"/>
      <c r="DL389" s="105"/>
      <c r="DM389" s="105"/>
      <c r="DN389" s="105"/>
      <c r="DO389" s="105"/>
      <c r="DP389" s="105"/>
      <c r="DQ389" s="105"/>
      <c r="DR389" s="105"/>
      <c r="DS389" s="105"/>
      <c r="DT389" s="105"/>
      <c r="DU389" s="105"/>
      <c r="DV389" s="105"/>
      <c r="DW389" s="105"/>
      <c r="DX389" s="105"/>
      <c r="DY389" s="105"/>
      <c r="DZ389" s="105"/>
      <c r="EA389" s="105"/>
      <c r="EB389" s="105"/>
      <c r="EC389" s="105"/>
      <c r="ED389" s="105"/>
      <c r="EE389" s="105"/>
      <c r="EF389" s="105"/>
      <c r="EG389" s="105"/>
      <c r="EH389" s="105"/>
      <c r="EI389" s="105"/>
      <c r="EJ389" s="105"/>
      <c r="EK389" s="105"/>
      <c r="EL389" s="105"/>
      <c r="EM389" s="105"/>
      <c r="EN389" s="105"/>
      <c r="EO389" s="105"/>
      <c r="EP389" s="105"/>
      <c r="EQ389" s="105"/>
      <c r="ER389" s="105"/>
      <c r="ES389" s="105"/>
      <c r="ET389" s="105"/>
      <c r="EU389" s="105"/>
      <c r="EV389" s="105"/>
      <c r="EW389" s="105"/>
      <c r="EX389" s="105"/>
      <c r="EY389" s="105"/>
      <c r="EZ389" s="105"/>
      <c r="FA389" s="105"/>
      <c r="FB389" s="105"/>
      <c r="FC389" s="105"/>
      <c r="FD389" s="105"/>
      <c r="FE389" s="105"/>
      <c r="FF389" s="105"/>
      <c r="FG389" s="105"/>
      <c r="FH389" s="105"/>
      <c r="FI389" s="105"/>
      <c r="FJ389" s="105"/>
      <c r="FK389" s="105"/>
      <c r="FL389" s="105"/>
      <c r="FM389" s="105"/>
      <c r="FN389" s="105"/>
      <c r="FO389" s="105"/>
      <c r="FP389" s="105"/>
      <c r="FQ389" s="105"/>
      <c r="FR389" s="105"/>
      <c r="FS389" s="105"/>
      <c r="FT389" s="105"/>
      <c r="FU389" s="105"/>
      <c r="FV389" s="105"/>
      <c r="FW389" s="105"/>
      <c r="FX389" s="105"/>
      <c r="FY389" s="105"/>
      <c r="FZ389" s="105"/>
      <c r="GA389" s="105"/>
      <c r="GB389" s="105"/>
      <c r="GC389" s="105"/>
      <c r="GD389" s="105"/>
      <c r="GE389" s="105"/>
      <c r="GF389" s="105"/>
      <c r="GG389" s="105"/>
      <c r="GH389" s="105"/>
      <c r="GI389" s="105"/>
      <c r="GJ389" s="105"/>
      <c r="GK389" s="105"/>
      <c r="GL389" s="105"/>
      <c r="GM389" s="105"/>
      <c r="GN389" s="105"/>
      <c r="GO389" s="105"/>
      <c r="GP389" s="105"/>
      <c r="GQ389" s="105"/>
      <c r="GR389" s="105"/>
      <c r="GS389" s="105"/>
      <c r="GT389" s="105"/>
      <c r="GU389" s="105"/>
      <c r="GV389" s="105"/>
      <c r="GW389" s="105"/>
      <c r="GX389" s="105"/>
      <c r="GY389" s="105"/>
      <c r="GZ389" s="105"/>
      <c r="HA389" s="105"/>
      <c r="HB389" s="105"/>
      <c r="HC389" s="105"/>
      <c r="HD389" s="105"/>
      <c r="HE389" s="105"/>
      <c r="HF389" s="105"/>
      <c r="HG389" s="105"/>
      <c r="HH389" s="105"/>
      <c r="HI389" s="105"/>
      <c r="HJ389" s="105"/>
      <c r="HK389" s="105"/>
      <c r="HL389" s="105"/>
      <c r="HM389" s="105"/>
      <c r="HN389" s="105"/>
      <c r="HO389" s="105"/>
      <c r="HP389" s="105"/>
      <c r="HQ389" s="105"/>
      <c r="HR389" s="105"/>
      <c r="HS389" s="105"/>
      <c r="HT389" s="105"/>
      <c r="HU389" s="105"/>
      <c r="HV389" s="105"/>
      <c r="HW389" s="105"/>
      <c r="HX389" s="105"/>
      <c r="HY389" s="105"/>
      <c r="HZ389" s="105"/>
      <c r="IA389" s="105"/>
      <c r="IB389" s="105"/>
      <c r="IC389" s="105"/>
      <c r="ID389" s="105"/>
      <c r="IE389" s="105"/>
      <c r="IF389" s="105"/>
      <c r="IG389" s="105"/>
      <c r="IH389" s="105"/>
      <c r="II389" s="105"/>
      <c r="IJ389" s="105"/>
      <c r="IK389" s="105"/>
      <c r="IL389" s="105"/>
      <c r="IM389" s="105"/>
      <c r="IN389" s="105"/>
      <c r="IO389" s="105"/>
      <c r="IP389" s="105"/>
      <c r="IQ389" s="105"/>
      <c r="IR389" s="105"/>
      <c r="IS389" s="105"/>
    </row>
    <row r="390" spans="1:253">
      <c r="A390" s="116"/>
      <c r="B390" s="105"/>
      <c r="C390" s="116"/>
      <c r="D390" s="116"/>
      <c r="E390" s="116"/>
      <c r="F390" s="116"/>
      <c r="G390" s="116"/>
      <c r="H390" s="116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05"/>
      <c r="BF390" s="105"/>
      <c r="BG390" s="105"/>
      <c r="BH390" s="105"/>
      <c r="BI390" s="105"/>
      <c r="BJ390" s="105"/>
      <c r="BK390" s="105"/>
      <c r="BL390" s="105"/>
      <c r="BM390" s="105"/>
      <c r="BN390" s="105"/>
      <c r="BO390" s="105"/>
      <c r="BP390" s="105"/>
      <c r="BQ390" s="105"/>
      <c r="BR390" s="105"/>
      <c r="BS390" s="105"/>
      <c r="BT390" s="105"/>
      <c r="BU390" s="105"/>
      <c r="BV390" s="105"/>
      <c r="BW390" s="105"/>
      <c r="BX390" s="105"/>
      <c r="BY390" s="105"/>
      <c r="BZ390" s="105"/>
      <c r="CA390" s="105"/>
      <c r="CB390" s="105"/>
      <c r="CC390" s="105"/>
      <c r="CD390" s="105"/>
      <c r="CE390" s="105"/>
      <c r="CF390" s="105"/>
      <c r="CG390" s="105"/>
      <c r="CH390" s="105"/>
      <c r="CI390" s="105"/>
      <c r="CJ390" s="105"/>
      <c r="CK390" s="105"/>
      <c r="CL390" s="105"/>
      <c r="CM390" s="105"/>
      <c r="CN390" s="105"/>
      <c r="CO390" s="105"/>
      <c r="CP390" s="105"/>
      <c r="CQ390" s="105"/>
      <c r="CR390" s="105"/>
      <c r="CS390" s="105"/>
      <c r="CT390" s="105"/>
      <c r="CU390" s="105"/>
      <c r="CV390" s="105"/>
      <c r="CW390" s="105"/>
      <c r="CX390" s="105"/>
      <c r="CY390" s="105"/>
      <c r="CZ390" s="105"/>
      <c r="DA390" s="105"/>
      <c r="DB390" s="105"/>
      <c r="DC390" s="105"/>
      <c r="DD390" s="105"/>
      <c r="DE390" s="105"/>
      <c r="DF390" s="105"/>
      <c r="DG390" s="105"/>
      <c r="DH390" s="105"/>
      <c r="DI390" s="105"/>
      <c r="DJ390" s="105"/>
      <c r="DK390" s="105"/>
      <c r="DL390" s="105"/>
      <c r="DM390" s="105"/>
      <c r="DN390" s="105"/>
      <c r="DO390" s="105"/>
      <c r="DP390" s="105"/>
      <c r="DQ390" s="105"/>
      <c r="DR390" s="105"/>
      <c r="DS390" s="105"/>
      <c r="DT390" s="105"/>
      <c r="DU390" s="105"/>
      <c r="DV390" s="105"/>
      <c r="DW390" s="105"/>
      <c r="DX390" s="105"/>
      <c r="DY390" s="105"/>
      <c r="DZ390" s="105"/>
      <c r="EA390" s="105"/>
      <c r="EB390" s="105"/>
      <c r="EC390" s="105"/>
      <c r="ED390" s="105"/>
      <c r="EE390" s="105"/>
      <c r="EF390" s="105"/>
      <c r="EG390" s="105"/>
      <c r="EH390" s="105"/>
      <c r="EI390" s="105"/>
      <c r="EJ390" s="105"/>
      <c r="EK390" s="105"/>
      <c r="EL390" s="105"/>
      <c r="EM390" s="105"/>
      <c r="EN390" s="105"/>
      <c r="EO390" s="105"/>
      <c r="EP390" s="105"/>
      <c r="EQ390" s="105"/>
      <c r="ER390" s="105"/>
      <c r="ES390" s="105"/>
      <c r="ET390" s="105"/>
      <c r="EU390" s="105"/>
      <c r="EV390" s="105"/>
      <c r="EW390" s="105"/>
      <c r="EX390" s="105"/>
      <c r="EY390" s="105"/>
      <c r="EZ390" s="105"/>
      <c r="FA390" s="105"/>
      <c r="FB390" s="105"/>
      <c r="FC390" s="105"/>
      <c r="FD390" s="105"/>
      <c r="FE390" s="105"/>
      <c r="FF390" s="105"/>
      <c r="FG390" s="105"/>
      <c r="FH390" s="105"/>
      <c r="FI390" s="105"/>
      <c r="FJ390" s="105"/>
      <c r="FK390" s="105"/>
      <c r="FL390" s="105"/>
      <c r="FM390" s="105"/>
      <c r="FN390" s="105"/>
      <c r="FO390" s="105"/>
      <c r="FP390" s="105"/>
      <c r="FQ390" s="105"/>
      <c r="FR390" s="105"/>
      <c r="FS390" s="105"/>
      <c r="FT390" s="105"/>
      <c r="FU390" s="105"/>
      <c r="FV390" s="105"/>
      <c r="FW390" s="105"/>
      <c r="FX390" s="105"/>
      <c r="FY390" s="105"/>
      <c r="FZ390" s="105"/>
      <c r="GA390" s="105"/>
      <c r="GB390" s="105"/>
      <c r="GC390" s="105"/>
      <c r="GD390" s="105"/>
      <c r="GE390" s="105"/>
      <c r="GF390" s="105"/>
      <c r="GG390" s="105"/>
      <c r="GH390" s="105"/>
      <c r="GI390" s="105"/>
      <c r="GJ390" s="105"/>
      <c r="GK390" s="105"/>
      <c r="GL390" s="105"/>
      <c r="GM390" s="105"/>
      <c r="GN390" s="105"/>
      <c r="GO390" s="105"/>
      <c r="GP390" s="105"/>
      <c r="GQ390" s="105"/>
      <c r="GR390" s="105"/>
      <c r="GS390" s="105"/>
      <c r="GT390" s="105"/>
      <c r="GU390" s="105"/>
      <c r="GV390" s="105"/>
      <c r="GW390" s="105"/>
      <c r="GX390" s="105"/>
      <c r="GY390" s="105"/>
      <c r="GZ390" s="105"/>
      <c r="HA390" s="105"/>
      <c r="HB390" s="105"/>
      <c r="HC390" s="105"/>
      <c r="HD390" s="105"/>
      <c r="HE390" s="105"/>
      <c r="HF390" s="105"/>
      <c r="HG390" s="105"/>
      <c r="HH390" s="105"/>
      <c r="HI390" s="105"/>
      <c r="HJ390" s="105"/>
      <c r="HK390" s="105"/>
      <c r="HL390" s="105"/>
      <c r="HM390" s="105"/>
      <c r="HN390" s="105"/>
      <c r="HO390" s="105"/>
      <c r="HP390" s="105"/>
      <c r="HQ390" s="105"/>
      <c r="HR390" s="105"/>
      <c r="HS390" s="105"/>
      <c r="HT390" s="105"/>
      <c r="HU390" s="105"/>
      <c r="HV390" s="105"/>
      <c r="HW390" s="105"/>
      <c r="HX390" s="105"/>
      <c r="HY390" s="105"/>
      <c r="HZ390" s="105"/>
      <c r="IA390" s="105"/>
      <c r="IB390" s="105"/>
      <c r="IC390" s="105"/>
      <c r="ID390" s="105"/>
      <c r="IE390" s="105"/>
      <c r="IF390" s="105"/>
      <c r="IG390" s="105"/>
      <c r="IH390" s="105"/>
      <c r="II390" s="105"/>
      <c r="IJ390" s="105"/>
      <c r="IK390" s="105"/>
      <c r="IL390" s="105"/>
      <c r="IM390" s="105"/>
      <c r="IN390" s="105"/>
      <c r="IO390" s="105"/>
      <c r="IP390" s="105"/>
      <c r="IQ390" s="105"/>
      <c r="IR390" s="105"/>
      <c r="IS390" s="105"/>
    </row>
    <row r="391" spans="1:253">
      <c r="A391" s="116"/>
      <c r="B391" s="105"/>
      <c r="C391" s="116"/>
      <c r="D391" s="116"/>
      <c r="E391" s="116"/>
      <c r="F391" s="116"/>
      <c r="G391" s="116"/>
      <c r="H391" s="116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5"/>
      <c r="BE391" s="105"/>
      <c r="BF391" s="105"/>
      <c r="BG391" s="105"/>
      <c r="BH391" s="105"/>
      <c r="BI391" s="105"/>
      <c r="BJ391" s="105"/>
      <c r="BK391" s="105"/>
      <c r="BL391" s="105"/>
      <c r="BM391" s="105"/>
      <c r="BN391" s="105"/>
      <c r="BO391" s="105"/>
      <c r="BP391" s="105"/>
      <c r="BQ391" s="105"/>
      <c r="BR391" s="105"/>
      <c r="BS391" s="105"/>
      <c r="BT391" s="105"/>
      <c r="BU391" s="105"/>
      <c r="BV391" s="105"/>
      <c r="BW391" s="105"/>
      <c r="BX391" s="105"/>
      <c r="BY391" s="105"/>
      <c r="BZ391" s="105"/>
      <c r="CA391" s="105"/>
      <c r="CB391" s="105"/>
      <c r="CC391" s="105"/>
      <c r="CD391" s="105"/>
      <c r="CE391" s="105"/>
      <c r="CF391" s="105"/>
      <c r="CG391" s="105"/>
      <c r="CH391" s="105"/>
      <c r="CI391" s="105"/>
      <c r="CJ391" s="105"/>
      <c r="CK391" s="105"/>
      <c r="CL391" s="105"/>
      <c r="CM391" s="105"/>
      <c r="CN391" s="105"/>
      <c r="CO391" s="105"/>
      <c r="CP391" s="105"/>
      <c r="CQ391" s="105"/>
      <c r="CR391" s="105"/>
      <c r="CS391" s="105"/>
      <c r="CT391" s="105"/>
      <c r="CU391" s="105"/>
      <c r="CV391" s="105"/>
      <c r="CW391" s="105"/>
      <c r="CX391" s="105"/>
      <c r="CY391" s="105"/>
      <c r="CZ391" s="105"/>
      <c r="DA391" s="105"/>
      <c r="DB391" s="105"/>
      <c r="DC391" s="105"/>
      <c r="DD391" s="105"/>
      <c r="DE391" s="105"/>
      <c r="DF391" s="105"/>
      <c r="DG391" s="105"/>
      <c r="DH391" s="105"/>
      <c r="DI391" s="105"/>
      <c r="DJ391" s="105"/>
      <c r="DK391" s="105"/>
      <c r="DL391" s="105"/>
      <c r="DM391" s="105"/>
      <c r="DN391" s="105"/>
      <c r="DO391" s="105"/>
      <c r="DP391" s="105"/>
      <c r="DQ391" s="105"/>
      <c r="DR391" s="105"/>
      <c r="DS391" s="105"/>
      <c r="DT391" s="105"/>
      <c r="DU391" s="105"/>
      <c r="DV391" s="105"/>
      <c r="DW391" s="105"/>
      <c r="DX391" s="105"/>
      <c r="DY391" s="105"/>
      <c r="DZ391" s="105"/>
      <c r="EA391" s="105"/>
      <c r="EB391" s="105"/>
      <c r="EC391" s="105"/>
      <c r="ED391" s="105"/>
      <c r="EE391" s="105"/>
      <c r="EF391" s="105"/>
      <c r="EG391" s="105"/>
      <c r="EH391" s="105"/>
      <c r="EI391" s="105"/>
      <c r="EJ391" s="105"/>
      <c r="EK391" s="105"/>
      <c r="EL391" s="105"/>
      <c r="EM391" s="105"/>
      <c r="EN391" s="105"/>
      <c r="EO391" s="105"/>
      <c r="EP391" s="105"/>
      <c r="EQ391" s="105"/>
      <c r="ER391" s="105"/>
      <c r="ES391" s="105"/>
      <c r="ET391" s="105"/>
      <c r="EU391" s="105"/>
      <c r="EV391" s="105"/>
      <c r="EW391" s="105"/>
      <c r="EX391" s="105"/>
      <c r="EY391" s="105"/>
      <c r="EZ391" s="105"/>
      <c r="FA391" s="105"/>
      <c r="FB391" s="105"/>
      <c r="FC391" s="105"/>
      <c r="FD391" s="105"/>
      <c r="FE391" s="105"/>
      <c r="FF391" s="105"/>
      <c r="FG391" s="105"/>
      <c r="FH391" s="105"/>
      <c r="FI391" s="105"/>
      <c r="FJ391" s="105"/>
      <c r="FK391" s="105"/>
      <c r="FL391" s="105"/>
      <c r="FM391" s="105"/>
      <c r="FN391" s="105"/>
      <c r="FO391" s="105"/>
      <c r="FP391" s="105"/>
      <c r="FQ391" s="105"/>
      <c r="FR391" s="105"/>
      <c r="FS391" s="105"/>
      <c r="FT391" s="105"/>
      <c r="FU391" s="105"/>
      <c r="FV391" s="105"/>
      <c r="FW391" s="105"/>
      <c r="FX391" s="105"/>
      <c r="FY391" s="105"/>
      <c r="FZ391" s="105"/>
      <c r="GA391" s="105"/>
      <c r="GB391" s="105"/>
      <c r="GC391" s="105"/>
      <c r="GD391" s="105"/>
      <c r="GE391" s="105"/>
      <c r="GF391" s="105"/>
      <c r="GG391" s="105"/>
      <c r="GH391" s="105"/>
      <c r="GI391" s="105"/>
      <c r="GJ391" s="105"/>
      <c r="GK391" s="105"/>
      <c r="GL391" s="105"/>
      <c r="GM391" s="105"/>
      <c r="GN391" s="105"/>
      <c r="GO391" s="105"/>
      <c r="GP391" s="105"/>
      <c r="GQ391" s="105"/>
      <c r="GR391" s="105"/>
      <c r="GS391" s="105"/>
      <c r="GT391" s="105"/>
      <c r="GU391" s="105"/>
      <c r="GV391" s="105"/>
      <c r="GW391" s="105"/>
      <c r="GX391" s="105"/>
      <c r="GY391" s="105"/>
      <c r="GZ391" s="105"/>
      <c r="HA391" s="105"/>
      <c r="HB391" s="105"/>
      <c r="HC391" s="105"/>
      <c r="HD391" s="105"/>
      <c r="HE391" s="105"/>
      <c r="HF391" s="105"/>
      <c r="HG391" s="105"/>
      <c r="HH391" s="105"/>
      <c r="HI391" s="105"/>
      <c r="HJ391" s="105"/>
      <c r="HK391" s="105"/>
      <c r="HL391" s="105"/>
      <c r="HM391" s="105"/>
      <c r="HN391" s="105"/>
      <c r="HO391" s="105"/>
      <c r="HP391" s="105"/>
      <c r="HQ391" s="105"/>
      <c r="HR391" s="105"/>
      <c r="HS391" s="105"/>
      <c r="HT391" s="105"/>
      <c r="HU391" s="105"/>
      <c r="HV391" s="105"/>
      <c r="HW391" s="105"/>
      <c r="HX391" s="105"/>
      <c r="HY391" s="105"/>
      <c r="HZ391" s="105"/>
      <c r="IA391" s="105"/>
      <c r="IB391" s="105"/>
      <c r="IC391" s="105"/>
      <c r="ID391" s="105"/>
      <c r="IE391" s="105"/>
      <c r="IF391" s="105"/>
      <c r="IG391" s="105"/>
      <c r="IH391" s="105"/>
      <c r="II391" s="105"/>
      <c r="IJ391" s="105"/>
      <c r="IK391" s="105"/>
      <c r="IL391" s="105"/>
      <c r="IM391" s="105"/>
      <c r="IN391" s="105"/>
      <c r="IO391" s="105"/>
      <c r="IP391" s="105"/>
      <c r="IQ391" s="105"/>
      <c r="IR391" s="105"/>
      <c r="IS391" s="105"/>
    </row>
    <row r="392" spans="1:253">
      <c r="A392" s="116"/>
      <c r="B392" s="105"/>
      <c r="C392" s="116"/>
      <c r="D392" s="116"/>
      <c r="E392" s="116"/>
      <c r="F392" s="116"/>
      <c r="G392" s="116"/>
      <c r="H392" s="116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05"/>
      <c r="BF392" s="105"/>
      <c r="BG392" s="105"/>
      <c r="BH392" s="105"/>
      <c r="BI392" s="105"/>
      <c r="BJ392" s="105"/>
      <c r="BK392" s="105"/>
      <c r="BL392" s="105"/>
      <c r="BM392" s="105"/>
      <c r="BN392" s="105"/>
      <c r="BO392" s="105"/>
      <c r="BP392" s="105"/>
      <c r="BQ392" s="105"/>
      <c r="BR392" s="105"/>
      <c r="BS392" s="105"/>
      <c r="BT392" s="105"/>
      <c r="BU392" s="105"/>
      <c r="BV392" s="105"/>
      <c r="BW392" s="105"/>
      <c r="BX392" s="105"/>
      <c r="BY392" s="105"/>
      <c r="BZ392" s="105"/>
      <c r="CA392" s="105"/>
      <c r="CB392" s="105"/>
      <c r="CC392" s="105"/>
      <c r="CD392" s="105"/>
      <c r="CE392" s="105"/>
      <c r="CF392" s="105"/>
      <c r="CG392" s="105"/>
      <c r="CH392" s="105"/>
      <c r="CI392" s="105"/>
      <c r="CJ392" s="105"/>
      <c r="CK392" s="105"/>
      <c r="CL392" s="105"/>
      <c r="CM392" s="105"/>
      <c r="CN392" s="105"/>
      <c r="CO392" s="105"/>
      <c r="CP392" s="105"/>
      <c r="CQ392" s="105"/>
      <c r="CR392" s="105"/>
      <c r="CS392" s="105"/>
      <c r="CT392" s="105"/>
      <c r="CU392" s="105"/>
      <c r="CV392" s="105"/>
      <c r="CW392" s="105"/>
      <c r="CX392" s="105"/>
      <c r="CY392" s="105"/>
      <c r="CZ392" s="105"/>
      <c r="DA392" s="105"/>
      <c r="DB392" s="105"/>
      <c r="DC392" s="105"/>
      <c r="DD392" s="105"/>
      <c r="DE392" s="105"/>
      <c r="DF392" s="105"/>
      <c r="DG392" s="105"/>
      <c r="DH392" s="105"/>
      <c r="DI392" s="105"/>
      <c r="DJ392" s="105"/>
      <c r="DK392" s="105"/>
      <c r="DL392" s="105"/>
      <c r="DM392" s="105"/>
      <c r="DN392" s="105"/>
      <c r="DO392" s="105"/>
      <c r="DP392" s="105"/>
      <c r="DQ392" s="105"/>
      <c r="DR392" s="105"/>
      <c r="DS392" s="105"/>
      <c r="DT392" s="105"/>
      <c r="DU392" s="105"/>
      <c r="DV392" s="105"/>
      <c r="DW392" s="105"/>
      <c r="DX392" s="105"/>
      <c r="DY392" s="105"/>
      <c r="DZ392" s="105"/>
      <c r="EA392" s="105"/>
      <c r="EB392" s="105"/>
      <c r="EC392" s="105"/>
      <c r="ED392" s="105"/>
      <c r="EE392" s="105"/>
      <c r="EF392" s="105"/>
      <c r="EG392" s="105"/>
      <c r="EH392" s="105"/>
      <c r="EI392" s="105"/>
      <c r="EJ392" s="105"/>
      <c r="EK392" s="105"/>
      <c r="EL392" s="105"/>
      <c r="EM392" s="105"/>
      <c r="EN392" s="105"/>
      <c r="EO392" s="105"/>
      <c r="EP392" s="105"/>
      <c r="EQ392" s="105"/>
      <c r="ER392" s="105"/>
      <c r="ES392" s="105"/>
      <c r="ET392" s="105"/>
      <c r="EU392" s="105"/>
      <c r="EV392" s="105"/>
      <c r="EW392" s="105"/>
      <c r="EX392" s="105"/>
      <c r="EY392" s="105"/>
      <c r="EZ392" s="105"/>
      <c r="FA392" s="105"/>
      <c r="FB392" s="105"/>
      <c r="FC392" s="105"/>
      <c r="FD392" s="105"/>
      <c r="FE392" s="105"/>
      <c r="FF392" s="105"/>
      <c r="FG392" s="105"/>
      <c r="FH392" s="105"/>
      <c r="FI392" s="105"/>
      <c r="FJ392" s="105"/>
      <c r="FK392" s="105"/>
      <c r="FL392" s="105"/>
      <c r="FM392" s="105"/>
      <c r="FN392" s="105"/>
      <c r="FO392" s="105"/>
      <c r="FP392" s="105"/>
      <c r="FQ392" s="105"/>
      <c r="FR392" s="105"/>
      <c r="FS392" s="105"/>
      <c r="FT392" s="105"/>
      <c r="FU392" s="105"/>
      <c r="FV392" s="105"/>
      <c r="FW392" s="105"/>
      <c r="FX392" s="105"/>
      <c r="FY392" s="105"/>
      <c r="FZ392" s="105"/>
      <c r="GA392" s="105"/>
      <c r="GB392" s="105"/>
      <c r="GC392" s="105"/>
      <c r="GD392" s="105"/>
      <c r="GE392" s="105"/>
      <c r="GF392" s="105"/>
      <c r="GG392" s="105"/>
      <c r="GH392" s="105"/>
      <c r="GI392" s="105"/>
      <c r="GJ392" s="105"/>
      <c r="GK392" s="105"/>
      <c r="GL392" s="105"/>
      <c r="GM392" s="105"/>
      <c r="GN392" s="105"/>
      <c r="GO392" s="105"/>
      <c r="GP392" s="105"/>
      <c r="GQ392" s="105"/>
      <c r="GR392" s="105"/>
      <c r="GS392" s="105"/>
      <c r="GT392" s="105"/>
      <c r="GU392" s="105"/>
      <c r="GV392" s="105"/>
      <c r="GW392" s="105"/>
      <c r="GX392" s="105"/>
      <c r="GY392" s="105"/>
      <c r="GZ392" s="105"/>
      <c r="HA392" s="105"/>
      <c r="HB392" s="105"/>
      <c r="HC392" s="105"/>
      <c r="HD392" s="105"/>
      <c r="HE392" s="105"/>
      <c r="HF392" s="105"/>
      <c r="HG392" s="105"/>
      <c r="HH392" s="105"/>
      <c r="HI392" s="105"/>
      <c r="HJ392" s="105"/>
      <c r="HK392" s="105"/>
      <c r="HL392" s="105"/>
      <c r="HM392" s="105"/>
      <c r="HN392" s="105"/>
      <c r="HO392" s="105"/>
      <c r="HP392" s="105"/>
      <c r="HQ392" s="105"/>
      <c r="HR392" s="105"/>
      <c r="HS392" s="105"/>
      <c r="HT392" s="105"/>
      <c r="HU392" s="105"/>
      <c r="HV392" s="105"/>
      <c r="HW392" s="105"/>
      <c r="HX392" s="105"/>
      <c r="HY392" s="105"/>
      <c r="HZ392" s="105"/>
      <c r="IA392" s="105"/>
      <c r="IB392" s="105"/>
      <c r="IC392" s="105"/>
      <c r="ID392" s="105"/>
      <c r="IE392" s="105"/>
      <c r="IF392" s="105"/>
      <c r="IG392" s="105"/>
      <c r="IH392" s="105"/>
      <c r="II392" s="105"/>
      <c r="IJ392" s="105"/>
      <c r="IK392" s="105"/>
      <c r="IL392" s="105"/>
      <c r="IM392" s="105"/>
      <c r="IN392" s="105"/>
      <c r="IO392" s="105"/>
      <c r="IP392" s="105"/>
      <c r="IQ392" s="105"/>
      <c r="IR392" s="105"/>
      <c r="IS392" s="105"/>
    </row>
    <row r="393" spans="1:253">
      <c r="A393" s="116"/>
      <c r="B393" s="105"/>
      <c r="C393" s="116"/>
      <c r="D393" s="116"/>
      <c r="E393" s="116"/>
      <c r="F393" s="116"/>
      <c r="G393" s="116"/>
      <c r="H393" s="116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5"/>
      <c r="BE393" s="105"/>
      <c r="BF393" s="105"/>
      <c r="BG393" s="105"/>
      <c r="BH393" s="105"/>
      <c r="BI393" s="105"/>
      <c r="BJ393" s="105"/>
      <c r="BK393" s="105"/>
      <c r="BL393" s="105"/>
      <c r="BM393" s="105"/>
      <c r="BN393" s="105"/>
      <c r="BO393" s="105"/>
      <c r="BP393" s="105"/>
      <c r="BQ393" s="105"/>
      <c r="BR393" s="105"/>
      <c r="BS393" s="105"/>
      <c r="BT393" s="105"/>
      <c r="BU393" s="105"/>
      <c r="BV393" s="105"/>
      <c r="BW393" s="105"/>
      <c r="BX393" s="105"/>
      <c r="BY393" s="105"/>
      <c r="BZ393" s="105"/>
      <c r="CA393" s="105"/>
      <c r="CB393" s="105"/>
      <c r="CC393" s="105"/>
      <c r="CD393" s="105"/>
      <c r="CE393" s="105"/>
      <c r="CF393" s="105"/>
      <c r="CG393" s="105"/>
      <c r="CH393" s="105"/>
      <c r="CI393" s="105"/>
      <c r="CJ393" s="105"/>
      <c r="CK393" s="105"/>
      <c r="CL393" s="105"/>
      <c r="CM393" s="105"/>
      <c r="CN393" s="105"/>
      <c r="CO393" s="105"/>
      <c r="CP393" s="105"/>
      <c r="CQ393" s="105"/>
      <c r="CR393" s="105"/>
      <c r="CS393" s="105"/>
      <c r="CT393" s="105"/>
      <c r="CU393" s="105"/>
      <c r="CV393" s="105"/>
      <c r="CW393" s="105"/>
      <c r="CX393" s="105"/>
      <c r="CY393" s="105"/>
      <c r="CZ393" s="105"/>
      <c r="DA393" s="105"/>
      <c r="DB393" s="105"/>
      <c r="DC393" s="105"/>
      <c r="DD393" s="105"/>
      <c r="DE393" s="105"/>
      <c r="DF393" s="105"/>
      <c r="DG393" s="105"/>
      <c r="DH393" s="105"/>
      <c r="DI393" s="105"/>
      <c r="DJ393" s="105"/>
      <c r="DK393" s="105"/>
      <c r="DL393" s="105"/>
      <c r="DM393" s="105"/>
      <c r="DN393" s="105"/>
      <c r="DO393" s="105"/>
      <c r="DP393" s="105"/>
      <c r="DQ393" s="105"/>
      <c r="DR393" s="105"/>
      <c r="DS393" s="105"/>
      <c r="DT393" s="105"/>
      <c r="DU393" s="105"/>
      <c r="DV393" s="105"/>
      <c r="DW393" s="105"/>
      <c r="DX393" s="105"/>
      <c r="DY393" s="105"/>
      <c r="DZ393" s="105"/>
      <c r="EA393" s="105"/>
      <c r="EB393" s="105"/>
      <c r="EC393" s="105"/>
      <c r="ED393" s="105"/>
      <c r="EE393" s="105"/>
      <c r="EF393" s="105"/>
      <c r="EG393" s="105"/>
      <c r="EH393" s="105"/>
      <c r="EI393" s="105"/>
      <c r="EJ393" s="105"/>
      <c r="EK393" s="105"/>
      <c r="EL393" s="105"/>
      <c r="EM393" s="105"/>
      <c r="EN393" s="105"/>
      <c r="EO393" s="105"/>
      <c r="EP393" s="105"/>
      <c r="EQ393" s="105"/>
      <c r="ER393" s="105"/>
      <c r="ES393" s="105"/>
      <c r="ET393" s="105"/>
      <c r="EU393" s="105"/>
      <c r="EV393" s="105"/>
      <c r="EW393" s="105"/>
      <c r="EX393" s="105"/>
      <c r="EY393" s="105"/>
      <c r="EZ393" s="105"/>
      <c r="FA393" s="105"/>
      <c r="FB393" s="105"/>
      <c r="FC393" s="105"/>
      <c r="FD393" s="105"/>
      <c r="FE393" s="105"/>
      <c r="FF393" s="105"/>
      <c r="FG393" s="105"/>
      <c r="FH393" s="105"/>
      <c r="FI393" s="105"/>
      <c r="FJ393" s="105"/>
      <c r="FK393" s="105"/>
      <c r="FL393" s="105"/>
      <c r="FM393" s="105"/>
      <c r="FN393" s="105"/>
      <c r="FO393" s="105"/>
      <c r="FP393" s="105"/>
      <c r="FQ393" s="105"/>
      <c r="FR393" s="105"/>
      <c r="FS393" s="105"/>
      <c r="FT393" s="105"/>
      <c r="FU393" s="105"/>
      <c r="FV393" s="105"/>
      <c r="FW393" s="105"/>
      <c r="FX393" s="105"/>
      <c r="FY393" s="105"/>
      <c r="FZ393" s="105"/>
      <c r="GA393" s="105"/>
      <c r="GB393" s="105"/>
      <c r="GC393" s="105"/>
      <c r="GD393" s="105"/>
      <c r="GE393" s="105"/>
      <c r="GF393" s="105"/>
      <c r="GG393" s="105"/>
      <c r="GH393" s="105"/>
      <c r="GI393" s="105"/>
      <c r="GJ393" s="105"/>
      <c r="GK393" s="105"/>
      <c r="GL393" s="105"/>
      <c r="GM393" s="105"/>
      <c r="GN393" s="105"/>
      <c r="GO393" s="105"/>
      <c r="GP393" s="105"/>
      <c r="GQ393" s="105"/>
      <c r="GR393" s="105"/>
      <c r="GS393" s="105"/>
      <c r="GT393" s="105"/>
      <c r="GU393" s="105"/>
      <c r="GV393" s="105"/>
      <c r="GW393" s="105"/>
      <c r="GX393" s="105"/>
      <c r="GY393" s="105"/>
      <c r="GZ393" s="105"/>
      <c r="HA393" s="105"/>
      <c r="HB393" s="105"/>
      <c r="HC393" s="105"/>
      <c r="HD393" s="105"/>
      <c r="HE393" s="105"/>
      <c r="HF393" s="105"/>
      <c r="HG393" s="105"/>
      <c r="HH393" s="105"/>
      <c r="HI393" s="105"/>
      <c r="HJ393" s="105"/>
      <c r="HK393" s="105"/>
      <c r="HL393" s="105"/>
      <c r="HM393" s="105"/>
      <c r="HN393" s="105"/>
      <c r="HO393" s="105"/>
      <c r="HP393" s="105"/>
      <c r="HQ393" s="105"/>
      <c r="HR393" s="105"/>
      <c r="HS393" s="105"/>
      <c r="HT393" s="105"/>
      <c r="HU393" s="105"/>
      <c r="HV393" s="105"/>
      <c r="HW393" s="105"/>
      <c r="HX393" s="105"/>
      <c r="HY393" s="105"/>
      <c r="HZ393" s="105"/>
      <c r="IA393" s="105"/>
      <c r="IB393" s="105"/>
      <c r="IC393" s="105"/>
      <c r="ID393" s="105"/>
      <c r="IE393" s="105"/>
      <c r="IF393" s="105"/>
      <c r="IG393" s="105"/>
      <c r="IH393" s="105"/>
      <c r="II393" s="105"/>
      <c r="IJ393" s="105"/>
      <c r="IK393" s="105"/>
      <c r="IL393" s="105"/>
      <c r="IM393" s="105"/>
      <c r="IN393" s="105"/>
      <c r="IO393" s="105"/>
      <c r="IP393" s="105"/>
      <c r="IQ393" s="105"/>
      <c r="IR393" s="105"/>
      <c r="IS393" s="105"/>
    </row>
    <row r="394" spans="1:253">
      <c r="A394" s="116"/>
      <c r="B394" s="105"/>
      <c r="C394" s="116"/>
      <c r="D394" s="116"/>
      <c r="E394" s="116"/>
      <c r="F394" s="116"/>
      <c r="G394" s="116"/>
      <c r="H394" s="116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05"/>
      <c r="BF394" s="105"/>
      <c r="BG394" s="105"/>
      <c r="BH394" s="105"/>
      <c r="BI394" s="105"/>
      <c r="BJ394" s="105"/>
      <c r="BK394" s="105"/>
      <c r="BL394" s="105"/>
      <c r="BM394" s="105"/>
      <c r="BN394" s="105"/>
      <c r="BO394" s="105"/>
      <c r="BP394" s="105"/>
      <c r="BQ394" s="105"/>
      <c r="BR394" s="105"/>
      <c r="BS394" s="105"/>
      <c r="BT394" s="105"/>
      <c r="BU394" s="105"/>
      <c r="BV394" s="105"/>
      <c r="BW394" s="105"/>
      <c r="BX394" s="105"/>
      <c r="BY394" s="105"/>
      <c r="BZ394" s="105"/>
      <c r="CA394" s="105"/>
      <c r="CB394" s="105"/>
      <c r="CC394" s="105"/>
      <c r="CD394" s="105"/>
      <c r="CE394" s="105"/>
      <c r="CF394" s="105"/>
      <c r="CG394" s="105"/>
      <c r="CH394" s="105"/>
      <c r="CI394" s="105"/>
      <c r="CJ394" s="105"/>
      <c r="CK394" s="105"/>
      <c r="CL394" s="105"/>
      <c r="CM394" s="105"/>
      <c r="CN394" s="105"/>
      <c r="CO394" s="105"/>
      <c r="CP394" s="105"/>
      <c r="CQ394" s="105"/>
      <c r="CR394" s="105"/>
      <c r="CS394" s="105"/>
      <c r="CT394" s="105"/>
      <c r="CU394" s="105"/>
      <c r="CV394" s="105"/>
      <c r="CW394" s="105"/>
      <c r="CX394" s="105"/>
      <c r="CY394" s="105"/>
      <c r="CZ394" s="105"/>
      <c r="DA394" s="105"/>
      <c r="DB394" s="105"/>
      <c r="DC394" s="105"/>
      <c r="DD394" s="105"/>
      <c r="DE394" s="105"/>
      <c r="DF394" s="105"/>
      <c r="DG394" s="105"/>
      <c r="DH394" s="105"/>
      <c r="DI394" s="105"/>
      <c r="DJ394" s="105"/>
      <c r="DK394" s="105"/>
      <c r="DL394" s="105"/>
      <c r="DM394" s="105"/>
      <c r="DN394" s="105"/>
      <c r="DO394" s="105"/>
      <c r="DP394" s="105"/>
      <c r="DQ394" s="105"/>
      <c r="DR394" s="105"/>
      <c r="DS394" s="105"/>
      <c r="DT394" s="105"/>
      <c r="DU394" s="105"/>
      <c r="DV394" s="105"/>
      <c r="DW394" s="105"/>
      <c r="DX394" s="105"/>
      <c r="DY394" s="105"/>
      <c r="DZ394" s="105"/>
      <c r="EA394" s="105"/>
      <c r="EB394" s="105"/>
      <c r="EC394" s="105"/>
      <c r="ED394" s="105"/>
      <c r="EE394" s="105"/>
      <c r="EF394" s="105"/>
      <c r="EG394" s="105"/>
      <c r="EH394" s="105"/>
      <c r="EI394" s="105"/>
      <c r="EJ394" s="105"/>
      <c r="EK394" s="105"/>
      <c r="EL394" s="105"/>
      <c r="EM394" s="105"/>
      <c r="EN394" s="105"/>
      <c r="EO394" s="105"/>
      <c r="EP394" s="105"/>
      <c r="EQ394" s="105"/>
      <c r="ER394" s="105"/>
      <c r="ES394" s="105"/>
      <c r="ET394" s="105"/>
      <c r="EU394" s="105"/>
      <c r="EV394" s="105"/>
      <c r="EW394" s="105"/>
      <c r="EX394" s="105"/>
      <c r="EY394" s="105"/>
      <c r="EZ394" s="105"/>
      <c r="FA394" s="105"/>
      <c r="FB394" s="105"/>
      <c r="FC394" s="105"/>
      <c r="FD394" s="105"/>
      <c r="FE394" s="105"/>
      <c r="FF394" s="105"/>
      <c r="FG394" s="105"/>
      <c r="FH394" s="105"/>
      <c r="FI394" s="105"/>
      <c r="FJ394" s="105"/>
      <c r="FK394" s="105"/>
      <c r="FL394" s="105"/>
      <c r="FM394" s="105"/>
      <c r="FN394" s="105"/>
      <c r="FO394" s="105"/>
      <c r="FP394" s="105"/>
      <c r="FQ394" s="105"/>
      <c r="FR394" s="105"/>
      <c r="FS394" s="105"/>
      <c r="FT394" s="105"/>
      <c r="FU394" s="105"/>
      <c r="FV394" s="105"/>
      <c r="FW394" s="105"/>
      <c r="FX394" s="105"/>
      <c r="FY394" s="105"/>
      <c r="FZ394" s="105"/>
      <c r="GA394" s="105"/>
      <c r="GB394" s="105"/>
      <c r="GC394" s="105"/>
      <c r="GD394" s="105"/>
      <c r="GE394" s="105"/>
      <c r="GF394" s="105"/>
      <c r="GG394" s="105"/>
      <c r="GH394" s="105"/>
      <c r="GI394" s="105"/>
      <c r="GJ394" s="105"/>
      <c r="GK394" s="105"/>
      <c r="GL394" s="105"/>
      <c r="GM394" s="105"/>
      <c r="GN394" s="105"/>
      <c r="GO394" s="105"/>
      <c r="GP394" s="105"/>
      <c r="GQ394" s="105"/>
      <c r="GR394" s="105"/>
      <c r="GS394" s="105"/>
      <c r="GT394" s="105"/>
      <c r="GU394" s="105"/>
      <c r="GV394" s="105"/>
      <c r="GW394" s="105"/>
      <c r="GX394" s="105"/>
      <c r="GY394" s="105"/>
      <c r="GZ394" s="105"/>
      <c r="HA394" s="105"/>
      <c r="HB394" s="105"/>
      <c r="HC394" s="105"/>
      <c r="HD394" s="105"/>
      <c r="HE394" s="105"/>
      <c r="HF394" s="105"/>
      <c r="HG394" s="105"/>
      <c r="HH394" s="105"/>
      <c r="HI394" s="105"/>
      <c r="HJ394" s="105"/>
      <c r="HK394" s="105"/>
      <c r="HL394" s="105"/>
      <c r="HM394" s="105"/>
      <c r="HN394" s="105"/>
      <c r="HO394" s="105"/>
      <c r="HP394" s="105"/>
      <c r="HQ394" s="105"/>
      <c r="HR394" s="105"/>
      <c r="HS394" s="105"/>
      <c r="HT394" s="105"/>
      <c r="HU394" s="105"/>
      <c r="HV394" s="105"/>
      <c r="HW394" s="105"/>
      <c r="HX394" s="105"/>
      <c r="HY394" s="105"/>
      <c r="HZ394" s="105"/>
      <c r="IA394" s="105"/>
      <c r="IB394" s="105"/>
      <c r="IC394" s="105"/>
      <c r="ID394" s="105"/>
      <c r="IE394" s="105"/>
      <c r="IF394" s="105"/>
      <c r="IG394" s="105"/>
      <c r="IH394" s="105"/>
      <c r="II394" s="105"/>
      <c r="IJ394" s="105"/>
      <c r="IK394" s="105"/>
      <c r="IL394" s="105"/>
      <c r="IM394" s="105"/>
      <c r="IN394" s="105"/>
      <c r="IO394" s="105"/>
      <c r="IP394" s="105"/>
      <c r="IQ394" s="105"/>
      <c r="IR394" s="105"/>
      <c r="IS394" s="105"/>
    </row>
    <row r="395" spans="1:253">
      <c r="A395" s="116"/>
      <c r="B395" s="105"/>
      <c r="C395" s="116"/>
      <c r="D395" s="116"/>
      <c r="E395" s="116"/>
      <c r="F395" s="116"/>
      <c r="G395" s="116"/>
      <c r="H395" s="116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5"/>
      <c r="BE395" s="105"/>
      <c r="BF395" s="105"/>
      <c r="BG395" s="105"/>
      <c r="BH395" s="105"/>
      <c r="BI395" s="105"/>
      <c r="BJ395" s="105"/>
      <c r="BK395" s="105"/>
      <c r="BL395" s="105"/>
      <c r="BM395" s="105"/>
      <c r="BN395" s="105"/>
      <c r="BO395" s="105"/>
      <c r="BP395" s="105"/>
      <c r="BQ395" s="105"/>
      <c r="BR395" s="105"/>
      <c r="BS395" s="105"/>
      <c r="BT395" s="105"/>
      <c r="BU395" s="105"/>
      <c r="BV395" s="105"/>
      <c r="BW395" s="105"/>
      <c r="BX395" s="105"/>
      <c r="BY395" s="105"/>
      <c r="BZ395" s="105"/>
      <c r="CA395" s="105"/>
      <c r="CB395" s="105"/>
      <c r="CC395" s="105"/>
      <c r="CD395" s="105"/>
      <c r="CE395" s="105"/>
      <c r="CF395" s="105"/>
      <c r="CG395" s="105"/>
      <c r="CH395" s="105"/>
      <c r="CI395" s="105"/>
      <c r="CJ395" s="105"/>
      <c r="CK395" s="105"/>
      <c r="CL395" s="105"/>
      <c r="CM395" s="105"/>
      <c r="CN395" s="105"/>
      <c r="CO395" s="105"/>
      <c r="CP395" s="105"/>
      <c r="CQ395" s="105"/>
      <c r="CR395" s="105"/>
      <c r="CS395" s="105"/>
      <c r="CT395" s="105"/>
      <c r="CU395" s="105"/>
      <c r="CV395" s="105"/>
      <c r="CW395" s="105"/>
      <c r="CX395" s="105"/>
      <c r="CY395" s="105"/>
      <c r="CZ395" s="105"/>
      <c r="DA395" s="105"/>
      <c r="DB395" s="105"/>
      <c r="DC395" s="105"/>
      <c r="DD395" s="105"/>
      <c r="DE395" s="105"/>
      <c r="DF395" s="105"/>
      <c r="DG395" s="105"/>
      <c r="DH395" s="105"/>
      <c r="DI395" s="105"/>
      <c r="DJ395" s="105"/>
      <c r="DK395" s="105"/>
      <c r="DL395" s="105"/>
      <c r="DM395" s="105"/>
      <c r="DN395" s="105"/>
      <c r="DO395" s="105"/>
      <c r="DP395" s="105"/>
      <c r="DQ395" s="105"/>
      <c r="DR395" s="105"/>
      <c r="DS395" s="105"/>
      <c r="DT395" s="105"/>
      <c r="DU395" s="105"/>
      <c r="DV395" s="105"/>
      <c r="DW395" s="105"/>
      <c r="DX395" s="105"/>
      <c r="DY395" s="105"/>
      <c r="DZ395" s="105"/>
      <c r="EA395" s="105"/>
      <c r="EB395" s="105"/>
      <c r="EC395" s="105"/>
      <c r="ED395" s="105"/>
      <c r="EE395" s="105"/>
      <c r="EF395" s="105"/>
      <c r="EG395" s="105"/>
      <c r="EH395" s="105"/>
      <c r="EI395" s="105"/>
      <c r="EJ395" s="105"/>
      <c r="EK395" s="105"/>
      <c r="EL395" s="105"/>
      <c r="EM395" s="105"/>
      <c r="EN395" s="105"/>
      <c r="EO395" s="105"/>
      <c r="EP395" s="105"/>
      <c r="EQ395" s="105"/>
      <c r="ER395" s="105"/>
      <c r="ES395" s="105"/>
      <c r="ET395" s="105"/>
      <c r="EU395" s="105"/>
      <c r="EV395" s="105"/>
      <c r="EW395" s="105"/>
      <c r="EX395" s="105"/>
      <c r="EY395" s="105"/>
      <c r="EZ395" s="105"/>
      <c r="FA395" s="105"/>
      <c r="FB395" s="105"/>
      <c r="FC395" s="105"/>
      <c r="FD395" s="105"/>
      <c r="FE395" s="105"/>
      <c r="FF395" s="105"/>
      <c r="FG395" s="105"/>
      <c r="FH395" s="105"/>
      <c r="FI395" s="105"/>
      <c r="FJ395" s="105"/>
      <c r="FK395" s="105"/>
      <c r="FL395" s="105"/>
      <c r="FM395" s="105"/>
      <c r="FN395" s="105"/>
      <c r="FO395" s="105"/>
      <c r="FP395" s="105"/>
      <c r="FQ395" s="105"/>
      <c r="FR395" s="105"/>
      <c r="FS395" s="105"/>
      <c r="FT395" s="105"/>
      <c r="FU395" s="105"/>
      <c r="FV395" s="105"/>
      <c r="FW395" s="105"/>
      <c r="FX395" s="105"/>
      <c r="FY395" s="105"/>
      <c r="FZ395" s="105"/>
      <c r="GA395" s="105"/>
      <c r="GB395" s="105"/>
      <c r="GC395" s="105"/>
      <c r="GD395" s="105"/>
      <c r="GE395" s="105"/>
      <c r="GF395" s="105"/>
      <c r="GG395" s="105"/>
      <c r="GH395" s="105"/>
      <c r="GI395" s="105"/>
      <c r="GJ395" s="105"/>
      <c r="GK395" s="105"/>
      <c r="GL395" s="105"/>
      <c r="GM395" s="105"/>
      <c r="GN395" s="105"/>
      <c r="GO395" s="105"/>
      <c r="GP395" s="105"/>
      <c r="GQ395" s="105"/>
      <c r="GR395" s="105"/>
      <c r="GS395" s="105"/>
      <c r="GT395" s="105"/>
      <c r="GU395" s="105"/>
      <c r="GV395" s="105"/>
      <c r="GW395" s="105"/>
      <c r="GX395" s="105"/>
      <c r="GY395" s="105"/>
      <c r="GZ395" s="105"/>
      <c r="HA395" s="105"/>
      <c r="HB395" s="105"/>
      <c r="HC395" s="105"/>
      <c r="HD395" s="105"/>
      <c r="HE395" s="105"/>
      <c r="HF395" s="105"/>
      <c r="HG395" s="105"/>
      <c r="HH395" s="105"/>
      <c r="HI395" s="105"/>
      <c r="HJ395" s="105"/>
      <c r="HK395" s="105"/>
      <c r="HL395" s="105"/>
      <c r="HM395" s="105"/>
      <c r="HN395" s="105"/>
      <c r="HO395" s="105"/>
      <c r="HP395" s="105"/>
      <c r="HQ395" s="105"/>
      <c r="HR395" s="105"/>
      <c r="HS395" s="105"/>
      <c r="HT395" s="105"/>
      <c r="HU395" s="105"/>
      <c r="HV395" s="105"/>
      <c r="HW395" s="105"/>
      <c r="HX395" s="105"/>
      <c r="HY395" s="105"/>
      <c r="HZ395" s="105"/>
      <c r="IA395" s="105"/>
      <c r="IB395" s="105"/>
      <c r="IC395" s="105"/>
      <c r="ID395" s="105"/>
      <c r="IE395" s="105"/>
      <c r="IF395" s="105"/>
      <c r="IG395" s="105"/>
      <c r="IH395" s="105"/>
      <c r="II395" s="105"/>
      <c r="IJ395" s="105"/>
      <c r="IK395" s="105"/>
      <c r="IL395" s="105"/>
      <c r="IM395" s="105"/>
      <c r="IN395" s="105"/>
      <c r="IO395" s="105"/>
      <c r="IP395" s="105"/>
      <c r="IQ395" s="105"/>
      <c r="IR395" s="105"/>
      <c r="IS395" s="105"/>
    </row>
    <row r="396" spans="1:253">
      <c r="A396" s="116"/>
      <c r="B396" s="105"/>
      <c r="C396" s="116"/>
      <c r="D396" s="116"/>
      <c r="E396" s="116"/>
      <c r="F396" s="116"/>
      <c r="G396" s="116"/>
      <c r="H396" s="116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  <c r="BF396" s="105"/>
      <c r="BG396" s="105"/>
      <c r="BH396" s="105"/>
      <c r="BI396" s="105"/>
      <c r="BJ396" s="105"/>
      <c r="BK396" s="105"/>
      <c r="BL396" s="105"/>
      <c r="BM396" s="105"/>
      <c r="BN396" s="105"/>
      <c r="BO396" s="105"/>
      <c r="BP396" s="105"/>
      <c r="BQ396" s="105"/>
      <c r="BR396" s="105"/>
      <c r="BS396" s="105"/>
      <c r="BT396" s="105"/>
      <c r="BU396" s="105"/>
      <c r="BV396" s="105"/>
      <c r="BW396" s="105"/>
      <c r="BX396" s="105"/>
      <c r="BY396" s="105"/>
      <c r="BZ396" s="105"/>
      <c r="CA396" s="105"/>
      <c r="CB396" s="105"/>
      <c r="CC396" s="105"/>
      <c r="CD396" s="105"/>
      <c r="CE396" s="105"/>
      <c r="CF396" s="105"/>
      <c r="CG396" s="105"/>
      <c r="CH396" s="105"/>
      <c r="CI396" s="105"/>
      <c r="CJ396" s="105"/>
      <c r="CK396" s="105"/>
      <c r="CL396" s="105"/>
      <c r="CM396" s="105"/>
      <c r="CN396" s="105"/>
      <c r="CO396" s="105"/>
      <c r="CP396" s="105"/>
      <c r="CQ396" s="105"/>
      <c r="CR396" s="105"/>
      <c r="CS396" s="105"/>
      <c r="CT396" s="105"/>
      <c r="CU396" s="105"/>
      <c r="CV396" s="105"/>
      <c r="CW396" s="105"/>
      <c r="CX396" s="105"/>
      <c r="CY396" s="105"/>
      <c r="CZ396" s="105"/>
      <c r="DA396" s="105"/>
      <c r="DB396" s="105"/>
      <c r="DC396" s="105"/>
      <c r="DD396" s="105"/>
      <c r="DE396" s="105"/>
      <c r="DF396" s="105"/>
      <c r="DG396" s="105"/>
      <c r="DH396" s="105"/>
      <c r="DI396" s="105"/>
      <c r="DJ396" s="105"/>
      <c r="DK396" s="105"/>
      <c r="DL396" s="105"/>
      <c r="DM396" s="105"/>
      <c r="DN396" s="105"/>
      <c r="DO396" s="105"/>
      <c r="DP396" s="105"/>
      <c r="DQ396" s="105"/>
      <c r="DR396" s="105"/>
      <c r="DS396" s="105"/>
      <c r="DT396" s="105"/>
      <c r="DU396" s="105"/>
      <c r="DV396" s="105"/>
      <c r="DW396" s="105"/>
      <c r="DX396" s="105"/>
      <c r="DY396" s="105"/>
      <c r="DZ396" s="105"/>
      <c r="EA396" s="105"/>
      <c r="EB396" s="105"/>
      <c r="EC396" s="105"/>
      <c r="ED396" s="105"/>
      <c r="EE396" s="105"/>
      <c r="EF396" s="105"/>
      <c r="EG396" s="105"/>
      <c r="EH396" s="105"/>
      <c r="EI396" s="105"/>
      <c r="EJ396" s="105"/>
      <c r="EK396" s="105"/>
      <c r="EL396" s="105"/>
      <c r="EM396" s="105"/>
      <c r="EN396" s="105"/>
      <c r="EO396" s="105"/>
      <c r="EP396" s="105"/>
      <c r="EQ396" s="105"/>
      <c r="ER396" s="105"/>
      <c r="ES396" s="105"/>
      <c r="ET396" s="105"/>
      <c r="EU396" s="105"/>
      <c r="EV396" s="105"/>
      <c r="EW396" s="105"/>
      <c r="EX396" s="105"/>
      <c r="EY396" s="105"/>
      <c r="EZ396" s="105"/>
      <c r="FA396" s="105"/>
      <c r="FB396" s="105"/>
      <c r="FC396" s="105"/>
      <c r="FD396" s="105"/>
      <c r="FE396" s="105"/>
      <c r="FF396" s="105"/>
      <c r="FG396" s="105"/>
      <c r="FH396" s="105"/>
      <c r="FI396" s="105"/>
      <c r="FJ396" s="105"/>
      <c r="FK396" s="105"/>
      <c r="FL396" s="105"/>
      <c r="FM396" s="105"/>
      <c r="FN396" s="105"/>
      <c r="FO396" s="105"/>
      <c r="FP396" s="105"/>
      <c r="FQ396" s="105"/>
      <c r="FR396" s="105"/>
      <c r="FS396" s="105"/>
      <c r="FT396" s="105"/>
      <c r="FU396" s="105"/>
      <c r="FV396" s="105"/>
      <c r="FW396" s="105"/>
      <c r="FX396" s="105"/>
      <c r="FY396" s="105"/>
      <c r="FZ396" s="105"/>
      <c r="GA396" s="105"/>
      <c r="GB396" s="105"/>
      <c r="GC396" s="105"/>
      <c r="GD396" s="105"/>
      <c r="GE396" s="105"/>
      <c r="GF396" s="105"/>
      <c r="GG396" s="105"/>
      <c r="GH396" s="105"/>
      <c r="GI396" s="105"/>
      <c r="GJ396" s="105"/>
      <c r="GK396" s="105"/>
      <c r="GL396" s="105"/>
      <c r="GM396" s="105"/>
      <c r="GN396" s="105"/>
      <c r="GO396" s="105"/>
      <c r="GP396" s="105"/>
      <c r="GQ396" s="105"/>
      <c r="GR396" s="105"/>
      <c r="GS396" s="105"/>
      <c r="GT396" s="105"/>
      <c r="GU396" s="105"/>
      <c r="GV396" s="105"/>
      <c r="GW396" s="105"/>
      <c r="GX396" s="105"/>
      <c r="GY396" s="105"/>
      <c r="GZ396" s="105"/>
      <c r="HA396" s="105"/>
      <c r="HB396" s="105"/>
      <c r="HC396" s="105"/>
      <c r="HD396" s="105"/>
      <c r="HE396" s="105"/>
      <c r="HF396" s="105"/>
      <c r="HG396" s="105"/>
      <c r="HH396" s="105"/>
      <c r="HI396" s="105"/>
      <c r="HJ396" s="105"/>
      <c r="HK396" s="105"/>
      <c r="HL396" s="105"/>
      <c r="HM396" s="105"/>
      <c r="HN396" s="105"/>
      <c r="HO396" s="105"/>
      <c r="HP396" s="105"/>
      <c r="HQ396" s="105"/>
      <c r="HR396" s="105"/>
      <c r="HS396" s="105"/>
      <c r="HT396" s="105"/>
      <c r="HU396" s="105"/>
      <c r="HV396" s="105"/>
      <c r="HW396" s="105"/>
      <c r="HX396" s="105"/>
      <c r="HY396" s="105"/>
      <c r="HZ396" s="105"/>
      <c r="IA396" s="105"/>
      <c r="IB396" s="105"/>
      <c r="IC396" s="105"/>
      <c r="ID396" s="105"/>
      <c r="IE396" s="105"/>
      <c r="IF396" s="105"/>
      <c r="IG396" s="105"/>
      <c r="IH396" s="105"/>
      <c r="II396" s="105"/>
      <c r="IJ396" s="105"/>
      <c r="IK396" s="105"/>
      <c r="IL396" s="105"/>
      <c r="IM396" s="105"/>
      <c r="IN396" s="105"/>
      <c r="IO396" s="105"/>
      <c r="IP396" s="105"/>
      <c r="IQ396" s="105"/>
      <c r="IR396" s="105"/>
      <c r="IS396" s="105"/>
    </row>
    <row r="397" spans="1:253">
      <c r="A397" s="116"/>
      <c r="B397" s="105"/>
      <c r="C397" s="116"/>
      <c r="D397" s="116"/>
      <c r="E397" s="116"/>
      <c r="F397" s="116"/>
      <c r="G397" s="116"/>
      <c r="H397" s="116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5"/>
      <c r="BE397" s="105"/>
      <c r="BF397" s="105"/>
      <c r="BG397" s="105"/>
      <c r="BH397" s="105"/>
      <c r="BI397" s="105"/>
      <c r="BJ397" s="105"/>
      <c r="BK397" s="105"/>
      <c r="BL397" s="105"/>
      <c r="BM397" s="105"/>
      <c r="BN397" s="105"/>
      <c r="BO397" s="105"/>
      <c r="BP397" s="105"/>
      <c r="BQ397" s="105"/>
      <c r="BR397" s="105"/>
      <c r="BS397" s="105"/>
      <c r="BT397" s="105"/>
      <c r="BU397" s="105"/>
      <c r="BV397" s="105"/>
      <c r="BW397" s="105"/>
      <c r="BX397" s="105"/>
      <c r="BY397" s="105"/>
      <c r="BZ397" s="105"/>
      <c r="CA397" s="105"/>
      <c r="CB397" s="105"/>
      <c r="CC397" s="105"/>
      <c r="CD397" s="105"/>
      <c r="CE397" s="105"/>
      <c r="CF397" s="105"/>
      <c r="CG397" s="105"/>
      <c r="CH397" s="105"/>
      <c r="CI397" s="105"/>
      <c r="CJ397" s="105"/>
      <c r="CK397" s="105"/>
      <c r="CL397" s="105"/>
      <c r="CM397" s="105"/>
      <c r="CN397" s="105"/>
      <c r="CO397" s="105"/>
      <c r="CP397" s="105"/>
      <c r="CQ397" s="105"/>
      <c r="CR397" s="105"/>
      <c r="CS397" s="105"/>
      <c r="CT397" s="105"/>
      <c r="CU397" s="105"/>
      <c r="CV397" s="105"/>
      <c r="CW397" s="105"/>
      <c r="CX397" s="105"/>
      <c r="CY397" s="105"/>
      <c r="CZ397" s="105"/>
      <c r="DA397" s="105"/>
      <c r="DB397" s="105"/>
      <c r="DC397" s="105"/>
      <c r="DD397" s="105"/>
      <c r="DE397" s="105"/>
      <c r="DF397" s="105"/>
      <c r="DG397" s="105"/>
      <c r="DH397" s="105"/>
      <c r="DI397" s="105"/>
      <c r="DJ397" s="105"/>
      <c r="DK397" s="105"/>
      <c r="DL397" s="105"/>
      <c r="DM397" s="105"/>
      <c r="DN397" s="105"/>
      <c r="DO397" s="105"/>
      <c r="DP397" s="105"/>
      <c r="DQ397" s="105"/>
      <c r="DR397" s="105"/>
      <c r="DS397" s="105"/>
      <c r="DT397" s="105"/>
      <c r="DU397" s="105"/>
      <c r="DV397" s="105"/>
      <c r="DW397" s="105"/>
      <c r="DX397" s="105"/>
      <c r="DY397" s="105"/>
      <c r="DZ397" s="105"/>
      <c r="EA397" s="105"/>
      <c r="EB397" s="105"/>
      <c r="EC397" s="105"/>
      <c r="ED397" s="105"/>
      <c r="EE397" s="105"/>
      <c r="EF397" s="105"/>
      <c r="EG397" s="105"/>
      <c r="EH397" s="105"/>
      <c r="EI397" s="105"/>
      <c r="EJ397" s="105"/>
      <c r="EK397" s="105"/>
      <c r="EL397" s="105"/>
      <c r="EM397" s="105"/>
      <c r="EN397" s="105"/>
      <c r="EO397" s="105"/>
      <c r="EP397" s="105"/>
      <c r="EQ397" s="105"/>
      <c r="ER397" s="105"/>
      <c r="ES397" s="105"/>
      <c r="ET397" s="105"/>
      <c r="EU397" s="105"/>
      <c r="EV397" s="105"/>
      <c r="EW397" s="105"/>
      <c r="EX397" s="105"/>
      <c r="EY397" s="105"/>
      <c r="EZ397" s="105"/>
      <c r="FA397" s="105"/>
      <c r="FB397" s="105"/>
      <c r="FC397" s="105"/>
      <c r="FD397" s="105"/>
      <c r="FE397" s="105"/>
      <c r="FF397" s="105"/>
      <c r="FG397" s="105"/>
      <c r="FH397" s="105"/>
      <c r="FI397" s="105"/>
      <c r="FJ397" s="105"/>
      <c r="FK397" s="105"/>
      <c r="FL397" s="105"/>
      <c r="FM397" s="105"/>
      <c r="FN397" s="105"/>
      <c r="FO397" s="105"/>
      <c r="FP397" s="105"/>
      <c r="FQ397" s="105"/>
      <c r="FR397" s="105"/>
      <c r="FS397" s="105"/>
      <c r="FT397" s="105"/>
      <c r="FU397" s="105"/>
      <c r="FV397" s="105"/>
      <c r="FW397" s="105"/>
      <c r="FX397" s="105"/>
      <c r="FY397" s="105"/>
      <c r="FZ397" s="105"/>
      <c r="GA397" s="105"/>
      <c r="GB397" s="105"/>
      <c r="GC397" s="105"/>
      <c r="GD397" s="105"/>
      <c r="GE397" s="105"/>
      <c r="GF397" s="105"/>
      <c r="GG397" s="105"/>
      <c r="GH397" s="105"/>
      <c r="GI397" s="105"/>
      <c r="GJ397" s="105"/>
      <c r="GK397" s="105"/>
      <c r="GL397" s="105"/>
      <c r="GM397" s="105"/>
      <c r="GN397" s="105"/>
      <c r="GO397" s="105"/>
      <c r="GP397" s="105"/>
      <c r="GQ397" s="105"/>
      <c r="GR397" s="105"/>
      <c r="GS397" s="105"/>
      <c r="GT397" s="105"/>
      <c r="GU397" s="105"/>
      <c r="GV397" s="105"/>
      <c r="GW397" s="105"/>
      <c r="GX397" s="105"/>
      <c r="GY397" s="105"/>
      <c r="GZ397" s="105"/>
      <c r="HA397" s="105"/>
      <c r="HB397" s="105"/>
      <c r="HC397" s="105"/>
      <c r="HD397" s="105"/>
      <c r="HE397" s="105"/>
      <c r="HF397" s="105"/>
      <c r="HG397" s="105"/>
      <c r="HH397" s="105"/>
      <c r="HI397" s="105"/>
      <c r="HJ397" s="105"/>
      <c r="HK397" s="105"/>
      <c r="HL397" s="105"/>
      <c r="HM397" s="105"/>
      <c r="HN397" s="105"/>
      <c r="HO397" s="105"/>
      <c r="HP397" s="105"/>
      <c r="HQ397" s="105"/>
      <c r="HR397" s="105"/>
      <c r="HS397" s="105"/>
      <c r="HT397" s="105"/>
      <c r="HU397" s="105"/>
      <c r="HV397" s="105"/>
      <c r="HW397" s="105"/>
      <c r="HX397" s="105"/>
      <c r="HY397" s="105"/>
      <c r="HZ397" s="105"/>
      <c r="IA397" s="105"/>
      <c r="IB397" s="105"/>
      <c r="IC397" s="105"/>
      <c r="ID397" s="105"/>
      <c r="IE397" s="105"/>
      <c r="IF397" s="105"/>
      <c r="IG397" s="105"/>
      <c r="IH397" s="105"/>
      <c r="II397" s="105"/>
      <c r="IJ397" s="105"/>
      <c r="IK397" s="105"/>
      <c r="IL397" s="105"/>
      <c r="IM397" s="105"/>
      <c r="IN397" s="105"/>
      <c r="IO397" s="105"/>
      <c r="IP397" s="105"/>
      <c r="IQ397" s="105"/>
      <c r="IR397" s="105"/>
      <c r="IS397" s="105"/>
    </row>
    <row r="398" spans="1:253">
      <c r="A398" s="116"/>
      <c r="B398" s="105"/>
      <c r="C398" s="116"/>
      <c r="D398" s="116"/>
      <c r="E398" s="116"/>
      <c r="F398" s="116"/>
      <c r="G398" s="116"/>
      <c r="H398" s="116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05"/>
      <c r="BF398" s="105"/>
      <c r="BG398" s="105"/>
      <c r="BH398" s="105"/>
      <c r="BI398" s="105"/>
      <c r="BJ398" s="105"/>
      <c r="BK398" s="105"/>
      <c r="BL398" s="105"/>
      <c r="BM398" s="105"/>
      <c r="BN398" s="105"/>
      <c r="BO398" s="105"/>
      <c r="BP398" s="105"/>
      <c r="BQ398" s="105"/>
      <c r="BR398" s="105"/>
      <c r="BS398" s="105"/>
      <c r="BT398" s="105"/>
      <c r="BU398" s="105"/>
      <c r="BV398" s="105"/>
      <c r="BW398" s="105"/>
      <c r="BX398" s="105"/>
      <c r="BY398" s="105"/>
      <c r="BZ398" s="105"/>
      <c r="CA398" s="105"/>
      <c r="CB398" s="105"/>
      <c r="CC398" s="105"/>
      <c r="CD398" s="105"/>
      <c r="CE398" s="105"/>
      <c r="CF398" s="105"/>
      <c r="CG398" s="105"/>
      <c r="CH398" s="105"/>
      <c r="CI398" s="105"/>
      <c r="CJ398" s="105"/>
      <c r="CK398" s="105"/>
      <c r="CL398" s="105"/>
      <c r="CM398" s="105"/>
      <c r="CN398" s="105"/>
      <c r="CO398" s="105"/>
      <c r="CP398" s="105"/>
      <c r="CQ398" s="105"/>
      <c r="CR398" s="105"/>
      <c r="CS398" s="105"/>
      <c r="CT398" s="105"/>
      <c r="CU398" s="105"/>
      <c r="CV398" s="105"/>
      <c r="CW398" s="105"/>
      <c r="CX398" s="105"/>
      <c r="CY398" s="105"/>
      <c r="CZ398" s="105"/>
      <c r="DA398" s="105"/>
      <c r="DB398" s="105"/>
      <c r="DC398" s="105"/>
      <c r="DD398" s="105"/>
      <c r="DE398" s="105"/>
      <c r="DF398" s="105"/>
      <c r="DG398" s="105"/>
      <c r="DH398" s="105"/>
      <c r="DI398" s="105"/>
      <c r="DJ398" s="105"/>
      <c r="DK398" s="105"/>
      <c r="DL398" s="105"/>
      <c r="DM398" s="105"/>
      <c r="DN398" s="105"/>
      <c r="DO398" s="105"/>
      <c r="DP398" s="105"/>
      <c r="DQ398" s="105"/>
      <c r="DR398" s="105"/>
      <c r="DS398" s="105"/>
      <c r="DT398" s="105"/>
      <c r="DU398" s="105"/>
      <c r="DV398" s="105"/>
      <c r="DW398" s="105"/>
      <c r="DX398" s="105"/>
      <c r="DY398" s="105"/>
      <c r="DZ398" s="105"/>
      <c r="EA398" s="105"/>
      <c r="EB398" s="105"/>
      <c r="EC398" s="105"/>
      <c r="ED398" s="105"/>
      <c r="EE398" s="105"/>
      <c r="EF398" s="105"/>
      <c r="EG398" s="105"/>
      <c r="EH398" s="105"/>
      <c r="EI398" s="105"/>
      <c r="EJ398" s="105"/>
      <c r="EK398" s="105"/>
      <c r="EL398" s="105"/>
      <c r="EM398" s="105"/>
      <c r="EN398" s="105"/>
      <c r="EO398" s="105"/>
      <c r="EP398" s="105"/>
      <c r="EQ398" s="105"/>
      <c r="ER398" s="105"/>
      <c r="ES398" s="105"/>
      <c r="ET398" s="105"/>
      <c r="EU398" s="105"/>
      <c r="EV398" s="105"/>
      <c r="EW398" s="105"/>
      <c r="EX398" s="105"/>
      <c r="EY398" s="105"/>
      <c r="EZ398" s="105"/>
      <c r="FA398" s="105"/>
      <c r="FB398" s="105"/>
      <c r="FC398" s="105"/>
      <c r="FD398" s="105"/>
      <c r="FE398" s="105"/>
      <c r="FF398" s="105"/>
      <c r="FG398" s="105"/>
      <c r="FH398" s="105"/>
      <c r="FI398" s="105"/>
      <c r="FJ398" s="105"/>
      <c r="FK398" s="105"/>
      <c r="FL398" s="105"/>
      <c r="FM398" s="105"/>
      <c r="FN398" s="105"/>
      <c r="FO398" s="105"/>
      <c r="FP398" s="105"/>
      <c r="FQ398" s="105"/>
      <c r="FR398" s="105"/>
      <c r="FS398" s="105"/>
      <c r="FT398" s="105"/>
      <c r="FU398" s="105"/>
      <c r="FV398" s="105"/>
      <c r="FW398" s="105"/>
      <c r="FX398" s="105"/>
      <c r="FY398" s="105"/>
      <c r="FZ398" s="105"/>
      <c r="GA398" s="105"/>
      <c r="GB398" s="105"/>
      <c r="GC398" s="105"/>
      <c r="GD398" s="105"/>
      <c r="GE398" s="105"/>
      <c r="GF398" s="105"/>
      <c r="GG398" s="105"/>
      <c r="GH398" s="105"/>
      <c r="GI398" s="105"/>
      <c r="GJ398" s="105"/>
      <c r="GK398" s="105"/>
      <c r="GL398" s="105"/>
      <c r="GM398" s="105"/>
      <c r="GN398" s="105"/>
      <c r="GO398" s="105"/>
      <c r="GP398" s="105"/>
      <c r="GQ398" s="105"/>
      <c r="GR398" s="105"/>
      <c r="GS398" s="105"/>
      <c r="GT398" s="105"/>
      <c r="GU398" s="105"/>
      <c r="GV398" s="105"/>
      <c r="GW398" s="105"/>
      <c r="GX398" s="105"/>
      <c r="GY398" s="105"/>
      <c r="GZ398" s="105"/>
      <c r="HA398" s="105"/>
      <c r="HB398" s="105"/>
      <c r="HC398" s="105"/>
      <c r="HD398" s="105"/>
      <c r="HE398" s="105"/>
      <c r="HF398" s="105"/>
      <c r="HG398" s="105"/>
      <c r="HH398" s="105"/>
      <c r="HI398" s="105"/>
      <c r="HJ398" s="105"/>
      <c r="HK398" s="105"/>
      <c r="HL398" s="105"/>
      <c r="HM398" s="105"/>
      <c r="HN398" s="105"/>
      <c r="HO398" s="105"/>
      <c r="HP398" s="105"/>
      <c r="HQ398" s="105"/>
      <c r="HR398" s="105"/>
      <c r="HS398" s="105"/>
      <c r="HT398" s="105"/>
      <c r="HU398" s="105"/>
      <c r="HV398" s="105"/>
      <c r="HW398" s="105"/>
      <c r="HX398" s="105"/>
      <c r="HY398" s="105"/>
      <c r="HZ398" s="105"/>
      <c r="IA398" s="105"/>
      <c r="IB398" s="105"/>
      <c r="IC398" s="105"/>
      <c r="ID398" s="105"/>
      <c r="IE398" s="105"/>
      <c r="IF398" s="105"/>
      <c r="IG398" s="105"/>
      <c r="IH398" s="105"/>
      <c r="II398" s="105"/>
      <c r="IJ398" s="105"/>
      <c r="IK398" s="105"/>
      <c r="IL398" s="105"/>
      <c r="IM398" s="105"/>
      <c r="IN398" s="105"/>
      <c r="IO398" s="105"/>
      <c r="IP398" s="105"/>
      <c r="IQ398" s="105"/>
      <c r="IR398" s="105"/>
      <c r="IS398" s="105"/>
    </row>
    <row r="399" spans="1:253">
      <c r="A399" s="116"/>
      <c r="B399" s="105"/>
      <c r="C399" s="116"/>
      <c r="D399" s="116"/>
      <c r="E399" s="116"/>
      <c r="F399" s="116"/>
      <c r="G399" s="116"/>
      <c r="H399" s="116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5"/>
      <c r="BE399" s="105"/>
      <c r="BF399" s="105"/>
      <c r="BG399" s="105"/>
      <c r="BH399" s="105"/>
      <c r="BI399" s="105"/>
      <c r="BJ399" s="105"/>
      <c r="BK399" s="105"/>
      <c r="BL399" s="105"/>
      <c r="BM399" s="105"/>
      <c r="BN399" s="105"/>
      <c r="BO399" s="105"/>
      <c r="BP399" s="105"/>
      <c r="BQ399" s="105"/>
      <c r="BR399" s="105"/>
      <c r="BS399" s="105"/>
      <c r="BT399" s="105"/>
      <c r="BU399" s="105"/>
      <c r="BV399" s="105"/>
      <c r="BW399" s="105"/>
      <c r="BX399" s="105"/>
      <c r="BY399" s="105"/>
      <c r="BZ399" s="105"/>
      <c r="CA399" s="105"/>
      <c r="CB399" s="105"/>
      <c r="CC399" s="105"/>
      <c r="CD399" s="105"/>
      <c r="CE399" s="105"/>
      <c r="CF399" s="105"/>
      <c r="CG399" s="105"/>
      <c r="CH399" s="105"/>
      <c r="CI399" s="105"/>
      <c r="CJ399" s="105"/>
      <c r="CK399" s="105"/>
      <c r="CL399" s="105"/>
      <c r="CM399" s="105"/>
      <c r="CN399" s="105"/>
      <c r="CO399" s="105"/>
      <c r="CP399" s="105"/>
      <c r="CQ399" s="105"/>
      <c r="CR399" s="105"/>
      <c r="CS399" s="105"/>
      <c r="CT399" s="105"/>
      <c r="CU399" s="105"/>
      <c r="CV399" s="105"/>
      <c r="CW399" s="105"/>
      <c r="CX399" s="105"/>
      <c r="CY399" s="105"/>
      <c r="CZ399" s="105"/>
      <c r="DA399" s="105"/>
      <c r="DB399" s="105"/>
      <c r="DC399" s="105"/>
      <c r="DD399" s="105"/>
      <c r="DE399" s="105"/>
      <c r="DF399" s="105"/>
      <c r="DG399" s="105"/>
      <c r="DH399" s="105"/>
      <c r="DI399" s="105"/>
      <c r="DJ399" s="105"/>
      <c r="DK399" s="105"/>
      <c r="DL399" s="105"/>
      <c r="DM399" s="105"/>
      <c r="DN399" s="105"/>
      <c r="DO399" s="105"/>
      <c r="DP399" s="105"/>
      <c r="DQ399" s="105"/>
      <c r="DR399" s="105"/>
      <c r="DS399" s="105"/>
      <c r="DT399" s="105"/>
      <c r="DU399" s="105"/>
      <c r="DV399" s="105"/>
      <c r="DW399" s="105"/>
      <c r="DX399" s="105"/>
      <c r="DY399" s="105"/>
      <c r="DZ399" s="105"/>
      <c r="EA399" s="105"/>
      <c r="EB399" s="105"/>
      <c r="EC399" s="105"/>
      <c r="ED399" s="105"/>
      <c r="EE399" s="105"/>
      <c r="EF399" s="105"/>
      <c r="EG399" s="105"/>
      <c r="EH399" s="105"/>
      <c r="EI399" s="105"/>
      <c r="EJ399" s="105"/>
      <c r="EK399" s="105"/>
      <c r="EL399" s="105"/>
      <c r="EM399" s="105"/>
      <c r="EN399" s="105"/>
      <c r="EO399" s="105"/>
      <c r="EP399" s="105"/>
      <c r="EQ399" s="105"/>
      <c r="ER399" s="105"/>
      <c r="ES399" s="105"/>
      <c r="ET399" s="105"/>
      <c r="EU399" s="105"/>
      <c r="EV399" s="105"/>
      <c r="EW399" s="105"/>
      <c r="EX399" s="105"/>
      <c r="EY399" s="105"/>
      <c r="EZ399" s="105"/>
      <c r="FA399" s="105"/>
      <c r="FB399" s="105"/>
      <c r="FC399" s="105"/>
      <c r="FD399" s="105"/>
      <c r="FE399" s="105"/>
      <c r="FF399" s="105"/>
      <c r="FG399" s="105"/>
      <c r="FH399" s="105"/>
      <c r="FI399" s="105"/>
      <c r="FJ399" s="105"/>
      <c r="FK399" s="105"/>
      <c r="FL399" s="105"/>
      <c r="FM399" s="105"/>
      <c r="FN399" s="105"/>
      <c r="FO399" s="105"/>
      <c r="FP399" s="105"/>
      <c r="FQ399" s="105"/>
      <c r="FR399" s="105"/>
      <c r="FS399" s="105"/>
      <c r="FT399" s="105"/>
      <c r="FU399" s="105"/>
      <c r="FV399" s="105"/>
      <c r="FW399" s="105"/>
      <c r="FX399" s="105"/>
      <c r="FY399" s="105"/>
      <c r="FZ399" s="105"/>
      <c r="GA399" s="105"/>
      <c r="GB399" s="105"/>
      <c r="GC399" s="105"/>
      <c r="GD399" s="105"/>
      <c r="GE399" s="105"/>
      <c r="GF399" s="105"/>
      <c r="GG399" s="105"/>
      <c r="GH399" s="105"/>
      <c r="GI399" s="105"/>
      <c r="GJ399" s="105"/>
      <c r="GK399" s="105"/>
      <c r="GL399" s="105"/>
      <c r="GM399" s="105"/>
      <c r="GN399" s="105"/>
      <c r="GO399" s="105"/>
      <c r="GP399" s="105"/>
      <c r="GQ399" s="105"/>
      <c r="GR399" s="105"/>
      <c r="GS399" s="105"/>
      <c r="GT399" s="105"/>
      <c r="GU399" s="105"/>
      <c r="GV399" s="105"/>
      <c r="GW399" s="105"/>
      <c r="GX399" s="105"/>
      <c r="GY399" s="105"/>
      <c r="GZ399" s="105"/>
      <c r="HA399" s="105"/>
      <c r="HB399" s="105"/>
      <c r="HC399" s="105"/>
      <c r="HD399" s="105"/>
      <c r="HE399" s="105"/>
      <c r="HF399" s="105"/>
      <c r="HG399" s="105"/>
      <c r="HH399" s="105"/>
      <c r="HI399" s="105"/>
      <c r="HJ399" s="105"/>
      <c r="HK399" s="105"/>
      <c r="HL399" s="105"/>
      <c r="HM399" s="105"/>
      <c r="HN399" s="105"/>
      <c r="HO399" s="105"/>
      <c r="HP399" s="105"/>
      <c r="HQ399" s="105"/>
      <c r="HR399" s="105"/>
      <c r="HS399" s="105"/>
      <c r="HT399" s="105"/>
      <c r="HU399" s="105"/>
      <c r="HV399" s="105"/>
      <c r="HW399" s="105"/>
      <c r="HX399" s="105"/>
      <c r="HY399" s="105"/>
      <c r="HZ399" s="105"/>
      <c r="IA399" s="105"/>
      <c r="IB399" s="105"/>
      <c r="IC399" s="105"/>
      <c r="ID399" s="105"/>
      <c r="IE399" s="105"/>
      <c r="IF399" s="105"/>
      <c r="IG399" s="105"/>
      <c r="IH399" s="105"/>
      <c r="II399" s="105"/>
      <c r="IJ399" s="105"/>
      <c r="IK399" s="105"/>
      <c r="IL399" s="105"/>
      <c r="IM399" s="105"/>
      <c r="IN399" s="105"/>
      <c r="IO399" s="105"/>
      <c r="IP399" s="105"/>
      <c r="IQ399" s="105"/>
      <c r="IR399" s="105"/>
      <c r="IS399" s="105"/>
    </row>
    <row r="400" spans="1:253">
      <c r="A400" s="116"/>
      <c r="B400" s="105"/>
      <c r="C400" s="116"/>
      <c r="D400" s="116"/>
      <c r="E400" s="116"/>
      <c r="F400" s="116"/>
      <c r="G400" s="116"/>
      <c r="H400" s="116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05"/>
      <c r="BF400" s="105"/>
      <c r="BG400" s="105"/>
      <c r="BH400" s="105"/>
      <c r="BI400" s="105"/>
      <c r="BJ400" s="105"/>
      <c r="BK400" s="105"/>
      <c r="BL400" s="105"/>
      <c r="BM400" s="105"/>
      <c r="BN400" s="105"/>
      <c r="BO400" s="105"/>
      <c r="BP400" s="105"/>
      <c r="BQ400" s="105"/>
      <c r="BR400" s="105"/>
      <c r="BS400" s="105"/>
      <c r="BT400" s="105"/>
      <c r="BU400" s="105"/>
      <c r="BV400" s="105"/>
      <c r="BW400" s="105"/>
      <c r="BX400" s="105"/>
      <c r="BY400" s="105"/>
      <c r="BZ400" s="105"/>
      <c r="CA400" s="105"/>
      <c r="CB400" s="105"/>
      <c r="CC400" s="105"/>
      <c r="CD400" s="105"/>
      <c r="CE400" s="105"/>
      <c r="CF400" s="105"/>
      <c r="CG400" s="105"/>
      <c r="CH400" s="105"/>
      <c r="CI400" s="105"/>
      <c r="CJ400" s="105"/>
      <c r="CK400" s="105"/>
      <c r="CL400" s="105"/>
      <c r="CM400" s="105"/>
      <c r="CN400" s="105"/>
      <c r="CO400" s="105"/>
      <c r="CP400" s="105"/>
      <c r="CQ400" s="105"/>
      <c r="CR400" s="105"/>
      <c r="CS400" s="105"/>
      <c r="CT400" s="105"/>
      <c r="CU400" s="105"/>
      <c r="CV400" s="105"/>
      <c r="CW400" s="105"/>
      <c r="CX400" s="105"/>
      <c r="CY400" s="105"/>
      <c r="CZ400" s="105"/>
      <c r="DA400" s="105"/>
      <c r="DB400" s="105"/>
      <c r="DC400" s="105"/>
      <c r="DD400" s="105"/>
      <c r="DE400" s="105"/>
      <c r="DF400" s="105"/>
      <c r="DG400" s="105"/>
      <c r="DH400" s="105"/>
      <c r="DI400" s="105"/>
      <c r="DJ400" s="105"/>
      <c r="DK400" s="105"/>
      <c r="DL400" s="105"/>
      <c r="DM400" s="105"/>
      <c r="DN400" s="105"/>
      <c r="DO400" s="105"/>
      <c r="DP400" s="105"/>
      <c r="DQ400" s="105"/>
      <c r="DR400" s="105"/>
      <c r="DS400" s="105"/>
      <c r="DT400" s="105"/>
      <c r="DU400" s="105"/>
      <c r="DV400" s="105"/>
      <c r="DW400" s="105"/>
      <c r="DX400" s="105"/>
      <c r="DY400" s="105"/>
      <c r="DZ400" s="105"/>
      <c r="EA400" s="105"/>
      <c r="EB400" s="105"/>
      <c r="EC400" s="105"/>
      <c r="ED400" s="105"/>
      <c r="EE400" s="105"/>
      <c r="EF400" s="105"/>
      <c r="EG400" s="105"/>
      <c r="EH400" s="105"/>
      <c r="EI400" s="105"/>
      <c r="EJ400" s="105"/>
      <c r="EK400" s="105"/>
      <c r="EL400" s="105"/>
      <c r="EM400" s="105"/>
      <c r="EN400" s="105"/>
      <c r="EO400" s="105"/>
      <c r="EP400" s="105"/>
      <c r="EQ400" s="105"/>
      <c r="ER400" s="105"/>
      <c r="ES400" s="105"/>
      <c r="ET400" s="105"/>
      <c r="EU400" s="105"/>
      <c r="EV400" s="105"/>
      <c r="EW400" s="105"/>
      <c r="EX400" s="105"/>
      <c r="EY400" s="105"/>
      <c r="EZ400" s="105"/>
      <c r="FA400" s="105"/>
      <c r="FB400" s="105"/>
      <c r="FC400" s="105"/>
      <c r="FD400" s="105"/>
      <c r="FE400" s="105"/>
      <c r="FF400" s="105"/>
      <c r="FG400" s="105"/>
      <c r="FH400" s="105"/>
      <c r="FI400" s="105"/>
      <c r="FJ400" s="105"/>
      <c r="FK400" s="105"/>
      <c r="FL400" s="105"/>
      <c r="FM400" s="105"/>
      <c r="FN400" s="105"/>
      <c r="FO400" s="105"/>
      <c r="FP400" s="105"/>
      <c r="FQ400" s="105"/>
      <c r="FR400" s="105"/>
      <c r="FS400" s="105"/>
      <c r="FT400" s="105"/>
      <c r="FU400" s="105"/>
      <c r="FV400" s="105"/>
      <c r="FW400" s="105"/>
      <c r="FX400" s="105"/>
      <c r="FY400" s="105"/>
      <c r="FZ400" s="105"/>
      <c r="GA400" s="105"/>
      <c r="GB400" s="105"/>
      <c r="GC400" s="105"/>
      <c r="GD400" s="105"/>
      <c r="GE400" s="105"/>
      <c r="GF400" s="105"/>
      <c r="GG400" s="105"/>
      <c r="GH400" s="105"/>
      <c r="GI400" s="105"/>
      <c r="GJ400" s="105"/>
      <c r="GK400" s="105"/>
      <c r="GL400" s="105"/>
      <c r="GM400" s="105"/>
      <c r="GN400" s="105"/>
      <c r="GO400" s="105"/>
      <c r="GP400" s="105"/>
      <c r="GQ400" s="105"/>
      <c r="GR400" s="105"/>
      <c r="GS400" s="105"/>
      <c r="GT400" s="105"/>
      <c r="GU400" s="105"/>
      <c r="GV400" s="105"/>
      <c r="GW400" s="105"/>
      <c r="GX400" s="105"/>
      <c r="GY400" s="105"/>
      <c r="GZ400" s="105"/>
      <c r="HA400" s="105"/>
      <c r="HB400" s="105"/>
      <c r="HC400" s="105"/>
      <c r="HD400" s="105"/>
      <c r="HE400" s="105"/>
      <c r="HF400" s="105"/>
      <c r="HG400" s="105"/>
      <c r="HH400" s="105"/>
      <c r="HI400" s="105"/>
      <c r="HJ400" s="105"/>
      <c r="HK400" s="105"/>
      <c r="HL400" s="105"/>
      <c r="HM400" s="105"/>
      <c r="HN400" s="105"/>
      <c r="HO400" s="105"/>
      <c r="HP400" s="105"/>
      <c r="HQ400" s="105"/>
      <c r="HR400" s="105"/>
      <c r="HS400" s="105"/>
      <c r="HT400" s="105"/>
      <c r="HU400" s="105"/>
      <c r="HV400" s="105"/>
      <c r="HW400" s="105"/>
      <c r="HX400" s="105"/>
      <c r="HY400" s="105"/>
      <c r="HZ400" s="105"/>
      <c r="IA400" s="105"/>
      <c r="IB400" s="105"/>
      <c r="IC400" s="105"/>
      <c r="ID400" s="105"/>
      <c r="IE400" s="105"/>
      <c r="IF400" s="105"/>
      <c r="IG400" s="105"/>
      <c r="IH400" s="105"/>
      <c r="II400" s="105"/>
      <c r="IJ400" s="105"/>
      <c r="IK400" s="105"/>
      <c r="IL400" s="105"/>
      <c r="IM400" s="105"/>
      <c r="IN400" s="105"/>
      <c r="IO400" s="105"/>
      <c r="IP400" s="105"/>
      <c r="IQ400" s="105"/>
      <c r="IR400" s="105"/>
      <c r="IS400" s="105"/>
    </row>
    <row r="401" spans="1:253">
      <c r="A401" s="116"/>
      <c r="B401" s="105"/>
      <c r="C401" s="116"/>
      <c r="D401" s="116"/>
      <c r="E401" s="116"/>
      <c r="F401" s="116"/>
      <c r="G401" s="116"/>
      <c r="H401" s="116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5"/>
      <c r="BE401" s="105"/>
      <c r="BF401" s="105"/>
      <c r="BG401" s="105"/>
      <c r="BH401" s="105"/>
      <c r="BI401" s="105"/>
      <c r="BJ401" s="105"/>
      <c r="BK401" s="105"/>
      <c r="BL401" s="105"/>
      <c r="BM401" s="105"/>
      <c r="BN401" s="105"/>
      <c r="BO401" s="105"/>
      <c r="BP401" s="105"/>
      <c r="BQ401" s="105"/>
      <c r="BR401" s="105"/>
      <c r="BS401" s="105"/>
      <c r="BT401" s="105"/>
      <c r="BU401" s="105"/>
      <c r="BV401" s="105"/>
      <c r="BW401" s="105"/>
      <c r="BX401" s="105"/>
      <c r="BY401" s="105"/>
      <c r="BZ401" s="105"/>
      <c r="CA401" s="105"/>
      <c r="CB401" s="105"/>
      <c r="CC401" s="105"/>
      <c r="CD401" s="105"/>
      <c r="CE401" s="105"/>
      <c r="CF401" s="105"/>
      <c r="CG401" s="105"/>
      <c r="CH401" s="105"/>
      <c r="CI401" s="105"/>
      <c r="CJ401" s="105"/>
      <c r="CK401" s="105"/>
      <c r="CL401" s="105"/>
      <c r="CM401" s="105"/>
      <c r="CN401" s="105"/>
      <c r="CO401" s="105"/>
      <c r="CP401" s="105"/>
      <c r="CQ401" s="105"/>
      <c r="CR401" s="105"/>
      <c r="CS401" s="105"/>
      <c r="CT401" s="105"/>
      <c r="CU401" s="105"/>
      <c r="CV401" s="105"/>
      <c r="CW401" s="105"/>
      <c r="CX401" s="105"/>
      <c r="CY401" s="105"/>
      <c r="CZ401" s="105"/>
      <c r="DA401" s="105"/>
      <c r="DB401" s="105"/>
      <c r="DC401" s="105"/>
      <c r="DD401" s="105"/>
      <c r="DE401" s="105"/>
      <c r="DF401" s="105"/>
      <c r="DG401" s="105"/>
      <c r="DH401" s="105"/>
      <c r="DI401" s="105"/>
      <c r="DJ401" s="105"/>
      <c r="DK401" s="105"/>
      <c r="DL401" s="105"/>
      <c r="DM401" s="105"/>
      <c r="DN401" s="105"/>
      <c r="DO401" s="105"/>
      <c r="DP401" s="105"/>
      <c r="DQ401" s="105"/>
      <c r="DR401" s="105"/>
      <c r="DS401" s="105"/>
      <c r="DT401" s="105"/>
      <c r="DU401" s="105"/>
      <c r="DV401" s="105"/>
      <c r="DW401" s="105"/>
      <c r="DX401" s="105"/>
      <c r="DY401" s="105"/>
      <c r="DZ401" s="105"/>
      <c r="EA401" s="105"/>
      <c r="EB401" s="105"/>
      <c r="EC401" s="105"/>
      <c r="ED401" s="105"/>
      <c r="EE401" s="105"/>
      <c r="EF401" s="105"/>
      <c r="EG401" s="105"/>
      <c r="EH401" s="105"/>
      <c r="EI401" s="105"/>
      <c r="EJ401" s="105"/>
      <c r="EK401" s="105"/>
      <c r="EL401" s="105"/>
      <c r="EM401" s="105"/>
      <c r="EN401" s="105"/>
      <c r="EO401" s="105"/>
      <c r="EP401" s="105"/>
      <c r="EQ401" s="105"/>
      <c r="ER401" s="105"/>
      <c r="ES401" s="105"/>
      <c r="ET401" s="105"/>
      <c r="EU401" s="105"/>
      <c r="EV401" s="105"/>
      <c r="EW401" s="105"/>
      <c r="EX401" s="105"/>
      <c r="EY401" s="105"/>
      <c r="EZ401" s="105"/>
      <c r="FA401" s="105"/>
      <c r="FB401" s="105"/>
      <c r="FC401" s="105"/>
      <c r="FD401" s="105"/>
      <c r="FE401" s="105"/>
      <c r="FF401" s="105"/>
      <c r="FG401" s="105"/>
      <c r="FH401" s="105"/>
      <c r="FI401" s="105"/>
      <c r="FJ401" s="105"/>
      <c r="FK401" s="105"/>
      <c r="FL401" s="105"/>
      <c r="FM401" s="105"/>
      <c r="FN401" s="105"/>
      <c r="FO401" s="105"/>
      <c r="FP401" s="105"/>
      <c r="FQ401" s="105"/>
      <c r="FR401" s="105"/>
      <c r="FS401" s="105"/>
      <c r="FT401" s="105"/>
      <c r="FU401" s="105"/>
      <c r="FV401" s="105"/>
      <c r="FW401" s="105"/>
      <c r="FX401" s="105"/>
      <c r="FY401" s="105"/>
      <c r="FZ401" s="105"/>
      <c r="GA401" s="105"/>
      <c r="GB401" s="105"/>
      <c r="GC401" s="105"/>
      <c r="GD401" s="105"/>
      <c r="GE401" s="105"/>
      <c r="GF401" s="105"/>
      <c r="GG401" s="105"/>
      <c r="GH401" s="105"/>
      <c r="GI401" s="105"/>
      <c r="GJ401" s="105"/>
      <c r="GK401" s="105"/>
      <c r="GL401" s="105"/>
      <c r="GM401" s="105"/>
      <c r="GN401" s="105"/>
      <c r="GO401" s="105"/>
      <c r="GP401" s="105"/>
      <c r="GQ401" s="105"/>
      <c r="GR401" s="105"/>
      <c r="GS401" s="105"/>
      <c r="GT401" s="105"/>
      <c r="GU401" s="105"/>
      <c r="GV401" s="105"/>
      <c r="GW401" s="105"/>
      <c r="GX401" s="105"/>
      <c r="GY401" s="105"/>
      <c r="GZ401" s="105"/>
      <c r="HA401" s="105"/>
      <c r="HB401" s="105"/>
      <c r="HC401" s="105"/>
      <c r="HD401" s="105"/>
      <c r="HE401" s="105"/>
      <c r="HF401" s="105"/>
      <c r="HG401" s="105"/>
      <c r="HH401" s="105"/>
      <c r="HI401" s="105"/>
      <c r="HJ401" s="105"/>
      <c r="HK401" s="105"/>
      <c r="HL401" s="105"/>
      <c r="HM401" s="105"/>
      <c r="HN401" s="105"/>
      <c r="HO401" s="105"/>
      <c r="HP401" s="105"/>
      <c r="HQ401" s="105"/>
      <c r="HR401" s="105"/>
      <c r="HS401" s="105"/>
      <c r="HT401" s="105"/>
      <c r="HU401" s="105"/>
      <c r="HV401" s="105"/>
      <c r="HW401" s="105"/>
      <c r="HX401" s="105"/>
      <c r="HY401" s="105"/>
      <c r="HZ401" s="105"/>
      <c r="IA401" s="105"/>
      <c r="IB401" s="105"/>
      <c r="IC401" s="105"/>
      <c r="ID401" s="105"/>
      <c r="IE401" s="105"/>
      <c r="IF401" s="105"/>
      <c r="IG401" s="105"/>
      <c r="IH401" s="105"/>
      <c r="II401" s="105"/>
      <c r="IJ401" s="105"/>
      <c r="IK401" s="105"/>
      <c r="IL401" s="105"/>
      <c r="IM401" s="105"/>
      <c r="IN401" s="105"/>
      <c r="IO401" s="105"/>
      <c r="IP401" s="105"/>
      <c r="IQ401" s="105"/>
      <c r="IR401" s="105"/>
      <c r="IS401" s="105"/>
    </row>
    <row r="402" spans="1:253">
      <c r="A402" s="116"/>
      <c r="B402" s="105"/>
      <c r="C402" s="116"/>
      <c r="D402" s="116"/>
      <c r="E402" s="116"/>
      <c r="F402" s="116"/>
      <c r="G402" s="116"/>
      <c r="H402" s="116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05"/>
      <c r="BF402" s="105"/>
      <c r="BG402" s="105"/>
      <c r="BH402" s="105"/>
      <c r="BI402" s="105"/>
      <c r="BJ402" s="105"/>
      <c r="BK402" s="105"/>
      <c r="BL402" s="105"/>
      <c r="BM402" s="105"/>
      <c r="BN402" s="105"/>
      <c r="BO402" s="105"/>
      <c r="BP402" s="105"/>
      <c r="BQ402" s="105"/>
      <c r="BR402" s="105"/>
      <c r="BS402" s="105"/>
      <c r="BT402" s="105"/>
      <c r="BU402" s="105"/>
      <c r="BV402" s="105"/>
      <c r="BW402" s="105"/>
      <c r="BX402" s="105"/>
      <c r="BY402" s="105"/>
      <c r="BZ402" s="105"/>
      <c r="CA402" s="105"/>
      <c r="CB402" s="105"/>
      <c r="CC402" s="105"/>
      <c r="CD402" s="105"/>
      <c r="CE402" s="105"/>
      <c r="CF402" s="105"/>
      <c r="CG402" s="105"/>
      <c r="CH402" s="105"/>
      <c r="CI402" s="105"/>
      <c r="CJ402" s="105"/>
      <c r="CK402" s="105"/>
      <c r="CL402" s="105"/>
      <c r="CM402" s="105"/>
      <c r="CN402" s="105"/>
      <c r="CO402" s="105"/>
      <c r="CP402" s="105"/>
      <c r="CQ402" s="105"/>
      <c r="CR402" s="105"/>
      <c r="CS402" s="105"/>
      <c r="CT402" s="105"/>
      <c r="CU402" s="105"/>
      <c r="CV402" s="105"/>
      <c r="CW402" s="105"/>
      <c r="CX402" s="105"/>
      <c r="CY402" s="105"/>
      <c r="CZ402" s="105"/>
      <c r="DA402" s="105"/>
      <c r="DB402" s="105"/>
      <c r="DC402" s="105"/>
      <c r="DD402" s="105"/>
      <c r="DE402" s="105"/>
      <c r="DF402" s="105"/>
      <c r="DG402" s="105"/>
      <c r="DH402" s="105"/>
      <c r="DI402" s="105"/>
      <c r="DJ402" s="105"/>
      <c r="DK402" s="105"/>
      <c r="DL402" s="105"/>
      <c r="DM402" s="105"/>
      <c r="DN402" s="105"/>
      <c r="DO402" s="105"/>
      <c r="DP402" s="105"/>
      <c r="DQ402" s="105"/>
      <c r="DR402" s="105"/>
      <c r="DS402" s="105"/>
      <c r="DT402" s="105"/>
      <c r="DU402" s="105"/>
      <c r="DV402" s="105"/>
      <c r="DW402" s="105"/>
      <c r="DX402" s="105"/>
      <c r="DY402" s="105"/>
      <c r="DZ402" s="105"/>
      <c r="EA402" s="105"/>
      <c r="EB402" s="105"/>
      <c r="EC402" s="105"/>
      <c r="ED402" s="105"/>
      <c r="EE402" s="105"/>
      <c r="EF402" s="105"/>
      <c r="EG402" s="105"/>
      <c r="EH402" s="105"/>
      <c r="EI402" s="105"/>
      <c r="EJ402" s="105"/>
      <c r="EK402" s="105"/>
      <c r="EL402" s="105"/>
      <c r="EM402" s="105"/>
      <c r="EN402" s="105"/>
      <c r="EO402" s="105"/>
      <c r="EP402" s="105"/>
      <c r="EQ402" s="105"/>
      <c r="ER402" s="105"/>
      <c r="ES402" s="105"/>
      <c r="ET402" s="105"/>
      <c r="EU402" s="105"/>
      <c r="EV402" s="105"/>
      <c r="EW402" s="105"/>
      <c r="EX402" s="105"/>
      <c r="EY402" s="105"/>
      <c r="EZ402" s="105"/>
      <c r="FA402" s="105"/>
      <c r="FB402" s="105"/>
      <c r="FC402" s="105"/>
      <c r="FD402" s="105"/>
      <c r="FE402" s="105"/>
      <c r="FF402" s="105"/>
      <c r="FG402" s="105"/>
      <c r="FH402" s="105"/>
      <c r="FI402" s="105"/>
      <c r="FJ402" s="105"/>
      <c r="FK402" s="105"/>
      <c r="FL402" s="105"/>
      <c r="FM402" s="105"/>
      <c r="FN402" s="105"/>
      <c r="FO402" s="105"/>
      <c r="FP402" s="105"/>
      <c r="FQ402" s="105"/>
      <c r="FR402" s="105"/>
      <c r="FS402" s="105"/>
      <c r="FT402" s="105"/>
      <c r="FU402" s="105"/>
      <c r="FV402" s="105"/>
      <c r="FW402" s="105"/>
      <c r="FX402" s="105"/>
      <c r="FY402" s="105"/>
      <c r="FZ402" s="105"/>
      <c r="GA402" s="105"/>
      <c r="GB402" s="105"/>
      <c r="GC402" s="105"/>
      <c r="GD402" s="105"/>
      <c r="GE402" s="105"/>
      <c r="GF402" s="105"/>
      <c r="GG402" s="105"/>
      <c r="GH402" s="105"/>
      <c r="GI402" s="105"/>
      <c r="GJ402" s="105"/>
      <c r="GK402" s="105"/>
      <c r="GL402" s="105"/>
      <c r="GM402" s="105"/>
      <c r="GN402" s="105"/>
      <c r="GO402" s="105"/>
      <c r="GP402" s="105"/>
      <c r="GQ402" s="105"/>
      <c r="GR402" s="105"/>
      <c r="GS402" s="105"/>
      <c r="GT402" s="105"/>
      <c r="GU402" s="105"/>
      <c r="GV402" s="105"/>
      <c r="GW402" s="105"/>
      <c r="GX402" s="105"/>
      <c r="GY402" s="105"/>
      <c r="GZ402" s="105"/>
      <c r="HA402" s="105"/>
      <c r="HB402" s="105"/>
      <c r="HC402" s="105"/>
      <c r="HD402" s="105"/>
      <c r="HE402" s="105"/>
      <c r="HF402" s="105"/>
      <c r="HG402" s="105"/>
      <c r="HH402" s="105"/>
      <c r="HI402" s="105"/>
      <c r="HJ402" s="105"/>
      <c r="HK402" s="105"/>
      <c r="HL402" s="105"/>
      <c r="HM402" s="105"/>
      <c r="HN402" s="105"/>
      <c r="HO402" s="105"/>
      <c r="HP402" s="105"/>
      <c r="HQ402" s="105"/>
      <c r="HR402" s="105"/>
      <c r="HS402" s="105"/>
      <c r="HT402" s="105"/>
      <c r="HU402" s="105"/>
      <c r="HV402" s="105"/>
      <c r="HW402" s="105"/>
      <c r="HX402" s="105"/>
      <c r="HY402" s="105"/>
      <c r="HZ402" s="105"/>
      <c r="IA402" s="105"/>
      <c r="IB402" s="105"/>
      <c r="IC402" s="105"/>
      <c r="ID402" s="105"/>
      <c r="IE402" s="105"/>
      <c r="IF402" s="105"/>
      <c r="IG402" s="105"/>
      <c r="IH402" s="105"/>
      <c r="II402" s="105"/>
      <c r="IJ402" s="105"/>
      <c r="IK402" s="105"/>
      <c r="IL402" s="105"/>
      <c r="IM402" s="105"/>
      <c r="IN402" s="105"/>
      <c r="IO402" s="105"/>
      <c r="IP402" s="105"/>
      <c r="IQ402" s="105"/>
      <c r="IR402" s="105"/>
      <c r="IS402" s="105"/>
    </row>
    <row r="403" spans="1:253">
      <c r="A403" s="116"/>
      <c r="B403" s="105"/>
      <c r="C403" s="116"/>
      <c r="D403" s="116"/>
      <c r="E403" s="116"/>
      <c r="F403" s="116"/>
      <c r="G403" s="116"/>
      <c r="H403" s="116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05"/>
      <c r="BF403" s="105"/>
      <c r="BG403" s="105"/>
      <c r="BH403" s="105"/>
      <c r="BI403" s="105"/>
      <c r="BJ403" s="105"/>
      <c r="BK403" s="105"/>
      <c r="BL403" s="105"/>
      <c r="BM403" s="105"/>
      <c r="BN403" s="105"/>
      <c r="BO403" s="105"/>
      <c r="BP403" s="105"/>
      <c r="BQ403" s="105"/>
      <c r="BR403" s="105"/>
      <c r="BS403" s="105"/>
      <c r="BT403" s="105"/>
      <c r="BU403" s="105"/>
      <c r="BV403" s="105"/>
      <c r="BW403" s="105"/>
      <c r="BX403" s="105"/>
      <c r="BY403" s="105"/>
      <c r="BZ403" s="105"/>
      <c r="CA403" s="105"/>
      <c r="CB403" s="105"/>
      <c r="CC403" s="105"/>
      <c r="CD403" s="105"/>
      <c r="CE403" s="105"/>
      <c r="CF403" s="105"/>
      <c r="CG403" s="105"/>
      <c r="CH403" s="105"/>
      <c r="CI403" s="105"/>
      <c r="CJ403" s="105"/>
      <c r="CK403" s="105"/>
      <c r="CL403" s="105"/>
      <c r="CM403" s="105"/>
      <c r="CN403" s="105"/>
      <c r="CO403" s="105"/>
      <c r="CP403" s="105"/>
      <c r="CQ403" s="105"/>
      <c r="CR403" s="105"/>
      <c r="CS403" s="105"/>
      <c r="CT403" s="105"/>
      <c r="CU403" s="105"/>
      <c r="CV403" s="105"/>
      <c r="CW403" s="105"/>
      <c r="CX403" s="105"/>
      <c r="CY403" s="105"/>
      <c r="CZ403" s="105"/>
      <c r="DA403" s="105"/>
      <c r="DB403" s="105"/>
      <c r="DC403" s="105"/>
      <c r="DD403" s="105"/>
      <c r="DE403" s="105"/>
      <c r="DF403" s="105"/>
      <c r="DG403" s="105"/>
      <c r="DH403" s="105"/>
      <c r="DI403" s="105"/>
      <c r="DJ403" s="105"/>
      <c r="DK403" s="105"/>
      <c r="DL403" s="105"/>
      <c r="DM403" s="105"/>
      <c r="DN403" s="105"/>
      <c r="DO403" s="105"/>
      <c r="DP403" s="105"/>
      <c r="DQ403" s="105"/>
      <c r="DR403" s="105"/>
      <c r="DS403" s="105"/>
      <c r="DT403" s="105"/>
      <c r="DU403" s="105"/>
      <c r="DV403" s="105"/>
      <c r="DW403" s="105"/>
      <c r="DX403" s="105"/>
      <c r="DY403" s="105"/>
      <c r="DZ403" s="105"/>
      <c r="EA403" s="105"/>
      <c r="EB403" s="105"/>
      <c r="EC403" s="105"/>
      <c r="ED403" s="105"/>
      <c r="EE403" s="105"/>
      <c r="EF403" s="105"/>
      <c r="EG403" s="105"/>
      <c r="EH403" s="105"/>
      <c r="EI403" s="105"/>
      <c r="EJ403" s="105"/>
      <c r="EK403" s="105"/>
      <c r="EL403" s="105"/>
      <c r="EM403" s="105"/>
      <c r="EN403" s="105"/>
      <c r="EO403" s="105"/>
      <c r="EP403" s="105"/>
      <c r="EQ403" s="105"/>
      <c r="ER403" s="105"/>
      <c r="ES403" s="105"/>
      <c r="ET403" s="105"/>
      <c r="EU403" s="105"/>
      <c r="EV403" s="105"/>
      <c r="EW403" s="105"/>
      <c r="EX403" s="105"/>
      <c r="EY403" s="105"/>
      <c r="EZ403" s="105"/>
      <c r="FA403" s="105"/>
      <c r="FB403" s="105"/>
      <c r="FC403" s="105"/>
      <c r="FD403" s="105"/>
      <c r="FE403" s="105"/>
      <c r="FF403" s="105"/>
      <c r="FG403" s="105"/>
      <c r="FH403" s="105"/>
      <c r="FI403" s="105"/>
      <c r="FJ403" s="105"/>
      <c r="FK403" s="105"/>
      <c r="FL403" s="105"/>
      <c r="FM403" s="105"/>
      <c r="FN403" s="105"/>
      <c r="FO403" s="105"/>
      <c r="FP403" s="105"/>
      <c r="FQ403" s="105"/>
      <c r="FR403" s="105"/>
      <c r="FS403" s="105"/>
      <c r="FT403" s="105"/>
      <c r="FU403" s="105"/>
      <c r="FV403" s="105"/>
      <c r="FW403" s="105"/>
      <c r="FX403" s="105"/>
      <c r="FY403" s="105"/>
      <c r="FZ403" s="105"/>
      <c r="GA403" s="105"/>
      <c r="GB403" s="105"/>
      <c r="GC403" s="105"/>
      <c r="GD403" s="105"/>
      <c r="GE403" s="105"/>
      <c r="GF403" s="105"/>
      <c r="GG403" s="105"/>
      <c r="GH403" s="105"/>
      <c r="GI403" s="105"/>
      <c r="GJ403" s="105"/>
      <c r="GK403" s="105"/>
      <c r="GL403" s="105"/>
      <c r="GM403" s="105"/>
      <c r="GN403" s="105"/>
      <c r="GO403" s="105"/>
      <c r="GP403" s="105"/>
      <c r="GQ403" s="105"/>
      <c r="GR403" s="105"/>
      <c r="GS403" s="105"/>
      <c r="GT403" s="105"/>
      <c r="GU403" s="105"/>
      <c r="GV403" s="105"/>
      <c r="GW403" s="105"/>
      <c r="GX403" s="105"/>
      <c r="GY403" s="105"/>
      <c r="GZ403" s="105"/>
      <c r="HA403" s="105"/>
      <c r="HB403" s="105"/>
      <c r="HC403" s="105"/>
      <c r="HD403" s="105"/>
      <c r="HE403" s="105"/>
      <c r="HF403" s="105"/>
      <c r="HG403" s="105"/>
      <c r="HH403" s="105"/>
      <c r="HI403" s="105"/>
      <c r="HJ403" s="105"/>
      <c r="HK403" s="105"/>
      <c r="HL403" s="105"/>
      <c r="HM403" s="105"/>
      <c r="HN403" s="105"/>
      <c r="HO403" s="105"/>
      <c r="HP403" s="105"/>
      <c r="HQ403" s="105"/>
      <c r="HR403" s="105"/>
      <c r="HS403" s="105"/>
      <c r="HT403" s="105"/>
      <c r="HU403" s="105"/>
      <c r="HV403" s="105"/>
      <c r="HW403" s="105"/>
      <c r="HX403" s="105"/>
      <c r="HY403" s="105"/>
      <c r="HZ403" s="105"/>
      <c r="IA403" s="105"/>
      <c r="IB403" s="105"/>
      <c r="IC403" s="105"/>
      <c r="ID403" s="105"/>
      <c r="IE403" s="105"/>
      <c r="IF403" s="105"/>
      <c r="IG403" s="105"/>
      <c r="IH403" s="105"/>
      <c r="II403" s="105"/>
      <c r="IJ403" s="105"/>
      <c r="IK403" s="105"/>
      <c r="IL403" s="105"/>
      <c r="IM403" s="105"/>
      <c r="IN403" s="105"/>
      <c r="IO403" s="105"/>
      <c r="IP403" s="105"/>
      <c r="IQ403" s="105"/>
      <c r="IR403" s="105"/>
      <c r="IS403" s="105"/>
    </row>
    <row r="404" spans="1:253">
      <c r="A404" s="116"/>
      <c r="B404" s="105"/>
      <c r="C404" s="116"/>
      <c r="D404" s="116"/>
      <c r="E404" s="116"/>
      <c r="F404" s="116"/>
      <c r="G404" s="116"/>
      <c r="H404" s="116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05"/>
      <c r="BF404" s="105"/>
      <c r="BG404" s="105"/>
      <c r="BH404" s="105"/>
      <c r="BI404" s="105"/>
      <c r="BJ404" s="105"/>
      <c r="BK404" s="105"/>
      <c r="BL404" s="105"/>
      <c r="BM404" s="105"/>
      <c r="BN404" s="105"/>
      <c r="BO404" s="105"/>
      <c r="BP404" s="105"/>
      <c r="BQ404" s="105"/>
      <c r="BR404" s="105"/>
      <c r="BS404" s="105"/>
      <c r="BT404" s="105"/>
      <c r="BU404" s="105"/>
      <c r="BV404" s="105"/>
      <c r="BW404" s="105"/>
      <c r="BX404" s="105"/>
      <c r="BY404" s="105"/>
      <c r="BZ404" s="105"/>
      <c r="CA404" s="105"/>
      <c r="CB404" s="105"/>
      <c r="CC404" s="105"/>
      <c r="CD404" s="105"/>
      <c r="CE404" s="105"/>
      <c r="CF404" s="105"/>
      <c r="CG404" s="105"/>
      <c r="CH404" s="105"/>
      <c r="CI404" s="105"/>
      <c r="CJ404" s="105"/>
      <c r="CK404" s="105"/>
      <c r="CL404" s="105"/>
      <c r="CM404" s="105"/>
      <c r="CN404" s="105"/>
      <c r="CO404" s="105"/>
      <c r="CP404" s="105"/>
      <c r="CQ404" s="105"/>
      <c r="CR404" s="105"/>
      <c r="CS404" s="105"/>
      <c r="CT404" s="105"/>
      <c r="CU404" s="105"/>
      <c r="CV404" s="105"/>
      <c r="CW404" s="105"/>
      <c r="CX404" s="105"/>
      <c r="CY404" s="105"/>
      <c r="CZ404" s="105"/>
      <c r="DA404" s="105"/>
      <c r="DB404" s="105"/>
      <c r="DC404" s="105"/>
      <c r="DD404" s="105"/>
      <c r="DE404" s="105"/>
      <c r="DF404" s="105"/>
      <c r="DG404" s="105"/>
      <c r="DH404" s="105"/>
      <c r="DI404" s="105"/>
      <c r="DJ404" s="105"/>
      <c r="DK404" s="105"/>
      <c r="DL404" s="105"/>
      <c r="DM404" s="105"/>
      <c r="DN404" s="105"/>
      <c r="DO404" s="105"/>
      <c r="DP404" s="105"/>
      <c r="DQ404" s="105"/>
      <c r="DR404" s="105"/>
      <c r="DS404" s="105"/>
      <c r="DT404" s="105"/>
      <c r="DU404" s="105"/>
      <c r="DV404" s="105"/>
      <c r="DW404" s="105"/>
      <c r="DX404" s="105"/>
      <c r="DY404" s="105"/>
      <c r="DZ404" s="105"/>
      <c r="EA404" s="105"/>
      <c r="EB404" s="105"/>
      <c r="EC404" s="105"/>
      <c r="ED404" s="105"/>
      <c r="EE404" s="105"/>
      <c r="EF404" s="105"/>
      <c r="EG404" s="105"/>
      <c r="EH404" s="105"/>
      <c r="EI404" s="105"/>
      <c r="EJ404" s="105"/>
      <c r="EK404" s="105"/>
      <c r="EL404" s="105"/>
      <c r="EM404" s="105"/>
      <c r="EN404" s="105"/>
      <c r="EO404" s="105"/>
      <c r="EP404" s="105"/>
      <c r="EQ404" s="105"/>
      <c r="ER404" s="105"/>
      <c r="ES404" s="105"/>
      <c r="ET404" s="105"/>
      <c r="EU404" s="105"/>
      <c r="EV404" s="105"/>
      <c r="EW404" s="105"/>
      <c r="EX404" s="105"/>
      <c r="EY404" s="105"/>
      <c r="EZ404" s="105"/>
      <c r="FA404" s="105"/>
      <c r="FB404" s="105"/>
      <c r="FC404" s="105"/>
      <c r="FD404" s="105"/>
      <c r="FE404" s="105"/>
      <c r="FF404" s="105"/>
      <c r="FG404" s="105"/>
      <c r="FH404" s="105"/>
      <c r="FI404" s="105"/>
      <c r="FJ404" s="105"/>
      <c r="FK404" s="105"/>
      <c r="FL404" s="105"/>
      <c r="FM404" s="105"/>
      <c r="FN404" s="105"/>
      <c r="FO404" s="105"/>
      <c r="FP404" s="105"/>
      <c r="FQ404" s="105"/>
      <c r="FR404" s="105"/>
      <c r="FS404" s="105"/>
      <c r="FT404" s="105"/>
      <c r="FU404" s="105"/>
      <c r="FV404" s="105"/>
      <c r="FW404" s="105"/>
      <c r="FX404" s="105"/>
      <c r="FY404" s="105"/>
      <c r="FZ404" s="105"/>
      <c r="GA404" s="105"/>
      <c r="GB404" s="105"/>
      <c r="GC404" s="105"/>
      <c r="GD404" s="105"/>
      <c r="GE404" s="105"/>
      <c r="GF404" s="105"/>
      <c r="GG404" s="105"/>
      <c r="GH404" s="105"/>
      <c r="GI404" s="105"/>
      <c r="GJ404" s="105"/>
      <c r="GK404" s="105"/>
      <c r="GL404" s="105"/>
      <c r="GM404" s="105"/>
      <c r="GN404" s="105"/>
      <c r="GO404" s="105"/>
      <c r="GP404" s="105"/>
      <c r="GQ404" s="105"/>
      <c r="GR404" s="105"/>
      <c r="GS404" s="105"/>
      <c r="GT404" s="105"/>
      <c r="GU404" s="105"/>
      <c r="GV404" s="105"/>
      <c r="GW404" s="105"/>
      <c r="GX404" s="105"/>
      <c r="GY404" s="105"/>
      <c r="GZ404" s="105"/>
      <c r="HA404" s="105"/>
      <c r="HB404" s="105"/>
      <c r="HC404" s="105"/>
      <c r="HD404" s="105"/>
      <c r="HE404" s="105"/>
      <c r="HF404" s="105"/>
      <c r="HG404" s="105"/>
      <c r="HH404" s="105"/>
      <c r="HI404" s="105"/>
      <c r="HJ404" s="105"/>
      <c r="HK404" s="105"/>
      <c r="HL404" s="105"/>
      <c r="HM404" s="105"/>
      <c r="HN404" s="105"/>
      <c r="HO404" s="105"/>
      <c r="HP404" s="105"/>
      <c r="HQ404" s="105"/>
      <c r="HR404" s="105"/>
      <c r="HS404" s="105"/>
      <c r="HT404" s="105"/>
      <c r="HU404" s="105"/>
      <c r="HV404" s="105"/>
      <c r="HW404" s="105"/>
      <c r="HX404" s="105"/>
      <c r="HY404" s="105"/>
      <c r="HZ404" s="105"/>
      <c r="IA404" s="105"/>
      <c r="IB404" s="105"/>
      <c r="IC404" s="105"/>
      <c r="ID404" s="105"/>
      <c r="IE404" s="105"/>
      <c r="IF404" s="105"/>
      <c r="IG404" s="105"/>
      <c r="IH404" s="105"/>
      <c r="II404" s="105"/>
      <c r="IJ404" s="105"/>
      <c r="IK404" s="105"/>
      <c r="IL404" s="105"/>
      <c r="IM404" s="105"/>
      <c r="IN404" s="105"/>
      <c r="IO404" s="105"/>
      <c r="IP404" s="105"/>
      <c r="IQ404" s="105"/>
      <c r="IR404" s="105"/>
      <c r="IS404" s="105"/>
    </row>
    <row r="405" spans="1:253">
      <c r="A405" s="116"/>
      <c r="B405" s="105"/>
      <c r="C405" s="116"/>
      <c r="D405" s="116"/>
      <c r="E405" s="116"/>
      <c r="F405" s="116"/>
      <c r="G405" s="116"/>
      <c r="H405" s="116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05"/>
      <c r="BF405" s="105"/>
      <c r="BG405" s="105"/>
      <c r="BH405" s="105"/>
      <c r="BI405" s="105"/>
      <c r="BJ405" s="105"/>
      <c r="BK405" s="105"/>
      <c r="BL405" s="105"/>
      <c r="BM405" s="105"/>
      <c r="BN405" s="105"/>
      <c r="BO405" s="105"/>
      <c r="BP405" s="105"/>
      <c r="BQ405" s="105"/>
      <c r="BR405" s="105"/>
      <c r="BS405" s="105"/>
      <c r="BT405" s="105"/>
      <c r="BU405" s="105"/>
      <c r="BV405" s="105"/>
      <c r="BW405" s="105"/>
      <c r="BX405" s="105"/>
      <c r="BY405" s="105"/>
      <c r="BZ405" s="105"/>
      <c r="CA405" s="105"/>
      <c r="CB405" s="105"/>
      <c r="CC405" s="105"/>
      <c r="CD405" s="105"/>
      <c r="CE405" s="105"/>
      <c r="CF405" s="105"/>
      <c r="CG405" s="105"/>
      <c r="CH405" s="105"/>
      <c r="CI405" s="105"/>
      <c r="CJ405" s="105"/>
      <c r="CK405" s="105"/>
      <c r="CL405" s="105"/>
      <c r="CM405" s="105"/>
      <c r="CN405" s="105"/>
      <c r="CO405" s="105"/>
      <c r="CP405" s="105"/>
      <c r="CQ405" s="105"/>
      <c r="CR405" s="105"/>
      <c r="CS405" s="105"/>
      <c r="CT405" s="105"/>
      <c r="CU405" s="105"/>
      <c r="CV405" s="105"/>
      <c r="CW405" s="105"/>
      <c r="CX405" s="105"/>
      <c r="CY405" s="105"/>
      <c r="CZ405" s="105"/>
      <c r="DA405" s="105"/>
      <c r="DB405" s="105"/>
      <c r="DC405" s="105"/>
      <c r="DD405" s="105"/>
      <c r="DE405" s="105"/>
      <c r="DF405" s="105"/>
      <c r="DG405" s="105"/>
      <c r="DH405" s="105"/>
      <c r="DI405" s="105"/>
      <c r="DJ405" s="105"/>
      <c r="DK405" s="105"/>
      <c r="DL405" s="105"/>
      <c r="DM405" s="105"/>
      <c r="DN405" s="105"/>
      <c r="DO405" s="105"/>
      <c r="DP405" s="105"/>
      <c r="DQ405" s="105"/>
      <c r="DR405" s="105"/>
      <c r="DS405" s="105"/>
      <c r="DT405" s="105"/>
      <c r="DU405" s="105"/>
      <c r="DV405" s="105"/>
      <c r="DW405" s="105"/>
      <c r="DX405" s="105"/>
      <c r="DY405" s="105"/>
      <c r="DZ405" s="105"/>
      <c r="EA405" s="105"/>
      <c r="EB405" s="105"/>
      <c r="EC405" s="105"/>
      <c r="ED405" s="105"/>
      <c r="EE405" s="105"/>
      <c r="EF405" s="105"/>
      <c r="EG405" s="105"/>
      <c r="EH405" s="105"/>
      <c r="EI405" s="105"/>
      <c r="EJ405" s="105"/>
      <c r="EK405" s="105"/>
      <c r="EL405" s="105"/>
      <c r="EM405" s="105"/>
      <c r="EN405" s="105"/>
      <c r="EO405" s="105"/>
      <c r="EP405" s="105"/>
      <c r="EQ405" s="105"/>
      <c r="ER405" s="105"/>
      <c r="ES405" s="105"/>
      <c r="ET405" s="105"/>
      <c r="EU405" s="105"/>
      <c r="EV405" s="105"/>
      <c r="EW405" s="105"/>
      <c r="EX405" s="105"/>
      <c r="EY405" s="105"/>
      <c r="EZ405" s="105"/>
      <c r="FA405" s="105"/>
      <c r="FB405" s="105"/>
      <c r="FC405" s="105"/>
      <c r="FD405" s="105"/>
      <c r="FE405" s="105"/>
      <c r="FF405" s="105"/>
      <c r="FG405" s="105"/>
      <c r="FH405" s="105"/>
      <c r="FI405" s="105"/>
      <c r="FJ405" s="105"/>
      <c r="FK405" s="105"/>
      <c r="FL405" s="105"/>
      <c r="FM405" s="105"/>
      <c r="FN405" s="105"/>
      <c r="FO405" s="105"/>
      <c r="FP405" s="105"/>
      <c r="FQ405" s="105"/>
      <c r="FR405" s="105"/>
      <c r="FS405" s="105"/>
      <c r="FT405" s="105"/>
      <c r="FU405" s="105"/>
      <c r="FV405" s="105"/>
      <c r="FW405" s="105"/>
      <c r="FX405" s="105"/>
      <c r="FY405" s="105"/>
      <c r="FZ405" s="105"/>
      <c r="GA405" s="105"/>
      <c r="GB405" s="105"/>
      <c r="GC405" s="105"/>
      <c r="GD405" s="105"/>
      <c r="GE405" s="105"/>
      <c r="GF405" s="105"/>
      <c r="GG405" s="105"/>
      <c r="GH405" s="105"/>
      <c r="GI405" s="105"/>
      <c r="GJ405" s="105"/>
      <c r="GK405" s="105"/>
      <c r="GL405" s="105"/>
      <c r="GM405" s="105"/>
      <c r="GN405" s="105"/>
      <c r="GO405" s="105"/>
      <c r="GP405" s="105"/>
      <c r="GQ405" s="105"/>
      <c r="GR405" s="105"/>
      <c r="GS405" s="105"/>
      <c r="GT405" s="105"/>
      <c r="GU405" s="105"/>
      <c r="GV405" s="105"/>
      <c r="GW405" s="105"/>
      <c r="GX405" s="105"/>
      <c r="GY405" s="105"/>
      <c r="GZ405" s="105"/>
      <c r="HA405" s="105"/>
      <c r="HB405" s="105"/>
      <c r="HC405" s="105"/>
      <c r="HD405" s="105"/>
      <c r="HE405" s="105"/>
      <c r="HF405" s="105"/>
      <c r="HG405" s="105"/>
      <c r="HH405" s="105"/>
      <c r="HI405" s="105"/>
      <c r="HJ405" s="105"/>
      <c r="HK405" s="105"/>
      <c r="HL405" s="105"/>
      <c r="HM405" s="105"/>
      <c r="HN405" s="105"/>
      <c r="HO405" s="105"/>
      <c r="HP405" s="105"/>
      <c r="HQ405" s="105"/>
      <c r="HR405" s="105"/>
      <c r="HS405" s="105"/>
      <c r="HT405" s="105"/>
      <c r="HU405" s="105"/>
      <c r="HV405" s="105"/>
      <c r="HW405" s="105"/>
      <c r="HX405" s="105"/>
      <c r="HY405" s="105"/>
      <c r="HZ405" s="105"/>
      <c r="IA405" s="105"/>
      <c r="IB405" s="105"/>
      <c r="IC405" s="105"/>
      <c r="ID405" s="105"/>
      <c r="IE405" s="105"/>
      <c r="IF405" s="105"/>
      <c r="IG405" s="105"/>
      <c r="IH405" s="105"/>
      <c r="II405" s="105"/>
      <c r="IJ405" s="105"/>
      <c r="IK405" s="105"/>
      <c r="IL405" s="105"/>
      <c r="IM405" s="105"/>
      <c r="IN405" s="105"/>
      <c r="IO405" s="105"/>
      <c r="IP405" s="105"/>
      <c r="IQ405" s="105"/>
      <c r="IR405" s="105"/>
      <c r="IS405" s="105"/>
    </row>
    <row r="406" spans="1:253">
      <c r="A406" s="116"/>
      <c r="B406" s="105"/>
      <c r="C406" s="116"/>
      <c r="D406" s="116"/>
      <c r="E406" s="116"/>
      <c r="F406" s="116"/>
      <c r="G406" s="116"/>
      <c r="H406" s="116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05"/>
      <c r="BF406" s="105"/>
      <c r="BG406" s="105"/>
      <c r="BH406" s="105"/>
      <c r="BI406" s="105"/>
      <c r="BJ406" s="105"/>
      <c r="BK406" s="105"/>
      <c r="BL406" s="105"/>
      <c r="BM406" s="105"/>
      <c r="BN406" s="105"/>
      <c r="BO406" s="105"/>
      <c r="BP406" s="105"/>
      <c r="BQ406" s="105"/>
      <c r="BR406" s="105"/>
      <c r="BS406" s="105"/>
      <c r="BT406" s="105"/>
      <c r="BU406" s="105"/>
      <c r="BV406" s="105"/>
      <c r="BW406" s="105"/>
      <c r="BX406" s="105"/>
      <c r="BY406" s="105"/>
      <c r="BZ406" s="105"/>
      <c r="CA406" s="105"/>
      <c r="CB406" s="105"/>
      <c r="CC406" s="105"/>
      <c r="CD406" s="105"/>
      <c r="CE406" s="105"/>
      <c r="CF406" s="105"/>
      <c r="CG406" s="105"/>
      <c r="CH406" s="105"/>
      <c r="CI406" s="105"/>
      <c r="CJ406" s="105"/>
      <c r="CK406" s="105"/>
      <c r="CL406" s="105"/>
      <c r="CM406" s="105"/>
      <c r="CN406" s="105"/>
      <c r="CO406" s="105"/>
      <c r="CP406" s="105"/>
      <c r="CQ406" s="105"/>
      <c r="CR406" s="105"/>
      <c r="CS406" s="105"/>
      <c r="CT406" s="105"/>
      <c r="CU406" s="105"/>
      <c r="CV406" s="105"/>
      <c r="CW406" s="105"/>
      <c r="CX406" s="105"/>
      <c r="CY406" s="105"/>
      <c r="CZ406" s="105"/>
      <c r="DA406" s="105"/>
      <c r="DB406" s="105"/>
      <c r="DC406" s="105"/>
      <c r="DD406" s="105"/>
      <c r="DE406" s="105"/>
      <c r="DF406" s="105"/>
      <c r="DG406" s="105"/>
      <c r="DH406" s="105"/>
      <c r="DI406" s="105"/>
      <c r="DJ406" s="105"/>
      <c r="DK406" s="105"/>
      <c r="DL406" s="105"/>
      <c r="DM406" s="105"/>
      <c r="DN406" s="105"/>
      <c r="DO406" s="105"/>
      <c r="DP406" s="105"/>
      <c r="DQ406" s="105"/>
      <c r="DR406" s="105"/>
      <c r="DS406" s="105"/>
      <c r="DT406" s="105"/>
      <c r="DU406" s="105"/>
      <c r="DV406" s="105"/>
      <c r="DW406" s="105"/>
      <c r="DX406" s="105"/>
      <c r="DY406" s="105"/>
      <c r="DZ406" s="105"/>
      <c r="EA406" s="105"/>
      <c r="EB406" s="105"/>
      <c r="EC406" s="105"/>
      <c r="ED406" s="105"/>
      <c r="EE406" s="105"/>
      <c r="EF406" s="105"/>
      <c r="EG406" s="105"/>
      <c r="EH406" s="105"/>
      <c r="EI406" s="105"/>
      <c r="EJ406" s="105"/>
      <c r="EK406" s="105"/>
      <c r="EL406" s="105"/>
      <c r="EM406" s="105"/>
      <c r="EN406" s="105"/>
      <c r="EO406" s="105"/>
      <c r="EP406" s="105"/>
      <c r="EQ406" s="105"/>
      <c r="ER406" s="105"/>
      <c r="ES406" s="105"/>
      <c r="ET406" s="105"/>
      <c r="EU406" s="105"/>
      <c r="EV406" s="105"/>
      <c r="EW406" s="105"/>
      <c r="EX406" s="105"/>
      <c r="EY406" s="105"/>
      <c r="EZ406" s="105"/>
      <c r="FA406" s="105"/>
      <c r="FB406" s="105"/>
      <c r="FC406" s="105"/>
      <c r="FD406" s="105"/>
      <c r="FE406" s="105"/>
      <c r="FF406" s="105"/>
      <c r="FG406" s="105"/>
      <c r="FH406" s="105"/>
      <c r="FI406" s="105"/>
      <c r="FJ406" s="105"/>
      <c r="FK406" s="105"/>
      <c r="FL406" s="105"/>
      <c r="FM406" s="105"/>
      <c r="FN406" s="105"/>
      <c r="FO406" s="105"/>
      <c r="FP406" s="105"/>
      <c r="FQ406" s="105"/>
      <c r="FR406" s="105"/>
      <c r="FS406" s="105"/>
      <c r="FT406" s="105"/>
      <c r="FU406" s="105"/>
      <c r="FV406" s="105"/>
      <c r="FW406" s="105"/>
      <c r="FX406" s="105"/>
      <c r="FY406" s="105"/>
      <c r="FZ406" s="105"/>
      <c r="GA406" s="105"/>
      <c r="GB406" s="105"/>
      <c r="GC406" s="105"/>
      <c r="GD406" s="105"/>
      <c r="GE406" s="105"/>
      <c r="GF406" s="105"/>
      <c r="GG406" s="105"/>
      <c r="GH406" s="105"/>
      <c r="GI406" s="105"/>
      <c r="GJ406" s="105"/>
      <c r="GK406" s="105"/>
      <c r="GL406" s="105"/>
      <c r="GM406" s="105"/>
      <c r="GN406" s="105"/>
      <c r="GO406" s="105"/>
      <c r="GP406" s="105"/>
      <c r="GQ406" s="105"/>
      <c r="GR406" s="105"/>
      <c r="GS406" s="105"/>
      <c r="GT406" s="105"/>
      <c r="GU406" s="105"/>
      <c r="GV406" s="105"/>
      <c r="GW406" s="105"/>
      <c r="GX406" s="105"/>
      <c r="GY406" s="105"/>
      <c r="GZ406" s="105"/>
      <c r="HA406" s="105"/>
      <c r="HB406" s="105"/>
      <c r="HC406" s="105"/>
      <c r="HD406" s="105"/>
      <c r="HE406" s="105"/>
      <c r="HF406" s="105"/>
      <c r="HG406" s="105"/>
      <c r="HH406" s="105"/>
      <c r="HI406" s="105"/>
      <c r="HJ406" s="105"/>
      <c r="HK406" s="105"/>
      <c r="HL406" s="105"/>
      <c r="HM406" s="105"/>
      <c r="HN406" s="105"/>
      <c r="HO406" s="105"/>
      <c r="HP406" s="105"/>
      <c r="HQ406" s="105"/>
      <c r="HR406" s="105"/>
      <c r="HS406" s="105"/>
      <c r="HT406" s="105"/>
      <c r="HU406" s="105"/>
      <c r="HV406" s="105"/>
      <c r="HW406" s="105"/>
      <c r="HX406" s="105"/>
      <c r="HY406" s="105"/>
      <c r="HZ406" s="105"/>
      <c r="IA406" s="105"/>
      <c r="IB406" s="105"/>
      <c r="IC406" s="105"/>
      <c r="ID406" s="105"/>
      <c r="IE406" s="105"/>
      <c r="IF406" s="105"/>
      <c r="IG406" s="105"/>
      <c r="IH406" s="105"/>
      <c r="II406" s="105"/>
      <c r="IJ406" s="105"/>
      <c r="IK406" s="105"/>
      <c r="IL406" s="105"/>
      <c r="IM406" s="105"/>
      <c r="IN406" s="105"/>
      <c r="IO406" s="105"/>
      <c r="IP406" s="105"/>
      <c r="IQ406" s="105"/>
      <c r="IR406" s="105"/>
      <c r="IS406" s="105"/>
    </row>
    <row r="407" spans="1:253">
      <c r="A407" s="116"/>
      <c r="B407" s="105"/>
      <c r="C407" s="116"/>
      <c r="D407" s="116"/>
      <c r="E407" s="116"/>
      <c r="F407" s="116"/>
      <c r="G407" s="116"/>
      <c r="H407" s="116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  <c r="AU407" s="105"/>
      <c r="AV407" s="105"/>
      <c r="AW407" s="105"/>
      <c r="AX407" s="105"/>
      <c r="AY407" s="105"/>
      <c r="AZ407" s="105"/>
      <c r="BA407" s="105"/>
      <c r="BB407" s="105"/>
      <c r="BC407" s="105"/>
      <c r="BD407" s="105"/>
      <c r="BE407" s="105"/>
      <c r="BF407" s="105"/>
      <c r="BG407" s="105"/>
      <c r="BH407" s="105"/>
      <c r="BI407" s="105"/>
      <c r="BJ407" s="105"/>
      <c r="BK407" s="105"/>
      <c r="BL407" s="105"/>
      <c r="BM407" s="105"/>
      <c r="BN407" s="105"/>
      <c r="BO407" s="105"/>
      <c r="BP407" s="105"/>
      <c r="BQ407" s="105"/>
      <c r="BR407" s="105"/>
      <c r="BS407" s="105"/>
      <c r="BT407" s="105"/>
      <c r="BU407" s="105"/>
      <c r="BV407" s="105"/>
      <c r="BW407" s="105"/>
      <c r="BX407" s="105"/>
      <c r="BY407" s="105"/>
      <c r="BZ407" s="105"/>
      <c r="CA407" s="105"/>
      <c r="CB407" s="105"/>
      <c r="CC407" s="105"/>
      <c r="CD407" s="105"/>
      <c r="CE407" s="105"/>
      <c r="CF407" s="105"/>
      <c r="CG407" s="105"/>
      <c r="CH407" s="105"/>
      <c r="CI407" s="105"/>
      <c r="CJ407" s="105"/>
      <c r="CK407" s="105"/>
      <c r="CL407" s="105"/>
      <c r="CM407" s="105"/>
      <c r="CN407" s="105"/>
      <c r="CO407" s="105"/>
      <c r="CP407" s="105"/>
      <c r="CQ407" s="105"/>
      <c r="CR407" s="105"/>
      <c r="CS407" s="105"/>
      <c r="CT407" s="105"/>
      <c r="CU407" s="105"/>
      <c r="CV407" s="105"/>
      <c r="CW407" s="105"/>
      <c r="CX407" s="105"/>
      <c r="CY407" s="105"/>
      <c r="CZ407" s="105"/>
      <c r="DA407" s="105"/>
      <c r="DB407" s="105"/>
      <c r="DC407" s="105"/>
      <c r="DD407" s="105"/>
      <c r="DE407" s="105"/>
      <c r="DF407" s="105"/>
      <c r="DG407" s="105"/>
      <c r="DH407" s="105"/>
      <c r="DI407" s="105"/>
      <c r="DJ407" s="105"/>
      <c r="DK407" s="105"/>
      <c r="DL407" s="105"/>
      <c r="DM407" s="105"/>
      <c r="DN407" s="105"/>
      <c r="DO407" s="105"/>
      <c r="DP407" s="105"/>
      <c r="DQ407" s="105"/>
      <c r="DR407" s="105"/>
      <c r="DS407" s="105"/>
      <c r="DT407" s="105"/>
      <c r="DU407" s="105"/>
      <c r="DV407" s="105"/>
      <c r="DW407" s="105"/>
      <c r="DX407" s="105"/>
      <c r="DY407" s="105"/>
      <c r="DZ407" s="105"/>
      <c r="EA407" s="105"/>
      <c r="EB407" s="105"/>
      <c r="EC407" s="105"/>
      <c r="ED407" s="105"/>
      <c r="EE407" s="105"/>
      <c r="EF407" s="105"/>
      <c r="EG407" s="105"/>
      <c r="EH407" s="105"/>
      <c r="EI407" s="105"/>
      <c r="EJ407" s="105"/>
      <c r="EK407" s="105"/>
      <c r="EL407" s="105"/>
      <c r="EM407" s="105"/>
      <c r="EN407" s="105"/>
      <c r="EO407" s="105"/>
      <c r="EP407" s="105"/>
      <c r="EQ407" s="105"/>
      <c r="ER407" s="105"/>
      <c r="ES407" s="105"/>
      <c r="ET407" s="105"/>
      <c r="EU407" s="105"/>
      <c r="EV407" s="105"/>
      <c r="EW407" s="105"/>
      <c r="EX407" s="105"/>
      <c r="EY407" s="105"/>
      <c r="EZ407" s="105"/>
      <c r="FA407" s="105"/>
      <c r="FB407" s="105"/>
      <c r="FC407" s="105"/>
      <c r="FD407" s="105"/>
      <c r="FE407" s="105"/>
      <c r="FF407" s="105"/>
      <c r="FG407" s="105"/>
      <c r="FH407" s="105"/>
      <c r="FI407" s="105"/>
      <c r="FJ407" s="105"/>
      <c r="FK407" s="105"/>
      <c r="FL407" s="105"/>
      <c r="FM407" s="105"/>
      <c r="FN407" s="105"/>
      <c r="FO407" s="105"/>
      <c r="FP407" s="105"/>
      <c r="FQ407" s="105"/>
      <c r="FR407" s="105"/>
      <c r="FS407" s="105"/>
      <c r="FT407" s="105"/>
      <c r="FU407" s="105"/>
      <c r="FV407" s="105"/>
      <c r="FW407" s="105"/>
      <c r="FX407" s="105"/>
      <c r="FY407" s="105"/>
      <c r="FZ407" s="105"/>
      <c r="GA407" s="105"/>
      <c r="GB407" s="105"/>
      <c r="GC407" s="105"/>
      <c r="GD407" s="105"/>
      <c r="GE407" s="105"/>
      <c r="GF407" s="105"/>
      <c r="GG407" s="105"/>
      <c r="GH407" s="105"/>
      <c r="GI407" s="105"/>
      <c r="GJ407" s="105"/>
      <c r="GK407" s="105"/>
      <c r="GL407" s="105"/>
      <c r="GM407" s="105"/>
      <c r="GN407" s="105"/>
      <c r="GO407" s="105"/>
      <c r="GP407" s="105"/>
      <c r="GQ407" s="105"/>
      <c r="GR407" s="105"/>
      <c r="GS407" s="105"/>
      <c r="GT407" s="105"/>
      <c r="GU407" s="105"/>
      <c r="GV407" s="105"/>
      <c r="GW407" s="105"/>
      <c r="GX407" s="105"/>
      <c r="GY407" s="105"/>
      <c r="GZ407" s="105"/>
      <c r="HA407" s="105"/>
      <c r="HB407" s="105"/>
      <c r="HC407" s="105"/>
      <c r="HD407" s="105"/>
      <c r="HE407" s="105"/>
      <c r="HF407" s="105"/>
      <c r="HG407" s="105"/>
      <c r="HH407" s="105"/>
      <c r="HI407" s="105"/>
      <c r="HJ407" s="105"/>
      <c r="HK407" s="105"/>
      <c r="HL407" s="105"/>
      <c r="HM407" s="105"/>
      <c r="HN407" s="105"/>
      <c r="HO407" s="105"/>
      <c r="HP407" s="105"/>
      <c r="HQ407" s="105"/>
      <c r="HR407" s="105"/>
      <c r="HS407" s="105"/>
      <c r="HT407" s="105"/>
      <c r="HU407" s="105"/>
      <c r="HV407" s="105"/>
      <c r="HW407" s="105"/>
      <c r="HX407" s="105"/>
      <c r="HY407" s="105"/>
      <c r="HZ407" s="105"/>
      <c r="IA407" s="105"/>
      <c r="IB407" s="105"/>
      <c r="IC407" s="105"/>
      <c r="ID407" s="105"/>
      <c r="IE407" s="105"/>
      <c r="IF407" s="105"/>
      <c r="IG407" s="105"/>
      <c r="IH407" s="105"/>
      <c r="II407" s="105"/>
      <c r="IJ407" s="105"/>
      <c r="IK407" s="105"/>
      <c r="IL407" s="105"/>
      <c r="IM407" s="105"/>
      <c r="IN407" s="105"/>
      <c r="IO407" s="105"/>
      <c r="IP407" s="105"/>
      <c r="IQ407" s="105"/>
      <c r="IR407" s="105"/>
      <c r="IS407" s="105"/>
    </row>
    <row r="408" spans="1:253">
      <c r="A408" s="116"/>
      <c r="B408" s="105"/>
      <c r="C408" s="116"/>
      <c r="D408" s="116"/>
      <c r="E408" s="116"/>
      <c r="F408" s="116"/>
      <c r="G408" s="116"/>
      <c r="H408" s="116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05"/>
      <c r="BF408" s="105"/>
      <c r="BG408" s="105"/>
      <c r="BH408" s="105"/>
      <c r="BI408" s="105"/>
      <c r="BJ408" s="105"/>
      <c r="BK408" s="105"/>
      <c r="BL408" s="105"/>
      <c r="BM408" s="105"/>
      <c r="BN408" s="105"/>
      <c r="BO408" s="105"/>
      <c r="BP408" s="105"/>
      <c r="BQ408" s="105"/>
      <c r="BR408" s="105"/>
      <c r="BS408" s="105"/>
      <c r="BT408" s="105"/>
      <c r="BU408" s="105"/>
      <c r="BV408" s="105"/>
      <c r="BW408" s="105"/>
      <c r="BX408" s="105"/>
      <c r="BY408" s="105"/>
      <c r="BZ408" s="105"/>
      <c r="CA408" s="105"/>
      <c r="CB408" s="105"/>
      <c r="CC408" s="105"/>
      <c r="CD408" s="105"/>
      <c r="CE408" s="105"/>
      <c r="CF408" s="105"/>
      <c r="CG408" s="105"/>
      <c r="CH408" s="105"/>
      <c r="CI408" s="105"/>
      <c r="CJ408" s="105"/>
      <c r="CK408" s="105"/>
      <c r="CL408" s="105"/>
      <c r="CM408" s="105"/>
      <c r="CN408" s="105"/>
      <c r="CO408" s="105"/>
      <c r="CP408" s="105"/>
      <c r="CQ408" s="105"/>
      <c r="CR408" s="105"/>
      <c r="CS408" s="105"/>
      <c r="CT408" s="105"/>
      <c r="CU408" s="105"/>
      <c r="CV408" s="105"/>
      <c r="CW408" s="105"/>
      <c r="CX408" s="105"/>
      <c r="CY408" s="105"/>
      <c r="CZ408" s="105"/>
      <c r="DA408" s="105"/>
      <c r="DB408" s="105"/>
      <c r="DC408" s="105"/>
      <c r="DD408" s="105"/>
      <c r="DE408" s="105"/>
      <c r="DF408" s="105"/>
      <c r="DG408" s="105"/>
      <c r="DH408" s="105"/>
      <c r="DI408" s="105"/>
      <c r="DJ408" s="105"/>
      <c r="DK408" s="105"/>
      <c r="DL408" s="105"/>
      <c r="DM408" s="105"/>
      <c r="DN408" s="105"/>
      <c r="DO408" s="105"/>
      <c r="DP408" s="105"/>
      <c r="DQ408" s="105"/>
      <c r="DR408" s="105"/>
      <c r="DS408" s="105"/>
      <c r="DT408" s="105"/>
      <c r="DU408" s="105"/>
      <c r="DV408" s="105"/>
      <c r="DW408" s="105"/>
      <c r="DX408" s="105"/>
      <c r="DY408" s="105"/>
      <c r="DZ408" s="105"/>
      <c r="EA408" s="105"/>
      <c r="EB408" s="105"/>
      <c r="EC408" s="105"/>
      <c r="ED408" s="105"/>
      <c r="EE408" s="105"/>
      <c r="EF408" s="105"/>
      <c r="EG408" s="105"/>
      <c r="EH408" s="105"/>
      <c r="EI408" s="105"/>
      <c r="EJ408" s="105"/>
      <c r="EK408" s="105"/>
      <c r="EL408" s="105"/>
      <c r="EM408" s="105"/>
      <c r="EN408" s="105"/>
      <c r="EO408" s="105"/>
      <c r="EP408" s="105"/>
      <c r="EQ408" s="105"/>
      <c r="ER408" s="105"/>
      <c r="ES408" s="105"/>
      <c r="ET408" s="105"/>
      <c r="EU408" s="105"/>
      <c r="EV408" s="105"/>
      <c r="EW408" s="105"/>
      <c r="EX408" s="105"/>
      <c r="EY408" s="105"/>
      <c r="EZ408" s="105"/>
      <c r="FA408" s="105"/>
      <c r="FB408" s="105"/>
      <c r="FC408" s="105"/>
      <c r="FD408" s="105"/>
      <c r="FE408" s="105"/>
      <c r="FF408" s="105"/>
      <c r="FG408" s="105"/>
      <c r="FH408" s="105"/>
      <c r="FI408" s="105"/>
      <c r="FJ408" s="105"/>
      <c r="FK408" s="105"/>
      <c r="FL408" s="105"/>
      <c r="FM408" s="105"/>
      <c r="FN408" s="105"/>
      <c r="FO408" s="105"/>
      <c r="FP408" s="105"/>
      <c r="FQ408" s="105"/>
      <c r="FR408" s="105"/>
      <c r="FS408" s="105"/>
      <c r="FT408" s="105"/>
      <c r="FU408" s="105"/>
      <c r="FV408" s="105"/>
      <c r="FW408" s="105"/>
      <c r="FX408" s="105"/>
      <c r="FY408" s="105"/>
      <c r="FZ408" s="105"/>
      <c r="GA408" s="105"/>
      <c r="GB408" s="105"/>
      <c r="GC408" s="105"/>
      <c r="GD408" s="105"/>
      <c r="GE408" s="105"/>
      <c r="GF408" s="105"/>
      <c r="GG408" s="105"/>
      <c r="GH408" s="105"/>
      <c r="GI408" s="105"/>
      <c r="GJ408" s="105"/>
      <c r="GK408" s="105"/>
      <c r="GL408" s="105"/>
      <c r="GM408" s="105"/>
      <c r="GN408" s="105"/>
      <c r="GO408" s="105"/>
      <c r="GP408" s="105"/>
      <c r="GQ408" s="105"/>
      <c r="GR408" s="105"/>
      <c r="GS408" s="105"/>
      <c r="GT408" s="105"/>
      <c r="GU408" s="105"/>
      <c r="GV408" s="105"/>
      <c r="GW408" s="105"/>
      <c r="GX408" s="105"/>
      <c r="GY408" s="105"/>
      <c r="GZ408" s="105"/>
      <c r="HA408" s="105"/>
      <c r="HB408" s="105"/>
      <c r="HC408" s="105"/>
      <c r="HD408" s="105"/>
      <c r="HE408" s="105"/>
      <c r="HF408" s="105"/>
      <c r="HG408" s="105"/>
      <c r="HH408" s="105"/>
      <c r="HI408" s="105"/>
      <c r="HJ408" s="105"/>
      <c r="HK408" s="105"/>
      <c r="HL408" s="105"/>
      <c r="HM408" s="105"/>
      <c r="HN408" s="105"/>
      <c r="HO408" s="105"/>
      <c r="HP408" s="105"/>
      <c r="HQ408" s="105"/>
      <c r="HR408" s="105"/>
      <c r="HS408" s="105"/>
      <c r="HT408" s="105"/>
      <c r="HU408" s="105"/>
      <c r="HV408" s="105"/>
      <c r="HW408" s="105"/>
      <c r="HX408" s="105"/>
      <c r="HY408" s="105"/>
      <c r="HZ408" s="105"/>
      <c r="IA408" s="105"/>
      <c r="IB408" s="105"/>
      <c r="IC408" s="105"/>
      <c r="ID408" s="105"/>
      <c r="IE408" s="105"/>
      <c r="IF408" s="105"/>
      <c r="IG408" s="105"/>
      <c r="IH408" s="105"/>
      <c r="II408" s="105"/>
      <c r="IJ408" s="105"/>
      <c r="IK408" s="105"/>
      <c r="IL408" s="105"/>
      <c r="IM408" s="105"/>
      <c r="IN408" s="105"/>
      <c r="IO408" s="105"/>
      <c r="IP408" s="105"/>
      <c r="IQ408" s="105"/>
      <c r="IR408" s="105"/>
      <c r="IS408" s="105"/>
    </row>
    <row r="409" spans="1:253">
      <c r="A409" s="116"/>
      <c r="B409" s="105"/>
      <c r="C409" s="116"/>
      <c r="D409" s="116"/>
      <c r="E409" s="116"/>
      <c r="F409" s="116"/>
      <c r="G409" s="116"/>
      <c r="H409" s="116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  <c r="AU409" s="105"/>
      <c r="AV409" s="105"/>
      <c r="AW409" s="105"/>
      <c r="AX409" s="105"/>
      <c r="AY409" s="105"/>
      <c r="AZ409" s="105"/>
      <c r="BA409" s="105"/>
      <c r="BB409" s="105"/>
      <c r="BC409" s="105"/>
      <c r="BD409" s="105"/>
      <c r="BE409" s="105"/>
      <c r="BF409" s="105"/>
      <c r="BG409" s="105"/>
      <c r="BH409" s="105"/>
      <c r="BI409" s="105"/>
      <c r="BJ409" s="105"/>
      <c r="BK409" s="105"/>
      <c r="BL409" s="105"/>
      <c r="BM409" s="105"/>
      <c r="BN409" s="105"/>
      <c r="BO409" s="105"/>
      <c r="BP409" s="105"/>
      <c r="BQ409" s="105"/>
      <c r="BR409" s="105"/>
      <c r="BS409" s="105"/>
      <c r="BT409" s="105"/>
      <c r="BU409" s="105"/>
      <c r="BV409" s="105"/>
      <c r="BW409" s="105"/>
      <c r="BX409" s="105"/>
      <c r="BY409" s="105"/>
      <c r="BZ409" s="105"/>
      <c r="CA409" s="105"/>
      <c r="CB409" s="105"/>
      <c r="CC409" s="105"/>
      <c r="CD409" s="105"/>
      <c r="CE409" s="105"/>
      <c r="CF409" s="105"/>
      <c r="CG409" s="105"/>
      <c r="CH409" s="105"/>
      <c r="CI409" s="105"/>
      <c r="CJ409" s="105"/>
      <c r="CK409" s="105"/>
      <c r="CL409" s="105"/>
      <c r="CM409" s="105"/>
      <c r="CN409" s="105"/>
      <c r="CO409" s="105"/>
      <c r="CP409" s="105"/>
      <c r="CQ409" s="105"/>
      <c r="CR409" s="105"/>
      <c r="CS409" s="105"/>
      <c r="CT409" s="105"/>
      <c r="CU409" s="105"/>
      <c r="CV409" s="105"/>
      <c r="CW409" s="105"/>
      <c r="CX409" s="105"/>
      <c r="CY409" s="105"/>
      <c r="CZ409" s="105"/>
      <c r="DA409" s="105"/>
      <c r="DB409" s="105"/>
      <c r="DC409" s="105"/>
      <c r="DD409" s="105"/>
      <c r="DE409" s="105"/>
      <c r="DF409" s="105"/>
      <c r="DG409" s="105"/>
      <c r="DH409" s="105"/>
      <c r="DI409" s="105"/>
      <c r="DJ409" s="105"/>
      <c r="DK409" s="105"/>
      <c r="DL409" s="105"/>
      <c r="DM409" s="105"/>
      <c r="DN409" s="105"/>
      <c r="DO409" s="105"/>
      <c r="DP409" s="105"/>
      <c r="DQ409" s="105"/>
      <c r="DR409" s="105"/>
      <c r="DS409" s="105"/>
      <c r="DT409" s="105"/>
      <c r="DU409" s="105"/>
      <c r="DV409" s="105"/>
      <c r="DW409" s="105"/>
      <c r="DX409" s="105"/>
      <c r="DY409" s="105"/>
      <c r="DZ409" s="105"/>
      <c r="EA409" s="105"/>
      <c r="EB409" s="105"/>
      <c r="EC409" s="105"/>
      <c r="ED409" s="105"/>
      <c r="EE409" s="105"/>
      <c r="EF409" s="105"/>
      <c r="EG409" s="105"/>
      <c r="EH409" s="105"/>
      <c r="EI409" s="105"/>
      <c r="EJ409" s="105"/>
      <c r="EK409" s="105"/>
      <c r="EL409" s="105"/>
      <c r="EM409" s="105"/>
      <c r="EN409" s="105"/>
      <c r="EO409" s="105"/>
      <c r="EP409" s="105"/>
      <c r="EQ409" s="105"/>
      <c r="ER409" s="105"/>
      <c r="ES409" s="105"/>
      <c r="ET409" s="105"/>
      <c r="EU409" s="105"/>
      <c r="EV409" s="105"/>
      <c r="EW409" s="105"/>
      <c r="EX409" s="105"/>
      <c r="EY409" s="105"/>
      <c r="EZ409" s="105"/>
      <c r="FA409" s="105"/>
      <c r="FB409" s="105"/>
      <c r="FC409" s="105"/>
      <c r="FD409" s="105"/>
      <c r="FE409" s="105"/>
      <c r="FF409" s="105"/>
      <c r="FG409" s="105"/>
      <c r="FH409" s="105"/>
      <c r="FI409" s="105"/>
      <c r="FJ409" s="105"/>
      <c r="FK409" s="105"/>
      <c r="FL409" s="105"/>
      <c r="FM409" s="105"/>
      <c r="FN409" s="105"/>
      <c r="FO409" s="105"/>
      <c r="FP409" s="105"/>
      <c r="FQ409" s="105"/>
      <c r="FR409" s="105"/>
      <c r="FS409" s="105"/>
      <c r="FT409" s="105"/>
      <c r="FU409" s="105"/>
      <c r="FV409" s="105"/>
      <c r="FW409" s="105"/>
      <c r="FX409" s="105"/>
      <c r="FY409" s="105"/>
      <c r="FZ409" s="105"/>
      <c r="GA409" s="105"/>
      <c r="GB409" s="105"/>
      <c r="GC409" s="105"/>
      <c r="GD409" s="105"/>
      <c r="GE409" s="105"/>
      <c r="GF409" s="105"/>
      <c r="GG409" s="105"/>
      <c r="GH409" s="105"/>
      <c r="GI409" s="105"/>
      <c r="GJ409" s="105"/>
      <c r="GK409" s="105"/>
      <c r="GL409" s="105"/>
      <c r="GM409" s="105"/>
      <c r="GN409" s="105"/>
      <c r="GO409" s="105"/>
      <c r="GP409" s="105"/>
      <c r="GQ409" s="105"/>
      <c r="GR409" s="105"/>
      <c r="GS409" s="105"/>
      <c r="GT409" s="105"/>
      <c r="GU409" s="105"/>
      <c r="GV409" s="105"/>
      <c r="GW409" s="105"/>
      <c r="GX409" s="105"/>
      <c r="GY409" s="105"/>
      <c r="GZ409" s="105"/>
      <c r="HA409" s="105"/>
      <c r="HB409" s="105"/>
      <c r="HC409" s="105"/>
      <c r="HD409" s="105"/>
      <c r="HE409" s="105"/>
      <c r="HF409" s="105"/>
      <c r="HG409" s="105"/>
      <c r="HH409" s="105"/>
      <c r="HI409" s="105"/>
      <c r="HJ409" s="105"/>
      <c r="HK409" s="105"/>
      <c r="HL409" s="105"/>
      <c r="HM409" s="105"/>
      <c r="HN409" s="105"/>
      <c r="HO409" s="105"/>
      <c r="HP409" s="105"/>
      <c r="HQ409" s="105"/>
      <c r="HR409" s="105"/>
      <c r="HS409" s="105"/>
      <c r="HT409" s="105"/>
      <c r="HU409" s="105"/>
      <c r="HV409" s="105"/>
      <c r="HW409" s="105"/>
      <c r="HX409" s="105"/>
      <c r="HY409" s="105"/>
      <c r="HZ409" s="105"/>
      <c r="IA409" s="105"/>
      <c r="IB409" s="105"/>
      <c r="IC409" s="105"/>
      <c r="ID409" s="105"/>
      <c r="IE409" s="105"/>
      <c r="IF409" s="105"/>
      <c r="IG409" s="105"/>
      <c r="IH409" s="105"/>
      <c r="II409" s="105"/>
      <c r="IJ409" s="105"/>
      <c r="IK409" s="105"/>
      <c r="IL409" s="105"/>
      <c r="IM409" s="105"/>
      <c r="IN409" s="105"/>
      <c r="IO409" s="105"/>
      <c r="IP409" s="105"/>
      <c r="IQ409" s="105"/>
      <c r="IR409" s="105"/>
      <c r="IS409" s="105"/>
    </row>
    <row r="410" spans="1:253">
      <c r="A410" s="116"/>
      <c r="B410" s="105"/>
      <c r="C410" s="116"/>
      <c r="D410" s="116"/>
      <c r="E410" s="116"/>
      <c r="F410" s="116"/>
      <c r="G410" s="116"/>
      <c r="H410" s="116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05"/>
      <c r="BF410" s="105"/>
      <c r="BG410" s="105"/>
      <c r="BH410" s="105"/>
      <c r="BI410" s="105"/>
      <c r="BJ410" s="105"/>
      <c r="BK410" s="105"/>
      <c r="BL410" s="105"/>
      <c r="BM410" s="105"/>
      <c r="BN410" s="105"/>
      <c r="BO410" s="105"/>
      <c r="BP410" s="105"/>
      <c r="BQ410" s="105"/>
      <c r="BR410" s="105"/>
      <c r="BS410" s="105"/>
      <c r="BT410" s="105"/>
      <c r="BU410" s="105"/>
      <c r="BV410" s="105"/>
      <c r="BW410" s="105"/>
      <c r="BX410" s="105"/>
      <c r="BY410" s="105"/>
      <c r="BZ410" s="105"/>
      <c r="CA410" s="105"/>
      <c r="CB410" s="105"/>
      <c r="CC410" s="105"/>
      <c r="CD410" s="105"/>
      <c r="CE410" s="105"/>
      <c r="CF410" s="105"/>
      <c r="CG410" s="105"/>
      <c r="CH410" s="105"/>
      <c r="CI410" s="105"/>
      <c r="CJ410" s="105"/>
      <c r="CK410" s="105"/>
      <c r="CL410" s="105"/>
      <c r="CM410" s="105"/>
      <c r="CN410" s="105"/>
      <c r="CO410" s="105"/>
      <c r="CP410" s="105"/>
      <c r="CQ410" s="105"/>
      <c r="CR410" s="105"/>
      <c r="CS410" s="105"/>
      <c r="CT410" s="105"/>
      <c r="CU410" s="105"/>
      <c r="CV410" s="105"/>
      <c r="CW410" s="105"/>
      <c r="CX410" s="105"/>
      <c r="CY410" s="105"/>
      <c r="CZ410" s="105"/>
      <c r="DA410" s="105"/>
      <c r="DB410" s="105"/>
      <c r="DC410" s="105"/>
      <c r="DD410" s="105"/>
      <c r="DE410" s="105"/>
      <c r="DF410" s="105"/>
      <c r="DG410" s="105"/>
      <c r="DH410" s="105"/>
      <c r="DI410" s="105"/>
      <c r="DJ410" s="105"/>
      <c r="DK410" s="105"/>
      <c r="DL410" s="105"/>
      <c r="DM410" s="105"/>
      <c r="DN410" s="105"/>
      <c r="DO410" s="105"/>
      <c r="DP410" s="105"/>
      <c r="DQ410" s="105"/>
      <c r="DR410" s="105"/>
      <c r="DS410" s="105"/>
      <c r="DT410" s="105"/>
      <c r="DU410" s="105"/>
      <c r="DV410" s="105"/>
      <c r="DW410" s="105"/>
      <c r="DX410" s="105"/>
      <c r="DY410" s="105"/>
      <c r="DZ410" s="105"/>
      <c r="EA410" s="105"/>
      <c r="EB410" s="105"/>
      <c r="EC410" s="105"/>
      <c r="ED410" s="105"/>
      <c r="EE410" s="105"/>
      <c r="EF410" s="105"/>
      <c r="EG410" s="105"/>
      <c r="EH410" s="105"/>
      <c r="EI410" s="105"/>
      <c r="EJ410" s="105"/>
      <c r="EK410" s="105"/>
      <c r="EL410" s="105"/>
      <c r="EM410" s="105"/>
      <c r="EN410" s="105"/>
      <c r="EO410" s="105"/>
      <c r="EP410" s="105"/>
      <c r="EQ410" s="105"/>
      <c r="ER410" s="105"/>
      <c r="ES410" s="105"/>
      <c r="ET410" s="105"/>
      <c r="EU410" s="105"/>
      <c r="EV410" s="105"/>
      <c r="EW410" s="105"/>
      <c r="EX410" s="105"/>
      <c r="EY410" s="105"/>
      <c r="EZ410" s="105"/>
      <c r="FA410" s="105"/>
      <c r="FB410" s="105"/>
      <c r="FC410" s="105"/>
      <c r="FD410" s="105"/>
      <c r="FE410" s="105"/>
      <c r="FF410" s="105"/>
      <c r="FG410" s="105"/>
      <c r="FH410" s="105"/>
      <c r="FI410" s="105"/>
      <c r="FJ410" s="105"/>
      <c r="FK410" s="105"/>
      <c r="FL410" s="105"/>
      <c r="FM410" s="105"/>
      <c r="FN410" s="105"/>
      <c r="FO410" s="105"/>
      <c r="FP410" s="105"/>
      <c r="FQ410" s="105"/>
      <c r="FR410" s="105"/>
      <c r="FS410" s="105"/>
      <c r="FT410" s="105"/>
      <c r="FU410" s="105"/>
      <c r="FV410" s="105"/>
      <c r="FW410" s="105"/>
      <c r="FX410" s="105"/>
      <c r="FY410" s="105"/>
      <c r="FZ410" s="105"/>
      <c r="GA410" s="105"/>
      <c r="GB410" s="105"/>
      <c r="GC410" s="105"/>
      <c r="GD410" s="105"/>
      <c r="GE410" s="105"/>
      <c r="GF410" s="105"/>
      <c r="GG410" s="105"/>
      <c r="GH410" s="105"/>
      <c r="GI410" s="105"/>
      <c r="GJ410" s="105"/>
      <c r="GK410" s="105"/>
      <c r="GL410" s="105"/>
      <c r="GM410" s="105"/>
      <c r="GN410" s="105"/>
      <c r="GO410" s="105"/>
      <c r="GP410" s="105"/>
      <c r="GQ410" s="105"/>
      <c r="GR410" s="105"/>
      <c r="GS410" s="105"/>
      <c r="GT410" s="105"/>
      <c r="GU410" s="105"/>
      <c r="GV410" s="105"/>
      <c r="GW410" s="105"/>
      <c r="GX410" s="105"/>
      <c r="GY410" s="105"/>
      <c r="GZ410" s="105"/>
      <c r="HA410" s="105"/>
      <c r="HB410" s="105"/>
      <c r="HC410" s="105"/>
      <c r="HD410" s="105"/>
      <c r="HE410" s="105"/>
      <c r="HF410" s="105"/>
      <c r="HG410" s="105"/>
      <c r="HH410" s="105"/>
      <c r="HI410" s="105"/>
      <c r="HJ410" s="105"/>
      <c r="HK410" s="105"/>
      <c r="HL410" s="105"/>
      <c r="HM410" s="105"/>
      <c r="HN410" s="105"/>
      <c r="HO410" s="105"/>
      <c r="HP410" s="105"/>
      <c r="HQ410" s="105"/>
      <c r="HR410" s="105"/>
      <c r="HS410" s="105"/>
      <c r="HT410" s="105"/>
      <c r="HU410" s="105"/>
      <c r="HV410" s="105"/>
      <c r="HW410" s="105"/>
      <c r="HX410" s="105"/>
      <c r="HY410" s="105"/>
      <c r="HZ410" s="105"/>
      <c r="IA410" s="105"/>
      <c r="IB410" s="105"/>
      <c r="IC410" s="105"/>
      <c r="ID410" s="105"/>
      <c r="IE410" s="105"/>
      <c r="IF410" s="105"/>
      <c r="IG410" s="105"/>
      <c r="IH410" s="105"/>
      <c r="II410" s="105"/>
      <c r="IJ410" s="105"/>
      <c r="IK410" s="105"/>
      <c r="IL410" s="105"/>
      <c r="IM410" s="105"/>
      <c r="IN410" s="105"/>
      <c r="IO410" s="105"/>
      <c r="IP410" s="105"/>
      <c r="IQ410" s="105"/>
      <c r="IR410" s="105"/>
      <c r="IS410" s="105"/>
    </row>
    <row r="411" spans="1:253">
      <c r="A411" s="116"/>
      <c r="B411" s="105"/>
      <c r="C411" s="116"/>
      <c r="D411" s="116"/>
      <c r="E411" s="116"/>
      <c r="F411" s="116"/>
      <c r="G411" s="116"/>
      <c r="H411" s="116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5"/>
      <c r="BE411" s="105"/>
      <c r="BF411" s="105"/>
      <c r="BG411" s="105"/>
      <c r="BH411" s="105"/>
      <c r="BI411" s="105"/>
      <c r="BJ411" s="105"/>
      <c r="BK411" s="105"/>
      <c r="BL411" s="105"/>
      <c r="BM411" s="105"/>
      <c r="BN411" s="105"/>
      <c r="BO411" s="105"/>
      <c r="BP411" s="105"/>
      <c r="BQ411" s="105"/>
      <c r="BR411" s="105"/>
      <c r="BS411" s="105"/>
      <c r="BT411" s="105"/>
      <c r="BU411" s="105"/>
      <c r="BV411" s="105"/>
      <c r="BW411" s="105"/>
      <c r="BX411" s="105"/>
      <c r="BY411" s="105"/>
      <c r="BZ411" s="105"/>
      <c r="CA411" s="105"/>
      <c r="CB411" s="105"/>
      <c r="CC411" s="105"/>
      <c r="CD411" s="105"/>
      <c r="CE411" s="105"/>
      <c r="CF411" s="105"/>
      <c r="CG411" s="105"/>
      <c r="CH411" s="105"/>
      <c r="CI411" s="105"/>
      <c r="CJ411" s="105"/>
      <c r="CK411" s="105"/>
      <c r="CL411" s="105"/>
      <c r="CM411" s="105"/>
      <c r="CN411" s="105"/>
      <c r="CO411" s="105"/>
      <c r="CP411" s="105"/>
      <c r="CQ411" s="105"/>
      <c r="CR411" s="105"/>
      <c r="CS411" s="105"/>
      <c r="CT411" s="105"/>
      <c r="CU411" s="105"/>
      <c r="CV411" s="105"/>
      <c r="CW411" s="105"/>
      <c r="CX411" s="105"/>
      <c r="CY411" s="105"/>
      <c r="CZ411" s="105"/>
      <c r="DA411" s="105"/>
      <c r="DB411" s="105"/>
      <c r="DC411" s="105"/>
      <c r="DD411" s="105"/>
      <c r="DE411" s="105"/>
      <c r="DF411" s="105"/>
      <c r="DG411" s="105"/>
      <c r="DH411" s="105"/>
      <c r="DI411" s="105"/>
      <c r="DJ411" s="105"/>
      <c r="DK411" s="105"/>
      <c r="DL411" s="105"/>
      <c r="DM411" s="105"/>
      <c r="DN411" s="105"/>
      <c r="DO411" s="105"/>
      <c r="DP411" s="105"/>
      <c r="DQ411" s="105"/>
      <c r="DR411" s="105"/>
      <c r="DS411" s="105"/>
      <c r="DT411" s="105"/>
      <c r="DU411" s="105"/>
      <c r="DV411" s="105"/>
      <c r="DW411" s="105"/>
      <c r="DX411" s="105"/>
      <c r="DY411" s="105"/>
      <c r="DZ411" s="105"/>
      <c r="EA411" s="105"/>
      <c r="EB411" s="105"/>
      <c r="EC411" s="105"/>
      <c r="ED411" s="105"/>
      <c r="EE411" s="105"/>
      <c r="EF411" s="105"/>
      <c r="EG411" s="105"/>
      <c r="EH411" s="105"/>
      <c r="EI411" s="105"/>
      <c r="EJ411" s="105"/>
      <c r="EK411" s="105"/>
      <c r="EL411" s="105"/>
      <c r="EM411" s="105"/>
      <c r="EN411" s="105"/>
      <c r="EO411" s="105"/>
      <c r="EP411" s="105"/>
      <c r="EQ411" s="105"/>
      <c r="ER411" s="105"/>
      <c r="ES411" s="105"/>
      <c r="ET411" s="105"/>
      <c r="EU411" s="105"/>
      <c r="EV411" s="105"/>
      <c r="EW411" s="105"/>
      <c r="EX411" s="105"/>
      <c r="EY411" s="105"/>
      <c r="EZ411" s="105"/>
      <c r="FA411" s="105"/>
      <c r="FB411" s="105"/>
      <c r="FC411" s="105"/>
      <c r="FD411" s="105"/>
      <c r="FE411" s="105"/>
      <c r="FF411" s="105"/>
      <c r="FG411" s="105"/>
      <c r="FH411" s="105"/>
      <c r="FI411" s="105"/>
      <c r="FJ411" s="105"/>
      <c r="FK411" s="105"/>
      <c r="FL411" s="105"/>
      <c r="FM411" s="105"/>
      <c r="FN411" s="105"/>
      <c r="FO411" s="105"/>
      <c r="FP411" s="105"/>
      <c r="FQ411" s="105"/>
      <c r="FR411" s="105"/>
      <c r="FS411" s="105"/>
      <c r="FT411" s="105"/>
      <c r="FU411" s="105"/>
      <c r="FV411" s="105"/>
      <c r="FW411" s="105"/>
      <c r="FX411" s="105"/>
      <c r="FY411" s="105"/>
      <c r="FZ411" s="105"/>
      <c r="GA411" s="105"/>
      <c r="GB411" s="105"/>
      <c r="GC411" s="105"/>
      <c r="GD411" s="105"/>
      <c r="GE411" s="105"/>
      <c r="GF411" s="105"/>
      <c r="GG411" s="105"/>
      <c r="GH411" s="105"/>
      <c r="GI411" s="105"/>
      <c r="GJ411" s="105"/>
      <c r="GK411" s="105"/>
      <c r="GL411" s="105"/>
      <c r="GM411" s="105"/>
      <c r="GN411" s="105"/>
      <c r="GO411" s="105"/>
      <c r="GP411" s="105"/>
      <c r="GQ411" s="105"/>
      <c r="GR411" s="105"/>
      <c r="GS411" s="105"/>
      <c r="GT411" s="105"/>
      <c r="GU411" s="105"/>
      <c r="GV411" s="105"/>
      <c r="GW411" s="105"/>
      <c r="GX411" s="105"/>
      <c r="GY411" s="105"/>
      <c r="GZ411" s="105"/>
      <c r="HA411" s="105"/>
      <c r="HB411" s="105"/>
      <c r="HC411" s="105"/>
      <c r="HD411" s="105"/>
      <c r="HE411" s="105"/>
      <c r="HF411" s="105"/>
      <c r="HG411" s="105"/>
      <c r="HH411" s="105"/>
      <c r="HI411" s="105"/>
      <c r="HJ411" s="105"/>
      <c r="HK411" s="105"/>
      <c r="HL411" s="105"/>
      <c r="HM411" s="105"/>
      <c r="HN411" s="105"/>
      <c r="HO411" s="105"/>
      <c r="HP411" s="105"/>
      <c r="HQ411" s="105"/>
      <c r="HR411" s="105"/>
      <c r="HS411" s="105"/>
      <c r="HT411" s="105"/>
      <c r="HU411" s="105"/>
      <c r="HV411" s="105"/>
      <c r="HW411" s="105"/>
      <c r="HX411" s="105"/>
      <c r="HY411" s="105"/>
      <c r="HZ411" s="105"/>
      <c r="IA411" s="105"/>
      <c r="IB411" s="105"/>
      <c r="IC411" s="105"/>
      <c r="ID411" s="105"/>
      <c r="IE411" s="105"/>
      <c r="IF411" s="105"/>
      <c r="IG411" s="105"/>
      <c r="IH411" s="105"/>
      <c r="II411" s="105"/>
      <c r="IJ411" s="105"/>
      <c r="IK411" s="105"/>
      <c r="IL411" s="105"/>
      <c r="IM411" s="105"/>
      <c r="IN411" s="105"/>
      <c r="IO411" s="105"/>
      <c r="IP411" s="105"/>
      <c r="IQ411" s="105"/>
      <c r="IR411" s="105"/>
      <c r="IS411" s="105"/>
    </row>
    <row r="412" spans="1:253">
      <c r="A412" s="116"/>
      <c r="B412" s="105"/>
      <c r="C412" s="116"/>
      <c r="D412" s="116"/>
      <c r="E412" s="116"/>
      <c r="F412" s="116"/>
      <c r="G412" s="116"/>
      <c r="H412" s="116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05"/>
      <c r="BF412" s="105"/>
      <c r="BG412" s="105"/>
      <c r="BH412" s="105"/>
      <c r="BI412" s="105"/>
      <c r="BJ412" s="105"/>
      <c r="BK412" s="105"/>
      <c r="BL412" s="105"/>
      <c r="BM412" s="105"/>
      <c r="BN412" s="105"/>
      <c r="BO412" s="105"/>
      <c r="BP412" s="105"/>
      <c r="BQ412" s="105"/>
      <c r="BR412" s="105"/>
      <c r="BS412" s="105"/>
      <c r="BT412" s="105"/>
      <c r="BU412" s="105"/>
      <c r="BV412" s="105"/>
      <c r="BW412" s="105"/>
      <c r="BX412" s="105"/>
      <c r="BY412" s="105"/>
      <c r="BZ412" s="105"/>
      <c r="CA412" s="105"/>
      <c r="CB412" s="105"/>
      <c r="CC412" s="105"/>
      <c r="CD412" s="105"/>
      <c r="CE412" s="105"/>
      <c r="CF412" s="105"/>
      <c r="CG412" s="105"/>
      <c r="CH412" s="105"/>
      <c r="CI412" s="105"/>
      <c r="CJ412" s="105"/>
      <c r="CK412" s="105"/>
      <c r="CL412" s="105"/>
      <c r="CM412" s="105"/>
      <c r="CN412" s="105"/>
      <c r="CO412" s="105"/>
      <c r="CP412" s="105"/>
      <c r="CQ412" s="105"/>
      <c r="CR412" s="105"/>
      <c r="CS412" s="105"/>
      <c r="CT412" s="105"/>
      <c r="CU412" s="105"/>
      <c r="CV412" s="105"/>
      <c r="CW412" s="105"/>
      <c r="CX412" s="105"/>
      <c r="CY412" s="105"/>
      <c r="CZ412" s="105"/>
      <c r="DA412" s="105"/>
      <c r="DB412" s="105"/>
      <c r="DC412" s="105"/>
      <c r="DD412" s="105"/>
      <c r="DE412" s="105"/>
      <c r="DF412" s="105"/>
      <c r="DG412" s="105"/>
      <c r="DH412" s="105"/>
      <c r="DI412" s="105"/>
      <c r="DJ412" s="105"/>
      <c r="DK412" s="105"/>
      <c r="DL412" s="105"/>
      <c r="DM412" s="105"/>
      <c r="DN412" s="105"/>
      <c r="DO412" s="105"/>
      <c r="DP412" s="105"/>
      <c r="DQ412" s="105"/>
      <c r="DR412" s="105"/>
      <c r="DS412" s="105"/>
      <c r="DT412" s="105"/>
      <c r="DU412" s="105"/>
      <c r="DV412" s="105"/>
      <c r="DW412" s="105"/>
      <c r="DX412" s="105"/>
      <c r="DY412" s="105"/>
      <c r="DZ412" s="105"/>
      <c r="EA412" s="105"/>
      <c r="EB412" s="105"/>
      <c r="EC412" s="105"/>
      <c r="ED412" s="105"/>
      <c r="EE412" s="105"/>
      <c r="EF412" s="105"/>
      <c r="EG412" s="105"/>
      <c r="EH412" s="105"/>
      <c r="EI412" s="105"/>
      <c r="EJ412" s="105"/>
      <c r="EK412" s="105"/>
      <c r="EL412" s="105"/>
      <c r="EM412" s="105"/>
      <c r="EN412" s="105"/>
      <c r="EO412" s="105"/>
      <c r="EP412" s="105"/>
      <c r="EQ412" s="105"/>
      <c r="ER412" s="105"/>
      <c r="ES412" s="105"/>
      <c r="ET412" s="105"/>
      <c r="EU412" s="105"/>
      <c r="EV412" s="105"/>
      <c r="EW412" s="105"/>
      <c r="EX412" s="105"/>
      <c r="EY412" s="105"/>
      <c r="EZ412" s="105"/>
      <c r="FA412" s="105"/>
      <c r="FB412" s="105"/>
      <c r="FC412" s="105"/>
      <c r="FD412" s="105"/>
      <c r="FE412" s="105"/>
      <c r="FF412" s="105"/>
      <c r="FG412" s="105"/>
      <c r="FH412" s="105"/>
      <c r="FI412" s="105"/>
      <c r="FJ412" s="105"/>
      <c r="FK412" s="105"/>
      <c r="FL412" s="105"/>
      <c r="FM412" s="105"/>
      <c r="FN412" s="105"/>
      <c r="FO412" s="105"/>
      <c r="FP412" s="105"/>
      <c r="FQ412" s="105"/>
      <c r="FR412" s="105"/>
      <c r="FS412" s="105"/>
      <c r="FT412" s="105"/>
      <c r="FU412" s="105"/>
      <c r="FV412" s="105"/>
      <c r="FW412" s="105"/>
      <c r="FX412" s="105"/>
      <c r="FY412" s="105"/>
      <c r="FZ412" s="105"/>
      <c r="GA412" s="105"/>
      <c r="GB412" s="105"/>
      <c r="GC412" s="105"/>
      <c r="GD412" s="105"/>
      <c r="GE412" s="105"/>
      <c r="GF412" s="105"/>
      <c r="GG412" s="105"/>
      <c r="GH412" s="105"/>
      <c r="GI412" s="105"/>
      <c r="GJ412" s="105"/>
      <c r="GK412" s="105"/>
      <c r="GL412" s="105"/>
      <c r="GM412" s="105"/>
      <c r="GN412" s="105"/>
      <c r="GO412" s="105"/>
      <c r="GP412" s="105"/>
      <c r="GQ412" s="105"/>
      <c r="GR412" s="105"/>
      <c r="GS412" s="105"/>
      <c r="GT412" s="105"/>
      <c r="GU412" s="105"/>
      <c r="GV412" s="105"/>
      <c r="GW412" s="105"/>
      <c r="GX412" s="105"/>
      <c r="GY412" s="105"/>
      <c r="GZ412" s="105"/>
      <c r="HA412" s="105"/>
      <c r="HB412" s="105"/>
      <c r="HC412" s="105"/>
      <c r="HD412" s="105"/>
      <c r="HE412" s="105"/>
      <c r="HF412" s="105"/>
      <c r="HG412" s="105"/>
      <c r="HH412" s="105"/>
      <c r="HI412" s="105"/>
      <c r="HJ412" s="105"/>
      <c r="HK412" s="105"/>
      <c r="HL412" s="105"/>
      <c r="HM412" s="105"/>
      <c r="HN412" s="105"/>
      <c r="HO412" s="105"/>
      <c r="HP412" s="105"/>
      <c r="HQ412" s="105"/>
      <c r="HR412" s="105"/>
      <c r="HS412" s="105"/>
      <c r="HT412" s="105"/>
      <c r="HU412" s="105"/>
      <c r="HV412" s="105"/>
      <c r="HW412" s="105"/>
      <c r="HX412" s="105"/>
      <c r="HY412" s="105"/>
      <c r="HZ412" s="105"/>
      <c r="IA412" s="105"/>
      <c r="IB412" s="105"/>
      <c r="IC412" s="105"/>
      <c r="ID412" s="105"/>
      <c r="IE412" s="105"/>
      <c r="IF412" s="105"/>
      <c r="IG412" s="105"/>
      <c r="IH412" s="105"/>
      <c r="II412" s="105"/>
      <c r="IJ412" s="105"/>
      <c r="IK412" s="105"/>
      <c r="IL412" s="105"/>
      <c r="IM412" s="105"/>
      <c r="IN412" s="105"/>
      <c r="IO412" s="105"/>
      <c r="IP412" s="105"/>
      <c r="IQ412" s="105"/>
      <c r="IR412" s="105"/>
      <c r="IS412" s="105"/>
    </row>
    <row r="413" spans="1:253">
      <c r="A413" s="116"/>
      <c r="B413" s="105"/>
      <c r="C413" s="116"/>
      <c r="D413" s="116"/>
      <c r="E413" s="116"/>
      <c r="F413" s="116"/>
      <c r="G413" s="116"/>
      <c r="H413" s="116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  <c r="AU413" s="105"/>
      <c r="AV413" s="105"/>
      <c r="AW413" s="105"/>
      <c r="AX413" s="105"/>
      <c r="AY413" s="105"/>
      <c r="AZ413" s="105"/>
      <c r="BA413" s="105"/>
      <c r="BB413" s="105"/>
      <c r="BC413" s="105"/>
      <c r="BD413" s="105"/>
      <c r="BE413" s="105"/>
      <c r="BF413" s="105"/>
      <c r="BG413" s="105"/>
      <c r="BH413" s="105"/>
      <c r="BI413" s="105"/>
      <c r="BJ413" s="105"/>
      <c r="BK413" s="105"/>
      <c r="BL413" s="105"/>
      <c r="BM413" s="105"/>
      <c r="BN413" s="105"/>
      <c r="BO413" s="105"/>
      <c r="BP413" s="105"/>
      <c r="BQ413" s="105"/>
      <c r="BR413" s="105"/>
      <c r="BS413" s="105"/>
      <c r="BT413" s="105"/>
      <c r="BU413" s="105"/>
      <c r="BV413" s="105"/>
      <c r="BW413" s="105"/>
      <c r="BX413" s="105"/>
      <c r="BY413" s="105"/>
      <c r="BZ413" s="105"/>
      <c r="CA413" s="105"/>
      <c r="CB413" s="105"/>
      <c r="CC413" s="105"/>
      <c r="CD413" s="105"/>
      <c r="CE413" s="105"/>
      <c r="CF413" s="105"/>
      <c r="CG413" s="105"/>
      <c r="CH413" s="105"/>
      <c r="CI413" s="105"/>
      <c r="CJ413" s="105"/>
      <c r="CK413" s="105"/>
      <c r="CL413" s="105"/>
      <c r="CM413" s="105"/>
      <c r="CN413" s="105"/>
      <c r="CO413" s="105"/>
      <c r="CP413" s="105"/>
      <c r="CQ413" s="105"/>
      <c r="CR413" s="105"/>
      <c r="CS413" s="105"/>
      <c r="CT413" s="105"/>
      <c r="CU413" s="105"/>
      <c r="CV413" s="105"/>
      <c r="CW413" s="105"/>
      <c r="CX413" s="105"/>
      <c r="CY413" s="105"/>
      <c r="CZ413" s="105"/>
      <c r="DA413" s="105"/>
      <c r="DB413" s="105"/>
      <c r="DC413" s="105"/>
      <c r="DD413" s="105"/>
      <c r="DE413" s="105"/>
      <c r="DF413" s="105"/>
      <c r="DG413" s="105"/>
      <c r="DH413" s="105"/>
      <c r="DI413" s="105"/>
      <c r="DJ413" s="105"/>
      <c r="DK413" s="105"/>
      <c r="DL413" s="105"/>
      <c r="DM413" s="105"/>
      <c r="DN413" s="105"/>
      <c r="DO413" s="105"/>
      <c r="DP413" s="105"/>
      <c r="DQ413" s="105"/>
      <c r="DR413" s="105"/>
      <c r="DS413" s="105"/>
      <c r="DT413" s="105"/>
      <c r="DU413" s="105"/>
      <c r="DV413" s="105"/>
      <c r="DW413" s="105"/>
      <c r="DX413" s="105"/>
      <c r="DY413" s="105"/>
      <c r="DZ413" s="105"/>
      <c r="EA413" s="105"/>
      <c r="EB413" s="105"/>
      <c r="EC413" s="105"/>
      <c r="ED413" s="105"/>
      <c r="EE413" s="105"/>
      <c r="EF413" s="105"/>
      <c r="EG413" s="105"/>
      <c r="EH413" s="105"/>
      <c r="EI413" s="105"/>
      <c r="EJ413" s="105"/>
      <c r="EK413" s="105"/>
      <c r="EL413" s="105"/>
      <c r="EM413" s="105"/>
      <c r="EN413" s="105"/>
      <c r="EO413" s="105"/>
      <c r="EP413" s="105"/>
      <c r="EQ413" s="105"/>
      <c r="ER413" s="105"/>
      <c r="ES413" s="105"/>
      <c r="ET413" s="105"/>
      <c r="EU413" s="105"/>
      <c r="EV413" s="105"/>
      <c r="EW413" s="105"/>
      <c r="EX413" s="105"/>
      <c r="EY413" s="105"/>
      <c r="EZ413" s="105"/>
      <c r="FA413" s="105"/>
      <c r="FB413" s="105"/>
      <c r="FC413" s="105"/>
      <c r="FD413" s="105"/>
      <c r="FE413" s="105"/>
      <c r="FF413" s="105"/>
      <c r="FG413" s="105"/>
      <c r="FH413" s="105"/>
      <c r="FI413" s="105"/>
      <c r="FJ413" s="105"/>
      <c r="FK413" s="105"/>
      <c r="FL413" s="105"/>
      <c r="FM413" s="105"/>
      <c r="FN413" s="105"/>
      <c r="FO413" s="105"/>
      <c r="FP413" s="105"/>
      <c r="FQ413" s="105"/>
      <c r="FR413" s="105"/>
      <c r="FS413" s="105"/>
      <c r="FT413" s="105"/>
      <c r="FU413" s="105"/>
      <c r="FV413" s="105"/>
      <c r="FW413" s="105"/>
      <c r="FX413" s="105"/>
      <c r="FY413" s="105"/>
      <c r="FZ413" s="105"/>
      <c r="GA413" s="105"/>
      <c r="GB413" s="105"/>
      <c r="GC413" s="105"/>
      <c r="GD413" s="105"/>
      <c r="GE413" s="105"/>
      <c r="GF413" s="105"/>
      <c r="GG413" s="105"/>
      <c r="GH413" s="105"/>
      <c r="GI413" s="105"/>
      <c r="GJ413" s="105"/>
      <c r="GK413" s="105"/>
      <c r="GL413" s="105"/>
      <c r="GM413" s="105"/>
      <c r="GN413" s="105"/>
      <c r="GO413" s="105"/>
      <c r="GP413" s="105"/>
      <c r="GQ413" s="105"/>
      <c r="GR413" s="105"/>
      <c r="GS413" s="105"/>
      <c r="GT413" s="105"/>
      <c r="GU413" s="105"/>
      <c r="GV413" s="105"/>
      <c r="GW413" s="105"/>
      <c r="GX413" s="105"/>
      <c r="GY413" s="105"/>
      <c r="GZ413" s="105"/>
      <c r="HA413" s="105"/>
      <c r="HB413" s="105"/>
      <c r="HC413" s="105"/>
      <c r="HD413" s="105"/>
      <c r="HE413" s="105"/>
      <c r="HF413" s="105"/>
      <c r="HG413" s="105"/>
      <c r="HH413" s="105"/>
      <c r="HI413" s="105"/>
      <c r="HJ413" s="105"/>
      <c r="HK413" s="105"/>
      <c r="HL413" s="105"/>
      <c r="HM413" s="105"/>
      <c r="HN413" s="105"/>
      <c r="HO413" s="105"/>
      <c r="HP413" s="105"/>
      <c r="HQ413" s="105"/>
      <c r="HR413" s="105"/>
      <c r="HS413" s="105"/>
      <c r="HT413" s="105"/>
      <c r="HU413" s="105"/>
      <c r="HV413" s="105"/>
      <c r="HW413" s="105"/>
      <c r="HX413" s="105"/>
      <c r="HY413" s="105"/>
      <c r="HZ413" s="105"/>
      <c r="IA413" s="105"/>
      <c r="IB413" s="105"/>
      <c r="IC413" s="105"/>
      <c r="ID413" s="105"/>
      <c r="IE413" s="105"/>
      <c r="IF413" s="105"/>
      <c r="IG413" s="105"/>
      <c r="IH413" s="105"/>
      <c r="II413" s="105"/>
      <c r="IJ413" s="105"/>
      <c r="IK413" s="105"/>
      <c r="IL413" s="105"/>
      <c r="IM413" s="105"/>
      <c r="IN413" s="105"/>
      <c r="IO413" s="105"/>
      <c r="IP413" s="105"/>
      <c r="IQ413" s="105"/>
      <c r="IR413" s="105"/>
      <c r="IS413" s="105"/>
    </row>
    <row r="414" spans="1:253">
      <c r="A414" s="116"/>
      <c r="B414" s="105"/>
      <c r="C414" s="116"/>
      <c r="D414" s="116"/>
      <c r="E414" s="116"/>
      <c r="F414" s="116"/>
      <c r="G414" s="116"/>
      <c r="H414" s="116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05"/>
      <c r="BF414" s="105"/>
      <c r="BG414" s="105"/>
      <c r="BH414" s="105"/>
      <c r="BI414" s="105"/>
      <c r="BJ414" s="105"/>
      <c r="BK414" s="105"/>
      <c r="BL414" s="105"/>
      <c r="BM414" s="105"/>
      <c r="BN414" s="105"/>
      <c r="BO414" s="105"/>
      <c r="BP414" s="105"/>
      <c r="BQ414" s="105"/>
      <c r="BR414" s="105"/>
      <c r="BS414" s="105"/>
      <c r="BT414" s="105"/>
      <c r="BU414" s="105"/>
      <c r="BV414" s="105"/>
      <c r="BW414" s="105"/>
      <c r="BX414" s="105"/>
      <c r="BY414" s="105"/>
      <c r="BZ414" s="105"/>
      <c r="CA414" s="105"/>
      <c r="CB414" s="105"/>
      <c r="CC414" s="105"/>
      <c r="CD414" s="105"/>
      <c r="CE414" s="105"/>
      <c r="CF414" s="105"/>
      <c r="CG414" s="105"/>
      <c r="CH414" s="105"/>
      <c r="CI414" s="105"/>
      <c r="CJ414" s="105"/>
      <c r="CK414" s="105"/>
      <c r="CL414" s="105"/>
      <c r="CM414" s="105"/>
      <c r="CN414" s="105"/>
      <c r="CO414" s="105"/>
      <c r="CP414" s="105"/>
      <c r="CQ414" s="105"/>
      <c r="CR414" s="105"/>
      <c r="CS414" s="105"/>
      <c r="CT414" s="105"/>
      <c r="CU414" s="105"/>
      <c r="CV414" s="105"/>
      <c r="CW414" s="105"/>
      <c r="CX414" s="105"/>
      <c r="CY414" s="105"/>
      <c r="CZ414" s="105"/>
      <c r="DA414" s="105"/>
      <c r="DB414" s="105"/>
      <c r="DC414" s="105"/>
      <c r="DD414" s="105"/>
      <c r="DE414" s="105"/>
      <c r="DF414" s="105"/>
      <c r="DG414" s="105"/>
      <c r="DH414" s="105"/>
      <c r="DI414" s="105"/>
      <c r="DJ414" s="105"/>
      <c r="DK414" s="105"/>
      <c r="DL414" s="105"/>
      <c r="DM414" s="105"/>
      <c r="DN414" s="105"/>
      <c r="DO414" s="105"/>
      <c r="DP414" s="105"/>
      <c r="DQ414" s="105"/>
      <c r="DR414" s="105"/>
      <c r="DS414" s="105"/>
      <c r="DT414" s="105"/>
      <c r="DU414" s="105"/>
      <c r="DV414" s="105"/>
      <c r="DW414" s="105"/>
      <c r="DX414" s="105"/>
      <c r="DY414" s="105"/>
      <c r="DZ414" s="105"/>
      <c r="EA414" s="105"/>
      <c r="EB414" s="105"/>
      <c r="EC414" s="105"/>
      <c r="ED414" s="105"/>
      <c r="EE414" s="105"/>
      <c r="EF414" s="105"/>
      <c r="EG414" s="105"/>
      <c r="EH414" s="105"/>
      <c r="EI414" s="105"/>
      <c r="EJ414" s="105"/>
      <c r="EK414" s="105"/>
      <c r="EL414" s="105"/>
      <c r="EM414" s="105"/>
      <c r="EN414" s="105"/>
      <c r="EO414" s="105"/>
      <c r="EP414" s="105"/>
      <c r="EQ414" s="105"/>
      <c r="ER414" s="105"/>
      <c r="ES414" s="105"/>
      <c r="ET414" s="105"/>
      <c r="EU414" s="105"/>
      <c r="EV414" s="105"/>
      <c r="EW414" s="105"/>
      <c r="EX414" s="105"/>
      <c r="EY414" s="105"/>
      <c r="EZ414" s="105"/>
      <c r="FA414" s="105"/>
      <c r="FB414" s="105"/>
      <c r="FC414" s="105"/>
      <c r="FD414" s="105"/>
      <c r="FE414" s="105"/>
      <c r="FF414" s="105"/>
      <c r="FG414" s="105"/>
      <c r="FH414" s="105"/>
      <c r="FI414" s="105"/>
      <c r="FJ414" s="105"/>
      <c r="FK414" s="105"/>
      <c r="FL414" s="105"/>
      <c r="FM414" s="105"/>
      <c r="FN414" s="105"/>
      <c r="FO414" s="105"/>
      <c r="FP414" s="105"/>
      <c r="FQ414" s="105"/>
      <c r="FR414" s="105"/>
      <c r="FS414" s="105"/>
      <c r="FT414" s="105"/>
      <c r="FU414" s="105"/>
      <c r="FV414" s="105"/>
      <c r="FW414" s="105"/>
      <c r="FX414" s="105"/>
      <c r="FY414" s="105"/>
      <c r="FZ414" s="105"/>
      <c r="GA414" s="105"/>
      <c r="GB414" s="105"/>
      <c r="GC414" s="105"/>
      <c r="GD414" s="105"/>
      <c r="GE414" s="105"/>
      <c r="GF414" s="105"/>
      <c r="GG414" s="105"/>
      <c r="GH414" s="105"/>
      <c r="GI414" s="105"/>
      <c r="GJ414" s="105"/>
      <c r="GK414" s="105"/>
      <c r="GL414" s="105"/>
      <c r="GM414" s="105"/>
      <c r="GN414" s="105"/>
      <c r="GO414" s="105"/>
      <c r="GP414" s="105"/>
      <c r="GQ414" s="105"/>
      <c r="GR414" s="105"/>
      <c r="GS414" s="105"/>
      <c r="GT414" s="105"/>
      <c r="GU414" s="105"/>
      <c r="GV414" s="105"/>
      <c r="GW414" s="105"/>
      <c r="GX414" s="105"/>
      <c r="GY414" s="105"/>
      <c r="GZ414" s="105"/>
      <c r="HA414" s="105"/>
      <c r="HB414" s="105"/>
      <c r="HC414" s="105"/>
      <c r="HD414" s="105"/>
      <c r="HE414" s="105"/>
      <c r="HF414" s="105"/>
      <c r="HG414" s="105"/>
      <c r="HH414" s="105"/>
      <c r="HI414" s="105"/>
      <c r="HJ414" s="105"/>
      <c r="HK414" s="105"/>
      <c r="HL414" s="105"/>
      <c r="HM414" s="105"/>
      <c r="HN414" s="105"/>
      <c r="HO414" s="105"/>
      <c r="HP414" s="105"/>
      <c r="HQ414" s="105"/>
      <c r="HR414" s="105"/>
      <c r="HS414" s="105"/>
      <c r="HT414" s="105"/>
      <c r="HU414" s="105"/>
      <c r="HV414" s="105"/>
      <c r="HW414" s="105"/>
      <c r="HX414" s="105"/>
      <c r="HY414" s="105"/>
      <c r="HZ414" s="105"/>
      <c r="IA414" s="105"/>
      <c r="IB414" s="105"/>
      <c r="IC414" s="105"/>
      <c r="ID414" s="105"/>
      <c r="IE414" s="105"/>
      <c r="IF414" s="105"/>
      <c r="IG414" s="105"/>
      <c r="IH414" s="105"/>
      <c r="II414" s="105"/>
      <c r="IJ414" s="105"/>
      <c r="IK414" s="105"/>
      <c r="IL414" s="105"/>
      <c r="IM414" s="105"/>
      <c r="IN414" s="105"/>
      <c r="IO414" s="105"/>
      <c r="IP414" s="105"/>
      <c r="IQ414" s="105"/>
      <c r="IR414" s="105"/>
      <c r="IS414" s="105"/>
    </row>
    <row r="415" spans="1:253">
      <c r="A415" s="116"/>
      <c r="B415" s="105"/>
      <c r="C415" s="116"/>
      <c r="D415" s="116"/>
      <c r="E415" s="116"/>
      <c r="F415" s="116"/>
      <c r="G415" s="116"/>
      <c r="H415" s="116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  <c r="AU415" s="105"/>
      <c r="AV415" s="105"/>
      <c r="AW415" s="105"/>
      <c r="AX415" s="105"/>
      <c r="AY415" s="105"/>
      <c r="AZ415" s="105"/>
      <c r="BA415" s="105"/>
      <c r="BB415" s="105"/>
      <c r="BC415" s="105"/>
      <c r="BD415" s="105"/>
      <c r="BE415" s="105"/>
      <c r="BF415" s="105"/>
      <c r="BG415" s="105"/>
      <c r="BH415" s="105"/>
      <c r="BI415" s="105"/>
      <c r="BJ415" s="105"/>
      <c r="BK415" s="105"/>
      <c r="BL415" s="105"/>
      <c r="BM415" s="105"/>
      <c r="BN415" s="105"/>
      <c r="BO415" s="105"/>
      <c r="BP415" s="105"/>
      <c r="BQ415" s="105"/>
      <c r="BR415" s="105"/>
      <c r="BS415" s="105"/>
      <c r="BT415" s="105"/>
      <c r="BU415" s="105"/>
      <c r="BV415" s="105"/>
      <c r="BW415" s="105"/>
      <c r="BX415" s="105"/>
      <c r="BY415" s="105"/>
      <c r="BZ415" s="105"/>
      <c r="CA415" s="105"/>
      <c r="CB415" s="105"/>
      <c r="CC415" s="105"/>
      <c r="CD415" s="105"/>
      <c r="CE415" s="105"/>
      <c r="CF415" s="105"/>
      <c r="CG415" s="105"/>
      <c r="CH415" s="105"/>
      <c r="CI415" s="105"/>
      <c r="CJ415" s="105"/>
      <c r="CK415" s="105"/>
      <c r="CL415" s="105"/>
      <c r="CM415" s="105"/>
      <c r="CN415" s="105"/>
      <c r="CO415" s="105"/>
      <c r="CP415" s="105"/>
      <c r="CQ415" s="105"/>
      <c r="CR415" s="105"/>
      <c r="CS415" s="105"/>
      <c r="CT415" s="105"/>
      <c r="CU415" s="105"/>
      <c r="CV415" s="105"/>
      <c r="CW415" s="105"/>
      <c r="CX415" s="105"/>
      <c r="CY415" s="105"/>
      <c r="CZ415" s="105"/>
      <c r="DA415" s="105"/>
      <c r="DB415" s="105"/>
      <c r="DC415" s="105"/>
      <c r="DD415" s="105"/>
      <c r="DE415" s="105"/>
      <c r="DF415" s="105"/>
      <c r="DG415" s="105"/>
      <c r="DH415" s="105"/>
      <c r="DI415" s="105"/>
      <c r="DJ415" s="105"/>
      <c r="DK415" s="105"/>
      <c r="DL415" s="105"/>
      <c r="DM415" s="105"/>
      <c r="DN415" s="105"/>
      <c r="DO415" s="105"/>
      <c r="DP415" s="105"/>
      <c r="DQ415" s="105"/>
      <c r="DR415" s="105"/>
      <c r="DS415" s="105"/>
      <c r="DT415" s="105"/>
      <c r="DU415" s="105"/>
      <c r="DV415" s="105"/>
      <c r="DW415" s="105"/>
      <c r="DX415" s="105"/>
      <c r="DY415" s="105"/>
      <c r="DZ415" s="105"/>
      <c r="EA415" s="105"/>
      <c r="EB415" s="105"/>
      <c r="EC415" s="105"/>
      <c r="ED415" s="105"/>
      <c r="EE415" s="105"/>
      <c r="EF415" s="105"/>
      <c r="EG415" s="105"/>
      <c r="EH415" s="105"/>
      <c r="EI415" s="105"/>
      <c r="EJ415" s="105"/>
      <c r="EK415" s="105"/>
      <c r="EL415" s="105"/>
      <c r="EM415" s="105"/>
      <c r="EN415" s="105"/>
      <c r="EO415" s="105"/>
      <c r="EP415" s="105"/>
      <c r="EQ415" s="105"/>
      <c r="ER415" s="105"/>
      <c r="ES415" s="105"/>
      <c r="ET415" s="105"/>
      <c r="EU415" s="105"/>
      <c r="EV415" s="105"/>
      <c r="EW415" s="105"/>
      <c r="EX415" s="105"/>
      <c r="EY415" s="105"/>
      <c r="EZ415" s="105"/>
      <c r="FA415" s="105"/>
      <c r="FB415" s="105"/>
      <c r="FC415" s="105"/>
      <c r="FD415" s="105"/>
      <c r="FE415" s="105"/>
      <c r="FF415" s="105"/>
      <c r="FG415" s="105"/>
      <c r="FH415" s="105"/>
      <c r="FI415" s="105"/>
      <c r="FJ415" s="105"/>
      <c r="FK415" s="105"/>
      <c r="FL415" s="105"/>
      <c r="FM415" s="105"/>
      <c r="FN415" s="105"/>
      <c r="FO415" s="105"/>
      <c r="FP415" s="105"/>
      <c r="FQ415" s="105"/>
      <c r="FR415" s="105"/>
      <c r="FS415" s="105"/>
      <c r="FT415" s="105"/>
      <c r="FU415" s="105"/>
      <c r="FV415" s="105"/>
      <c r="FW415" s="105"/>
      <c r="FX415" s="105"/>
      <c r="FY415" s="105"/>
      <c r="FZ415" s="105"/>
      <c r="GA415" s="105"/>
      <c r="GB415" s="105"/>
      <c r="GC415" s="105"/>
      <c r="GD415" s="105"/>
      <c r="GE415" s="105"/>
      <c r="GF415" s="105"/>
      <c r="GG415" s="105"/>
      <c r="GH415" s="105"/>
      <c r="GI415" s="105"/>
      <c r="GJ415" s="105"/>
      <c r="GK415" s="105"/>
      <c r="GL415" s="105"/>
      <c r="GM415" s="105"/>
      <c r="GN415" s="105"/>
      <c r="GO415" s="105"/>
      <c r="GP415" s="105"/>
      <c r="GQ415" s="105"/>
      <c r="GR415" s="105"/>
      <c r="GS415" s="105"/>
      <c r="GT415" s="105"/>
      <c r="GU415" s="105"/>
      <c r="GV415" s="105"/>
      <c r="GW415" s="105"/>
      <c r="GX415" s="105"/>
      <c r="GY415" s="105"/>
      <c r="GZ415" s="105"/>
      <c r="HA415" s="105"/>
      <c r="HB415" s="105"/>
      <c r="HC415" s="105"/>
      <c r="HD415" s="105"/>
      <c r="HE415" s="105"/>
      <c r="HF415" s="105"/>
      <c r="HG415" s="105"/>
      <c r="HH415" s="105"/>
      <c r="HI415" s="105"/>
      <c r="HJ415" s="105"/>
      <c r="HK415" s="105"/>
      <c r="HL415" s="105"/>
      <c r="HM415" s="105"/>
      <c r="HN415" s="105"/>
      <c r="HO415" s="105"/>
      <c r="HP415" s="105"/>
      <c r="HQ415" s="105"/>
      <c r="HR415" s="105"/>
      <c r="HS415" s="105"/>
      <c r="HT415" s="105"/>
      <c r="HU415" s="105"/>
      <c r="HV415" s="105"/>
      <c r="HW415" s="105"/>
      <c r="HX415" s="105"/>
      <c r="HY415" s="105"/>
      <c r="HZ415" s="105"/>
      <c r="IA415" s="105"/>
      <c r="IB415" s="105"/>
      <c r="IC415" s="105"/>
      <c r="ID415" s="105"/>
      <c r="IE415" s="105"/>
      <c r="IF415" s="105"/>
      <c r="IG415" s="105"/>
      <c r="IH415" s="105"/>
      <c r="II415" s="105"/>
      <c r="IJ415" s="105"/>
      <c r="IK415" s="105"/>
      <c r="IL415" s="105"/>
      <c r="IM415" s="105"/>
      <c r="IN415" s="105"/>
      <c r="IO415" s="105"/>
      <c r="IP415" s="105"/>
      <c r="IQ415" s="105"/>
      <c r="IR415" s="105"/>
      <c r="IS415" s="105"/>
    </row>
    <row r="416" spans="1:253">
      <c r="A416" s="116"/>
      <c r="B416" s="105"/>
      <c r="C416" s="116"/>
      <c r="D416" s="116"/>
      <c r="E416" s="116"/>
      <c r="F416" s="116"/>
      <c r="G416" s="116"/>
      <c r="H416" s="116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05"/>
      <c r="BF416" s="105"/>
      <c r="BG416" s="105"/>
      <c r="BH416" s="105"/>
      <c r="BI416" s="105"/>
      <c r="BJ416" s="105"/>
      <c r="BK416" s="105"/>
      <c r="BL416" s="105"/>
      <c r="BM416" s="105"/>
      <c r="BN416" s="105"/>
      <c r="BO416" s="105"/>
      <c r="BP416" s="105"/>
      <c r="BQ416" s="105"/>
      <c r="BR416" s="105"/>
      <c r="BS416" s="105"/>
      <c r="BT416" s="105"/>
      <c r="BU416" s="105"/>
      <c r="BV416" s="105"/>
      <c r="BW416" s="105"/>
      <c r="BX416" s="105"/>
      <c r="BY416" s="105"/>
      <c r="BZ416" s="105"/>
      <c r="CA416" s="105"/>
      <c r="CB416" s="105"/>
      <c r="CC416" s="105"/>
      <c r="CD416" s="105"/>
      <c r="CE416" s="105"/>
      <c r="CF416" s="105"/>
      <c r="CG416" s="105"/>
      <c r="CH416" s="105"/>
      <c r="CI416" s="105"/>
      <c r="CJ416" s="105"/>
      <c r="CK416" s="105"/>
      <c r="CL416" s="105"/>
      <c r="CM416" s="105"/>
      <c r="CN416" s="105"/>
      <c r="CO416" s="105"/>
      <c r="CP416" s="105"/>
      <c r="CQ416" s="105"/>
      <c r="CR416" s="105"/>
      <c r="CS416" s="105"/>
      <c r="CT416" s="105"/>
      <c r="CU416" s="105"/>
      <c r="CV416" s="105"/>
      <c r="CW416" s="105"/>
      <c r="CX416" s="105"/>
      <c r="CY416" s="105"/>
      <c r="CZ416" s="105"/>
      <c r="DA416" s="105"/>
      <c r="DB416" s="105"/>
      <c r="DC416" s="105"/>
      <c r="DD416" s="105"/>
      <c r="DE416" s="105"/>
      <c r="DF416" s="105"/>
      <c r="DG416" s="105"/>
      <c r="DH416" s="105"/>
      <c r="DI416" s="105"/>
      <c r="DJ416" s="105"/>
      <c r="DK416" s="105"/>
      <c r="DL416" s="105"/>
      <c r="DM416" s="105"/>
      <c r="DN416" s="105"/>
      <c r="DO416" s="105"/>
      <c r="DP416" s="105"/>
      <c r="DQ416" s="105"/>
      <c r="DR416" s="105"/>
      <c r="DS416" s="105"/>
      <c r="DT416" s="105"/>
      <c r="DU416" s="105"/>
      <c r="DV416" s="105"/>
      <c r="DW416" s="105"/>
      <c r="DX416" s="105"/>
      <c r="DY416" s="105"/>
      <c r="DZ416" s="105"/>
      <c r="EA416" s="105"/>
      <c r="EB416" s="105"/>
      <c r="EC416" s="105"/>
      <c r="ED416" s="105"/>
      <c r="EE416" s="105"/>
      <c r="EF416" s="105"/>
      <c r="EG416" s="105"/>
      <c r="EH416" s="105"/>
      <c r="EI416" s="105"/>
      <c r="EJ416" s="105"/>
      <c r="EK416" s="105"/>
      <c r="EL416" s="105"/>
      <c r="EM416" s="105"/>
      <c r="EN416" s="105"/>
      <c r="EO416" s="105"/>
      <c r="EP416" s="105"/>
      <c r="EQ416" s="105"/>
      <c r="ER416" s="105"/>
      <c r="ES416" s="105"/>
      <c r="ET416" s="105"/>
      <c r="EU416" s="105"/>
      <c r="EV416" s="105"/>
      <c r="EW416" s="105"/>
      <c r="EX416" s="105"/>
      <c r="EY416" s="105"/>
      <c r="EZ416" s="105"/>
      <c r="FA416" s="105"/>
      <c r="FB416" s="105"/>
      <c r="FC416" s="105"/>
      <c r="FD416" s="105"/>
      <c r="FE416" s="105"/>
      <c r="FF416" s="105"/>
      <c r="FG416" s="105"/>
      <c r="FH416" s="105"/>
      <c r="FI416" s="105"/>
      <c r="FJ416" s="105"/>
      <c r="FK416" s="105"/>
      <c r="FL416" s="105"/>
      <c r="FM416" s="105"/>
      <c r="FN416" s="105"/>
      <c r="FO416" s="105"/>
      <c r="FP416" s="105"/>
      <c r="FQ416" s="105"/>
      <c r="FR416" s="105"/>
      <c r="FS416" s="105"/>
      <c r="FT416" s="105"/>
      <c r="FU416" s="105"/>
      <c r="FV416" s="105"/>
      <c r="FW416" s="105"/>
      <c r="FX416" s="105"/>
      <c r="FY416" s="105"/>
      <c r="FZ416" s="105"/>
      <c r="GA416" s="105"/>
      <c r="GB416" s="105"/>
      <c r="GC416" s="105"/>
      <c r="GD416" s="105"/>
      <c r="GE416" s="105"/>
      <c r="GF416" s="105"/>
      <c r="GG416" s="105"/>
      <c r="GH416" s="105"/>
      <c r="GI416" s="105"/>
      <c r="GJ416" s="105"/>
      <c r="GK416" s="105"/>
      <c r="GL416" s="105"/>
      <c r="GM416" s="105"/>
      <c r="GN416" s="105"/>
      <c r="GO416" s="105"/>
      <c r="GP416" s="105"/>
      <c r="GQ416" s="105"/>
      <c r="GR416" s="105"/>
      <c r="GS416" s="105"/>
      <c r="GT416" s="105"/>
      <c r="GU416" s="105"/>
      <c r="GV416" s="105"/>
      <c r="GW416" s="105"/>
      <c r="GX416" s="105"/>
      <c r="GY416" s="105"/>
      <c r="GZ416" s="105"/>
      <c r="HA416" s="105"/>
      <c r="HB416" s="105"/>
      <c r="HC416" s="105"/>
      <c r="HD416" s="105"/>
      <c r="HE416" s="105"/>
      <c r="HF416" s="105"/>
      <c r="HG416" s="105"/>
      <c r="HH416" s="105"/>
      <c r="HI416" s="105"/>
      <c r="HJ416" s="105"/>
      <c r="HK416" s="105"/>
      <c r="HL416" s="105"/>
      <c r="HM416" s="105"/>
      <c r="HN416" s="105"/>
      <c r="HO416" s="105"/>
      <c r="HP416" s="105"/>
      <c r="HQ416" s="105"/>
      <c r="HR416" s="105"/>
      <c r="HS416" s="105"/>
      <c r="HT416" s="105"/>
      <c r="HU416" s="105"/>
      <c r="HV416" s="105"/>
      <c r="HW416" s="105"/>
      <c r="HX416" s="105"/>
      <c r="HY416" s="105"/>
      <c r="HZ416" s="105"/>
      <c r="IA416" s="105"/>
      <c r="IB416" s="105"/>
      <c r="IC416" s="105"/>
      <c r="ID416" s="105"/>
      <c r="IE416" s="105"/>
      <c r="IF416" s="105"/>
      <c r="IG416" s="105"/>
      <c r="IH416" s="105"/>
      <c r="II416" s="105"/>
      <c r="IJ416" s="105"/>
      <c r="IK416" s="105"/>
      <c r="IL416" s="105"/>
      <c r="IM416" s="105"/>
      <c r="IN416" s="105"/>
      <c r="IO416" s="105"/>
      <c r="IP416" s="105"/>
      <c r="IQ416" s="105"/>
      <c r="IR416" s="105"/>
      <c r="IS416" s="105"/>
    </row>
    <row r="417" spans="1:253">
      <c r="A417" s="116"/>
      <c r="B417" s="105"/>
      <c r="C417" s="116"/>
      <c r="D417" s="116"/>
      <c r="E417" s="116"/>
      <c r="F417" s="116"/>
      <c r="G417" s="116"/>
      <c r="H417" s="116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5"/>
      <c r="BE417" s="105"/>
      <c r="BF417" s="105"/>
      <c r="BG417" s="105"/>
      <c r="BH417" s="105"/>
      <c r="BI417" s="105"/>
      <c r="BJ417" s="105"/>
      <c r="BK417" s="105"/>
      <c r="BL417" s="105"/>
      <c r="BM417" s="105"/>
      <c r="BN417" s="105"/>
      <c r="BO417" s="105"/>
      <c r="BP417" s="105"/>
      <c r="BQ417" s="105"/>
      <c r="BR417" s="105"/>
      <c r="BS417" s="105"/>
      <c r="BT417" s="105"/>
      <c r="BU417" s="105"/>
      <c r="BV417" s="105"/>
      <c r="BW417" s="105"/>
      <c r="BX417" s="105"/>
      <c r="BY417" s="105"/>
      <c r="BZ417" s="105"/>
      <c r="CA417" s="105"/>
      <c r="CB417" s="105"/>
      <c r="CC417" s="105"/>
      <c r="CD417" s="105"/>
      <c r="CE417" s="105"/>
      <c r="CF417" s="105"/>
      <c r="CG417" s="105"/>
      <c r="CH417" s="105"/>
      <c r="CI417" s="105"/>
      <c r="CJ417" s="105"/>
      <c r="CK417" s="105"/>
      <c r="CL417" s="105"/>
      <c r="CM417" s="105"/>
      <c r="CN417" s="105"/>
      <c r="CO417" s="105"/>
      <c r="CP417" s="105"/>
      <c r="CQ417" s="105"/>
      <c r="CR417" s="105"/>
      <c r="CS417" s="105"/>
      <c r="CT417" s="105"/>
      <c r="CU417" s="105"/>
      <c r="CV417" s="105"/>
      <c r="CW417" s="105"/>
      <c r="CX417" s="105"/>
      <c r="CY417" s="105"/>
      <c r="CZ417" s="105"/>
      <c r="DA417" s="105"/>
      <c r="DB417" s="105"/>
      <c r="DC417" s="105"/>
      <c r="DD417" s="105"/>
      <c r="DE417" s="105"/>
      <c r="DF417" s="105"/>
      <c r="DG417" s="105"/>
      <c r="DH417" s="105"/>
      <c r="DI417" s="105"/>
      <c r="DJ417" s="105"/>
      <c r="DK417" s="105"/>
      <c r="DL417" s="105"/>
      <c r="DM417" s="105"/>
      <c r="DN417" s="105"/>
      <c r="DO417" s="105"/>
      <c r="DP417" s="105"/>
      <c r="DQ417" s="105"/>
      <c r="DR417" s="105"/>
      <c r="DS417" s="105"/>
      <c r="DT417" s="105"/>
      <c r="DU417" s="105"/>
      <c r="DV417" s="105"/>
      <c r="DW417" s="105"/>
      <c r="DX417" s="105"/>
      <c r="DY417" s="105"/>
      <c r="DZ417" s="105"/>
      <c r="EA417" s="105"/>
      <c r="EB417" s="105"/>
      <c r="EC417" s="105"/>
      <c r="ED417" s="105"/>
      <c r="EE417" s="105"/>
      <c r="EF417" s="105"/>
      <c r="EG417" s="105"/>
      <c r="EH417" s="105"/>
      <c r="EI417" s="105"/>
      <c r="EJ417" s="105"/>
      <c r="EK417" s="105"/>
      <c r="EL417" s="105"/>
      <c r="EM417" s="105"/>
      <c r="EN417" s="105"/>
      <c r="EO417" s="105"/>
      <c r="EP417" s="105"/>
      <c r="EQ417" s="105"/>
      <c r="ER417" s="105"/>
      <c r="ES417" s="105"/>
      <c r="ET417" s="105"/>
      <c r="EU417" s="105"/>
      <c r="EV417" s="105"/>
      <c r="EW417" s="105"/>
      <c r="EX417" s="105"/>
      <c r="EY417" s="105"/>
      <c r="EZ417" s="105"/>
      <c r="FA417" s="105"/>
      <c r="FB417" s="105"/>
      <c r="FC417" s="105"/>
      <c r="FD417" s="105"/>
      <c r="FE417" s="105"/>
      <c r="FF417" s="105"/>
      <c r="FG417" s="105"/>
      <c r="FH417" s="105"/>
      <c r="FI417" s="105"/>
      <c r="FJ417" s="105"/>
      <c r="FK417" s="105"/>
      <c r="FL417" s="105"/>
      <c r="FM417" s="105"/>
      <c r="FN417" s="105"/>
      <c r="FO417" s="105"/>
      <c r="FP417" s="105"/>
      <c r="FQ417" s="105"/>
      <c r="FR417" s="105"/>
      <c r="FS417" s="105"/>
      <c r="FT417" s="105"/>
      <c r="FU417" s="105"/>
      <c r="FV417" s="105"/>
      <c r="FW417" s="105"/>
      <c r="FX417" s="105"/>
      <c r="FY417" s="105"/>
      <c r="FZ417" s="105"/>
      <c r="GA417" s="105"/>
      <c r="GB417" s="105"/>
      <c r="GC417" s="105"/>
      <c r="GD417" s="105"/>
      <c r="GE417" s="105"/>
      <c r="GF417" s="105"/>
      <c r="GG417" s="105"/>
      <c r="GH417" s="105"/>
      <c r="GI417" s="105"/>
      <c r="GJ417" s="105"/>
      <c r="GK417" s="105"/>
      <c r="GL417" s="105"/>
      <c r="GM417" s="105"/>
      <c r="GN417" s="105"/>
      <c r="GO417" s="105"/>
      <c r="GP417" s="105"/>
      <c r="GQ417" s="105"/>
      <c r="GR417" s="105"/>
      <c r="GS417" s="105"/>
      <c r="GT417" s="105"/>
      <c r="GU417" s="105"/>
      <c r="GV417" s="105"/>
      <c r="GW417" s="105"/>
      <c r="GX417" s="105"/>
      <c r="GY417" s="105"/>
      <c r="GZ417" s="105"/>
      <c r="HA417" s="105"/>
      <c r="HB417" s="105"/>
      <c r="HC417" s="105"/>
      <c r="HD417" s="105"/>
      <c r="HE417" s="105"/>
      <c r="HF417" s="105"/>
      <c r="HG417" s="105"/>
      <c r="HH417" s="105"/>
      <c r="HI417" s="105"/>
      <c r="HJ417" s="105"/>
      <c r="HK417" s="105"/>
      <c r="HL417" s="105"/>
      <c r="HM417" s="105"/>
      <c r="HN417" s="105"/>
      <c r="HO417" s="105"/>
      <c r="HP417" s="105"/>
      <c r="HQ417" s="105"/>
      <c r="HR417" s="105"/>
      <c r="HS417" s="105"/>
      <c r="HT417" s="105"/>
      <c r="HU417" s="105"/>
      <c r="HV417" s="105"/>
      <c r="HW417" s="105"/>
      <c r="HX417" s="105"/>
      <c r="HY417" s="105"/>
      <c r="HZ417" s="105"/>
      <c r="IA417" s="105"/>
      <c r="IB417" s="105"/>
      <c r="IC417" s="105"/>
      <c r="ID417" s="105"/>
      <c r="IE417" s="105"/>
      <c r="IF417" s="105"/>
      <c r="IG417" s="105"/>
      <c r="IH417" s="105"/>
      <c r="II417" s="105"/>
      <c r="IJ417" s="105"/>
      <c r="IK417" s="105"/>
      <c r="IL417" s="105"/>
      <c r="IM417" s="105"/>
      <c r="IN417" s="105"/>
      <c r="IO417" s="105"/>
      <c r="IP417" s="105"/>
      <c r="IQ417" s="105"/>
      <c r="IR417" s="105"/>
      <c r="IS417" s="105"/>
    </row>
    <row r="418" spans="1:253">
      <c r="A418" s="116"/>
      <c r="B418" s="105"/>
      <c r="C418" s="116"/>
      <c r="D418" s="116"/>
      <c r="E418" s="116"/>
      <c r="F418" s="116"/>
      <c r="G418" s="116"/>
      <c r="H418" s="116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05"/>
      <c r="BF418" s="105"/>
      <c r="BG418" s="105"/>
      <c r="BH418" s="105"/>
      <c r="BI418" s="105"/>
      <c r="BJ418" s="105"/>
      <c r="BK418" s="105"/>
      <c r="BL418" s="105"/>
      <c r="BM418" s="105"/>
      <c r="BN418" s="105"/>
      <c r="BO418" s="105"/>
      <c r="BP418" s="105"/>
      <c r="BQ418" s="105"/>
      <c r="BR418" s="105"/>
      <c r="BS418" s="105"/>
      <c r="BT418" s="105"/>
      <c r="BU418" s="105"/>
      <c r="BV418" s="105"/>
      <c r="BW418" s="105"/>
      <c r="BX418" s="105"/>
      <c r="BY418" s="105"/>
      <c r="BZ418" s="105"/>
      <c r="CA418" s="105"/>
      <c r="CB418" s="105"/>
      <c r="CC418" s="105"/>
      <c r="CD418" s="105"/>
      <c r="CE418" s="105"/>
      <c r="CF418" s="105"/>
      <c r="CG418" s="105"/>
      <c r="CH418" s="105"/>
      <c r="CI418" s="105"/>
      <c r="CJ418" s="105"/>
      <c r="CK418" s="105"/>
      <c r="CL418" s="105"/>
      <c r="CM418" s="105"/>
      <c r="CN418" s="105"/>
      <c r="CO418" s="105"/>
      <c r="CP418" s="105"/>
      <c r="CQ418" s="105"/>
      <c r="CR418" s="105"/>
      <c r="CS418" s="105"/>
      <c r="CT418" s="105"/>
      <c r="CU418" s="105"/>
      <c r="CV418" s="105"/>
      <c r="CW418" s="105"/>
      <c r="CX418" s="105"/>
      <c r="CY418" s="105"/>
      <c r="CZ418" s="105"/>
      <c r="DA418" s="105"/>
      <c r="DB418" s="105"/>
      <c r="DC418" s="105"/>
      <c r="DD418" s="105"/>
      <c r="DE418" s="105"/>
      <c r="DF418" s="105"/>
      <c r="DG418" s="105"/>
      <c r="DH418" s="105"/>
      <c r="DI418" s="105"/>
      <c r="DJ418" s="105"/>
      <c r="DK418" s="105"/>
      <c r="DL418" s="105"/>
      <c r="DM418" s="105"/>
      <c r="DN418" s="105"/>
      <c r="DO418" s="105"/>
      <c r="DP418" s="105"/>
      <c r="DQ418" s="105"/>
      <c r="DR418" s="105"/>
      <c r="DS418" s="105"/>
      <c r="DT418" s="105"/>
      <c r="DU418" s="105"/>
      <c r="DV418" s="105"/>
      <c r="DW418" s="105"/>
      <c r="DX418" s="105"/>
      <c r="DY418" s="105"/>
      <c r="DZ418" s="105"/>
      <c r="EA418" s="105"/>
      <c r="EB418" s="105"/>
      <c r="EC418" s="105"/>
      <c r="ED418" s="105"/>
      <c r="EE418" s="105"/>
      <c r="EF418" s="105"/>
      <c r="EG418" s="105"/>
      <c r="EH418" s="105"/>
      <c r="EI418" s="105"/>
      <c r="EJ418" s="105"/>
      <c r="EK418" s="105"/>
      <c r="EL418" s="105"/>
      <c r="EM418" s="105"/>
      <c r="EN418" s="105"/>
      <c r="EO418" s="105"/>
      <c r="EP418" s="105"/>
      <c r="EQ418" s="105"/>
      <c r="ER418" s="105"/>
      <c r="ES418" s="105"/>
      <c r="ET418" s="105"/>
      <c r="EU418" s="105"/>
      <c r="EV418" s="105"/>
      <c r="EW418" s="105"/>
      <c r="EX418" s="105"/>
      <c r="EY418" s="105"/>
      <c r="EZ418" s="105"/>
      <c r="FA418" s="105"/>
      <c r="FB418" s="105"/>
      <c r="FC418" s="105"/>
      <c r="FD418" s="105"/>
      <c r="FE418" s="105"/>
      <c r="FF418" s="105"/>
      <c r="FG418" s="105"/>
      <c r="FH418" s="105"/>
      <c r="FI418" s="105"/>
      <c r="FJ418" s="105"/>
      <c r="FK418" s="105"/>
      <c r="FL418" s="105"/>
      <c r="FM418" s="105"/>
      <c r="FN418" s="105"/>
      <c r="FO418" s="105"/>
      <c r="FP418" s="105"/>
      <c r="FQ418" s="105"/>
      <c r="FR418" s="105"/>
      <c r="FS418" s="105"/>
      <c r="FT418" s="105"/>
      <c r="FU418" s="105"/>
      <c r="FV418" s="105"/>
      <c r="FW418" s="105"/>
      <c r="FX418" s="105"/>
      <c r="FY418" s="105"/>
      <c r="FZ418" s="105"/>
      <c r="GA418" s="105"/>
      <c r="GB418" s="105"/>
      <c r="GC418" s="105"/>
      <c r="GD418" s="105"/>
      <c r="GE418" s="105"/>
      <c r="GF418" s="105"/>
      <c r="GG418" s="105"/>
      <c r="GH418" s="105"/>
      <c r="GI418" s="105"/>
      <c r="GJ418" s="105"/>
      <c r="GK418" s="105"/>
      <c r="GL418" s="105"/>
      <c r="GM418" s="105"/>
      <c r="GN418" s="105"/>
      <c r="GO418" s="105"/>
      <c r="GP418" s="105"/>
      <c r="GQ418" s="105"/>
      <c r="GR418" s="105"/>
      <c r="GS418" s="105"/>
      <c r="GT418" s="105"/>
      <c r="GU418" s="105"/>
      <c r="GV418" s="105"/>
      <c r="GW418" s="105"/>
      <c r="GX418" s="105"/>
      <c r="GY418" s="105"/>
      <c r="GZ418" s="105"/>
      <c r="HA418" s="105"/>
      <c r="HB418" s="105"/>
      <c r="HC418" s="105"/>
      <c r="HD418" s="105"/>
      <c r="HE418" s="105"/>
      <c r="HF418" s="105"/>
      <c r="HG418" s="105"/>
      <c r="HH418" s="105"/>
      <c r="HI418" s="105"/>
      <c r="HJ418" s="105"/>
      <c r="HK418" s="105"/>
      <c r="HL418" s="105"/>
      <c r="HM418" s="105"/>
      <c r="HN418" s="105"/>
      <c r="HO418" s="105"/>
      <c r="HP418" s="105"/>
      <c r="HQ418" s="105"/>
      <c r="HR418" s="105"/>
      <c r="HS418" s="105"/>
      <c r="HT418" s="105"/>
      <c r="HU418" s="105"/>
      <c r="HV418" s="105"/>
      <c r="HW418" s="105"/>
      <c r="HX418" s="105"/>
      <c r="HY418" s="105"/>
      <c r="HZ418" s="105"/>
      <c r="IA418" s="105"/>
      <c r="IB418" s="105"/>
      <c r="IC418" s="105"/>
      <c r="ID418" s="105"/>
      <c r="IE418" s="105"/>
      <c r="IF418" s="105"/>
      <c r="IG418" s="105"/>
      <c r="IH418" s="105"/>
      <c r="II418" s="105"/>
      <c r="IJ418" s="105"/>
      <c r="IK418" s="105"/>
      <c r="IL418" s="105"/>
      <c r="IM418" s="105"/>
      <c r="IN418" s="105"/>
      <c r="IO418" s="105"/>
      <c r="IP418" s="105"/>
      <c r="IQ418" s="105"/>
      <c r="IR418" s="105"/>
      <c r="IS418" s="105"/>
    </row>
    <row r="419" spans="1:253">
      <c r="A419" s="116"/>
      <c r="B419" s="105"/>
      <c r="C419" s="116"/>
      <c r="D419" s="116"/>
      <c r="E419" s="116"/>
      <c r="F419" s="116"/>
      <c r="G419" s="116"/>
      <c r="H419" s="116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5"/>
      <c r="BE419" s="105"/>
      <c r="BF419" s="105"/>
      <c r="BG419" s="105"/>
      <c r="BH419" s="105"/>
      <c r="BI419" s="105"/>
      <c r="BJ419" s="105"/>
      <c r="BK419" s="105"/>
      <c r="BL419" s="105"/>
      <c r="BM419" s="105"/>
      <c r="BN419" s="105"/>
      <c r="BO419" s="105"/>
      <c r="BP419" s="105"/>
      <c r="BQ419" s="105"/>
      <c r="BR419" s="105"/>
      <c r="BS419" s="105"/>
      <c r="BT419" s="105"/>
      <c r="BU419" s="105"/>
      <c r="BV419" s="105"/>
      <c r="BW419" s="105"/>
      <c r="BX419" s="105"/>
      <c r="BY419" s="105"/>
      <c r="BZ419" s="105"/>
      <c r="CA419" s="105"/>
      <c r="CB419" s="105"/>
      <c r="CC419" s="105"/>
      <c r="CD419" s="105"/>
      <c r="CE419" s="105"/>
      <c r="CF419" s="105"/>
      <c r="CG419" s="105"/>
      <c r="CH419" s="105"/>
      <c r="CI419" s="105"/>
      <c r="CJ419" s="105"/>
      <c r="CK419" s="105"/>
      <c r="CL419" s="105"/>
      <c r="CM419" s="105"/>
      <c r="CN419" s="105"/>
      <c r="CO419" s="105"/>
      <c r="CP419" s="105"/>
      <c r="CQ419" s="105"/>
      <c r="CR419" s="105"/>
      <c r="CS419" s="105"/>
      <c r="CT419" s="105"/>
      <c r="CU419" s="105"/>
      <c r="CV419" s="105"/>
      <c r="CW419" s="105"/>
      <c r="CX419" s="105"/>
      <c r="CY419" s="105"/>
      <c r="CZ419" s="105"/>
      <c r="DA419" s="105"/>
      <c r="DB419" s="105"/>
      <c r="DC419" s="105"/>
      <c r="DD419" s="105"/>
      <c r="DE419" s="105"/>
      <c r="DF419" s="105"/>
      <c r="DG419" s="105"/>
      <c r="DH419" s="105"/>
      <c r="DI419" s="105"/>
      <c r="DJ419" s="105"/>
      <c r="DK419" s="105"/>
      <c r="DL419" s="105"/>
      <c r="DM419" s="105"/>
      <c r="DN419" s="105"/>
      <c r="DO419" s="105"/>
      <c r="DP419" s="105"/>
      <c r="DQ419" s="105"/>
      <c r="DR419" s="105"/>
      <c r="DS419" s="105"/>
      <c r="DT419" s="105"/>
      <c r="DU419" s="105"/>
      <c r="DV419" s="105"/>
      <c r="DW419" s="105"/>
      <c r="DX419" s="105"/>
      <c r="DY419" s="105"/>
      <c r="DZ419" s="105"/>
      <c r="EA419" s="105"/>
      <c r="EB419" s="105"/>
      <c r="EC419" s="105"/>
      <c r="ED419" s="105"/>
      <c r="EE419" s="105"/>
      <c r="EF419" s="105"/>
      <c r="EG419" s="105"/>
      <c r="EH419" s="105"/>
      <c r="EI419" s="105"/>
      <c r="EJ419" s="105"/>
      <c r="EK419" s="105"/>
      <c r="EL419" s="105"/>
      <c r="EM419" s="105"/>
      <c r="EN419" s="105"/>
      <c r="EO419" s="105"/>
      <c r="EP419" s="105"/>
      <c r="EQ419" s="105"/>
      <c r="ER419" s="105"/>
      <c r="ES419" s="105"/>
      <c r="ET419" s="105"/>
      <c r="EU419" s="105"/>
      <c r="EV419" s="105"/>
      <c r="EW419" s="105"/>
      <c r="EX419" s="105"/>
      <c r="EY419" s="105"/>
      <c r="EZ419" s="105"/>
      <c r="FA419" s="105"/>
      <c r="FB419" s="105"/>
      <c r="FC419" s="105"/>
      <c r="FD419" s="105"/>
      <c r="FE419" s="105"/>
      <c r="FF419" s="105"/>
      <c r="FG419" s="105"/>
      <c r="FH419" s="105"/>
      <c r="FI419" s="105"/>
      <c r="FJ419" s="105"/>
      <c r="FK419" s="105"/>
      <c r="FL419" s="105"/>
      <c r="FM419" s="105"/>
      <c r="FN419" s="105"/>
      <c r="FO419" s="105"/>
      <c r="FP419" s="105"/>
      <c r="FQ419" s="105"/>
      <c r="FR419" s="105"/>
      <c r="FS419" s="105"/>
      <c r="FT419" s="105"/>
      <c r="FU419" s="105"/>
      <c r="FV419" s="105"/>
      <c r="FW419" s="105"/>
      <c r="FX419" s="105"/>
      <c r="FY419" s="105"/>
      <c r="FZ419" s="105"/>
      <c r="GA419" s="105"/>
      <c r="GB419" s="105"/>
      <c r="GC419" s="105"/>
      <c r="GD419" s="105"/>
      <c r="GE419" s="105"/>
      <c r="GF419" s="105"/>
      <c r="GG419" s="105"/>
      <c r="GH419" s="105"/>
      <c r="GI419" s="105"/>
      <c r="GJ419" s="105"/>
      <c r="GK419" s="105"/>
      <c r="GL419" s="105"/>
      <c r="GM419" s="105"/>
      <c r="GN419" s="105"/>
      <c r="GO419" s="105"/>
      <c r="GP419" s="105"/>
      <c r="GQ419" s="105"/>
      <c r="GR419" s="105"/>
      <c r="GS419" s="105"/>
      <c r="GT419" s="105"/>
      <c r="GU419" s="105"/>
      <c r="GV419" s="105"/>
      <c r="GW419" s="105"/>
      <c r="GX419" s="105"/>
      <c r="GY419" s="105"/>
      <c r="GZ419" s="105"/>
      <c r="HA419" s="105"/>
      <c r="HB419" s="105"/>
      <c r="HC419" s="105"/>
      <c r="HD419" s="105"/>
      <c r="HE419" s="105"/>
      <c r="HF419" s="105"/>
      <c r="HG419" s="105"/>
      <c r="HH419" s="105"/>
      <c r="HI419" s="105"/>
      <c r="HJ419" s="105"/>
      <c r="HK419" s="105"/>
      <c r="HL419" s="105"/>
      <c r="HM419" s="105"/>
      <c r="HN419" s="105"/>
      <c r="HO419" s="105"/>
      <c r="HP419" s="105"/>
      <c r="HQ419" s="105"/>
      <c r="HR419" s="105"/>
      <c r="HS419" s="105"/>
      <c r="HT419" s="105"/>
      <c r="HU419" s="105"/>
      <c r="HV419" s="105"/>
      <c r="HW419" s="105"/>
      <c r="HX419" s="105"/>
      <c r="HY419" s="105"/>
      <c r="HZ419" s="105"/>
      <c r="IA419" s="105"/>
      <c r="IB419" s="105"/>
      <c r="IC419" s="105"/>
      <c r="ID419" s="105"/>
      <c r="IE419" s="105"/>
      <c r="IF419" s="105"/>
      <c r="IG419" s="105"/>
      <c r="IH419" s="105"/>
      <c r="II419" s="105"/>
      <c r="IJ419" s="105"/>
      <c r="IK419" s="105"/>
      <c r="IL419" s="105"/>
      <c r="IM419" s="105"/>
      <c r="IN419" s="105"/>
      <c r="IO419" s="105"/>
      <c r="IP419" s="105"/>
      <c r="IQ419" s="105"/>
      <c r="IR419" s="105"/>
      <c r="IS419" s="105"/>
    </row>
    <row r="420" spans="1:253">
      <c r="A420" s="116"/>
      <c r="B420" s="105"/>
      <c r="C420" s="116"/>
      <c r="D420" s="116"/>
      <c r="E420" s="116"/>
      <c r="F420" s="116"/>
      <c r="G420" s="116"/>
      <c r="H420" s="116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05"/>
      <c r="BF420" s="105"/>
      <c r="BG420" s="105"/>
      <c r="BH420" s="105"/>
      <c r="BI420" s="105"/>
      <c r="BJ420" s="105"/>
      <c r="BK420" s="105"/>
      <c r="BL420" s="105"/>
      <c r="BM420" s="105"/>
      <c r="BN420" s="105"/>
      <c r="BO420" s="105"/>
      <c r="BP420" s="105"/>
      <c r="BQ420" s="105"/>
      <c r="BR420" s="105"/>
      <c r="BS420" s="105"/>
      <c r="BT420" s="105"/>
      <c r="BU420" s="105"/>
      <c r="BV420" s="105"/>
      <c r="BW420" s="105"/>
      <c r="BX420" s="105"/>
      <c r="BY420" s="105"/>
      <c r="BZ420" s="105"/>
      <c r="CA420" s="105"/>
      <c r="CB420" s="105"/>
      <c r="CC420" s="105"/>
      <c r="CD420" s="105"/>
      <c r="CE420" s="105"/>
      <c r="CF420" s="105"/>
      <c r="CG420" s="105"/>
      <c r="CH420" s="105"/>
      <c r="CI420" s="105"/>
      <c r="CJ420" s="105"/>
      <c r="CK420" s="105"/>
      <c r="CL420" s="105"/>
      <c r="CM420" s="105"/>
      <c r="CN420" s="105"/>
      <c r="CO420" s="105"/>
      <c r="CP420" s="105"/>
      <c r="CQ420" s="105"/>
      <c r="CR420" s="105"/>
      <c r="CS420" s="105"/>
      <c r="CT420" s="105"/>
      <c r="CU420" s="105"/>
      <c r="CV420" s="105"/>
      <c r="CW420" s="105"/>
      <c r="CX420" s="105"/>
      <c r="CY420" s="105"/>
      <c r="CZ420" s="105"/>
      <c r="DA420" s="105"/>
      <c r="DB420" s="105"/>
      <c r="DC420" s="105"/>
      <c r="DD420" s="105"/>
      <c r="DE420" s="105"/>
      <c r="DF420" s="105"/>
      <c r="DG420" s="105"/>
      <c r="DH420" s="105"/>
      <c r="DI420" s="105"/>
      <c r="DJ420" s="105"/>
      <c r="DK420" s="105"/>
      <c r="DL420" s="105"/>
      <c r="DM420" s="105"/>
      <c r="DN420" s="105"/>
      <c r="DO420" s="105"/>
      <c r="DP420" s="105"/>
      <c r="DQ420" s="105"/>
      <c r="DR420" s="105"/>
      <c r="DS420" s="105"/>
      <c r="DT420" s="105"/>
      <c r="DU420" s="105"/>
      <c r="DV420" s="105"/>
      <c r="DW420" s="105"/>
      <c r="DX420" s="105"/>
      <c r="DY420" s="105"/>
      <c r="DZ420" s="105"/>
      <c r="EA420" s="105"/>
      <c r="EB420" s="105"/>
      <c r="EC420" s="105"/>
      <c r="ED420" s="105"/>
      <c r="EE420" s="105"/>
      <c r="EF420" s="105"/>
      <c r="EG420" s="105"/>
      <c r="EH420" s="105"/>
      <c r="EI420" s="105"/>
      <c r="EJ420" s="105"/>
      <c r="EK420" s="105"/>
      <c r="EL420" s="105"/>
      <c r="EM420" s="105"/>
      <c r="EN420" s="105"/>
      <c r="EO420" s="105"/>
      <c r="EP420" s="105"/>
      <c r="EQ420" s="105"/>
      <c r="ER420" s="105"/>
      <c r="ES420" s="105"/>
      <c r="ET420" s="105"/>
      <c r="EU420" s="105"/>
      <c r="EV420" s="105"/>
      <c r="EW420" s="105"/>
      <c r="EX420" s="105"/>
      <c r="EY420" s="105"/>
      <c r="EZ420" s="105"/>
      <c r="FA420" s="105"/>
      <c r="FB420" s="105"/>
      <c r="FC420" s="105"/>
      <c r="FD420" s="105"/>
      <c r="FE420" s="105"/>
      <c r="FF420" s="105"/>
      <c r="FG420" s="105"/>
      <c r="FH420" s="105"/>
      <c r="FI420" s="105"/>
      <c r="FJ420" s="105"/>
      <c r="FK420" s="105"/>
      <c r="FL420" s="105"/>
      <c r="FM420" s="105"/>
      <c r="FN420" s="105"/>
      <c r="FO420" s="105"/>
      <c r="FP420" s="105"/>
      <c r="FQ420" s="105"/>
      <c r="FR420" s="105"/>
      <c r="FS420" s="105"/>
      <c r="FT420" s="105"/>
      <c r="FU420" s="105"/>
      <c r="FV420" s="105"/>
      <c r="FW420" s="105"/>
      <c r="FX420" s="105"/>
      <c r="FY420" s="105"/>
      <c r="FZ420" s="105"/>
      <c r="GA420" s="105"/>
      <c r="GB420" s="105"/>
      <c r="GC420" s="105"/>
      <c r="GD420" s="105"/>
      <c r="GE420" s="105"/>
      <c r="GF420" s="105"/>
      <c r="GG420" s="105"/>
      <c r="GH420" s="105"/>
      <c r="GI420" s="105"/>
      <c r="GJ420" s="105"/>
      <c r="GK420" s="105"/>
      <c r="GL420" s="105"/>
      <c r="GM420" s="105"/>
      <c r="GN420" s="105"/>
      <c r="GO420" s="105"/>
      <c r="GP420" s="105"/>
      <c r="GQ420" s="105"/>
      <c r="GR420" s="105"/>
      <c r="GS420" s="105"/>
      <c r="GT420" s="105"/>
      <c r="GU420" s="105"/>
      <c r="GV420" s="105"/>
      <c r="GW420" s="105"/>
      <c r="GX420" s="105"/>
      <c r="GY420" s="105"/>
      <c r="GZ420" s="105"/>
      <c r="HA420" s="105"/>
      <c r="HB420" s="105"/>
      <c r="HC420" s="105"/>
      <c r="HD420" s="105"/>
      <c r="HE420" s="105"/>
      <c r="HF420" s="105"/>
      <c r="HG420" s="105"/>
      <c r="HH420" s="105"/>
      <c r="HI420" s="105"/>
      <c r="HJ420" s="105"/>
      <c r="HK420" s="105"/>
      <c r="HL420" s="105"/>
      <c r="HM420" s="105"/>
      <c r="HN420" s="105"/>
      <c r="HO420" s="105"/>
      <c r="HP420" s="105"/>
      <c r="HQ420" s="105"/>
      <c r="HR420" s="105"/>
      <c r="HS420" s="105"/>
      <c r="HT420" s="105"/>
      <c r="HU420" s="105"/>
      <c r="HV420" s="105"/>
      <c r="HW420" s="105"/>
      <c r="HX420" s="105"/>
      <c r="HY420" s="105"/>
      <c r="HZ420" s="105"/>
      <c r="IA420" s="105"/>
      <c r="IB420" s="105"/>
      <c r="IC420" s="105"/>
      <c r="ID420" s="105"/>
      <c r="IE420" s="105"/>
      <c r="IF420" s="105"/>
      <c r="IG420" s="105"/>
      <c r="IH420" s="105"/>
      <c r="II420" s="105"/>
      <c r="IJ420" s="105"/>
      <c r="IK420" s="105"/>
      <c r="IL420" s="105"/>
      <c r="IM420" s="105"/>
      <c r="IN420" s="105"/>
      <c r="IO420" s="105"/>
      <c r="IP420" s="105"/>
      <c r="IQ420" s="105"/>
      <c r="IR420" s="105"/>
      <c r="IS420" s="105"/>
    </row>
    <row r="421" spans="1:253">
      <c r="A421" s="116"/>
      <c r="B421" s="105"/>
      <c r="C421" s="116"/>
      <c r="D421" s="116"/>
      <c r="E421" s="116"/>
      <c r="F421" s="116"/>
      <c r="G421" s="116"/>
      <c r="H421" s="116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  <c r="AU421" s="105"/>
      <c r="AV421" s="105"/>
      <c r="AW421" s="105"/>
      <c r="AX421" s="105"/>
      <c r="AY421" s="105"/>
      <c r="AZ421" s="105"/>
      <c r="BA421" s="105"/>
      <c r="BB421" s="105"/>
      <c r="BC421" s="105"/>
      <c r="BD421" s="105"/>
      <c r="BE421" s="105"/>
      <c r="BF421" s="105"/>
      <c r="BG421" s="105"/>
      <c r="BH421" s="105"/>
      <c r="BI421" s="105"/>
      <c r="BJ421" s="105"/>
      <c r="BK421" s="105"/>
      <c r="BL421" s="105"/>
      <c r="BM421" s="105"/>
      <c r="BN421" s="105"/>
      <c r="BO421" s="105"/>
      <c r="BP421" s="105"/>
      <c r="BQ421" s="105"/>
      <c r="BR421" s="105"/>
      <c r="BS421" s="105"/>
      <c r="BT421" s="105"/>
      <c r="BU421" s="105"/>
      <c r="BV421" s="105"/>
      <c r="BW421" s="105"/>
      <c r="BX421" s="105"/>
      <c r="BY421" s="105"/>
      <c r="BZ421" s="105"/>
      <c r="CA421" s="105"/>
      <c r="CB421" s="105"/>
      <c r="CC421" s="105"/>
      <c r="CD421" s="105"/>
      <c r="CE421" s="105"/>
      <c r="CF421" s="105"/>
      <c r="CG421" s="105"/>
      <c r="CH421" s="105"/>
      <c r="CI421" s="105"/>
      <c r="CJ421" s="105"/>
      <c r="CK421" s="105"/>
      <c r="CL421" s="105"/>
      <c r="CM421" s="105"/>
      <c r="CN421" s="105"/>
      <c r="CO421" s="105"/>
      <c r="CP421" s="105"/>
      <c r="CQ421" s="105"/>
      <c r="CR421" s="105"/>
      <c r="CS421" s="105"/>
      <c r="CT421" s="105"/>
      <c r="CU421" s="105"/>
      <c r="CV421" s="105"/>
      <c r="CW421" s="105"/>
      <c r="CX421" s="105"/>
      <c r="CY421" s="105"/>
      <c r="CZ421" s="105"/>
      <c r="DA421" s="105"/>
      <c r="DB421" s="105"/>
      <c r="DC421" s="105"/>
      <c r="DD421" s="105"/>
      <c r="DE421" s="105"/>
      <c r="DF421" s="105"/>
      <c r="DG421" s="105"/>
      <c r="DH421" s="105"/>
      <c r="DI421" s="105"/>
      <c r="DJ421" s="105"/>
      <c r="DK421" s="105"/>
      <c r="DL421" s="105"/>
      <c r="DM421" s="105"/>
      <c r="DN421" s="105"/>
      <c r="DO421" s="105"/>
      <c r="DP421" s="105"/>
      <c r="DQ421" s="105"/>
      <c r="DR421" s="105"/>
      <c r="DS421" s="105"/>
      <c r="DT421" s="105"/>
      <c r="DU421" s="105"/>
      <c r="DV421" s="105"/>
      <c r="DW421" s="105"/>
      <c r="DX421" s="105"/>
      <c r="DY421" s="105"/>
      <c r="DZ421" s="105"/>
      <c r="EA421" s="105"/>
      <c r="EB421" s="105"/>
      <c r="EC421" s="105"/>
      <c r="ED421" s="105"/>
      <c r="EE421" s="105"/>
      <c r="EF421" s="105"/>
      <c r="EG421" s="105"/>
      <c r="EH421" s="105"/>
      <c r="EI421" s="105"/>
      <c r="EJ421" s="105"/>
      <c r="EK421" s="105"/>
      <c r="EL421" s="105"/>
      <c r="EM421" s="105"/>
      <c r="EN421" s="105"/>
      <c r="EO421" s="105"/>
      <c r="EP421" s="105"/>
      <c r="EQ421" s="105"/>
      <c r="ER421" s="105"/>
      <c r="ES421" s="105"/>
      <c r="ET421" s="105"/>
      <c r="EU421" s="105"/>
      <c r="EV421" s="105"/>
      <c r="EW421" s="105"/>
      <c r="EX421" s="105"/>
      <c r="EY421" s="105"/>
      <c r="EZ421" s="105"/>
      <c r="FA421" s="105"/>
      <c r="FB421" s="105"/>
      <c r="FC421" s="105"/>
      <c r="FD421" s="105"/>
      <c r="FE421" s="105"/>
      <c r="FF421" s="105"/>
      <c r="FG421" s="105"/>
      <c r="FH421" s="105"/>
      <c r="FI421" s="105"/>
      <c r="FJ421" s="105"/>
      <c r="FK421" s="105"/>
      <c r="FL421" s="105"/>
      <c r="FM421" s="105"/>
      <c r="FN421" s="105"/>
      <c r="FO421" s="105"/>
      <c r="FP421" s="105"/>
      <c r="FQ421" s="105"/>
      <c r="FR421" s="105"/>
      <c r="FS421" s="105"/>
      <c r="FT421" s="105"/>
      <c r="FU421" s="105"/>
      <c r="FV421" s="105"/>
      <c r="FW421" s="105"/>
      <c r="FX421" s="105"/>
      <c r="FY421" s="105"/>
      <c r="FZ421" s="105"/>
      <c r="GA421" s="105"/>
      <c r="GB421" s="105"/>
      <c r="GC421" s="105"/>
      <c r="GD421" s="105"/>
      <c r="GE421" s="105"/>
      <c r="GF421" s="105"/>
      <c r="GG421" s="105"/>
      <c r="GH421" s="105"/>
      <c r="GI421" s="105"/>
      <c r="GJ421" s="105"/>
      <c r="GK421" s="105"/>
      <c r="GL421" s="105"/>
      <c r="GM421" s="105"/>
      <c r="GN421" s="105"/>
      <c r="GO421" s="105"/>
      <c r="GP421" s="105"/>
      <c r="GQ421" s="105"/>
      <c r="GR421" s="105"/>
      <c r="GS421" s="105"/>
      <c r="GT421" s="105"/>
      <c r="GU421" s="105"/>
      <c r="GV421" s="105"/>
      <c r="GW421" s="105"/>
      <c r="GX421" s="105"/>
      <c r="GY421" s="105"/>
      <c r="GZ421" s="105"/>
      <c r="HA421" s="105"/>
      <c r="HB421" s="105"/>
      <c r="HC421" s="105"/>
      <c r="HD421" s="105"/>
      <c r="HE421" s="105"/>
      <c r="HF421" s="105"/>
      <c r="HG421" s="105"/>
      <c r="HH421" s="105"/>
      <c r="HI421" s="105"/>
      <c r="HJ421" s="105"/>
      <c r="HK421" s="105"/>
      <c r="HL421" s="105"/>
      <c r="HM421" s="105"/>
      <c r="HN421" s="105"/>
      <c r="HO421" s="105"/>
      <c r="HP421" s="105"/>
      <c r="HQ421" s="105"/>
      <c r="HR421" s="105"/>
      <c r="HS421" s="105"/>
      <c r="HT421" s="105"/>
      <c r="HU421" s="105"/>
      <c r="HV421" s="105"/>
      <c r="HW421" s="105"/>
      <c r="HX421" s="105"/>
      <c r="HY421" s="105"/>
      <c r="HZ421" s="105"/>
      <c r="IA421" s="105"/>
      <c r="IB421" s="105"/>
      <c r="IC421" s="105"/>
      <c r="ID421" s="105"/>
      <c r="IE421" s="105"/>
      <c r="IF421" s="105"/>
      <c r="IG421" s="105"/>
      <c r="IH421" s="105"/>
      <c r="II421" s="105"/>
      <c r="IJ421" s="105"/>
      <c r="IK421" s="105"/>
      <c r="IL421" s="105"/>
      <c r="IM421" s="105"/>
      <c r="IN421" s="105"/>
      <c r="IO421" s="105"/>
      <c r="IP421" s="105"/>
      <c r="IQ421" s="105"/>
      <c r="IR421" s="105"/>
      <c r="IS421" s="105"/>
    </row>
    <row r="422" spans="1:253">
      <c r="A422" s="116"/>
      <c r="B422" s="105"/>
      <c r="C422" s="116"/>
      <c r="D422" s="116"/>
      <c r="E422" s="116"/>
      <c r="F422" s="116"/>
      <c r="G422" s="116"/>
      <c r="H422" s="116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05"/>
      <c r="BF422" s="105"/>
      <c r="BG422" s="105"/>
      <c r="BH422" s="105"/>
      <c r="BI422" s="105"/>
      <c r="BJ422" s="105"/>
      <c r="BK422" s="105"/>
      <c r="BL422" s="105"/>
      <c r="BM422" s="105"/>
      <c r="BN422" s="105"/>
      <c r="BO422" s="105"/>
      <c r="BP422" s="105"/>
      <c r="BQ422" s="105"/>
      <c r="BR422" s="105"/>
      <c r="BS422" s="105"/>
      <c r="BT422" s="105"/>
      <c r="BU422" s="105"/>
      <c r="BV422" s="105"/>
      <c r="BW422" s="105"/>
      <c r="BX422" s="105"/>
      <c r="BY422" s="105"/>
      <c r="BZ422" s="105"/>
      <c r="CA422" s="105"/>
      <c r="CB422" s="105"/>
      <c r="CC422" s="105"/>
      <c r="CD422" s="105"/>
      <c r="CE422" s="105"/>
      <c r="CF422" s="105"/>
      <c r="CG422" s="105"/>
      <c r="CH422" s="105"/>
      <c r="CI422" s="105"/>
      <c r="CJ422" s="105"/>
      <c r="CK422" s="105"/>
      <c r="CL422" s="105"/>
      <c r="CM422" s="105"/>
      <c r="CN422" s="105"/>
      <c r="CO422" s="105"/>
      <c r="CP422" s="105"/>
      <c r="CQ422" s="105"/>
      <c r="CR422" s="105"/>
      <c r="CS422" s="105"/>
      <c r="CT422" s="105"/>
      <c r="CU422" s="105"/>
      <c r="CV422" s="105"/>
      <c r="CW422" s="105"/>
      <c r="CX422" s="105"/>
      <c r="CY422" s="105"/>
      <c r="CZ422" s="105"/>
      <c r="DA422" s="105"/>
      <c r="DB422" s="105"/>
      <c r="DC422" s="105"/>
      <c r="DD422" s="105"/>
      <c r="DE422" s="105"/>
      <c r="DF422" s="105"/>
      <c r="DG422" s="105"/>
      <c r="DH422" s="105"/>
      <c r="DI422" s="105"/>
      <c r="DJ422" s="105"/>
      <c r="DK422" s="105"/>
      <c r="DL422" s="105"/>
      <c r="DM422" s="105"/>
      <c r="DN422" s="105"/>
      <c r="DO422" s="105"/>
      <c r="DP422" s="105"/>
      <c r="DQ422" s="105"/>
      <c r="DR422" s="105"/>
      <c r="DS422" s="105"/>
      <c r="DT422" s="105"/>
      <c r="DU422" s="105"/>
      <c r="DV422" s="105"/>
      <c r="DW422" s="105"/>
      <c r="DX422" s="105"/>
      <c r="DY422" s="105"/>
      <c r="DZ422" s="105"/>
      <c r="EA422" s="105"/>
      <c r="EB422" s="105"/>
      <c r="EC422" s="105"/>
      <c r="ED422" s="105"/>
      <c r="EE422" s="105"/>
      <c r="EF422" s="105"/>
      <c r="EG422" s="105"/>
      <c r="EH422" s="105"/>
      <c r="EI422" s="105"/>
      <c r="EJ422" s="105"/>
      <c r="EK422" s="105"/>
      <c r="EL422" s="105"/>
      <c r="EM422" s="105"/>
      <c r="EN422" s="105"/>
      <c r="EO422" s="105"/>
      <c r="EP422" s="105"/>
      <c r="EQ422" s="105"/>
      <c r="ER422" s="105"/>
      <c r="ES422" s="105"/>
      <c r="ET422" s="105"/>
      <c r="EU422" s="105"/>
      <c r="EV422" s="105"/>
      <c r="EW422" s="105"/>
      <c r="EX422" s="105"/>
      <c r="EY422" s="105"/>
      <c r="EZ422" s="105"/>
      <c r="FA422" s="105"/>
      <c r="FB422" s="105"/>
      <c r="FC422" s="105"/>
      <c r="FD422" s="105"/>
      <c r="FE422" s="105"/>
      <c r="FF422" s="105"/>
      <c r="FG422" s="105"/>
      <c r="FH422" s="105"/>
      <c r="FI422" s="105"/>
      <c r="FJ422" s="105"/>
      <c r="FK422" s="105"/>
      <c r="FL422" s="105"/>
      <c r="FM422" s="105"/>
      <c r="FN422" s="105"/>
      <c r="FO422" s="105"/>
      <c r="FP422" s="105"/>
      <c r="FQ422" s="105"/>
      <c r="FR422" s="105"/>
      <c r="FS422" s="105"/>
      <c r="FT422" s="105"/>
      <c r="FU422" s="105"/>
      <c r="FV422" s="105"/>
      <c r="FW422" s="105"/>
      <c r="FX422" s="105"/>
      <c r="FY422" s="105"/>
      <c r="FZ422" s="105"/>
      <c r="GA422" s="105"/>
      <c r="GB422" s="105"/>
      <c r="GC422" s="105"/>
      <c r="GD422" s="105"/>
      <c r="GE422" s="105"/>
      <c r="GF422" s="105"/>
      <c r="GG422" s="105"/>
      <c r="GH422" s="105"/>
      <c r="GI422" s="105"/>
      <c r="GJ422" s="105"/>
      <c r="GK422" s="105"/>
      <c r="GL422" s="105"/>
      <c r="GM422" s="105"/>
      <c r="GN422" s="105"/>
      <c r="GO422" s="105"/>
      <c r="GP422" s="105"/>
      <c r="GQ422" s="105"/>
      <c r="GR422" s="105"/>
      <c r="GS422" s="105"/>
      <c r="GT422" s="105"/>
      <c r="GU422" s="105"/>
      <c r="GV422" s="105"/>
      <c r="GW422" s="105"/>
      <c r="GX422" s="105"/>
      <c r="GY422" s="105"/>
      <c r="GZ422" s="105"/>
      <c r="HA422" s="105"/>
      <c r="HB422" s="105"/>
      <c r="HC422" s="105"/>
      <c r="HD422" s="105"/>
      <c r="HE422" s="105"/>
      <c r="HF422" s="105"/>
      <c r="HG422" s="105"/>
      <c r="HH422" s="105"/>
      <c r="HI422" s="105"/>
      <c r="HJ422" s="105"/>
      <c r="HK422" s="105"/>
      <c r="HL422" s="105"/>
      <c r="HM422" s="105"/>
      <c r="HN422" s="105"/>
      <c r="HO422" s="105"/>
      <c r="HP422" s="105"/>
      <c r="HQ422" s="105"/>
      <c r="HR422" s="105"/>
      <c r="HS422" s="105"/>
      <c r="HT422" s="105"/>
      <c r="HU422" s="105"/>
      <c r="HV422" s="105"/>
      <c r="HW422" s="105"/>
      <c r="HX422" s="105"/>
      <c r="HY422" s="105"/>
      <c r="HZ422" s="105"/>
      <c r="IA422" s="105"/>
      <c r="IB422" s="105"/>
      <c r="IC422" s="105"/>
      <c r="ID422" s="105"/>
      <c r="IE422" s="105"/>
      <c r="IF422" s="105"/>
      <c r="IG422" s="105"/>
      <c r="IH422" s="105"/>
      <c r="II422" s="105"/>
      <c r="IJ422" s="105"/>
      <c r="IK422" s="105"/>
      <c r="IL422" s="105"/>
      <c r="IM422" s="105"/>
      <c r="IN422" s="105"/>
      <c r="IO422" s="105"/>
      <c r="IP422" s="105"/>
      <c r="IQ422" s="105"/>
      <c r="IR422" s="105"/>
      <c r="IS422" s="105"/>
    </row>
    <row r="423" spans="1:253">
      <c r="A423" s="116"/>
      <c r="B423" s="105"/>
      <c r="C423" s="116"/>
      <c r="D423" s="116"/>
      <c r="E423" s="116"/>
      <c r="F423" s="116"/>
      <c r="G423" s="116"/>
      <c r="H423" s="116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  <c r="AU423" s="105"/>
      <c r="AV423" s="105"/>
      <c r="AW423" s="105"/>
      <c r="AX423" s="105"/>
      <c r="AY423" s="105"/>
      <c r="AZ423" s="105"/>
      <c r="BA423" s="105"/>
      <c r="BB423" s="105"/>
      <c r="BC423" s="105"/>
      <c r="BD423" s="105"/>
      <c r="BE423" s="105"/>
      <c r="BF423" s="105"/>
      <c r="BG423" s="105"/>
      <c r="BH423" s="105"/>
      <c r="BI423" s="105"/>
      <c r="BJ423" s="105"/>
      <c r="BK423" s="105"/>
      <c r="BL423" s="105"/>
      <c r="BM423" s="105"/>
      <c r="BN423" s="105"/>
      <c r="BO423" s="105"/>
      <c r="BP423" s="105"/>
      <c r="BQ423" s="105"/>
      <c r="BR423" s="105"/>
      <c r="BS423" s="105"/>
      <c r="BT423" s="105"/>
      <c r="BU423" s="105"/>
      <c r="BV423" s="105"/>
      <c r="BW423" s="105"/>
      <c r="BX423" s="105"/>
      <c r="BY423" s="105"/>
      <c r="BZ423" s="105"/>
      <c r="CA423" s="105"/>
      <c r="CB423" s="105"/>
      <c r="CC423" s="105"/>
      <c r="CD423" s="105"/>
      <c r="CE423" s="105"/>
      <c r="CF423" s="105"/>
      <c r="CG423" s="105"/>
      <c r="CH423" s="105"/>
      <c r="CI423" s="105"/>
      <c r="CJ423" s="105"/>
      <c r="CK423" s="105"/>
      <c r="CL423" s="105"/>
      <c r="CM423" s="105"/>
      <c r="CN423" s="105"/>
      <c r="CO423" s="105"/>
      <c r="CP423" s="105"/>
      <c r="CQ423" s="105"/>
      <c r="CR423" s="105"/>
      <c r="CS423" s="105"/>
      <c r="CT423" s="105"/>
      <c r="CU423" s="105"/>
      <c r="CV423" s="105"/>
      <c r="CW423" s="105"/>
      <c r="CX423" s="105"/>
      <c r="CY423" s="105"/>
      <c r="CZ423" s="105"/>
      <c r="DA423" s="105"/>
      <c r="DB423" s="105"/>
      <c r="DC423" s="105"/>
      <c r="DD423" s="105"/>
      <c r="DE423" s="105"/>
      <c r="DF423" s="105"/>
      <c r="DG423" s="105"/>
      <c r="DH423" s="105"/>
      <c r="DI423" s="105"/>
      <c r="DJ423" s="105"/>
      <c r="DK423" s="105"/>
      <c r="DL423" s="105"/>
      <c r="DM423" s="105"/>
      <c r="DN423" s="105"/>
      <c r="DO423" s="105"/>
      <c r="DP423" s="105"/>
      <c r="DQ423" s="105"/>
      <c r="DR423" s="105"/>
      <c r="DS423" s="105"/>
      <c r="DT423" s="105"/>
      <c r="DU423" s="105"/>
      <c r="DV423" s="105"/>
      <c r="DW423" s="105"/>
      <c r="DX423" s="105"/>
      <c r="DY423" s="105"/>
      <c r="DZ423" s="105"/>
      <c r="EA423" s="105"/>
      <c r="EB423" s="105"/>
      <c r="EC423" s="105"/>
      <c r="ED423" s="105"/>
      <c r="EE423" s="105"/>
      <c r="EF423" s="105"/>
      <c r="EG423" s="105"/>
      <c r="EH423" s="105"/>
      <c r="EI423" s="105"/>
      <c r="EJ423" s="105"/>
      <c r="EK423" s="105"/>
      <c r="EL423" s="105"/>
      <c r="EM423" s="105"/>
      <c r="EN423" s="105"/>
      <c r="EO423" s="105"/>
      <c r="EP423" s="105"/>
      <c r="EQ423" s="105"/>
      <c r="ER423" s="105"/>
      <c r="ES423" s="105"/>
      <c r="ET423" s="105"/>
      <c r="EU423" s="105"/>
      <c r="EV423" s="105"/>
      <c r="EW423" s="105"/>
      <c r="EX423" s="105"/>
      <c r="EY423" s="105"/>
      <c r="EZ423" s="105"/>
      <c r="FA423" s="105"/>
      <c r="FB423" s="105"/>
      <c r="FC423" s="105"/>
      <c r="FD423" s="105"/>
      <c r="FE423" s="105"/>
      <c r="FF423" s="105"/>
      <c r="FG423" s="105"/>
      <c r="FH423" s="105"/>
      <c r="FI423" s="105"/>
      <c r="FJ423" s="105"/>
      <c r="FK423" s="105"/>
      <c r="FL423" s="105"/>
      <c r="FM423" s="105"/>
      <c r="FN423" s="105"/>
      <c r="FO423" s="105"/>
      <c r="FP423" s="105"/>
      <c r="FQ423" s="105"/>
      <c r="FR423" s="105"/>
      <c r="FS423" s="105"/>
      <c r="FT423" s="105"/>
      <c r="FU423" s="105"/>
      <c r="FV423" s="105"/>
      <c r="FW423" s="105"/>
      <c r="FX423" s="105"/>
      <c r="FY423" s="105"/>
      <c r="FZ423" s="105"/>
      <c r="GA423" s="105"/>
      <c r="GB423" s="105"/>
      <c r="GC423" s="105"/>
      <c r="GD423" s="105"/>
      <c r="GE423" s="105"/>
      <c r="GF423" s="105"/>
      <c r="GG423" s="105"/>
      <c r="GH423" s="105"/>
      <c r="GI423" s="105"/>
      <c r="GJ423" s="105"/>
      <c r="GK423" s="105"/>
      <c r="GL423" s="105"/>
      <c r="GM423" s="105"/>
      <c r="GN423" s="105"/>
      <c r="GO423" s="105"/>
      <c r="GP423" s="105"/>
      <c r="GQ423" s="105"/>
      <c r="GR423" s="105"/>
      <c r="GS423" s="105"/>
      <c r="GT423" s="105"/>
      <c r="GU423" s="105"/>
      <c r="GV423" s="105"/>
      <c r="GW423" s="105"/>
      <c r="GX423" s="105"/>
      <c r="GY423" s="105"/>
      <c r="GZ423" s="105"/>
      <c r="HA423" s="105"/>
      <c r="HB423" s="105"/>
      <c r="HC423" s="105"/>
      <c r="HD423" s="105"/>
      <c r="HE423" s="105"/>
      <c r="HF423" s="105"/>
      <c r="HG423" s="105"/>
      <c r="HH423" s="105"/>
      <c r="HI423" s="105"/>
      <c r="HJ423" s="105"/>
      <c r="HK423" s="105"/>
      <c r="HL423" s="105"/>
      <c r="HM423" s="105"/>
      <c r="HN423" s="105"/>
      <c r="HO423" s="105"/>
      <c r="HP423" s="105"/>
      <c r="HQ423" s="105"/>
      <c r="HR423" s="105"/>
      <c r="HS423" s="105"/>
      <c r="HT423" s="105"/>
      <c r="HU423" s="105"/>
      <c r="HV423" s="105"/>
      <c r="HW423" s="105"/>
      <c r="HX423" s="105"/>
      <c r="HY423" s="105"/>
      <c r="HZ423" s="105"/>
      <c r="IA423" s="105"/>
      <c r="IB423" s="105"/>
      <c r="IC423" s="105"/>
      <c r="ID423" s="105"/>
      <c r="IE423" s="105"/>
      <c r="IF423" s="105"/>
      <c r="IG423" s="105"/>
      <c r="IH423" s="105"/>
      <c r="II423" s="105"/>
      <c r="IJ423" s="105"/>
      <c r="IK423" s="105"/>
      <c r="IL423" s="105"/>
      <c r="IM423" s="105"/>
      <c r="IN423" s="105"/>
      <c r="IO423" s="105"/>
      <c r="IP423" s="105"/>
      <c r="IQ423" s="105"/>
      <c r="IR423" s="105"/>
      <c r="IS423" s="105"/>
    </row>
    <row r="424" spans="1:253">
      <c r="A424" s="116"/>
      <c r="B424" s="105"/>
      <c r="C424" s="116"/>
      <c r="D424" s="116"/>
      <c r="E424" s="116"/>
      <c r="F424" s="116"/>
      <c r="G424" s="116"/>
      <c r="H424" s="116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05"/>
      <c r="BF424" s="105"/>
      <c r="BG424" s="105"/>
      <c r="BH424" s="105"/>
      <c r="BI424" s="105"/>
      <c r="BJ424" s="105"/>
      <c r="BK424" s="105"/>
      <c r="BL424" s="105"/>
      <c r="BM424" s="105"/>
      <c r="BN424" s="105"/>
      <c r="BO424" s="105"/>
      <c r="BP424" s="105"/>
      <c r="BQ424" s="105"/>
      <c r="BR424" s="105"/>
      <c r="BS424" s="105"/>
      <c r="BT424" s="105"/>
      <c r="BU424" s="105"/>
      <c r="BV424" s="105"/>
      <c r="BW424" s="105"/>
      <c r="BX424" s="105"/>
      <c r="BY424" s="105"/>
      <c r="BZ424" s="105"/>
      <c r="CA424" s="105"/>
      <c r="CB424" s="105"/>
      <c r="CC424" s="105"/>
      <c r="CD424" s="105"/>
      <c r="CE424" s="105"/>
      <c r="CF424" s="105"/>
      <c r="CG424" s="105"/>
      <c r="CH424" s="105"/>
      <c r="CI424" s="105"/>
      <c r="CJ424" s="105"/>
      <c r="CK424" s="105"/>
      <c r="CL424" s="105"/>
      <c r="CM424" s="105"/>
      <c r="CN424" s="105"/>
      <c r="CO424" s="105"/>
      <c r="CP424" s="105"/>
      <c r="CQ424" s="105"/>
      <c r="CR424" s="105"/>
      <c r="CS424" s="105"/>
      <c r="CT424" s="105"/>
      <c r="CU424" s="105"/>
      <c r="CV424" s="105"/>
      <c r="CW424" s="105"/>
      <c r="CX424" s="105"/>
      <c r="CY424" s="105"/>
      <c r="CZ424" s="105"/>
      <c r="DA424" s="105"/>
      <c r="DB424" s="105"/>
      <c r="DC424" s="105"/>
      <c r="DD424" s="105"/>
      <c r="DE424" s="105"/>
      <c r="DF424" s="105"/>
      <c r="DG424" s="105"/>
      <c r="DH424" s="105"/>
      <c r="DI424" s="105"/>
      <c r="DJ424" s="105"/>
      <c r="DK424" s="105"/>
      <c r="DL424" s="105"/>
      <c r="DM424" s="105"/>
      <c r="DN424" s="105"/>
      <c r="DO424" s="105"/>
      <c r="DP424" s="105"/>
      <c r="DQ424" s="105"/>
      <c r="DR424" s="105"/>
      <c r="DS424" s="105"/>
      <c r="DT424" s="105"/>
      <c r="DU424" s="105"/>
      <c r="DV424" s="105"/>
      <c r="DW424" s="105"/>
      <c r="DX424" s="105"/>
      <c r="DY424" s="105"/>
      <c r="DZ424" s="105"/>
      <c r="EA424" s="105"/>
      <c r="EB424" s="105"/>
      <c r="EC424" s="105"/>
      <c r="ED424" s="105"/>
      <c r="EE424" s="105"/>
      <c r="EF424" s="105"/>
      <c r="EG424" s="105"/>
      <c r="EH424" s="105"/>
      <c r="EI424" s="105"/>
      <c r="EJ424" s="105"/>
      <c r="EK424" s="105"/>
      <c r="EL424" s="105"/>
      <c r="EM424" s="105"/>
      <c r="EN424" s="105"/>
      <c r="EO424" s="105"/>
      <c r="EP424" s="105"/>
      <c r="EQ424" s="105"/>
      <c r="ER424" s="105"/>
      <c r="ES424" s="105"/>
      <c r="ET424" s="105"/>
      <c r="EU424" s="105"/>
      <c r="EV424" s="105"/>
      <c r="EW424" s="105"/>
      <c r="EX424" s="105"/>
      <c r="EY424" s="105"/>
      <c r="EZ424" s="105"/>
      <c r="FA424" s="105"/>
      <c r="FB424" s="105"/>
      <c r="FC424" s="105"/>
      <c r="FD424" s="105"/>
      <c r="FE424" s="105"/>
      <c r="FF424" s="105"/>
      <c r="FG424" s="105"/>
      <c r="FH424" s="105"/>
      <c r="FI424" s="105"/>
      <c r="FJ424" s="105"/>
      <c r="FK424" s="105"/>
      <c r="FL424" s="105"/>
      <c r="FM424" s="105"/>
      <c r="FN424" s="105"/>
      <c r="FO424" s="105"/>
      <c r="FP424" s="105"/>
      <c r="FQ424" s="105"/>
      <c r="FR424" s="105"/>
      <c r="FS424" s="105"/>
      <c r="FT424" s="105"/>
      <c r="FU424" s="105"/>
      <c r="FV424" s="105"/>
      <c r="FW424" s="105"/>
      <c r="FX424" s="105"/>
      <c r="FY424" s="105"/>
      <c r="FZ424" s="105"/>
      <c r="GA424" s="105"/>
      <c r="GB424" s="105"/>
      <c r="GC424" s="105"/>
      <c r="GD424" s="105"/>
      <c r="GE424" s="105"/>
      <c r="GF424" s="105"/>
      <c r="GG424" s="105"/>
      <c r="GH424" s="105"/>
      <c r="GI424" s="105"/>
      <c r="GJ424" s="105"/>
      <c r="GK424" s="105"/>
      <c r="GL424" s="105"/>
      <c r="GM424" s="105"/>
      <c r="GN424" s="105"/>
      <c r="GO424" s="105"/>
      <c r="GP424" s="105"/>
      <c r="GQ424" s="105"/>
      <c r="GR424" s="105"/>
      <c r="GS424" s="105"/>
      <c r="GT424" s="105"/>
      <c r="GU424" s="105"/>
      <c r="GV424" s="105"/>
      <c r="GW424" s="105"/>
      <c r="GX424" s="105"/>
      <c r="GY424" s="105"/>
      <c r="GZ424" s="105"/>
      <c r="HA424" s="105"/>
      <c r="HB424" s="105"/>
      <c r="HC424" s="105"/>
      <c r="HD424" s="105"/>
      <c r="HE424" s="105"/>
      <c r="HF424" s="105"/>
      <c r="HG424" s="105"/>
      <c r="HH424" s="105"/>
      <c r="HI424" s="105"/>
      <c r="HJ424" s="105"/>
      <c r="HK424" s="105"/>
      <c r="HL424" s="105"/>
      <c r="HM424" s="105"/>
      <c r="HN424" s="105"/>
      <c r="HO424" s="105"/>
      <c r="HP424" s="105"/>
      <c r="HQ424" s="105"/>
      <c r="HR424" s="105"/>
      <c r="HS424" s="105"/>
      <c r="HT424" s="105"/>
      <c r="HU424" s="105"/>
      <c r="HV424" s="105"/>
      <c r="HW424" s="105"/>
      <c r="HX424" s="105"/>
      <c r="HY424" s="105"/>
      <c r="HZ424" s="105"/>
      <c r="IA424" s="105"/>
      <c r="IB424" s="105"/>
      <c r="IC424" s="105"/>
      <c r="ID424" s="105"/>
      <c r="IE424" s="105"/>
      <c r="IF424" s="105"/>
      <c r="IG424" s="105"/>
      <c r="IH424" s="105"/>
      <c r="II424" s="105"/>
      <c r="IJ424" s="105"/>
      <c r="IK424" s="105"/>
      <c r="IL424" s="105"/>
      <c r="IM424" s="105"/>
      <c r="IN424" s="105"/>
      <c r="IO424" s="105"/>
      <c r="IP424" s="105"/>
      <c r="IQ424" s="105"/>
      <c r="IR424" s="105"/>
      <c r="IS424" s="105"/>
    </row>
    <row r="425" spans="1:253">
      <c r="A425" s="116"/>
      <c r="B425" s="105"/>
      <c r="C425" s="116"/>
      <c r="D425" s="116"/>
      <c r="E425" s="116"/>
      <c r="F425" s="116"/>
      <c r="G425" s="116"/>
      <c r="H425" s="116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  <c r="AU425" s="105"/>
      <c r="AV425" s="105"/>
      <c r="AW425" s="105"/>
      <c r="AX425" s="105"/>
      <c r="AY425" s="105"/>
      <c r="AZ425" s="105"/>
      <c r="BA425" s="105"/>
      <c r="BB425" s="105"/>
      <c r="BC425" s="105"/>
      <c r="BD425" s="105"/>
      <c r="BE425" s="105"/>
      <c r="BF425" s="105"/>
      <c r="BG425" s="105"/>
      <c r="BH425" s="105"/>
      <c r="BI425" s="105"/>
      <c r="BJ425" s="105"/>
      <c r="BK425" s="105"/>
      <c r="BL425" s="105"/>
      <c r="BM425" s="105"/>
      <c r="BN425" s="105"/>
      <c r="BO425" s="105"/>
      <c r="BP425" s="105"/>
      <c r="BQ425" s="105"/>
      <c r="BR425" s="105"/>
      <c r="BS425" s="105"/>
      <c r="BT425" s="105"/>
      <c r="BU425" s="105"/>
      <c r="BV425" s="105"/>
      <c r="BW425" s="105"/>
      <c r="BX425" s="105"/>
      <c r="BY425" s="105"/>
      <c r="BZ425" s="105"/>
      <c r="CA425" s="105"/>
      <c r="CB425" s="105"/>
      <c r="CC425" s="105"/>
      <c r="CD425" s="105"/>
      <c r="CE425" s="105"/>
      <c r="CF425" s="105"/>
      <c r="CG425" s="105"/>
      <c r="CH425" s="105"/>
      <c r="CI425" s="105"/>
      <c r="CJ425" s="105"/>
      <c r="CK425" s="105"/>
      <c r="CL425" s="105"/>
      <c r="CM425" s="105"/>
      <c r="CN425" s="105"/>
      <c r="CO425" s="105"/>
      <c r="CP425" s="105"/>
      <c r="CQ425" s="105"/>
      <c r="CR425" s="105"/>
      <c r="CS425" s="105"/>
      <c r="CT425" s="105"/>
      <c r="CU425" s="105"/>
      <c r="CV425" s="105"/>
      <c r="CW425" s="105"/>
      <c r="CX425" s="105"/>
      <c r="CY425" s="105"/>
      <c r="CZ425" s="105"/>
      <c r="DA425" s="105"/>
      <c r="DB425" s="105"/>
      <c r="DC425" s="105"/>
      <c r="DD425" s="105"/>
      <c r="DE425" s="105"/>
      <c r="DF425" s="105"/>
      <c r="DG425" s="105"/>
      <c r="DH425" s="105"/>
      <c r="DI425" s="105"/>
      <c r="DJ425" s="105"/>
      <c r="DK425" s="105"/>
      <c r="DL425" s="105"/>
      <c r="DM425" s="105"/>
      <c r="DN425" s="105"/>
      <c r="DO425" s="105"/>
      <c r="DP425" s="105"/>
      <c r="DQ425" s="105"/>
      <c r="DR425" s="105"/>
      <c r="DS425" s="105"/>
      <c r="DT425" s="105"/>
      <c r="DU425" s="105"/>
      <c r="DV425" s="105"/>
      <c r="DW425" s="105"/>
      <c r="DX425" s="105"/>
      <c r="DY425" s="105"/>
      <c r="DZ425" s="105"/>
      <c r="EA425" s="105"/>
      <c r="EB425" s="105"/>
      <c r="EC425" s="105"/>
      <c r="ED425" s="105"/>
      <c r="EE425" s="105"/>
      <c r="EF425" s="105"/>
      <c r="EG425" s="105"/>
      <c r="EH425" s="105"/>
      <c r="EI425" s="105"/>
      <c r="EJ425" s="105"/>
      <c r="EK425" s="105"/>
      <c r="EL425" s="105"/>
      <c r="EM425" s="105"/>
      <c r="EN425" s="105"/>
      <c r="EO425" s="105"/>
      <c r="EP425" s="105"/>
      <c r="EQ425" s="105"/>
      <c r="ER425" s="105"/>
      <c r="ES425" s="105"/>
      <c r="ET425" s="105"/>
      <c r="EU425" s="105"/>
      <c r="EV425" s="105"/>
      <c r="EW425" s="105"/>
      <c r="EX425" s="105"/>
      <c r="EY425" s="105"/>
      <c r="EZ425" s="105"/>
      <c r="FA425" s="105"/>
      <c r="FB425" s="105"/>
      <c r="FC425" s="105"/>
      <c r="FD425" s="105"/>
      <c r="FE425" s="105"/>
      <c r="FF425" s="105"/>
      <c r="FG425" s="105"/>
      <c r="FH425" s="105"/>
      <c r="FI425" s="105"/>
      <c r="FJ425" s="105"/>
      <c r="FK425" s="105"/>
      <c r="FL425" s="105"/>
      <c r="FM425" s="105"/>
      <c r="FN425" s="105"/>
      <c r="FO425" s="105"/>
      <c r="FP425" s="105"/>
      <c r="FQ425" s="105"/>
      <c r="FR425" s="105"/>
      <c r="FS425" s="105"/>
      <c r="FT425" s="105"/>
      <c r="FU425" s="105"/>
      <c r="FV425" s="105"/>
      <c r="FW425" s="105"/>
      <c r="FX425" s="105"/>
      <c r="FY425" s="105"/>
      <c r="FZ425" s="105"/>
      <c r="GA425" s="105"/>
      <c r="GB425" s="105"/>
      <c r="GC425" s="105"/>
      <c r="GD425" s="105"/>
      <c r="GE425" s="105"/>
      <c r="GF425" s="105"/>
      <c r="GG425" s="105"/>
      <c r="GH425" s="105"/>
      <c r="GI425" s="105"/>
      <c r="GJ425" s="105"/>
      <c r="GK425" s="105"/>
      <c r="GL425" s="105"/>
      <c r="GM425" s="105"/>
      <c r="GN425" s="105"/>
      <c r="GO425" s="105"/>
      <c r="GP425" s="105"/>
      <c r="GQ425" s="105"/>
      <c r="GR425" s="105"/>
      <c r="GS425" s="105"/>
      <c r="GT425" s="105"/>
      <c r="GU425" s="105"/>
      <c r="GV425" s="105"/>
      <c r="GW425" s="105"/>
      <c r="GX425" s="105"/>
      <c r="GY425" s="105"/>
      <c r="GZ425" s="105"/>
      <c r="HA425" s="105"/>
      <c r="HB425" s="105"/>
      <c r="HC425" s="105"/>
      <c r="HD425" s="105"/>
      <c r="HE425" s="105"/>
      <c r="HF425" s="105"/>
      <c r="HG425" s="105"/>
      <c r="HH425" s="105"/>
      <c r="HI425" s="105"/>
      <c r="HJ425" s="105"/>
      <c r="HK425" s="105"/>
      <c r="HL425" s="105"/>
      <c r="HM425" s="105"/>
      <c r="HN425" s="105"/>
      <c r="HO425" s="105"/>
      <c r="HP425" s="105"/>
      <c r="HQ425" s="105"/>
      <c r="HR425" s="105"/>
      <c r="HS425" s="105"/>
      <c r="HT425" s="105"/>
      <c r="HU425" s="105"/>
      <c r="HV425" s="105"/>
      <c r="HW425" s="105"/>
      <c r="HX425" s="105"/>
      <c r="HY425" s="105"/>
      <c r="HZ425" s="105"/>
      <c r="IA425" s="105"/>
      <c r="IB425" s="105"/>
      <c r="IC425" s="105"/>
      <c r="ID425" s="105"/>
      <c r="IE425" s="105"/>
      <c r="IF425" s="105"/>
      <c r="IG425" s="105"/>
      <c r="IH425" s="105"/>
      <c r="II425" s="105"/>
      <c r="IJ425" s="105"/>
      <c r="IK425" s="105"/>
      <c r="IL425" s="105"/>
      <c r="IM425" s="105"/>
      <c r="IN425" s="105"/>
      <c r="IO425" s="105"/>
      <c r="IP425" s="105"/>
      <c r="IQ425" s="105"/>
      <c r="IR425" s="105"/>
      <c r="IS425" s="105"/>
    </row>
    <row r="426" spans="1:253">
      <c r="A426" s="116"/>
      <c r="B426" s="105"/>
      <c r="C426" s="116"/>
      <c r="D426" s="116"/>
      <c r="E426" s="116"/>
      <c r="F426" s="116"/>
      <c r="G426" s="116"/>
      <c r="H426" s="116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05"/>
      <c r="BF426" s="105"/>
      <c r="BG426" s="105"/>
      <c r="BH426" s="105"/>
      <c r="BI426" s="105"/>
      <c r="BJ426" s="105"/>
      <c r="BK426" s="105"/>
      <c r="BL426" s="105"/>
      <c r="BM426" s="105"/>
      <c r="BN426" s="105"/>
      <c r="BO426" s="105"/>
      <c r="BP426" s="105"/>
      <c r="BQ426" s="105"/>
      <c r="BR426" s="105"/>
      <c r="BS426" s="105"/>
      <c r="BT426" s="105"/>
      <c r="BU426" s="105"/>
      <c r="BV426" s="105"/>
      <c r="BW426" s="105"/>
      <c r="BX426" s="105"/>
      <c r="BY426" s="105"/>
      <c r="BZ426" s="105"/>
      <c r="CA426" s="105"/>
      <c r="CB426" s="105"/>
      <c r="CC426" s="105"/>
      <c r="CD426" s="105"/>
      <c r="CE426" s="105"/>
      <c r="CF426" s="105"/>
      <c r="CG426" s="105"/>
      <c r="CH426" s="105"/>
      <c r="CI426" s="105"/>
      <c r="CJ426" s="105"/>
      <c r="CK426" s="105"/>
      <c r="CL426" s="105"/>
      <c r="CM426" s="105"/>
      <c r="CN426" s="105"/>
      <c r="CO426" s="105"/>
      <c r="CP426" s="105"/>
      <c r="CQ426" s="105"/>
      <c r="CR426" s="105"/>
      <c r="CS426" s="105"/>
      <c r="CT426" s="105"/>
      <c r="CU426" s="105"/>
      <c r="CV426" s="105"/>
      <c r="CW426" s="105"/>
      <c r="CX426" s="105"/>
      <c r="CY426" s="105"/>
      <c r="CZ426" s="105"/>
      <c r="DA426" s="105"/>
      <c r="DB426" s="105"/>
      <c r="DC426" s="105"/>
      <c r="DD426" s="105"/>
      <c r="DE426" s="105"/>
      <c r="DF426" s="105"/>
      <c r="DG426" s="105"/>
      <c r="DH426" s="105"/>
      <c r="DI426" s="105"/>
      <c r="DJ426" s="105"/>
      <c r="DK426" s="105"/>
      <c r="DL426" s="105"/>
      <c r="DM426" s="105"/>
      <c r="DN426" s="105"/>
      <c r="DO426" s="105"/>
      <c r="DP426" s="105"/>
      <c r="DQ426" s="105"/>
      <c r="DR426" s="105"/>
      <c r="DS426" s="105"/>
      <c r="DT426" s="105"/>
      <c r="DU426" s="105"/>
      <c r="DV426" s="105"/>
      <c r="DW426" s="105"/>
      <c r="DX426" s="105"/>
      <c r="DY426" s="105"/>
      <c r="DZ426" s="105"/>
      <c r="EA426" s="105"/>
      <c r="EB426" s="105"/>
      <c r="EC426" s="105"/>
      <c r="ED426" s="105"/>
      <c r="EE426" s="105"/>
      <c r="EF426" s="105"/>
      <c r="EG426" s="105"/>
      <c r="EH426" s="105"/>
      <c r="EI426" s="105"/>
      <c r="EJ426" s="105"/>
      <c r="EK426" s="105"/>
      <c r="EL426" s="105"/>
      <c r="EM426" s="105"/>
      <c r="EN426" s="105"/>
      <c r="EO426" s="105"/>
      <c r="EP426" s="105"/>
      <c r="EQ426" s="105"/>
      <c r="ER426" s="105"/>
      <c r="ES426" s="105"/>
      <c r="ET426" s="105"/>
      <c r="EU426" s="105"/>
      <c r="EV426" s="105"/>
      <c r="EW426" s="105"/>
      <c r="EX426" s="105"/>
      <c r="EY426" s="105"/>
      <c r="EZ426" s="105"/>
      <c r="FA426" s="105"/>
      <c r="FB426" s="105"/>
      <c r="FC426" s="105"/>
      <c r="FD426" s="105"/>
      <c r="FE426" s="105"/>
      <c r="FF426" s="105"/>
      <c r="FG426" s="105"/>
      <c r="FH426" s="105"/>
      <c r="FI426" s="105"/>
      <c r="FJ426" s="105"/>
      <c r="FK426" s="105"/>
      <c r="FL426" s="105"/>
      <c r="FM426" s="105"/>
      <c r="FN426" s="105"/>
      <c r="FO426" s="105"/>
      <c r="FP426" s="105"/>
      <c r="FQ426" s="105"/>
      <c r="FR426" s="105"/>
      <c r="FS426" s="105"/>
      <c r="FT426" s="105"/>
      <c r="FU426" s="105"/>
      <c r="FV426" s="105"/>
      <c r="FW426" s="105"/>
      <c r="FX426" s="105"/>
      <c r="FY426" s="105"/>
      <c r="FZ426" s="105"/>
      <c r="GA426" s="105"/>
      <c r="GB426" s="105"/>
      <c r="GC426" s="105"/>
      <c r="GD426" s="105"/>
      <c r="GE426" s="105"/>
      <c r="GF426" s="105"/>
      <c r="GG426" s="105"/>
      <c r="GH426" s="105"/>
      <c r="GI426" s="105"/>
      <c r="GJ426" s="105"/>
      <c r="GK426" s="105"/>
      <c r="GL426" s="105"/>
      <c r="GM426" s="105"/>
      <c r="GN426" s="105"/>
      <c r="GO426" s="105"/>
      <c r="GP426" s="105"/>
      <c r="GQ426" s="105"/>
      <c r="GR426" s="105"/>
      <c r="GS426" s="105"/>
      <c r="GT426" s="105"/>
      <c r="GU426" s="105"/>
      <c r="GV426" s="105"/>
      <c r="GW426" s="105"/>
      <c r="GX426" s="105"/>
      <c r="GY426" s="105"/>
      <c r="GZ426" s="105"/>
      <c r="HA426" s="105"/>
      <c r="HB426" s="105"/>
      <c r="HC426" s="105"/>
      <c r="HD426" s="105"/>
      <c r="HE426" s="105"/>
      <c r="HF426" s="105"/>
      <c r="HG426" s="105"/>
      <c r="HH426" s="105"/>
      <c r="HI426" s="105"/>
      <c r="HJ426" s="105"/>
      <c r="HK426" s="105"/>
      <c r="HL426" s="105"/>
      <c r="HM426" s="105"/>
      <c r="HN426" s="105"/>
      <c r="HO426" s="105"/>
      <c r="HP426" s="105"/>
      <c r="HQ426" s="105"/>
      <c r="HR426" s="105"/>
      <c r="HS426" s="105"/>
      <c r="HT426" s="105"/>
      <c r="HU426" s="105"/>
      <c r="HV426" s="105"/>
      <c r="HW426" s="105"/>
      <c r="HX426" s="105"/>
      <c r="HY426" s="105"/>
      <c r="HZ426" s="105"/>
      <c r="IA426" s="105"/>
      <c r="IB426" s="105"/>
      <c r="IC426" s="105"/>
      <c r="ID426" s="105"/>
      <c r="IE426" s="105"/>
      <c r="IF426" s="105"/>
      <c r="IG426" s="105"/>
      <c r="IH426" s="105"/>
      <c r="II426" s="105"/>
      <c r="IJ426" s="105"/>
      <c r="IK426" s="105"/>
      <c r="IL426" s="105"/>
      <c r="IM426" s="105"/>
      <c r="IN426" s="105"/>
      <c r="IO426" s="105"/>
      <c r="IP426" s="105"/>
      <c r="IQ426" s="105"/>
      <c r="IR426" s="105"/>
      <c r="IS426" s="105"/>
    </row>
    <row r="427" spans="1:253">
      <c r="A427" s="116"/>
      <c r="B427" s="105"/>
      <c r="C427" s="116"/>
      <c r="D427" s="116"/>
      <c r="E427" s="116"/>
      <c r="F427" s="116"/>
      <c r="G427" s="116"/>
      <c r="H427" s="116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05"/>
      <c r="BF427" s="105"/>
      <c r="BG427" s="105"/>
      <c r="BH427" s="105"/>
      <c r="BI427" s="105"/>
      <c r="BJ427" s="105"/>
      <c r="BK427" s="105"/>
      <c r="BL427" s="105"/>
      <c r="BM427" s="105"/>
      <c r="BN427" s="105"/>
      <c r="BO427" s="105"/>
      <c r="BP427" s="105"/>
      <c r="BQ427" s="105"/>
      <c r="BR427" s="105"/>
      <c r="BS427" s="105"/>
      <c r="BT427" s="105"/>
      <c r="BU427" s="105"/>
      <c r="BV427" s="105"/>
      <c r="BW427" s="105"/>
      <c r="BX427" s="105"/>
      <c r="BY427" s="105"/>
      <c r="BZ427" s="105"/>
      <c r="CA427" s="105"/>
      <c r="CB427" s="105"/>
      <c r="CC427" s="105"/>
      <c r="CD427" s="105"/>
      <c r="CE427" s="105"/>
      <c r="CF427" s="105"/>
      <c r="CG427" s="105"/>
      <c r="CH427" s="105"/>
      <c r="CI427" s="105"/>
      <c r="CJ427" s="105"/>
      <c r="CK427" s="105"/>
      <c r="CL427" s="105"/>
      <c r="CM427" s="105"/>
      <c r="CN427" s="105"/>
      <c r="CO427" s="105"/>
      <c r="CP427" s="105"/>
      <c r="CQ427" s="105"/>
      <c r="CR427" s="105"/>
      <c r="CS427" s="105"/>
      <c r="CT427" s="105"/>
      <c r="CU427" s="105"/>
      <c r="CV427" s="105"/>
      <c r="CW427" s="105"/>
      <c r="CX427" s="105"/>
      <c r="CY427" s="105"/>
      <c r="CZ427" s="105"/>
      <c r="DA427" s="105"/>
      <c r="DB427" s="105"/>
      <c r="DC427" s="105"/>
      <c r="DD427" s="105"/>
      <c r="DE427" s="105"/>
      <c r="DF427" s="105"/>
      <c r="DG427" s="105"/>
      <c r="DH427" s="105"/>
      <c r="DI427" s="105"/>
      <c r="DJ427" s="105"/>
      <c r="DK427" s="105"/>
      <c r="DL427" s="105"/>
      <c r="DM427" s="105"/>
      <c r="DN427" s="105"/>
      <c r="DO427" s="105"/>
      <c r="DP427" s="105"/>
      <c r="DQ427" s="105"/>
      <c r="DR427" s="105"/>
      <c r="DS427" s="105"/>
      <c r="DT427" s="105"/>
      <c r="DU427" s="105"/>
      <c r="DV427" s="105"/>
      <c r="DW427" s="105"/>
      <c r="DX427" s="105"/>
      <c r="DY427" s="105"/>
      <c r="DZ427" s="105"/>
      <c r="EA427" s="105"/>
      <c r="EB427" s="105"/>
      <c r="EC427" s="105"/>
      <c r="ED427" s="105"/>
      <c r="EE427" s="105"/>
      <c r="EF427" s="105"/>
      <c r="EG427" s="105"/>
      <c r="EH427" s="105"/>
      <c r="EI427" s="105"/>
      <c r="EJ427" s="105"/>
      <c r="EK427" s="105"/>
      <c r="EL427" s="105"/>
      <c r="EM427" s="105"/>
      <c r="EN427" s="105"/>
      <c r="EO427" s="105"/>
      <c r="EP427" s="105"/>
      <c r="EQ427" s="105"/>
      <c r="ER427" s="105"/>
      <c r="ES427" s="105"/>
      <c r="ET427" s="105"/>
      <c r="EU427" s="105"/>
      <c r="EV427" s="105"/>
      <c r="EW427" s="105"/>
      <c r="EX427" s="105"/>
      <c r="EY427" s="105"/>
      <c r="EZ427" s="105"/>
      <c r="FA427" s="105"/>
      <c r="FB427" s="105"/>
      <c r="FC427" s="105"/>
      <c r="FD427" s="105"/>
      <c r="FE427" s="105"/>
      <c r="FF427" s="105"/>
      <c r="FG427" s="105"/>
      <c r="FH427" s="105"/>
      <c r="FI427" s="105"/>
      <c r="FJ427" s="105"/>
      <c r="FK427" s="105"/>
      <c r="FL427" s="105"/>
      <c r="FM427" s="105"/>
      <c r="FN427" s="105"/>
      <c r="FO427" s="105"/>
      <c r="FP427" s="105"/>
      <c r="FQ427" s="105"/>
      <c r="FR427" s="105"/>
      <c r="FS427" s="105"/>
      <c r="FT427" s="105"/>
      <c r="FU427" s="105"/>
      <c r="FV427" s="105"/>
      <c r="FW427" s="105"/>
      <c r="FX427" s="105"/>
      <c r="FY427" s="105"/>
      <c r="FZ427" s="105"/>
      <c r="GA427" s="105"/>
      <c r="GB427" s="105"/>
      <c r="GC427" s="105"/>
      <c r="GD427" s="105"/>
      <c r="GE427" s="105"/>
      <c r="GF427" s="105"/>
      <c r="GG427" s="105"/>
      <c r="GH427" s="105"/>
      <c r="GI427" s="105"/>
      <c r="GJ427" s="105"/>
      <c r="GK427" s="105"/>
      <c r="GL427" s="105"/>
      <c r="GM427" s="105"/>
      <c r="GN427" s="105"/>
      <c r="GO427" s="105"/>
      <c r="GP427" s="105"/>
      <c r="GQ427" s="105"/>
      <c r="GR427" s="105"/>
      <c r="GS427" s="105"/>
      <c r="GT427" s="105"/>
      <c r="GU427" s="105"/>
      <c r="GV427" s="105"/>
      <c r="GW427" s="105"/>
      <c r="GX427" s="105"/>
      <c r="GY427" s="105"/>
      <c r="GZ427" s="105"/>
      <c r="HA427" s="105"/>
      <c r="HB427" s="105"/>
      <c r="HC427" s="105"/>
      <c r="HD427" s="105"/>
      <c r="HE427" s="105"/>
      <c r="HF427" s="105"/>
      <c r="HG427" s="105"/>
      <c r="HH427" s="105"/>
      <c r="HI427" s="105"/>
      <c r="HJ427" s="105"/>
      <c r="HK427" s="105"/>
      <c r="HL427" s="105"/>
      <c r="HM427" s="105"/>
      <c r="HN427" s="105"/>
      <c r="HO427" s="105"/>
      <c r="HP427" s="105"/>
      <c r="HQ427" s="105"/>
      <c r="HR427" s="105"/>
      <c r="HS427" s="105"/>
      <c r="HT427" s="105"/>
      <c r="HU427" s="105"/>
      <c r="HV427" s="105"/>
      <c r="HW427" s="105"/>
      <c r="HX427" s="105"/>
      <c r="HY427" s="105"/>
      <c r="HZ427" s="105"/>
      <c r="IA427" s="105"/>
      <c r="IB427" s="105"/>
      <c r="IC427" s="105"/>
      <c r="ID427" s="105"/>
      <c r="IE427" s="105"/>
      <c r="IF427" s="105"/>
      <c r="IG427" s="105"/>
      <c r="IH427" s="105"/>
      <c r="II427" s="105"/>
      <c r="IJ427" s="105"/>
      <c r="IK427" s="105"/>
      <c r="IL427" s="105"/>
      <c r="IM427" s="105"/>
      <c r="IN427" s="105"/>
      <c r="IO427" s="105"/>
      <c r="IP427" s="105"/>
      <c r="IQ427" s="105"/>
      <c r="IR427" s="105"/>
      <c r="IS427" s="105"/>
    </row>
    <row r="428" spans="1:253">
      <c r="A428" s="116"/>
      <c r="B428" s="105"/>
      <c r="C428" s="116"/>
      <c r="D428" s="116"/>
      <c r="E428" s="116"/>
      <c r="F428" s="116"/>
      <c r="G428" s="116"/>
      <c r="H428" s="116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05"/>
      <c r="BF428" s="105"/>
      <c r="BG428" s="105"/>
      <c r="BH428" s="105"/>
      <c r="BI428" s="105"/>
      <c r="BJ428" s="105"/>
      <c r="BK428" s="105"/>
      <c r="BL428" s="105"/>
      <c r="BM428" s="105"/>
      <c r="BN428" s="105"/>
      <c r="BO428" s="105"/>
      <c r="BP428" s="105"/>
      <c r="BQ428" s="105"/>
      <c r="BR428" s="105"/>
      <c r="BS428" s="105"/>
      <c r="BT428" s="105"/>
      <c r="BU428" s="105"/>
      <c r="BV428" s="105"/>
      <c r="BW428" s="105"/>
      <c r="BX428" s="105"/>
      <c r="BY428" s="105"/>
      <c r="BZ428" s="105"/>
      <c r="CA428" s="105"/>
      <c r="CB428" s="105"/>
      <c r="CC428" s="105"/>
      <c r="CD428" s="105"/>
      <c r="CE428" s="105"/>
      <c r="CF428" s="105"/>
      <c r="CG428" s="105"/>
      <c r="CH428" s="105"/>
      <c r="CI428" s="105"/>
      <c r="CJ428" s="105"/>
      <c r="CK428" s="105"/>
      <c r="CL428" s="105"/>
      <c r="CM428" s="105"/>
      <c r="CN428" s="105"/>
      <c r="CO428" s="105"/>
      <c r="CP428" s="105"/>
      <c r="CQ428" s="105"/>
      <c r="CR428" s="105"/>
      <c r="CS428" s="105"/>
      <c r="CT428" s="105"/>
      <c r="CU428" s="105"/>
      <c r="CV428" s="105"/>
      <c r="CW428" s="105"/>
      <c r="CX428" s="105"/>
      <c r="CY428" s="105"/>
      <c r="CZ428" s="105"/>
      <c r="DA428" s="105"/>
      <c r="DB428" s="105"/>
      <c r="DC428" s="105"/>
      <c r="DD428" s="105"/>
      <c r="DE428" s="105"/>
      <c r="DF428" s="105"/>
      <c r="DG428" s="105"/>
      <c r="DH428" s="105"/>
      <c r="DI428" s="105"/>
      <c r="DJ428" s="105"/>
      <c r="DK428" s="105"/>
      <c r="DL428" s="105"/>
      <c r="DM428" s="105"/>
      <c r="DN428" s="105"/>
      <c r="DO428" s="105"/>
      <c r="DP428" s="105"/>
      <c r="DQ428" s="105"/>
      <c r="DR428" s="105"/>
      <c r="DS428" s="105"/>
      <c r="DT428" s="105"/>
      <c r="DU428" s="105"/>
      <c r="DV428" s="105"/>
      <c r="DW428" s="105"/>
      <c r="DX428" s="105"/>
      <c r="DY428" s="105"/>
      <c r="DZ428" s="105"/>
      <c r="EA428" s="105"/>
      <c r="EB428" s="105"/>
      <c r="EC428" s="105"/>
      <c r="ED428" s="105"/>
      <c r="EE428" s="105"/>
      <c r="EF428" s="105"/>
      <c r="EG428" s="105"/>
      <c r="EH428" s="105"/>
      <c r="EI428" s="105"/>
      <c r="EJ428" s="105"/>
      <c r="EK428" s="105"/>
      <c r="EL428" s="105"/>
      <c r="EM428" s="105"/>
      <c r="EN428" s="105"/>
      <c r="EO428" s="105"/>
      <c r="EP428" s="105"/>
      <c r="EQ428" s="105"/>
      <c r="ER428" s="105"/>
      <c r="ES428" s="105"/>
      <c r="ET428" s="105"/>
      <c r="EU428" s="105"/>
      <c r="EV428" s="105"/>
      <c r="EW428" s="105"/>
      <c r="EX428" s="105"/>
      <c r="EY428" s="105"/>
      <c r="EZ428" s="105"/>
      <c r="FA428" s="105"/>
      <c r="FB428" s="105"/>
      <c r="FC428" s="105"/>
      <c r="FD428" s="105"/>
      <c r="FE428" s="105"/>
      <c r="FF428" s="105"/>
      <c r="FG428" s="105"/>
      <c r="FH428" s="105"/>
      <c r="FI428" s="105"/>
      <c r="FJ428" s="105"/>
      <c r="FK428" s="105"/>
      <c r="FL428" s="105"/>
      <c r="FM428" s="105"/>
      <c r="FN428" s="105"/>
      <c r="FO428" s="105"/>
      <c r="FP428" s="105"/>
      <c r="FQ428" s="105"/>
      <c r="FR428" s="105"/>
      <c r="FS428" s="105"/>
      <c r="FT428" s="105"/>
      <c r="FU428" s="105"/>
      <c r="FV428" s="105"/>
      <c r="FW428" s="105"/>
      <c r="FX428" s="105"/>
      <c r="FY428" s="105"/>
      <c r="FZ428" s="105"/>
      <c r="GA428" s="105"/>
      <c r="GB428" s="105"/>
      <c r="GC428" s="105"/>
      <c r="GD428" s="105"/>
      <c r="GE428" s="105"/>
      <c r="GF428" s="105"/>
      <c r="GG428" s="105"/>
      <c r="GH428" s="105"/>
      <c r="GI428" s="105"/>
      <c r="GJ428" s="105"/>
      <c r="GK428" s="105"/>
      <c r="GL428" s="105"/>
      <c r="GM428" s="105"/>
      <c r="GN428" s="105"/>
      <c r="GO428" s="105"/>
      <c r="GP428" s="105"/>
      <c r="GQ428" s="105"/>
      <c r="GR428" s="105"/>
      <c r="GS428" s="105"/>
      <c r="GT428" s="105"/>
      <c r="GU428" s="105"/>
      <c r="GV428" s="105"/>
      <c r="GW428" s="105"/>
      <c r="GX428" s="105"/>
      <c r="GY428" s="105"/>
      <c r="GZ428" s="105"/>
      <c r="HA428" s="105"/>
      <c r="HB428" s="105"/>
      <c r="HC428" s="105"/>
      <c r="HD428" s="105"/>
      <c r="HE428" s="105"/>
      <c r="HF428" s="105"/>
      <c r="HG428" s="105"/>
      <c r="HH428" s="105"/>
      <c r="HI428" s="105"/>
      <c r="HJ428" s="105"/>
      <c r="HK428" s="105"/>
      <c r="HL428" s="105"/>
      <c r="HM428" s="105"/>
      <c r="HN428" s="105"/>
      <c r="HO428" s="105"/>
      <c r="HP428" s="105"/>
      <c r="HQ428" s="105"/>
      <c r="HR428" s="105"/>
      <c r="HS428" s="105"/>
      <c r="HT428" s="105"/>
      <c r="HU428" s="105"/>
      <c r="HV428" s="105"/>
      <c r="HW428" s="105"/>
      <c r="HX428" s="105"/>
      <c r="HY428" s="105"/>
      <c r="HZ428" s="105"/>
      <c r="IA428" s="105"/>
      <c r="IB428" s="105"/>
      <c r="IC428" s="105"/>
      <c r="ID428" s="105"/>
      <c r="IE428" s="105"/>
      <c r="IF428" s="105"/>
      <c r="IG428" s="105"/>
      <c r="IH428" s="105"/>
      <c r="II428" s="105"/>
      <c r="IJ428" s="105"/>
      <c r="IK428" s="105"/>
      <c r="IL428" s="105"/>
      <c r="IM428" s="105"/>
      <c r="IN428" s="105"/>
      <c r="IO428" s="105"/>
      <c r="IP428" s="105"/>
      <c r="IQ428" s="105"/>
      <c r="IR428" s="105"/>
      <c r="IS428" s="105"/>
    </row>
    <row r="429" spans="1:253">
      <c r="A429" s="116"/>
      <c r="B429" s="105"/>
      <c r="C429" s="116"/>
      <c r="D429" s="116"/>
      <c r="E429" s="116"/>
      <c r="F429" s="116"/>
      <c r="G429" s="116"/>
      <c r="H429" s="116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05"/>
      <c r="BF429" s="105"/>
      <c r="BG429" s="105"/>
      <c r="BH429" s="105"/>
      <c r="BI429" s="105"/>
      <c r="BJ429" s="105"/>
      <c r="BK429" s="105"/>
      <c r="BL429" s="105"/>
      <c r="BM429" s="105"/>
      <c r="BN429" s="105"/>
      <c r="BO429" s="105"/>
      <c r="BP429" s="105"/>
      <c r="BQ429" s="105"/>
      <c r="BR429" s="105"/>
      <c r="BS429" s="105"/>
      <c r="BT429" s="105"/>
      <c r="BU429" s="105"/>
      <c r="BV429" s="105"/>
      <c r="BW429" s="105"/>
      <c r="BX429" s="105"/>
      <c r="BY429" s="105"/>
      <c r="BZ429" s="105"/>
      <c r="CA429" s="105"/>
      <c r="CB429" s="105"/>
      <c r="CC429" s="105"/>
      <c r="CD429" s="105"/>
      <c r="CE429" s="105"/>
      <c r="CF429" s="105"/>
      <c r="CG429" s="105"/>
      <c r="CH429" s="105"/>
      <c r="CI429" s="105"/>
      <c r="CJ429" s="105"/>
      <c r="CK429" s="105"/>
      <c r="CL429" s="105"/>
      <c r="CM429" s="105"/>
      <c r="CN429" s="105"/>
      <c r="CO429" s="105"/>
      <c r="CP429" s="105"/>
      <c r="CQ429" s="105"/>
      <c r="CR429" s="105"/>
      <c r="CS429" s="105"/>
      <c r="CT429" s="105"/>
      <c r="CU429" s="105"/>
      <c r="CV429" s="105"/>
      <c r="CW429" s="105"/>
      <c r="CX429" s="105"/>
      <c r="CY429" s="105"/>
      <c r="CZ429" s="105"/>
      <c r="DA429" s="105"/>
      <c r="DB429" s="105"/>
      <c r="DC429" s="105"/>
      <c r="DD429" s="105"/>
      <c r="DE429" s="105"/>
      <c r="DF429" s="105"/>
      <c r="DG429" s="105"/>
      <c r="DH429" s="105"/>
      <c r="DI429" s="105"/>
      <c r="DJ429" s="105"/>
      <c r="DK429" s="105"/>
      <c r="DL429" s="105"/>
      <c r="DM429" s="105"/>
      <c r="DN429" s="105"/>
      <c r="DO429" s="105"/>
      <c r="DP429" s="105"/>
      <c r="DQ429" s="105"/>
      <c r="DR429" s="105"/>
      <c r="DS429" s="105"/>
      <c r="DT429" s="105"/>
      <c r="DU429" s="105"/>
      <c r="DV429" s="105"/>
      <c r="DW429" s="105"/>
      <c r="DX429" s="105"/>
      <c r="DY429" s="105"/>
      <c r="DZ429" s="105"/>
      <c r="EA429" s="105"/>
      <c r="EB429" s="105"/>
      <c r="EC429" s="105"/>
      <c r="ED429" s="105"/>
      <c r="EE429" s="105"/>
      <c r="EF429" s="105"/>
      <c r="EG429" s="105"/>
      <c r="EH429" s="105"/>
      <c r="EI429" s="105"/>
      <c r="EJ429" s="105"/>
      <c r="EK429" s="105"/>
      <c r="EL429" s="105"/>
      <c r="EM429" s="105"/>
      <c r="EN429" s="105"/>
      <c r="EO429" s="105"/>
      <c r="EP429" s="105"/>
      <c r="EQ429" s="105"/>
      <c r="ER429" s="105"/>
      <c r="ES429" s="105"/>
      <c r="ET429" s="105"/>
      <c r="EU429" s="105"/>
      <c r="EV429" s="105"/>
      <c r="EW429" s="105"/>
      <c r="EX429" s="105"/>
      <c r="EY429" s="105"/>
      <c r="EZ429" s="105"/>
      <c r="FA429" s="105"/>
      <c r="FB429" s="105"/>
      <c r="FC429" s="105"/>
      <c r="FD429" s="105"/>
      <c r="FE429" s="105"/>
      <c r="FF429" s="105"/>
      <c r="FG429" s="105"/>
      <c r="FH429" s="105"/>
      <c r="FI429" s="105"/>
      <c r="FJ429" s="105"/>
      <c r="FK429" s="105"/>
      <c r="FL429" s="105"/>
      <c r="FM429" s="105"/>
      <c r="FN429" s="105"/>
      <c r="FO429" s="105"/>
      <c r="FP429" s="105"/>
      <c r="FQ429" s="105"/>
      <c r="FR429" s="105"/>
      <c r="FS429" s="105"/>
      <c r="FT429" s="105"/>
      <c r="FU429" s="105"/>
      <c r="FV429" s="105"/>
      <c r="FW429" s="105"/>
      <c r="FX429" s="105"/>
      <c r="FY429" s="105"/>
      <c r="FZ429" s="105"/>
      <c r="GA429" s="105"/>
      <c r="GB429" s="105"/>
      <c r="GC429" s="105"/>
      <c r="GD429" s="105"/>
      <c r="GE429" s="105"/>
      <c r="GF429" s="105"/>
      <c r="GG429" s="105"/>
      <c r="GH429" s="105"/>
      <c r="GI429" s="105"/>
      <c r="GJ429" s="105"/>
      <c r="GK429" s="105"/>
      <c r="GL429" s="105"/>
      <c r="GM429" s="105"/>
      <c r="GN429" s="105"/>
      <c r="GO429" s="105"/>
      <c r="GP429" s="105"/>
      <c r="GQ429" s="105"/>
      <c r="GR429" s="105"/>
      <c r="GS429" s="105"/>
      <c r="GT429" s="105"/>
      <c r="GU429" s="105"/>
      <c r="GV429" s="105"/>
      <c r="GW429" s="105"/>
      <c r="GX429" s="105"/>
      <c r="GY429" s="105"/>
      <c r="GZ429" s="105"/>
      <c r="HA429" s="105"/>
      <c r="HB429" s="105"/>
      <c r="HC429" s="105"/>
      <c r="HD429" s="105"/>
      <c r="HE429" s="105"/>
      <c r="HF429" s="105"/>
      <c r="HG429" s="105"/>
      <c r="HH429" s="105"/>
      <c r="HI429" s="105"/>
      <c r="HJ429" s="105"/>
      <c r="HK429" s="105"/>
      <c r="HL429" s="105"/>
      <c r="HM429" s="105"/>
      <c r="HN429" s="105"/>
      <c r="HO429" s="105"/>
      <c r="HP429" s="105"/>
      <c r="HQ429" s="105"/>
      <c r="HR429" s="105"/>
      <c r="HS429" s="105"/>
      <c r="HT429" s="105"/>
      <c r="HU429" s="105"/>
      <c r="HV429" s="105"/>
      <c r="HW429" s="105"/>
      <c r="HX429" s="105"/>
      <c r="HY429" s="105"/>
      <c r="HZ429" s="105"/>
      <c r="IA429" s="105"/>
      <c r="IB429" s="105"/>
      <c r="IC429" s="105"/>
      <c r="ID429" s="105"/>
      <c r="IE429" s="105"/>
      <c r="IF429" s="105"/>
      <c r="IG429" s="105"/>
      <c r="IH429" s="105"/>
      <c r="II429" s="105"/>
      <c r="IJ429" s="105"/>
      <c r="IK429" s="105"/>
      <c r="IL429" s="105"/>
      <c r="IM429" s="105"/>
      <c r="IN429" s="105"/>
      <c r="IO429" s="105"/>
      <c r="IP429" s="105"/>
      <c r="IQ429" s="105"/>
      <c r="IR429" s="105"/>
      <c r="IS429" s="105"/>
    </row>
    <row r="430" spans="1:253">
      <c r="A430" s="116"/>
      <c r="B430" s="105"/>
      <c r="C430" s="116"/>
      <c r="D430" s="116"/>
      <c r="E430" s="116"/>
      <c r="F430" s="116"/>
      <c r="G430" s="116"/>
      <c r="H430" s="116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05"/>
      <c r="BF430" s="105"/>
      <c r="BG430" s="105"/>
      <c r="BH430" s="105"/>
      <c r="BI430" s="105"/>
      <c r="BJ430" s="105"/>
      <c r="BK430" s="105"/>
      <c r="BL430" s="105"/>
      <c r="BM430" s="105"/>
      <c r="BN430" s="105"/>
      <c r="BO430" s="105"/>
      <c r="BP430" s="105"/>
      <c r="BQ430" s="105"/>
      <c r="BR430" s="105"/>
      <c r="BS430" s="105"/>
      <c r="BT430" s="105"/>
      <c r="BU430" s="105"/>
      <c r="BV430" s="105"/>
      <c r="BW430" s="105"/>
      <c r="BX430" s="105"/>
      <c r="BY430" s="105"/>
      <c r="BZ430" s="105"/>
      <c r="CA430" s="105"/>
      <c r="CB430" s="105"/>
      <c r="CC430" s="105"/>
      <c r="CD430" s="105"/>
      <c r="CE430" s="105"/>
      <c r="CF430" s="105"/>
      <c r="CG430" s="105"/>
      <c r="CH430" s="105"/>
      <c r="CI430" s="105"/>
      <c r="CJ430" s="105"/>
      <c r="CK430" s="105"/>
      <c r="CL430" s="105"/>
      <c r="CM430" s="105"/>
      <c r="CN430" s="105"/>
      <c r="CO430" s="105"/>
      <c r="CP430" s="105"/>
      <c r="CQ430" s="105"/>
      <c r="CR430" s="105"/>
      <c r="CS430" s="105"/>
      <c r="CT430" s="105"/>
      <c r="CU430" s="105"/>
      <c r="CV430" s="105"/>
      <c r="CW430" s="105"/>
      <c r="CX430" s="105"/>
      <c r="CY430" s="105"/>
      <c r="CZ430" s="105"/>
      <c r="DA430" s="105"/>
      <c r="DB430" s="105"/>
      <c r="DC430" s="105"/>
      <c r="DD430" s="105"/>
      <c r="DE430" s="105"/>
      <c r="DF430" s="105"/>
      <c r="DG430" s="105"/>
      <c r="DH430" s="105"/>
      <c r="DI430" s="105"/>
      <c r="DJ430" s="105"/>
      <c r="DK430" s="105"/>
      <c r="DL430" s="105"/>
      <c r="DM430" s="105"/>
      <c r="DN430" s="105"/>
      <c r="DO430" s="105"/>
      <c r="DP430" s="105"/>
      <c r="DQ430" s="105"/>
      <c r="DR430" s="105"/>
      <c r="DS430" s="105"/>
      <c r="DT430" s="105"/>
      <c r="DU430" s="105"/>
      <c r="DV430" s="105"/>
      <c r="DW430" s="105"/>
      <c r="DX430" s="105"/>
      <c r="DY430" s="105"/>
      <c r="DZ430" s="105"/>
      <c r="EA430" s="105"/>
      <c r="EB430" s="105"/>
      <c r="EC430" s="105"/>
      <c r="ED430" s="105"/>
      <c r="EE430" s="105"/>
      <c r="EF430" s="105"/>
      <c r="EG430" s="105"/>
      <c r="EH430" s="105"/>
      <c r="EI430" s="105"/>
      <c r="EJ430" s="105"/>
      <c r="EK430" s="105"/>
      <c r="EL430" s="105"/>
      <c r="EM430" s="105"/>
      <c r="EN430" s="105"/>
      <c r="EO430" s="105"/>
      <c r="EP430" s="105"/>
      <c r="EQ430" s="105"/>
      <c r="ER430" s="105"/>
      <c r="ES430" s="105"/>
      <c r="ET430" s="105"/>
      <c r="EU430" s="105"/>
      <c r="EV430" s="105"/>
      <c r="EW430" s="105"/>
      <c r="EX430" s="105"/>
      <c r="EY430" s="105"/>
      <c r="EZ430" s="105"/>
      <c r="FA430" s="105"/>
      <c r="FB430" s="105"/>
      <c r="FC430" s="105"/>
      <c r="FD430" s="105"/>
      <c r="FE430" s="105"/>
      <c r="FF430" s="105"/>
      <c r="FG430" s="105"/>
      <c r="FH430" s="105"/>
      <c r="FI430" s="105"/>
      <c r="FJ430" s="105"/>
      <c r="FK430" s="105"/>
      <c r="FL430" s="105"/>
      <c r="FM430" s="105"/>
      <c r="FN430" s="105"/>
      <c r="FO430" s="105"/>
      <c r="FP430" s="105"/>
      <c r="FQ430" s="105"/>
      <c r="FR430" s="105"/>
      <c r="FS430" s="105"/>
      <c r="FT430" s="105"/>
      <c r="FU430" s="105"/>
      <c r="FV430" s="105"/>
      <c r="FW430" s="105"/>
      <c r="FX430" s="105"/>
      <c r="FY430" s="105"/>
      <c r="FZ430" s="105"/>
      <c r="GA430" s="105"/>
      <c r="GB430" s="105"/>
      <c r="GC430" s="105"/>
      <c r="GD430" s="105"/>
      <c r="GE430" s="105"/>
      <c r="GF430" s="105"/>
      <c r="GG430" s="105"/>
      <c r="GH430" s="105"/>
      <c r="GI430" s="105"/>
      <c r="GJ430" s="105"/>
      <c r="GK430" s="105"/>
      <c r="GL430" s="105"/>
      <c r="GM430" s="105"/>
      <c r="GN430" s="105"/>
      <c r="GO430" s="105"/>
      <c r="GP430" s="105"/>
      <c r="GQ430" s="105"/>
      <c r="GR430" s="105"/>
      <c r="GS430" s="105"/>
      <c r="GT430" s="105"/>
      <c r="GU430" s="105"/>
      <c r="GV430" s="105"/>
      <c r="GW430" s="105"/>
      <c r="GX430" s="105"/>
      <c r="GY430" s="105"/>
      <c r="GZ430" s="105"/>
      <c r="HA430" s="105"/>
      <c r="HB430" s="105"/>
      <c r="HC430" s="105"/>
      <c r="HD430" s="105"/>
      <c r="HE430" s="105"/>
      <c r="HF430" s="105"/>
      <c r="HG430" s="105"/>
      <c r="HH430" s="105"/>
      <c r="HI430" s="105"/>
      <c r="HJ430" s="105"/>
      <c r="HK430" s="105"/>
      <c r="HL430" s="105"/>
      <c r="HM430" s="105"/>
      <c r="HN430" s="105"/>
      <c r="HO430" s="105"/>
      <c r="HP430" s="105"/>
      <c r="HQ430" s="105"/>
      <c r="HR430" s="105"/>
      <c r="HS430" s="105"/>
      <c r="HT430" s="105"/>
      <c r="HU430" s="105"/>
      <c r="HV430" s="105"/>
      <c r="HW430" s="105"/>
      <c r="HX430" s="105"/>
      <c r="HY430" s="105"/>
      <c r="HZ430" s="105"/>
      <c r="IA430" s="105"/>
      <c r="IB430" s="105"/>
      <c r="IC430" s="105"/>
      <c r="ID430" s="105"/>
      <c r="IE430" s="105"/>
      <c r="IF430" s="105"/>
      <c r="IG430" s="105"/>
      <c r="IH430" s="105"/>
      <c r="II430" s="105"/>
      <c r="IJ430" s="105"/>
      <c r="IK430" s="105"/>
      <c r="IL430" s="105"/>
      <c r="IM430" s="105"/>
      <c r="IN430" s="105"/>
      <c r="IO430" s="105"/>
      <c r="IP430" s="105"/>
      <c r="IQ430" s="105"/>
      <c r="IR430" s="105"/>
      <c r="IS430" s="105"/>
    </row>
    <row r="431" spans="1:253">
      <c r="A431" s="116"/>
      <c r="B431" s="105"/>
      <c r="C431" s="116"/>
      <c r="D431" s="116"/>
      <c r="E431" s="116"/>
      <c r="F431" s="116"/>
      <c r="G431" s="116"/>
      <c r="H431" s="116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  <c r="AU431" s="105"/>
      <c r="AV431" s="105"/>
      <c r="AW431" s="105"/>
      <c r="AX431" s="105"/>
      <c r="AY431" s="105"/>
      <c r="AZ431" s="105"/>
      <c r="BA431" s="105"/>
      <c r="BB431" s="105"/>
      <c r="BC431" s="105"/>
      <c r="BD431" s="105"/>
      <c r="BE431" s="105"/>
      <c r="BF431" s="105"/>
      <c r="BG431" s="105"/>
      <c r="BH431" s="105"/>
      <c r="BI431" s="105"/>
      <c r="BJ431" s="105"/>
      <c r="BK431" s="105"/>
      <c r="BL431" s="105"/>
      <c r="BM431" s="105"/>
      <c r="BN431" s="105"/>
      <c r="BO431" s="105"/>
      <c r="BP431" s="105"/>
      <c r="BQ431" s="105"/>
      <c r="BR431" s="105"/>
      <c r="BS431" s="105"/>
      <c r="BT431" s="105"/>
      <c r="BU431" s="105"/>
      <c r="BV431" s="105"/>
      <c r="BW431" s="105"/>
      <c r="BX431" s="105"/>
      <c r="BY431" s="105"/>
      <c r="BZ431" s="105"/>
      <c r="CA431" s="105"/>
      <c r="CB431" s="105"/>
      <c r="CC431" s="105"/>
      <c r="CD431" s="105"/>
      <c r="CE431" s="105"/>
      <c r="CF431" s="105"/>
      <c r="CG431" s="105"/>
      <c r="CH431" s="105"/>
      <c r="CI431" s="105"/>
      <c r="CJ431" s="105"/>
      <c r="CK431" s="105"/>
      <c r="CL431" s="105"/>
      <c r="CM431" s="105"/>
      <c r="CN431" s="105"/>
      <c r="CO431" s="105"/>
      <c r="CP431" s="105"/>
      <c r="CQ431" s="105"/>
      <c r="CR431" s="105"/>
      <c r="CS431" s="105"/>
      <c r="CT431" s="105"/>
      <c r="CU431" s="105"/>
      <c r="CV431" s="105"/>
      <c r="CW431" s="105"/>
      <c r="CX431" s="105"/>
      <c r="CY431" s="105"/>
      <c r="CZ431" s="105"/>
      <c r="DA431" s="105"/>
      <c r="DB431" s="105"/>
      <c r="DC431" s="105"/>
      <c r="DD431" s="105"/>
      <c r="DE431" s="105"/>
      <c r="DF431" s="105"/>
      <c r="DG431" s="105"/>
      <c r="DH431" s="105"/>
      <c r="DI431" s="105"/>
      <c r="DJ431" s="105"/>
      <c r="DK431" s="105"/>
      <c r="DL431" s="105"/>
      <c r="DM431" s="105"/>
      <c r="DN431" s="105"/>
      <c r="DO431" s="105"/>
      <c r="DP431" s="105"/>
      <c r="DQ431" s="105"/>
      <c r="DR431" s="105"/>
      <c r="DS431" s="105"/>
      <c r="DT431" s="105"/>
      <c r="DU431" s="105"/>
      <c r="DV431" s="105"/>
      <c r="DW431" s="105"/>
      <c r="DX431" s="105"/>
      <c r="DY431" s="105"/>
      <c r="DZ431" s="105"/>
      <c r="EA431" s="105"/>
      <c r="EB431" s="105"/>
      <c r="EC431" s="105"/>
      <c r="ED431" s="105"/>
      <c r="EE431" s="105"/>
      <c r="EF431" s="105"/>
      <c r="EG431" s="105"/>
      <c r="EH431" s="105"/>
      <c r="EI431" s="105"/>
      <c r="EJ431" s="105"/>
      <c r="EK431" s="105"/>
      <c r="EL431" s="105"/>
      <c r="EM431" s="105"/>
      <c r="EN431" s="105"/>
      <c r="EO431" s="105"/>
      <c r="EP431" s="105"/>
      <c r="EQ431" s="105"/>
      <c r="ER431" s="105"/>
      <c r="ES431" s="105"/>
      <c r="ET431" s="105"/>
      <c r="EU431" s="105"/>
      <c r="EV431" s="105"/>
      <c r="EW431" s="105"/>
      <c r="EX431" s="105"/>
      <c r="EY431" s="105"/>
      <c r="EZ431" s="105"/>
      <c r="FA431" s="105"/>
      <c r="FB431" s="105"/>
      <c r="FC431" s="105"/>
      <c r="FD431" s="105"/>
      <c r="FE431" s="105"/>
      <c r="FF431" s="105"/>
      <c r="FG431" s="105"/>
      <c r="FH431" s="105"/>
      <c r="FI431" s="105"/>
      <c r="FJ431" s="105"/>
      <c r="FK431" s="105"/>
      <c r="FL431" s="105"/>
      <c r="FM431" s="105"/>
      <c r="FN431" s="105"/>
      <c r="FO431" s="105"/>
      <c r="FP431" s="105"/>
      <c r="FQ431" s="105"/>
      <c r="FR431" s="105"/>
      <c r="FS431" s="105"/>
      <c r="FT431" s="105"/>
      <c r="FU431" s="105"/>
      <c r="FV431" s="105"/>
      <c r="FW431" s="105"/>
      <c r="FX431" s="105"/>
      <c r="FY431" s="105"/>
      <c r="FZ431" s="105"/>
      <c r="GA431" s="105"/>
      <c r="GB431" s="105"/>
      <c r="GC431" s="105"/>
      <c r="GD431" s="105"/>
      <c r="GE431" s="105"/>
      <c r="GF431" s="105"/>
      <c r="GG431" s="105"/>
      <c r="GH431" s="105"/>
      <c r="GI431" s="105"/>
      <c r="GJ431" s="105"/>
      <c r="GK431" s="105"/>
      <c r="GL431" s="105"/>
      <c r="GM431" s="105"/>
      <c r="GN431" s="105"/>
      <c r="GO431" s="105"/>
      <c r="GP431" s="105"/>
      <c r="GQ431" s="105"/>
      <c r="GR431" s="105"/>
      <c r="GS431" s="105"/>
      <c r="GT431" s="105"/>
      <c r="GU431" s="105"/>
      <c r="GV431" s="105"/>
      <c r="GW431" s="105"/>
      <c r="GX431" s="105"/>
      <c r="GY431" s="105"/>
      <c r="GZ431" s="105"/>
      <c r="HA431" s="105"/>
      <c r="HB431" s="105"/>
      <c r="HC431" s="105"/>
      <c r="HD431" s="105"/>
      <c r="HE431" s="105"/>
      <c r="HF431" s="105"/>
      <c r="HG431" s="105"/>
      <c r="HH431" s="105"/>
      <c r="HI431" s="105"/>
      <c r="HJ431" s="105"/>
      <c r="HK431" s="105"/>
      <c r="HL431" s="105"/>
      <c r="HM431" s="105"/>
      <c r="HN431" s="105"/>
      <c r="HO431" s="105"/>
      <c r="HP431" s="105"/>
      <c r="HQ431" s="105"/>
      <c r="HR431" s="105"/>
      <c r="HS431" s="105"/>
      <c r="HT431" s="105"/>
      <c r="HU431" s="105"/>
      <c r="HV431" s="105"/>
      <c r="HW431" s="105"/>
      <c r="HX431" s="105"/>
      <c r="HY431" s="105"/>
      <c r="HZ431" s="105"/>
      <c r="IA431" s="105"/>
      <c r="IB431" s="105"/>
      <c r="IC431" s="105"/>
      <c r="ID431" s="105"/>
      <c r="IE431" s="105"/>
      <c r="IF431" s="105"/>
      <c r="IG431" s="105"/>
      <c r="IH431" s="105"/>
      <c r="II431" s="105"/>
      <c r="IJ431" s="105"/>
      <c r="IK431" s="105"/>
      <c r="IL431" s="105"/>
      <c r="IM431" s="105"/>
      <c r="IN431" s="105"/>
      <c r="IO431" s="105"/>
      <c r="IP431" s="105"/>
      <c r="IQ431" s="105"/>
      <c r="IR431" s="105"/>
      <c r="IS431" s="105"/>
    </row>
    <row r="432" spans="1:253">
      <c r="A432" s="116"/>
      <c r="B432" s="105"/>
      <c r="C432" s="116"/>
      <c r="D432" s="116"/>
      <c r="E432" s="116"/>
      <c r="F432" s="116"/>
      <c r="G432" s="116"/>
      <c r="H432" s="116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05"/>
      <c r="BF432" s="105"/>
      <c r="BG432" s="105"/>
      <c r="BH432" s="105"/>
      <c r="BI432" s="105"/>
      <c r="BJ432" s="105"/>
      <c r="BK432" s="105"/>
      <c r="BL432" s="105"/>
      <c r="BM432" s="105"/>
      <c r="BN432" s="105"/>
      <c r="BO432" s="105"/>
      <c r="BP432" s="105"/>
      <c r="BQ432" s="105"/>
      <c r="BR432" s="105"/>
      <c r="BS432" s="105"/>
      <c r="BT432" s="105"/>
      <c r="BU432" s="105"/>
      <c r="BV432" s="105"/>
      <c r="BW432" s="105"/>
      <c r="BX432" s="105"/>
      <c r="BY432" s="105"/>
      <c r="BZ432" s="105"/>
      <c r="CA432" s="105"/>
      <c r="CB432" s="105"/>
      <c r="CC432" s="105"/>
      <c r="CD432" s="105"/>
      <c r="CE432" s="105"/>
      <c r="CF432" s="105"/>
      <c r="CG432" s="105"/>
      <c r="CH432" s="105"/>
      <c r="CI432" s="105"/>
      <c r="CJ432" s="105"/>
      <c r="CK432" s="105"/>
      <c r="CL432" s="105"/>
      <c r="CM432" s="105"/>
      <c r="CN432" s="105"/>
      <c r="CO432" s="105"/>
      <c r="CP432" s="105"/>
      <c r="CQ432" s="105"/>
      <c r="CR432" s="105"/>
      <c r="CS432" s="105"/>
      <c r="CT432" s="105"/>
      <c r="CU432" s="105"/>
      <c r="CV432" s="105"/>
      <c r="CW432" s="105"/>
      <c r="CX432" s="105"/>
      <c r="CY432" s="105"/>
      <c r="CZ432" s="105"/>
      <c r="DA432" s="105"/>
      <c r="DB432" s="105"/>
      <c r="DC432" s="105"/>
      <c r="DD432" s="105"/>
      <c r="DE432" s="105"/>
      <c r="DF432" s="105"/>
      <c r="DG432" s="105"/>
      <c r="DH432" s="105"/>
      <c r="DI432" s="105"/>
      <c r="DJ432" s="105"/>
      <c r="DK432" s="105"/>
      <c r="DL432" s="105"/>
      <c r="DM432" s="105"/>
      <c r="DN432" s="105"/>
      <c r="DO432" s="105"/>
      <c r="DP432" s="105"/>
      <c r="DQ432" s="105"/>
      <c r="DR432" s="105"/>
      <c r="DS432" s="105"/>
      <c r="DT432" s="105"/>
      <c r="DU432" s="105"/>
      <c r="DV432" s="105"/>
      <c r="DW432" s="105"/>
      <c r="DX432" s="105"/>
      <c r="DY432" s="105"/>
      <c r="DZ432" s="105"/>
      <c r="EA432" s="105"/>
      <c r="EB432" s="105"/>
      <c r="EC432" s="105"/>
      <c r="ED432" s="105"/>
      <c r="EE432" s="105"/>
      <c r="EF432" s="105"/>
      <c r="EG432" s="105"/>
      <c r="EH432" s="105"/>
      <c r="EI432" s="105"/>
      <c r="EJ432" s="105"/>
      <c r="EK432" s="105"/>
      <c r="EL432" s="105"/>
      <c r="EM432" s="105"/>
      <c r="EN432" s="105"/>
      <c r="EO432" s="105"/>
      <c r="EP432" s="105"/>
      <c r="EQ432" s="105"/>
      <c r="ER432" s="105"/>
      <c r="ES432" s="105"/>
      <c r="ET432" s="105"/>
      <c r="EU432" s="105"/>
      <c r="EV432" s="105"/>
      <c r="EW432" s="105"/>
      <c r="EX432" s="105"/>
      <c r="EY432" s="105"/>
      <c r="EZ432" s="105"/>
      <c r="FA432" s="105"/>
      <c r="FB432" s="105"/>
      <c r="FC432" s="105"/>
      <c r="FD432" s="105"/>
      <c r="FE432" s="105"/>
      <c r="FF432" s="105"/>
      <c r="FG432" s="105"/>
      <c r="FH432" s="105"/>
      <c r="FI432" s="105"/>
      <c r="FJ432" s="105"/>
      <c r="FK432" s="105"/>
      <c r="FL432" s="105"/>
      <c r="FM432" s="105"/>
      <c r="FN432" s="105"/>
      <c r="FO432" s="105"/>
      <c r="FP432" s="105"/>
      <c r="FQ432" s="105"/>
      <c r="FR432" s="105"/>
      <c r="FS432" s="105"/>
      <c r="FT432" s="105"/>
      <c r="FU432" s="105"/>
      <c r="FV432" s="105"/>
      <c r="FW432" s="105"/>
      <c r="FX432" s="105"/>
      <c r="FY432" s="105"/>
      <c r="FZ432" s="105"/>
      <c r="GA432" s="105"/>
      <c r="GB432" s="105"/>
      <c r="GC432" s="105"/>
      <c r="GD432" s="105"/>
      <c r="GE432" s="105"/>
      <c r="GF432" s="105"/>
      <c r="GG432" s="105"/>
      <c r="GH432" s="105"/>
      <c r="GI432" s="105"/>
      <c r="GJ432" s="105"/>
      <c r="GK432" s="105"/>
      <c r="GL432" s="105"/>
      <c r="GM432" s="105"/>
      <c r="GN432" s="105"/>
      <c r="GO432" s="105"/>
      <c r="GP432" s="105"/>
      <c r="GQ432" s="105"/>
      <c r="GR432" s="105"/>
      <c r="GS432" s="105"/>
      <c r="GT432" s="105"/>
      <c r="GU432" s="105"/>
      <c r="GV432" s="105"/>
      <c r="GW432" s="105"/>
      <c r="GX432" s="105"/>
      <c r="GY432" s="105"/>
      <c r="GZ432" s="105"/>
      <c r="HA432" s="105"/>
      <c r="HB432" s="105"/>
      <c r="HC432" s="105"/>
      <c r="HD432" s="105"/>
      <c r="HE432" s="105"/>
      <c r="HF432" s="105"/>
      <c r="HG432" s="105"/>
      <c r="HH432" s="105"/>
      <c r="HI432" s="105"/>
      <c r="HJ432" s="105"/>
      <c r="HK432" s="105"/>
      <c r="HL432" s="105"/>
      <c r="HM432" s="105"/>
      <c r="HN432" s="105"/>
      <c r="HO432" s="105"/>
      <c r="HP432" s="105"/>
      <c r="HQ432" s="105"/>
      <c r="HR432" s="105"/>
      <c r="HS432" s="105"/>
      <c r="HT432" s="105"/>
      <c r="HU432" s="105"/>
      <c r="HV432" s="105"/>
      <c r="HW432" s="105"/>
      <c r="HX432" s="105"/>
      <c r="HY432" s="105"/>
      <c r="HZ432" s="105"/>
      <c r="IA432" s="105"/>
      <c r="IB432" s="105"/>
      <c r="IC432" s="105"/>
      <c r="ID432" s="105"/>
      <c r="IE432" s="105"/>
      <c r="IF432" s="105"/>
      <c r="IG432" s="105"/>
      <c r="IH432" s="105"/>
      <c r="II432" s="105"/>
      <c r="IJ432" s="105"/>
      <c r="IK432" s="105"/>
      <c r="IL432" s="105"/>
      <c r="IM432" s="105"/>
      <c r="IN432" s="105"/>
      <c r="IO432" s="105"/>
      <c r="IP432" s="105"/>
      <c r="IQ432" s="105"/>
      <c r="IR432" s="105"/>
      <c r="IS432" s="105"/>
    </row>
    <row r="433" spans="1:253">
      <c r="A433" s="116"/>
      <c r="B433" s="105"/>
      <c r="C433" s="116"/>
      <c r="D433" s="116"/>
      <c r="E433" s="116"/>
      <c r="F433" s="116"/>
      <c r="G433" s="116"/>
      <c r="H433" s="116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  <c r="AU433" s="105"/>
      <c r="AV433" s="105"/>
      <c r="AW433" s="105"/>
      <c r="AX433" s="105"/>
      <c r="AY433" s="105"/>
      <c r="AZ433" s="105"/>
      <c r="BA433" s="105"/>
      <c r="BB433" s="105"/>
      <c r="BC433" s="105"/>
      <c r="BD433" s="105"/>
      <c r="BE433" s="105"/>
      <c r="BF433" s="105"/>
      <c r="BG433" s="105"/>
      <c r="BH433" s="105"/>
      <c r="BI433" s="105"/>
      <c r="BJ433" s="105"/>
      <c r="BK433" s="105"/>
      <c r="BL433" s="105"/>
      <c r="BM433" s="105"/>
      <c r="BN433" s="105"/>
      <c r="BO433" s="105"/>
      <c r="BP433" s="105"/>
      <c r="BQ433" s="105"/>
      <c r="BR433" s="105"/>
      <c r="BS433" s="105"/>
      <c r="BT433" s="105"/>
      <c r="BU433" s="105"/>
      <c r="BV433" s="105"/>
      <c r="BW433" s="105"/>
      <c r="BX433" s="105"/>
      <c r="BY433" s="105"/>
      <c r="BZ433" s="105"/>
      <c r="CA433" s="105"/>
      <c r="CB433" s="105"/>
      <c r="CC433" s="105"/>
      <c r="CD433" s="105"/>
      <c r="CE433" s="105"/>
      <c r="CF433" s="105"/>
      <c r="CG433" s="105"/>
      <c r="CH433" s="105"/>
      <c r="CI433" s="105"/>
      <c r="CJ433" s="105"/>
      <c r="CK433" s="105"/>
      <c r="CL433" s="105"/>
      <c r="CM433" s="105"/>
      <c r="CN433" s="105"/>
      <c r="CO433" s="105"/>
      <c r="CP433" s="105"/>
      <c r="CQ433" s="105"/>
      <c r="CR433" s="105"/>
      <c r="CS433" s="105"/>
      <c r="CT433" s="105"/>
      <c r="CU433" s="105"/>
      <c r="CV433" s="105"/>
      <c r="CW433" s="105"/>
      <c r="CX433" s="105"/>
      <c r="CY433" s="105"/>
      <c r="CZ433" s="105"/>
      <c r="DA433" s="105"/>
      <c r="DB433" s="105"/>
      <c r="DC433" s="105"/>
      <c r="DD433" s="105"/>
      <c r="DE433" s="105"/>
      <c r="DF433" s="105"/>
      <c r="DG433" s="105"/>
      <c r="DH433" s="105"/>
      <c r="DI433" s="105"/>
      <c r="DJ433" s="105"/>
      <c r="DK433" s="105"/>
      <c r="DL433" s="105"/>
      <c r="DM433" s="105"/>
      <c r="DN433" s="105"/>
      <c r="DO433" s="105"/>
      <c r="DP433" s="105"/>
      <c r="DQ433" s="105"/>
      <c r="DR433" s="105"/>
      <c r="DS433" s="105"/>
      <c r="DT433" s="105"/>
      <c r="DU433" s="105"/>
      <c r="DV433" s="105"/>
      <c r="DW433" s="105"/>
      <c r="DX433" s="105"/>
      <c r="DY433" s="105"/>
      <c r="DZ433" s="105"/>
      <c r="EA433" s="105"/>
      <c r="EB433" s="105"/>
      <c r="EC433" s="105"/>
      <c r="ED433" s="105"/>
      <c r="EE433" s="105"/>
      <c r="EF433" s="105"/>
      <c r="EG433" s="105"/>
      <c r="EH433" s="105"/>
      <c r="EI433" s="105"/>
      <c r="EJ433" s="105"/>
      <c r="EK433" s="105"/>
      <c r="EL433" s="105"/>
      <c r="EM433" s="105"/>
      <c r="EN433" s="105"/>
      <c r="EO433" s="105"/>
      <c r="EP433" s="105"/>
      <c r="EQ433" s="105"/>
      <c r="ER433" s="105"/>
      <c r="ES433" s="105"/>
      <c r="ET433" s="105"/>
      <c r="EU433" s="105"/>
      <c r="EV433" s="105"/>
      <c r="EW433" s="105"/>
      <c r="EX433" s="105"/>
      <c r="EY433" s="105"/>
      <c r="EZ433" s="105"/>
      <c r="FA433" s="105"/>
      <c r="FB433" s="105"/>
      <c r="FC433" s="105"/>
      <c r="FD433" s="105"/>
      <c r="FE433" s="105"/>
      <c r="FF433" s="105"/>
      <c r="FG433" s="105"/>
      <c r="FH433" s="105"/>
      <c r="FI433" s="105"/>
      <c r="FJ433" s="105"/>
      <c r="FK433" s="105"/>
      <c r="FL433" s="105"/>
      <c r="FM433" s="105"/>
      <c r="FN433" s="105"/>
      <c r="FO433" s="105"/>
      <c r="FP433" s="105"/>
      <c r="FQ433" s="105"/>
      <c r="FR433" s="105"/>
      <c r="FS433" s="105"/>
      <c r="FT433" s="105"/>
      <c r="FU433" s="105"/>
      <c r="FV433" s="105"/>
      <c r="FW433" s="105"/>
      <c r="FX433" s="105"/>
      <c r="FY433" s="105"/>
      <c r="FZ433" s="105"/>
      <c r="GA433" s="105"/>
      <c r="GB433" s="105"/>
      <c r="GC433" s="105"/>
      <c r="GD433" s="105"/>
      <c r="GE433" s="105"/>
      <c r="GF433" s="105"/>
      <c r="GG433" s="105"/>
      <c r="GH433" s="105"/>
      <c r="GI433" s="105"/>
      <c r="GJ433" s="105"/>
      <c r="GK433" s="105"/>
      <c r="GL433" s="105"/>
      <c r="GM433" s="105"/>
      <c r="GN433" s="105"/>
      <c r="GO433" s="105"/>
      <c r="GP433" s="105"/>
      <c r="GQ433" s="105"/>
      <c r="GR433" s="105"/>
      <c r="GS433" s="105"/>
      <c r="GT433" s="105"/>
      <c r="GU433" s="105"/>
      <c r="GV433" s="105"/>
      <c r="GW433" s="105"/>
      <c r="GX433" s="105"/>
      <c r="GY433" s="105"/>
      <c r="GZ433" s="105"/>
      <c r="HA433" s="105"/>
      <c r="HB433" s="105"/>
      <c r="HC433" s="105"/>
      <c r="HD433" s="105"/>
      <c r="HE433" s="105"/>
      <c r="HF433" s="105"/>
      <c r="HG433" s="105"/>
      <c r="HH433" s="105"/>
      <c r="HI433" s="105"/>
      <c r="HJ433" s="105"/>
      <c r="HK433" s="105"/>
      <c r="HL433" s="105"/>
      <c r="HM433" s="105"/>
      <c r="HN433" s="105"/>
      <c r="HO433" s="105"/>
      <c r="HP433" s="105"/>
      <c r="HQ433" s="105"/>
      <c r="HR433" s="105"/>
      <c r="HS433" s="105"/>
      <c r="HT433" s="105"/>
      <c r="HU433" s="105"/>
      <c r="HV433" s="105"/>
      <c r="HW433" s="105"/>
      <c r="HX433" s="105"/>
      <c r="HY433" s="105"/>
      <c r="HZ433" s="105"/>
      <c r="IA433" s="105"/>
      <c r="IB433" s="105"/>
      <c r="IC433" s="105"/>
      <c r="ID433" s="105"/>
      <c r="IE433" s="105"/>
      <c r="IF433" s="105"/>
      <c r="IG433" s="105"/>
      <c r="IH433" s="105"/>
      <c r="II433" s="105"/>
      <c r="IJ433" s="105"/>
      <c r="IK433" s="105"/>
      <c r="IL433" s="105"/>
      <c r="IM433" s="105"/>
      <c r="IN433" s="105"/>
      <c r="IO433" s="105"/>
      <c r="IP433" s="105"/>
      <c r="IQ433" s="105"/>
      <c r="IR433" s="105"/>
      <c r="IS433" s="105"/>
    </row>
    <row r="434" spans="1:253">
      <c r="A434" s="116"/>
      <c r="B434" s="105"/>
      <c r="C434" s="116"/>
      <c r="D434" s="116"/>
      <c r="E434" s="116"/>
      <c r="F434" s="116"/>
      <c r="G434" s="116"/>
      <c r="H434" s="116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05"/>
      <c r="BF434" s="105"/>
      <c r="BG434" s="105"/>
      <c r="BH434" s="105"/>
      <c r="BI434" s="105"/>
      <c r="BJ434" s="105"/>
      <c r="BK434" s="105"/>
      <c r="BL434" s="105"/>
      <c r="BM434" s="105"/>
      <c r="BN434" s="105"/>
      <c r="BO434" s="105"/>
      <c r="BP434" s="105"/>
      <c r="BQ434" s="105"/>
      <c r="BR434" s="105"/>
      <c r="BS434" s="105"/>
      <c r="BT434" s="105"/>
      <c r="BU434" s="105"/>
      <c r="BV434" s="105"/>
      <c r="BW434" s="105"/>
      <c r="BX434" s="105"/>
      <c r="BY434" s="105"/>
      <c r="BZ434" s="105"/>
      <c r="CA434" s="105"/>
      <c r="CB434" s="105"/>
      <c r="CC434" s="105"/>
      <c r="CD434" s="105"/>
      <c r="CE434" s="105"/>
      <c r="CF434" s="105"/>
      <c r="CG434" s="105"/>
      <c r="CH434" s="105"/>
      <c r="CI434" s="105"/>
      <c r="CJ434" s="105"/>
      <c r="CK434" s="105"/>
      <c r="CL434" s="105"/>
      <c r="CM434" s="105"/>
      <c r="CN434" s="105"/>
      <c r="CO434" s="105"/>
      <c r="CP434" s="105"/>
      <c r="CQ434" s="105"/>
      <c r="CR434" s="105"/>
      <c r="CS434" s="105"/>
      <c r="CT434" s="105"/>
      <c r="CU434" s="105"/>
      <c r="CV434" s="105"/>
      <c r="CW434" s="105"/>
      <c r="CX434" s="105"/>
      <c r="CY434" s="105"/>
      <c r="CZ434" s="105"/>
      <c r="DA434" s="105"/>
      <c r="DB434" s="105"/>
      <c r="DC434" s="105"/>
      <c r="DD434" s="105"/>
      <c r="DE434" s="105"/>
      <c r="DF434" s="105"/>
      <c r="DG434" s="105"/>
      <c r="DH434" s="105"/>
      <c r="DI434" s="105"/>
      <c r="DJ434" s="105"/>
      <c r="DK434" s="105"/>
      <c r="DL434" s="105"/>
      <c r="DM434" s="105"/>
      <c r="DN434" s="105"/>
      <c r="DO434" s="105"/>
      <c r="DP434" s="105"/>
      <c r="DQ434" s="105"/>
      <c r="DR434" s="105"/>
      <c r="DS434" s="105"/>
      <c r="DT434" s="105"/>
      <c r="DU434" s="105"/>
      <c r="DV434" s="105"/>
      <c r="DW434" s="105"/>
      <c r="DX434" s="105"/>
      <c r="DY434" s="105"/>
      <c r="DZ434" s="105"/>
      <c r="EA434" s="105"/>
      <c r="EB434" s="105"/>
      <c r="EC434" s="105"/>
      <c r="ED434" s="105"/>
      <c r="EE434" s="105"/>
      <c r="EF434" s="105"/>
      <c r="EG434" s="105"/>
      <c r="EH434" s="105"/>
      <c r="EI434" s="105"/>
      <c r="EJ434" s="105"/>
      <c r="EK434" s="105"/>
      <c r="EL434" s="105"/>
      <c r="EM434" s="105"/>
      <c r="EN434" s="105"/>
      <c r="EO434" s="105"/>
      <c r="EP434" s="105"/>
      <c r="EQ434" s="105"/>
      <c r="ER434" s="105"/>
      <c r="ES434" s="105"/>
      <c r="ET434" s="105"/>
      <c r="EU434" s="105"/>
      <c r="EV434" s="105"/>
      <c r="EW434" s="105"/>
      <c r="EX434" s="105"/>
      <c r="EY434" s="105"/>
      <c r="EZ434" s="105"/>
      <c r="FA434" s="105"/>
      <c r="FB434" s="105"/>
      <c r="FC434" s="105"/>
      <c r="FD434" s="105"/>
      <c r="FE434" s="105"/>
      <c r="FF434" s="105"/>
      <c r="FG434" s="105"/>
      <c r="FH434" s="105"/>
      <c r="FI434" s="105"/>
      <c r="FJ434" s="105"/>
      <c r="FK434" s="105"/>
      <c r="FL434" s="105"/>
      <c r="FM434" s="105"/>
      <c r="FN434" s="105"/>
      <c r="FO434" s="105"/>
      <c r="FP434" s="105"/>
      <c r="FQ434" s="105"/>
      <c r="FR434" s="105"/>
      <c r="FS434" s="105"/>
      <c r="FT434" s="105"/>
      <c r="FU434" s="105"/>
      <c r="FV434" s="105"/>
      <c r="FW434" s="105"/>
      <c r="FX434" s="105"/>
      <c r="FY434" s="105"/>
      <c r="FZ434" s="105"/>
      <c r="GA434" s="105"/>
      <c r="GB434" s="105"/>
      <c r="GC434" s="105"/>
      <c r="GD434" s="105"/>
      <c r="GE434" s="105"/>
      <c r="GF434" s="105"/>
      <c r="GG434" s="105"/>
      <c r="GH434" s="105"/>
      <c r="GI434" s="105"/>
      <c r="GJ434" s="105"/>
      <c r="GK434" s="105"/>
      <c r="GL434" s="105"/>
      <c r="GM434" s="105"/>
      <c r="GN434" s="105"/>
      <c r="GO434" s="105"/>
      <c r="GP434" s="105"/>
      <c r="GQ434" s="105"/>
      <c r="GR434" s="105"/>
      <c r="GS434" s="105"/>
      <c r="GT434" s="105"/>
      <c r="GU434" s="105"/>
      <c r="GV434" s="105"/>
      <c r="GW434" s="105"/>
      <c r="GX434" s="105"/>
      <c r="GY434" s="105"/>
      <c r="GZ434" s="105"/>
      <c r="HA434" s="105"/>
      <c r="HB434" s="105"/>
      <c r="HC434" s="105"/>
      <c r="HD434" s="105"/>
      <c r="HE434" s="105"/>
      <c r="HF434" s="105"/>
      <c r="HG434" s="105"/>
      <c r="HH434" s="105"/>
      <c r="HI434" s="105"/>
      <c r="HJ434" s="105"/>
      <c r="HK434" s="105"/>
      <c r="HL434" s="105"/>
      <c r="HM434" s="105"/>
      <c r="HN434" s="105"/>
      <c r="HO434" s="105"/>
      <c r="HP434" s="105"/>
      <c r="HQ434" s="105"/>
      <c r="HR434" s="105"/>
      <c r="HS434" s="105"/>
      <c r="HT434" s="105"/>
      <c r="HU434" s="105"/>
      <c r="HV434" s="105"/>
      <c r="HW434" s="105"/>
      <c r="HX434" s="105"/>
      <c r="HY434" s="105"/>
      <c r="HZ434" s="105"/>
      <c r="IA434" s="105"/>
      <c r="IB434" s="105"/>
      <c r="IC434" s="105"/>
      <c r="ID434" s="105"/>
      <c r="IE434" s="105"/>
      <c r="IF434" s="105"/>
      <c r="IG434" s="105"/>
      <c r="IH434" s="105"/>
      <c r="II434" s="105"/>
      <c r="IJ434" s="105"/>
      <c r="IK434" s="105"/>
      <c r="IL434" s="105"/>
      <c r="IM434" s="105"/>
      <c r="IN434" s="105"/>
      <c r="IO434" s="105"/>
      <c r="IP434" s="105"/>
      <c r="IQ434" s="105"/>
      <c r="IR434" s="105"/>
      <c r="IS434" s="105"/>
    </row>
    <row r="435" spans="1:253">
      <c r="A435" s="116"/>
      <c r="B435" s="105"/>
      <c r="C435" s="116"/>
      <c r="D435" s="116"/>
      <c r="E435" s="116"/>
      <c r="F435" s="116"/>
      <c r="G435" s="116"/>
      <c r="H435" s="116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5"/>
      <c r="BE435" s="105"/>
      <c r="BF435" s="105"/>
      <c r="BG435" s="105"/>
      <c r="BH435" s="105"/>
      <c r="BI435" s="105"/>
      <c r="BJ435" s="105"/>
      <c r="BK435" s="105"/>
      <c r="BL435" s="105"/>
      <c r="BM435" s="105"/>
      <c r="BN435" s="105"/>
      <c r="BO435" s="105"/>
      <c r="BP435" s="105"/>
      <c r="BQ435" s="105"/>
      <c r="BR435" s="105"/>
      <c r="BS435" s="105"/>
      <c r="BT435" s="105"/>
      <c r="BU435" s="105"/>
      <c r="BV435" s="105"/>
      <c r="BW435" s="105"/>
      <c r="BX435" s="105"/>
      <c r="BY435" s="105"/>
      <c r="BZ435" s="105"/>
      <c r="CA435" s="105"/>
      <c r="CB435" s="105"/>
      <c r="CC435" s="105"/>
      <c r="CD435" s="105"/>
      <c r="CE435" s="105"/>
      <c r="CF435" s="105"/>
      <c r="CG435" s="105"/>
      <c r="CH435" s="105"/>
      <c r="CI435" s="105"/>
      <c r="CJ435" s="105"/>
      <c r="CK435" s="105"/>
      <c r="CL435" s="105"/>
      <c r="CM435" s="105"/>
      <c r="CN435" s="105"/>
      <c r="CO435" s="105"/>
      <c r="CP435" s="105"/>
      <c r="CQ435" s="105"/>
      <c r="CR435" s="105"/>
      <c r="CS435" s="105"/>
      <c r="CT435" s="105"/>
      <c r="CU435" s="105"/>
      <c r="CV435" s="105"/>
      <c r="CW435" s="105"/>
      <c r="CX435" s="105"/>
      <c r="CY435" s="105"/>
      <c r="CZ435" s="105"/>
      <c r="DA435" s="105"/>
      <c r="DB435" s="105"/>
      <c r="DC435" s="105"/>
      <c r="DD435" s="105"/>
      <c r="DE435" s="105"/>
      <c r="DF435" s="105"/>
      <c r="DG435" s="105"/>
      <c r="DH435" s="105"/>
      <c r="DI435" s="105"/>
      <c r="DJ435" s="105"/>
      <c r="DK435" s="105"/>
      <c r="DL435" s="105"/>
      <c r="DM435" s="105"/>
      <c r="DN435" s="105"/>
      <c r="DO435" s="105"/>
      <c r="DP435" s="105"/>
      <c r="DQ435" s="105"/>
      <c r="DR435" s="105"/>
      <c r="DS435" s="105"/>
      <c r="DT435" s="105"/>
      <c r="DU435" s="105"/>
      <c r="DV435" s="105"/>
      <c r="DW435" s="105"/>
      <c r="DX435" s="105"/>
      <c r="DY435" s="105"/>
      <c r="DZ435" s="105"/>
      <c r="EA435" s="105"/>
      <c r="EB435" s="105"/>
      <c r="EC435" s="105"/>
      <c r="ED435" s="105"/>
      <c r="EE435" s="105"/>
      <c r="EF435" s="105"/>
      <c r="EG435" s="105"/>
      <c r="EH435" s="105"/>
      <c r="EI435" s="105"/>
      <c r="EJ435" s="105"/>
      <c r="EK435" s="105"/>
      <c r="EL435" s="105"/>
      <c r="EM435" s="105"/>
      <c r="EN435" s="105"/>
      <c r="EO435" s="105"/>
      <c r="EP435" s="105"/>
      <c r="EQ435" s="105"/>
      <c r="ER435" s="105"/>
      <c r="ES435" s="105"/>
      <c r="ET435" s="105"/>
      <c r="EU435" s="105"/>
      <c r="EV435" s="105"/>
      <c r="EW435" s="105"/>
      <c r="EX435" s="105"/>
      <c r="EY435" s="105"/>
      <c r="EZ435" s="105"/>
      <c r="FA435" s="105"/>
      <c r="FB435" s="105"/>
      <c r="FC435" s="105"/>
      <c r="FD435" s="105"/>
      <c r="FE435" s="105"/>
      <c r="FF435" s="105"/>
      <c r="FG435" s="105"/>
      <c r="FH435" s="105"/>
      <c r="FI435" s="105"/>
      <c r="FJ435" s="105"/>
      <c r="FK435" s="105"/>
      <c r="FL435" s="105"/>
      <c r="FM435" s="105"/>
      <c r="FN435" s="105"/>
      <c r="FO435" s="105"/>
      <c r="FP435" s="105"/>
      <c r="FQ435" s="105"/>
      <c r="FR435" s="105"/>
      <c r="FS435" s="105"/>
      <c r="FT435" s="105"/>
      <c r="FU435" s="105"/>
      <c r="FV435" s="105"/>
      <c r="FW435" s="105"/>
      <c r="FX435" s="105"/>
      <c r="FY435" s="105"/>
      <c r="FZ435" s="105"/>
      <c r="GA435" s="105"/>
      <c r="GB435" s="105"/>
      <c r="GC435" s="105"/>
      <c r="GD435" s="105"/>
      <c r="GE435" s="105"/>
      <c r="GF435" s="105"/>
      <c r="GG435" s="105"/>
      <c r="GH435" s="105"/>
      <c r="GI435" s="105"/>
      <c r="GJ435" s="105"/>
      <c r="GK435" s="105"/>
      <c r="GL435" s="105"/>
      <c r="GM435" s="105"/>
      <c r="GN435" s="105"/>
      <c r="GO435" s="105"/>
      <c r="GP435" s="105"/>
      <c r="GQ435" s="105"/>
      <c r="GR435" s="105"/>
      <c r="GS435" s="105"/>
      <c r="GT435" s="105"/>
      <c r="GU435" s="105"/>
      <c r="GV435" s="105"/>
      <c r="GW435" s="105"/>
      <c r="GX435" s="105"/>
      <c r="GY435" s="105"/>
      <c r="GZ435" s="105"/>
      <c r="HA435" s="105"/>
      <c r="HB435" s="105"/>
      <c r="HC435" s="105"/>
      <c r="HD435" s="105"/>
      <c r="HE435" s="105"/>
      <c r="HF435" s="105"/>
      <c r="HG435" s="105"/>
      <c r="HH435" s="105"/>
      <c r="HI435" s="105"/>
      <c r="HJ435" s="105"/>
      <c r="HK435" s="105"/>
      <c r="HL435" s="105"/>
      <c r="HM435" s="105"/>
      <c r="HN435" s="105"/>
      <c r="HO435" s="105"/>
      <c r="HP435" s="105"/>
      <c r="HQ435" s="105"/>
      <c r="HR435" s="105"/>
      <c r="HS435" s="105"/>
      <c r="HT435" s="105"/>
      <c r="HU435" s="105"/>
      <c r="HV435" s="105"/>
      <c r="HW435" s="105"/>
      <c r="HX435" s="105"/>
      <c r="HY435" s="105"/>
      <c r="HZ435" s="105"/>
      <c r="IA435" s="105"/>
      <c r="IB435" s="105"/>
      <c r="IC435" s="105"/>
      <c r="ID435" s="105"/>
      <c r="IE435" s="105"/>
      <c r="IF435" s="105"/>
      <c r="IG435" s="105"/>
      <c r="IH435" s="105"/>
      <c r="II435" s="105"/>
      <c r="IJ435" s="105"/>
      <c r="IK435" s="105"/>
      <c r="IL435" s="105"/>
      <c r="IM435" s="105"/>
      <c r="IN435" s="105"/>
      <c r="IO435" s="105"/>
      <c r="IP435" s="105"/>
      <c r="IQ435" s="105"/>
      <c r="IR435" s="105"/>
      <c r="IS435" s="105"/>
    </row>
    <row r="436" spans="1:253">
      <c r="A436" s="116"/>
      <c r="B436" s="105"/>
      <c r="C436" s="116"/>
      <c r="D436" s="116"/>
      <c r="E436" s="116"/>
      <c r="F436" s="116"/>
      <c r="G436" s="116"/>
      <c r="H436" s="116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05"/>
      <c r="BF436" s="105"/>
      <c r="BG436" s="105"/>
      <c r="BH436" s="105"/>
      <c r="BI436" s="105"/>
      <c r="BJ436" s="105"/>
      <c r="BK436" s="105"/>
      <c r="BL436" s="105"/>
      <c r="BM436" s="105"/>
      <c r="BN436" s="105"/>
      <c r="BO436" s="105"/>
      <c r="BP436" s="105"/>
      <c r="BQ436" s="105"/>
      <c r="BR436" s="105"/>
      <c r="BS436" s="105"/>
      <c r="BT436" s="105"/>
      <c r="BU436" s="105"/>
      <c r="BV436" s="105"/>
      <c r="BW436" s="105"/>
      <c r="BX436" s="105"/>
      <c r="BY436" s="105"/>
      <c r="BZ436" s="105"/>
      <c r="CA436" s="105"/>
      <c r="CB436" s="105"/>
      <c r="CC436" s="105"/>
      <c r="CD436" s="105"/>
      <c r="CE436" s="105"/>
      <c r="CF436" s="105"/>
      <c r="CG436" s="105"/>
      <c r="CH436" s="105"/>
      <c r="CI436" s="105"/>
      <c r="CJ436" s="105"/>
      <c r="CK436" s="105"/>
      <c r="CL436" s="105"/>
      <c r="CM436" s="105"/>
      <c r="CN436" s="105"/>
      <c r="CO436" s="105"/>
      <c r="CP436" s="105"/>
      <c r="CQ436" s="105"/>
      <c r="CR436" s="105"/>
      <c r="CS436" s="105"/>
      <c r="CT436" s="105"/>
      <c r="CU436" s="105"/>
      <c r="CV436" s="105"/>
      <c r="CW436" s="105"/>
      <c r="CX436" s="105"/>
      <c r="CY436" s="105"/>
      <c r="CZ436" s="105"/>
      <c r="DA436" s="105"/>
      <c r="DB436" s="105"/>
      <c r="DC436" s="105"/>
      <c r="DD436" s="105"/>
      <c r="DE436" s="105"/>
      <c r="DF436" s="105"/>
      <c r="DG436" s="105"/>
      <c r="DH436" s="105"/>
      <c r="DI436" s="105"/>
      <c r="DJ436" s="105"/>
      <c r="DK436" s="105"/>
      <c r="DL436" s="105"/>
      <c r="DM436" s="105"/>
      <c r="DN436" s="105"/>
      <c r="DO436" s="105"/>
      <c r="DP436" s="105"/>
      <c r="DQ436" s="105"/>
      <c r="DR436" s="105"/>
      <c r="DS436" s="105"/>
      <c r="DT436" s="105"/>
      <c r="DU436" s="105"/>
      <c r="DV436" s="105"/>
      <c r="DW436" s="105"/>
      <c r="DX436" s="105"/>
      <c r="DY436" s="105"/>
      <c r="DZ436" s="105"/>
      <c r="EA436" s="105"/>
      <c r="EB436" s="105"/>
      <c r="EC436" s="105"/>
      <c r="ED436" s="105"/>
      <c r="EE436" s="105"/>
      <c r="EF436" s="105"/>
      <c r="EG436" s="105"/>
      <c r="EH436" s="105"/>
      <c r="EI436" s="105"/>
      <c r="EJ436" s="105"/>
      <c r="EK436" s="105"/>
      <c r="EL436" s="105"/>
      <c r="EM436" s="105"/>
      <c r="EN436" s="105"/>
      <c r="EO436" s="105"/>
      <c r="EP436" s="105"/>
      <c r="EQ436" s="105"/>
      <c r="ER436" s="105"/>
      <c r="ES436" s="105"/>
      <c r="ET436" s="105"/>
      <c r="EU436" s="105"/>
      <c r="EV436" s="105"/>
      <c r="EW436" s="105"/>
      <c r="EX436" s="105"/>
      <c r="EY436" s="105"/>
      <c r="EZ436" s="105"/>
      <c r="FA436" s="105"/>
      <c r="FB436" s="105"/>
      <c r="FC436" s="105"/>
      <c r="FD436" s="105"/>
      <c r="FE436" s="105"/>
      <c r="FF436" s="105"/>
      <c r="FG436" s="105"/>
      <c r="FH436" s="105"/>
      <c r="FI436" s="105"/>
      <c r="FJ436" s="105"/>
      <c r="FK436" s="105"/>
      <c r="FL436" s="105"/>
      <c r="FM436" s="105"/>
      <c r="FN436" s="105"/>
      <c r="FO436" s="105"/>
      <c r="FP436" s="105"/>
      <c r="FQ436" s="105"/>
      <c r="FR436" s="105"/>
      <c r="FS436" s="105"/>
      <c r="FT436" s="105"/>
      <c r="FU436" s="105"/>
      <c r="FV436" s="105"/>
      <c r="FW436" s="105"/>
      <c r="FX436" s="105"/>
      <c r="FY436" s="105"/>
      <c r="FZ436" s="105"/>
      <c r="GA436" s="105"/>
      <c r="GB436" s="105"/>
      <c r="GC436" s="105"/>
      <c r="GD436" s="105"/>
      <c r="GE436" s="105"/>
      <c r="GF436" s="105"/>
      <c r="GG436" s="105"/>
      <c r="GH436" s="105"/>
      <c r="GI436" s="105"/>
      <c r="GJ436" s="105"/>
      <c r="GK436" s="105"/>
      <c r="GL436" s="105"/>
      <c r="GM436" s="105"/>
      <c r="GN436" s="105"/>
      <c r="GO436" s="105"/>
      <c r="GP436" s="105"/>
      <c r="GQ436" s="105"/>
      <c r="GR436" s="105"/>
      <c r="GS436" s="105"/>
      <c r="GT436" s="105"/>
      <c r="GU436" s="105"/>
      <c r="GV436" s="105"/>
      <c r="GW436" s="105"/>
      <c r="GX436" s="105"/>
      <c r="GY436" s="105"/>
      <c r="GZ436" s="105"/>
      <c r="HA436" s="105"/>
      <c r="HB436" s="105"/>
      <c r="HC436" s="105"/>
      <c r="HD436" s="105"/>
      <c r="HE436" s="105"/>
      <c r="HF436" s="105"/>
      <c r="HG436" s="105"/>
      <c r="HH436" s="105"/>
      <c r="HI436" s="105"/>
      <c r="HJ436" s="105"/>
      <c r="HK436" s="105"/>
      <c r="HL436" s="105"/>
      <c r="HM436" s="105"/>
      <c r="HN436" s="105"/>
      <c r="HO436" s="105"/>
      <c r="HP436" s="105"/>
      <c r="HQ436" s="105"/>
      <c r="HR436" s="105"/>
      <c r="HS436" s="105"/>
      <c r="HT436" s="105"/>
      <c r="HU436" s="105"/>
      <c r="HV436" s="105"/>
      <c r="HW436" s="105"/>
      <c r="HX436" s="105"/>
      <c r="HY436" s="105"/>
      <c r="HZ436" s="105"/>
      <c r="IA436" s="105"/>
      <c r="IB436" s="105"/>
      <c r="IC436" s="105"/>
      <c r="ID436" s="105"/>
      <c r="IE436" s="105"/>
      <c r="IF436" s="105"/>
      <c r="IG436" s="105"/>
      <c r="IH436" s="105"/>
      <c r="II436" s="105"/>
      <c r="IJ436" s="105"/>
      <c r="IK436" s="105"/>
      <c r="IL436" s="105"/>
      <c r="IM436" s="105"/>
      <c r="IN436" s="105"/>
      <c r="IO436" s="105"/>
      <c r="IP436" s="105"/>
      <c r="IQ436" s="105"/>
      <c r="IR436" s="105"/>
      <c r="IS436" s="105"/>
    </row>
    <row r="437" spans="1:253">
      <c r="A437" s="116"/>
      <c r="B437" s="105"/>
      <c r="C437" s="116"/>
      <c r="D437" s="116"/>
      <c r="E437" s="116"/>
      <c r="F437" s="116"/>
      <c r="G437" s="116"/>
      <c r="H437" s="116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  <c r="AU437" s="105"/>
      <c r="AV437" s="105"/>
      <c r="AW437" s="105"/>
      <c r="AX437" s="105"/>
      <c r="AY437" s="105"/>
      <c r="AZ437" s="105"/>
      <c r="BA437" s="105"/>
      <c r="BB437" s="105"/>
      <c r="BC437" s="105"/>
      <c r="BD437" s="105"/>
      <c r="BE437" s="105"/>
      <c r="BF437" s="105"/>
      <c r="BG437" s="105"/>
      <c r="BH437" s="105"/>
      <c r="BI437" s="105"/>
      <c r="BJ437" s="105"/>
      <c r="BK437" s="105"/>
      <c r="BL437" s="105"/>
      <c r="BM437" s="105"/>
      <c r="BN437" s="105"/>
      <c r="BO437" s="105"/>
      <c r="BP437" s="105"/>
      <c r="BQ437" s="105"/>
      <c r="BR437" s="105"/>
      <c r="BS437" s="105"/>
      <c r="BT437" s="105"/>
      <c r="BU437" s="105"/>
      <c r="BV437" s="105"/>
      <c r="BW437" s="105"/>
      <c r="BX437" s="105"/>
      <c r="BY437" s="105"/>
      <c r="BZ437" s="105"/>
      <c r="CA437" s="105"/>
      <c r="CB437" s="105"/>
      <c r="CC437" s="105"/>
      <c r="CD437" s="105"/>
      <c r="CE437" s="105"/>
      <c r="CF437" s="105"/>
      <c r="CG437" s="105"/>
      <c r="CH437" s="105"/>
      <c r="CI437" s="105"/>
      <c r="CJ437" s="105"/>
      <c r="CK437" s="105"/>
      <c r="CL437" s="105"/>
      <c r="CM437" s="105"/>
      <c r="CN437" s="105"/>
      <c r="CO437" s="105"/>
      <c r="CP437" s="105"/>
      <c r="CQ437" s="105"/>
      <c r="CR437" s="105"/>
      <c r="CS437" s="105"/>
      <c r="CT437" s="105"/>
      <c r="CU437" s="105"/>
      <c r="CV437" s="105"/>
      <c r="CW437" s="105"/>
      <c r="CX437" s="105"/>
      <c r="CY437" s="105"/>
      <c r="CZ437" s="105"/>
      <c r="DA437" s="105"/>
      <c r="DB437" s="105"/>
      <c r="DC437" s="105"/>
      <c r="DD437" s="105"/>
      <c r="DE437" s="105"/>
      <c r="DF437" s="105"/>
      <c r="DG437" s="105"/>
      <c r="DH437" s="105"/>
      <c r="DI437" s="105"/>
      <c r="DJ437" s="105"/>
      <c r="DK437" s="105"/>
      <c r="DL437" s="105"/>
      <c r="DM437" s="105"/>
      <c r="DN437" s="105"/>
      <c r="DO437" s="105"/>
      <c r="DP437" s="105"/>
      <c r="DQ437" s="105"/>
      <c r="DR437" s="105"/>
      <c r="DS437" s="105"/>
      <c r="DT437" s="105"/>
      <c r="DU437" s="105"/>
      <c r="DV437" s="105"/>
      <c r="DW437" s="105"/>
      <c r="DX437" s="105"/>
      <c r="DY437" s="105"/>
      <c r="DZ437" s="105"/>
      <c r="EA437" s="105"/>
      <c r="EB437" s="105"/>
      <c r="EC437" s="105"/>
      <c r="ED437" s="105"/>
      <c r="EE437" s="105"/>
      <c r="EF437" s="105"/>
      <c r="EG437" s="105"/>
      <c r="EH437" s="105"/>
      <c r="EI437" s="105"/>
      <c r="EJ437" s="105"/>
      <c r="EK437" s="105"/>
      <c r="EL437" s="105"/>
      <c r="EM437" s="105"/>
      <c r="EN437" s="105"/>
      <c r="EO437" s="105"/>
      <c r="EP437" s="105"/>
      <c r="EQ437" s="105"/>
      <c r="ER437" s="105"/>
      <c r="ES437" s="105"/>
      <c r="ET437" s="105"/>
      <c r="EU437" s="105"/>
      <c r="EV437" s="105"/>
      <c r="EW437" s="105"/>
      <c r="EX437" s="105"/>
      <c r="EY437" s="105"/>
      <c r="EZ437" s="105"/>
      <c r="FA437" s="105"/>
      <c r="FB437" s="105"/>
      <c r="FC437" s="105"/>
      <c r="FD437" s="105"/>
      <c r="FE437" s="105"/>
      <c r="FF437" s="105"/>
      <c r="FG437" s="105"/>
      <c r="FH437" s="105"/>
      <c r="FI437" s="105"/>
      <c r="FJ437" s="105"/>
      <c r="FK437" s="105"/>
      <c r="FL437" s="105"/>
      <c r="FM437" s="105"/>
      <c r="FN437" s="105"/>
      <c r="FO437" s="105"/>
      <c r="FP437" s="105"/>
      <c r="FQ437" s="105"/>
      <c r="FR437" s="105"/>
      <c r="FS437" s="105"/>
      <c r="FT437" s="105"/>
      <c r="FU437" s="105"/>
      <c r="FV437" s="105"/>
      <c r="FW437" s="105"/>
      <c r="FX437" s="105"/>
      <c r="FY437" s="105"/>
      <c r="FZ437" s="105"/>
      <c r="GA437" s="105"/>
      <c r="GB437" s="105"/>
      <c r="GC437" s="105"/>
      <c r="GD437" s="105"/>
      <c r="GE437" s="105"/>
      <c r="GF437" s="105"/>
      <c r="GG437" s="105"/>
      <c r="GH437" s="105"/>
      <c r="GI437" s="105"/>
      <c r="GJ437" s="105"/>
      <c r="GK437" s="105"/>
      <c r="GL437" s="105"/>
      <c r="GM437" s="105"/>
      <c r="GN437" s="105"/>
      <c r="GO437" s="105"/>
      <c r="GP437" s="105"/>
      <c r="GQ437" s="105"/>
      <c r="GR437" s="105"/>
      <c r="GS437" s="105"/>
      <c r="GT437" s="105"/>
      <c r="GU437" s="105"/>
      <c r="GV437" s="105"/>
      <c r="GW437" s="105"/>
      <c r="GX437" s="105"/>
      <c r="GY437" s="105"/>
      <c r="GZ437" s="105"/>
      <c r="HA437" s="105"/>
      <c r="HB437" s="105"/>
      <c r="HC437" s="105"/>
      <c r="HD437" s="105"/>
      <c r="HE437" s="105"/>
      <c r="HF437" s="105"/>
      <c r="HG437" s="105"/>
      <c r="HH437" s="105"/>
      <c r="HI437" s="105"/>
      <c r="HJ437" s="105"/>
      <c r="HK437" s="105"/>
      <c r="HL437" s="105"/>
      <c r="HM437" s="105"/>
      <c r="HN437" s="105"/>
      <c r="HO437" s="105"/>
      <c r="HP437" s="105"/>
      <c r="HQ437" s="105"/>
      <c r="HR437" s="105"/>
      <c r="HS437" s="105"/>
      <c r="HT437" s="105"/>
      <c r="HU437" s="105"/>
      <c r="HV437" s="105"/>
      <c r="HW437" s="105"/>
      <c r="HX437" s="105"/>
      <c r="HY437" s="105"/>
      <c r="HZ437" s="105"/>
      <c r="IA437" s="105"/>
      <c r="IB437" s="105"/>
      <c r="IC437" s="105"/>
      <c r="ID437" s="105"/>
      <c r="IE437" s="105"/>
      <c r="IF437" s="105"/>
      <c r="IG437" s="105"/>
      <c r="IH437" s="105"/>
      <c r="II437" s="105"/>
      <c r="IJ437" s="105"/>
      <c r="IK437" s="105"/>
      <c r="IL437" s="105"/>
      <c r="IM437" s="105"/>
      <c r="IN437" s="105"/>
      <c r="IO437" s="105"/>
      <c r="IP437" s="105"/>
      <c r="IQ437" s="105"/>
      <c r="IR437" s="105"/>
      <c r="IS437" s="105"/>
    </row>
    <row r="438" spans="1:253">
      <c r="A438" s="116"/>
      <c r="B438" s="105"/>
      <c r="C438" s="116"/>
      <c r="D438" s="116"/>
      <c r="E438" s="116"/>
      <c r="F438" s="116"/>
      <c r="G438" s="116"/>
      <c r="H438" s="116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05"/>
      <c r="BF438" s="105"/>
      <c r="BG438" s="105"/>
      <c r="BH438" s="105"/>
      <c r="BI438" s="105"/>
      <c r="BJ438" s="105"/>
      <c r="BK438" s="105"/>
      <c r="BL438" s="105"/>
      <c r="BM438" s="105"/>
      <c r="BN438" s="105"/>
      <c r="BO438" s="105"/>
      <c r="BP438" s="105"/>
      <c r="BQ438" s="105"/>
      <c r="BR438" s="105"/>
      <c r="BS438" s="105"/>
      <c r="BT438" s="105"/>
      <c r="BU438" s="105"/>
      <c r="BV438" s="105"/>
      <c r="BW438" s="105"/>
      <c r="BX438" s="105"/>
      <c r="BY438" s="105"/>
      <c r="BZ438" s="105"/>
      <c r="CA438" s="105"/>
      <c r="CB438" s="105"/>
      <c r="CC438" s="105"/>
      <c r="CD438" s="105"/>
      <c r="CE438" s="105"/>
      <c r="CF438" s="105"/>
      <c r="CG438" s="105"/>
      <c r="CH438" s="105"/>
      <c r="CI438" s="105"/>
      <c r="CJ438" s="105"/>
      <c r="CK438" s="105"/>
      <c r="CL438" s="105"/>
      <c r="CM438" s="105"/>
      <c r="CN438" s="105"/>
      <c r="CO438" s="105"/>
      <c r="CP438" s="105"/>
      <c r="CQ438" s="105"/>
      <c r="CR438" s="105"/>
      <c r="CS438" s="105"/>
      <c r="CT438" s="105"/>
      <c r="CU438" s="105"/>
      <c r="CV438" s="105"/>
      <c r="CW438" s="105"/>
      <c r="CX438" s="105"/>
      <c r="CY438" s="105"/>
      <c r="CZ438" s="105"/>
      <c r="DA438" s="105"/>
      <c r="DB438" s="105"/>
      <c r="DC438" s="105"/>
      <c r="DD438" s="105"/>
      <c r="DE438" s="105"/>
      <c r="DF438" s="105"/>
      <c r="DG438" s="105"/>
      <c r="DH438" s="105"/>
      <c r="DI438" s="105"/>
      <c r="DJ438" s="105"/>
      <c r="DK438" s="105"/>
      <c r="DL438" s="105"/>
      <c r="DM438" s="105"/>
      <c r="DN438" s="105"/>
      <c r="DO438" s="105"/>
      <c r="DP438" s="105"/>
      <c r="DQ438" s="105"/>
      <c r="DR438" s="105"/>
      <c r="DS438" s="105"/>
      <c r="DT438" s="105"/>
      <c r="DU438" s="105"/>
      <c r="DV438" s="105"/>
      <c r="DW438" s="105"/>
      <c r="DX438" s="105"/>
      <c r="DY438" s="105"/>
      <c r="DZ438" s="105"/>
      <c r="EA438" s="105"/>
      <c r="EB438" s="105"/>
      <c r="EC438" s="105"/>
      <c r="ED438" s="105"/>
      <c r="EE438" s="105"/>
      <c r="EF438" s="105"/>
      <c r="EG438" s="105"/>
      <c r="EH438" s="105"/>
      <c r="EI438" s="105"/>
      <c r="EJ438" s="105"/>
      <c r="EK438" s="105"/>
      <c r="EL438" s="105"/>
      <c r="EM438" s="105"/>
      <c r="EN438" s="105"/>
      <c r="EO438" s="105"/>
      <c r="EP438" s="105"/>
      <c r="EQ438" s="105"/>
      <c r="ER438" s="105"/>
      <c r="ES438" s="105"/>
      <c r="ET438" s="105"/>
      <c r="EU438" s="105"/>
      <c r="EV438" s="105"/>
      <c r="EW438" s="105"/>
      <c r="EX438" s="105"/>
      <c r="EY438" s="105"/>
      <c r="EZ438" s="105"/>
      <c r="FA438" s="105"/>
      <c r="FB438" s="105"/>
      <c r="FC438" s="105"/>
      <c r="FD438" s="105"/>
      <c r="FE438" s="105"/>
      <c r="FF438" s="105"/>
      <c r="FG438" s="105"/>
      <c r="FH438" s="105"/>
      <c r="FI438" s="105"/>
      <c r="FJ438" s="105"/>
      <c r="FK438" s="105"/>
      <c r="FL438" s="105"/>
      <c r="FM438" s="105"/>
      <c r="FN438" s="105"/>
      <c r="FO438" s="105"/>
      <c r="FP438" s="105"/>
      <c r="FQ438" s="105"/>
      <c r="FR438" s="105"/>
      <c r="FS438" s="105"/>
      <c r="FT438" s="105"/>
      <c r="FU438" s="105"/>
      <c r="FV438" s="105"/>
      <c r="FW438" s="105"/>
      <c r="FX438" s="105"/>
      <c r="FY438" s="105"/>
      <c r="FZ438" s="105"/>
      <c r="GA438" s="105"/>
      <c r="GB438" s="105"/>
      <c r="GC438" s="105"/>
      <c r="GD438" s="105"/>
      <c r="GE438" s="105"/>
      <c r="GF438" s="105"/>
      <c r="GG438" s="105"/>
      <c r="GH438" s="105"/>
      <c r="GI438" s="105"/>
      <c r="GJ438" s="105"/>
      <c r="GK438" s="105"/>
      <c r="GL438" s="105"/>
      <c r="GM438" s="105"/>
      <c r="GN438" s="105"/>
      <c r="GO438" s="105"/>
      <c r="GP438" s="105"/>
      <c r="GQ438" s="105"/>
      <c r="GR438" s="105"/>
      <c r="GS438" s="105"/>
      <c r="GT438" s="105"/>
      <c r="GU438" s="105"/>
      <c r="GV438" s="105"/>
      <c r="GW438" s="105"/>
      <c r="GX438" s="105"/>
      <c r="GY438" s="105"/>
      <c r="GZ438" s="105"/>
      <c r="HA438" s="105"/>
      <c r="HB438" s="105"/>
      <c r="HC438" s="105"/>
      <c r="HD438" s="105"/>
      <c r="HE438" s="105"/>
      <c r="HF438" s="105"/>
      <c r="HG438" s="105"/>
      <c r="HH438" s="105"/>
      <c r="HI438" s="105"/>
      <c r="HJ438" s="105"/>
      <c r="HK438" s="105"/>
      <c r="HL438" s="105"/>
      <c r="HM438" s="105"/>
      <c r="HN438" s="105"/>
      <c r="HO438" s="105"/>
      <c r="HP438" s="105"/>
      <c r="HQ438" s="105"/>
      <c r="HR438" s="105"/>
      <c r="HS438" s="105"/>
      <c r="HT438" s="105"/>
      <c r="HU438" s="105"/>
      <c r="HV438" s="105"/>
      <c r="HW438" s="105"/>
      <c r="HX438" s="105"/>
      <c r="HY438" s="105"/>
      <c r="HZ438" s="105"/>
      <c r="IA438" s="105"/>
      <c r="IB438" s="105"/>
      <c r="IC438" s="105"/>
      <c r="ID438" s="105"/>
      <c r="IE438" s="105"/>
      <c r="IF438" s="105"/>
      <c r="IG438" s="105"/>
      <c r="IH438" s="105"/>
      <c r="II438" s="105"/>
      <c r="IJ438" s="105"/>
      <c r="IK438" s="105"/>
      <c r="IL438" s="105"/>
      <c r="IM438" s="105"/>
      <c r="IN438" s="105"/>
      <c r="IO438" s="105"/>
      <c r="IP438" s="105"/>
      <c r="IQ438" s="105"/>
      <c r="IR438" s="105"/>
      <c r="IS438" s="105"/>
    </row>
    <row r="439" spans="1:253">
      <c r="A439" s="116"/>
      <c r="B439" s="105"/>
      <c r="C439" s="116"/>
      <c r="D439" s="116"/>
      <c r="E439" s="116"/>
      <c r="F439" s="116"/>
      <c r="G439" s="116"/>
      <c r="H439" s="116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  <c r="AU439" s="105"/>
      <c r="AV439" s="105"/>
      <c r="AW439" s="105"/>
      <c r="AX439" s="105"/>
      <c r="AY439" s="105"/>
      <c r="AZ439" s="105"/>
      <c r="BA439" s="105"/>
      <c r="BB439" s="105"/>
      <c r="BC439" s="105"/>
      <c r="BD439" s="105"/>
      <c r="BE439" s="105"/>
      <c r="BF439" s="105"/>
      <c r="BG439" s="105"/>
      <c r="BH439" s="105"/>
      <c r="BI439" s="105"/>
      <c r="BJ439" s="105"/>
      <c r="BK439" s="105"/>
      <c r="BL439" s="105"/>
      <c r="BM439" s="105"/>
      <c r="BN439" s="105"/>
      <c r="BO439" s="105"/>
      <c r="BP439" s="105"/>
      <c r="BQ439" s="105"/>
      <c r="BR439" s="105"/>
      <c r="BS439" s="105"/>
      <c r="BT439" s="105"/>
      <c r="BU439" s="105"/>
      <c r="BV439" s="105"/>
      <c r="BW439" s="105"/>
      <c r="BX439" s="105"/>
      <c r="BY439" s="105"/>
      <c r="BZ439" s="105"/>
      <c r="CA439" s="105"/>
      <c r="CB439" s="105"/>
      <c r="CC439" s="105"/>
      <c r="CD439" s="105"/>
      <c r="CE439" s="105"/>
      <c r="CF439" s="105"/>
      <c r="CG439" s="105"/>
      <c r="CH439" s="105"/>
      <c r="CI439" s="105"/>
      <c r="CJ439" s="105"/>
      <c r="CK439" s="105"/>
      <c r="CL439" s="105"/>
      <c r="CM439" s="105"/>
      <c r="CN439" s="105"/>
      <c r="CO439" s="105"/>
      <c r="CP439" s="105"/>
      <c r="CQ439" s="105"/>
      <c r="CR439" s="105"/>
      <c r="CS439" s="105"/>
      <c r="CT439" s="105"/>
      <c r="CU439" s="105"/>
      <c r="CV439" s="105"/>
      <c r="CW439" s="105"/>
      <c r="CX439" s="105"/>
      <c r="CY439" s="105"/>
      <c r="CZ439" s="105"/>
      <c r="DA439" s="105"/>
      <c r="DB439" s="105"/>
      <c r="DC439" s="105"/>
      <c r="DD439" s="105"/>
      <c r="DE439" s="105"/>
      <c r="DF439" s="105"/>
      <c r="DG439" s="105"/>
      <c r="DH439" s="105"/>
      <c r="DI439" s="105"/>
      <c r="DJ439" s="105"/>
      <c r="DK439" s="105"/>
      <c r="DL439" s="105"/>
      <c r="DM439" s="105"/>
      <c r="DN439" s="105"/>
      <c r="DO439" s="105"/>
      <c r="DP439" s="105"/>
      <c r="DQ439" s="105"/>
      <c r="DR439" s="105"/>
      <c r="DS439" s="105"/>
      <c r="DT439" s="105"/>
      <c r="DU439" s="105"/>
      <c r="DV439" s="105"/>
      <c r="DW439" s="105"/>
      <c r="DX439" s="105"/>
      <c r="DY439" s="105"/>
      <c r="DZ439" s="105"/>
      <c r="EA439" s="105"/>
      <c r="EB439" s="105"/>
      <c r="EC439" s="105"/>
      <c r="ED439" s="105"/>
      <c r="EE439" s="105"/>
      <c r="EF439" s="105"/>
      <c r="EG439" s="105"/>
      <c r="EH439" s="105"/>
      <c r="EI439" s="105"/>
      <c r="EJ439" s="105"/>
      <c r="EK439" s="105"/>
      <c r="EL439" s="105"/>
      <c r="EM439" s="105"/>
      <c r="EN439" s="105"/>
      <c r="EO439" s="105"/>
      <c r="EP439" s="105"/>
      <c r="EQ439" s="105"/>
      <c r="ER439" s="105"/>
      <c r="ES439" s="105"/>
      <c r="ET439" s="105"/>
      <c r="EU439" s="105"/>
      <c r="EV439" s="105"/>
      <c r="EW439" s="105"/>
      <c r="EX439" s="105"/>
      <c r="EY439" s="105"/>
      <c r="EZ439" s="105"/>
      <c r="FA439" s="105"/>
      <c r="FB439" s="105"/>
      <c r="FC439" s="105"/>
      <c r="FD439" s="105"/>
      <c r="FE439" s="105"/>
      <c r="FF439" s="105"/>
      <c r="FG439" s="105"/>
      <c r="FH439" s="105"/>
      <c r="FI439" s="105"/>
      <c r="FJ439" s="105"/>
      <c r="FK439" s="105"/>
      <c r="FL439" s="105"/>
      <c r="FM439" s="105"/>
      <c r="FN439" s="105"/>
      <c r="FO439" s="105"/>
      <c r="FP439" s="105"/>
      <c r="FQ439" s="105"/>
      <c r="FR439" s="105"/>
      <c r="FS439" s="105"/>
      <c r="FT439" s="105"/>
      <c r="FU439" s="105"/>
      <c r="FV439" s="105"/>
      <c r="FW439" s="105"/>
      <c r="FX439" s="105"/>
      <c r="FY439" s="105"/>
      <c r="FZ439" s="105"/>
      <c r="GA439" s="105"/>
      <c r="GB439" s="105"/>
      <c r="GC439" s="105"/>
      <c r="GD439" s="105"/>
      <c r="GE439" s="105"/>
      <c r="GF439" s="105"/>
      <c r="GG439" s="105"/>
      <c r="GH439" s="105"/>
      <c r="GI439" s="105"/>
      <c r="GJ439" s="105"/>
      <c r="GK439" s="105"/>
      <c r="GL439" s="105"/>
      <c r="GM439" s="105"/>
      <c r="GN439" s="105"/>
      <c r="GO439" s="105"/>
      <c r="GP439" s="105"/>
      <c r="GQ439" s="105"/>
      <c r="GR439" s="105"/>
      <c r="GS439" s="105"/>
      <c r="GT439" s="105"/>
      <c r="GU439" s="105"/>
      <c r="GV439" s="105"/>
      <c r="GW439" s="105"/>
      <c r="GX439" s="105"/>
      <c r="GY439" s="105"/>
      <c r="GZ439" s="105"/>
      <c r="HA439" s="105"/>
      <c r="HB439" s="105"/>
      <c r="HC439" s="105"/>
      <c r="HD439" s="105"/>
      <c r="HE439" s="105"/>
      <c r="HF439" s="105"/>
      <c r="HG439" s="105"/>
      <c r="HH439" s="105"/>
      <c r="HI439" s="105"/>
      <c r="HJ439" s="105"/>
      <c r="HK439" s="105"/>
      <c r="HL439" s="105"/>
      <c r="HM439" s="105"/>
      <c r="HN439" s="105"/>
      <c r="HO439" s="105"/>
      <c r="HP439" s="105"/>
      <c r="HQ439" s="105"/>
      <c r="HR439" s="105"/>
      <c r="HS439" s="105"/>
      <c r="HT439" s="105"/>
      <c r="HU439" s="105"/>
      <c r="HV439" s="105"/>
      <c r="HW439" s="105"/>
      <c r="HX439" s="105"/>
      <c r="HY439" s="105"/>
      <c r="HZ439" s="105"/>
      <c r="IA439" s="105"/>
      <c r="IB439" s="105"/>
      <c r="IC439" s="105"/>
      <c r="ID439" s="105"/>
      <c r="IE439" s="105"/>
      <c r="IF439" s="105"/>
      <c r="IG439" s="105"/>
      <c r="IH439" s="105"/>
      <c r="II439" s="105"/>
      <c r="IJ439" s="105"/>
      <c r="IK439" s="105"/>
      <c r="IL439" s="105"/>
      <c r="IM439" s="105"/>
      <c r="IN439" s="105"/>
      <c r="IO439" s="105"/>
      <c r="IP439" s="105"/>
      <c r="IQ439" s="105"/>
      <c r="IR439" s="105"/>
      <c r="IS439" s="105"/>
    </row>
    <row r="440" spans="1:253">
      <c r="A440" s="116"/>
      <c r="B440" s="105"/>
      <c r="C440" s="116"/>
      <c r="D440" s="116"/>
      <c r="E440" s="116"/>
      <c r="F440" s="116"/>
      <c r="G440" s="116"/>
      <c r="H440" s="116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05"/>
      <c r="BF440" s="105"/>
      <c r="BG440" s="105"/>
      <c r="BH440" s="105"/>
      <c r="BI440" s="105"/>
      <c r="BJ440" s="105"/>
      <c r="BK440" s="105"/>
      <c r="BL440" s="105"/>
      <c r="BM440" s="105"/>
      <c r="BN440" s="105"/>
      <c r="BO440" s="105"/>
      <c r="BP440" s="105"/>
      <c r="BQ440" s="105"/>
      <c r="BR440" s="105"/>
      <c r="BS440" s="105"/>
      <c r="BT440" s="105"/>
      <c r="BU440" s="105"/>
      <c r="BV440" s="105"/>
      <c r="BW440" s="105"/>
      <c r="BX440" s="105"/>
      <c r="BY440" s="105"/>
      <c r="BZ440" s="105"/>
      <c r="CA440" s="105"/>
      <c r="CB440" s="105"/>
      <c r="CC440" s="105"/>
      <c r="CD440" s="105"/>
      <c r="CE440" s="105"/>
      <c r="CF440" s="105"/>
      <c r="CG440" s="105"/>
      <c r="CH440" s="105"/>
      <c r="CI440" s="105"/>
      <c r="CJ440" s="105"/>
      <c r="CK440" s="105"/>
      <c r="CL440" s="105"/>
      <c r="CM440" s="105"/>
      <c r="CN440" s="105"/>
      <c r="CO440" s="105"/>
      <c r="CP440" s="105"/>
      <c r="CQ440" s="105"/>
      <c r="CR440" s="105"/>
      <c r="CS440" s="105"/>
      <c r="CT440" s="105"/>
      <c r="CU440" s="105"/>
      <c r="CV440" s="105"/>
      <c r="CW440" s="105"/>
      <c r="CX440" s="105"/>
      <c r="CY440" s="105"/>
      <c r="CZ440" s="105"/>
      <c r="DA440" s="105"/>
      <c r="DB440" s="105"/>
      <c r="DC440" s="105"/>
      <c r="DD440" s="105"/>
      <c r="DE440" s="105"/>
      <c r="DF440" s="105"/>
      <c r="DG440" s="105"/>
      <c r="DH440" s="105"/>
      <c r="DI440" s="105"/>
      <c r="DJ440" s="105"/>
      <c r="DK440" s="105"/>
      <c r="DL440" s="105"/>
      <c r="DM440" s="105"/>
      <c r="DN440" s="105"/>
      <c r="DO440" s="105"/>
      <c r="DP440" s="105"/>
      <c r="DQ440" s="105"/>
      <c r="DR440" s="105"/>
      <c r="DS440" s="105"/>
      <c r="DT440" s="105"/>
      <c r="DU440" s="105"/>
      <c r="DV440" s="105"/>
      <c r="DW440" s="105"/>
      <c r="DX440" s="105"/>
      <c r="DY440" s="105"/>
      <c r="DZ440" s="105"/>
      <c r="EA440" s="105"/>
      <c r="EB440" s="105"/>
      <c r="EC440" s="105"/>
      <c r="ED440" s="105"/>
      <c r="EE440" s="105"/>
      <c r="EF440" s="105"/>
      <c r="EG440" s="105"/>
      <c r="EH440" s="105"/>
      <c r="EI440" s="105"/>
      <c r="EJ440" s="105"/>
      <c r="EK440" s="105"/>
      <c r="EL440" s="105"/>
      <c r="EM440" s="105"/>
      <c r="EN440" s="105"/>
      <c r="EO440" s="105"/>
      <c r="EP440" s="105"/>
      <c r="EQ440" s="105"/>
      <c r="ER440" s="105"/>
      <c r="ES440" s="105"/>
      <c r="ET440" s="105"/>
      <c r="EU440" s="105"/>
      <c r="EV440" s="105"/>
      <c r="EW440" s="105"/>
      <c r="EX440" s="105"/>
      <c r="EY440" s="105"/>
      <c r="EZ440" s="105"/>
      <c r="FA440" s="105"/>
      <c r="FB440" s="105"/>
      <c r="FC440" s="105"/>
      <c r="FD440" s="105"/>
      <c r="FE440" s="105"/>
      <c r="FF440" s="105"/>
      <c r="FG440" s="105"/>
      <c r="FH440" s="105"/>
      <c r="FI440" s="105"/>
      <c r="FJ440" s="105"/>
      <c r="FK440" s="105"/>
      <c r="FL440" s="105"/>
      <c r="FM440" s="105"/>
      <c r="FN440" s="105"/>
      <c r="FO440" s="105"/>
      <c r="FP440" s="105"/>
      <c r="FQ440" s="105"/>
      <c r="FR440" s="105"/>
      <c r="FS440" s="105"/>
      <c r="FT440" s="105"/>
      <c r="FU440" s="105"/>
      <c r="FV440" s="105"/>
      <c r="FW440" s="105"/>
      <c r="FX440" s="105"/>
      <c r="FY440" s="105"/>
      <c r="FZ440" s="105"/>
      <c r="GA440" s="105"/>
      <c r="GB440" s="105"/>
      <c r="GC440" s="105"/>
      <c r="GD440" s="105"/>
      <c r="GE440" s="105"/>
      <c r="GF440" s="105"/>
      <c r="GG440" s="105"/>
      <c r="GH440" s="105"/>
      <c r="GI440" s="105"/>
      <c r="GJ440" s="105"/>
      <c r="GK440" s="105"/>
      <c r="GL440" s="105"/>
      <c r="GM440" s="105"/>
      <c r="GN440" s="105"/>
      <c r="GO440" s="105"/>
      <c r="GP440" s="105"/>
      <c r="GQ440" s="105"/>
      <c r="GR440" s="105"/>
      <c r="GS440" s="105"/>
      <c r="GT440" s="105"/>
      <c r="GU440" s="105"/>
      <c r="GV440" s="105"/>
      <c r="GW440" s="105"/>
      <c r="GX440" s="105"/>
      <c r="GY440" s="105"/>
      <c r="GZ440" s="105"/>
      <c r="HA440" s="105"/>
      <c r="HB440" s="105"/>
      <c r="HC440" s="105"/>
      <c r="HD440" s="105"/>
      <c r="HE440" s="105"/>
      <c r="HF440" s="105"/>
      <c r="HG440" s="105"/>
      <c r="HH440" s="105"/>
      <c r="HI440" s="105"/>
      <c r="HJ440" s="105"/>
      <c r="HK440" s="105"/>
      <c r="HL440" s="105"/>
      <c r="HM440" s="105"/>
      <c r="HN440" s="105"/>
      <c r="HO440" s="105"/>
      <c r="HP440" s="105"/>
      <c r="HQ440" s="105"/>
      <c r="HR440" s="105"/>
      <c r="HS440" s="105"/>
      <c r="HT440" s="105"/>
      <c r="HU440" s="105"/>
      <c r="HV440" s="105"/>
      <c r="HW440" s="105"/>
      <c r="HX440" s="105"/>
      <c r="HY440" s="105"/>
      <c r="HZ440" s="105"/>
      <c r="IA440" s="105"/>
      <c r="IB440" s="105"/>
      <c r="IC440" s="105"/>
      <c r="ID440" s="105"/>
      <c r="IE440" s="105"/>
      <c r="IF440" s="105"/>
      <c r="IG440" s="105"/>
      <c r="IH440" s="105"/>
      <c r="II440" s="105"/>
      <c r="IJ440" s="105"/>
      <c r="IK440" s="105"/>
      <c r="IL440" s="105"/>
      <c r="IM440" s="105"/>
      <c r="IN440" s="105"/>
      <c r="IO440" s="105"/>
      <c r="IP440" s="105"/>
      <c r="IQ440" s="105"/>
      <c r="IR440" s="105"/>
      <c r="IS440" s="105"/>
    </row>
    <row r="441" spans="1:253">
      <c r="A441" s="116"/>
      <c r="B441" s="105"/>
      <c r="C441" s="116"/>
      <c r="D441" s="116"/>
      <c r="E441" s="116"/>
      <c r="F441" s="116"/>
      <c r="G441" s="116"/>
      <c r="H441" s="116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  <c r="AU441" s="105"/>
      <c r="AV441" s="105"/>
      <c r="AW441" s="105"/>
      <c r="AX441" s="105"/>
      <c r="AY441" s="105"/>
      <c r="AZ441" s="105"/>
      <c r="BA441" s="105"/>
      <c r="BB441" s="105"/>
      <c r="BC441" s="105"/>
      <c r="BD441" s="105"/>
      <c r="BE441" s="105"/>
      <c r="BF441" s="105"/>
      <c r="BG441" s="105"/>
      <c r="BH441" s="105"/>
      <c r="BI441" s="105"/>
      <c r="BJ441" s="105"/>
      <c r="BK441" s="105"/>
      <c r="BL441" s="105"/>
      <c r="BM441" s="105"/>
      <c r="BN441" s="105"/>
      <c r="BO441" s="105"/>
      <c r="BP441" s="105"/>
      <c r="BQ441" s="105"/>
      <c r="BR441" s="105"/>
      <c r="BS441" s="105"/>
      <c r="BT441" s="105"/>
      <c r="BU441" s="105"/>
      <c r="BV441" s="105"/>
      <c r="BW441" s="105"/>
      <c r="BX441" s="105"/>
      <c r="BY441" s="105"/>
      <c r="BZ441" s="105"/>
      <c r="CA441" s="105"/>
      <c r="CB441" s="105"/>
      <c r="CC441" s="105"/>
      <c r="CD441" s="105"/>
      <c r="CE441" s="105"/>
      <c r="CF441" s="105"/>
      <c r="CG441" s="105"/>
      <c r="CH441" s="105"/>
      <c r="CI441" s="105"/>
      <c r="CJ441" s="105"/>
      <c r="CK441" s="105"/>
      <c r="CL441" s="105"/>
      <c r="CM441" s="105"/>
      <c r="CN441" s="105"/>
      <c r="CO441" s="105"/>
      <c r="CP441" s="105"/>
      <c r="CQ441" s="105"/>
      <c r="CR441" s="105"/>
      <c r="CS441" s="105"/>
      <c r="CT441" s="105"/>
      <c r="CU441" s="105"/>
      <c r="CV441" s="105"/>
      <c r="CW441" s="105"/>
      <c r="CX441" s="105"/>
      <c r="CY441" s="105"/>
      <c r="CZ441" s="105"/>
      <c r="DA441" s="105"/>
      <c r="DB441" s="105"/>
      <c r="DC441" s="105"/>
      <c r="DD441" s="105"/>
      <c r="DE441" s="105"/>
      <c r="DF441" s="105"/>
      <c r="DG441" s="105"/>
      <c r="DH441" s="105"/>
      <c r="DI441" s="105"/>
      <c r="DJ441" s="105"/>
      <c r="DK441" s="105"/>
      <c r="DL441" s="105"/>
      <c r="DM441" s="105"/>
      <c r="DN441" s="105"/>
      <c r="DO441" s="105"/>
      <c r="DP441" s="105"/>
      <c r="DQ441" s="105"/>
      <c r="DR441" s="105"/>
      <c r="DS441" s="105"/>
      <c r="DT441" s="105"/>
      <c r="DU441" s="105"/>
      <c r="DV441" s="105"/>
      <c r="DW441" s="105"/>
      <c r="DX441" s="105"/>
      <c r="DY441" s="105"/>
      <c r="DZ441" s="105"/>
      <c r="EA441" s="105"/>
      <c r="EB441" s="105"/>
      <c r="EC441" s="105"/>
      <c r="ED441" s="105"/>
      <c r="EE441" s="105"/>
      <c r="EF441" s="105"/>
      <c r="EG441" s="105"/>
      <c r="EH441" s="105"/>
      <c r="EI441" s="105"/>
      <c r="EJ441" s="105"/>
      <c r="EK441" s="105"/>
      <c r="EL441" s="105"/>
      <c r="EM441" s="105"/>
      <c r="EN441" s="105"/>
      <c r="EO441" s="105"/>
      <c r="EP441" s="105"/>
      <c r="EQ441" s="105"/>
      <c r="ER441" s="105"/>
      <c r="ES441" s="105"/>
      <c r="ET441" s="105"/>
      <c r="EU441" s="105"/>
      <c r="EV441" s="105"/>
      <c r="EW441" s="105"/>
      <c r="EX441" s="105"/>
      <c r="EY441" s="105"/>
      <c r="EZ441" s="105"/>
      <c r="FA441" s="105"/>
      <c r="FB441" s="105"/>
      <c r="FC441" s="105"/>
      <c r="FD441" s="105"/>
      <c r="FE441" s="105"/>
      <c r="FF441" s="105"/>
      <c r="FG441" s="105"/>
      <c r="FH441" s="105"/>
      <c r="FI441" s="105"/>
      <c r="FJ441" s="105"/>
      <c r="FK441" s="105"/>
      <c r="FL441" s="105"/>
      <c r="FM441" s="105"/>
      <c r="FN441" s="105"/>
      <c r="FO441" s="105"/>
      <c r="FP441" s="105"/>
      <c r="FQ441" s="105"/>
      <c r="FR441" s="105"/>
      <c r="FS441" s="105"/>
      <c r="FT441" s="105"/>
      <c r="FU441" s="105"/>
      <c r="FV441" s="105"/>
      <c r="FW441" s="105"/>
      <c r="FX441" s="105"/>
      <c r="FY441" s="105"/>
      <c r="FZ441" s="105"/>
      <c r="GA441" s="105"/>
      <c r="GB441" s="105"/>
      <c r="GC441" s="105"/>
      <c r="GD441" s="105"/>
      <c r="GE441" s="105"/>
      <c r="GF441" s="105"/>
      <c r="GG441" s="105"/>
      <c r="GH441" s="105"/>
      <c r="GI441" s="105"/>
      <c r="GJ441" s="105"/>
      <c r="GK441" s="105"/>
      <c r="GL441" s="105"/>
      <c r="GM441" s="105"/>
      <c r="GN441" s="105"/>
      <c r="GO441" s="105"/>
      <c r="GP441" s="105"/>
      <c r="GQ441" s="105"/>
      <c r="GR441" s="105"/>
      <c r="GS441" s="105"/>
      <c r="GT441" s="105"/>
      <c r="GU441" s="105"/>
      <c r="GV441" s="105"/>
      <c r="GW441" s="105"/>
      <c r="GX441" s="105"/>
      <c r="GY441" s="105"/>
      <c r="GZ441" s="105"/>
      <c r="HA441" s="105"/>
      <c r="HB441" s="105"/>
      <c r="HC441" s="105"/>
      <c r="HD441" s="105"/>
      <c r="HE441" s="105"/>
      <c r="HF441" s="105"/>
      <c r="HG441" s="105"/>
      <c r="HH441" s="105"/>
      <c r="HI441" s="105"/>
      <c r="HJ441" s="105"/>
      <c r="HK441" s="105"/>
      <c r="HL441" s="105"/>
      <c r="HM441" s="105"/>
      <c r="HN441" s="105"/>
      <c r="HO441" s="105"/>
      <c r="HP441" s="105"/>
      <c r="HQ441" s="105"/>
      <c r="HR441" s="105"/>
      <c r="HS441" s="105"/>
      <c r="HT441" s="105"/>
      <c r="HU441" s="105"/>
      <c r="HV441" s="105"/>
      <c r="HW441" s="105"/>
      <c r="HX441" s="105"/>
      <c r="HY441" s="105"/>
      <c r="HZ441" s="105"/>
      <c r="IA441" s="105"/>
      <c r="IB441" s="105"/>
      <c r="IC441" s="105"/>
      <c r="ID441" s="105"/>
      <c r="IE441" s="105"/>
      <c r="IF441" s="105"/>
      <c r="IG441" s="105"/>
      <c r="IH441" s="105"/>
      <c r="II441" s="105"/>
      <c r="IJ441" s="105"/>
      <c r="IK441" s="105"/>
      <c r="IL441" s="105"/>
      <c r="IM441" s="105"/>
      <c r="IN441" s="105"/>
      <c r="IO441" s="105"/>
      <c r="IP441" s="105"/>
      <c r="IQ441" s="105"/>
      <c r="IR441" s="105"/>
      <c r="IS441" s="105"/>
    </row>
    <row r="442" spans="1:253">
      <c r="A442" s="116"/>
      <c r="B442" s="105"/>
      <c r="C442" s="116"/>
      <c r="D442" s="116"/>
      <c r="E442" s="116"/>
      <c r="F442" s="116"/>
      <c r="G442" s="116"/>
      <c r="H442" s="116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05"/>
      <c r="BF442" s="105"/>
      <c r="BG442" s="105"/>
      <c r="BH442" s="105"/>
      <c r="BI442" s="105"/>
      <c r="BJ442" s="105"/>
      <c r="BK442" s="105"/>
      <c r="BL442" s="105"/>
      <c r="BM442" s="105"/>
      <c r="BN442" s="105"/>
      <c r="BO442" s="105"/>
      <c r="BP442" s="105"/>
      <c r="BQ442" s="105"/>
      <c r="BR442" s="105"/>
      <c r="BS442" s="105"/>
      <c r="BT442" s="105"/>
      <c r="BU442" s="105"/>
      <c r="BV442" s="105"/>
      <c r="BW442" s="105"/>
      <c r="BX442" s="105"/>
      <c r="BY442" s="105"/>
      <c r="BZ442" s="105"/>
      <c r="CA442" s="105"/>
      <c r="CB442" s="105"/>
      <c r="CC442" s="105"/>
      <c r="CD442" s="105"/>
      <c r="CE442" s="105"/>
      <c r="CF442" s="105"/>
      <c r="CG442" s="105"/>
      <c r="CH442" s="105"/>
      <c r="CI442" s="105"/>
      <c r="CJ442" s="105"/>
      <c r="CK442" s="105"/>
      <c r="CL442" s="105"/>
      <c r="CM442" s="105"/>
      <c r="CN442" s="105"/>
      <c r="CO442" s="105"/>
      <c r="CP442" s="105"/>
      <c r="CQ442" s="105"/>
      <c r="CR442" s="105"/>
      <c r="CS442" s="105"/>
      <c r="CT442" s="105"/>
      <c r="CU442" s="105"/>
      <c r="CV442" s="105"/>
      <c r="CW442" s="105"/>
      <c r="CX442" s="105"/>
      <c r="CY442" s="105"/>
      <c r="CZ442" s="105"/>
      <c r="DA442" s="105"/>
      <c r="DB442" s="105"/>
      <c r="DC442" s="105"/>
      <c r="DD442" s="105"/>
      <c r="DE442" s="105"/>
      <c r="DF442" s="105"/>
      <c r="DG442" s="105"/>
      <c r="DH442" s="105"/>
      <c r="DI442" s="105"/>
      <c r="DJ442" s="105"/>
      <c r="DK442" s="105"/>
      <c r="DL442" s="105"/>
      <c r="DM442" s="105"/>
      <c r="DN442" s="105"/>
      <c r="DO442" s="105"/>
      <c r="DP442" s="105"/>
      <c r="DQ442" s="105"/>
      <c r="DR442" s="105"/>
      <c r="DS442" s="105"/>
      <c r="DT442" s="105"/>
      <c r="DU442" s="105"/>
      <c r="DV442" s="105"/>
      <c r="DW442" s="105"/>
      <c r="DX442" s="105"/>
      <c r="DY442" s="105"/>
      <c r="DZ442" s="105"/>
      <c r="EA442" s="105"/>
      <c r="EB442" s="105"/>
      <c r="EC442" s="105"/>
      <c r="ED442" s="105"/>
      <c r="EE442" s="105"/>
      <c r="EF442" s="105"/>
      <c r="EG442" s="105"/>
      <c r="EH442" s="105"/>
      <c r="EI442" s="105"/>
      <c r="EJ442" s="105"/>
      <c r="EK442" s="105"/>
      <c r="EL442" s="105"/>
      <c r="EM442" s="105"/>
      <c r="EN442" s="105"/>
      <c r="EO442" s="105"/>
      <c r="EP442" s="105"/>
      <c r="EQ442" s="105"/>
      <c r="ER442" s="105"/>
      <c r="ES442" s="105"/>
      <c r="ET442" s="105"/>
      <c r="EU442" s="105"/>
      <c r="EV442" s="105"/>
      <c r="EW442" s="105"/>
      <c r="EX442" s="105"/>
      <c r="EY442" s="105"/>
      <c r="EZ442" s="105"/>
      <c r="FA442" s="105"/>
      <c r="FB442" s="105"/>
      <c r="FC442" s="105"/>
      <c r="FD442" s="105"/>
      <c r="FE442" s="105"/>
      <c r="FF442" s="105"/>
      <c r="FG442" s="105"/>
      <c r="FH442" s="105"/>
      <c r="FI442" s="105"/>
      <c r="FJ442" s="105"/>
      <c r="FK442" s="105"/>
      <c r="FL442" s="105"/>
      <c r="FM442" s="105"/>
      <c r="FN442" s="105"/>
      <c r="FO442" s="105"/>
      <c r="FP442" s="105"/>
      <c r="FQ442" s="105"/>
      <c r="FR442" s="105"/>
      <c r="FS442" s="105"/>
      <c r="FT442" s="105"/>
      <c r="FU442" s="105"/>
      <c r="FV442" s="105"/>
      <c r="FW442" s="105"/>
      <c r="FX442" s="105"/>
      <c r="FY442" s="105"/>
      <c r="FZ442" s="105"/>
      <c r="GA442" s="105"/>
      <c r="GB442" s="105"/>
      <c r="GC442" s="105"/>
      <c r="GD442" s="105"/>
      <c r="GE442" s="105"/>
      <c r="GF442" s="105"/>
      <c r="GG442" s="105"/>
      <c r="GH442" s="105"/>
      <c r="GI442" s="105"/>
      <c r="GJ442" s="105"/>
      <c r="GK442" s="105"/>
      <c r="GL442" s="105"/>
      <c r="GM442" s="105"/>
      <c r="GN442" s="105"/>
      <c r="GO442" s="105"/>
      <c r="GP442" s="105"/>
      <c r="GQ442" s="105"/>
      <c r="GR442" s="105"/>
      <c r="GS442" s="105"/>
      <c r="GT442" s="105"/>
      <c r="GU442" s="105"/>
      <c r="GV442" s="105"/>
      <c r="GW442" s="105"/>
      <c r="GX442" s="105"/>
      <c r="GY442" s="105"/>
      <c r="GZ442" s="105"/>
      <c r="HA442" s="105"/>
      <c r="HB442" s="105"/>
      <c r="HC442" s="105"/>
      <c r="HD442" s="105"/>
      <c r="HE442" s="105"/>
      <c r="HF442" s="105"/>
      <c r="HG442" s="105"/>
      <c r="HH442" s="105"/>
      <c r="HI442" s="105"/>
      <c r="HJ442" s="105"/>
      <c r="HK442" s="105"/>
      <c r="HL442" s="105"/>
      <c r="HM442" s="105"/>
      <c r="HN442" s="105"/>
      <c r="HO442" s="105"/>
      <c r="HP442" s="105"/>
      <c r="HQ442" s="105"/>
      <c r="HR442" s="105"/>
      <c r="HS442" s="105"/>
      <c r="HT442" s="105"/>
      <c r="HU442" s="105"/>
      <c r="HV442" s="105"/>
      <c r="HW442" s="105"/>
      <c r="HX442" s="105"/>
      <c r="HY442" s="105"/>
      <c r="HZ442" s="105"/>
      <c r="IA442" s="105"/>
      <c r="IB442" s="105"/>
      <c r="IC442" s="105"/>
      <c r="ID442" s="105"/>
      <c r="IE442" s="105"/>
      <c r="IF442" s="105"/>
      <c r="IG442" s="105"/>
      <c r="IH442" s="105"/>
      <c r="II442" s="105"/>
      <c r="IJ442" s="105"/>
      <c r="IK442" s="105"/>
      <c r="IL442" s="105"/>
      <c r="IM442" s="105"/>
      <c r="IN442" s="105"/>
      <c r="IO442" s="105"/>
      <c r="IP442" s="105"/>
      <c r="IQ442" s="105"/>
      <c r="IR442" s="105"/>
      <c r="IS442" s="105"/>
    </row>
    <row r="443" spans="1:253">
      <c r="A443" s="116"/>
      <c r="B443" s="105"/>
      <c r="C443" s="116"/>
      <c r="D443" s="116"/>
      <c r="E443" s="116"/>
      <c r="F443" s="116"/>
      <c r="G443" s="116"/>
      <c r="H443" s="116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05"/>
      <c r="BF443" s="105"/>
      <c r="BG443" s="105"/>
      <c r="BH443" s="105"/>
      <c r="BI443" s="105"/>
      <c r="BJ443" s="105"/>
      <c r="BK443" s="105"/>
      <c r="BL443" s="105"/>
      <c r="BM443" s="105"/>
      <c r="BN443" s="105"/>
      <c r="BO443" s="105"/>
      <c r="BP443" s="105"/>
      <c r="BQ443" s="105"/>
      <c r="BR443" s="105"/>
      <c r="BS443" s="105"/>
      <c r="BT443" s="105"/>
      <c r="BU443" s="105"/>
      <c r="BV443" s="105"/>
      <c r="BW443" s="105"/>
      <c r="BX443" s="105"/>
      <c r="BY443" s="105"/>
      <c r="BZ443" s="105"/>
      <c r="CA443" s="105"/>
      <c r="CB443" s="105"/>
      <c r="CC443" s="105"/>
      <c r="CD443" s="105"/>
      <c r="CE443" s="105"/>
      <c r="CF443" s="105"/>
      <c r="CG443" s="105"/>
      <c r="CH443" s="105"/>
      <c r="CI443" s="105"/>
      <c r="CJ443" s="105"/>
      <c r="CK443" s="105"/>
      <c r="CL443" s="105"/>
      <c r="CM443" s="105"/>
      <c r="CN443" s="105"/>
      <c r="CO443" s="105"/>
      <c r="CP443" s="105"/>
      <c r="CQ443" s="105"/>
      <c r="CR443" s="105"/>
      <c r="CS443" s="105"/>
      <c r="CT443" s="105"/>
      <c r="CU443" s="105"/>
      <c r="CV443" s="105"/>
      <c r="CW443" s="105"/>
      <c r="CX443" s="105"/>
      <c r="CY443" s="105"/>
      <c r="CZ443" s="105"/>
      <c r="DA443" s="105"/>
      <c r="DB443" s="105"/>
      <c r="DC443" s="105"/>
      <c r="DD443" s="105"/>
      <c r="DE443" s="105"/>
      <c r="DF443" s="105"/>
      <c r="DG443" s="105"/>
      <c r="DH443" s="105"/>
      <c r="DI443" s="105"/>
      <c r="DJ443" s="105"/>
      <c r="DK443" s="105"/>
      <c r="DL443" s="105"/>
      <c r="DM443" s="105"/>
      <c r="DN443" s="105"/>
      <c r="DO443" s="105"/>
      <c r="DP443" s="105"/>
      <c r="DQ443" s="105"/>
      <c r="DR443" s="105"/>
      <c r="DS443" s="105"/>
      <c r="DT443" s="105"/>
      <c r="DU443" s="105"/>
      <c r="DV443" s="105"/>
      <c r="DW443" s="105"/>
      <c r="DX443" s="105"/>
      <c r="DY443" s="105"/>
      <c r="DZ443" s="105"/>
      <c r="EA443" s="105"/>
      <c r="EB443" s="105"/>
      <c r="EC443" s="105"/>
      <c r="ED443" s="105"/>
      <c r="EE443" s="105"/>
      <c r="EF443" s="105"/>
      <c r="EG443" s="105"/>
      <c r="EH443" s="105"/>
      <c r="EI443" s="105"/>
      <c r="EJ443" s="105"/>
      <c r="EK443" s="105"/>
      <c r="EL443" s="105"/>
      <c r="EM443" s="105"/>
      <c r="EN443" s="105"/>
      <c r="EO443" s="105"/>
      <c r="EP443" s="105"/>
      <c r="EQ443" s="105"/>
      <c r="ER443" s="105"/>
      <c r="ES443" s="105"/>
      <c r="ET443" s="105"/>
      <c r="EU443" s="105"/>
      <c r="EV443" s="105"/>
      <c r="EW443" s="105"/>
      <c r="EX443" s="105"/>
      <c r="EY443" s="105"/>
      <c r="EZ443" s="105"/>
      <c r="FA443" s="105"/>
      <c r="FB443" s="105"/>
      <c r="FC443" s="105"/>
      <c r="FD443" s="105"/>
      <c r="FE443" s="105"/>
      <c r="FF443" s="105"/>
      <c r="FG443" s="105"/>
      <c r="FH443" s="105"/>
      <c r="FI443" s="105"/>
      <c r="FJ443" s="105"/>
      <c r="FK443" s="105"/>
      <c r="FL443" s="105"/>
      <c r="FM443" s="105"/>
      <c r="FN443" s="105"/>
      <c r="FO443" s="105"/>
      <c r="FP443" s="105"/>
      <c r="FQ443" s="105"/>
      <c r="FR443" s="105"/>
      <c r="FS443" s="105"/>
      <c r="FT443" s="105"/>
      <c r="FU443" s="105"/>
      <c r="FV443" s="105"/>
      <c r="FW443" s="105"/>
      <c r="FX443" s="105"/>
      <c r="FY443" s="105"/>
      <c r="FZ443" s="105"/>
      <c r="GA443" s="105"/>
      <c r="GB443" s="105"/>
      <c r="GC443" s="105"/>
      <c r="GD443" s="105"/>
      <c r="GE443" s="105"/>
      <c r="GF443" s="105"/>
      <c r="GG443" s="105"/>
      <c r="GH443" s="105"/>
      <c r="GI443" s="105"/>
      <c r="GJ443" s="105"/>
      <c r="GK443" s="105"/>
      <c r="GL443" s="105"/>
      <c r="GM443" s="105"/>
      <c r="GN443" s="105"/>
      <c r="GO443" s="105"/>
      <c r="GP443" s="105"/>
      <c r="GQ443" s="105"/>
      <c r="GR443" s="105"/>
      <c r="GS443" s="105"/>
      <c r="GT443" s="105"/>
      <c r="GU443" s="105"/>
      <c r="GV443" s="105"/>
      <c r="GW443" s="105"/>
      <c r="GX443" s="105"/>
      <c r="GY443" s="105"/>
      <c r="GZ443" s="105"/>
      <c r="HA443" s="105"/>
      <c r="HB443" s="105"/>
      <c r="HC443" s="105"/>
      <c r="HD443" s="105"/>
      <c r="HE443" s="105"/>
      <c r="HF443" s="105"/>
      <c r="HG443" s="105"/>
      <c r="HH443" s="105"/>
      <c r="HI443" s="105"/>
      <c r="HJ443" s="105"/>
      <c r="HK443" s="105"/>
      <c r="HL443" s="105"/>
      <c r="HM443" s="105"/>
      <c r="HN443" s="105"/>
      <c r="HO443" s="105"/>
      <c r="HP443" s="105"/>
      <c r="HQ443" s="105"/>
      <c r="HR443" s="105"/>
      <c r="HS443" s="105"/>
      <c r="HT443" s="105"/>
      <c r="HU443" s="105"/>
      <c r="HV443" s="105"/>
      <c r="HW443" s="105"/>
      <c r="HX443" s="105"/>
      <c r="HY443" s="105"/>
      <c r="HZ443" s="105"/>
      <c r="IA443" s="105"/>
      <c r="IB443" s="105"/>
      <c r="IC443" s="105"/>
      <c r="ID443" s="105"/>
      <c r="IE443" s="105"/>
      <c r="IF443" s="105"/>
      <c r="IG443" s="105"/>
      <c r="IH443" s="105"/>
      <c r="II443" s="105"/>
      <c r="IJ443" s="105"/>
      <c r="IK443" s="105"/>
      <c r="IL443" s="105"/>
      <c r="IM443" s="105"/>
      <c r="IN443" s="105"/>
      <c r="IO443" s="105"/>
      <c r="IP443" s="105"/>
      <c r="IQ443" s="105"/>
      <c r="IR443" s="105"/>
      <c r="IS443" s="105"/>
    </row>
    <row r="444" spans="1:253">
      <c r="A444" s="116"/>
      <c r="B444" s="105"/>
      <c r="C444" s="116"/>
      <c r="D444" s="116"/>
      <c r="E444" s="116"/>
      <c r="F444" s="116"/>
      <c r="G444" s="116"/>
      <c r="H444" s="116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05"/>
      <c r="BF444" s="105"/>
      <c r="BG444" s="105"/>
      <c r="BH444" s="105"/>
      <c r="BI444" s="105"/>
      <c r="BJ444" s="105"/>
      <c r="BK444" s="105"/>
      <c r="BL444" s="105"/>
      <c r="BM444" s="105"/>
      <c r="BN444" s="105"/>
      <c r="BO444" s="105"/>
      <c r="BP444" s="105"/>
      <c r="BQ444" s="105"/>
      <c r="BR444" s="105"/>
      <c r="BS444" s="105"/>
      <c r="BT444" s="105"/>
      <c r="BU444" s="105"/>
      <c r="BV444" s="105"/>
      <c r="BW444" s="105"/>
      <c r="BX444" s="105"/>
      <c r="BY444" s="105"/>
      <c r="BZ444" s="105"/>
      <c r="CA444" s="105"/>
      <c r="CB444" s="105"/>
      <c r="CC444" s="105"/>
      <c r="CD444" s="105"/>
      <c r="CE444" s="105"/>
      <c r="CF444" s="105"/>
      <c r="CG444" s="105"/>
      <c r="CH444" s="105"/>
      <c r="CI444" s="105"/>
      <c r="CJ444" s="105"/>
      <c r="CK444" s="105"/>
      <c r="CL444" s="105"/>
      <c r="CM444" s="105"/>
      <c r="CN444" s="105"/>
      <c r="CO444" s="105"/>
      <c r="CP444" s="105"/>
      <c r="CQ444" s="105"/>
      <c r="CR444" s="105"/>
      <c r="CS444" s="105"/>
      <c r="CT444" s="105"/>
      <c r="CU444" s="105"/>
      <c r="CV444" s="105"/>
      <c r="CW444" s="105"/>
      <c r="CX444" s="105"/>
      <c r="CY444" s="105"/>
      <c r="CZ444" s="105"/>
      <c r="DA444" s="105"/>
      <c r="DB444" s="105"/>
      <c r="DC444" s="105"/>
      <c r="DD444" s="105"/>
      <c r="DE444" s="105"/>
      <c r="DF444" s="105"/>
      <c r="DG444" s="105"/>
      <c r="DH444" s="105"/>
      <c r="DI444" s="105"/>
      <c r="DJ444" s="105"/>
      <c r="DK444" s="105"/>
      <c r="DL444" s="105"/>
      <c r="DM444" s="105"/>
      <c r="DN444" s="105"/>
      <c r="DO444" s="105"/>
      <c r="DP444" s="105"/>
      <c r="DQ444" s="105"/>
      <c r="DR444" s="105"/>
      <c r="DS444" s="105"/>
      <c r="DT444" s="105"/>
      <c r="DU444" s="105"/>
      <c r="DV444" s="105"/>
      <c r="DW444" s="105"/>
      <c r="DX444" s="105"/>
      <c r="DY444" s="105"/>
      <c r="DZ444" s="105"/>
      <c r="EA444" s="105"/>
      <c r="EB444" s="105"/>
      <c r="EC444" s="105"/>
      <c r="ED444" s="105"/>
      <c r="EE444" s="105"/>
      <c r="EF444" s="105"/>
      <c r="EG444" s="105"/>
      <c r="EH444" s="105"/>
      <c r="EI444" s="105"/>
      <c r="EJ444" s="105"/>
      <c r="EK444" s="105"/>
      <c r="EL444" s="105"/>
      <c r="EM444" s="105"/>
      <c r="EN444" s="105"/>
      <c r="EO444" s="105"/>
      <c r="EP444" s="105"/>
      <c r="EQ444" s="105"/>
      <c r="ER444" s="105"/>
      <c r="ES444" s="105"/>
      <c r="ET444" s="105"/>
      <c r="EU444" s="105"/>
      <c r="EV444" s="105"/>
      <c r="EW444" s="105"/>
      <c r="EX444" s="105"/>
      <c r="EY444" s="105"/>
      <c r="EZ444" s="105"/>
      <c r="FA444" s="105"/>
      <c r="FB444" s="105"/>
      <c r="FC444" s="105"/>
      <c r="FD444" s="105"/>
      <c r="FE444" s="105"/>
      <c r="FF444" s="105"/>
      <c r="FG444" s="105"/>
      <c r="FH444" s="105"/>
      <c r="FI444" s="105"/>
      <c r="FJ444" s="105"/>
      <c r="FK444" s="105"/>
      <c r="FL444" s="105"/>
      <c r="FM444" s="105"/>
      <c r="FN444" s="105"/>
      <c r="FO444" s="105"/>
      <c r="FP444" s="105"/>
      <c r="FQ444" s="105"/>
      <c r="FR444" s="105"/>
      <c r="FS444" s="105"/>
      <c r="FT444" s="105"/>
      <c r="FU444" s="105"/>
      <c r="FV444" s="105"/>
      <c r="FW444" s="105"/>
      <c r="FX444" s="105"/>
      <c r="FY444" s="105"/>
      <c r="FZ444" s="105"/>
      <c r="GA444" s="105"/>
      <c r="GB444" s="105"/>
      <c r="GC444" s="105"/>
      <c r="GD444" s="105"/>
      <c r="GE444" s="105"/>
      <c r="GF444" s="105"/>
      <c r="GG444" s="105"/>
      <c r="GH444" s="105"/>
      <c r="GI444" s="105"/>
      <c r="GJ444" s="105"/>
      <c r="GK444" s="105"/>
      <c r="GL444" s="105"/>
      <c r="GM444" s="105"/>
      <c r="GN444" s="105"/>
      <c r="GO444" s="105"/>
      <c r="GP444" s="105"/>
      <c r="GQ444" s="105"/>
      <c r="GR444" s="105"/>
      <c r="GS444" s="105"/>
      <c r="GT444" s="105"/>
      <c r="GU444" s="105"/>
      <c r="GV444" s="105"/>
      <c r="GW444" s="105"/>
      <c r="GX444" s="105"/>
      <c r="GY444" s="105"/>
      <c r="GZ444" s="105"/>
      <c r="HA444" s="105"/>
      <c r="HB444" s="105"/>
      <c r="HC444" s="105"/>
      <c r="HD444" s="105"/>
      <c r="HE444" s="105"/>
      <c r="HF444" s="105"/>
      <c r="HG444" s="105"/>
      <c r="HH444" s="105"/>
      <c r="HI444" s="105"/>
      <c r="HJ444" s="105"/>
      <c r="HK444" s="105"/>
      <c r="HL444" s="105"/>
      <c r="HM444" s="105"/>
      <c r="HN444" s="105"/>
      <c r="HO444" s="105"/>
      <c r="HP444" s="105"/>
      <c r="HQ444" s="105"/>
      <c r="HR444" s="105"/>
      <c r="HS444" s="105"/>
      <c r="HT444" s="105"/>
      <c r="HU444" s="105"/>
      <c r="HV444" s="105"/>
      <c r="HW444" s="105"/>
      <c r="HX444" s="105"/>
      <c r="HY444" s="105"/>
      <c r="HZ444" s="105"/>
      <c r="IA444" s="105"/>
      <c r="IB444" s="105"/>
      <c r="IC444" s="105"/>
      <c r="ID444" s="105"/>
      <c r="IE444" s="105"/>
      <c r="IF444" s="105"/>
      <c r="IG444" s="105"/>
      <c r="IH444" s="105"/>
      <c r="II444" s="105"/>
      <c r="IJ444" s="105"/>
      <c r="IK444" s="105"/>
      <c r="IL444" s="105"/>
      <c r="IM444" s="105"/>
      <c r="IN444" s="105"/>
      <c r="IO444" s="105"/>
      <c r="IP444" s="105"/>
      <c r="IQ444" s="105"/>
      <c r="IR444" s="105"/>
      <c r="IS444" s="105"/>
    </row>
    <row r="445" spans="1:253">
      <c r="A445" s="116"/>
      <c r="B445" s="105"/>
      <c r="C445" s="116"/>
      <c r="D445" s="116"/>
      <c r="E445" s="116"/>
      <c r="F445" s="116"/>
      <c r="G445" s="116"/>
      <c r="H445" s="116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5"/>
      <c r="BE445" s="105"/>
      <c r="BF445" s="105"/>
      <c r="BG445" s="105"/>
      <c r="BH445" s="105"/>
      <c r="BI445" s="105"/>
      <c r="BJ445" s="105"/>
      <c r="BK445" s="105"/>
      <c r="BL445" s="105"/>
      <c r="BM445" s="105"/>
      <c r="BN445" s="105"/>
      <c r="BO445" s="105"/>
      <c r="BP445" s="105"/>
      <c r="BQ445" s="105"/>
      <c r="BR445" s="105"/>
      <c r="BS445" s="105"/>
      <c r="BT445" s="105"/>
      <c r="BU445" s="105"/>
      <c r="BV445" s="105"/>
      <c r="BW445" s="105"/>
      <c r="BX445" s="105"/>
      <c r="BY445" s="105"/>
      <c r="BZ445" s="105"/>
      <c r="CA445" s="105"/>
      <c r="CB445" s="105"/>
      <c r="CC445" s="105"/>
      <c r="CD445" s="105"/>
      <c r="CE445" s="105"/>
      <c r="CF445" s="105"/>
      <c r="CG445" s="105"/>
      <c r="CH445" s="105"/>
      <c r="CI445" s="105"/>
      <c r="CJ445" s="105"/>
      <c r="CK445" s="105"/>
      <c r="CL445" s="105"/>
      <c r="CM445" s="105"/>
      <c r="CN445" s="105"/>
      <c r="CO445" s="105"/>
      <c r="CP445" s="105"/>
      <c r="CQ445" s="105"/>
      <c r="CR445" s="105"/>
      <c r="CS445" s="105"/>
      <c r="CT445" s="105"/>
      <c r="CU445" s="105"/>
      <c r="CV445" s="105"/>
      <c r="CW445" s="105"/>
      <c r="CX445" s="105"/>
      <c r="CY445" s="105"/>
      <c r="CZ445" s="105"/>
      <c r="DA445" s="105"/>
      <c r="DB445" s="105"/>
      <c r="DC445" s="105"/>
      <c r="DD445" s="105"/>
      <c r="DE445" s="105"/>
      <c r="DF445" s="105"/>
      <c r="DG445" s="105"/>
      <c r="DH445" s="105"/>
      <c r="DI445" s="105"/>
      <c r="DJ445" s="105"/>
      <c r="DK445" s="105"/>
      <c r="DL445" s="105"/>
      <c r="DM445" s="105"/>
      <c r="DN445" s="105"/>
      <c r="DO445" s="105"/>
      <c r="DP445" s="105"/>
      <c r="DQ445" s="105"/>
      <c r="DR445" s="105"/>
      <c r="DS445" s="105"/>
      <c r="DT445" s="105"/>
      <c r="DU445" s="105"/>
      <c r="DV445" s="105"/>
      <c r="DW445" s="105"/>
      <c r="DX445" s="105"/>
      <c r="DY445" s="105"/>
      <c r="DZ445" s="105"/>
      <c r="EA445" s="105"/>
      <c r="EB445" s="105"/>
      <c r="EC445" s="105"/>
      <c r="ED445" s="105"/>
      <c r="EE445" s="105"/>
      <c r="EF445" s="105"/>
      <c r="EG445" s="105"/>
      <c r="EH445" s="105"/>
      <c r="EI445" s="105"/>
      <c r="EJ445" s="105"/>
      <c r="EK445" s="105"/>
      <c r="EL445" s="105"/>
      <c r="EM445" s="105"/>
      <c r="EN445" s="105"/>
      <c r="EO445" s="105"/>
      <c r="EP445" s="105"/>
      <c r="EQ445" s="105"/>
      <c r="ER445" s="105"/>
      <c r="ES445" s="105"/>
      <c r="ET445" s="105"/>
      <c r="EU445" s="105"/>
      <c r="EV445" s="105"/>
      <c r="EW445" s="105"/>
      <c r="EX445" s="105"/>
      <c r="EY445" s="105"/>
      <c r="EZ445" s="105"/>
      <c r="FA445" s="105"/>
      <c r="FB445" s="105"/>
      <c r="FC445" s="105"/>
      <c r="FD445" s="105"/>
      <c r="FE445" s="105"/>
      <c r="FF445" s="105"/>
      <c r="FG445" s="105"/>
      <c r="FH445" s="105"/>
      <c r="FI445" s="105"/>
      <c r="FJ445" s="105"/>
      <c r="FK445" s="105"/>
      <c r="FL445" s="105"/>
      <c r="FM445" s="105"/>
      <c r="FN445" s="105"/>
      <c r="FO445" s="105"/>
      <c r="FP445" s="105"/>
      <c r="FQ445" s="105"/>
      <c r="FR445" s="105"/>
      <c r="FS445" s="105"/>
      <c r="FT445" s="105"/>
      <c r="FU445" s="105"/>
      <c r="FV445" s="105"/>
      <c r="FW445" s="105"/>
      <c r="FX445" s="105"/>
      <c r="FY445" s="105"/>
      <c r="FZ445" s="105"/>
      <c r="GA445" s="105"/>
      <c r="GB445" s="105"/>
      <c r="GC445" s="105"/>
      <c r="GD445" s="105"/>
      <c r="GE445" s="105"/>
      <c r="GF445" s="105"/>
      <c r="GG445" s="105"/>
      <c r="GH445" s="105"/>
      <c r="GI445" s="105"/>
      <c r="GJ445" s="105"/>
      <c r="GK445" s="105"/>
      <c r="GL445" s="105"/>
      <c r="GM445" s="105"/>
      <c r="GN445" s="105"/>
      <c r="GO445" s="105"/>
      <c r="GP445" s="105"/>
      <c r="GQ445" s="105"/>
      <c r="GR445" s="105"/>
      <c r="GS445" s="105"/>
      <c r="GT445" s="105"/>
      <c r="GU445" s="105"/>
      <c r="GV445" s="105"/>
      <c r="GW445" s="105"/>
      <c r="GX445" s="105"/>
      <c r="GY445" s="105"/>
      <c r="GZ445" s="105"/>
      <c r="HA445" s="105"/>
      <c r="HB445" s="105"/>
      <c r="HC445" s="105"/>
      <c r="HD445" s="105"/>
      <c r="HE445" s="105"/>
      <c r="HF445" s="105"/>
      <c r="HG445" s="105"/>
      <c r="HH445" s="105"/>
      <c r="HI445" s="105"/>
      <c r="HJ445" s="105"/>
      <c r="HK445" s="105"/>
      <c r="HL445" s="105"/>
      <c r="HM445" s="105"/>
      <c r="HN445" s="105"/>
      <c r="HO445" s="105"/>
      <c r="HP445" s="105"/>
      <c r="HQ445" s="105"/>
      <c r="HR445" s="105"/>
      <c r="HS445" s="105"/>
      <c r="HT445" s="105"/>
      <c r="HU445" s="105"/>
      <c r="HV445" s="105"/>
      <c r="HW445" s="105"/>
      <c r="HX445" s="105"/>
      <c r="HY445" s="105"/>
      <c r="HZ445" s="105"/>
      <c r="IA445" s="105"/>
      <c r="IB445" s="105"/>
      <c r="IC445" s="105"/>
      <c r="ID445" s="105"/>
      <c r="IE445" s="105"/>
      <c r="IF445" s="105"/>
      <c r="IG445" s="105"/>
      <c r="IH445" s="105"/>
      <c r="II445" s="105"/>
      <c r="IJ445" s="105"/>
      <c r="IK445" s="105"/>
      <c r="IL445" s="105"/>
      <c r="IM445" s="105"/>
      <c r="IN445" s="105"/>
      <c r="IO445" s="105"/>
      <c r="IP445" s="105"/>
      <c r="IQ445" s="105"/>
      <c r="IR445" s="105"/>
      <c r="IS445" s="105"/>
    </row>
    <row r="446" spans="1:253">
      <c r="A446" s="116"/>
      <c r="B446" s="105"/>
      <c r="C446" s="116"/>
      <c r="D446" s="116"/>
      <c r="E446" s="116"/>
      <c r="F446" s="116"/>
      <c r="G446" s="116"/>
      <c r="H446" s="116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05"/>
      <c r="BF446" s="105"/>
      <c r="BG446" s="105"/>
      <c r="BH446" s="105"/>
      <c r="BI446" s="105"/>
      <c r="BJ446" s="105"/>
      <c r="BK446" s="105"/>
      <c r="BL446" s="105"/>
      <c r="BM446" s="105"/>
      <c r="BN446" s="105"/>
      <c r="BO446" s="105"/>
      <c r="BP446" s="105"/>
      <c r="BQ446" s="105"/>
      <c r="BR446" s="105"/>
      <c r="BS446" s="105"/>
      <c r="BT446" s="105"/>
      <c r="BU446" s="105"/>
      <c r="BV446" s="105"/>
      <c r="BW446" s="105"/>
      <c r="BX446" s="105"/>
      <c r="BY446" s="105"/>
      <c r="BZ446" s="105"/>
      <c r="CA446" s="105"/>
      <c r="CB446" s="105"/>
      <c r="CC446" s="105"/>
      <c r="CD446" s="105"/>
      <c r="CE446" s="105"/>
      <c r="CF446" s="105"/>
      <c r="CG446" s="105"/>
      <c r="CH446" s="105"/>
      <c r="CI446" s="105"/>
      <c r="CJ446" s="105"/>
      <c r="CK446" s="105"/>
      <c r="CL446" s="105"/>
      <c r="CM446" s="105"/>
      <c r="CN446" s="105"/>
      <c r="CO446" s="105"/>
      <c r="CP446" s="105"/>
      <c r="CQ446" s="105"/>
      <c r="CR446" s="105"/>
      <c r="CS446" s="105"/>
      <c r="CT446" s="105"/>
      <c r="CU446" s="105"/>
      <c r="CV446" s="105"/>
      <c r="CW446" s="105"/>
      <c r="CX446" s="105"/>
      <c r="CY446" s="105"/>
      <c r="CZ446" s="105"/>
      <c r="DA446" s="105"/>
      <c r="DB446" s="105"/>
      <c r="DC446" s="105"/>
      <c r="DD446" s="105"/>
      <c r="DE446" s="105"/>
      <c r="DF446" s="105"/>
      <c r="DG446" s="105"/>
      <c r="DH446" s="105"/>
      <c r="DI446" s="105"/>
      <c r="DJ446" s="105"/>
      <c r="DK446" s="105"/>
      <c r="DL446" s="105"/>
      <c r="DM446" s="105"/>
      <c r="DN446" s="105"/>
      <c r="DO446" s="105"/>
      <c r="DP446" s="105"/>
      <c r="DQ446" s="105"/>
      <c r="DR446" s="105"/>
      <c r="DS446" s="105"/>
      <c r="DT446" s="105"/>
      <c r="DU446" s="105"/>
      <c r="DV446" s="105"/>
      <c r="DW446" s="105"/>
      <c r="DX446" s="105"/>
      <c r="DY446" s="105"/>
      <c r="DZ446" s="105"/>
      <c r="EA446" s="105"/>
      <c r="EB446" s="105"/>
      <c r="EC446" s="105"/>
      <c r="ED446" s="105"/>
      <c r="EE446" s="105"/>
      <c r="EF446" s="105"/>
      <c r="EG446" s="105"/>
      <c r="EH446" s="105"/>
      <c r="EI446" s="105"/>
      <c r="EJ446" s="105"/>
      <c r="EK446" s="105"/>
      <c r="EL446" s="105"/>
      <c r="EM446" s="105"/>
      <c r="EN446" s="105"/>
      <c r="EO446" s="105"/>
      <c r="EP446" s="105"/>
      <c r="EQ446" s="105"/>
      <c r="ER446" s="105"/>
      <c r="ES446" s="105"/>
      <c r="ET446" s="105"/>
      <c r="EU446" s="105"/>
      <c r="EV446" s="105"/>
      <c r="EW446" s="105"/>
      <c r="EX446" s="105"/>
      <c r="EY446" s="105"/>
      <c r="EZ446" s="105"/>
      <c r="FA446" s="105"/>
      <c r="FB446" s="105"/>
      <c r="FC446" s="105"/>
      <c r="FD446" s="105"/>
      <c r="FE446" s="105"/>
      <c r="FF446" s="105"/>
      <c r="FG446" s="105"/>
      <c r="FH446" s="105"/>
      <c r="FI446" s="105"/>
      <c r="FJ446" s="105"/>
      <c r="FK446" s="105"/>
      <c r="FL446" s="105"/>
      <c r="FM446" s="105"/>
      <c r="FN446" s="105"/>
      <c r="FO446" s="105"/>
      <c r="FP446" s="105"/>
      <c r="FQ446" s="105"/>
      <c r="FR446" s="105"/>
      <c r="FS446" s="105"/>
      <c r="FT446" s="105"/>
      <c r="FU446" s="105"/>
      <c r="FV446" s="105"/>
      <c r="FW446" s="105"/>
      <c r="FX446" s="105"/>
      <c r="FY446" s="105"/>
      <c r="FZ446" s="105"/>
      <c r="GA446" s="105"/>
      <c r="GB446" s="105"/>
      <c r="GC446" s="105"/>
      <c r="GD446" s="105"/>
      <c r="GE446" s="105"/>
      <c r="GF446" s="105"/>
      <c r="GG446" s="105"/>
      <c r="GH446" s="105"/>
      <c r="GI446" s="105"/>
      <c r="GJ446" s="105"/>
      <c r="GK446" s="105"/>
      <c r="GL446" s="105"/>
      <c r="GM446" s="105"/>
      <c r="GN446" s="105"/>
      <c r="GO446" s="105"/>
      <c r="GP446" s="105"/>
      <c r="GQ446" s="105"/>
      <c r="GR446" s="105"/>
      <c r="GS446" s="105"/>
      <c r="GT446" s="105"/>
      <c r="GU446" s="105"/>
      <c r="GV446" s="105"/>
      <c r="GW446" s="105"/>
      <c r="GX446" s="105"/>
      <c r="GY446" s="105"/>
      <c r="GZ446" s="105"/>
      <c r="HA446" s="105"/>
      <c r="HB446" s="105"/>
      <c r="HC446" s="105"/>
      <c r="HD446" s="105"/>
      <c r="HE446" s="105"/>
      <c r="HF446" s="105"/>
      <c r="HG446" s="105"/>
      <c r="HH446" s="105"/>
      <c r="HI446" s="105"/>
      <c r="HJ446" s="105"/>
      <c r="HK446" s="105"/>
      <c r="HL446" s="105"/>
      <c r="HM446" s="105"/>
      <c r="HN446" s="105"/>
      <c r="HO446" s="105"/>
      <c r="HP446" s="105"/>
      <c r="HQ446" s="105"/>
      <c r="HR446" s="105"/>
      <c r="HS446" s="105"/>
      <c r="HT446" s="105"/>
      <c r="HU446" s="105"/>
      <c r="HV446" s="105"/>
      <c r="HW446" s="105"/>
      <c r="HX446" s="105"/>
      <c r="HY446" s="105"/>
      <c r="HZ446" s="105"/>
      <c r="IA446" s="105"/>
      <c r="IB446" s="105"/>
      <c r="IC446" s="105"/>
      <c r="ID446" s="105"/>
      <c r="IE446" s="105"/>
      <c r="IF446" s="105"/>
      <c r="IG446" s="105"/>
      <c r="IH446" s="105"/>
      <c r="II446" s="105"/>
      <c r="IJ446" s="105"/>
      <c r="IK446" s="105"/>
      <c r="IL446" s="105"/>
      <c r="IM446" s="105"/>
      <c r="IN446" s="105"/>
      <c r="IO446" s="105"/>
      <c r="IP446" s="105"/>
      <c r="IQ446" s="105"/>
      <c r="IR446" s="105"/>
      <c r="IS446" s="105"/>
    </row>
    <row r="447" spans="1:253">
      <c r="A447" s="116"/>
      <c r="B447" s="105"/>
      <c r="C447" s="116"/>
      <c r="D447" s="116"/>
      <c r="E447" s="116"/>
      <c r="F447" s="116"/>
      <c r="G447" s="116"/>
      <c r="H447" s="116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  <c r="AU447" s="105"/>
      <c r="AV447" s="105"/>
      <c r="AW447" s="105"/>
      <c r="AX447" s="105"/>
      <c r="AY447" s="105"/>
      <c r="AZ447" s="105"/>
      <c r="BA447" s="105"/>
      <c r="BB447" s="105"/>
      <c r="BC447" s="105"/>
      <c r="BD447" s="105"/>
      <c r="BE447" s="105"/>
      <c r="BF447" s="105"/>
      <c r="BG447" s="105"/>
      <c r="BH447" s="105"/>
      <c r="BI447" s="105"/>
      <c r="BJ447" s="105"/>
      <c r="BK447" s="105"/>
      <c r="BL447" s="105"/>
      <c r="BM447" s="105"/>
      <c r="BN447" s="105"/>
      <c r="BO447" s="105"/>
      <c r="BP447" s="105"/>
      <c r="BQ447" s="105"/>
      <c r="BR447" s="105"/>
      <c r="BS447" s="105"/>
      <c r="BT447" s="105"/>
      <c r="BU447" s="105"/>
      <c r="BV447" s="105"/>
      <c r="BW447" s="105"/>
      <c r="BX447" s="105"/>
      <c r="BY447" s="105"/>
      <c r="BZ447" s="105"/>
      <c r="CA447" s="105"/>
      <c r="CB447" s="105"/>
      <c r="CC447" s="105"/>
      <c r="CD447" s="105"/>
      <c r="CE447" s="105"/>
      <c r="CF447" s="105"/>
      <c r="CG447" s="105"/>
      <c r="CH447" s="105"/>
      <c r="CI447" s="105"/>
      <c r="CJ447" s="105"/>
      <c r="CK447" s="105"/>
      <c r="CL447" s="105"/>
      <c r="CM447" s="105"/>
      <c r="CN447" s="105"/>
      <c r="CO447" s="105"/>
      <c r="CP447" s="105"/>
      <c r="CQ447" s="105"/>
      <c r="CR447" s="105"/>
      <c r="CS447" s="105"/>
      <c r="CT447" s="105"/>
      <c r="CU447" s="105"/>
      <c r="CV447" s="105"/>
      <c r="CW447" s="105"/>
      <c r="CX447" s="105"/>
      <c r="CY447" s="105"/>
      <c r="CZ447" s="105"/>
      <c r="DA447" s="105"/>
      <c r="DB447" s="105"/>
      <c r="DC447" s="105"/>
      <c r="DD447" s="105"/>
      <c r="DE447" s="105"/>
      <c r="DF447" s="105"/>
      <c r="DG447" s="105"/>
      <c r="DH447" s="105"/>
      <c r="DI447" s="105"/>
      <c r="DJ447" s="105"/>
      <c r="DK447" s="105"/>
      <c r="DL447" s="105"/>
      <c r="DM447" s="105"/>
      <c r="DN447" s="105"/>
      <c r="DO447" s="105"/>
      <c r="DP447" s="105"/>
      <c r="DQ447" s="105"/>
      <c r="DR447" s="105"/>
      <c r="DS447" s="105"/>
      <c r="DT447" s="105"/>
      <c r="DU447" s="105"/>
      <c r="DV447" s="105"/>
      <c r="DW447" s="105"/>
      <c r="DX447" s="105"/>
      <c r="DY447" s="105"/>
      <c r="DZ447" s="105"/>
      <c r="EA447" s="105"/>
      <c r="EB447" s="105"/>
      <c r="EC447" s="105"/>
      <c r="ED447" s="105"/>
      <c r="EE447" s="105"/>
      <c r="EF447" s="105"/>
      <c r="EG447" s="105"/>
      <c r="EH447" s="105"/>
      <c r="EI447" s="105"/>
      <c r="EJ447" s="105"/>
      <c r="EK447" s="105"/>
      <c r="EL447" s="105"/>
      <c r="EM447" s="105"/>
      <c r="EN447" s="105"/>
      <c r="EO447" s="105"/>
      <c r="EP447" s="105"/>
      <c r="EQ447" s="105"/>
      <c r="ER447" s="105"/>
      <c r="ES447" s="105"/>
      <c r="ET447" s="105"/>
      <c r="EU447" s="105"/>
      <c r="EV447" s="105"/>
      <c r="EW447" s="105"/>
      <c r="EX447" s="105"/>
      <c r="EY447" s="105"/>
      <c r="EZ447" s="105"/>
      <c r="FA447" s="105"/>
      <c r="FB447" s="105"/>
      <c r="FC447" s="105"/>
      <c r="FD447" s="105"/>
      <c r="FE447" s="105"/>
      <c r="FF447" s="105"/>
      <c r="FG447" s="105"/>
      <c r="FH447" s="105"/>
      <c r="FI447" s="105"/>
      <c r="FJ447" s="105"/>
      <c r="FK447" s="105"/>
      <c r="FL447" s="105"/>
      <c r="FM447" s="105"/>
      <c r="FN447" s="105"/>
      <c r="FO447" s="105"/>
      <c r="FP447" s="105"/>
      <c r="FQ447" s="105"/>
      <c r="FR447" s="105"/>
      <c r="FS447" s="105"/>
      <c r="FT447" s="105"/>
      <c r="FU447" s="105"/>
      <c r="FV447" s="105"/>
      <c r="FW447" s="105"/>
      <c r="FX447" s="105"/>
      <c r="FY447" s="105"/>
      <c r="FZ447" s="105"/>
      <c r="GA447" s="105"/>
      <c r="GB447" s="105"/>
      <c r="GC447" s="105"/>
      <c r="GD447" s="105"/>
      <c r="GE447" s="105"/>
      <c r="GF447" s="105"/>
      <c r="GG447" s="105"/>
      <c r="GH447" s="105"/>
      <c r="GI447" s="105"/>
      <c r="GJ447" s="105"/>
      <c r="GK447" s="105"/>
      <c r="GL447" s="105"/>
      <c r="GM447" s="105"/>
      <c r="GN447" s="105"/>
      <c r="GO447" s="105"/>
      <c r="GP447" s="105"/>
      <c r="GQ447" s="105"/>
      <c r="GR447" s="105"/>
      <c r="GS447" s="105"/>
      <c r="GT447" s="105"/>
      <c r="GU447" s="105"/>
      <c r="GV447" s="105"/>
      <c r="GW447" s="105"/>
      <c r="GX447" s="105"/>
      <c r="GY447" s="105"/>
      <c r="GZ447" s="105"/>
      <c r="HA447" s="105"/>
      <c r="HB447" s="105"/>
      <c r="HC447" s="105"/>
      <c r="HD447" s="105"/>
      <c r="HE447" s="105"/>
      <c r="HF447" s="105"/>
      <c r="HG447" s="105"/>
      <c r="HH447" s="105"/>
      <c r="HI447" s="105"/>
      <c r="HJ447" s="105"/>
      <c r="HK447" s="105"/>
      <c r="HL447" s="105"/>
      <c r="HM447" s="105"/>
      <c r="HN447" s="105"/>
      <c r="HO447" s="105"/>
      <c r="HP447" s="105"/>
      <c r="HQ447" s="105"/>
      <c r="HR447" s="105"/>
      <c r="HS447" s="105"/>
      <c r="HT447" s="105"/>
      <c r="HU447" s="105"/>
      <c r="HV447" s="105"/>
      <c r="HW447" s="105"/>
      <c r="HX447" s="105"/>
      <c r="HY447" s="105"/>
      <c r="HZ447" s="105"/>
      <c r="IA447" s="105"/>
      <c r="IB447" s="105"/>
      <c r="IC447" s="105"/>
      <c r="ID447" s="105"/>
      <c r="IE447" s="105"/>
      <c r="IF447" s="105"/>
      <c r="IG447" s="105"/>
      <c r="IH447" s="105"/>
      <c r="II447" s="105"/>
      <c r="IJ447" s="105"/>
      <c r="IK447" s="105"/>
      <c r="IL447" s="105"/>
      <c r="IM447" s="105"/>
      <c r="IN447" s="105"/>
      <c r="IO447" s="105"/>
      <c r="IP447" s="105"/>
      <c r="IQ447" s="105"/>
      <c r="IR447" s="105"/>
      <c r="IS447" s="105"/>
    </row>
    <row r="448" spans="1:253">
      <c r="A448" s="116"/>
      <c r="B448" s="105"/>
      <c r="C448" s="116"/>
      <c r="D448" s="116"/>
      <c r="E448" s="116"/>
      <c r="F448" s="116"/>
      <c r="G448" s="116"/>
      <c r="H448" s="116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05"/>
      <c r="BF448" s="105"/>
      <c r="BG448" s="105"/>
      <c r="BH448" s="105"/>
      <c r="BI448" s="105"/>
      <c r="BJ448" s="105"/>
      <c r="BK448" s="105"/>
      <c r="BL448" s="105"/>
      <c r="BM448" s="105"/>
      <c r="BN448" s="105"/>
      <c r="BO448" s="105"/>
      <c r="BP448" s="105"/>
      <c r="BQ448" s="105"/>
      <c r="BR448" s="105"/>
      <c r="BS448" s="105"/>
      <c r="BT448" s="105"/>
      <c r="BU448" s="105"/>
      <c r="BV448" s="105"/>
      <c r="BW448" s="105"/>
      <c r="BX448" s="105"/>
      <c r="BY448" s="105"/>
      <c r="BZ448" s="105"/>
      <c r="CA448" s="105"/>
      <c r="CB448" s="105"/>
      <c r="CC448" s="105"/>
      <c r="CD448" s="105"/>
      <c r="CE448" s="105"/>
      <c r="CF448" s="105"/>
      <c r="CG448" s="105"/>
      <c r="CH448" s="105"/>
      <c r="CI448" s="105"/>
      <c r="CJ448" s="105"/>
      <c r="CK448" s="105"/>
      <c r="CL448" s="105"/>
      <c r="CM448" s="105"/>
      <c r="CN448" s="105"/>
      <c r="CO448" s="105"/>
      <c r="CP448" s="105"/>
      <c r="CQ448" s="105"/>
      <c r="CR448" s="105"/>
      <c r="CS448" s="105"/>
      <c r="CT448" s="105"/>
      <c r="CU448" s="105"/>
      <c r="CV448" s="105"/>
      <c r="CW448" s="105"/>
      <c r="CX448" s="105"/>
      <c r="CY448" s="105"/>
      <c r="CZ448" s="105"/>
      <c r="DA448" s="105"/>
      <c r="DB448" s="105"/>
      <c r="DC448" s="105"/>
      <c r="DD448" s="105"/>
      <c r="DE448" s="105"/>
      <c r="DF448" s="105"/>
      <c r="DG448" s="105"/>
      <c r="DH448" s="105"/>
      <c r="DI448" s="105"/>
      <c r="DJ448" s="105"/>
      <c r="DK448" s="105"/>
      <c r="DL448" s="105"/>
      <c r="DM448" s="105"/>
      <c r="DN448" s="105"/>
      <c r="DO448" s="105"/>
      <c r="DP448" s="105"/>
      <c r="DQ448" s="105"/>
      <c r="DR448" s="105"/>
      <c r="DS448" s="105"/>
      <c r="DT448" s="105"/>
      <c r="DU448" s="105"/>
      <c r="DV448" s="105"/>
      <c r="DW448" s="105"/>
      <c r="DX448" s="105"/>
      <c r="DY448" s="105"/>
      <c r="DZ448" s="105"/>
      <c r="EA448" s="105"/>
      <c r="EB448" s="105"/>
      <c r="EC448" s="105"/>
      <c r="ED448" s="105"/>
      <c r="EE448" s="105"/>
      <c r="EF448" s="105"/>
      <c r="EG448" s="105"/>
      <c r="EH448" s="105"/>
      <c r="EI448" s="105"/>
      <c r="EJ448" s="105"/>
      <c r="EK448" s="105"/>
      <c r="EL448" s="105"/>
      <c r="EM448" s="105"/>
      <c r="EN448" s="105"/>
      <c r="EO448" s="105"/>
      <c r="EP448" s="105"/>
      <c r="EQ448" s="105"/>
      <c r="ER448" s="105"/>
      <c r="ES448" s="105"/>
      <c r="ET448" s="105"/>
      <c r="EU448" s="105"/>
      <c r="EV448" s="105"/>
      <c r="EW448" s="105"/>
      <c r="EX448" s="105"/>
      <c r="EY448" s="105"/>
      <c r="EZ448" s="105"/>
      <c r="FA448" s="105"/>
      <c r="FB448" s="105"/>
      <c r="FC448" s="105"/>
      <c r="FD448" s="105"/>
      <c r="FE448" s="105"/>
      <c r="FF448" s="105"/>
      <c r="FG448" s="105"/>
      <c r="FH448" s="105"/>
      <c r="FI448" s="105"/>
      <c r="FJ448" s="105"/>
      <c r="FK448" s="105"/>
      <c r="FL448" s="105"/>
      <c r="FM448" s="105"/>
      <c r="FN448" s="105"/>
      <c r="FO448" s="105"/>
      <c r="FP448" s="105"/>
      <c r="FQ448" s="105"/>
      <c r="FR448" s="105"/>
      <c r="FS448" s="105"/>
      <c r="FT448" s="105"/>
      <c r="FU448" s="105"/>
      <c r="FV448" s="105"/>
      <c r="FW448" s="105"/>
      <c r="FX448" s="105"/>
      <c r="FY448" s="105"/>
      <c r="FZ448" s="105"/>
      <c r="GA448" s="105"/>
      <c r="GB448" s="105"/>
      <c r="GC448" s="105"/>
      <c r="GD448" s="105"/>
      <c r="GE448" s="105"/>
      <c r="GF448" s="105"/>
      <c r="GG448" s="105"/>
      <c r="GH448" s="105"/>
      <c r="GI448" s="105"/>
      <c r="GJ448" s="105"/>
      <c r="GK448" s="105"/>
      <c r="GL448" s="105"/>
      <c r="GM448" s="105"/>
      <c r="GN448" s="105"/>
      <c r="GO448" s="105"/>
      <c r="GP448" s="105"/>
      <c r="GQ448" s="105"/>
      <c r="GR448" s="105"/>
      <c r="GS448" s="105"/>
      <c r="GT448" s="105"/>
      <c r="GU448" s="105"/>
      <c r="GV448" s="105"/>
      <c r="GW448" s="105"/>
      <c r="GX448" s="105"/>
      <c r="GY448" s="105"/>
      <c r="GZ448" s="105"/>
      <c r="HA448" s="105"/>
      <c r="HB448" s="105"/>
      <c r="HC448" s="105"/>
      <c r="HD448" s="105"/>
      <c r="HE448" s="105"/>
      <c r="HF448" s="105"/>
      <c r="HG448" s="105"/>
      <c r="HH448" s="105"/>
      <c r="HI448" s="105"/>
      <c r="HJ448" s="105"/>
      <c r="HK448" s="105"/>
      <c r="HL448" s="105"/>
      <c r="HM448" s="105"/>
      <c r="HN448" s="105"/>
      <c r="HO448" s="105"/>
      <c r="HP448" s="105"/>
      <c r="HQ448" s="105"/>
      <c r="HR448" s="105"/>
      <c r="HS448" s="105"/>
      <c r="HT448" s="105"/>
      <c r="HU448" s="105"/>
      <c r="HV448" s="105"/>
      <c r="HW448" s="105"/>
      <c r="HX448" s="105"/>
      <c r="HY448" s="105"/>
      <c r="HZ448" s="105"/>
      <c r="IA448" s="105"/>
      <c r="IB448" s="105"/>
      <c r="IC448" s="105"/>
      <c r="ID448" s="105"/>
      <c r="IE448" s="105"/>
      <c r="IF448" s="105"/>
      <c r="IG448" s="105"/>
      <c r="IH448" s="105"/>
      <c r="II448" s="105"/>
      <c r="IJ448" s="105"/>
      <c r="IK448" s="105"/>
      <c r="IL448" s="105"/>
      <c r="IM448" s="105"/>
      <c r="IN448" s="105"/>
      <c r="IO448" s="105"/>
      <c r="IP448" s="105"/>
      <c r="IQ448" s="105"/>
      <c r="IR448" s="105"/>
      <c r="IS448" s="105"/>
    </row>
    <row r="449" spans="1:253">
      <c r="A449" s="116"/>
      <c r="B449" s="105"/>
      <c r="C449" s="116"/>
      <c r="D449" s="116"/>
      <c r="E449" s="116"/>
      <c r="F449" s="116"/>
      <c r="G449" s="116"/>
      <c r="H449" s="116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  <c r="AU449" s="105"/>
      <c r="AV449" s="105"/>
      <c r="AW449" s="105"/>
      <c r="AX449" s="105"/>
      <c r="AY449" s="105"/>
      <c r="AZ449" s="105"/>
      <c r="BA449" s="105"/>
      <c r="BB449" s="105"/>
      <c r="BC449" s="105"/>
      <c r="BD449" s="105"/>
      <c r="BE449" s="105"/>
      <c r="BF449" s="105"/>
      <c r="BG449" s="105"/>
      <c r="BH449" s="105"/>
      <c r="BI449" s="105"/>
      <c r="BJ449" s="105"/>
      <c r="BK449" s="105"/>
      <c r="BL449" s="105"/>
      <c r="BM449" s="105"/>
      <c r="BN449" s="105"/>
      <c r="BO449" s="105"/>
      <c r="BP449" s="105"/>
      <c r="BQ449" s="105"/>
      <c r="BR449" s="105"/>
      <c r="BS449" s="105"/>
      <c r="BT449" s="105"/>
      <c r="BU449" s="105"/>
      <c r="BV449" s="105"/>
      <c r="BW449" s="105"/>
      <c r="BX449" s="105"/>
      <c r="BY449" s="105"/>
      <c r="BZ449" s="105"/>
      <c r="CA449" s="105"/>
      <c r="CB449" s="105"/>
      <c r="CC449" s="105"/>
      <c r="CD449" s="105"/>
      <c r="CE449" s="105"/>
      <c r="CF449" s="105"/>
      <c r="CG449" s="105"/>
      <c r="CH449" s="105"/>
      <c r="CI449" s="105"/>
      <c r="CJ449" s="105"/>
      <c r="CK449" s="105"/>
      <c r="CL449" s="105"/>
      <c r="CM449" s="105"/>
      <c r="CN449" s="105"/>
      <c r="CO449" s="105"/>
      <c r="CP449" s="105"/>
      <c r="CQ449" s="105"/>
      <c r="CR449" s="105"/>
      <c r="CS449" s="105"/>
      <c r="CT449" s="105"/>
      <c r="CU449" s="105"/>
      <c r="CV449" s="105"/>
      <c r="CW449" s="105"/>
      <c r="CX449" s="105"/>
      <c r="CY449" s="105"/>
      <c r="CZ449" s="105"/>
      <c r="DA449" s="105"/>
      <c r="DB449" s="105"/>
      <c r="DC449" s="105"/>
      <c r="DD449" s="105"/>
      <c r="DE449" s="105"/>
      <c r="DF449" s="105"/>
      <c r="DG449" s="105"/>
      <c r="DH449" s="105"/>
      <c r="DI449" s="105"/>
      <c r="DJ449" s="105"/>
      <c r="DK449" s="105"/>
      <c r="DL449" s="105"/>
      <c r="DM449" s="105"/>
      <c r="DN449" s="105"/>
      <c r="DO449" s="105"/>
      <c r="DP449" s="105"/>
      <c r="DQ449" s="105"/>
      <c r="DR449" s="105"/>
      <c r="DS449" s="105"/>
      <c r="DT449" s="105"/>
      <c r="DU449" s="105"/>
      <c r="DV449" s="105"/>
      <c r="DW449" s="105"/>
      <c r="DX449" s="105"/>
      <c r="DY449" s="105"/>
      <c r="DZ449" s="105"/>
      <c r="EA449" s="105"/>
      <c r="EB449" s="105"/>
      <c r="EC449" s="105"/>
      <c r="ED449" s="105"/>
      <c r="EE449" s="105"/>
      <c r="EF449" s="105"/>
      <c r="EG449" s="105"/>
      <c r="EH449" s="105"/>
      <c r="EI449" s="105"/>
      <c r="EJ449" s="105"/>
      <c r="EK449" s="105"/>
      <c r="EL449" s="105"/>
      <c r="EM449" s="105"/>
      <c r="EN449" s="105"/>
      <c r="EO449" s="105"/>
      <c r="EP449" s="105"/>
      <c r="EQ449" s="105"/>
      <c r="ER449" s="105"/>
      <c r="ES449" s="105"/>
      <c r="ET449" s="105"/>
      <c r="EU449" s="105"/>
      <c r="EV449" s="105"/>
      <c r="EW449" s="105"/>
      <c r="EX449" s="105"/>
      <c r="EY449" s="105"/>
      <c r="EZ449" s="105"/>
      <c r="FA449" s="105"/>
      <c r="FB449" s="105"/>
      <c r="FC449" s="105"/>
      <c r="FD449" s="105"/>
      <c r="FE449" s="105"/>
      <c r="FF449" s="105"/>
      <c r="FG449" s="105"/>
      <c r="FH449" s="105"/>
      <c r="FI449" s="105"/>
      <c r="FJ449" s="105"/>
      <c r="FK449" s="105"/>
      <c r="FL449" s="105"/>
      <c r="FM449" s="105"/>
      <c r="FN449" s="105"/>
      <c r="FO449" s="105"/>
      <c r="FP449" s="105"/>
      <c r="FQ449" s="105"/>
      <c r="FR449" s="105"/>
      <c r="FS449" s="105"/>
      <c r="FT449" s="105"/>
      <c r="FU449" s="105"/>
      <c r="FV449" s="105"/>
      <c r="FW449" s="105"/>
      <c r="FX449" s="105"/>
      <c r="FY449" s="105"/>
      <c r="FZ449" s="105"/>
      <c r="GA449" s="105"/>
      <c r="GB449" s="105"/>
      <c r="GC449" s="105"/>
      <c r="GD449" s="105"/>
      <c r="GE449" s="105"/>
      <c r="GF449" s="105"/>
      <c r="GG449" s="105"/>
      <c r="GH449" s="105"/>
      <c r="GI449" s="105"/>
      <c r="GJ449" s="105"/>
      <c r="GK449" s="105"/>
      <c r="GL449" s="105"/>
      <c r="GM449" s="105"/>
      <c r="GN449" s="105"/>
      <c r="GO449" s="105"/>
      <c r="GP449" s="105"/>
      <c r="GQ449" s="105"/>
      <c r="GR449" s="105"/>
      <c r="GS449" s="105"/>
      <c r="GT449" s="105"/>
      <c r="GU449" s="105"/>
      <c r="GV449" s="105"/>
      <c r="GW449" s="105"/>
      <c r="GX449" s="105"/>
      <c r="GY449" s="105"/>
      <c r="GZ449" s="105"/>
      <c r="HA449" s="105"/>
      <c r="HB449" s="105"/>
      <c r="HC449" s="105"/>
      <c r="HD449" s="105"/>
      <c r="HE449" s="105"/>
      <c r="HF449" s="105"/>
      <c r="HG449" s="105"/>
      <c r="HH449" s="105"/>
      <c r="HI449" s="105"/>
      <c r="HJ449" s="105"/>
      <c r="HK449" s="105"/>
      <c r="HL449" s="105"/>
      <c r="HM449" s="105"/>
      <c r="HN449" s="105"/>
      <c r="HO449" s="105"/>
      <c r="HP449" s="105"/>
      <c r="HQ449" s="105"/>
      <c r="HR449" s="105"/>
      <c r="HS449" s="105"/>
      <c r="HT449" s="105"/>
      <c r="HU449" s="105"/>
      <c r="HV449" s="105"/>
      <c r="HW449" s="105"/>
      <c r="HX449" s="105"/>
      <c r="HY449" s="105"/>
      <c r="HZ449" s="105"/>
      <c r="IA449" s="105"/>
      <c r="IB449" s="105"/>
      <c r="IC449" s="105"/>
      <c r="ID449" s="105"/>
      <c r="IE449" s="105"/>
      <c r="IF449" s="105"/>
      <c r="IG449" s="105"/>
      <c r="IH449" s="105"/>
      <c r="II449" s="105"/>
      <c r="IJ449" s="105"/>
      <c r="IK449" s="105"/>
      <c r="IL449" s="105"/>
      <c r="IM449" s="105"/>
      <c r="IN449" s="105"/>
      <c r="IO449" s="105"/>
      <c r="IP449" s="105"/>
      <c r="IQ449" s="105"/>
      <c r="IR449" s="105"/>
      <c r="IS449" s="105"/>
    </row>
    <row r="450" spans="1:253">
      <c r="A450" s="116"/>
      <c r="B450" s="105"/>
      <c r="C450" s="116"/>
      <c r="D450" s="116"/>
      <c r="E450" s="116"/>
      <c r="F450" s="116"/>
      <c r="G450" s="116"/>
      <c r="H450" s="116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05"/>
      <c r="BF450" s="105"/>
      <c r="BG450" s="105"/>
      <c r="BH450" s="105"/>
      <c r="BI450" s="105"/>
      <c r="BJ450" s="105"/>
      <c r="BK450" s="105"/>
      <c r="BL450" s="105"/>
      <c r="BM450" s="105"/>
      <c r="BN450" s="105"/>
      <c r="BO450" s="105"/>
      <c r="BP450" s="105"/>
      <c r="BQ450" s="105"/>
      <c r="BR450" s="105"/>
      <c r="BS450" s="105"/>
      <c r="BT450" s="105"/>
      <c r="BU450" s="105"/>
      <c r="BV450" s="105"/>
      <c r="BW450" s="105"/>
      <c r="BX450" s="105"/>
      <c r="BY450" s="105"/>
      <c r="BZ450" s="105"/>
      <c r="CA450" s="105"/>
      <c r="CB450" s="105"/>
      <c r="CC450" s="105"/>
      <c r="CD450" s="105"/>
      <c r="CE450" s="105"/>
      <c r="CF450" s="105"/>
      <c r="CG450" s="105"/>
      <c r="CH450" s="105"/>
      <c r="CI450" s="105"/>
      <c r="CJ450" s="105"/>
      <c r="CK450" s="105"/>
      <c r="CL450" s="105"/>
      <c r="CM450" s="105"/>
      <c r="CN450" s="105"/>
      <c r="CO450" s="105"/>
      <c r="CP450" s="105"/>
      <c r="CQ450" s="105"/>
      <c r="CR450" s="105"/>
      <c r="CS450" s="105"/>
      <c r="CT450" s="105"/>
      <c r="CU450" s="105"/>
      <c r="CV450" s="105"/>
      <c r="CW450" s="105"/>
      <c r="CX450" s="105"/>
      <c r="CY450" s="105"/>
      <c r="CZ450" s="105"/>
      <c r="DA450" s="105"/>
      <c r="DB450" s="105"/>
      <c r="DC450" s="105"/>
      <c r="DD450" s="105"/>
      <c r="DE450" s="105"/>
      <c r="DF450" s="105"/>
      <c r="DG450" s="105"/>
      <c r="DH450" s="105"/>
      <c r="DI450" s="105"/>
      <c r="DJ450" s="105"/>
      <c r="DK450" s="105"/>
      <c r="DL450" s="105"/>
      <c r="DM450" s="105"/>
      <c r="DN450" s="105"/>
      <c r="DO450" s="105"/>
      <c r="DP450" s="105"/>
      <c r="DQ450" s="105"/>
      <c r="DR450" s="105"/>
      <c r="DS450" s="105"/>
      <c r="DT450" s="105"/>
      <c r="DU450" s="105"/>
      <c r="DV450" s="105"/>
      <c r="DW450" s="105"/>
      <c r="DX450" s="105"/>
      <c r="DY450" s="105"/>
      <c r="DZ450" s="105"/>
      <c r="EA450" s="105"/>
      <c r="EB450" s="105"/>
      <c r="EC450" s="105"/>
      <c r="ED450" s="105"/>
      <c r="EE450" s="105"/>
      <c r="EF450" s="105"/>
      <c r="EG450" s="105"/>
      <c r="EH450" s="105"/>
      <c r="EI450" s="105"/>
      <c r="EJ450" s="105"/>
      <c r="EK450" s="105"/>
      <c r="EL450" s="105"/>
      <c r="EM450" s="105"/>
      <c r="EN450" s="105"/>
      <c r="EO450" s="105"/>
      <c r="EP450" s="105"/>
      <c r="EQ450" s="105"/>
      <c r="ER450" s="105"/>
      <c r="ES450" s="105"/>
      <c r="ET450" s="105"/>
      <c r="EU450" s="105"/>
      <c r="EV450" s="105"/>
      <c r="EW450" s="105"/>
      <c r="EX450" s="105"/>
      <c r="EY450" s="105"/>
      <c r="EZ450" s="105"/>
      <c r="FA450" s="105"/>
      <c r="FB450" s="105"/>
      <c r="FC450" s="105"/>
      <c r="FD450" s="105"/>
      <c r="FE450" s="105"/>
      <c r="FF450" s="105"/>
      <c r="FG450" s="105"/>
      <c r="FH450" s="105"/>
      <c r="FI450" s="105"/>
      <c r="FJ450" s="105"/>
      <c r="FK450" s="105"/>
      <c r="FL450" s="105"/>
      <c r="FM450" s="105"/>
      <c r="FN450" s="105"/>
      <c r="FO450" s="105"/>
      <c r="FP450" s="105"/>
      <c r="FQ450" s="105"/>
      <c r="FR450" s="105"/>
      <c r="FS450" s="105"/>
      <c r="FT450" s="105"/>
      <c r="FU450" s="105"/>
      <c r="FV450" s="105"/>
      <c r="FW450" s="105"/>
      <c r="FX450" s="105"/>
      <c r="FY450" s="105"/>
      <c r="FZ450" s="105"/>
      <c r="GA450" s="105"/>
      <c r="GB450" s="105"/>
      <c r="GC450" s="105"/>
      <c r="GD450" s="105"/>
      <c r="GE450" s="105"/>
      <c r="GF450" s="105"/>
      <c r="GG450" s="105"/>
      <c r="GH450" s="105"/>
      <c r="GI450" s="105"/>
      <c r="GJ450" s="105"/>
      <c r="GK450" s="105"/>
      <c r="GL450" s="105"/>
      <c r="GM450" s="105"/>
      <c r="GN450" s="105"/>
      <c r="GO450" s="105"/>
      <c r="GP450" s="105"/>
      <c r="GQ450" s="105"/>
      <c r="GR450" s="105"/>
      <c r="GS450" s="105"/>
      <c r="GT450" s="105"/>
      <c r="GU450" s="105"/>
      <c r="GV450" s="105"/>
      <c r="GW450" s="105"/>
      <c r="GX450" s="105"/>
      <c r="GY450" s="105"/>
      <c r="GZ450" s="105"/>
      <c r="HA450" s="105"/>
      <c r="HB450" s="105"/>
      <c r="HC450" s="105"/>
      <c r="HD450" s="105"/>
      <c r="HE450" s="105"/>
      <c r="HF450" s="105"/>
      <c r="HG450" s="105"/>
      <c r="HH450" s="105"/>
      <c r="HI450" s="105"/>
      <c r="HJ450" s="105"/>
      <c r="HK450" s="105"/>
      <c r="HL450" s="105"/>
      <c r="HM450" s="105"/>
      <c r="HN450" s="105"/>
      <c r="HO450" s="105"/>
      <c r="HP450" s="105"/>
      <c r="HQ450" s="105"/>
      <c r="HR450" s="105"/>
      <c r="HS450" s="105"/>
      <c r="HT450" s="105"/>
      <c r="HU450" s="105"/>
      <c r="HV450" s="105"/>
      <c r="HW450" s="105"/>
      <c r="HX450" s="105"/>
      <c r="HY450" s="105"/>
      <c r="HZ450" s="105"/>
      <c r="IA450" s="105"/>
      <c r="IB450" s="105"/>
      <c r="IC450" s="105"/>
      <c r="ID450" s="105"/>
      <c r="IE450" s="105"/>
      <c r="IF450" s="105"/>
      <c r="IG450" s="105"/>
      <c r="IH450" s="105"/>
      <c r="II450" s="105"/>
      <c r="IJ450" s="105"/>
      <c r="IK450" s="105"/>
      <c r="IL450" s="105"/>
      <c r="IM450" s="105"/>
      <c r="IN450" s="105"/>
      <c r="IO450" s="105"/>
      <c r="IP450" s="105"/>
      <c r="IQ450" s="105"/>
      <c r="IR450" s="105"/>
      <c r="IS450" s="105"/>
    </row>
    <row r="451" spans="1:253">
      <c r="A451" s="116"/>
      <c r="B451" s="105"/>
      <c r="C451" s="116"/>
      <c r="D451" s="116"/>
      <c r="E451" s="116"/>
      <c r="F451" s="116"/>
      <c r="G451" s="116"/>
      <c r="H451" s="116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  <c r="BF451" s="105"/>
      <c r="BG451" s="105"/>
      <c r="BH451" s="105"/>
      <c r="BI451" s="105"/>
      <c r="BJ451" s="105"/>
      <c r="BK451" s="105"/>
      <c r="BL451" s="105"/>
      <c r="BM451" s="105"/>
      <c r="BN451" s="105"/>
      <c r="BO451" s="105"/>
      <c r="BP451" s="105"/>
      <c r="BQ451" s="105"/>
      <c r="BR451" s="105"/>
      <c r="BS451" s="105"/>
      <c r="BT451" s="105"/>
      <c r="BU451" s="105"/>
      <c r="BV451" s="105"/>
      <c r="BW451" s="105"/>
      <c r="BX451" s="105"/>
      <c r="BY451" s="105"/>
      <c r="BZ451" s="105"/>
      <c r="CA451" s="105"/>
      <c r="CB451" s="105"/>
      <c r="CC451" s="105"/>
      <c r="CD451" s="105"/>
      <c r="CE451" s="105"/>
      <c r="CF451" s="105"/>
      <c r="CG451" s="105"/>
      <c r="CH451" s="105"/>
      <c r="CI451" s="105"/>
      <c r="CJ451" s="105"/>
      <c r="CK451" s="105"/>
      <c r="CL451" s="105"/>
      <c r="CM451" s="105"/>
      <c r="CN451" s="105"/>
      <c r="CO451" s="105"/>
      <c r="CP451" s="105"/>
      <c r="CQ451" s="105"/>
      <c r="CR451" s="105"/>
      <c r="CS451" s="105"/>
      <c r="CT451" s="105"/>
      <c r="CU451" s="105"/>
      <c r="CV451" s="105"/>
      <c r="CW451" s="105"/>
      <c r="CX451" s="105"/>
      <c r="CY451" s="105"/>
      <c r="CZ451" s="105"/>
      <c r="DA451" s="105"/>
      <c r="DB451" s="105"/>
      <c r="DC451" s="105"/>
      <c r="DD451" s="105"/>
      <c r="DE451" s="105"/>
      <c r="DF451" s="105"/>
      <c r="DG451" s="105"/>
      <c r="DH451" s="105"/>
      <c r="DI451" s="105"/>
      <c r="DJ451" s="105"/>
      <c r="DK451" s="105"/>
      <c r="DL451" s="105"/>
      <c r="DM451" s="105"/>
      <c r="DN451" s="105"/>
      <c r="DO451" s="105"/>
      <c r="DP451" s="105"/>
      <c r="DQ451" s="105"/>
      <c r="DR451" s="105"/>
      <c r="DS451" s="105"/>
      <c r="DT451" s="105"/>
      <c r="DU451" s="105"/>
      <c r="DV451" s="105"/>
      <c r="DW451" s="105"/>
      <c r="DX451" s="105"/>
      <c r="DY451" s="105"/>
      <c r="DZ451" s="105"/>
      <c r="EA451" s="105"/>
      <c r="EB451" s="105"/>
      <c r="EC451" s="105"/>
      <c r="ED451" s="105"/>
      <c r="EE451" s="105"/>
      <c r="EF451" s="105"/>
      <c r="EG451" s="105"/>
      <c r="EH451" s="105"/>
      <c r="EI451" s="105"/>
      <c r="EJ451" s="105"/>
      <c r="EK451" s="105"/>
      <c r="EL451" s="105"/>
      <c r="EM451" s="105"/>
      <c r="EN451" s="105"/>
      <c r="EO451" s="105"/>
      <c r="EP451" s="105"/>
      <c r="EQ451" s="105"/>
      <c r="ER451" s="105"/>
      <c r="ES451" s="105"/>
      <c r="ET451" s="105"/>
      <c r="EU451" s="105"/>
      <c r="EV451" s="105"/>
      <c r="EW451" s="105"/>
      <c r="EX451" s="105"/>
      <c r="EY451" s="105"/>
      <c r="EZ451" s="105"/>
      <c r="FA451" s="105"/>
      <c r="FB451" s="105"/>
      <c r="FC451" s="105"/>
      <c r="FD451" s="105"/>
      <c r="FE451" s="105"/>
      <c r="FF451" s="105"/>
      <c r="FG451" s="105"/>
      <c r="FH451" s="105"/>
      <c r="FI451" s="105"/>
      <c r="FJ451" s="105"/>
      <c r="FK451" s="105"/>
      <c r="FL451" s="105"/>
      <c r="FM451" s="105"/>
      <c r="FN451" s="105"/>
      <c r="FO451" s="105"/>
      <c r="FP451" s="105"/>
      <c r="FQ451" s="105"/>
      <c r="FR451" s="105"/>
      <c r="FS451" s="105"/>
      <c r="FT451" s="105"/>
      <c r="FU451" s="105"/>
      <c r="FV451" s="105"/>
      <c r="FW451" s="105"/>
      <c r="FX451" s="105"/>
      <c r="FY451" s="105"/>
      <c r="FZ451" s="105"/>
      <c r="GA451" s="105"/>
      <c r="GB451" s="105"/>
      <c r="GC451" s="105"/>
      <c r="GD451" s="105"/>
      <c r="GE451" s="105"/>
      <c r="GF451" s="105"/>
      <c r="GG451" s="105"/>
      <c r="GH451" s="105"/>
      <c r="GI451" s="105"/>
      <c r="GJ451" s="105"/>
      <c r="GK451" s="105"/>
      <c r="GL451" s="105"/>
      <c r="GM451" s="105"/>
      <c r="GN451" s="105"/>
      <c r="GO451" s="105"/>
      <c r="GP451" s="105"/>
      <c r="GQ451" s="105"/>
      <c r="GR451" s="105"/>
      <c r="GS451" s="105"/>
      <c r="GT451" s="105"/>
      <c r="GU451" s="105"/>
      <c r="GV451" s="105"/>
      <c r="GW451" s="105"/>
      <c r="GX451" s="105"/>
      <c r="GY451" s="105"/>
      <c r="GZ451" s="105"/>
      <c r="HA451" s="105"/>
      <c r="HB451" s="105"/>
      <c r="HC451" s="105"/>
      <c r="HD451" s="105"/>
      <c r="HE451" s="105"/>
      <c r="HF451" s="105"/>
      <c r="HG451" s="105"/>
      <c r="HH451" s="105"/>
      <c r="HI451" s="105"/>
      <c r="HJ451" s="105"/>
      <c r="HK451" s="105"/>
      <c r="HL451" s="105"/>
      <c r="HM451" s="105"/>
      <c r="HN451" s="105"/>
      <c r="HO451" s="105"/>
      <c r="HP451" s="105"/>
      <c r="HQ451" s="105"/>
      <c r="HR451" s="105"/>
      <c r="HS451" s="105"/>
      <c r="HT451" s="105"/>
      <c r="HU451" s="105"/>
      <c r="HV451" s="105"/>
      <c r="HW451" s="105"/>
      <c r="HX451" s="105"/>
      <c r="HY451" s="105"/>
      <c r="HZ451" s="105"/>
      <c r="IA451" s="105"/>
      <c r="IB451" s="105"/>
      <c r="IC451" s="105"/>
      <c r="ID451" s="105"/>
      <c r="IE451" s="105"/>
      <c r="IF451" s="105"/>
      <c r="IG451" s="105"/>
      <c r="IH451" s="105"/>
      <c r="II451" s="105"/>
      <c r="IJ451" s="105"/>
      <c r="IK451" s="105"/>
      <c r="IL451" s="105"/>
      <c r="IM451" s="105"/>
      <c r="IN451" s="105"/>
      <c r="IO451" s="105"/>
      <c r="IP451" s="105"/>
      <c r="IQ451" s="105"/>
      <c r="IR451" s="105"/>
      <c r="IS451" s="105"/>
    </row>
    <row r="452" spans="1:253">
      <c r="A452" s="116"/>
      <c r="B452" s="105"/>
      <c r="C452" s="116"/>
      <c r="D452" s="116"/>
      <c r="E452" s="116"/>
      <c r="F452" s="116"/>
      <c r="G452" s="116"/>
      <c r="H452" s="116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05"/>
      <c r="BF452" s="105"/>
      <c r="BG452" s="105"/>
      <c r="BH452" s="105"/>
      <c r="BI452" s="105"/>
      <c r="BJ452" s="105"/>
      <c r="BK452" s="105"/>
      <c r="BL452" s="105"/>
      <c r="BM452" s="105"/>
      <c r="BN452" s="105"/>
      <c r="BO452" s="105"/>
      <c r="BP452" s="105"/>
      <c r="BQ452" s="105"/>
      <c r="BR452" s="105"/>
      <c r="BS452" s="105"/>
      <c r="BT452" s="105"/>
      <c r="BU452" s="105"/>
      <c r="BV452" s="105"/>
      <c r="BW452" s="105"/>
      <c r="BX452" s="105"/>
      <c r="BY452" s="105"/>
      <c r="BZ452" s="105"/>
      <c r="CA452" s="105"/>
      <c r="CB452" s="105"/>
      <c r="CC452" s="105"/>
      <c r="CD452" s="105"/>
      <c r="CE452" s="105"/>
      <c r="CF452" s="105"/>
      <c r="CG452" s="105"/>
      <c r="CH452" s="105"/>
      <c r="CI452" s="105"/>
      <c r="CJ452" s="105"/>
      <c r="CK452" s="105"/>
      <c r="CL452" s="105"/>
      <c r="CM452" s="105"/>
      <c r="CN452" s="105"/>
      <c r="CO452" s="105"/>
      <c r="CP452" s="105"/>
      <c r="CQ452" s="105"/>
      <c r="CR452" s="105"/>
      <c r="CS452" s="105"/>
      <c r="CT452" s="105"/>
      <c r="CU452" s="105"/>
      <c r="CV452" s="105"/>
      <c r="CW452" s="105"/>
      <c r="CX452" s="105"/>
      <c r="CY452" s="105"/>
      <c r="CZ452" s="105"/>
      <c r="DA452" s="105"/>
      <c r="DB452" s="105"/>
      <c r="DC452" s="105"/>
      <c r="DD452" s="105"/>
      <c r="DE452" s="105"/>
      <c r="DF452" s="105"/>
      <c r="DG452" s="105"/>
      <c r="DH452" s="105"/>
      <c r="DI452" s="105"/>
      <c r="DJ452" s="105"/>
      <c r="DK452" s="105"/>
      <c r="DL452" s="105"/>
      <c r="DM452" s="105"/>
      <c r="DN452" s="105"/>
      <c r="DO452" s="105"/>
      <c r="DP452" s="105"/>
      <c r="DQ452" s="105"/>
      <c r="DR452" s="105"/>
      <c r="DS452" s="105"/>
      <c r="DT452" s="105"/>
      <c r="DU452" s="105"/>
      <c r="DV452" s="105"/>
      <c r="DW452" s="105"/>
      <c r="DX452" s="105"/>
      <c r="DY452" s="105"/>
      <c r="DZ452" s="105"/>
      <c r="EA452" s="105"/>
      <c r="EB452" s="105"/>
      <c r="EC452" s="105"/>
      <c r="ED452" s="105"/>
      <c r="EE452" s="105"/>
      <c r="EF452" s="105"/>
      <c r="EG452" s="105"/>
      <c r="EH452" s="105"/>
      <c r="EI452" s="105"/>
      <c r="EJ452" s="105"/>
      <c r="EK452" s="105"/>
      <c r="EL452" s="105"/>
      <c r="EM452" s="105"/>
      <c r="EN452" s="105"/>
      <c r="EO452" s="105"/>
      <c r="EP452" s="105"/>
      <c r="EQ452" s="105"/>
      <c r="ER452" s="105"/>
      <c r="ES452" s="105"/>
      <c r="ET452" s="105"/>
      <c r="EU452" s="105"/>
      <c r="EV452" s="105"/>
      <c r="EW452" s="105"/>
      <c r="EX452" s="105"/>
      <c r="EY452" s="105"/>
      <c r="EZ452" s="105"/>
      <c r="FA452" s="105"/>
      <c r="FB452" s="105"/>
      <c r="FC452" s="105"/>
      <c r="FD452" s="105"/>
      <c r="FE452" s="105"/>
      <c r="FF452" s="105"/>
      <c r="FG452" s="105"/>
      <c r="FH452" s="105"/>
      <c r="FI452" s="105"/>
      <c r="FJ452" s="105"/>
      <c r="FK452" s="105"/>
      <c r="FL452" s="105"/>
      <c r="FM452" s="105"/>
      <c r="FN452" s="105"/>
      <c r="FO452" s="105"/>
      <c r="FP452" s="105"/>
      <c r="FQ452" s="105"/>
      <c r="FR452" s="105"/>
      <c r="FS452" s="105"/>
      <c r="FT452" s="105"/>
      <c r="FU452" s="105"/>
      <c r="FV452" s="105"/>
      <c r="FW452" s="105"/>
      <c r="FX452" s="105"/>
      <c r="FY452" s="105"/>
      <c r="FZ452" s="105"/>
      <c r="GA452" s="105"/>
      <c r="GB452" s="105"/>
      <c r="GC452" s="105"/>
      <c r="GD452" s="105"/>
      <c r="GE452" s="105"/>
      <c r="GF452" s="105"/>
      <c r="GG452" s="105"/>
      <c r="GH452" s="105"/>
      <c r="GI452" s="105"/>
      <c r="GJ452" s="105"/>
      <c r="GK452" s="105"/>
      <c r="GL452" s="105"/>
      <c r="GM452" s="105"/>
      <c r="GN452" s="105"/>
      <c r="GO452" s="105"/>
      <c r="GP452" s="105"/>
      <c r="GQ452" s="105"/>
      <c r="GR452" s="105"/>
      <c r="GS452" s="105"/>
      <c r="GT452" s="105"/>
      <c r="GU452" s="105"/>
      <c r="GV452" s="105"/>
      <c r="GW452" s="105"/>
      <c r="GX452" s="105"/>
      <c r="GY452" s="105"/>
      <c r="GZ452" s="105"/>
      <c r="HA452" s="105"/>
      <c r="HB452" s="105"/>
      <c r="HC452" s="105"/>
      <c r="HD452" s="105"/>
      <c r="HE452" s="105"/>
      <c r="HF452" s="105"/>
      <c r="HG452" s="105"/>
      <c r="HH452" s="105"/>
      <c r="HI452" s="105"/>
      <c r="HJ452" s="105"/>
      <c r="HK452" s="105"/>
      <c r="HL452" s="105"/>
      <c r="HM452" s="105"/>
      <c r="HN452" s="105"/>
      <c r="HO452" s="105"/>
      <c r="HP452" s="105"/>
      <c r="HQ452" s="105"/>
      <c r="HR452" s="105"/>
      <c r="HS452" s="105"/>
      <c r="HT452" s="105"/>
      <c r="HU452" s="105"/>
      <c r="HV452" s="105"/>
      <c r="HW452" s="105"/>
      <c r="HX452" s="105"/>
      <c r="HY452" s="105"/>
      <c r="HZ452" s="105"/>
      <c r="IA452" s="105"/>
      <c r="IB452" s="105"/>
      <c r="IC452" s="105"/>
      <c r="ID452" s="105"/>
      <c r="IE452" s="105"/>
      <c r="IF452" s="105"/>
      <c r="IG452" s="105"/>
      <c r="IH452" s="105"/>
      <c r="II452" s="105"/>
      <c r="IJ452" s="105"/>
      <c r="IK452" s="105"/>
      <c r="IL452" s="105"/>
      <c r="IM452" s="105"/>
      <c r="IN452" s="105"/>
      <c r="IO452" s="105"/>
      <c r="IP452" s="105"/>
      <c r="IQ452" s="105"/>
      <c r="IR452" s="105"/>
      <c r="IS452" s="105"/>
    </row>
    <row r="453" spans="1:253">
      <c r="A453" s="116"/>
      <c r="B453" s="105"/>
      <c r="C453" s="116"/>
      <c r="D453" s="116"/>
      <c r="E453" s="116"/>
      <c r="F453" s="116"/>
      <c r="G453" s="116"/>
      <c r="H453" s="116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  <c r="BA453" s="105"/>
      <c r="BB453" s="105"/>
      <c r="BC453" s="105"/>
      <c r="BD453" s="105"/>
      <c r="BE453" s="105"/>
      <c r="BF453" s="105"/>
      <c r="BG453" s="105"/>
      <c r="BH453" s="105"/>
      <c r="BI453" s="105"/>
      <c r="BJ453" s="105"/>
      <c r="BK453" s="105"/>
      <c r="BL453" s="105"/>
      <c r="BM453" s="105"/>
      <c r="BN453" s="105"/>
      <c r="BO453" s="105"/>
      <c r="BP453" s="105"/>
      <c r="BQ453" s="105"/>
      <c r="BR453" s="105"/>
      <c r="BS453" s="105"/>
      <c r="BT453" s="105"/>
      <c r="BU453" s="105"/>
      <c r="BV453" s="105"/>
      <c r="BW453" s="105"/>
      <c r="BX453" s="105"/>
      <c r="BY453" s="105"/>
      <c r="BZ453" s="105"/>
      <c r="CA453" s="105"/>
      <c r="CB453" s="105"/>
      <c r="CC453" s="105"/>
      <c r="CD453" s="105"/>
      <c r="CE453" s="105"/>
      <c r="CF453" s="105"/>
      <c r="CG453" s="105"/>
      <c r="CH453" s="105"/>
      <c r="CI453" s="105"/>
      <c r="CJ453" s="105"/>
      <c r="CK453" s="105"/>
      <c r="CL453" s="105"/>
      <c r="CM453" s="105"/>
      <c r="CN453" s="105"/>
      <c r="CO453" s="105"/>
      <c r="CP453" s="105"/>
      <c r="CQ453" s="105"/>
      <c r="CR453" s="105"/>
      <c r="CS453" s="105"/>
      <c r="CT453" s="105"/>
      <c r="CU453" s="105"/>
      <c r="CV453" s="105"/>
      <c r="CW453" s="105"/>
      <c r="CX453" s="105"/>
      <c r="CY453" s="105"/>
      <c r="CZ453" s="105"/>
      <c r="DA453" s="105"/>
      <c r="DB453" s="105"/>
      <c r="DC453" s="105"/>
      <c r="DD453" s="105"/>
      <c r="DE453" s="105"/>
      <c r="DF453" s="105"/>
      <c r="DG453" s="105"/>
      <c r="DH453" s="105"/>
      <c r="DI453" s="105"/>
      <c r="DJ453" s="105"/>
      <c r="DK453" s="105"/>
      <c r="DL453" s="105"/>
      <c r="DM453" s="105"/>
      <c r="DN453" s="105"/>
      <c r="DO453" s="105"/>
      <c r="DP453" s="105"/>
      <c r="DQ453" s="105"/>
      <c r="DR453" s="105"/>
      <c r="DS453" s="105"/>
      <c r="DT453" s="105"/>
      <c r="DU453" s="105"/>
      <c r="DV453" s="105"/>
      <c r="DW453" s="105"/>
      <c r="DX453" s="105"/>
      <c r="DY453" s="105"/>
      <c r="DZ453" s="105"/>
      <c r="EA453" s="105"/>
      <c r="EB453" s="105"/>
      <c r="EC453" s="105"/>
      <c r="ED453" s="105"/>
      <c r="EE453" s="105"/>
      <c r="EF453" s="105"/>
      <c r="EG453" s="105"/>
      <c r="EH453" s="105"/>
      <c r="EI453" s="105"/>
      <c r="EJ453" s="105"/>
      <c r="EK453" s="105"/>
      <c r="EL453" s="105"/>
      <c r="EM453" s="105"/>
      <c r="EN453" s="105"/>
      <c r="EO453" s="105"/>
      <c r="EP453" s="105"/>
      <c r="EQ453" s="105"/>
      <c r="ER453" s="105"/>
      <c r="ES453" s="105"/>
      <c r="ET453" s="105"/>
      <c r="EU453" s="105"/>
      <c r="EV453" s="105"/>
      <c r="EW453" s="105"/>
      <c r="EX453" s="105"/>
      <c r="EY453" s="105"/>
      <c r="EZ453" s="105"/>
      <c r="FA453" s="105"/>
      <c r="FB453" s="105"/>
      <c r="FC453" s="105"/>
      <c r="FD453" s="105"/>
      <c r="FE453" s="105"/>
      <c r="FF453" s="105"/>
      <c r="FG453" s="105"/>
      <c r="FH453" s="105"/>
      <c r="FI453" s="105"/>
      <c r="FJ453" s="105"/>
      <c r="FK453" s="105"/>
      <c r="FL453" s="105"/>
      <c r="FM453" s="105"/>
      <c r="FN453" s="105"/>
      <c r="FO453" s="105"/>
      <c r="FP453" s="105"/>
      <c r="FQ453" s="105"/>
      <c r="FR453" s="105"/>
      <c r="FS453" s="105"/>
      <c r="FT453" s="105"/>
      <c r="FU453" s="105"/>
      <c r="FV453" s="105"/>
      <c r="FW453" s="105"/>
      <c r="FX453" s="105"/>
      <c r="FY453" s="105"/>
      <c r="FZ453" s="105"/>
      <c r="GA453" s="105"/>
      <c r="GB453" s="105"/>
      <c r="GC453" s="105"/>
      <c r="GD453" s="105"/>
      <c r="GE453" s="105"/>
      <c r="GF453" s="105"/>
      <c r="GG453" s="105"/>
      <c r="GH453" s="105"/>
      <c r="GI453" s="105"/>
      <c r="GJ453" s="105"/>
      <c r="GK453" s="105"/>
      <c r="GL453" s="105"/>
      <c r="GM453" s="105"/>
      <c r="GN453" s="105"/>
      <c r="GO453" s="105"/>
      <c r="GP453" s="105"/>
      <c r="GQ453" s="105"/>
      <c r="GR453" s="105"/>
      <c r="GS453" s="105"/>
      <c r="GT453" s="105"/>
      <c r="GU453" s="105"/>
      <c r="GV453" s="105"/>
      <c r="GW453" s="105"/>
      <c r="GX453" s="105"/>
      <c r="GY453" s="105"/>
      <c r="GZ453" s="105"/>
      <c r="HA453" s="105"/>
      <c r="HB453" s="105"/>
      <c r="HC453" s="105"/>
      <c r="HD453" s="105"/>
      <c r="HE453" s="105"/>
      <c r="HF453" s="105"/>
      <c r="HG453" s="105"/>
      <c r="HH453" s="105"/>
      <c r="HI453" s="105"/>
      <c r="HJ453" s="105"/>
      <c r="HK453" s="105"/>
      <c r="HL453" s="105"/>
      <c r="HM453" s="105"/>
      <c r="HN453" s="105"/>
      <c r="HO453" s="105"/>
      <c r="HP453" s="105"/>
      <c r="HQ453" s="105"/>
      <c r="HR453" s="105"/>
      <c r="HS453" s="105"/>
      <c r="HT453" s="105"/>
      <c r="HU453" s="105"/>
      <c r="HV453" s="105"/>
      <c r="HW453" s="105"/>
      <c r="HX453" s="105"/>
      <c r="HY453" s="105"/>
      <c r="HZ453" s="105"/>
      <c r="IA453" s="105"/>
      <c r="IB453" s="105"/>
      <c r="IC453" s="105"/>
      <c r="ID453" s="105"/>
      <c r="IE453" s="105"/>
      <c r="IF453" s="105"/>
      <c r="IG453" s="105"/>
      <c r="IH453" s="105"/>
      <c r="II453" s="105"/>
      <c r="IJ453" s="105"/>
      <c r="IK453" s="105"/>
      <c r="IL453" s="105"/>
      <c r="IM453" s="105"/>
      <c r="IN453" s="105"/>
      <c r="IO453" s="105"/>
      <c r="IP453" s="105"/>
      <c r="IQ453" s="105"/>
      <c r="IR453" s="105"/>
      <c r="IS453" s="105"/>
    </row>
    <row r="454" spans="1:253">
      <c r="A454" s="116"/>
      <c r="B454" s="105"/>
      <c r="C454" s="116"/>
      <c r="D454" s="116"/>
      <c r="E454" s="116"/>
      <c r="F454" s="116"/>
      <c r="G454" s="116"/>
      <c r="H454" s="116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05"/>
      <c r="BF454" s="105"/>
      <c r="BG454" s="105"/>
      <c r="BH454" s="105"/>
      <c r="BI454" s="105"/>
      <c r="BJ454" s="105"/>
      <c r="BK454" s="105"/>
      <c r="BL454" s="105"/>
      <c r="BM454" s="105"/>
      <c r="BN454" s="105"/>
      <c r="BO454" s="105"/>
      <c r="BP454" s="105"/>
      <c r="BQ454" s="105"/>
      <c r="BR454" s="105"/>
      <c r="BS454" s="105"/>
      <c r="BT454" s="105"/>
      <c r="BU454" s="105"/>
      <c r="BV454" s="105"/>
      <c r="BW454" s="105"/>
      <c r="BX454" s="105"/>
      <c r="BY454" s="105"/>
      <c r="BZ454" s="105"/>
      <c r="CA454" s="105"/>
      <c r="CB454" s="105"/>
      <c r="CC454" s="105"/>
      <c r="CD454" s="105"/>
      <c r="CE454" s="105"/>
      <c r="CF454" s="105"/>
      <c r="CG454" s="105"/>
      <c r="CH454" s="105"/>
      <c r="CI454" s="105"/>
      <c r="CJ454" s="105"/>
      <c r="CK454" s="105"/>
      <c r="CL454" s="105"/>
      <c r="CM454" s="105"/>
      <c r="CN454" s="105"/>
      <c r="CO454" s="105"/>
      <c r="CP454" s="105"/>
      <c r="CQ454" s="105"/>
      <c r="CR454" s="105"/>
      <c r="CS454" s="105"/>
      <c r="CT454" s="105"/>
      <c r="CU454" s="105"/>
      <c r="CV454" s="105"/>
      <c r="CW454" s="105"/>
      <c r="CX454" s="105"/>
      <c r="CY454" s="105"/>
      <c r="CZ454" s="105"/>
      <c r="DA454" s="105"/>
      <c r="DB454" s="105"/>
      <c r="DC454" s="105"/>
      <c r="DD454" s="105"/>
      <c r="DE454" s="105"/>
      <c r="DF454" s="105"/>
      <c r="DG454" s="105"/>
      <c r="DH454" s="105"/>
      <c r="DI454" s="105"/>
      <c r="DJ454" s="105"/>
      <c r="DK454" s="105"/>
      <c r="DL454" s="105"/>
      <c r="DM454" s="105"/>
      <c r="DN454" s="105"/>
      <c r="DO454" s="105"/>
      <c r="DP454" s="105"/>
      <c r="DQ454" s="105"/>
      <c r="DR454" s="105"/>
      <c r="DS454" s="105"/>
      <c r="DT454" s="105"/>
      <c r="DU454" s="105"/>
      <c r="DV454" s="105"/>
      <c r="DW454" s="105"/>
      <c r="DX454" s="105"/>
      <c r="DY454" s="105"/>
      <c r="DZ454" s="105"/>
      <c r="EA454" s="105"/>
      <c r="EB454" s="105"/>
      <c r="EC454" s="105"/>
      <c r="ED454" s="105"/>
      <c r="EE454" s="105"/>
      <c r="EF454" s="105"/>
      <c r="EG454" s="105"/>
      <c r="EH454" s="105"/>
      <c r="EI454" s="105"/>
      <c r="EJ454" s="105"/>
      <c r="EK454" s="105"/>
      <c r="EL454" s="105"/>
      <c r="EM454" s="105"/>
      <c r="EN454" s="105"/>
      <c r="EO454" s="105"/>
      <c r="EP454" s="105"/>
      <c r="EQ454" s="105"/>
      <c r="ER454" s="105"/>
      <c r="ES454" s="105"/>
      <c r="ET454" s="105"/>
      <c r="EU454" s="105"/>
      <c r="EV454" s="105"/>
      <c r="EW454" s="105"/>
      <c r="EX454" s="105"/>
      <c r="EY454" s="105"/>
      <c r="EZ454" s="105"/>
      <c r="FA454" s="105"/>
      <c r="FB454" s="105"/>
      <c r="FC454" s="105"/>
      <c r="FD454" s="105"/>
      <c r="FE454" s="105"/>
      <c r="FF454" s="105"/>
      <c r="FG454" s="105"/>
      <c r="FH454" s="105"/>
      <c r="FI454" s="105"/>
      <c r="FJ454" s="105"/>
      <c r="FK454" s="105"/>
      <c r="FL454" s="105"/>
      <c r="FM454" s="105"/>
      <c r="FN454" s="105"/>
      <c r="FO454" s="105"/>
      <c r="FP454" s="105"/>
      <c r="FQ454" s="105"/>
      <c r="FR454" s="105"/>
      <c r="FS454" s="105"/>
      <c r="FT454" s="105"/>
      <c r="FU454" s="105"/>
      <c r="FV454" s="105"/>
      <c r="FW454" s="105"/>
      <c r="FX454" s="105"/>
      <c r="FY454" s="105"/>
      <c r="FZ454" s="105"/>
      <c r="GA454" s="105"/>
      <c r="GB454" s="105"/>
      <c r="GC454" s="105"/>
      <c r="GD454" s="105"/>
      <c r="GE454" s="105"/>
      <c r="GF454" s="105"/>
      <c r="GG454" s="105"/>
      <c r="GH454" s="105"/>
      <c r="GI454" s="105"/>
      <c r="GJ454" s="105"/>
      <c r="GK454" s="105"/>
      <c r="GL454" s="105"/>
      <c r="GM454" s="105"/>
      <c r="GN454" s="105"/>
      <c r="GO454" s="105"/>
      <c r="GP454" s="105"/>
      <c r="GQ454" s="105"/>
      <c r="GR454" s="105"/>
      <c r="GS454" s="105"/>
      <c r="GT454" s="105"/>
      <c r="GU454" s="105"/>
      <c r="GV454" s="105"/>
      <c r="GW454" s="105"/>
      <c r="GX454" s="105"/>
      <c r="GY454" s="105"/>
      <c r="GZ454" s="105"/>
      <c r="HA454" s="105"/>
      <c r="HB454" s="105"/>
      <c r="HC454" s="105"/>
      <c r="HD454" s="105"/>
      <c r="HE454" s="105"/>
      <c r="HF454" s="105"/>
      <c r="HG454" s="105"/>
      <c r="HH454" s="105"/>
      <c r="HI454" s="105"/>
      <c r="HJ454" s="105"/>
      <c r="HK454" s="105"/>
      <c r="HL454" s="105"/>
      <c r="HM454" s="105"/>
      <c r="HN454" s="105"/>
      <c r="HO454" s="105"/>
      <c r="HP454" s="105"/>
      <c r="HQ454" s="105"/>
      <c r="HR454" s="105"/>
      <c r="HS454" s="105"/>
      <c r="HT454" s="105"/>
      <c r="HU454" s="105"/>
      <c r="HV454" s="105"/>
      <c r="HW454" s="105"/>
      <c r="HX454" s="105"/>
      <c r="HY454" s="105"/>
      <c r="HZ454" s="105"/>
      <c r="IA454" s="105"/>
      <c r="IB454" s="105"/>
      <c r="IC454" s="105"/>
      <c r="ID454" s="105"/>
      <c r="IE454" s="105"/>
      <c r="IF454" s="105"/>
      <c r="IG454" s="105"/>
      <c r="IH454" s="105"/>
      <c r="II454" s="105"/>
      <c r="IJ454" s="105"/>
      <c r="IK454" s="105"/>
      <c r="IL454" s="105"/>
      <c r="IM454" s="105"/>
      <c r="IN454" s="105"/>
      <c r="IO454" s="105"/>
      <c r="IP454" s="105"/>
      <c r="IQ454" s="105"/>
      <c r="IR454" s="105"/>
      <c r="IS454" s="105"/>
    </row>
    <row r="455" spans="1:253">
      <c r="A455" s="116"/>
      <c r="B455" s="105"/>
      <c r="C455" s="116"/>
      <c r="D455" s="116"/>
      <c r="E455" s="116"/>
      <c r="F455" s="116"/>
      <c r="G455" s="116"/>
      <c r="H455" s="116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  <c r="BA455" s="105"/>
      <c r="BB455" s="105"/>
      <c r="BC455" s="105"/>
      <c r="BD455" s="105"/>
      <c r="BE455" s="105"/>
      <c r="BF455" s="105"/>
      <c r="BG455" s="105"/>
      <c r="BH455" s="105"/>
      <c r="BI455" s="105"/>
      <c r="BJ455" s="105"/>
      <c r="BK455" s="105"/>
      <c r="BL455" s="105"/>
      <c r="BM455" s="105"/>
      <c r="BN455" s="105"/>
      <c r="BO455" s="105"/>
      <c r="BP455" s="105"/>
      <c r="BQ455" s="105"/>
      <c r="BR455" s="105"/>
      <c r="BS455" s="105"/>
      <c r="BT455" s="105"/>
      <c r="BU455" s="105"/>
      <c r="BV455" s="105"/>
      <c r="BW455" s="105"/>
      <c r="BX455" s="105"/>
      <c r="BY455" s="105"/>
      <c r="BZ455" s="105"/>
      <c r="CA455" s="105"/>
      <c r="CB455" s="105"/>
      <c r="CC455" s="105"/>
      <c r="CD455" s="105"/>
      <c r="CE455" s="105"/>
      <c r="CF455" s="105"/>
      <c r="CG455" s="105"/>
      <c r="CH455" s="105"/>
      <c r="CI455" s="105"/>
      <c r="CJ455" s="105"/>
      <c r="CK455" s="105"/>
      <c r="CL455" s="105"/>
      <c r="CM455" s="105"/>
      <c r="CN455" s="105"/>
      <c r="CO455" s="105"/>
      <c r="CP455" s="105"/>
      <c r="CQ455" s="105"/>
      <c r="CR455" s="105"/>
      <c r="CS455" s="105"/>
      <c r="CT455" s="105"/>
      <c r="CU455" s="105"/>
      <c r="CV455" s="105"/>
      <c r="CW455" s="105"/>
      <c r="CX455" s="105"/>
      <c r="CY455" s="105"/>
      <c r="CZ455" s="105"/>
      <c r="DA455" s="105"/>
      <c r="DB455" s="105"/>
      <c r="DC455" s="105"/>
      <c r="DD455" s="105"/>
      <c r="DE455" s="105"/>
      <c r="DF455" s="105"/>
      <c r="DG455" s="105"/>
      <c r="DH455" s="105"/>
      <c r="DI455" s="105"/>
      <c r="DJ455" s="105"/>
      <c r="DK455" s="105"/>
      <c r="DL455" s="105"/>
      <c r="DM455" s="105"/>
      <c r="DN455" s="105"/>
      <c r="DO455" s="105"/>
      <c r="DP455" s="105"/>
      <c r="DQ455" s="105"/>
      <c r="DR455" s="105"/>
      <c r="DS455" s="105"/>
      <c r="DT455" s="105"/>
      <c r="DU455" s="105"/>
      <c r="DV455" s="105"/>
      <c r="DW455" s="105"/>
      <c r="DX455" s="105"/>
      <c r="DY455" s="105"/>
      <c r="DZ455" s="105"/>
      <c r="EA455" s="105"/>
      <c r="EB455" s="105"/>
      <c r="EC455" s="105"/>
      <c r="ED455" s="105"/>
      <c r="EE455" s="105"/>
      <c r="EF455" s="105"/>
      <c r="EG455" s="105"/>
      <c r="EH455" s="105"/>
      <c r="EI455" s="105"/>
      <c r="EJ455" s="105"/>
      <c r="EK455" s="105"/>
      <c r="EL455" s="105"/>
      <c r="EM455" s="105"/>
      <c r="EN455" s="105"/>
      <c r="EO455" s="105"/>
      <c r="EP455" s="105"/>
      <c r="EQ455" s="105"/>
      <c r="ER455" s="105"/>
      <c r="ES455" s="105"/>
      <c r="ET455" s="105"/>
      <c r="EU455" s="105"/>
      <c r="EV455" s="105"/>
      <c r="EW455" s="105"/>
      <c r="EX455" s="105"/>
      <c r="EY455" s="105"/>
      <c r="EZ455" s="105"/>
      <c r="FA455" s="105"/>
      <c r="FB455" s="105"/>
      <c r="FC455" s="105"/>
      <c r="FD455" s="105"/>
      <c r="FE455" s="105"/>
      <c r="FF455" s="105"/>
      <c r="FG455" s="105"/>
      <c r="FH455" s="105"/>
      <c r="FI455" s="105"/>
      <c r="FJ455" s="105"/>
      <c r="FK455" s="105"/>
      <c r="FL455" s="105"/>
      <c r="FM455" s="105"/>
      <c r="FN455" s="105"/>
      <c r="FO455" s="105"/>
      <c r="FP455" s="105"/>
      <c r="FQ455" s="105"/>
      <c r="FR455" s="105"/>
      <c r="FS455" s="105"/>
      <c r="FT455" s="105"/>
      <c r="FU455" s="105"/>
      <c r="FV455" s="105"/>
      <c r="FW455" s="105"/>
      <c r="FX455" s="105"/>
      <c r="FY455" s="105"/>
      <c r="FZ455" s="105"/>
      <c r="GA455" s="105"/>
      <c r="GB455" s="105"/>
      <c r="GC455" s="105"/>
      <c r="GD455" s="105"/>
      <c r="GE455" s="105"/>
      <c r="GF455" s="105"/>
      <c r="GG455" s="105"/>
      <c r="GH455" s="105"/>
      <c r="GI455" s="105"/>
      <c r="GJ455" s="105"/>
      <c r="GK455" s="105"/>
      <c r="GL455" s="105"/>
      <c r="GM455" s="105"/>
      <c r="GN455" s="105"/>
      <c r="GO455" s="105"/>
      <c r="GP455" s="105"/>
      <c r="GQ455" s="105"/>
      <c r="GR455" s="105"/>
      <c r="GS455" s="105"/>
      <c r="GT455" s="105"/>
      <c r="GU455" s="105"/>
      <c r="GV455" s="105"/>
      <c r="GW455" s="105"/>
      <c r="GX455" s="105"/>
      <c r="GY455" s="105"/>
      <c r="GZ455" s="105"/>
      <c r="HA455" s="105"/>
      <c r="HB455" s="105"/>
      <c r="HC455" s="105"/>
      <c r="HD455" s="105"/>
      <c r="HE455" s="105"/>
      <c r="HF455" s="105"/>
      <c r="HG455" s="105"/>
      <c r="HH455" s="105"/>
      <c r="HI455" s="105"/>
      <c r="HJ455" s="105"/>
      <c r="HK455" s="105"/>
      <c r="HL455" s="105"/>
      <c r="HM455" s="105"/>
      <c r="HN455" s="105"/>
      <c r="HO455" s="105"/>
      <c r="HP455" s="105"/>
      <c r="HQ455" s="105"/>
      <c r="HR455" s="105"/>
      <c r="HS455" s="105"/>
      <c r="HT455" s="105"/>
      <c r="HU455" s="105"/>
      <c r="HV455" s="105"/>
      <c r="HW455" s="105"/>
      <c r="HX455" s="105"/>
      <c r="HY455" s="105"/>
      <c r="HZ455" s="105"/>
      <c r="IA455" s="105"/>
      <c r="IB455" s="105"/>
      <c r="IC455" s="105"/>
      <c r="ID455" s="105"/>
      <c r="IE455" s="105"/>
      <c r="IF455" s="105"/>
      <c r="IG455" s="105"/>
      <c r="IH455" s="105"/>
      <c r="II455" s="105"/>
      <c r="IJ455" s="105"/>
      <c r="IK455" s="105"/>
      <c r="IL455" s="105"/>
      <c r="IM455" s="105"/>
      <c r="IN455" s="105"/>
      <c r="IO455" s="105"/>
      <c r="IP455" s="105"/>
      <c r="IQ455" s="105"/>
      <c r="IR455" s="105"/>
      <c r="IS455" s="105"/>
    </row>
    <row r="456" spans="1:253">
      <c r="A456" s="116"/>
      <c r="B456" s="105"/>
      <c r="C456" s="116"/>
      <c r="D456" s="116"/>
      <c r="E456" s="116"/>
      <c r="F456" s="116"/>
      <c r="G456" s="116"/>
      <c r="H456" s="116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05"/>
      <c r="BF456" s="105"/>
      <c r="BG456" s="105"/>
      <c r="BH456" s="105"/>
      <c r="BI456" s="105"/>
      <c r="BJ456" s="105"/>
      <c r="BK456" s="105"/>
      <c r="BL456" s="105"/>
      <c r="BM456" s="105"/>
      <c r="BN456" s="105"/>
      <c r="BO456" s="105"/>
      <c r="BP456" s="105"/>
      <c r="BQ456" s="105"/>
      <c r="BR456" s="105"/>
      <c r="BS456" s="105"/>
      <c r="BT456" s="105"/>
      <c r="BU456" s="105"/>
      <c r="BV456" s="105"/>
      <c r="BW456" s="105"/>
      <c r="BX456" s="105"/>
      <c r="BY456" s="105"/>
      <c r="BZ456" s="105"/>
      <c r="CA456" s="105"/>
      <c r="CB456" s="105"/>
      <c r="CC456" s="105"/>
      <c r="CD456" s="105"/>
      <c r="CE456" s="105"/>
      <c r="CF456" s="105"/>
      <c r="CG456" s="105"/>
      <c r="CH456" s="105"/>
      <c r="CI456" s="105"/>
      <c r="CJ456" s="105"/>
      <c r="CK456" s="105"/>
      <c r="CL456" s="105"/>
      <c r="CM456" s="105"/>
      <c r="CN456" s="105"/>
      <c r="CO456" s="105"/>
      <c r="CP456" s="105"/>
      <c r="CQ456" s="105"/>
      <c r="CR456" s="105"/>
      <c r="CS456" s="105"/>
      <c r="CT456" s="105"/>
      <c r="CU456" s="105"/>
      <c r="CV456" s="105"/>
      <c r="CW456" s="105"/>
      <c r="CX456" s="105"/>
      <c r="CY456" s="105"/>
      <c r="CZ456" s="105"/>
      <c r="DA456" s="105"/>
      <c r="DB456" s="105"/>
      <c r="DC456" s="105"/>
      <c r="DD456" s="105"/>
      <c r="DE456" s="105"/>
      <c r="DF456" s="105"/>
      <c r="DG456" s="105"/>
      <c r="DH456" s="105"/>
      <c r="DI456" s="105"/>
      <c r="DJ456" s="105"/>
      <c r="DK456" s="105"/>
      <c r="DL456" s="105"/>
      <c r="DM456" s="105"/>
      <c r="DN456" s="105"/>
      <c r="DO456" s="105"/>
      <c r="DP456" s="105"/>
      <c r="DQ456" s="105"/>
      <c r="DR456" s="105"/>
      <c r="DS456" s="105"/>
      <c r="DT456" s="105"/>
      <c r="DU456" s="105"/>
      <c r="DV456" s="105"/>
      <c r="DW456" s="105"/>
      <c r="DX456" s="105"/>
      <c r="DY456" s="105"/>
      <c r="DZ456" s="105"/>
      <c r="EA456" s="105"/>
      <c r="EB456" s="105"/>
      <c r="EC456" s="105"/>
      <c r="ED456" s="105"/>
      <c r="EE456" s="105"/>
      <c r="EF456" s="105"/>
      <c r="EG456" s="105"/>
      <c r="EH456" s="105"/>
      <c r="EI456" s="105"/>
      <c r="EJ456" s="105"/>
      <c r="EK456" s="105"/>
      <c r="EL456" s="105"/>
      <c r="EM456" s="105"/>
      <c r="EN456" s="105"/>
      <c r="EO456" s="105"/>
      <c r="EP456" s="105"/>
      <c r="EQ456" s="105"/>
      <c r="ER456" s="105"/>
      <c r="ES456" s="105"/>
      <c r="ET456" s="105"/>
      <c r="EU456" s="105"/>
      <c r="EV456" s="105"/>
      <c r="EW456" s="105"/>
      <c r="EX456" s="105"/>
      <c r="EY456" s="105"/>
      <c r="EZ456" s="105"/>
      <c r="FA456" s="105"/>
      <c r="FB456" s="105"/>
      <c r="FC456" s="105"/>
      <c r="FD456" s="105"/>
      <c r="FE456" s="105"/>
      <c r="FF456" s="105"/>
      <c r="FG456" s="105"/>
      <c r="FH456" s="105"/>
      <c r="FI456" s="105"/>
      <c r="FJ456" s="105"/>
      <c r="FK456" s="105"/>
      <c r="FL456" s="105"/>
      <c r="FM456" s="105"/>
      <c r="FN456" s="105"/>
      <c r="FO456" s="105"/>
      <c r="FP456" s="105"/>
      <c r="FQ456" s="105"/>
      <c r="FR456" s="105"/>
      <c r="FS456" s="105"/>
      <c r="FT456" s="105"/>
      <c r="FU456" s="105"/>
      <c r="FV456" s="105"/>
      <c r="FW456" s="105"/>
      <c r="FX456" s="105"/>
      <c r="FY456" s="105"/>
      <c r="FZ456" s="105"/>
      <c r="GA456" s="105"/>
      <c r="GB456" s="105"/>
      <c r="GC456" s="105"/>
      <c r="GD456" s="105"/>
      <c r="GE456" s="105"/>
      <c r="GF456" s="105"/>
      <c r="GG456" s="105"/>
      <c r="GH456" s="105"/>
      <c r="GI456" s="105"/>
      <c r="GJ456" s="105"/>
      <c r="GK456" s="105"/>
      <c r="GL456" s="105"/>
      <c r="GM456" s="105"/>
      <c r="GN456" s="105"/>
      <c r="GO456" s="105"/>
      <c r="GP456" s="105"/>
      <c r="GQ456" s="105"/>
      <c r="GR456" s="105"/>
      <c r="GS456" s="105"/>
      <c r="GT456" s="105"/>
      <c r="GU456" s="105"/>
      <c r="GV456" s="105"/>
      <c r="GW456" s="105"/>
      <c r="GX456" s="105"/>
      <c r="GY456" s="105"/>
      <c r="GZ456" s="105"/>
      <c r="HA456" s="105"/>
      <c r="HB456" s="105"/>
      <c r="HC456" s="105"/>
      <c r="HD456" s="105"/>
      <c r="HE456" s="105"/>
      <c r="HF456" s="105"/>
      <c r="HG456" s="105"/>
      <c r="HH456" s="105"/>
      <c r="HI456" s="105"/>
      <c r="HJ456" s="105"/>
      <c r="HK456" s="105"/>
      <c r="HL456" s="105"/>
      <c r="HM456" s="105"/>
      <c r="HN456" s="105"/>
      <c r="HO456" s="105"/>
      <c r="HP456" s="105"/>
      <c r="HQ456" s="105"/>
      <c r="HR456" s="105"/>
      <c r="HS456" s="105"/>
      <c r="HT456" s="105"/>
      <c r="HU456" s="105"/>
      <c r="HV456" s="105"/>
      <c r="HW456" s="105"/>
      <c r="HX456" s="105"/>
      <c r="HY456" s="105"/>
      <c r="HZ456" s="105"/>
      <c r="IA456" s="105"/>
      <c r="IB456" s="105"/>
      <c r="IC456" s="105"/>
      <c r="ID456" s="105"/>
      <c r="IE456" s="105"/>
      <c r="IF456" s="105"/>
      <c r="IG456" s="105"/>
      <c r="IH456" s="105"/>
      <c r="II456" s="105"/>
      <c r="IJ456" s="105"/>
      <c r="IK456" s="105"/>
      <c r="IL456" s="105"/>
      <c r="IM456" s="105"/>
      <c r="IN456" s="105"/>
      <c r="IO456" s="105"/>
      <c r="IP456" s="105"/>
      <c r="IQ456" s="105"/>
      <c r="IR456" s="105"/>
      <c r="IS456" s="105"/>
    </row>
    <row r="457" spans="1:253">
      <c r="A457" s="116"/>
      <c r="B457" s="105"/>
      <c r="C457" s="116"/>
      <c r="D457" s="116"/>
      <c r="E457" s="116"/>
      <c r="F457" s="116"/>
      <c r="G457" s="116"/>
      <c r="H457" s="116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5"/>
      <c r="BE457" s="105"/>
      <c r="BF457" s="105"/>
      <c r="BG457" s="105"/>
      <c r="BH457" s="105"/>
      <c r="BI457" s="105"/>
      <c r="BJ457" s="105"/>
      <c r="BK457" s="105"/>
      <c r="BL457" s="105"/>
      <c r="BM457" s="105"/>
      <c r="BN457" s="105"/>
      <c r="BO457" s="105"/>
      <c r="BP457" s="105"/>
      <c r="BQ457" s="105"/>
      <c r="BR457" s="105"/>
      <c r="BS457" s="105"/>
      <c r="BT457" s="105"/>
      <c r="BU457" s="105"/>
      <c r="BV457" s="105"/>
      <c r="BW457" s="105"/>
      <c r="BX457" s="105"/>
      <c r="BY457" s="105"/>
      <c r="BZ457" s="105"/>
      <c r="CA457" s="105"/>
      <c r="CB457" s="105"/>
      <c r="CC457" s="105"/>
      <c r="CD457" s="105"/>
      <c r="CE457" s="105"/>
      <c r="CF457" s="105"/>
      <c r="CG457" s="105"/>
      <c r="CH457" s="105"/>
      <c r="CI457" s="105"/>
      <c r="CJ457" s="105"/>
      <c r="CK457" s="105"/>
      <c r="CL457" s="105"/>
      <c r="CM457" s="105"/>
      <c r="CN457" s="105"/>
      <c r="CO457" s="105"/>
      <c r="CP457" s="105"/>
      <c r="CQ457" s="105"/>
      <c r="CR457" s="105"/>
      <c r="CS457" s="105"/>
      <c r="CT457" s="105"/>
      <c r="CU457" s="105"/>
      <c r="CV457" s="105"/>
      <c r="CW457" s="105"/>
      <c r="CX457" s="105"/>
      <c r="CY457" s="105"/>
      <c r="CZ457" s="105"/>
      <c r="DA457" s="105"/>
      <c r="DB457" s="105"/>
      <c r="DC457" s="105"/>
      <c r="DD457" s="105"/>
      <c r="DE457" s="105"/>
      <c r="DF457" s="105"/>
      <c r="DG457" s="105"/>
      <c r="DH457" s="105"/>
      <c r="DI457" s="105"/>
      <c r="DJ457" s="105"/>
      <c r="DK457" s="105"/>
      <c r="DL457" s="105"/>
      <c r="DM457" s="105"/>
      <c r="DN457" s="105"/>
      <c r="DO457" s="105"/>
      <c r="DP457" s="105"/>
      <c r="DQ457" s="105"/>
      <c r="DR457" s="105"/>
      <c r="DS457" s="105"/>
      <c r="DT457" s="105"/>
      <c r="DU457" s="105"/>
      <c r="DV457" s="105"/>
      <c r="DW457" s="105"/>
      <c r="DX457" s="105"/>
      <c r="DY457" s="105"/>
      <c r="DZ457" s="105"/>
      <c r="EA457" s="105"/>
      <c r="EB457" s="105"/>
      <c r="EC457" s="105"/>
      <c r="ED457" s="105"/>
      <c r="EE457" s="105"/>
      <c r="EF457" s="105"/>
      <c r="EG457" s="105"/>
      <c r="EH457" s="105"/>
      <c r="EI457" s="105"/>
      <c r="EJ457" s="105"/>
      <c r="EK457" s="105"/>
      <c r="EL457" s="105"/>
      <c r="EM457" s="105"/>
      <c r="EN457" s="105"/>
      <c r="EO457" s="105"/>
      <c r="EP457" s="105"/>
      <c r="EQ457" s="105"/>
      <c r="ER457" s="105"/>
      <c r="ES457" s="105"/>
      <c r="ET457" s="105"/>
      <c r="EU457" s="105"/>
      <c r="EV457" s="105"/>
      <c r="EW457" s="105"/>
      <c r="EX457" s="105"/>
      <c r="EY457" s="105"/>
      <c r="EZ457" s="105"/>
      <c r="FA457" s="105"/>
      <c r="FB457" s="105"/>
      <c r="FC457" s="105"/>
      <c r="FD457" s="105"/>
      <c r="FE457" s="105"/>
      <c r="FF457" s="105"/>
      <c r="FG457" s="105"/>
      <c r="FH457" s="105"/>
      <c r="FI457" s="105"/>
      <c r="FJ457" s="105"/>
      <c r="FK457" s="105"/>
      <c r="FL457" s="105"/>
      <c r="FM457" s="105"/>
      <c r="FN457" s="105"/>
      <c r="FO457" s="105"/>
      <c r="FP457" s="105"/>
      <c r="FQ457" s="105"/>
      <c r="FR457" s="105"/>
      <c r="FS457" s="105"/>
      <c r="FT457" s="105"/>
      <c r="FU457" s="105"/>
      <c r="FV457" s="105"/>
      <c r="FW457" s="105"/>
      <c r="FX457" s="105"/>
      <c r="FY457" s="105"/>
      <c r="FZ457" s="105"/>
      <c r="GA457" s="105"/>
      <c r="GB457" s="105"/>
      <c r="GC457" s="105"/>
      <c r="GD457" s="105"/>
      <c r="GE457" s="105"/>
      <c r="GF457" s="105"/>
      <c r="GG457" s="105"/>
      <c r="GH457" s="105"/>
      <c r="GI457" s="105"/>
      <c r="GJ457" s="105"/>
      <c r="GK457" s="105"/>
      <c r="GL457" s="105"/>
      <c r="GM457" s="105"/>
      <c r="GN457" s="105"/>
      <c r="GO457" s="105"/>
      <c r="GP457" s="105"/>
      <c r="GQ457" s="105"/>
      <c r="GR457" s="105"/>
      <c r="GS457" s="105"/>
      <c r="GT457" s="105"/>
      <c r="GU457" s="105"/>
      <c r="GV457" s="105"/>
      <c r="GW457" s="105"/>
      <c r="GX457" s="105"/>
      <c r="GY457" s="105"/>
      <c r="GZ457" s="105"/>
      <c r="HA457" s="105"/>
      <c r="HB457" s="105"/>
      <c r="HC457" s="105"/>
      <c r="HD457" s="105"/>
      <c r="HE457" s="105"/>
      <c r="HF457" s="105"/>
      <c r="HG457" s="105"/>
      <c r="HH457" s="105"/>
      <c r="HI457" s="105"/>
      <c r="HJ457" s="105"/>
      <c r="HK457" s="105"/>
      <c r="HL457" s="105"/>
      <c r="HM457" s="105"/>
      <c r="HN457" s="105"/>
      <c r="HO457" s="105"/>
      <c r="HP457" s="105"/>
      <c r="HQ457" s="105"/>
      <c r="HR457" s="105"/>
      <c r="HS457" s="105"/>
      <c r="HT457" s="105"/>
      <c r="HU457" s="105"/>
      <c r="HV457" s="105"/>
      <c r="HW457" s="105"/>
      <c r="HX457" s="105"/>
      <c r="HY457" s="105"/>
      <c r="HZ457" s="105"/>
      <c r="IA457" s="105"/>
      <c r="IB457" s="105"/>
      <c r="IC457" s="105"/>
      <c r="ID457" s="105"/>
      <c r="IE457" s="105"/>
      <c r="IF457" s="105"/>
      <c r="IG457" s="105"/>
      <c r="IH457" s="105"/>
      <c r="II457" s="105"/>
      <c r="IJ457" s="105"/>
      <c r="IK457" s="105"/>
      <c r="IL457" s="105"/>
      <c r="IM457" s="105"/>
      <c r="IN457" s="105"/>
      <c r="IO457" s="105"/>
      <c r="IP457" s="105"/>
      <c r="IQ457" s="105"/>
      <c r="IR457" s="105"/>
      <c r="IS457" s="105"/>
    </row>
    <row r="458" spans="1:253">
      <c r="A458" s="116"/>
      <c r="B458" s="105"/>
      <c r="C458" s="116"/>
      <c r="D458" s="116"/>
      <c r="E458" s="116"/>
      <c r="F458" s="116"/>
      <c r="G458" s="116"/>
      <c r="H458" s="116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05"/>
      <c r="BF458" s="105"/>
      <c r="BG458" s="105"/>
      <c r="BH458" s="105"/>
      <c r="BI458" s="105"/>
      <c r="BJ458" s="105"/>
      <c r="BK458" s="105"/>
      <c r="BL458" s="105"/>
      <c r="BM458" s="105"/>
      <c r="BN458" s="105"/>
      <c r="BO458" s="105"/>
      <c r="BP458" s="105"/>
      <c r="BQ458" s="105"/>
      <c r="BR458" s="105"/>
      <c r="BS458" s="105"/>
      <c r="BT458" s="105"/>
      <c r="BU458" s="105"/>
      <c r="BV458" s="105"/>
      <c r="BW458" s="105"/>
      <c r="BX458" s="105"/>
      <c r="BY458" s="105"/>
      <c r="BZ458" s="105"/>
      <c r="CA458" s="105"/>
      <c r="CB458" s="105"/>
      <c r="CC458" s="105"/>
      <c r="CD458" s="105"/>
      <c r="CE458" s="105"/>
      <c r="CF458" s="105"/>
      <c r="CG458" s="105"/>
      <c r="CH458" s="105"/>
      <c r="CI458" s="105"/>
      <c r="CJ458" s="105"/>
      <c r="CK458" s="105"/>
      <c r="CL458" s="105"/>
      <c r="CM458" s="105"/>
      <c r="CN458" s="105"/>
      <c r="CO458" s="105"/>
      <c r="CP458" s="105"/>
      <c r="CQ458" s="105"/>
      <c r="CR458" s="105"/>
      <c r="CS458" s="105"/>
      <c r="CT458" s="105"/>
      <c r="CU458" s="105"/>
      <c r="CV458" s="105"/>
      <c r="CW458" s="105"/>
      <c r="CX458" s="105"/>
      <c r="CY458" s="105"/>
      <c r="CZ458" s="105"/>
      <c r="DA458" s="105"/>
      <c r="DB458" s="105"/>
      <c r="DC458" s="105"/>
      <c r="DD458" s="105"/>
      <c r="DE458" s="105"/>
      <c r="DF458" s="105"/>
      <c r="DG458" s="105"/>
      <c r="DH458" s="105"/>
      <c r="DI458" s="105"/>
      <c r="DJ458" s="105"/>
      <c r="DK458" s="105"/>
      <c r="DL458" s="105"/>
      <c r="DM458" s="105"/>
      <c r="DN458" s="105"/>
      <c r="DO458" s="105"/>
      <c r="DP458" s="105"/>
      <c r="DQ458" s="105"/>
      <c r="DR458" s="105"/>
      <c r="DS458" s="105"/>
      <c r="DT458" s="105"/>
      <c r="DU458" s="105"/>
      <c r="DV458" s="105"/>
      <c r="DW458" s="105"/>
      <c r="DX458" s="105"/>
      <c r="DY458" s="105"/>
      <c r="DZ458" s="105"/>
      <c r="EA458" s="105"/>
      <c r="EB458" s="105"/>
      <c r="EC458" s="105"/>
      <c r="ED458" s="105"/>
      <c r="EE458" s="105"/>
      <c r="EF458" s="105"/>
      <c r="EG458" s="105"/>
      <c r="EH458" s="105"/>
      <c r="EI458" s="105"/>
      <c r="EJ458" s="105"/>
      <c r="EK458" s="105"/>
      <c r="EL458" s="105"/>
      <c r="EM458" s="105"/>
      <c r="EN458" s="105"/>
      <c r="EO458" s="105"/>
      <c r="EP458" s="105"/>
      <c r="EQ458" s="105"/>
      <c r="ER458" s="105"/>
      <c r="ES458" s="105"/>
      <c r="ET458" s="105"/>
      <c r="EU458" s="105"/>
      <c r="EV458" s="105"/>
      <c r="EW458" s="105"/>
      <c r="EX458" s="105"/>
      <c r="EY458" s="105"/>
      <c r="EZ458" s="105"/>
      <c r="FA458" s="105"/>
      <c r="FB458" s="105"/>
      <c r="FC458" s="105"/>
      <c r="FD458" s="105"/>
      <c r="FE458" s="105"/>
      <c r="FF458" s="105"/>
      <c r="FG458" s="105"/>
      <c r="FH458" s="105"/>
      <c r="FI458" s="105"/>
      <c r="FJ458" s="105"/>
      <c r="FK458" s="105"/>
      <c r="FL458" s="105"/>
      <c r="FM458" s="105"/>
      <c r="FN458" s="105"/>
      <c r="FO458" s="105"/>
      <c r="FP458" s="105"/>
      <c r="FQ458" s="105"/>
      <c r="FR458" s="105"/>
      <c r="FS458" s="105"/>
      <c r="FT458" s="105"/>
      <c r="FU458" s="105"/>
      <c r="FV458" s="105"/>
      <c r="FW458" s="105"/>
      <c r="FX458" s="105"/>
      <c r="FY458" s="105"/>
      <c r="FZ458" s="105"/>
      <c r="GA458" s="105"/>
      <c r="GB458" s="105"/>
      <c r="GC458" s="105"/>
      <c r="GD458" s="105"/>
      <c r="GE458" s="105"/>
      <c r="GF458" s="105"/>
      <c r="GG458" s="105"/>
      <c r="GH458" s="105"/>
      <c r="GI458" s="105"/>
      <c r="GJ458" s="105"/>
      <c r="GK458" s="105"/>
      <c r="GL458" s="105"/>
      <c r="GM458" s="105"/>
      <c r="GN458" s="105"/>
      <c r="GO458" s="105"/>
      <c r="GP458" s="105"/>
      <c r="GQ458" s="105"/>
      <c r="GR458" s="105"/>
      <c r="GS458" s="105"/>
      <c r="GT458" s="105"/>
      <c r="GU458" s="105"/>
      <c r="GV458" s="105"/>
      <c r="GW458" s="105"/>
      <c r="GX458" s="105"/>
      <c r="GY458" s="105"/>
      <c r="GZ458" s="105"/>
      <c r="HA458" s="105"/>
      <c r="HB458" s="105"/>
      <c r="HC458" s="105"/>
      <c r="HD458" s="105"/>
      <c r="HE458" s="105"/>
      <c r="HF458" s="105"/>
      <c r="HG458" s="105"/>
      <c r="HH458" s="105"/>
      <c r="HI458" s="105"/>
      <c r="HJ458" s="105"/>
      <c r="HK458" s="105"/>
      <c r="HL458" s="105"/>
      <c r="HM458" s="105"/>
      <c r="HN458" s="105"/>
      <c r="HO458" s="105"/>
      <c r="HP458" s="105"/>
      <c r="HQ458" s="105"/>
      <c r="HR458" s="105"/>
      <c r="HS458" s="105"/>
      <c r="HT458" s="105"/>
      <c r="HU458" s="105"/>
      <c r="HV458" s="105"/>
      <c r="HW458" s="105"/>
      <c r="HX458" s="105"/>
      <c r="HY458" s="105"/>
      <c r="HZ458" s="105"/>
      <c r="IA458" s="105"/>
      <c r="IB458" s="105"/>
      <c r="IC458" s="105"/>
      <c r="ID458" s="105"/>
      <c r="IE458" s="105"/>
      <c r="IF458" s="105"/>
      <c r="IG458" s="105"/>
      <c r="IH458" s="105"/>
      <c r="II458" s="105"/>
      <c r="IJ458" s="105"/>
      <c r="IK458" s="105"/>
      <c r="IL458" s="105"/>
      <c r="IM458" s="105"/>
      <c r="IN458" s="105"/>
      <c r="IO458" s="105"/>
      <c r="IP458" s="105"/>
      <c r="IQ458" s="105"/>
      <c r="IR458" s="105"/>
      <c r="IS458" s="105"/>
    </row>
    <row r="459" spans="1:253">
      <c r="A459" s="116"/>
      <c r="B459" s="105"/>
      <c r="C459" s="116"/>
      <c r="D459" s="116"/>
      <c r="E459" s="116"/>
      <c r="F459" s="116"/>
      <c r="G459" s="116"/>
      <c r="H459" s="116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5"/>
      <c r="BE459" s="105"/>
      <c r="BF459" s="105"/>
      <c r="BG459" s="105"/>
      <c r="BH459" s="105"/>
      <c r="BI459" s="105"/>
      <c r="BJ459" s="105"/>
      <c r="BK459" s="105"/>
      <c r="BL459" s="105"/>
      <c r="BM459" s="105"/>
      <c r="BN459" s="105"/>
      <c r="BO459" s="105"/>
      <c r="BP459" s="105"/>
      <c r="BQ459" s="105"/>
      <c r="BR459" s="105"/>
      <c r="BS459" s="105"/>
      <c r="BT459" s="105"/>
      <c r="BU459" s="105"/>
      <c r="BV459" s="105"/>
      <c r="BW459" s="105"/>
      <c r="BX459" s="105"/>
      <c r="BY459" s="105"/>
      <c r="BZ459" s="105"/>
      <c r="CA459" s="105"/>
      <c r="CB459" s="105"/>
      <c r="CC459" s="105"/>
      <c r="CD459" s="105"/>
      <c r="CE459" s="105"/>
      <c r="CF459" s="105"/>
      <c r="CG459" s="105"/>
      <c r="CH459" s="105"/>
      <c r="CI459" s="105"/>
      <c r="CJ459" s="105"/>
      <c r="CK459" s="105"/>
      <c r="CL459" s="105"/>
      <c r="CM459" s="105"/>
      <c r="CN459" s="105"/>
      <c r="CO459" s="105"/>
      <c r="CP459" s="105"/>
      <c r="CQ459" s="105"/>
      <c r="CR459" s="105"/>
      <c r="CS459" s="105"/>
      <c r="CT459" s="105"/>
      <c r="CU459" s="105"/>
      <c r="CV459" s="105"/>
      <c r="CW459" s="105"/>
      <c r="CX459" s="105"/>
      <c r="CY459" s="105"/>
      <c r="CZ459" s="105"/>
      <c r="DA459" s="105"/>
      <c r="DB459" s="105"/>
      <c r="DC459" s="105"/>
      <c r="DD459" s="105"/>
      <c r="DE459" s="105"/>
      <c r="DF459" s="105"/>
      <c r="DG459" s="105"/>
      <c r="DH459" s="105"/>
      <c r="DI459" s="105"/>
      <c r="DJ459" s="105"/>
      <c r="DK459" s="105"/>
      <c r="DL459" s="105"/>
      <c r="DM459" s="105"/>
      <c r="DN459" s="105"/>
      <c r="DO459" s="105"/>
      <c r="DP459" s="105"/>
      <c r="DQ459" s="105"/>
      <c r="DR459" s="105"/>
      <c r="DS459" s="105"/>
      <c r="DT459" s="105"/>
      <c r="DU459" s="105"/>
      <c r="DV459" s="105"/>
      <c r="DW459" s="105"/>
      <c r="DX459" s="105"/>
      <c r="DY459" s="105"/>
      <c r="DZ459" s="105"/>
      <c r="EA459" s="105"/>
      <c r="EB459" s="105"/>
      <c r="EC459" s="105"/>
      <c r="ED459" s="105"/>
      <c r="EE459" s="105"/>
      <c r="EF459" s="105"/>
      <c r="EG459" s="105"/>
      <c r="EH459" s="105"/>
      <c r="EI459" s="105"/>
      <c r="EJ459" s="105"/>
      <c r="EK459" s="105"/>
      <c r="EL459" s="105"/>
      <c r="EM459" s="105"/>
      <c r="EN459" s="105"/>
      <c r="EO459" s="105"/>
      <c r="EP459" s="105"/>
      <c r="EQ459" s="105"/>
      <c r="ER459" s="105"/>
      <c r="ES459" s="105"/>
      <c r="ET459" s="105"/>
      <c r="EU459" s="105"/>
      <c r="EV459" s="105"/>
      <c r="EW459" s="105"/>
      <c r="EX459" s="105"/>
      <c r="EY459" s="105"/>
      <c r="EZ459" s="105"/>
      <c r="FA459" s="105"/>
      <c r="FB459" s="105"/>
      <c r="FC459" s="105"/>
      <c r="FD459" s="105"/>
      <c r="FE459" s="105"/>
      <c r="FF459" s="105"/>
      <c r="FG459" s="105"/>
      <c r="FH459" s="105"/>
      <c r="FI459" s="105"/>
      <c r="FJ459" s="105"/>
      <c r="FK459" s="105"/>
      <c r="FL459" s="105"/>
      <c r="FM459" s="105"/>
      <c r="FN459" s="105"/>
      <c r="FO459" s="105"/>
      <c r="FP459" s="105"/>
      <c r="FQ459" s="105"/>
      <c r="FR459" s="105"/>
      <c r="FS459" s="105"/>
      <c r="FT459" s="105"/>
      <c r="FU459" s="105"/>
      <c r="FV459" s="105"/>
      <c r="FW459" s="105"/>
      <c r="FX459" s="105"/>
      <c r="FY459" s="105"/>
      <c r="FZ459" s="105"/>
      <c r="GA459" s="105"/>
      <c r="GB459" s="105"/>
      <c r="GC459" s="105"/>
      <c r="GD459" s="105"/>
      <c r="GE459" s="105"/>
      <c r="GF459" s="105"/>
      <c r="GG459" s="105"/>
      <c r="GH459" s="105"/>
      <c r="GI459" s="105"/>
      <c r="GJ459" s="105"/>
      <c r="GK459" s="105"/>
      <c r="GL459" s="105"/>
      <c r="GM459" s="105"/>
      <c r="GN459" s="105"/>
      <c r="GO459" s="105"/>
      <c r="GP459" s="105"/>
      <c r="GQ459" s="105"/>
      <c r="GR459" s="105"/>
      <c r="GS459" s="105"/>
      <c r="GT459" s="105"/>
      <c r="GU459" s="105"/>
      <c r="GV459" s="105"/>
      <c r="GW459" s="105"/>
      <c r="GX459" s="105"/>
      <c r="GY459" s="105"/>
      <c r="GZ459" s="105"/>
      <c r="HA459" s="105"/>
      <c r="HB459" s="105"/>
      <c r="HC459" s="105"/>
      <c r="HD459" s="105"/>
      <c r="HE459" s="105"/>
      <c r="HF459" s="105"/>
      <c r="HG459" s="105"/>
      <c r="HH459" s="105"/>
      <c r="HI459" s="105"/>
      <c r="HJ459" s="105"/>
      <c r="HK459" s="105"/>
      <c r="HL459" s="105"/>
      <c r="HM459" s="105"/>
      <c r="HN459" s="105"/>
      <c r="HO459" s="105"/>
      <c r="HP459" s="105"/>
      <c r="HQ459" s="105"/>
      <c r="HR459" s="105"/>
      <c r="HS459" s="105"/>
      <c r="HT459" s="105"/>
      <c r="HU459" s="105"/>
      <c r="HV459" s="105"/>
      <c r="HW459" s="105"/>
      <c r="HX459" s="105"/>
      <c r="HY459" s="105"/>
      <c r="HZ459" s="105"/>
      <c r="IA459" s="105"/>
      <c r="IB459" s="105"/>
      <c r="IC459" s="105"/>
      <c r="ID459" s="105"/>
      <c r="IE459" s="105"/>
      <c r="IF459" s="105"/>
      <c r="IG459" s="105"/>
      <c r="IH459" s="105"/>
      <c r="II459" s="105"/>
      <c r="IJ459" s="105"/>
      <c r="IK459" s="105"/>
      <c r="IL459" s="105"/>
      <c r="IM459" s="105"/>
      <c r="IN459" s="105"/>
      <c r="IO459" s="105"/>
      <c r="IP459" s="105"/>
      <c r="IQ459" s="105"/>
      <c r="IR459" s="105"/>
      <c r="IS459" s="105"/>
    </row>
    <row r="460" spans="1:253">
      <c r="A460" s="116"/>
      <c r="B460" s="105"/>
      <c r="C460" s="116"/>
      <c r="D460" s="116"/>
      <c r="E460" s="116"/>
      <c r="F460" s="116"/>
      <c r="G460" s="116"/>
      <c r="H460" s="116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05"/>
      <c r="BF460" s="105"/>
      <c r="BG460" s="105"/>
      <c r="BH460" s="105"/>
      <c r="BI460" s="105"/>
      <c r="BJ460" s="105"/>
      <c r="BK460" s="105"/>
      <c r="BL460" s="105"/>
      <c r="BM460" s="105"/>
      <c r="BN460" s="105"/>
      <c r="BO460" s="105"/>
      <c r="BP460" s="105"/>
      <c r="BQ460" s="105"/>
      <c r="BR460" s="105"/>
      <c r="BS460" s="105"/>
      <c r="BT460" s="105"/>
      <c r="BU460" s="105"/>
      <c r="BV460" s="105"/>
      <c r="BW460" s="105"/>
      <c r="BX460" s="105"/>
      <c r="BY460" s="105"/>
      <c r="BZ460" s="105"/>
      <c r="CA460" s="105"/>
      <c r="CB460" s="105"/>
      <c r="CC460" s="105"/>
      <c r="CD460" s="105"/>
      <c r="CE460" s="105"/>
      <c r="CF460" s="105"/>
      <c r="CG460" s="105"/>
      <c r="CH460" s="105"/>
      <c r="CI460" s="105"/>
      <c r="CJ460" s="105"/>
      <c r="CK460" s="105"/>
      <c r="CL460" s="105"/>
      <c r="CM460" s="105"/>
      <c r="CN460" s="105"/>
      <c r="CO460" s="105"/>
      <c r="CP460" s="105"/>
      <c r="CQ460" s="105"/>
      <c r="CR460" s="105"/>
      <c r="CS460" s="105"/>
      <c r="CT460" s="105"/>
      <c r="CU460" s="105"/>
      <c r="CV460" s="105"/>
      <c r="CW460" s="105"/>
      <c r="CX460" s="105"/>
      <c r="CY460" s="105"/>
      <c r="CZ460" s="105"/>
      <c r="DA460" s="105"/>
      <c r="DB460" s="105"/>
      <c r="DC460" s="105"/>
      <c r="DD460" s="105"/>
      <c r="DE460" s="105"/>
      <c r="DF460" s="105"/>
      <c r="DG460" s="105"/>
      <c r="DH460" s="105"/>
      <c r="DI460" s="105"/>
      <c r="DJ460" s="105"/>
      <c r="DK460" s="105"/>
      <c r="DL460" s="105"/>
      <c r="DM460" s="105"/>
      <c r="DN460" s="105"/>
      <c r="DO460" s="105"/>
      <c r="DP460" s="105"/>
      <c r="DQ460" s="105"/>
      <c r="DR460" s="105"/>
      <c r="DS460" s="105"/>
      <c r="DT460" s="105"/>
      <c r="DU460" s="105"/>
      <c r="DV460" s="105"/>
      <c r="DW460" s="105"/>
      <c r="DX460" s="105"/>
      <c r="DY460" s="105"/>
      <c r="DZ460" s="105"/>
      <c r="EA460" s="105"/>
      <c r="EB460" s="105"/>
      <c r="EC460" s="105"/>
      <c r="ED460" s="105"/>
      <c r="EE460" s="105"/>
      <c r="EF460" s="105"/>
      <c r="EG460" s="105"/>
      <c r="EH460" s="105"/>
      <c r="EI460" s="105"/>
      <c r="EJ460" s="105"/>
      <c r="EK460" s="105"/>
      <c r="EL460" s="105"/>
      <c r="EM460" s="105"/>
      <c r="EN460" s="105"/>
      <c r="EO460" s="105"/>
      <c r="EP460" s="105"/>
      <c r="EQ460" s="105"/>
      <c r="ER460" s="105"/>
      <c r="ES460" s="105"/>
      <c r="ET460" s="105"/>
      <c r="EU460" s="105"/>
      <c r="EV460" s="105"/>
      <c r="EW460" s="105"/>
      <c r="EX460" s="105"/>
      <c r="EY460" s="105"/>
      <c r="EZ460" s="105"/>
      <c r="FA460" s="105"/>
      <c r="FB460" s="105"/>
      <c r="FC460" s="105"/>
      <c r="FD460" s="105"/>
      <c r="FE460" s="105"/>
      <c r="FF460" s="105"/>
      <c r="FG460" s="105"/>
      <c r="FH460" s="105"/>
      <c r="FI460" s="105"/>
      <c r="FJ460" s="105"/>
      <c r="FK460" s="105"/>
      <c r="FL460" s="105"/>
      <c r="FM460" s="105"/>
      <c r="FN460" s="105"/>
      <c r="FO460" s="105"/>
      <c r="FP460" s="105"/>
      <c r="FQ460" s="105"/>
      <c r="FR460" s="105"/>
      <c r="FS460" s="105"/>
      <c r="FT460" s="105"/>
      <c r="FU460" s="105"/>
      <c r="FV460" s="105"/>
      <c r="FW460" s="105"/>
      <c r="FX460" s="105"/>
      <c r="FY460" s="105"/>
      <c r="FZ460" s="105"/>
      <c r="GA460" s="105"/>
      <c r="GB460" s="105"/>
      <c r="GC460" s="105"/>
      <c r="GD460" s="105"/>
      <c r="GE460" s="105"/>
      <c r="GF460" s="105"/>
      <c r="GG460" s="105"/>
      <c r="GH460" s="105"/>
      <c r="GI460" s="105"/>
      <c r="GJ460" s="105"/>
      <c r="GK460" s="105"/>
      <c r="GL460" s="105"/>
      <c r="GM460" s="105"/>
      <c r="GN460" s="105"/>
      <c r="GO460" s="105"/>
      <c r="GP460" s="105"/>
      <c r="GQ460" s="105"/>
      <c r="GR460" s="105"/>
      <c r="GS460" s="105"/>
      <c r="GT460" s="105"/>
      <c r="GU460" s="105"/>
      <c r="GV460" s="105"/>
      <c r="GW460" s="105"/>
      <c r="GX460" s="105"/>
      <c r="GY460" s="105"/>
      <c r="GZ460" s="105"/>
      <c r="HA460" s="105"/>
      <c r="HB460" s="105"/>
      <c r="HC460" s="105"/>
      <c r="HD460" s="105"/>
      <c r="HE460" s="105"/>
      <c r="HF460" s="105"/>
      <c r="HG460" s="105"/>
      <c r="HH460" s="105"/>
      <c r="HI460" s="105"/>
      <c r="HJ460" s="105"/>
      <c r="HK460" s="105"/>
      <c r="HL460" s="105"/>
      <c r="HM460" s="105"/>
      <c r="HN460" s="105"/>
      <c r="HO460" s="105"/>
      <c r="HP460" s="105"/>
      <c r="HQ460" s="105"/>
      <c r="HR460" s="105"/>
      <c r="HS460" s="105"/>
      <c r="HT460" s="105"/>
      <c r="HU460" s="105"/>
      <c r="HV460" s="105"/>
      <c r="HW460" s="105"/>
      <c r="HX460" s="105"/>
      <c r="HY460" s="105"/>
      <c r="HZ460" s="105"/>
      <c r="IA460" s="105"/>
      <c r="IB460" s="105"/>
      <c r="IC460" s="105"/>
      <c r="ID460" s="105"/>
      <c r="IE460" s="105"/>
      <c r="IF460" s="105"/>
      <c r="IG460" s="105"/>
      <c r="IH460" s="105"/>
      <c r="II460" s="105"/>
      <c r="IJ460" s="105"/>
      <c r="IK460" s="105"/>
      <c r="IL460" s="105"/>
      <c r="IM460" s="105"/>
      <c r="IN460" s="105"/>
      <c r="IO460" s="105"/>
      <c r="IP460" s="105"/>
      <c r="IQ460" s="105"/>
      <c r="IR460" s="105"/>
      <c r="IS460" s="105"/>
    </row>
    <row r="461" spans="1:253">
      <c r="A461" s="116"/>
      <c r="B461" s="105"/>
      <c r="C461" s="116"/>
      <c r="D461" s="116"/>
      <c r="E461" s="116"/>
      <c r="F461" s="116"/>
      <c r="G461" s="116"/>
      <c r="H461" s="116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  <c r="AU461" s="105"/>
      <c r="AV461" s="105"/>
      <c r="AW461" s="105"/>
      <c r="AX461" s="105"/>
      <c r="AY461" s="105"/>
      <c r="AZ461" s="105"/>
      <c r="BA461" s="105"/>
      <c r="BB461" s="105"/>
      <c r="BC461" s="105"/>
      <c r="BD461" s="105"/>
      <c r="BE461" s="105"/>
      <c r="BF461" s="105"/>
      <c r="BG461" s="105"/>
      <c r="BH461" s="105"/>
      <c r="BI461" s="105"/>
      <c r="BJ461" s="105"/>
      <c r="BK461" s="105"/>
      <c r="BL461" s="105"/>
      <c r="BM461" s="105"/>
      <c r="BN461" s="105"/>
      <c r="BO461" s="105"/>
      <c r="BP461" s="105"/>
      <c r="BQ461" s="105"/>
      <c r="BR461" s="105"/>
      <c r="BS461" s="105"/>
      <c r="BT461" s="105"/>
      <c r="BU461" s="105"/>
      <c r="BV461" s="105"/>
      <c r="BW461" s="105"/>
      <c r="BX461" s="105"/>
      <c r="BY461" s="105"/>
      <c r="BZ461" s="105"/>
      <c r="CA461" s="105"/>
      <c r="CB461" s="105"/>
      <c r="CC461" s="105"/>
      <c r="CD461" s="105"/>
      <c r="CE461" s="105"/>
      <c r="CF461" s="105"/>
      <c r="CG461" s="105"/>
      <c r="CH461" s="105"/>
      <c r="CI461" s="105"/>
      <c r="CJ461" s="105"/>
      <c r="CK461" s="105"/>
      <c r="CL461" s="105"/>
      <c r="CM461" s="105"/>
      <c r="CN461" s="105"/>
      <c r="CO461" s="105"/>
      <c r="CP461" s="105"/>
      <c r="CQ461" s="105"/>
      <c r="CR461" s="105"/>
      <c r="CS461" s="105"/>
      <c r="CT461" s="105"/>
      <c r="CU461" s="105"/>
      <c r="CV461" s="105"/>
      <c r="CW461" s="105"/>
      <c r="CX461" s="105"/>
      <c r="CY461" s="105"/>
      <c r="CZ461" s="105"/>
      <c r="DA461" s="105"/>
      <c r="DB461" s="105"/>
      <c r="DC461" s="105"/>
      <c r="DD461" s="105"/>
      <c r="DE461" s="105"/>
      <c r="DF461" s="105"/>
      <c r="DG461" s="105"/>
      <c r="DH461" s="105"/>
      <c r="DI461" s="105"/>
      <c r="DJ461" s="105"/>
      <c r="DK461" s="105"/>
      <c r="DL461" s="105"/>
      <c r="DM461" s="105"/>
      <c r="DN461" s="105"/>
      <c r="DO461" s="105"/>
      <c r="DP461" s="105"/>
      <c r="DQ461" s="105"/>
      <c r="DR461" s="105"/>
      <c r="DS461" s="105"/>
      <c r="DT461" s="105"/>
      <c r="DU461" s="105"/>
      <c r="DV461" s="105"/>
      <c r="DW461" s="105"/>
      <c r="DX461" s="105"/>
      <c r="DY461" s="105"/>
      <c r="DZ461" s="105"/>
      <c r="EA461" s="105"/>
      <c r="EB461" s="105"/>
      <c r="EC461" s="105"/>
      <c r="ED461" s="105"/>
      <c r="EE461" s="105"/>
      <c r="EF461" s="105"/>
      <c r="EG461" s="105"/>
      <c r="EH461" s="105"/>
      <c r="EI461" s="105"/>
      <c r="EJ461" s="105"/>
      <c r="EK461" s="105"/>
      <c r="EL461" s="105"/>
      <c r="EM461" s="105"/>
      <c r="EN461" s="105"/>
      <c r="EO461" s="105"/>
      <c r="EP461" s="105"/>
      <c r="EQ461" s="105"/>
      <c r="ER461" s="105"/>
      <c r="ES461" s="105"/>
      <c r="ET461" s="105"/>
      <c r="EU461" s="105"/>
      <c r="EV461" s="105"/>
      <c r="EW461" s="105"/>
      <c r="EX461" s="105"/>
      <c r="EY461" s="105"/>
      <c r="EZ461" s="105"/>
      <c r="FA461" s="105"/>
      <c r="FB461" s="105"/>
      <c r="FC461" s="105"/>
      <c r="FD461" s="105"/>
      <c r="FE461" s="105"/>
      <c r="FF461" s="105"/>
      <c r="FG461" s="105"/>
      <c r="FH461" s="105"/>
      <c r="FI461" s="105"/>
      <c r="FJ461" s="105"/>
      <c r="FK461" s="105"/>
      <c r="FL461" s="105"/>
      <c r="FM461" s="105"/>
      <c r="FN461" s="105"/>
      <c r="FO461" s="105"/>
      <c r="FP461" s="105"/>
      <c r="FQ461" s="105"/>
      <c r="FR461" s="105"/>
      <c r="FS461" s="105"/>
      <c r="FT461" s="105"/>
      <c r="FU461" s="105"/>
      <c r="FV461" s="105"/>
      <c r="FW461" s="105"/>
      <c r="FX461" s="105"/>
      <c r="FY461" s="105"/>
      <c r="FZ461" s="105"/>
      <c r="GA461" s="105"/>
      <c r="GB461" s="105"/>
      <c r="GC461" s="105"/>
      <c r="GD461" s="105"/>
      <c r="GE461" s="105"/>
      <c r="GF461" s="105"/>
      <c r="GG461" s="105"/>
      <c r="GH461" s="105"/>
      <c r="GI461" s="105"/>
      <c r="GJ461" s="105"/>
      <c r="GK461" s="105"/>
      <c r="GL461" s="105"/>
      <c r="GM461" s="105"/>
      <c r="GN461" s="105"/>
      <c r="GO461" s="105"/>
      <c r="GP461" s="105"/>
      <c r="GQ461" s="105"/>
      <c r="GR461" s="105"/>
      <c r="GS461" s="105"/>
      <c r="GT461" s="105"/>
      <c r="GU461" s="105"/>
      <c r="GV461" s="105"/>
      <c r="GW461" s="105"/>
      <c r="GX461" s="105"/>
      <c r="GY461" s="105"/>
      <c r="GZ461" s="105"/>
      <c r="HA461" s="105"/>
      <c r="HB461" s="105"/>
      <c r="HC461" s="105"/>
      <c r="HD461" s="105"/>
      <c r="HE461" s="105"/>
      <c r="HF461" s="105"/>
      <c r="HG461" s="105"/>
      <c r="HH461" s="105"/>
      <c r="HI461" s="105"/>
      <c r="HJ461" s="105"/>
      <c r="HK461" s="105"/>
      <c r="HL461" s="105"/>
      <c r="HM461" s="105"/>
      <c r="HN461" s="105"/>
      <c r="HO461" s="105"/>
      <c r="HP461" s="105"/>
      <c r="HQ461" s="105"/>
      <c r="HR461" s="105"/>
      <c r="HS461" s="105"/>
      <c r="HT461" s="105"/>
      <c r="HU461" s="105"/>
      <c r="HV461" s="105"/>
      <c r="HW461" s="105"/>
      <c r="HX461" s="105"/>
      <c r="HY461" s="105"/>
      <c r="HZ461" s="105"/>
      <c r="IA461" s="105"/>
      <c r="IB461" s="105"/>
      <c r="IC461" s="105"/>
      <c r="ID461" s="105"/>
      <c r="IE461" s="105"/>
      <c r="IF461" s="105"/>
      <c r="IG461" s="105"/>
      <c r="IH461" s="105"/>
      <c r="II461" s="105"/>
      <c r="IJ461" s="105"/>
      <c r="IK461" s="105"/>
      <c r="IL461" s="105"/>
      <c r="IM461" s="105"/>
      <c r="IN461" s="105"/>
      <c r="IO461" s="105"/>
      <c r="IP461" s="105"/>
      <c r="IQ461" s="105"/>
      <c r="IR461" s="105"/>
      <c r="IS461" s="105"/>
    </row>
    <row r="462" spans="1:253">
      <c r="A462" s="116"/>
      <c r="B462" s="105"/>
      <c r="C462" s="116"/>
      <c r="D462" s="116"/>
      <c r="E462" s="116"/>
      <c r="F462" s="116"/>
      <c r="G462" s="116"/>
      <c r="H462" s="116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05"/>
      <c r="BF462" s="105"/>
      <c r="BG462" s="105"/>
      <c r="BH462" s="105"/>
      <c r="BI462" s="105"/>
      <c r="BJ462" s="105"/>
      <c r="BK462" s="105"/>
      <c r="BL462" s="105"/>
      <c r="BM462" s="105"/>
      <c r="BN462" s="105"/>
      <c r="BO462" s="105"/>
      <c r="BP462" s="105"/>
      <c r="BQ462" s="105"/>
      <c r="BR462" s="105"/>
      <c r="BS462" s="105"/>
      <c r="BT462" s="105"/>
      <c r="BU462" s="105"/>
      <c r="BV462" s="105"/>
      <c r="BW462" s="105"/>
      <c r="BX462" s="105"/>
      <c r="BY462" s="105"/>
      <c r="BZ462" s="105"/>
      <c r="CA462" s="105"/>
      <c r="CB462" s="105"/>
      <c r="CC462" s="105"/>
      <c r="CD462" s="105"/>
      <c r="CE462" s="105"/>
      <c r="CF462" s="105"/>
      <c r="CG462" s="105"/>
      <c r="CH462" s="105"/>
      <c r="CI462" s="105"/>
      <c r="CJ462" s="105"/>
      <c r="CK462" s="105"/>
      <c r="CL462" s="105"/>
      <c r="CM462" s="105"/>
      <c r="CN462" s="105"/>
      <c r="CO462" s="105"/>
      <c r="CP462" s="105"/>
      <c r="CQ462" s="105"/>
      <c r="CR462" s="105"/>
      <c r="CS462" s="105"/>
      <c r="CT462" s="105"/>
      <c r="CU462" s="105"/>
      <c r="CV462" s="105"/>
      <c r="CW462" s="105"/>
      <c r="CX462" s="105"/>
      <c r="CY462" s="105"/>
      <c r="CZ462" s="105"/>
      <c r="DA462" s="105"/>
      <c r="DB462" s="105"/>
      <c r="DC462" s="105"/>
      <c r="DD462" s="105"/>
      <c r="DE462" s="105"/>
      <c r="DF462" s="105"/>
      <c r="DG462" s="105"/>
      <c r="DH462" s="105"/>
      <c r="DI462" s="105"/>
      <c r="DJ462" s="105"/>
      <c r="DK462" s="105"/>
      <c r="DL462" s="105"/>
      <c r="DM462" s="105"/>
      <c r="DN462" s="105"/>
      <c r="DO462" s="105"/>
      <c r="DP462" s="105"/>
      <c r="DQ462" s="105"/>
      <c r="DR462" s="105"/>
      <c r="DS462" s="105"/>
      <c r="DT462" s="105"/>
      <c r="DU462" s="105"/>
      <c r="DV462" s="105"/>
      <c r="DW462" s="105"/>
      <c r="DX462" s="105"/>
      <c r="DY462" s="105"/>
      <c r="DZ462" s="105"/>
      <c r="EA462" s="105"/>
      <c r="EB462" s="105"/>
      <c r="EC462" s="105"/>
      <c r="ED462" s="105"/>
      <c r="EE462" s="105"/>
      <c r="EF462" s="105"/>
      <c r="EG462" s="105"/>
      <c r="EH462" s="105"/>
      <c r="EI462" s="105"/>
      <c r="EJ462" s="105"/>
      <c r="EK462" s="105"/>
      <c r="EL462" s="105"/>
      <c r="EM462" s="105"/>
      <c r="EN462" s="105"/>
      <c r="EO462" s="105"/>
      <c r="EP462" s="105"/>
      <c r="EQ462" s="105"/>
      <c r="ER462" s="105"/>
      <c r="ES462" s="105"/>
      <c r="ET462" s="105"/>
      <c r="EU462" s="105"/>
      <c r="EV462" s="105"/>
      <c r="EW462" s="105"/>
      <c r="EX462" s="105"/>
      <c r="EY462" s="105"/>
      <c r="EZ462" s="105"/>
      <c r="FA462" s="105"/>
      <c r="FB462" s="105"/>
      <c r="FC462" s="105"/>
      <c r="FD462" s="105"/>
      <c r="FE462" s="105"/>
      <c r="FF462" s="105"/>
      <c r="FG462" s="105"/>
      <c r="FH462" s="105"/>
      <c r="FI462" s="105"/>
      <c r="FJ462" s="105"/>
      <c r="FK462" s="105"/>
      <c r="FL462" s="105"/>
      <c r="FM462" s="105"/>
      <c r="FN462" s="105"/>
      <c r="FO462" s="105"/>
      <c r="FP462" s="105"/>
      <c r="FQ462" s="105"/>
      <c r="FR462" s="105"/>
      <c r="FS462" s="105"/>
      <c r="FT462" s="105"/>
      <c r="FU462" s="105"/>
      <c r="FV462" s="105"/>
      <c r="FW462" s="105"/>
      <c r="FX462" s="105"/>
      <c r="FY462" s="105"/>
      <c r="FZ462" s="105"/>
      <c r="GA462" s="105"/>
      <c r="GB462" s="105"/>
      <c r="GC462" s="105"/>
      <c r="GD462" s="105"/>
      <c r="GE462" s="105"/>
      <c r="GF462" s="105"/>
      <c r="GG462" s="105"/>
      <c r="GH462" s="105"/>
      <c r="GI462" s="105"/>
      <c r="GJ462" s="105"/>
      <c r="GK462" s="105"/>
      <c r="GL462" s="105"/>
      <c r="GM462" s="105"/>
      <c r="GN462" s="105"/>
      <c r="GO462" s="105"/>
      <c r="GP462" s="105"/>
      <c r="GQ462" s="105"/>
      <c r="GR462" s="105"/>
      <c r="GS462" s="105"/>
      <c r="GT462" s="105"/>
      <c r="GU462" s="105"/>
      <c r="GV462" s="105"/>
      <c r="GW462" s="105"/>
      <c r="GX462" s="105"/>
      <c r="GY462" s="105"/>
      <c r="GZ462" s="105"/>
      <c r="HA462" s="105"/>
      <c r="HB462" s="105"/>
      <c r="HC462" s="105"/>
      <c r="HD462" s="105"/>
      <c r="HE462" s="105"/>
      <c r="HF462" s="105"/>
      <c r="HG462" s="105"/>
      <c r="HH462" s="105"/>
      <c r="HI462" s="105"/>
      <c r="HJ462" s="105"/>
      <c r="HK462" s="105"/>
      <c r="HL462" s="105"/>
      <c r="HM462" s="105"/>
      <c r="HN462" s="105"/>
      <c r="HO462" s="105"/>
      <c r="HP462" s="105"/>
      <c r="HQ462" s="105"/>
      <c r="HR462" s="105"/>
      <c r="HS462" s="105"/>
      <c r="HT462" s="105"/>
      <c r="HU462" s="105"/>
      <c r="HV462" s="105"/>
      <c r="HW462" s="105"/>
      <c r="HX462" s="105"/>
      <c r="HY462" s="105"/>
      <c r="HZ462" s="105"/>
      <c r="IA462" s="105"/>
      <c r="IB462" s="105"/>
      <c r="IC462" s="105"/>
      <c r="ID462" s="105"/>
      <c r="IE462" s="105"/>
      <c r="IF462" s="105"/>
      <c r="IG462" s="105"/>
      <c r="IH462" s="105"/>
      <c r="II462" s="105"/>
      <c r="IJ462" s="105"/>
      <c r="IK462" s="105"/>
      <c r="IL462" s="105"/>
      <c r="IM462" s="105"/>
      <c r="IN462" s="105"/>
      <c r="IO462" s="105"/>
      <c r="IP462" s="105"/>
      <c r="IQ462" s="105"/>
      <c r="IR462" s="105"/>
      <c r="IS462" s="105"/>
    </row>
    <row r="463" spans="1:253">
      <c r="A463" s="116"/>
      <c r="B463" s="105"/>
      <c r="C463" s="116"/>
      <c r="D463" s="116"/>
      <c r="E463" s="116"/>
      <c r="F463" s="116"/>
      <c r="G463" s="116"/>
      <c r="H463" s="116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  <c r="AU463" s="105"/>
      <c r="AV463" s="105"/>
      <c r="AW463" s="105"/>
      <c r="AX463" s="105"/>
      <c r="AY463" s="105"/>
      <c r="AZ463" s="105"/>
      <c r="BA463" s="105"/>
      <c r="BB463" s="105"/>
      <c r="BC463" s="105"/>
      <c r="BD463" s="105"/>
      <c r="BE463" s="105"/>
      <c r="BF463" s="105"/>
      <c r="BG463" s="105"/>
      <c r="BH463" s="105"/>
      <c r="BI463" s="105"/>
      <c r="BJ463" s="105"/>
      <c r="BK463" s="105"/>
      <c r="BL463" s="105"/>
      <c r="BM463" s="105"/>
      <c r="BN463" s="105"/>
      <c r="BO463" s="105"/>
      <c r="BP463" s="105"/>
      <c r="BQ463" s="105"/>
      <c r="BR463" s="105"/>
      <c r="BS463" s="105"/>
      <c r="BT463" s="105"/>
      <c r="BU463" s="105"/>
      <c r="BV463" s="105"/>
      <c r="BW463" s="105"/>
      <c r="BX463" s="105"/>
      <c r="BY463" s="105"/>
      <c r="BZ463" s="105"/>
      <c r="CA463" s="105"/>
      <c r="CB463" s="105"/>
      <c r="CC463" s="105"/>
      <c r="CD463" s="105"/>
      <c r="CE463" s="105"/>
      <c r="CF463" s="105"/>
      <c r="CG463" s="105"/>
      <c r="CH463" s="105"/>
      <c r="CI463" s="105"/>
      <c r="CJ463" s="105"/>
      <c r="CK463" s="105"/>
      <c r="CL463" s="105"/>
      <c r="CM463" s="105"/>
      <c r="CN463" s="105"/>
      <c r="CO463" s="105"/>
      <c r="CP463" s="105"/>
      <c r="CQ463" s="105"/>
      <c r="CR463" s="105"/>
      <c r="CS463" s="105"/>
      <c r="CT463" s="105"/>
      <c r="CU463" s="105"/>
      <c r="CV463" s="105"/>
      <c r="CW463" s="105"/>
      <c r="CX463" s="105"/>
      <c r="CY463" s="105"/>
      <c r="CZ463" s="105"/>
      <c r="DA463" s="105"/>
      <c r="DB463" s="105"/>
      <c r="DC463" s="105"/>
      <c r="DD463" s="105"/>
      <c r="DE463" s="105"/>
      <c r="DF463" s="105"/>
      <c r="DG463" s="105"/>
      <c r="DH463" s="105"/>
      <c r="DI463" s="105"/>
      <c r="DJ463" s="105"/>
      <c r="DK463" s="105"/>
      <c r="DL463" s="105"/>
      <c r="DM463" s="105"/>
      <c r="DN463" s="105"/>
      <c r="DO463" s="105"/>
      <c r="DP463" s="105"/>
      <c r="DQ463" s="105"/>
      <c r="DR463" s="105"/>
      <c r="DS463" s="105"/>
      <c r="DT463" s="105"/>
      <c r="DU463" s="105"/>
      <c r="DV463" s="105"/>
      <c r="DW463" s="105"/>
      <c r="DX463" s="105"/>
      <c r="DY463" s="105"/>
      <c r="DZ463" s="105"/>
      <c r="EA463" s="105"/>
      <c r="EB463" s="105"/>
      <c r="EC463" s="105"/>
      <c r="ED463" s="105"/>
      <c r="EE463" s="105"/>
      <c r="EF463" s="105"/>
      <c r="EG463" s="105"/>
      <c r="EH463" s="105"/>
      <c r="EI463" s="105"/>
      <c r="EJ463" s="105"/>
      <c r="EK463" s="105"/>
      <c r="EL463" s="105"/>
      <c r="EM463" s="105"/>
      <c r="EN463" s="105"/>
      <c r="EO463" s="105"/>
      <c r="EP463" s="105"/>
      <c r="EQ463" s="105"/>
      <c r="ER463" s="105"/>
      <c r="ES463" s="105"/>
      <c r="ET463" s="105"/>
      <c r="EU463" s="105"/>
      <c r="EV463" s="105"/>
      <c r="EW463" s="105"/>
      <c r="EX463" s="105"/>
      <c r="EY463" s="105"/>
      <c r="EZ463" s="105"/>
      <c r="FA463" s="105"/>
      <c r="FB463" s="105"/>
      <c r="FC463" s="105"/>
      <c r="FD463" s="105"/>
      <c r="FE463" s="105"/>
      <c r="FF463" s="105"/>
      <c r="FG463" s="105"/>
      <c r="FH463" s="105"/>
      <c r="FI463" s="105"/>
      <c r="FJ463" s="105"/>
      <c r="FK463" s="105"/>
      <c r="FL463" s="105"/>
      <c r="FM463" s="105"/>
      <c r="FN463" s="105"/>
      <c r="FO463" s="105"/>
      <c r="FP463" s="105"/>
      <c r="FQ463" s="105"/>
      <c r="FR463" s="105"/>
      <c r="FS463" s="105"/>
      <c r="FT463" s="105"/>
      <c r="FU463" s="105"/>
      <c r="FV463" s="105"/>
      <c r="FW463" s="105"/>
      <c r="FX463" s="105"/>
      <c r="FY463" s="105"/>
      <c r="FZ463" s="105"/>
      <c r="GA463" s="105"/>
      <c r="GB463" s="105"/>
      <c r="GC463" s="105"/>
      <c r="GD463" s="105"/>
      <c r="GE463" s="105"/>
      <c r="GF463" s="105"/>
      <c r="GG463" s="105"/>
      <c r="GH463" s="105"/>
      <c r="GI463" s="105"/>
      <c r="GJ463" s="105"/>
      <c r="GK463" s="105"/>
      <c r="GL463" s="105"/>
      <c r="GM463" s="105"/>
      <c r="GN463" s="105"/>
      <c r="GO463" s="105"/>
      <c r="GP463" s="105"/>
      <c r="GQ463" s="105"/>
      <c r="GR463" s="105"/>
      <c r="GS463" s="105"/>
      <c r="GT463" s="105"/>
      <c r="GU463" s="105"/>
      <c r="GV463" s="105"/>
      <c r="GW463" s="105"/>
      <c r="GX463" s="105"/>
      <c r="GY463" s="105"/>
      <c r="GZ463" s="105"/>
      <c r="HA463" s="105"/>
      <c r="HB463" s="105"/>
      <c r="HC463" s="105"/>
      <c r="HD463" s="105"/>
      <c r="HE463" s="105"/>
      <c r="HF463" s="105"/>
      <c r="HG463" s="105"/>
      <c r="HH463" s="105"/>
      <c r="HI463" s="105"/>
      <c r="HJ463" s="105"/>
      <c r="HK463" s="105"/>
      <c r="HL463" s="105"/>
      <c r="HM463" s="105"/>
      <c r="HN463" s="105"/>
      <c r="HO463" s="105"/>
      <c r="HP463" s="105"/>
      <c r="HQ463" s="105"/>
      <c r="HR463" s="105"/>
      <c r="HS463" s="105"/>
      <c r="HT463" s="105"/>
      <c r="HU463" s="105"/>
      <c r="HV463" s="105"/>
      <c r="HW463" s="105"/>
      <c r="HX463" s="105"/>
      <c r="HY463" s="105"/>
      <c r="HZ463" s="105"/>
      <c r="IA463" s="105"/>
      <c r="IB463" s="105"/>
      <c r="IC463" s="105"/>
      <c r="ID463" s="105"/>
      <c r="IE463" s="105"/>
      <c r="IF463" s="105"/>
      <c r="IG463" s="105"/>
      <c r="IH463" s="105"/>
      <c r="II463" s="105"/>
      <c r="IJ463" s="105"/>
      <c r="IK463" s="105"/>
      <c r="IL463" s="105"/>
      <c r="IM463" s="105"/>
      <c r="IN463" s="105"/>
      <c r="IO463" s="105"/>
      <c r="IP463" s="105"/>
      <c r="IQ463" s="105"/>
      <c r="IR463" s="105"/>
      <c r="IS463" s="105"/>
    </row>
    <row r="464" spans="1:253">
      <c r="A464" s="116"/>
      <c r="B464" s="105"/>
      <c r="C464" s="116"/>
      <c r="D464" s="116"/>
      <c r="E464" s="116"/>
      <c r="F464" s="116"/>
      <c r="G464" s="116"/>
      <c r="H464" s="116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05"/>
      <c r="BF464" s="105"/>
      <c r="BG464" s="105"/>
      <c r="BH464" s="105"/>
      <c r="BI464" s="105"/>
      <c r="BJ464" s="105"/>
      <c r="BK464" s="105"/>
      <c r="BL464" s="105"/>
      <c r="BM464" s="105"/>
      <c r="BN464" s="105"/>
      <c r="BO464" s="105"/>
      <c r="BP464" s="105"/>
      <c r="BQ464" s="105"/>
      <c r="BR464" s="105"/>
      <c r="BS464" s="105"/>
      <c r="BT464" s="105"/>
      <c r="BU464" s="105"/>
      <c r="BV464" s="105"/>
      <c r="BW464" s="105"/>
      <c r="BX464" s="105"/>
      <c r="BY464" s="105"/>
      <c r="BZ464" s="105"/>
      <c r="CA464" s="105"/>
      <c r="CB464" s="105"/>
      <c r="CC464" s="105"/>
      <c r="CD464" s="105"/>
      <c r="CE464" s="105"/>
      <c r="CF464" s="105"/>
      <c r="CG464" s="105"/>
      <c r="CH464" s="105"/>
      <c r="CI464" s="105"/>
      <c r="CJ464" s="105"/>
      <c r="CK464" s="105"/>
      <c r="CL464" s="105"/>
      <c r="CM464" s="105"/>
      <c r="CN464" s="105"/>
      <c r="CO464" s="105"/>
      <c r="CP464" s="105"/>
      <c r="CQ464" s="105"/>
      <c r="CR464" s="105"/>
      <c r="CS464" s="105"/>
      <c r="CT464" s="105"/>
      <c r="CU464" s="105"/>
      <c r="CV464" s="105"/>
      <c r="CW464" s="105"/>
      <c r="CX464" s="105"/>
      <c r="CY464" s="105"/>
      <c r="CZ464" s="105"/>
      <c r="DA464" s="105"/>
      <c r="DB464" s="105"/>
      <c r="DC464" s="105"/>
      <c r="DD464" s="105"/>
      <c r="DE464" s="105"/>
      <c r="DF464" s="105"/>
      <c r="DG464" s="105"/>
      <c r="DH464" s="105"/>
      <c r="DI464" s="105"/>
      <c r="DJ464" s="105"/>
      <c r="DK464" s="105"/>
      <c r="DL464" s="105"/>
      <c r="DM464" s="105"/>
      <c r="DN464" s="105"/>
      <c r="DO464" s="105"/>
      <c r="DP464" s="105"/>
      <c r="DQ464" s="105"/>
      <c r="DR464" s="105"/>
      <c r="DS464" s="105"/>
      <c r="DT464" s="105"/>
      <c r="DU464" s="105"/>
      <c r="DV464" s="105"/>
      <c r="DW464" s="105"/>
      <c r="DX464" s="105"/>
      <c r="DY464" s="105"/>
      <c r="DZ464" s="105"/>
      <c r="EA464" s="105"/>
      <c r="EB464" s="105"/>
      <c r="EC464" s="105"/>
      <c r="ED464" s="105"/>
      <c r="EE464" s="105"/>
      <c r="EF464" s="105"/>
      <c r="EG464" s="105"/>
      <c r="EH464" s="105"/>
      <c r="EI464" s="105"/>
      <c r="EJ464" s="105"/>
      <c r="EK464" s="105"/>
      <c r="EL464" s="105"/>
      <c r="EM464" s="105"/>
      <c r="EN464" s="105"/>
      <c r="EO464" s="105"/>
      <c r="EP464" s="105"/>
      <c r="EQ464" s="105"/>
      <c r="ER464" s="105"/>
      <c r="ES464" s="105"/>
      <c r="ET464" s="105"/>
      <c r="EU464" s="105"/>
      <c r="EV464" s="105"/>
      <c r="EW464" s="105"/>
      <c r="EX464" s="105"/>
      <c r="EY464" s="105"/>
      <c r="EZ464" s="105"/>
      <c r="FA464" s="105"/>
      <c r="FB464" s="105"/>
      <c r="FC464" s="105"/>
      <c r="FD464" s="105"/>
      <c r="FE464" s="105"/>
      <c r="FF464" s="105"/>
      <c r="FG464" s="105"/>
      <c r="FH464" s="105"/>
      <c r="FI464" s="105"/>
      <c r="FJ464" s="105"/>
      <c r="FK464" s="105"/>
      <c r="FL464" s="105"/>
      <c r="FM464" s="105"/>
      <c r="FN464" s="105"/>
      <c r="FO464" s="105"/>
      <c r="FP464" s="105"/>
      <c r="FQ464" s="105"/>
      <c r="FR464" s="105"/>
      <c r="FS464" s="105"/>
      <c r="FT464" s="105"/>
      <c r="FU464" s="105"/>
      <c r="FV464" s="105"/>
      <c r="FW464" s="105"/>
      <c r="FX464" s="105"/>
      <c r="FY464" s="105"/>
      <c r="FZ464" s="105"/>
      <c r="GA464" s="105"/>
      <c r="GB464" s="105"/>
      <c r="GC464" s="105"/>
      <c r="GD464" s="105"/>
      <c r="GE464" s="105"/>
      <c r="GF464" s="105"/>
      <c r="GG464" s="105"/>
      <c r="GH464" s="105"/>
      <c r="GI464" s="105"/>
      <c r="GJ464" s="105"/>
      <c r="GK464" s="105"/>
      <c r="GL464" s="105"/>
      <c r="GM464" s="105"/>
      <c r="GN464" s="105"/>
      <c r="GO464" s="105"/>
      <c r="GP464" s="105"/>
      <c r="GQ464" s="105"/>
      <c r="GR464" s="105"/>
      <c r="GS464" s="105"/>
      <c r="GT464" s="105"/>
      <c r="GU464" s="105"/>
      <c r="GV464" s="105"/>
      <c r="GW464" s="105"/>
      <c r="GX464" s="105"/>
      <c r="GY464" s="105"/>
      <c r="GZ464" s="105"/>
      <c r="HA464" s="105"/>
      <c r="HB464" s="105"/>
      <c r="HC464" s="105"/>
      <c r="HD464" s="105"/>
      <c r="HE464" s="105"/>
      <c r="HF464" s="105"/>
      <c r="HG464" s="105"/>
      <c r="HH464" s="105"/>
      <c r="HI464" s="105"/>
      <c r="HJ464" s="105"/>
      <c r="HK464" s="105"/>
      <c r="HL464" s="105"/>
      <c r="HM464" s="105"/>
      <c r="HN464" s="105"/>
      <c r="HO464" s="105"/>
      <c r="HP464" s="105"/>
      <c r="HQ464" s="105"/>
      <c r="HR464" s="105"/>
      <c r="HS464" s="105"/>
      <c r="HT464" s="105"/>
      <c r="HU464" s="105"/>
      <c r="HV464" s="105"/>
      <c r="HW464" s="105"/>
      <c r="HX464" s="105"/>
      <c r="HY464" s="105"/>
      <c r="HZ464" s="105"/>
      <c r="IA464" s="105"/>
      <c r="IB464" s="105"/>
      <c r="IC464" s="105"/>
      <c r="ID464" s="105"/>
      <c r="IE464" s="105"/>
      <c r="IF464" s="105"/>
      <c r="IG464" s="105"/>
      <c r="IH464" s="105"/>
      <c r="II464" s="105"/>
      <c r="IJ464" s="105"/>
      <c r="IK464" s="105"/>
      <c r="IL464" s="105"/>
      <c r="IM464" s="105"/>
      <c r="IN464" s="105"/>
      <c r="IO464" s="105"/>
      <c r="IP464" s="105"/>
      <c r="IQ464" s="105"/>
      <c r="IR464" s="105"/>
      <c r="IS464" s="105"/>
    </row>
    <row r="465" spans="1:253">
      <c r="A465" s="116"/>
      <c r="B465" s="105"/>
      <c r="C465" s="116"/>
      <c r="D465" s="116"/>
      <c r="E465" s="116"/>
      <c r="F465" s="116"/>
      <c r="G465" s="116"/>
      <c r="H465" s="116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  <c r="AU465" s="105"/>
      <c r="AV465" s="105"/>
      <c r="AW465" s="105"/>
      <c r="AX465" s="105"/>
      <c r="AY465" s="105"/>
      <c r="AZ465" s="105"/>
      <c r="BA465" s="105"/>
      <c r="BB465" s="105"/>
      <c r="BC465" s="105"/>
      <c r="BD465" s="105"/>
      <c r="BE465" s="105"/>
      <c r="BF465" s="105"/>
      <c r="BG465" s="105"/>
      <c r="BH465" s="105"/>
      <c r="BI465" s="105"/>
      <c r="BJ465" s="105"/>
      <c r="BK465" s="105"/>
      <c r="BL465" s="105"/>
      <c r="BM465" s="105"/>
      <c r="BN465" s="105"/>
      <c r="BO465" s="105"/>
      <c r="BP465" s="105"/>
      <c r="BQ465" s="105"/>
      <c r="BR465" s="105"/>
      <c r="BS465" s="105"/>
      <c r="BT465" s="105"/>
      <c r="BU465" s="105"/>
      <c r="BV465" s="105"/>
      <c r="BW465" s="105"/>
      <c r="BX465" s="105"/>
      <c r="BY465" s="105"/>
      <c r="BZ465" s="105"/>
      <c r="CA465" s="105"/>
      <c r="CB465" s="105"/>
      <c r="CC465" s="105"/>
      <c r="CD465" s="105"/>
      <c r="CE465" s="105"/>
      <c r="CF465" s="105"/>
      <c r="CG465" s="105"/>
      <c r="CH465" s="105"/>
      <c r="CI465" s="105"/>
      <c r="CJ465" s="105"/>
      <c r="CK465" s="105"/>
      <c r="CL465" s="105"/>
      <c r="CM465" s="105"/>
      <c r="CN465" s="105"/>
      <c r="CO465" s="105"/>
      <c r="CP465" s="105"/>
      <c r="CQ465" s="105"/>
      <c r="CR465" s="105"/>
      <c r="CS465" s="105"/>
      <c r="CT465" s="105"/>
      <c r="CU465" s="105"/>
      <c r="CV465" s="105"/>
      <c r="CW465" s="105"/>
      <c r="CX465" s="105"/>
      <c r="CY465" s="105"/>
      <c r="CZ465" s="105"/>
      <c r="DA465" s="105"/>
      <c r="DB465" s="105"/>
      <c r="DC465" s="105"/>
      <c r="DD465" s="105"/>
      <c r="DE465" s="105"/>
      <c r="DF465" s="105"/>
      <c r="DG465" s="105"/>
      <c r="DH465" s="105"/>
      <c r="DI465" s="105"/>
      <c r="DJ465" s="105"/>
      <c r="DK465" s="105"/>
      <c r="DL465" s="105"/>
      <c r="DM465" s="105"/>
      <c r="DN465" s="105"/>
      <c r="DO465" s="105"/>
      <c r="DP465" s="105"/>
      <c r="DQ465" s="105"/>
      <c r="DR465" s="105"/>
      <c r="DS465" s="105"/>
      <c r="DT465" s="105"/>
      <c r="DU465" s="105"/>
      <c r="DV465" s="105"/>
      <c r="DW465" s="105"/>
      <c r="DX465" s="105"/>
      <c r="DY465" s="105"/>
      <c r="DZ465" s="105"/>
      <c r="EA465" s="105"/>
      <c r="EB465" s="105"/>
      <c r="EC465" s="105"/>
      <c r="ED465" s="105"/>
      <c r="EE465" s="105"/>
      <c r="EF465" s="105"/>
      <c r="EG465" s="105"/>
      <c r="EH465" s="105"/>
      <c r="EI465" s="105"/>
      <c r="EJ465" s="105"/>
      <c r="EK465" s="105"/>
      <c r="EL465" s="105"/>
      <c r="EM465" s="105"/>
      <c r="EN465" s="105"/>
      <c r="EO465" s="105"/>
      <c r="EP465" s="105"/>
      <c r="EQ465" s="105"/>
      <c r="ER465" s="105"/>
      <c r="ES465" s="105"/>
      <c r="ET465" s="105"/>
      <c r="EU465" s="105"/>
      <c r="EV465" s="105"/>
      <c r="EW465" s="105"/>
      <c r="EX465" s="105"/>
      <c r="EY465" s="105"/>
      <c r="EZ465" s="105"/>
      <c r="FA465" s="105"/>
      <c r="FB465" s="105"/>
      <c r="FC465" s="105"/>
      <c r="FD465" s="105"/>
      <c r="FE465" s="105"/>
      <c r="FF465" s="105"/>
      <c r="FG465" s="105"/>
      <c r="FH465" s="105"/>
      <c r="FI465" s="105"/>
      <c r="FJ465" s="105"/>
      <c r="FK465" s="105"/>
      <c r="FL465" s="105"/>
      <c r="FM465" s="105"/>
      <c r="FN465" s="105"/>
      <c r="FO465" s="105"/>
      <c r="FP465" s="105"/>
      <c r="FQ465" s="105"/>
      <c r="FR465" s="105"/>
      <c r="FS465" s="105"/>
      <c r="FT465" s="105"/>
      <c r="FU465" s="105"/>
      <c r="FV465" s="105"/>
      <c r="FW465" s="105"/>
      <c r="FX465" s="105"/>
      <c r="FY465" s="105"/>
      <c r="FZ465" s="105"/>
      <c r="GA465" s="105"/>
      <c r="GB465" s="105"/>
      <c r="GC465" s="105"/>
      <c r="GD465" s="105"/>
      <c r="GE465" s="105"/>
      <c r="GF465" s="105"/>
      <c r="GG465" s="105"/>
      <c r="GH465" s="105"/>
      <c r="GI465" s="105"/>
      <c r="GJ465" s="105"/>
      <c r="GK465" s="105"/>
      <c r="GL465" s="105"/>
      <c r="GM465" s="105"/>
      <c r="GN465" s="105"/>
      <c r="GO465" s="105"/>
      <c r="GP465" s="105"/>
      <c r="GQ465" s="105"/>
      <c r="GR465" s="105"/>
      <c r="GS465" s="105"/>
      <c r="GT465" s="105"/>
      <c r="GU465" s="105"/>
      <c r="GV465" s="105"/>
      <c r="GW465" s="105"/>
      <c r="GX465" s="105"/>
      <c r="GY465" s="105"/>
      <c r="GZ465" s="105"/>
      <c r="HA465" s="105"/>
      <c r="HB465" s="105"/>
      <c r="HC465" s="105"/>
      <c r="HD465" s="105"/>
      <c r="HE465" s="105"/>
      <c r="HF465" s="105"/>
      <c r="HG465" s="105"/>
      <c r="HH465" s="105"/>
      <c r="HI465" s="105"/>
      <c r="HJ465" s="105"/>
      <c r="HK465" s="105"/>
      <c r="HL465" s="105"/>
      <c r="HM465" s="105"/>
      <c r="HN465" s="105"/>
      <c r="HO465" s="105"/>
      <c r="HP465" s="105"/>
      <c r="HQ465" s="105"/>
      <c r="HR465" s="105"/>
      <c r="HS465" s="105"/>
      <c r="HT465" s="105"/>
      <c r="HU465" s="105"/>
      <c r="HV465" s="105"/>
      <c r="HW465" s="105"/>
      <c r="HX465" s="105"/>
      <c r="HY465" s="105"/>
      <c r="HZ465" s="105"/>
      <c r="IA465" s="105"/>
      <c r="IB465" s="105"/>
      <c r="IC465" s="105"/>
      <c r="ID465" s="105"/>
      <c r="IE465" s="105"/>
      <c r="IF465" s="105"/>
      <c r="IG465" s="105"/>
      <c r="IH465" s="105"/>
      <c r="II465" s="105"/>
      <c r="IJ465" s="105"/>
      <c r="IK465" s="105"/>
      <c r="IL465" s="105"/>
      <c r="IM465" s="105"/>
      <c r="IN465" s="105"/>
      <c r="IO465" s="105"/>
      <c r="IP465" s="105"/>
      <c r="IQ465" s="105"/>
      <c r="IR465" s="105"/>
      <c r="IS465" s="105"/>
    </row>
    <row r="466" spans="1:253">
      <c r="A466" s="116"/>
      <c r="B466" s="105"/>
      <c r="C466" s="116"/>
      <c r="D466" s="116"/>
      <c r="E466" s="116"/>
      <c r="F466" s="116"/>
      <c r="G466" s="116"/>
      <c r="H466" s="116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05"/>
      <c r="BF466" s="105"/>
      <c r="BG466" s="105"/>
      <c r="BH466" s="105"/>
      <c r="BI466" s="105"/>
      <c r="BJ466" s="105"/>
      <c r="BK466" s="105"/>
      <c r="BL466" s="105"/>
      <c r="BM466" s="105"/>
      <c r="BN466" s="105"/>
      <c r="BO466" s="105"/>
      <c r="BP466" s="105"/>
      <c r="BQ466" s="105"/>
      <c r="BR466" s="105"/>
      <c r="BS466" s="105"/>
      <c r="BT466" s="105"/>
      <c r="BU466" s="105"/>
      <c r="BV466" s="105"/>
      <c r="BW466" s="105"/>
      <c r="BX466" s="105"/>
      <c r="BY466" s="105"/>
      <c r="BZ466" s="105"/>
      <c r="CA466" s="105"/>
      <c r="CB466" s="105"/>
      <c r="CC466" s="105"/>
      <c r="CD466" s="105"/>
      <c r="CE466" s="105"/>
      <c r="CF466" s="105"/>
      <c r="CG466" s="105"/>
      <c r="CH466" s="105"/>
      <c r="CI466" s="105"/>
      <c r="CJ466" s="105"/>
      <c r="CK466" s="105"/>
      <c r="CL466" s="105"/>
      <c r="CM466" s="105"/>
      <c r="CN466" s="105"/>
      <c r="CO466" s="105"/>
      <c r="CP466" s="105"/>
      <c r="CQ466" s="105"/>
      <c r="CR466" s="105"/>
      <c r="CS466" s="105"/>
      <c r="CT466" s="105"/>
      <c r="CU466" s="105"/>
      <c r="CV466" s="105"/>
      <c r="CW466" s="105"/>
      <c r="CX466" s="105"/>
      <c r="CY466" s="105"/>
      <c r="CZ466" s="105"/>
      <c r="DA466" s="105"/>
      <c r="DB466" s="105"/>
      <c r="DC466" s="105"/>
      <c r="DD466" s="105"/>
      <c r="DE466" s="105"/>
      <c r="DF466" s="105"/>
      <c r="DG466" s="105"/>
      <c r="DH466" s="105"/>
      <c r="DI466" s="105"/>
      <c r="DJ466" s="105"/>
      <c r="DK466" s="105"/>
      <c r="DL466" s="105"/>
      <c r="DM466" s="105"/>
      <c r="DN466" s="105"/>
      <c r="DO466" s="105"/>
      <c r="DP466" s="105"/>
      <c r="DQ466" s="105"/>
      <c r="DR466" s="105"/>
      <c r="DS466" s="105"/>
      <c r="DT466" s="105"/>
      <c r="DU466" s="105"/>
      <c r="DV466" s="105"/>
      <c r="DW466" s="105"/>
      <c r="DX466" s="105"/>
      <c r="DY466" s="105"/>
      <c r="DZ466" s="105"/>
      <c r="EA466" s="105"/>
      <c r="EB466" s="105"/>
      <c r="EC466" s="105"/>
      <c r="ED466" s="105"/>
      <c r="EE466" s="105"/>
      <c r="EF466" s="105"/>
      <c r="EG466" s="105"/>
      <c r="EH466" s="105"/>
      <c r="EI466" s="105"/>
      <c r="EJ466" s="105"/>
      <c r="EK466" s="105"/>
      <c r="EL466" s="105"/>
      <c r="EM466" s="105"/>
      <c r="EN466" s="105"/>
      <c r="EO466" s="105"/>
      <c r="EP466" s="105"/>
      <c r="EQ466" s="105"/>
      <c r="ER466" s="105"/>
      <c r="ES466" s="105"/>
      <c r="ET466" s="105"/>
      <c r="EU466" s="105"/>
      <c r="EV466" s="105"/>
      <c r="EW466" s="105"/>
      <c r="EX466" s="105"/>
      <c r="EY466" s="105"/>
      <c r="EZ466" s="105"/>
      <c r="FA466" s="105"/>
      <c r="FB466" s="105"/>
      <c r="FC466" s="105"/>
      <c r="FD466" s="105"/>
      <c r="FE466" s="105"/>
      <c r="FF466" s="105"/>
      <c r="FG466" s="105"/>
      <c r="FH466" s="105"/>
      <c r="FI466" s="105"/>
      <c r="FJ466" s="105"/>
      <c r="FK466" s="105"/>
      <c r="FL466" s="105"/>
      <c r="FM466" s="105"/>
      <c r="FN466" s="105"/>
      <c r="FO466" s="105"/>
      <c r="FP466" s="105"/>
      <c r="FQ466" s="105"/>
      <c r="FR466" s="105"/>
      <c r="FS466" s="105"/>
      <c r="FT466" s="105"/>
      <c r="FU466" s="105"/>
      <c r="FV466" s="105"/>
      <c r="FW466" s="105"/>
      <c r="FX466" s="105"/>
      <c r="FY466" s="105"/>
      <c r="FZ466" s="105"/>
      <c r="GA466" s="105"/>
      <c r="GB466" s="105"/>
      <c r="GC466" s="105"/>
      <c r="GD466" s="105"/>
      <c r="GE466" s="105"/>
      <c r="GF466" s="105"/>
      <c r="GG466" s="105"/>
      <c r="GH466" s="105"/>
      <c r="GI466" s="105"/>
      <c r="GJ466" s="105"/>
      <c r="GK466" s="105"/>
      <c r="GL466" s="105"/>
      <c r="GM466" s="105"/>
      <c r="GN466" s="105"/>
      <c r="GO466" s="105"/>
      <c r="GP466" s="105"/>
      <c r="GQ466" s="105"/>
      <c r="GR466" s="105"/>
      <c r="GS466" s="105"/>
      <c r="GT466" s="105"/>
      <c r="GU466" s="105"/>
      <c r="GV466" s="105"/>
      <c r="GW466" s="105"/>
      <c r="GX466" s="105"/>
      <c r="GY466" s="105"/>
      <c r="GZ466" s="105"/>
      <c r="HA466" s="105"/>
      <c r="HB466" s="105"/>
      <c r="HC466" s="105"/>
      <c r="HD466" s="105"/>
      <c r="HE466" s="105"/>
      <c r="HF466" s="105"/>
      <c r="HG466" s="105"/>
      <c r="HH466" s="105"/>
      <c r="HI466" s="105"/>
      <c r="HJ466" s="105"/>
      <c r="HK466" s="105"/>
      <c r="HL466" s="105"/>
      <c r="HM466" s="105"/>
      <c r="HN466" s="105"/>
      <c r="HO466" s="105"/>
      <c r="HP466" s="105"/>
      <c r="HQ466" s="105"/>
      <c r="HR466" s="105"/>
      <c r="HS466" s="105"/>
      <c r="HT466" s="105"/>
      <c r="HU466" s="105"/>
      <c r="HV466" s="105"/>
      <c r="HW466" s="105"/>
      <c r="HX466" s="105"/>
      <c r="HY466" s="105"/>
      <c r="HZ466" s="105"/>
      <c r="IA466" s="105"/>
      <c r="IB466" s="105"/>
      <c r="IC466" s="105"/>
      <c r="ID466" s="105"/>
      <c r="IE466" s="105"/>
      <c r="IF466" s="105"/>
      <c r="IG466" s="105"/>
      <c r="IH466" s="105"/>
      <c r="II466" s="105"/>
      <c r="IJ466" s="105"/>
      <c r="IK466" s="105"/>
      <c r="IL466" s="105"/>
      <c r="IM466" s="105"/>
      <c r="IN466" s="105"/>
      <c r="IO466" s="105"/>
      <c r="IP466" s="105"/>
      <c r="IQ466" s="105"/>
      <c r="IR466" s="105"/>
      <c r="IS466" s="105"/>
    </row>
    <row r="467" spans="1:253">
      <c r="A467" s="116"/>
      <c r="B467" s="105"/>
      <c r="C467" s="116"/>
      <c r="D467" s="116"/>
      <c r="E467" s="116"/>
      <c r="F467" s="116"/>
      <c r="G467" s="116"/>
      <c r="H467" s="116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5"/>
      <c r="BE467" s="105"/>
      <c r="BF467" s="105"/>
      <c r="BG467" s="105"/>
      <c r="BH467" s="105"/>
      <c r="BI467" s="105"/>
      <c r="BJ467" s="105"/>
      <c r="BK467" s="105"/>
      <c r="BL467" s="105"/>
      <c r="BM467" s="105"/>
      <c r="BN467" s="105"/>
      <c r="BO467" s="105"/>
      <c r="BP467" s="105"/>
      <c r="BQ467" s="105"/>
      <c r="BR467" s="105"/>
      <c r="BS467" s="105"/>
      <c r="BT467" s="105"/>
      <c r="BU467" s="105"/>
      <c r="BV467" s="105"/>
      <c r="BW467" s="105"/>
      <c r="BX467" s="105"/>
      <c r="BY467" s="105"/>
      <c r="BZ467" s="105"/>
      <c r="CA467" s="105"/>
      <c r="CB467" s="105"/>
      <c r="CC467" s="105"/>
      <c r="CD467" s="105"/>
      <c r="CE467" s="105"/>
      <c r="CF467" s="105"/>
      <c r="CG467" s="105"/>
      <c r="CH467" s="105"/>
      <c r="CI467" s="105"/>
      <c r="CJ467" s="105"/>
      <c r="CK467" s="105"/>
      <c r="CL467" s="105"/>
      <c r="CM467" s="105"/>
      <c r="CN467" s="105"/>
      <c r="CO467" s="105"/>
      <c r="CP467" s="105"/>
      <c r="CQ467" s="105"/>
      <c r="CR467" s="105"/>
      <c r="CS467" s="105"/>
      <c r="CT467" s="105"/>
      <c r="CU467" s="105"/>
      <c r="CV467" s="105"/>
      <c r="CW467" s="105"/>
      <c r="CX467" s="105"/>
      <c r="CY467" s="105"/>
      <c r="CZ467" s="105"/>
      <c r="DA467" s="105"/>
      <c r="DB467" s="105"/>
      <c r="DC467" s="105"/>
      <c r="DD467" s="105"/>
      <c r="DE467" s="105"/>
      <c r="DF467" s="105"/>
      <c r="DG467" s="105"/>
      <c r="DH467" s="105"/>
      <c r="DI467" s="105"/>
      <c r="DJ467" s="105"/>
      <c r="DK467" s="105"/>
      <c r="DL467" s="105"/>
      <c r="DM467" s="105"/>
      <c r="DN467" s="105"/>
      <c r="DO467" s="105"/>
      <c r="DP467" s="105"/>
      <c r="DQ467" s="105"/>
      <c r="DR467" s="105"/>
      <c r="DS467" s="105"/>
      <c r="DT467" s="105"/>
      <c r="DU467" s="105"/>
      <c r="DV467" s="105"/>
      <c r="DW467" s="105"/>
      <c r="DX467" s="105"/>
      <c r="DY467" s="105"/>
      <c r="DZ467" s="105"/>
      <c r="EA467" s="105"/>
      <c r="EB467" s="105"/>
      <c r="EC467" s="105"/>
      <c r="ED467" s="105"/>
      <c r="EE467" s="105"/>
      <c r="EF467" s="105"/>
      <c r="EG467" s="105"/>
      <c r="EH467" s="105"/>
      <c r="EI467" s="105"/>
      <c r="EJ467" s="105"/>
      <c r="EK467" s="105"/>
      <c r="EL467" s="105"/>
      <c r="EM467" s="105"/>
      <c r="EN467" s="105"/>
      <c r="EO467" s="105"/>
      <c r="EP467" s="105"/>
      <c r="EQ467" s="105"/>
      <c r="ER467" s="105"/>
      <c r="ES467" s="105"/>
      <c r="ET467" s="105"/>
      <c r="EU467" s="105"/>
      <c r="EV467" s="105"/>
      <c r="EW467" s="105"/>
      <c r="EX467" s="105"/>
      <c r="EY467" s="105"/>
      <c r="EZ467" s="105"/>
      <c r="FA467" s="105"/>
      <c r="FB467" s="105"/>
      <c r="FC467" s="105"/>
      <c r="FD467" s="105"/>
      <c r="FE467" s="105"/>
      <c r="FF467" s="105"/>
      <c r="FG467" s="105"/>
      <c r="FH467" s="105"/>
      <c r="FI467" s="105"/>
      <c r="FJ467" s="105"/>
      <c r="FK467" s="105"/>
      <c r="FL467" s="105"/>
      <c r="FM467" s="105"/>
      <c r="FN467" s="105"/>
      <c r="FO467" s="105"/>
      <c r="FP467" s="105"/>
      <c r="FQ467" s="105"/>
      <c r="FR467" s="105"/>
      <c r="FS467" s="105"/>
      <c r="FT467" s="105"/>
      <c r="FU467" s="105"/>
      <c r="FV467" s="105"/>
      <c r="FW467" s="105"/>
      <c r="FX467" s="105"/>
      <c r="FY467" s="105"/>
      <c r="FZ467" s="105"/>
      <c r="GA467" s="105"/>
      <c r="GB467" s="105"/>
      <c r="GC467" s="105"/>
      <c r="GD467" s="105"/>
      <c r="GE467" s="105"/>
      <c r="GF467" s="105"/>
      <c r="GG467" s="105"/>
      <c r="GH467" s="105"/>
      <c r="GI467" s="105"/>
      <c r="GJ467" s="105"/>
      <c r="GK467" s="105"/>
      <c r="GL467" s="105"/>
      <c r="GM467" s="105"/>
      <c r="GN467" s="105"/>
      <c r="GO467" s="105"/>
      <c r="GP467" s="105"/>
      <c r="GQ467" s="105"/>
      <c r="GR467" s="105"/>
      <c r="GS467" s="105"/>
      <c r="GT467" s="105"/>
      <c r="GU467" s="105"/>
      <c r="GV467" s="105"/>
      <c r="GW467" s="105"/>
      <c r="GX467" s="105"/>
      <c r="GY467" s="105"/>
      <c r="GZ467" s="105"/>
      <c r="HA467" s="105"/>
      <c r="HB467" s="105"/>
      <c r="HC467" s="105"/>
      <c r="HD467" s="105"/>
      <c r="HE467" s="105"/>
      <c r="HF467" s="105"/>
      <c r="HG467" s="105"/>
      <c r="HH467" s="105"/>
      <c r="HI467" s="105"/>
      <c r="HJ467" s="105"/>
      <c r="HK467" s="105"/>
      <c r="HL467" s="105"/>
      <c r="HM467" s="105"/>
      <c r="HN467" s="105"/>
      <c r="HO467" s="105"/>
      <c r="HP467" s="105"/>
      <c r="HQ467" s="105"/>
      <c r="HR467" s="105"/>
      <c r="HS467" s="105"/>
      <c r="HT467" s="105"/>
      <c r="HU467" s="105"/>
      <c r="HV467" s="105"/>
      <c r="HW467" s="105"/>
      <c r="HX467" s="105"/>
      <c r="HY467" s="105"/>
      <c r="HZ467" s="105"/>
      <c r="IA467" s="105"/>
      <c r="IB467" s="105"/>
      <c r="IC467" s="105"/>
      <c r="ID467" s="105"/>
      <c r="IE467" s="105"/>
      <c r="IF467" s="105"/>
      <c r="IG467" s="105"/>
      <c r="IH467" s="105"/>
      <c r="II467" s="105"/>
      <c r="IJ467" s="105"/>
      <c r="IK467" s="105"/>
      <c r="IL467" s="105"/>
      <c r="IM467" s="105"/>
      <c r="IN467" s="105"/>
      <c r="IO467" s="105"/>
      <c r="IP467" s="105"/>
      <c r="IQ467" s="105"/>
      <c r="IR467" s="105"/>
      <c r="IS467" s="105"/>
    </row>
    <row r="468" spans="1:253">
      <c r="A468" s="116"/>
      <c r="B468" s="105"/>
      <c r="C468" s="116"/>
      <c r="D468" s="116"/>
      <c r="E468" s="116"/>
      <c r="F468" s="116"/>
      <c r="G468" s="116"/>
      <c r="H468" s="116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05"/>
      <c r="BF468" s="105"/>
      <c r="BG468" s="105"/>
      <c r="BH468" s="105"/>
      <c r="BI468" s="105"/>
      <c r="BJ468" s="105"/>
      <c r="BK468" s="105"/>
      <c r="BL468" s="105"/>
      <c r="BM468" s="105"/>
      <c r="BN468" s="105"/>
      <c r="BO468" s="105"/>
      <c r="BP468" s="105"/>
      <c r="BQ468" s="105"/>
      <c r="BR468" s="105"/>
      <c r="BS468" s="105"/>
      <c r="BT468" s="105"/>
      <c r="BU468" s="105"/>
      <c r="BV468" s="105"/>
      <c r="BW468" s="105"/>
      <c r="BX468" s="105"/>
      <c r="BY468" s="105"/>
      <c r="BZ468" s="105"/>
      <c r="CA468" s="105"/>
      <c r="CB468" s="105"/>
      <c r="CC468" s="105"/>
      <c r="CD468" s="105"/>
      <c r="CE468" s="105"/>
      <c r="CF468" s="105"/>
      <c r="CG468" s="105"/>
      <c r="CH468" s="105"/>
      <c r="CI468" s="105"/>
      <c r="CJ468" s="105"/>
      <c r="CK468" s="105"/>
      <c r="CL468" s="105"/>
      <c r="CM468" s="105"/>
      <c r="CN468" s="105"/>
      <c r="CO468" s="105"/>
      <c r="CP468" s="105"/>
      <c r="CQ468" s="105"/>
      <c r="CR468" s="105"/>
      <c r="CS468" s="105"/>
      <c r="CT468" s="105"/>
      <c r="CU468" s="105"/>
      <c r="CV468" s="105"/>
      <c r="CW468" s="105"/>
      <c r="CX468" s="105"/>
      <c r="CY468" s="105"/>
      <c r="CZ468" s="105"/>
      <c r="DA468" s="105"/>
      <c r="DB468" s="105"/>
      <c r="DC468" s="105"/>
      <c r="DD468" s="105"/>
      <c r="DE468" s="105"/>
      <c r="DF468" s="105"/>
      <c r="DG468" s="105"/>
      <c r="DH468" s="105"/>
      <c r="DI468" s="105"/>
      <c r="DJ468" s="105"/>
      <c r="DK468" s="105"/>
      <c r="DL468" s="105"/>
      <c r="DM468" s="105"/>
      <c r="DN468" s="105"/>
      <c r="DO468" s="105"/>
      <c r="DP468" s="105"/>
      <c r="DQ468" s="105"/>
      <c r="DR468" s="105"/>
      <c r="DS468" s="105"/>
      <c r="DT468" s="105"/>
      <c r="DU468" s="105"/>
      <c r="DV468" s="105"/>
      <c r="DW468" s="105"/>
      <c r="DX468" s="105"/>
      <c r="DY468" s="105"/>
      <c r="DZ468" s="105"/>
      <c r="EA468" s="105"/>
      <c r="EB468" s="105"/>
      <c r="EC468" s="105"/>
      <c r="ED468" s="105"/>
      <c r="EE468" s="105"/>
      <c r="EF468" s="105"/>
      <c r="EG468" s="105"/>
      <c r="EH468" s="105"/>
      <c r="EI468" s="105"/>
      <c r="EJ468" s="105"/>
      <c r="EK468" s="105"/>
      <c r="EL468" s="105"/>
      <c r="EM468" s="105"/>
      <c r="EN468" s="105"/>
      <c r="EO468" s="105"/>
      <c r="EP468" s="105"/>
      <c r="EQ468" s="105"/>
      <c r="ER468" s="105"/>
      <c r="ES468" s="105"/>
      <c r="ET468" s="105"/>
      <c r="EU468" s="105"/>
      <c r="EV468" s="105"/>
      <c r="EW468" s="105"/>
      <c r="EX468" s="105"/>
      <c r="EY468" s="105"/>
      <c r="EZ468" s="105"/>
      <c r="FA468" s="105"/>
      <c r="FB468" s="105"/>
      <c r="FC468" s="105"/>
      <c r="FD468" s="105"/>
      <c r="FE468" s="105"/>
      <c r="FF468" s="105"/>
      <c r="FG468" s="105"/>
      <c r="FH468" s="105"/>
      <c r="FI468" s="105"/>
      <c r="FJ468" s="105"/>
      <c r="FK468" s="105"/>
      <c r="FL468" s="105"/>
      <c r="FM468" s="105"/>
      <c r="FN468" s="105"/>
      <c r="FO468" s="105"/>
      <c r="FP468" s="105"/>
      <c r="FQ468" s="105"/>
      <c r="FR468" s="105"/>
      <c r="FS468" s="105"/>
      <c r="FT468" s="105"/>
      <c r="FU468" s="105"/>
      <c r="FV468" s="105"/>
      <c r="FW468" s="105"/>
      <c r="FX468" s="105"/>
      <c r="FY468" s="105"/>
      <c r="FZ468" s="105"/>
      <c r="GA468" s="105"/>
      <c r="GB468" s="105"/>
      <c r="GC468" s="105"/>
      <c r="GD468" s="105"/>
      <c r="GE468" s="105"/>
      <c r="GF468" s="105"/>
      <c r="GG468" s="105"/>
      <c r="GH468" s="105"/>
      <c r="GI468" s="105"/>
      <c r="GJ468" s="105"/>
      <c r="GK468" s="105"/>
      <c r="GL468" s="105"/>
      <c r="GM468" s="105"/>
      <c r="GN468" s="105"/>
      <c r="GO468" s="105"/>
      <c r="GP468" s="105"/>
      <c r="GQ468" s="105"/>
      <c r="GR468" s="105"/>
      <c r="GS468" s="105"/>
      <c r="GT468" s="105"/>
      <c r="GU468" s="105"/>
      <c r="GV468" s="105"/>
      <c r="GW468" s="105"/>
      <c r="GX468" s="105"/>
      <c r="GY468" s="105"/>
      <c r="GZ468" s="105"/>
      <c r="HA468" s="105"/>
      <c r="HB468" s="105"/>
      <c r="HC468" s="105"/>
      <c r="HD468" s="105"/>
      <c r="HE468" s="105"/>
      <c r="HF468" s="105"/>
      <c r="HG468" s="105"/>
      <c r="HH468" s="105"/>
      <c r="HI468" s="105"/>
      <c r="HJ468" s="105"/>
      <c r="HK468" s="105"/>
      <c r="HL468" s="105"/>
      <c r="HM468" s="105"/>
      <c r="HN468" s="105"/>
      <c r="HO468" s="105"/>
      <c r="HP468" s="105"/>
      <c r="HQ468" s="105"/>
      <c r="HR468" s="105"/>
      <c r="HS468" s="105"/>
      <c r="HT468" s="105"/>
      <c r="HU468" s="105"/>
      <c r="HV468" s="105"/>
      <c r="HW468" s="105"/>
      <c r="HX468" s="105"/>
      <c r="HY468" s="105"/>
      <c r="HZ468" s="105"/>
      <c r="IA468" s="105"/>
      <c r="IB468" s="105"/>
      <c r="IC468" s="105"/>
      <c r="ID468" s="105"/>
      <c r="IE468" s="105"/>
      <c r="IF468" s="105"/>
      <c r="IG468" s="105"/>
      <c r="IH468" s="105"/>
      <c r="II468" s="105"/>
      <c r="IJ468" s="105"/>
      <c r="IK468" s="105"/>
      <c r="IL468" s="105"/>
      <c r="IM468" s="105"/>
      <c r="IN468" s="105"/>
      <c r="IO468" s="105"/>
      <c r="IP468" s="105"/>
      <c r="IQ468" s="105"/>
      <c r="IR468" s="105"/>
      <c r="IS468" s="105"/>
    </row>
    <row r="469" spans="1:253">
      <c r="A469" s="116"/>
      <c r="B469" s="105"/>
      <c r="C469" s="116"/>
      <c r="D469" s="116"/>
      <c r="E469" s="116"/>
      <c r="F469" s="116"/>
      <c r="G469" s="116"/>
      <c r="H469" s="116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  <c r="BA469" s="105"/>
      <c r="BB469" s="105"/>
      <c r="BC469" s="105"/>
      <c r="BD469" s="105"/>
      <c r="BE469" s="105"/>
      <c r="BF469" s="105"/>
      <c r="BG469" s="105"/>
      <c r="BH469" s="105"/>
      <c r="BI469" s="105"/>
      <c r="BJ469" s="105"/>
      <c r="BK469" s="105"/>
      <c r="BL469" s="105"/>
      <c r="BM469" s="105"/>
      <c r="BN469" s="105"/>
      <c r="BO469" s="105"/>
      <c r="BP469" s="105"/>
      <c r="BQ469" s="105"/>
      <c r="BR469" s="105"/>
      <c r="BS469" s="105"/>
      <c r="BT469" s="105"/>
      <c r="BU469" s="105"/>
      <c r="BV469" s="105"/>
      <c r="BW469" s="105"/>
      <c r="BX469" s="105"/>
      <c r="BY469" s="105"/>
      <c r="BZ469" s="105"/>
      <c r="CA469" s="105"/>
      <c r="CB469" s="105"/>
      <c r="CC469" s="105"/>
      <c r="CD469" s="105"/>
      <c r="CE469" s="105"/>
      <c r="CF469" s="105"/>
      <c r="CG469" s="105"/>
      <c r="CH469" s="105"/>
      <c r="CI469" s="105"/>
      <c r="CJ469" s="105"/>
      <c r="CK469" s="105"/>
      <c r="CL469" s="105"/>
      <c r="CM469" s="105"/>
      <c r="CN469" s="105"/>
      <c r="CO469" s="105"/>
      <c r="CP469" s="105"/>
      <c r="CQ469" s="105"/>
      <c r="CR469" s="105"/>
      <c r="CS469" s="105"/>
      <c r="CT469" s="105"/>
      <c r="CU469" s="105"/>
      <c r="CV469" s="105"/>
      <c r="CW469" s="105"/>
      <c r="CX469" s="105"/>
      <c r="CY469" s="105"/>
      <c r="CZ469" s="105"/>
      <c r="DA469" s="105"/>
      <c r="DB469" s="105"/>
      <c r="DC469" s="105"/>
      <c r="DD469" s="105"/>
      <c r="DE469" s="105"/>
      <c r="DF469" s="105"/>
      <c r="DG469" s="105"/>
      <c r="DH469" s="105"/>
      <c r="DI469" s="105"/>
      <c r="DJ469" s="105"/>
      <c r="DK469" s="105"/>
      <c r="DL469" s="105"/>
      <c r="DM469" s="105"/>
      <c r="DN469" s="105"/>
      <c r="DO469" s="105"/>
      <c r="DP469" s="105"/>
      <c r="DQ469" s="105"/>
      <c r="DR469" s="105"/>
      <c r="DS469" s="105"/>
      <c r="DT469" s="105"/>
      <c r="DU469" s="105"/>
      <c r="DV469" s="105"/>
      <c r="DW469" s="105"/>
      <c r="DX469" s="105"/>
      <c r="DY469" s="105"/>
      <c r="DZ469" s="105"/>
      <c r="EA469" s="105"/>
      <c r="EB469" s="105"/>
      <c r="EC469" s="105"/>
      <c r="ED469" s="105"/>
      <c r="EE469" s="105"/>
      <c r="EF469" s="105"/>
      <c r="EG469" s="105"/>
      <c r="EH469" s="105"/>
      <c r="EI469" s="105"/>
      <c r="EJ469" s="105"/>
      <c r="EK469" s="105"/>
      <c r="EL469" s="105"/>
      <c r="EM469" s="105"/>
      <c r="EN469" s="105"/>
      <c r="EO469" s="105"/>
      <c r="EP469" s="105"/>
      <c r="EQ469" s="105"/>
      <c r="ER469" s="105"/>
      <c r="ES469" s="105"/>
      <c r="ET469" s="105"/>
      <c r="EU469" s="105"/>
      <c r="EV469" s="105"/>
      <c r="EW469" s="105"/>
      <c r="EX469" s="105"/>
      <c r="EY469" s="105"/>
      <c r="EZ469" s="105"/>
      <c r="FA469" s="105"/>
      <c r="FB469" s="105"/>
      <c r="FC469" s="105"/>
      <c r="FD469" s="105"/>
      <c r="FE469" s="105"/>
      <c r="FF469" s="105"/>
      <c r="FG469" s="105"/>
      <c r="FH469" s="105"/>
      <c r="FI469" s="105"/>
      <c r="FJ469" s="105"/>
      <c r="FK469" s="105"/>
      <c r="FL469" s="105"/>
      <c r="FM469" s="105"/>
      <c r="FN469" s="105"/>
      <c r="FO469" s="105"/>
      <c r="FP469" s="105"/>
      <c r="FQ469" s="105"/>
      <c r="FR469" s="105"/>
      <c r="FS469" s="105"/>
      <c r="FT469" s="105"/>
      <c r="FU469" s="105"/>
      <c r="FV469" s="105"/>
      <c r="FW469" s="105"/>
      <c r="FX469" s="105"/>
      <c r="FY469" s="105"/>
      <c r="FZ469" s="105"/>
      <c r="GA469" s="105"/>
      <c r="GB469" s="105"/>
      <c r="GC469" s="105"/>
      <c r="GD469" s="105"/>
      <c r="GE469" s="105"/>
      <c r="GF469" s="105"/>
      <c r="GG469" s="105"/>
      <c r="GH469" s="105"/>
      <c r="GI469" s="105"/>
      <c r="GJ469" s="105"/>
      <c r="GK469" s="105"/>
      <c r="GL469" s="105"/>
      <c r="GM469" s="105"/>
      <c r="GN469" s="105"/>
      <c r="GO469" s="105"/>
      <c r="GP469" s="105"/>
      <c r="GQ469" s="105"/>
      <c r="GR469" s="105"/>
      <c r="GS469" s="105"/>
      <c r="GT469" s="105"/>
      <c r="GU469" s="105"/>
      <c r="GV469" s="105"/>
      <c r="GW469" s="105"/>
      <c r="GX469" s="105"/>
      <c r="GY469" s="105"/>
      <c r="GZ469" s="105"/>
      <c r="HA469" s="105"/>
      <c r="HB469" s="105"/>
      <c r="HC469" s="105"/>
      <c r="HD469" s="105"/>
      <c r="HE469" s="105"/>
      <c r="HF469" s="105"/>
      <c r="HG469" s="105"/>
      <c r="HH469" s="105"/>
      <c r="HI469" s="105"/>
      <c r="HJ469" s="105"/>
      <c r="HK469" s="105"/>
      <c r="HL469" s="105"/>
      <c r="HM469" s="105"/>
      <c r="HN469" s="105"/>
      <c r="HO469" s="105"/>
      <c r="HP469" s="105"/>
      <c r="HQ469" s="105"/>
      <c r="HR469" s="105"/>
      <c r="HS469" s="105"/>
      <c r="HT469" s="105"/>
      <c r="HU469" s="105"/>
      <c r="HV469" s="105"/>
      <c r="HW469" s="105"/>
      <c r="HX469" s="105"/>
      <c r="HY469" s="105"/>
      <c r="HZ469" s="105"/>
      <c r="IA469" s="105"/>
      <c r="IB469" s="105"/>
      <c r="IC469" s="105"/>
      <c r="ID469" s="105"/>
      <c r="IE469" s="105"/>
      <c r="IF469" s="105"/>
      <c r="IG469" s="105"/>
      <c r="IH469" s="105"/>
      <c r="II469" s="105"/>
      <c r="IJ469" s="105"/>
      <c r="IK469" s="105"/>
      <c r="IL469" s="105"/>
      <c r="IM469" s="105"/>
      <c r="IN469" s="105"/>
      <c r="IO469" s="105"/>
      <c r="IP469" s="105"/>
      <c r="IQ469" s="105"/>
      <c r="IR469" s="105"/>
      <c r="IS469" s="105"/>
    </row>
    <row r="470" spans="1:253">
      <c r="A470" s="116"/>
      <c r="B470" s="105"/>
      <c r="C470" s="116"/>
      <c r="D470" s="116"/>
      <c r="E470" s="116"/>
      <c r="F470" s="116"/>
      <c r="G470" s="116"/>
      <c r="H470" s="116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05"/>
      <c r="BF470" s="105"/>
      <c r="BG470" s="105"/>
      <c r="BH470" s="105"/>
      <c r="BI470" s="105"/>
      <c r="BJ470" s="105"/>
      <c r="BK470" s="105"/>
      <c r="BL470" s="105"/>
      <c r="BM470" s="105"/>
      <c r="BN470" s="105"/>
      <c r="BO470" s="105"/>
      <c r="BP470" s="105"/>
      <c r="BQ470" s="105"/>
      <c r="BR470" s="105"/>
      <c r="BS470" s="105"/>
      <c r="BT470" s="105"/>
      <c r="BU470" s="105"/>
      <c r="BV470" s="105"/>
      <c r="BW470" s="105"/>
      <c r="BX470" s="105"/>
      <c r="BY470" s="105"/>
      <c r="BZ470" s="105"/>
      <c r="CA470" s="105"/>
      <c r="CB470" s="105"/>
      <c r="CC470" s="105"/>
      <c r="CD470" s="105"/>
      <c r="CE470" s="105"/>
      <c r="CF470" s="105"/>
      <c r="CG470" s="105"/>
      <c r="CH470" s="105"/>
      <c r="CI470" s="105"/>
      <c r="CJ470" s="105"/>
      <c r="CK470" s="105"/>
      <c r="CL470" s="105"/>
      <c r="CM470" s="105"/>
      <c r="CN470" s="105"/>
      <c r="CO470" s="105"/>
      <c r="CP470" s="105"/>
      <c r="CQ470" s="105"/>
      <c r="CR470" s="105"/>
      <c r="CS470" s="105"/>
      <c r="CT470" s="105"/>
      <c r="CU470" s="105"/>
      <c r="CV470" s="105"/>
      <c r="CW470" s="105"/>
      <c r="CX470" s="105"/>
      <c r="CY470" s="105"/>
      <c r="CZ470" s="105"/>
      <c r="DA470" s="105"/>
      <c r="DB470" s="105"/>
      <c r="DC470" s="105"/>
      <c r="DD470" s="105"/>
      <c r="DE470" s="105"/>
      <c r="DF470" s="105"/>
      <c r="DG470" s="105"/>
      <c r="DH470" s="105"/>
      <c r="DI470" s="105"/>
      <c r="DJ470" s="105"/>
      <c r="DK470" s="105"/>
      <c r="DL470" s="105"/>
      <c r="DM470" s="105"/>
      <c r="DN470" s="105"/>
      <c r="DO470" s="105"/>
      <c r="DP470" s="105"/>
      <c r="DQ470" s="105"/>
      <c r="DR470" s="105"/>
      <c r="DS470" s="105"/>
      <c r="DT470" s="105"/>
      <c r="DU470" s="105"/>
      <c r="DV470" s="105"/>
      <c r="DW470" s="105"/>
      <c r="DX470" s="105"/>
      <c r="DY470" s="105"/>
      <c r="DZ470" s="105"/>
      <c r="EA470" s="105"/>
      <c r="EB470" s="105"/>
      <c r="EC470" s="105"/>
      <c r="ED470" s="105"/>
      <c r="EE470" s="105"/>
      <c r="EF470" s="105"/>
      <c r="EG470" s="105"/>
      <c r="EH470" s="105"/>
      <c r="EI470" s="105"/>
      <c r="EJ470" s="105"/>
      <c r="EK470" s="105"/>
      <c r="EL470" s="105"/>
      <c r="EM470" s="105"/>
      <c r="EN470" s="105"/>
      <c r="EO470" s="105"/>
      <c r="EP470" s="105"/>
      <c r="EQ470" s="105"/>
      <c r="ER470" s="105"/>
      <c r="ES470" s="105"/>
      <c r="ET470" s="105"/>
      <c r="EU470" s="105"/>
      <c r="EV470" s="105"/>
      <c r="EW470" s="105"/>
      <c r="EX470" s="105"/>
      <c r="EY470" s="105"/>
      <c r="EZ470" s="105"/>
      <c r="FA470" s="105"/>
      <c r="FB470" s="105"/>
      <c r="FC470" s="105"/>
      <c r="FD470" s="105"/>
      <c r="FE470" s="105"/>
      <c r="FF470" s="105"/>
      <c r="FG470" s="105"/>
      <c r="FH470" s="105"/>
      <c r="FI470" s="105"/>
      <c r="FJ470" s="105"/>
      <c r="FK470" s="105"/>
      <c r="FL470" s="105"/>
      <c r="FM470" s="105"/>
      <c r="FN470" s="105"/>
      <c r="FO470" s="105"/>
      <c r="FP470" s="105"/>
      <c r="FQ470" s="105"/>
      <c r="FR470" s="105"/>
      <c r="FS470" s="105"/>
      <c r="FT470" s="105"/>
      <c r="FU470" s="105"/>
      <c r="FV470" s="105"/>
      <c r="FW470" s="105"/>
      <c r="FX470" s="105"/>
      <c r="FY470" s="105"/>
      <c r="FZ470" s="105"/>
      <c r="GA470" s="105"/>
      <c r="GB470" s="105"/>
      <c r="GC470" s="105"/>
      <c r="GD470" s="105"/>
      <c r="GE470" s="105"/>
      <c r="GF470" s="105"/>
      <c r="GG470" s="105"/>
      <c r="GH470" s="105"/>
      <c r="GI470" s="105"/>
      <c r="GJ470" s="105"/>
      <c r="GK470" s="105"/>
      <c r="GL470" s="105"/>
      <c r="GM470" s="105"/>
      <c r="GN470" s="105"/>
      <c r="GO470" s="105"/>
      <c r="GP470" s="105"/>
      <c r="GQ470" s="105"/>
      <c r="GR470" s="105"/>
      <c r="GS470" s="105"/>
      <c r="GT470" s="105"/>
      <c r="GU470" s="105"/>
      <c r="GV470" s="105"/>
      <c r="GW470" s="105"/>
      <c r="GX470" s="105"/>
      <c r="GY470" s="105"/>
      <c r="GZ470" s="105"/>
      <c r="HA470" s="105"/>
      <c r="HB470" s="105"/>
      <c r="HC470" s="105"/>
      <c r="HD470" s="105"/>
      <c r="HE470" s="105"/>
      <c r="HF470" s="105"/>
      <c r="HG470" s="105"/>
      <c r="HH470" s="105"/>
      <c r="HI470" s="105"/>
      <c r="HJ470" s="105"/>
      <c r="HK470" s="105"/>
      <c r="HL470" s="105"/>
      <c r="HM470" s="105"/>
      <c r="HN470" s="105"/>
      <c r="HO470" s="105"/>
      <c r="HP470" s="105"/>
      <c r="HQ470" s="105"/>
      <c r="HR470" s="105"/>
      <c r="HS470" s="105"/>
      <c r="HT470" s="105"/>
      <c r="HU470" s="105"/>
      <c r="HV470" s="105"/>
      <c r="HW470" s="105"/>
      <c r="HX470" s="105"/>
      <c r="HY470" s="105"/>
      <c r="HZ470" s="105"/>
      <c r="IA470" s="105"/>
      <c r="IB470" s="105"/>
      <c r="IC470" s="105"/>
      <c r="ID470" s="105"/>
      <c r="IE470" s="105"/>
      <c r="IF470" s="105"/>
      <c r="IG470" s="105"/>
      <c r="IH470" s="105"/>
      <c r="II470" s="105"/>
      <c r="IJ470" s="105"/>
      <c r="IK470" s="105"/>
      <c r="IL470" s="105"/>
      <c r="IM470" s="105"/>
      <c r="IN470" s="105"/>
      <c r="IO470" s="105"/>
      <c r="IP470" s="105"/>
      <c r="IQ470" s="105"/>
      <c r="IR470" s="105"/>
      <c r="IS470" s="105"/>
    </row>
    <row r="471" spans="1:253">
      <c r="A471" s="116"/>
      <c r="B471" s="105"/>
      <c r="C471" s="116"/>
      <c r="D471" s="116"/>
      <c r="E471" s="116"/>
      <c r="F471" s="116"/>
      <c r="G471" s="116"/>
      <c r="H471" s="116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  <c r="AU471" s="105"/>
      <c r="AV471" s="105"/>
      <c r="AW471" s="105"/>
      <c r="AX471" s="105"/>
      <c r="AY471" s="105"/>
      <c r="AZ471" s="105"/>
      <c r="BA471" s="105"/>
      <c r="BB471" s="105"/>
      <c r="BC471" s="105"/>
      <c r="BD471" s="105"/>
      <c r="BE471" s="105"/>
      <c r="BF471" s="105"/>
      <c r="BG471" s="105"/>
      <c r="BH471" s="105"/>
      <c r="BI471" s="105"/>
      <c r="BJ471" s="105"/>
      <c r="BK471" s="105"/>
      <c r="BL471" s="105"/>
      <c r="BM471" s="105"/>
      <c r="BN471" s="105"/>
      <c r="BO471" s="105"/>
      <c r="BP471" s="105"/>
      <c r="BQ471" s="105"/>
      <c r="BR471" s="105"/>
      <c r="BS471" s="105"/>
      <c r="BT471" s="105"/>
      <c r="BU471" s="105"/>
      <c r="BV471" s="105"/>
      <c r="BW471" s="105"/>
      <c r="BX471" s="105"/>
      <c r="BY471" s="105"/>
      <c r="BZ471" s="105"/>
      <c r="CA471" s="105"/>
      <c r="CB471" s="105"/>
      <c r="CC471" s="105"/>
      <c r="CD471" s="105"/>
      <c r="CE471" s="105"/>
      <c r="CF471" s="105"/>
      <c r="CG471" s="105"/>
      <c r="CH471" s="105"/>
      <c r="CI471" s="105"/>
      <c r="CJ471" s="105"/>
      <c r="CK471" s="105"/>
      <c r="CL471" s="105"/>
      <c r="CM471" s="105"/>
      <c r="CN471" s="105"/>
      <c r="CO471" s="105"/>
      <c r="CP471" s="105"/>
      <c r="CQ471" s="105"/>
      <c r="CR471" s="105"/>
      <c r="CS471" s="105"/>
      <c r="CT471" s="105"/>
      <c r="CU471" s="105"/>
      <c r="CV471" s="105"/>
      <c r="CW471" s="105"/>
      <c r="CX471" s="105"/>
      <c r="CY471" s="105"/>
      <c r="CZ471" s="105"/>
      <c r="DA471" s="105"/>
      <c r="DB471" s="105"/>
      <c r="DC471" s="105"/>
      <c r="DD471" s="105"/>
      <c r="DE471" s="105"/>
      <c r="DF471" s="105"/>
      <c r="DG471" s="105"/>
      <c r="DH471" s="105"/>
      <c r="DI471" s="105"/>
      <c r="DJ471" s="105"/>
      <c r="DK471" s="105"/>
      <c r="DL471" s="105"/>
      <c r="DM471" s="105"/>
      <c r="DN471" s="105"/>
      <c r="DO471" s="105"/>
      <c r="DP471" s="105"/>
      <c r="DQ471" s="105"/>
      <c r="DR471" s="105"/>
      <c r="DS471" s="105"/>
      <c r="DT471" s="105"/>
      <c r="DU471" s="105"/>
      <c r="DV471" s="105"/>
      <c r="DW471" s="105"/>
      <c r="DX471" s="105"/>
      <c r="DY471" s="105"/>
      <c r="DZ471" s="105"/>
      <c r="EA471" s="105"/>
      <c r="EB471" s="105"/>
      <c r="EC471" s="105"/>
      <c r="ED471" s="105"/>
      <c r="EE471" s="105"/>
      <c r="EF471" s="105"/>
      <c r="EG471" s="105"/>
      <c r="EH471" s="105"/>
      <c r="EI471" s="105"/>
      <c r="EJ471" s="105"/>
      <c r="EK471" s="105"/>
      <c r="EL471" s="105"/>
      <c r="EM471" s="105"/>
      <c r="EN471" s="105"/>
      <c r="EO471" s="105"/>
      <c r="EP471" s="105"/>
      <c r="EQ471" s="105"/>
      <c r="ER471" s="105"/>
      <c r="ES471" s="105"/>
      <c r="ET471" s="105"/>
      <c r="EU471" s="105"/>
      <c r="EV471" s="105"/>
      <c r="EW471" s="105"/>
      <c r="EX471" s="105"/>
      <c r="EY471" s="105"/>
      <c r="EZ471" s="105"/>
      <c r="FA471" s="105"/>
      <c r="FB471" s="105"/>
      <c r="FC471" s="105"/>
      <c r="FD471" s="105"/>
      <c r="FE471" s="105"/>
      <c r="FF471" s="105"/>
      <c r="FG471" s="105"/>
      <c r="FH471" s="105"/>
      <c r="FI471" s="105"/>
      <c r="FJ471" s="105"/>
      <c r="FK471" s="105"/>
      <c r="FL471" s="105"/>
      <c r="FM471" s="105"/>
      <c r="FN471" s="105"/>
      <c r="FO471" s="105"/>
      <c r="FP471" s="105"/>
      <c r="FQ471" s="105"/>
      <c r="FR471" s="105"/>
      <c r="FS471" s="105"/>
      <c r="FT471" s="105"/>
      <c r="FU471" s="105"/>
      <c r="FV471" s="105"/>
      <c r="FW471" s="105"/>
      <c r="FX471" s="105"/>
      <c r="FY471" s="105"/>
      <c r="FZ471" s="105"/>
      <c r="GA471" s="105"/>
      <c r="GB471" s="105"/>
      <c r="GC471" s="105"/>
      <c r="GD471" s="105"/>
      <c r="GE471" s="105"/>
      <c r="GF471" s="105"/>
      <c r="GG471" s="105"/>
      <c r="GH471" s="105"/>
      <c r="GI471" s="105"/>
      <c r="GJ471" s="105"/>
      <c r="GK471" s="105"/>
      <c r="GL471" s="105"/>
      <c r="GM471" s="105"/>
      <c r="GN471" s="105"/>
      <c r="GO471" s="105"/>
      <c r="GP471" s="105"/>
      <c r="GQ471" s="105"/>
      <c r="GR471" s="105"/>
      <c r="GS471" s="105"/>
      <c r="GT471" s="105"/>
      <c r="GU471" s="105"/>
      <c r="GV471" s="105"/>
      <c r="GW471" s="105"/>
      <c r="GX471" s="105"/>
      <c r="GY471" s="105"/>
      <c r="GZ471" s="105"/>
      <c r="HA471" s="105"/>
      <c r="HB471" s="105"/>
      <c r="HC471" s="105"/>
      <c r="HD471" s="105"/>
      <c r="HE471" s="105"/>
      <c r="HF471" s="105"/>
      <c r="HG471" s="105"/>
      <c r="HH471" s="105"/>
      <c r="HI471" s="105"/>
      <c r="HJ471" s="105"/>
      <c r="HK471" s="105"/>
      <c r="HL471" s="105"/>
      <c r="HM471" s="105"/>
      <c r="HN471" s="105"/>
      <c r="HO471" s="105"/>
      <c r="HP471" s="105"/>
      <c r="HQ471" s="105"/>
      <c r="HR471" s="105"/>
      <c r="HS471" s="105"/>
      <c r="HT471" s="105"/>
      <c r="HU471" s="105"/>
      <c r="HV471" s="105"/>
      <c r="HW471" s="105"/>
      <c r="HX471" s="105"/>
      <c r="HY471" s="105"/>
      <c r="HZ471" s="105"/>
      <c r="IA471" s="105"/>
      <c r="IB471" s="105"/>
      <c r="IC471" s="105"/>
      <c r="ID471" s="105"/>
      <c r="IE471" s="105"/>
      <c r="IF471" s="105"/>
      <c r="IG471" s="105"/>
      <c r="IH471" s="105"/>
      <c r="II471" s="105"/>
      <c r="IJ471" s="105"/>
      <c r="IK471" s="105"/>
      <c r="IL471" s="105"/>
      <c r="IM471" s="105"/>
      <c r="IN471" s="105"/>
      <c r="IO471" s="105"/>
      <c r="IP471" s="105"/>
      <c r="IQ471" s="105"/>
      <c r="IR471" s="105"/>
      <c r="IS471" s="105"/>
    </row>
    <row r="472" spans="1:253">
      <c r="A472" s="116"/>
      <c r="B472" s="105"/>
      <c r="C472" s="116"/>
      <c r="D472" s="116"/>
      <c r="E472" s="116"/>
      <c r="F472" s="116"/>
      <c r="G472" s="116"/>
      <c r="H472" s="116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05"/>
      <c r="BF472" s="105"/>
      <c r="BG472" s="105"/>
      <c r="BH472" s="105"/>
      <c r="BI472" s="105"/>
      <c r="BJ472" s="105"/>
      <c r="BK472" s="105"/>
      <c r="BL472" s="105"/>
      <c r="BM472" s="105"/>
      <c r="BN472" s="105"/>
      <c r="BO472" s="105"/>
      <c r="BP472" s="105"/>
      <c r="BQ472" s="105"/>
      <c r="BR472" s="105"/>
      <c r="BS472" s="105"/>
      <c r="BT472" s="105"/>
      <c r="BU472" s="105"/>
      <c r="BV472" s="105"/>
      <c r="BW472" s="105"/>
      <c r="BX472" s="105"/>
      <c r="BY472" s="105"/>
      <c r="BZ472" s="105"/>
      <c r="CA472" s="105"/>
      <c r="CB472" s="105"/>
      <c r="CC472" s="105"/>
      <c r="CD472" s="105"/>
      <c r="CE472" s="105"/>
      <c r="CF472" s="105"/>
      <c r="CG472" s="105"/>
      <c r="CH472" s="105"/>
      <c r="CI472" s="105"/>
      <c r="CJ472" s="105"/>
      <c r="CK472" s="105"/>
      <c r="CL472" s="105"/>
      <c r="CM472" s="105"/>
      <c r="CN472" s="105"/>
      <c r="CO472" s="105"/>
      <c r="CP472" s="105"/>
      <c r="CQ472" s="105"/>
      <c r="CR472" s="105"/>
      <c r="CS472" s="105"/>
      <c r="CT472" s="105"/>
      <c r="CU472" s="105"/>
      <c r="CV472" s="105"/>
      <c r="CW472" s="105"/>
      <c r="CX472" s="105"/>
      <c r="CY472" s="105"/>
      <c r="CZ472" s="105"/>
      <c r="DA472" s="105"/>
      <c r="DB472" s="105"/>
      <c r="DC472" s="105"/>
      <c r="DD472" s="105"/>
      <c r="DE472" s="105"/>
      <c r="DF472" s="105"/>
      <c r="DG472" s="105"/>
      <c r="DH472" s="105"/>
      <c r="DI472" s="105"/>
      <c r="DJ472" s="105"/>
      <c r="DK472" s="105"/>
      <c r="DL472" s="105"/>
      <c r="DM472" s="105"/>
      <c r="DN472" s="105"/>
      <c r="DO472" s="105"/>
      <c r="DP472" s="105"/>
      <c r="DQ472" s="105"/>
      <c r="DR472" s="105"/>
      <c r="DS472" s="105"/>
      <c r="DT472" s="105"/>
      <c r="DU472" s="105"/>
      <c r="DV472" s="105"/>
      <c r="DW472" s="105"/>
      <c r="DX472" s="105"/>
      <c r="DY472" s="105"/>
      <c r="DZ472" s="105"/>
      <c r="EA472" s="105"/>
      <c r="EB472" s="105"/>
      <c r="EC472" s="105"/>
      <c r="ED472" s="105"/>
      <c r="EE472" s="105"/>
      <c r="EF472" s="105"/>
      <c r="EG472" s="105"/>
      <c r="EH472" s="105"/>
      <c r="EI472" s="105"/>
      <c r="EJ472" s="105"/>
      <c r="EK472" s="105"/>
      <c r="EL472" s="105"/>
      <c r="EM472" s="105"/>
      <c r="EN472" s="105"/>
      <c r="EO472" s="105"/>
      <c r="EP472" s="105"/>
      <c r="EQ472" s="105"/>
      <c r="ER472" s="105"/>
      <c r="ES472" s="105"/>
      <c r="ET472" s="105"/>
      <c r="EU472" s="105"/>
      <c r="EV472" s="105"/>
      <c r="EW472" s="105"/>
      <c r="EX472" s="105"/>
      <c r="EY472" s="105"/>
      <c r="EZ472" s="105"/>
      <c r="FA472" s="105"/>
      <c r="FB472" s="105"/>
      <c r="FC472" s="105"/>
      <c r="FD472" s="105"/>
      <c r="FE472" s="105"/>
      <c r="FF472" s="105"/>
      <c r="FG472" s="105"/>
      <c r="FH472" s="105"/>
      <c r="FI472" s="105"/>
      <c r="FJ472" s="105"/>
      <c r="FK472" s="105"/>
      <c r="FL472" s="105"/>
      <c r="FM472" s="105"/>
      <c r="FN472" s="105"/>
      <c r="FO472" s="105"/>
      <c r="FP472" s="105"/>
      <c r="FQ472" s="105"/>
      <c r="FR472" s="105"/>
      <c r="FS472" s="105"/>
      <c r="FT472" s="105"/>
      <c r="FU472" s="105"/>
      <c r="FV472" s="105"/>
      <c r="FW472" s="105"/>
      <c r="FX472" s="105"/>
      <c r="FY472" s="105"/>
      <c r="FZ472" s="105"/>
      <c r="GA472" s="105"/>
      <c r="GB472" s="105"/>
      <c r="GC472" s="105"/>
      <c r="GD472" s="105"/>
      <c r="GE472" s="105"/>
      <c r="GF472" s="105"/>
      <c r="GG472" s="105"/>
      <c r="GH472" s="105"/>
      <c r="GI472" s="105"/>
      <c r="GJ472" s="105"/>
      <c r="GK472" s="105"/>
      <c r="GL472" s="105"/>
      <c r="GM472" s="105"/>
      <c r="GN472" s="105"/>
      <c r="GO472" s="105"/>
      <c r="GP472" s="105"/>
      <c r="GQ472" s="105"/>
      <c r="GR472" s="105"/>
      <c r="GS472" s="105"/>
      <c r="GT472" s="105"/>
      <c r="GU472" s="105"/>
      <c r="GV472" s="105"/>
      <c r="GW472" s="105"/>
      <c r="GX472" s="105"/>
      <c r="GY472" s="105"/>
      <c r="GZ472" s="105"/>
      <c r="HA472" s="105"/>
      <c r="HB472" s="105"/>
      <c r="HC472" s="105"/>
      <c r="HD472" s="105"/>
      <c r="HE472" s="105"/>
      <c r="HF472" s="105"/>
      <c r="HG472" s="105"/>
      <c r="HH472" s="105"/>
      <c r="HI472" s="105"/>
      <c r="HJ472" s="105"/>
      <c r="HK472" s="105"/>
      <c r="HL472" s="105"/>
      <c r="HM472" s="105"/>
      <c r="HN472" s="105"/>
      <c r="HO472" s="105"/>
      <c r="HP472" s="105"/>
      <c r="HQ472" s="105"/>
      <c r="HR472" s="105"/>
      <c r="HS472" s="105"/>
      <c r="HT472" s="105"/>
      <c r="HU472" s="105"/>
      <c r="HV472" s="105"/>
      <c r="HW472" s="105"/>
      <c r="HX472" s="105"/>
      <c r="HY472" s="105"/>
      <c r="HZ472" s="105"/>
      <c r="IA472" s="105"/>
      <c r="IB472" s="105"/>
      <c r="IC472" s="105"/>
      <c r="ID472" s="105"/>
      <c r="IE472" s="105"/>
      <c r="IF472" s="105"/>
      <c r="IG472" s="105"/>
      <c r="IH472" s="105"/>
      <c r="II472" s="105"/>
      <c r="IJ472" s="105"/>
      <c r="IK472" s="105"/>
      <c r="IL472" s="105"/>
      <c r="IM472" s="105"/>
      <c r="IN472" s="105"/>
      <c r="IO472" s="105"/>
      <c r="IP472" s="105"/>
      <c r="IQ472" s="105"/>
      <c r="IR472" s="105"/>
      <c r="IS472" s="105"/>
    </row>
    <row r="473" spans="1:253">
      <c r="A473" s="116"/>
      <c r="B473" s="105"/>
      <c r="C473" s="116"/>
      <c r="D473" s="116"/>
      <c r="E473" s="116"/>
      <c r="F473" s="116"/>
      <c r="G473" s="116"/>
      <c r="H473" s="116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105"/>
      <c r="BD473" s="105"/>
      <c r="BE473" s="105"/>
      <c r="BF473" s="105"/>
      <c r="BG473" s="105"/>
      <c r="BH473" s="105"/>
      <c r="BI473" s="105"/>
      <c r="BJ473" s="105"/>
      <c r="BK473" s="105"/>
      <c r="BL473" s="105"/>
      <c r="BM473" s="105"/>
      <c r="BN473" s="105"/>
      <c r="BO473" s="105"/>
      <c r="BP473" s="105"/>
      <c r="BQ473" s="105"/>
      <c r="BR473" s="105"/>
      <c r="BS473" s="105"/>
      <c r="BT473" s="105"/>
      <c r="BU473" s="105"/>
      <c r="BV473" s="105"/>
      <c r="BW473" s="105"/>
      <c r="BX473" s="105"/>
      <c r="BY473" s="105"/>
      <c r="BZ473" s="105"/>
      <c r="CA473" s="105"/>
      <c r="CB473" s="105"/>
      <c r="CC473" s="105"/>
      <c r="CD473" s="105"/>
      <c r="CE473" s="105"/>
      <c r="CF473" s="105"/>
      <c r="CG473" s="105"/>
      <c r="CH473" s="105"/>
      <c r="CI473" s="105"/>
      <c r="CJ473" s="105"/>
      <c r="CK473" s="105"/>
      <c r="CL473" s="105"/>
      <c r="CM473" s="105"/>
      <c r="CN473" s="105"/>
      <c r="CO473" s="105"/>
      <c r="CP473" s="105"/>
      <c r="CQ473" s="105"/>
      <c r="CR473" s="105"/>
      <c r="CS473" s="105"/>
      <c r="CT473" s="105"/>
      <c r="CU473" s="105"/>
      <c r="CV473" s="105"/>
      <c r="CW473" s="105"/>
      <c r="CX473" s="105"/>
      <c r="CY473" s="105"/>
      <c r="CZ473" s="105"/>
      <c r="DA473" s="105"/>
      <c r="DB473" s="105"/>
      <c r="DC473" s="105"/>
      <c r="DD473" s="105"/>
      <c r="DE473" s="105"/>
      <c r="DF473" s="105"/>
      <c r="DG473" s="105"/>
      <c r="DH473" s="105"/>
      <c r="DI473" s="105"/>
      <c r="DJ473" s="105"/>
      <c r="DK473" s="105"/>
      <c r="DL473" s="105"/>
      <c r="DM473" s="105"/>
      <c r="DN473" s="105"/>
      <c r="DO473" s="105"/>
      <c r="DP473" s="105"/>
      <c r="DQ473" s="105"/>
      <c r="DR473" s="105"/>
      <c r="DS473" s="105"/>
      <c r="DT473" s="105"/>
      <c r="DU473" s="105"/>
      <c r="DV473" s="105"/>
      <c r="DW473" s="105"/>
      <c r="DX473" s="105"/>
      <c r="DY473" s="105"/>
      <c r="DZ473" s="105"/>
      <c r="EA473" s="105"/>
      <c r="EB473" s="105"/>
      <c r="EC473" s="105"/>
      <c r="ED473" s="105"/>
      <c r="EE473" s="105"/>
      <c r="EF473" s="105"/>
      <c r="EG473" s="105"/>
      <c r="EH473" s="105"/>
      <c r="EI473" s="105"/>
      <c r="EJ473" s="105"/>
      <c r="EK473" s="105"/>
      <c r="EL473" s="105"/>
      <c r="EM473" s="105"/>
      <c r="EN473" s="105"/>
      <c r="EO473" s="105"/>
      <c r="EP473" s="105"/>
      <c r="EQ473" s="105"/>
      <c r="ER473" s="105"/>
      <c r="ES473" s="105"/>
      <c r="ET473" s="105"/>
      <c r="EU473" s="105"/>
      <c r="EV473" s="105"/>
      <c r="EW473" s="105"/>
      <c r="EX473" s="105"/>
      <c r="EY473" s="105"/>
      <c r="EZ473" s="105"/>
      <c r="FA473" s="105"/>
      <c r="FB473" s="105"/>
      <c r="FC473" s="105"/>
      <c r="FD473" s="105"/>
      <c r="FE473" s="105"/>
      <c r="FF473" s="105"/>
      <c r="FG473" s="105"/>
      <c r="FH473" s="105"/>
      <c r="FI473" s="105"/>
      <c r="FJ473" s="105"/>
      <c r="FK473" s="105"/>
      <c r="FL473" s="105"/>
      <c r="FM473" s="105"/>
      <c r="FN473" s="105"/>
      <c r="FO473" s="105"/>
      <c r="FP473" s="105"/>
      <c r="FQ473" s="105"/>
      <c r="FR473" s="105"/>
      <c r="FS473" s="105"/>
      <c r="FT473" s="105"/>
      <c r="FU473" s="105"/>
      <c r="FV473" s="105"/>
      <c r="FW473" s="105"/>
      <c r="FX473" s="105"/>
      <c r="FY473" s="105"/>
      <c r="FZ473" s="105"/>
      <c r="GA473" s="105"/>
      <c r="GB473" s="105"/>
      <c r="GC473" s="105"/>
      <c r="GD473" s="105"/>
      <c r="GE473" s="105"/>
      <c r="GF473" s="105"/>
      <c r="GG473" s="105"/>
      <c r="GH473" s="105"/>
      <c r="GI473" s="105"/>
      <c r="GJ473" s="105"/>
      <c r="GK473" s="105"/>
      <c r="GL473" s="105"/>
      <c r="GM473" s="105"/>
      <c r="GN473" s="105"/>
      <c r="GO473" s="105"/>
      <c r="GP473" s="105"/>
      <c r="GQ473" s="105"/>
      <c r="GR473" s="105"/>
      <c r="GS473" s="105"/>
      <c r="GT473" s="105"/>
      <c r="GU473" s="105"/>
      <c r="GV473" s="105"/>
      <c r="GW473" s="105"/>
      <c r="GX473" s="105"/>
      <c r="GY473" s="105"/>
      <c r="GZ473" s="105"/>
      <c r="HA473" s="105"/>
      <c r="HB473" s="105"/>
      <c r="HC473" s="105"/>
      <c r="HD473" s="105"/>
      <c r="HE473" s="105"/>
      <c r="HF473" s="105"/>
      <c r="HG473" s="105"/>
      <c r="HH473" s="105"/>
      <c r="HI473" s="105"/>
      <c r="HJ473" s="105"/>
      <c r="HK473" s="105"/>
      <c r="HL473" s="105"/>
      <c r="HM473" s="105"/>
      <c r="HN473" s="105"/>
      <c r="HO473" s="105"/>
      <c r="HP473" s="105"/>
      <c r="HQ473" s="105"/>
      <c r="HR473" s="105"/>
      <c r="HS473" s="105"/>
      <c r="HT473" s="105"/>
      <c r="HU473" s="105"/>
      <c r="HV473" s="105"/>
      <c r="HW473" s="105"/>
      <c r="HX473" s="105"/>
      <c r="HY473" s="105"/>
      <c r="HZ473" s="105"/>
      <c r="IA473" s="105"/>
      <c r="IB473" s="105"/>
      <c r="IC473" s="105"/>
      <c r="ID473" s="105"/>
      <c r="IE473" s="105"/>
      <c r="IF473" s="105"/>
      <c r="IG473" s="105"/>
      <c r="IH473" s="105"/>
      <c r="II473" s="105"/>
      <c r="IJ473" s="105"/>
      <c r="IK473" s="105"/>
      <c r="IL473" s="105"/>
      <c r="IM473" s="105"/>
      <c r="IN473" s="105"/>
      <c r="IO473" s="105"/>
      <c r="IP473" s="105"/>
      <c r="IQ473" s="105"/>
      <c r="IR473" s="105"/>
      <c r="IS473" s="105"/>
    </row>
    <row r="474" spans="1:253">
      <c r="A474" s="116"/>
      <c r="B474" s="105"/>
      <c r="C474" s="116"/>
      <c r="D474" s="116"/>
      <c r="E474" s="116"/>
      <c r="F474" s="116"/>
      <c r="G474" s="116"/>
      <c r="H474" s="116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05"/>
      <c r="BF474" s="105"/>
      <c r="BG474" s="105"/>
      <c r="BH474" s="105"/>
      <c r="BI474" s="105"/>
      <c r="BJ474" s="105"/>
      <c r="BK474" s="105"/>
      <c r="BL474" s="105"/>
      <c r="BM474" s="105"/>
      <c r="BN474" s="105"/>
      <c r="BO474" s="105"/>
      <c r="BP474" s="105"/>
      <c r="BQ474" s="105"/>
      <c r="BR474" s="105"/>
      <c r="BS474" s="105"/>
      <c r="BT474" s="105"/>
      <c r="BU474" s="105"/>
      <c r="BV474" s="105"/>
      <c r="BW474" s="105"/>
      <c r="BX474" s="105"/>
      <c r="BY474" s="105"/>
      <c r="BZ474" s="105"/>
      <c r="CA474" s="105"/>
      <c r="CB474" s="105"/>
      <c r="CC474" s="105"/>
      <c r="CD474" s="105"/>
      <c r="CE474" s="105"/>
      <c r="CF474" s="105"/>
      <c r="CG474" s="105"/>
      <c r="CH474" s="105"/>
      <c r="CI474" s="105"/>
      <c r="CJ474" s="105"/>
      <c r="CK474" s="105"/>
      <c r="CL474" s="105"/>
      <c r="CM474" s="105"/>
      <c r="CN474" s="105"/>
      <c r="CO474" s="105"/>
      <c r="CP474" s="105"/>
      <c r="CQ474" s="105"/>
      <c r="CR474" s="105"/>
      <c r="CS474" s="105"/>
      <c r="CT474" s="105"/>
      <c r="CU474" s="105"/>
      <c r="CV474" s="105"/>
      <c r="CW474" s="105"/>
      <c r="CX474" s="105"/>
      <c r="CY474" s="105"/>
      <c r="CZ474" s="105"/>
      <c r="DA474" s="105"/>
      <c r="DB474" s="105"/>
      <c r="DC474" s="105"/>
      <c r="DD474" s="105"/>
      <c r="DE474" s="105"/>
      <c r="DF474" s="105"/>
      <c r="DG474" s="105"/>
      <c r="DH474" s="105"/>
      <c r="DI474" s="105"/>
      <c r="DJ474" s="105"/>
      <c r="DK474" s="105"/>
      <c r="DL474" s="105"/>
      <c r="DM474" s="105"/>
      <c r="DN474" s="105"/>
      <c r="DO474" s="105"/>
      <c r="DP474" s="105"/>
      <c r="DQ474" s="105"/>
      <c r="DR474" s="105"/>
      <c r="DS474" s="105"/>
      <c r="DT474" s="105"/>
      <c r="DU474" s="105"/>
      <c r="DV474" s="105"/>
      <c r="DW474" s="105"/>
      <c r="DX474" s="105"/>
      <c r="DY474" s="105"/>
      <c r="DZ474" s="105"/>
      <c r="EA474" s="105"/>
      <c r="EB474" s="105"/>
      <c r="EC474" s="105"/>
      <c r="ED474" s="105"/>
      <c r="EE474" s="105"/>
      <c r="EF474" s="105"/>
      <c r="EG474" s="105"/>
      <c r="EH474" s="105"/>
      <c r="EI474" s="105"/>
      <c r="EJ474" s="105"/>
      <c r="EK474" s="105"/>
      <c r="EL474" s="105"/>
      <c r="EM474" s="105"/>
      <c r="EN474" s="105"/>
      <c r="EO474" s="105"/>
      <c r="EP474" s="105"/>
      <c r="EQ474" s="105"/>
      <c r="ER474" s="105"/>
      <c r="ES474" s="105"/>
      <c r="ET474" s="105"/>
      <c r="EU474" s="105"/>
      <c r="EV474" s="105"/>
      <c r="EW474" s="105"/>
      <c r="EX474" s="105"/>
      <c r="EY474" s="105"/>
      <c r="EZ474" s="105"/>
      <c r="FA474" s="105"/>
      <c r="FB474" s="105"/>
      <c r="FC474" s="105"/>
      <c r="FD474" s="105"/>
      <c r="FE474" s="105"/>
      <c r="FF474" s="105"/>
      <c r="FG474" s="105"/>
      <c r="FH474" s="105"/>
      <c r="FI474" s="105"/>
      <c r="FJ474" s="105"/>
      <c r="FK474" s="105"/>
      <c r="FL474" s="105"/>
      <c r="FM474" s="105"/>
      <c r="FN474" s="105"/>
      <c r="FO474" s="105"/>
      <c r="FP474" s="105"/>
      <c r="FQ474" s="105"/>
      <c r="FR474" s="105"/>
      <c r="FS474" s="105"/>
      <c r="FT474" s="105"/>
      <c r="FU474" s="105"/>
      <c r="FV474" s="105"/>
      <c r="FW474" s="105"/>
      <c r="FX474" s="105"/>
      <c r="FY474" s="105"/>
      <c r="FZ474" s="105"/>
      <c r="GA474" s="105"/>
      <c r="GB474" s="105"/>
      <c r="GC474" s="105"/>
      <c r="GD474" s="105"/>
      <c r="GE474" s="105"/>
      <c r="GF474" s="105"/>
      <c r="GG474" s="105"/>
      <c r="GH474" s="105"/>
      <c r="GI474" s="105"/>
      <c r="GJ474" s="105"/>
      <c r="GK474" s="105"/>
      <c r="GL474" s="105"/>
      <c r="GM474" s="105"/>
      <c r="GN474" s="105"/>
      <c r="GO474" s="105"/>
      <c r="GP474" s="105"/>
      <c r="GQ474" s="105"/>
      <c r="GR474" s="105"/>
      <c r="GS474" s="105"/>
      <c r="GT474" s="105"/>
      <c r="GU474" s="105"/>
      <c r="GV474" s="105"/>
      <c r="GW474" s="105"/>
      <c r="GX474" s="105"/>
      <c r="GY474" s="105"/>
      <c r="GZ474" s="105"/>
      <c r="HA474" s="105"/>
      <c r="HB474" s="105"/>
      <c r="HC474" s="105"/>
      <c r="HD474" s="105"/>
      <c r="HE474" s="105"/>
      <c r="HF474" s="105"/>
      <c r="HG474" s="105"/>
      <c r="HH474" s="105"/>
      <c r="HI474" s="105"/>
      <c r="HJ474" s="105"/>
      <c r="HK474" s="105"/>
      <c r="HL474" s="105"/>
      <c r="HM474" s="105"/>
      <c r="HN474" s="105"/>
      <c r="HO474" s="105"/>
      <c r="HP474" s="105"/>
      <c r="HQ474" s="105"/>
      <c r="HR474" s="105"/>
      <c r="HS474" s="105"/>
      <c r="HT474" s="105"/>
      <c r="HU474" s="105"/>
      <c r="HV474" s="105"/>
      <c r="HW474" s="105"/>
      <c r="HX474" s="105"/>
      <c r="HY474" s="105"/>
      <c r="HZ474" s="105"/>
      <c r="IA474" s="105"/>
      <c r="IB474" s="105"/>
      <c r="IC474" s="105"/>
      <c r="ID474" s="105"/>
      <c r="IE474" s="105"/>
      <c r="IF474" s="105"/>
      <c r="IG474" s="105"/>
      <c r="IH474" s="105"/>
      <c r="II474" s="105"/>
      <c r="IJ474" s="105"/>
      <c r="IK474" s="105"/>
      <c r="IL474" s="105"/>
      <c r="IM474" s="105"/>
      <c r="IN474" s="105"/>
      <c r="IO474" s="105"/>
      <c r="IP474" s="105"/>
      <c r="IQ474" s="105"/>
      <c r="IR474" s="105"/>
      <c r="IS474" s="105"/>
    </row>
    <row r="475" spans="1:253">
      <c r="A475" s="116"/>
      <c r="B475" s="105"/>
      <c r="C475" s="116"/>
      <c r="D475" s="116"/>
      <c r="E475" s="116"/>
      <c r="F475" s="116"/>
      <c r="G475" s="116"/>
      <c r="H475" s="116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05"/>
      <c r="BL475" s="105"/>
      <c r="BM475" s="105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5"/>
      <c r="BY475" s="105"/>
      <c r="BZ475" s="105"/>
      <c r="CA475" s="105"/>
      <c r="CB475" s="105"/>
      <c r="CC475" s="105"/>
      <c r="CD475" s="105"/>
      <c r="CE475" s="105"/>
      <c r="CF475" s="105"/>
      <c r="CG475" s="105"/>
      <c r="CH475" s="105"/>
      <c r="CI475" s="105"/>
      <c r="CJ475" s="105"/>
      <c r="CK475" s="105"/>
      <c r="CL475" s="105"/>
      <c r="CM475" s="105"/>
      <c r="CN475" s="105"/>
      <c r="CO475" s="105"/>
      <c r="CP475" s="105"/>
      <c r="CQ475" s="105"/>
      <c r="CR475" s="105"/>
      <c r="CS475" s="105"/>
      <c r="CT475" s="105"/>
      <c r="CU475" s="105"/>
      <c r="CV475" s="105"/>
      <c r="CW475" s="105"/>
      <c r="CX475" s="105"/>
      <c r="CY475" s="105"/>
      <c r="CZ475" s="105"/>
      <c r="DA475" s="105"/>
      <c r="DB475" s="105"/>
      <c r="DC475" s="105"/>
      <c r="DD475" s="105"/>
      <c r="DE475" s="105"/>
      <c r="DF475" s="105"/>
      <c r="DG475" s="105"/>
      <c r="DH475" s="105"/>
      <c r="DI475" s="105"/>
      <c r="DJ475" s="105"/>
      <c r="DK475" s="105"/>
      <c r="DL475" s="105"/>
      <c r="DM475" s="105"/>
      <c r="DN475" s="105"/>
      <c r="DO475" s="105"/>
      <c r="DP475" s="105"/>
      <c r="DQ475" s="105"/>
      <c r="DR475" s="105"/>
      <c r="DS475" s="105"/>
      <c r="DT475" s="105"/>
      <c r="DU475" s="105"/>
      <c r="DV475" s="105"/>
      <c r="DW475" s="105"/>
      <c r="DX475" s="105"/>
      <c r="DY475" s="105"/>
      <c r="DZ475" s="105"/>
      <c r="EA475" s="105"/>
      <c r="EB475" s="105"/>
      <c r="EC475" s="105"/>
      <c r="ED475" s="105"/>
      <c r="EE475" s="105"/>
      <c r="EF475" s="105"/>
      <c r="EG475" s="105"/>
      <c r="EH475" s="105"/>
      <c r="EI475" s="105"/>
      <c r="EJ475" s="105"/>
      <c r="EK475" s="105"/>
      <c r="EL475" s="105"/>
      <c r="EM475" s="105"/>
      <c r="EN475" s="105"/>
      <c r="EO475" s="105"/>
      <c r="EP475" s="105"/>
      <c r="EQ475" s="105"/>
      <c r="ER475" s="105"/>
      <c r="ES475" s="105"/>
      <c r="ET475" s="105"/>
      <c r="EU475" s="105"/>
      <c r="EV475" s="105"/>
      <c r="EW475" s="105"/>
      <c r="EX475" s="105"/>
      <c r="EY475" s="105"/>
      <c r="EZ475" s="105"/>
      <c r="FA475" s="105"/>
      <c r="FB475" s="105"/>
      <c r="FC475" s="105"/>
      <c r="FD475" s="105"/>
      <c r="FE475" s="105"/>
      <c r="FF475" s="105"/>
      <c r="FG475" s="105"/>
      <c r="FH475" s="105"/>
      <c r="FI475" s="105"/>
      <c r="FJ475" s="105"/>
      <c r="FK475" s="105"/>
      <c r="FL475" s="105"/>
      <c r="FM475" s="105"/>
      <c r="FN475" s="105"/>
      <c r="FO475" s="105"/>
      <c r="FP475" s="105"/>
      <c r="FQ475" s="105"/>
      <c r="FR475" s="105"/>
      <c r="FS475" s="105"/>
      <c r="FT475" s="105"/>
      <c r="FU475" s="105"/>
      <c r="FV475" s="105"/>
      <c r="FW475" s="105"/>
      <c r="FX475" s="105"/>
      <c r="FY475" s="105"/>
      <c r="FZ475" s="105"/>
      <c r="GA475" s="105"/>
      <c r="GB475" s="105"/>
      <c r="GC475" s="105"/>
      <c r="GD475" s="105"/>
      <c r="GE475" s="105"/>
      <c r="GF475" s="105"/>
      <c r="GG475" s="105"/>
      <c r="GH475" s="105"/>
      <c r="GI475" s="105"/>
      <c r="GJ475" s="105"/>
      <c r="GK475" s="105"/>
      <c r="GL475" s="105"/>
      <c r="GM475" s="105"/>
      <c r="GN475" s="105"/>
      <c r="GO475" s="105"/>
      <c r="GP475" s="105"/>
      <c r="GQ475" s="105"/>
      <c r="GR475" s="105"/>
      <c r="GS475" s="105"/>
      <c r="GT475" s="105"/>
      <c r="GU475" s="105"/>
      <c r="GV475" s="105"/>
      <c r="GW475" s="105"/>
      <c r="GX475" s="105"/>
      <c r="GY475" s="105"/>
      <c r="GZ475" s="105"/>
      <c r="HA475" s="105"/>
      <c r="HB475" s="105"/>
      <c r="HC475" s="105"/>
      <c r="HD475" s="105"/>
      <c r="HE475" s="105"/>
      <c r="HF475" s="105"/>
      <c r="HG475" s="105"/>
      <c r="HH475" s="105"/>
      <c r="HI475" s="105"/>
      <c r="HJ475" s="105"/>
      <c r="HK475" s="105"/>
      <c r="HL475" s="105"/>
      <c r="HM475" s="105"/>
      <c r="HN475" s="105"/>
      <c r="HO475" s="105"/>
      <c r="HP475" s="105"/>
      <c r="HQ475" s="105"/>
      <c r="HR475" s="105"/>
      <c r="HS475" s="105"/>
      <c r="HT475" s="105"/>
      <c r="HU475" s="105"/>
      <c r="HV475" s="105"/>
      <c r="HW475" s="105"/>
      <c r="HX475" s="105"/>
      <c r="HY475" s="105"/>
      <c r="HZ475" s="105"/>
      <c r="IA475" s="105"/>
      <c r="IB475" s="105"/>
      <c r="IC475" s="105"/>
      <c r="ID475" s="105"/>
      <c r="IE475" s="105"/>
      <c r="IF475" s="105"/>
      <c r="IG475" s="105"/>
      <c r="IH475" s="105"/>
      <c r="II475" s="105"/>
      <c r="IJ475" s="105"/>
      <c r="IK475" s="105"/>
      <c r="IL475" s="105"/>
      <c r="IM475" s="105"/>
      <c r="IN475" s="105"/>
      <c r="IO475" s="105"/>
      <c r="IP475" s="105"/>
      <c r="IQ475" s="105"/>
      <c r="IR475" s="105"/>
      <c r="IS475" s="105"/>
    </row>
    <row r="476" spans="1:253">
      <c r="A476" s="116"/>
      <c r="B476" s="105"/>
      <c r="C476" s="116"/>
      <c r="D476" s="116"/>
      <c r="E476" s="116"/>
      <c r="F476" s="116"/>
      <c r="G476" s="116"/>
      <c r="H476" s="116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05"/>
      <c r="BF476" s="105"/>
      <c r="BG476" s="105"/>
      <c r="BH476" s="105"/>
      <c r="BI476" s="105"/>
      <c r="BJ476" s="105"/>
      <c r="BK476" s="105"/>
      <c r="BL476" s="105"/>
      <c r="BM476" s="105"/>
      <c r="BN476" s="105"/>
      <c r="BO476" s="105"/>
      <c r="BP476" s="105"/>
      <c r="BQ476" s="105"/>
      <c r="BR476" s="105"/>
      <c r="BS476" s="105"/>
      <c r="BT476" s="105"/>
      <c r="BU476" s="105"/>
      <c r="BV476" s="105"/>
      <c r="BW476" s="105"/>
      <c r="BX476" s="105"/>
      <c r="BY476" s="105"/>
      <c r="BZ476" s="105"/>
      <c r="CA476" s="105"/>
      <c r="CB476" s="105"/>
      <c r="CC476" s="105"/>
      <c r="CD476" s="105"/>
      <c r="CE476" s="105"/>
      <c r="CF476" s="105"/>
      <c r="CG476" s="105"/>
      <c r="CH476" s="105"/>
      <c r="CI476" s="105"/>
      <c r="CJ476" s="105"/>
      <c r="CK476" s="105"/>
      <c r="CL476" s="105"/>
      <c r="CM476" s="105"/>
      <c r="CN476" s="105"/>
      <c r="CO476" s="105"/>
      <c r="CP476" s="105"/>
      <c r="CQ476" s="105"/>
      <c r="CR476" s="105"/>
      <c r="CS476" s="105"/>
      <c r="CT476" s="105"/>
      <c r="CU476" s="105"/>
      <c r="CV476" s="105"/>
      <c r="CW476" s="105"/>
      <c r="CX476" s="105"/>
      <c r="CY476" s="105"/>
      <c r="CZ476" s="105"/>
      <c r="DA476" s="105"/>
      <c r="DB476" s="105"/>
      <c r="DC476" s="105"/>
      <c r="DD476" s="105"/>
      <c r="DE476" s="105"/>
      <c r="DF476" s="105"/>
      <c r="DG476" s="105"/>
      <c r="DH476" s="105"/>
      <c r="DI476" s="105"/>
      <c r="DJ476" s="105"/>
      <c r="DK476" s="105"/>
      <c r="DL476" s="105"/>
      <c r="DM476" s="105"/>
      <c r="DN476" s="105"/>
      <c r="DO476" s="105"/>
      <c r="DP476" s="105"/>
      <c r="DQ476" s="105"/>
      <c r="DR476" s="105"/>
      <c r="DS476" s="105"/>
      <c r="DT476" s="105"/>
      <c r="DU476" s="105"/>
      <c r="DV476" s="105"/>
      <c r="DW476" s="105"/>
      <c r="DX476" s="105"/>
      <c r="DY476" s="105"/>
      <c r="DZ476" s="105"/>
      <c r="EA476" s="105"/>
      <c r="EB476" s="105"/>
      <c r="EC476" s="105"/>
      <c r="ED476" s="105"/>
      <c r="EE476" s="105"/>
      <c r="EF476" s="105"/>
      <c r="EG476" s="105"/>
      <c r="EH476" s="105"/>
      <c r="EI476" s="105"/>
      <c r="EJ476" s="105"/>
      <c r="EK476" s="105"/>
      <c r="EL476" s="105"/>
      <c r="EM476" s="105"/>
      <c r="EN476" s="105"/>
      <c r="EO476" s="105"/>
      <c r="EP476" s="105"/>
      <c r="EQ476" s="105"/>
      <c r="ER476" s="105"/>
      <c r="ES476" s="105"/>
      <c r="ET476" s="105"/>
      <c r="EU476" s="105"/>
      <c r="EV476" s="105"/>
      <c r="EW476" s="105"/>
      <c r="EX476" s="105"/>
      <c r="EY476" s="105"/>
      <c r="EZ476" s="105"/>
      <c r="FA476" s="105"/>
      <c r="FB476" s="105"/>
      <c r="FC476" s="105"/>
      <c r="FD476" s="105"/>
      <c r="FE476" s="105"/>
      <c r="FF476" s="105"/>
      <c r="FG476" s="105"/>
      <c r="FH476" s="105"/>
      <c r="FI476" s="105"/>
      <c r="FJ476" s="105"/>
      <c r="FK476" s="105"/>
      <c r="FL476" s="105"/>
      <c r="FM476" s="105"/>
      <c r="FN476" s="105"/>
      <c r="FO476" s="105"/>
      <c r="FP476" s="105"/>
      <c r="FQ476" s="105"/>
      <c r="FR476" s="105"/>
      <c r="FS476" s="105"/>
      <c r="FT476" s="105"/>
      <c r="FU476" s="105"/>
      <c r="FV476" s="105"/>
      <c r="FW476" s="105"/>
      <c r="FX476" s="105"/>
      <c r="FY476" s="105"/>
      <c r="FZ476" s="105"/>
      <c r="GA476" s="105"/>
      <c r="GB476" s="105"/>
      <c r="GC476" s="105"/>
      <c r="GD476" s="105"/>
      <c r="GE476" s="105"/>
      <c r="GF476" s="105"/>
      <c r="GG476" s="105"/>
      <c r="GH476" s="105"/>
      <c r="GI476" s="105"/>
      <c r="GJ476" s="105"/>
      <c r="GK476" s="105"/>
      <c r="GL476" s="105"/>
      <c r="GM476" s="105"/>
      <c r="GN476" s="105"/>
      <c r="GO476" s="105"/>
      <c r="GP476" s="105"/>
      <c r="GQ476" s="105"/>
      <c r="GR476" s="105"/>
      <c r="GS476" s="105"/>
      <c r="GT476" s="105"/>
      <c r="GU476" s="105"/>
      <c r="GV476" s="105"/>
      <c r="GW476" s="105"/>
      <c r="GX476" s="105"/>
      <c r="GY476" s="105"/>
      <c r="GZ476" s="105"/>
      <c r="HA476" s="105"/>
      <c r="HB476" s="105"/>
      <c r="HC476" s="105"/>
      <c r="HD476" s="105"/>
      <c r="HE476" s="105"/>
      <c r="HF476" s="105"/>
      <c r="HG476" s="105"/>
      <c r="HH476" s="105"/>
      <c r="HI476" s="105"/>
      <c r="HJ476" s="105"/>
      <c r="HK476" s="105"/>
      <c r="HL476" s="105"/>
      <c r="HM476" s="105"/>
      <c r="HN476" s="105"/>
      <c r="HO476" s="105"/>
      <c r="HP476" s="105"/>
      <c r="HQ476" s="105"/>
      <c r="HR476" s="105"/>
      <c r="HS476" s="105"/>
      <c r="HT476" s="105"/>
      <c r="HU476" s="105"/>
      <c r="HV476" s="105"/>
      <c r="HW476" s="105"/>
      <c r="HX476" s="105"/>
      <c r="HY476" s="105"/>
      <c r="HZ476" s="105"/>
      <c r="IA476" s="105"/>
      <c r="IB476" s="105"/>
      <c r="IC476" s="105"/>
      <c r="ID476" s="105"/>
      <c r="IE476" s="105"/>
      <c r="IF476" s="105"/>
      <c r="IG476" s="105"/>
      <c r="IH476" s="105"/>
      <c r="II476" s="105"/>
      <c r="IJ476" s="105"/>
      <c r="IK476" s="105"/>
      <c r="IL476" s="105"/>
      <c r="IM476" s="105"/>
      <c r="IN476" s="105"/>
      <c r="IO476" s="105"/>
      <c r="IP476" s="105"/>
      <c r="IQ476" s="105"/>
      <c r="IR476" s="105"/>
      <c r="IS476" s="105"/>
    </row>
    <row r="477" spans="1:253">
      <c r="A477" s="116"/>
      <c r="B477" s="105"/>
      <c r="C477" s="116"/>
      <c r="D477" s="116"/>
      <c r="E477" s="116"/>
      <c r="F477" s="116"/>
      <c r="G477" s="116"/>
      <c r="H477" s="116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  <c r="BA477" s="105"/>
      <c r="BB477" s="105"/>
      <c r="BC477" s="105"/>
      <c r="BD477" s="105"/>
      <c r="BE477" s="105"/>
      <c r="BF477" s="105"/>
      <c r="BG477" s="105"/>
      <c r="BH477" s="105"/>
      <c r="BI477" s="105"/>
      <c r="BJ477" s="105"/>
      <c r="BK477" s="105"/>
      <c r="BL477" s="105"/>
      <c r="BM477" s="105"/>
      <c r="BN477" s="105"/>
      <c r="BO477" s="105"/>
      <c r="BP477" s="105"/>
      <c r="BQ477" s="105"/>
      <c r="BR477" s="105"/>
      <c r="BS477" s="105"/>
      <c r="BT477" s="105"/>
      <c r="BU477" s="105"/>
      <c r="BV477" s="105"/>
      <c r="BW477" s="105"/>
      <c r="BX477" s="105"/>
      <c r="BY477" s="105"/>
      <c r="BZ477" s="105"/>
      <c r="CA477" s="105"/>
      <c r="CB477" s="105"/>
      <c r="CC477" s="105"/>
      <c r="CD477" s="105"/>
      <c r="CE477" s="105"/>
      <c r="CF477" s="105"/>
      <c r="CG477" s="105"/>
      <c r="CH477" s="105"/>
      <c r="CI477" s="105"/>
      <c r="CJ477" s="105"/>
      <c r="CK477" s="105"/>
      <c r="CL477" s="105"/>
      <c r="CM477" s="105"/>
      <c r="CN477" s="105"/>
      <c r="CO477" s="105"/>
      <c r="CP477" s="105"/>
      <c r="CQ477" s="105"/>
      <c r="CR477" s="105"/>
      <c r="CS477" s="105"/>
      <c r="CT477" s="105"/>
      <c r="CU477" s="105"/>
      <c r="CV477" s="105"/>
      <c r="CW477" s="105"/>
      <c r="CX477" s="105"/>
      <c r="CY477" s="105"/>
      <c r="CZ477" s="105"/>
      <c r="DA477" s="105"/>
      <c r="DB477" s="105"/>
      <c r="DC477" s="105"/>
      <c r="DD477" s="105"/>
      <c r="DE477" s="105"/>
      <c r="DF477" s="105"/>
      <c r="DG477" s="105"/>
      <c r="DH477" s="105"/>
      <c r="DI477" s="105"/>
      <c r="DJ477" s="105"/>
      <c r="DK477" s="105"/>
      <c r="DL477" s="105"/>
      <c r="DM477" s="105"/>
      <c r="DN477" s="105"/>
      <c r="DO477" s="105"/>
      <c r="DP477" s="105"/>
      <c r="DQ477" s="105"/>
      <c r="DR477" s="105"/>
      <c r="DS477" s="105"/>
      <c r="DT477" s="105"/>
      <c r="DU477" s="105"/>
      <c r="DV477" s="105"/>
      <c r="DW477" s="105"/>
      <c r="DX477" s="105"/>
      <c r="DY477" s="105"/>
      <c r="DZ477" s="105"/>
      <c r="EA477" s="105"/>
      <c r="EB477" s="105"/>
      <c r="EC477" s="105"/>
      <c r="ED477" s="105"/>
      <c r="EE477" s="105"/>
      <c r="EF477" s="105"/>
      <c r="EG477" s="105"/>
      <c r="EH477" s="105"/>
      <c r="EI477" s="105"/>
      <c r="EJ477" s="105"/>
      <c r="EK477" s="105"/>
      <c r="EL477" s="105"/>
      <c r="EM477" s="105"/>
      <c r="EN477" s="105"/>
      <c r="EO477" s="105"/>
      <c r="EP477" s="105"/>
      <c r="EQ477" s="105"/>
      <c r="ER477" s="105"/>
      <c r="ES477" s="105"/>
      <c r="ET477" s="105"/>
      <c r="EU477" s="105"/>
      <c r="EV477" s="105"/>
      <c r="EW477" s="105"/>
      <c r="EX477" s="105"/>
      <c r="EY477" s="105"/>
      <c r="EZ477" s="105"/>
      <c r="FA477" s="105"/>
      <c r="FB477" s="105"/>
      <c r="FC477" s="105"/>
      <c r="FD477" s="105"/>
      <c r="FE477" s="105"/>
      <c r="FF477" s="105"/>
      <c r="FG477" s="105"/>
      <c r="FH477" s="105"/>
      <c r="FI477" s="105"/>
      <c r="FJ477" s="105"/>
      <c r="FK477" s="105"/>
      <c r="FL477" s="105"/>
      <c r="FM477" s="105"/>
      <c r="FN477" s="105"/>
      <c r="FO477" s="105"/>
      <c r="FP477" s="105"/>
      <c r="FQ477" s="105"/>
      <c r="FR477" s="105"/>
      <c r="FS477" s="105"/>
      <c r="FT477" s="105"/>
      <c r="FU477" s="105"/>
      <c r="FV477" s="105"/>
      <c r="FW477" s="105"/>
      <c r="FX477" s="105"/>
      <c r="FY477" s="105"/>
      <c r="FZ477" s="105"/>
      <c r="GA477" s="105"/>
      <c r="GB477" s="105"/>
      <c r="GC477" s="105"/>
      <c r="GD477" s="105"/>
      <c r="GE477" s="105"/>
      <c r="GF477" s="105"/>
      <c r="GG477" s="105"/>
      <c r="GH477" s="105"/>
      <c r="GI477" s="105"/>
      <c r="GJ477" s="105"/>
      <c r="GK477" s="105"/>
      <c r="GL477" s="105"/>
      <c r="GM477" s="105"/>
      <c r="GN477" s="105"/>
      <c r="GO477" s="105"/>
      <c r="GP477" s="105"/>
      <c r="GQ477" s="105"/>
      <c r="GR477" s="105"/>
      <c r="GS477" s="105"/>
      <c r="GT477" s="105"/>
      <c r="GU477" s="105"/>
      <c r="GV477" s="105"/>
      <c r="GW477" s="105"/>
      <c r="GX477" s="105"/>
      <c r="GY477" s="105"/>
      <c r="GZ477" s="105"/>
      <c r="HA477" s="105"/>
      <c r="HB477" s="105"/>
      <c r="HC477" s="105"/>
      <c r="HD477" s="105"/>
      <c r="HE477" s="105"/>
      <c r="HF477" s="105"/>
      <c r="HG477" s="105"/>
      <c r="HH477" s="105"/>
      <c r="HI477" s="105"/>
      <c r="HJ477" s="105"/>
      <c r="HK477" s="105"/>
      <c r="HL477" s="105"/>
      <c r="HM477" s="105"/>
      <c r="HN477" s="105"/>
      <c r="HO477" s="105"/>
      <c r="HP477" s="105"/>
      <c r="HQ477" s="105"/>
      <c r="HR477" s="105"/>
      <c r="HS477" s="105"/>
      <c r="HT477" s="105"/>
      <c r="HU477" s="105"/>
      <c r="HV477" s="105"/>
      <c r="HW477" s="105"/>
      <c r="HX477" s="105"/>
      <c r="HY477" s="105"/>
      <c r="HZ477" s="105"/>
      <c r="IA477" s="105"/>
      <c r="IB477" s="105"/>
      <c r="IC477" s="105"/>
      <c r="ID477" s="105"/>
      <c r="IE477" s="105"/>
      <c r="IF477" s="105"/>
      <c r="IG477" s="105"/>
      <c r="IH477" s="105"/>
      <c r="II477" s="105"/>
      <c r="IJ477" s="105"/>
      <c r="IK477" s="105"/>
      <c r="IL477" s="105"/>
      <c r="IM477" s="105"/>
      <c r="IN477" s="105"/>
      <c r="IO477" s="105"/>
      <c r="IP477" s="105"/>
      <c r="IQ477" s="105"/>
      <c r="IR477" s="105"/>
      <c r="IS477" s="105"/>
    </row>
    <row r="478" spans="1:253">
      <c r="A478" s="116"/>
      <c r="B478" s="105"/>
      <c r="C478" s="116"/>
      <c r="D478" s="116"/>
      <c r="E478" s="116"/>
      <c r="F478" s="116"/>
      <c r="G478" s="116"/>
      <c r="H478" s="116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05"/>
      <c r="BF478" s="105"/>
      <c r="BG478" s="105"/>
      <c r="BH478" s="105"/>
      <c r="BI478" s="105"/>
      <c r="BJ478" s="105"/>
      <c r="BK478" s="105"/>
      <c r="BL478" s="105"/>
      <c r="BM478" s="105"/>
      <c r="BN478" s="105"/>
      <c r="BO478" s="105"/>
      <c r="BP478" s="105"/>
      <c r="BQ478" s="105"/>
      <c r="BR478" s="105"/>
      <c r="BS478" s="105"/>
      <c r="BT478" s="105"/>
      <c r="BU478" s="105"/>
      <c r="BV478" s="105"/>
      <c r="BW478" s="105"/>
      <c r="BX478" s="105"/>
      <c r="BY478" s="105"/>
      <c r="BZ478" s="105"/>
      <c r="CA478" s="105"/>
      <c r="CB478" s="105"/>
      <c r="CC478" s="105"/>
      <c r="CD478" s="105"/>
      <c r="CE478" s="105"/>
      <c r="CF478" s="105"/>
      <c r="CG478" s="105"/>
      <c r="CH478" s="105"/>
      <c r="CI478" s="105"/>
      <c r="CJ478" s="105"/>
      <c r="CK478" s="105"/>
      <c r="CL478" s="105"/>
      <c r="CM478" s="105"/>
      <c r="CN478" s="105"/>
      <c r="CO478" s="105"/>
      <c r="CP478" s="105"/>
      <c r="CQ478" s="105"/>
      <c r="CR478" s="105"/>
      <c r="CS478" s="105"/>
      <c r="CT478" s="105"/>
      <c r="CU478" s="105"/>
      <c r="CV478" s="105"/>
      <c r="CW478" s="105"/>
      <c r="CX478" s="105"/>
      <c r="CY478" s="105"/>
      <c r="CZ478" s="105"/>
      <c r="DA478" s="105"/>
      <c r="DB478" s="105"/>
      <c r="DC478" s="105"/>
      <c r="DD478" s="105"/>
      <c r="DE478" s="105"/>
      <c r="DF478" s="105"/>
      <c r="DG478" s="105"/>
      <c r="DH478" s="105"/>
      <c r="DI478" s="105"/>
      <c r="DJ478" s="105"/>
      <c r="DK478" s="105"/>
      <c r="DL478" s="105"/>
      <c r="DM478" s="105"/>
      <c r="DN478" s="105"/>
      <c r="DO478" s="105"/>
      <c r="DP478" s="105"/>
      <c r="DQ478" s="105"/>
      <c r="DR478" s="105"/>
      <c r="DS478" s="105"/>
      <c r="DT478" s="105"/>
      <c r="DU478" s="105"/>
      <c r="DV478" s="105"/>
      <c r="DW478" s="105"/>
      <c r="DX478" s="105"/>
      <c r="DY478" s="105"/>
      <c r="DZ478" s="105"/>
      <c r="EA478" s="105"/>
      <c r="EB478" s="105"/>
      <c r="EC478" s="105"/>
      <c r="ED478" s="105"/>
      <c r="EE478" s="105"/>
      <c r="EF478" s="105"/>
      <c r="EG478" s="105"/>
      <c r="EH478" s="105"/>
      <c r="EI478" s="105"/>
      <c r="EJ478" s="105"/>
      <c r="EK478" s="105"/>
      <c r="EL478" s="105"/>
      <c r="EM478" s="105"/>
      <c r="EN478" s="105"/>
      <c r="EO478" s="105"/>
      <c r="EP478" s="105"/>
      <c r="EQ478" s="105"/>
      <c r="ER478" s="105"/>
      <c r="ES478" s="105"/>
      <c r="ET478" s="105"/>
      <c r="EU478" s="105"/>
      <c r="EV478" s="105"/>
      <c r="EW478" s="105"/>
      <c r="EX478" s="105"/>
      <c r="EY478" s="105"/>
      <c r="EZ478" s="105"/>
      <c r="FA478" s="105"/>
      <c r="FB478" s="105"/>
      <c r="FC478" s="105"/>
      <c r="FD478" s="105"/>
      <c r="FE478" s="105"/>
      <c r="FF478" s="105"/>
      <c r="FG478" s="105"/>
      <c r="FH478" s="105"/>
      <c r="FI478" s="105"/>
      <c r="FJ478" s="105"/>
      <c r="FK478" s="105"/>
      <c r="FL478" s="105"/>
      <c r="FM478" s="105"/>
      <c r="FN478" s="105"/>
      <c r="FO478" s="105"/>
      <c r="FP478" s="105"/>
      <c r="FQ478" s="105"/>
      <c r="FR478" s="105"/>
      <c r="FS478" s="105"/>
      <c r="FT478" s="105"/>
      <c r="FU478" s="105"/>
      <c r="FV478" s="105"/>
      <c r="FW478" s="105"/>
      <c r="FX478" s="105"/>
      <c r="FY478" s="105"/>
      <c r="FZ478" s="105"/>
      <c r="GA478" s="105"/>
      <c r="GB478" s="105"/>
      <c r="GC478" s="105"/>
      <c r="GD478" s="105"/>
      <c r="GE478" s="105"/>
      <c r="GF478" s="105"/>
      <c r="GG478" s="105"/>
      <c r="GH478" s="105"/>
      <c r="GI478" s="105"/>
      <c r="GJ478" s="105"/>
      <c r="GK478" s="105"/>
      <c r="GL478" s="105"/>
      <c r="GM478" s="105"/>
      <c r="GN478" s="105"/>
      <c r="GO478" s="105"/>
      <c r="GP478" s="105"/>
      <c r="GQ478" s="105"/>
      <c r="GR478" s="105"/>
      <c r="GS478" s="105"/>
      <c r="GT478" s="105"/>
      <c r="GU478" s="105"/>
      <c r="GV478" s="105"/>
      <c r="GW478" s="105"/>
      <c r="GX478" s="105"/>
      <c r="GY478" s="105"/>
      <c r="GZ478" s="105"/>
      <c r="HA478" s="105"/>
      <c r="HB478" s="105"/>
      <c r="HC478" s="105"/>
      <c r="HD478" s="105"/>
      <c r="HE478" s="105"/>
      <c r="HF478" s="105"/>
      <c r="HG478" s="105"/>
      <c r="HH478" s="105"/>
      <c r="HI478" s="105"/>
      <c r="HJ478" s="105"/>
      <c r="HK478" s="105"/>
      <c r="HL478" s="105"/>
      <c r="HM478" s="105"/>
      <c r="HN478" s="105"/>
      <c r="HO478" s="105"/>
      <c r="HP478" s="105"/>
      <c r="HQ478" s="105"/>
      <c r="HR478" s="105"/>
      <c r="HS478" s="105"/>
      <c r="HT478" s="105"/>
      <c r="HU478" s="105"/>
      <c r="HV478" s="105"/>
      <c r="HW478" s="105"/>
      <c r="HX478" s="105"/>
      <c r="HY478" s="105"/>
      <c r="HZ478" s="105"/>
      <c r="IA478" s="105"/>
      <c r="IB478" s="105"/>
      <c r="IC478" s="105"/>
      <c r="ID478" s="105"/>
      <c r="IE478" s="105"/>
      <c r="IF478" s="105"/>
      <c r="IG478" s="105"/>
      <c r="IH478" s="105"/>
      <c r="II478" s="105"/>
      <c r="IJ478" s="105"/>
      <c r="IK478" s="105"/>
      <c r="IL478" s="105"/>
      <c r="IM478" s="105"/>
      <c r="IN478" s="105"/>
      <c r="IO478" s="105"/>
      <c r="IP478" s="105"/>
      <c r="IQ478" s="105"/>
      <c r="IR478" s="105"/>
      <c r="IS478" s="105"/>
    </row>
    <row r="479" spans="1:253">
      <c r="A479" s="116"/>
      <c r="B479" s="105"/>
      <c r="C479" s="116"/>
      <c r="D479" s="116"/>
      <c r="E479" s="116"/>
      <c r="F479" s="116"/>
      <c r="G479" s="116"/>
      <c r="H479" s="116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  <c r="AU479" s="105"/>
      <c r="AV479" s="105"/>
      <c r="AW479" s="105"/>
      <c r="AX479" s="105"/>
      <c r="AY479" s="105"/>
      <c r="AZ479" s="105"/>
      <c r="BA479" s="105"/>
      <c r="BB479" s="105"/>
      <c r="BC479" s="105"/>
      <c r="BD479" s="105"/>
      <c r="BE479" s="105"/>
      <c r="BF479" s="105"/>
      <c r="BG479" s="105"/>
      <c r="BH479" s="105"/>
      <c r="BI479" s="105"/>
      <c r="BJ479" s="105"/>
      <c r="BK479" s="105"/>
      <c r="BL479" s="105"/>
      <c r="BM479" s="105"/>
      <c r="BN479" s="105"/>
      <c r="BO479" s="105"/>
      <c r="BP479" s="105"/>
      <c r="BQ479" s="105"/>
      <c r="BR479" s="105"/>
      <c r="BS479" s="105"/>
      <c r="BT479" s="105"/>
      <c r="BU479" s="105"/>
      <c r="BV479" s="105"/>
      <c r="BW479" s="105"/>
      <c r="BX479" s="105"/>
      <c r="BY479" s="105"/>
      <c r="BZ479" s="105"/>
      <c r="CA479" s="105"/>
      <c r="CB479" s="105"/>
      <c r="CC479" s="105"/>
      <c r="CD479" s="105"/>
      <c r="CE479" s="105"/>
      <c r="CF479" s="105"/>
      <c r="CG479" s="105"/>
      <c r="CH479" s="105"/>
      <c r="CI479" s="105"/>
      <c r="CJ479" s="105"/>
      <c r="CK479" s="105"/>
      <c r="CL479" s="105"/>
      <c r="CM479" s="105"/>
      <c r="CN479" s="105"/>
      <c r="CO479" s="105"/>
      <c r="CP479" s="105"/>
      <c r="CQ479" s="105"/>
      <c r="CR479" s="105"/>
      <c r="CS479" s="105"/>
      <c r="CT479" s="105"/>
      <c r="CU479" s="105"/>
      <c r="CV479" s="105"/>
      <c r="CW479" s="105"/>
      <c r="CX479" s="105"/>
      <c r="CY479" s="105"/>
      <c r="CZ479" s="105"/>
      <c r="DA479" s="105"/>
      <c r="DB479" s="105"/>
      <c r="DC479" s="105"/>
      <c r="DD479" s="105"/>
      <c r="DE479" s="105"/>
      <c r="DF479" s="105"/>
      <c r="DG479" s="105"/>
      <c r="DH479" s="105"/>
      <c r="DI479" s="105"/>
      <c r="DJ479" s="105"/>
      <c r="DK479" s="105"/>
      <c r="DL479" s="105"/>
      <c r="DM479" s="105"/>
      <c r="DN479" s="105"/>
      <c r="DO479" s="105"/>
      <c r="DP479" s="105"/>
      <c r="DQ479" s="105"/>
      <c r="DR479" s="105"/>
      <c r="DS479" s="105"/>
      <c r="DT479" s="105"/>
      <c r="DU479" s="105"/>
      <c r="DV479" s="105"/>
      <c r="DW479" s="105"/>
      <c r="DX479" s="105"/>
      <c r="DY479" s="105"/>
      <c r="DZ479" s="105"/>
      <c r="EA479" s="105"/>
      <c r="EB479" s="105"/>
      <c r="EC479" s="105"/>
      <c r="ED479" s="105"/>
      <c r="EE479" s="105"/>
      <c r="EF479" s="105"/>
      <c r="EG479" s="105"/>
      <c r="EH479" s="105"/>
      <c r="EI479" s="105"/>
      <c r="EJ479" s="105"/>
      <c r="EK479" s="105"/>
      <c r="EL479" s="105"/>
      <c r="EM479" s="105"/>
      <c r="EN479" s="105"/>
      <c r="EO479" s="105"/>
      <c r="EP479" s="105"/>
      <c r="EQ479" s="105"/>
      <c r="ER479" s="105"/>
      <c r="ES479" s="105"/>
      <c r="ET479" s="105"/>
      <c r="EU479" s="105"/>
      <c r="EV479" s="105"/>
      <c r="EW479" s="105"/>
      <c r="EX479" s="105"/>
      <c r="EY479" s="105"/>
      <c r="EZ479" s="105"/>
      <c r="FA479" s="105"/>
      <c r="FB479" s="105"/>
      <c r="FC479" s="105"/>
      <c r="FD479" s="105"/>
      <c r="FE479" s="105"/>
      <c r="FF479" s="105"/>
      <c r="FG479" s="105"/>
      <c r="FH479" s="105"/>
      <c r="FI479" s="105"/>
      <c r="FJ479" s="105"/>
      <c r="FK479" s="105"/>
      <c r="FL479" s="105"/>
      <c r="FM479" s="105"/>
      <c r="FN479" s="105"/>
      <c r="FO479" s="105"/>
      <c r="FP479" s="105"/>
      <c r="FQ479" s="105"/>
      <c r="FR479" s="105"/>
      <c r="FS479" s="105"/>
      <c r="FT479" s="105"/>
      <c r="FU479" s="105"/>
      <c r="FV479" s="105"/>
      <c r="FW479" s="105"/>
      <c r="FX479" s="105"/>
      <c r="FY479" s="105"/>
      <c r="FZ479" s="105"/>
      <c r="GA479" s="105"/>
      <c r="GB479" s="105"/>
      <c r="GC479" s="105"/>
      <c r="GD479" s="105"/>
      <c r="GE479" s="105"/>
      <c r="GF479" s="105"/>
      <c r="GG479" s="105"/>
      <c r="GH479" s="105"/>
      <c r="GI479" s="105"/>
      <c r="GJ479" s="105"/>
      <c r="GK479" s="105"/>
      <c r="GL479" s="105"/>
      <c r="GM479" s="105"/>
      <c r="GN479" s="105"/>
      <c r="GO479" s="105"/>
      <c r="GP479" s="105"/>
      <c r="GQ479" s="105"/>
      <c r="GR479" s="105"/>
      <c r="GS479" s="105"/>
      <c r="GT479" s="105"/>
      <c r="GU479" s="105"/>
      <c r="GV479" s="105"/>
      <c r="GW479" s="105"/>
      <c r="GX479" s="105"/>
      <c r="GY479" s="105"/>
      <c r="GZ479" s="105"/>
      <c r="HA479" s="105"/>
      <c r="HB479" s="105"/>
      <c r="HC479" s="105"/>
      <c r="HD479" s="105"/>
      <c r="HE479" s="105"/>
      <c r="HF479" s="105"/>
      <c r="HG479" s="105"/>
      <c r="HH479" s="105"/>
      <c r="HI479" s="105"/>
      <c r="HJ479" s="105"/>
      <c r="HK479" s="105"/>
      <c r="HL479" s="105"/>
      <c r="HM479" s="105"/>
      <c r="HN479" s="105"/>
      <c r="HO479" s="105"/>
      <c r="HP479" s="105"/>
      <c r="HQ479" s="105"/>
      <c r="HR479" s="105"/>
      <c r="HS479" s="105"/>
      <c r="HT479" s="105"/>
      <c r="HU479" s="105"/>
      <c r="HV479" s="105"/>
      <c r="HW479" s="105"/>
      <c r="HX479" s="105"/>
      <c r="HY479" s="105"/>
      <c r="HZ479" s="105"/>
      <c r="IA479" s="105"/>
      <c r="IB479" s="105"/>
      <c r="IC479" s="105"/>
      <c r="ID479" s="105"/>
      <c r="IE479" s="105"/>
      <c r="IF479" s="105"/>
      <c r="IG479" s="105"/>
      <c r="IH479" s="105"/>
      <c r="II479" s="105"/>
      <c r="IJ479" s="105"/>
      <c r="IK479" s="105"/>
      <c r="IL479" s="105"/>
      <c r="IM479" s="105"/>
      <c r="IN479" s="105"/>
      <c r="IO479" s="105"/>
      <c r="IP479" s="105"/>
      <c r="IQ479" s="105"/>
      <c r="IR479" s="105"/>
      <c r="IS479" s="105"/>
    </row>
    <row r="480" spans="1:253">
      <c r="A480" s="116"/>
      <c r="B480" s="105"/>
      <c r="C480" s="116"/>
      <c r="D480" s="116"/>
      <c r="E480" s="116"/>
      <c r="F480" s="116"/>
      <c r="G480" s="116"/>
      <c r="H480" s="116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05"/>
      <c r="BF480" s="105"/>
      <c r="BG480" s="105"/>
      <c r="BH480" s="105"/>
      <c r="BI480" s="105"/>
      <c r="BJ480" s="105"/>
      <c r="BK480" s="105"/>
      <c r="BL480" s="105"/>
      <c r="BM480" s="105"/>
      <c r="BN480" s="105"/>
      <c r="BO480" s="105"/>
      <c r="BP480" s="105"/>
      <c r="BQ480" s="105"/>
      <c r="BR480" s="105"/>
      <c r="BS480" s="105"/>
      <c r="BT480" s="105"/>
      <c r="BU480" s="105"/>
      <c r="BV480" s="105"/>
      <c r="BW480" s="105"/>
      <c r="BX480" s="105"/>
      <c r="BY480" s="105"/>
      <c r="BZ480" s="105"/>
      <c r="CA480" s="105"/>
      <c r="CB480" s="105"/>
      <c r="CC480" s="105"/>
      <c r="CD480" s="105"/>
      <c r="CE480" s="105"/>
      <c r="CF480" s="105"/>
      <c r="CG480" s="105"/>
      <c r="CH480" s="105"/>
      <c r="CI480" s="105"/>
      <c r="CJ480" s="105"/>
      <c r="CK480" s="105"/>
      <c r="CL480" s="105"/>
      <c r="CM480" s="105"/>
      <c r="CN480" s="105"/>
      <c r="CO480" s="105"/>
      <c r="CP480" s="105"/>
      <c r="CQ480" s="105"/>
      <c r="CR480" s="105"/>
      <c r="CS480" s="105"/>
      <c r="CT480" s="105"/>
      <c r="CU480" s="105"/>
      <c r="CV480" s="105"/>
      <c r="CW480" s="105"/>
      <c r="CX480" s="105"/>
      <c r="CY480" s="105"/>
      <c r="CZ480" s="105"/>
      <c r="DA480" s="105"/>
      <c r="DB480" s="105"/>
      <c r="DC480" s="105"/>
      <c r="DD480" s="105"/>
      <c r="DE480" s="105"/>
      <c r="DF480" s="105"/>
      <c r="DG480" s="105"/>
      <c r="DH480" s="105"/>
      <c r="DI480" s="105"/>
      <c r="DJ480" s="105"/>
      <c r="DK480" s="105"/>
      <c r="DL480" s="105"/>
      <c r="DM480" s="105"/>
      <c r="DN480" s="105"/>
      <c r="DO480" s="105"/>
      <c r="DP480" s="105"/>
      <c r="DQ480" s="105"/>
      <c r="DR480" s="105"/>
      <c r="DS480" s="105"/>
      <c r="DT480" s="105"/>
      <c r="DU480" s="105"/>
      <c r="DV480" s="105"/>
      <c r="DW480" s="105"/>
      <c r="DX480" s="105"/>
      <c r="DY480" s="105"/>
      <c r="DZ480" s="105"/>
      <c r="EA480" s="105"/>
      <c r="EB480" s="105"/>
      <c r="EC480" s="105"/>
      <c r="ED480" s="105"/>
      <c r="EE480" s="105"/>
      <c r="EF480" s="105"/>
      <c r="EG480" s="105"/>
      <c r="EH480" s="105"/>
      <c r="EI480" s="105"/>
      <c r="EJ480" s="105"/>
      <c r="EK480" s="105"/>
      <c r="EL480" s="105"/>
      <c r="EM480" s="105"/>
      <c r="EN480" s="105"/>
      <c r="EO480" s="105"/>
      <c r="EP480" s="105"/>
      <c r="EQ480" s="105"/>
      <c r="ER480" s="105"/>
      <c r="ES480" s="105"/>
      <c r="ET480" s="105"/>
      <c r="EU480" s="105"/>
      <c r="EV480" s="105"/>
      <c r="EW480" s="105"/>
      <c r="EX480" s="105"/>
      <c r="EY480" s="105"/>
      <c r="EZ480" s="105"/>
      <c r="FA480" s="105"/>
      <c r="FB480" s="105"/>
      <c r="FC480" s="105"/>
      <c r="FD480" s="105"/>
      <c r="FE480" s="105"/>
      <c r="FF480" s="105"/>
      <c r="FG480" s="105"/>
      <c r="FH480" s="105"/>
      <c r="FI480" s="105"/>
      <c r="FJ480" s="105"/>
      <c r="FK480" s="105"/>
      <c r="FL480" s="105"/>
      <c r="FM480" s="105"/>
      <c r="FN480" s="105"/>
      <c r="FO480" s="105"/>
      <c r="FP480" s="105"/>
      <c r="FQ480" s="105"/>
      <c r="FR480" s="105"/>
      <c r="FS480" s="105"/>
      <c r="FT480" s="105"/>
      <c r="FU480" s="105"/>
      <c r="FV480" s="105"/>
      <c r="FW480" s="105"/>
      <c r="FX480" s="105"/>
      <c r="FY480" s="105"/>
      <c r="FZ480" s="105"/>
      <c r="GA480" s="105"/>
      <c r="GB480" s="105"/>
      <c r="GC480" s="105"/>
      <c r="GD480" s="105"/>
      <c r="GE480" s="105"/>
      <c r="GF480" s="105"/>
      <c r="GG480" s="105"/>
      <c r="GH480" s="105"/>
      <c r="GI480" s="105"/>
      <c r="GJ480" s="105"/>
      <c r="GK480" s="105"/>
      <c r="GL480" s="105"/>
      <c r="GM480" s="105"/>
      <c r="GN480" s="105"/>
      <c r="GO480" s="105"/>
      <c r="GP480" s="105"/>
      <c r="GQ480" s="105"/>
      <c r="GR480" s="105"/>
      <c r="GS480" s="105"/>
      <c r="GT480" s="105"/>
      <c r="GU480" s="105"/>
      <c r="GV480" s="105"/>
      <c r="GW480" s="105"/>
      <c r="GX480" s="105"/>
      <c r="GY480" s="105"/>
      <c r="GZ480" s="105"/>
      <c r="HA480" s="105"/>
      <c r="HB480" s="105"/>
      <c r="HC480" s="105"/>
      <c r="HD480" s="105"/>
      <c r="HE480" s="105"/>
      <c r="HF480" s="105"/>
      <c r="HG480" s="105"/>
      <c r="HH480" s="105"/>
      <c r="HI480" s="105"/>
      <c r="HJ480" s="105"/>
      <c r="HK480" s="105"/>
      <c r="HL480" s="105"/>
      <c r="HM480" s="105"/>
      <c r="HN480" s="105"/>
      <c r="HO480" s="105"/>
      <c r="HP480" s="105"/>
      <c r="HQ480" s="105"/>
      <c r="HR480" s="105"/>
      <c r="HS480" s="105"/>
      <c r="HT480" s="105"/>
      <c r="HU480" s="105"/>
      <c r="HV480" s="105"/>
      <c r="HW480" s="105"/>
      <c r="HX480" s="105"/>
      <c r="HY480" s="105"/>
      <c r="HZ480" s="105"/>
      <c r="IA480" s="105"/>
      <c r="IB480" s="105"/>
      <c r="IC480" s="105"/>
      <c r="ID480" s="105"/>
      <c r="IE480" s="105"/>
      <c r="IF480" s="105"/>
      <c r="IG480" s="105"/>
      <c r="IH480" s="105"/>
      <c r="II480" s="105"/>
      <c r="IJ480" s="105"/>
      <c r="IK480" s="105"/>
      <c r="IL480" s="105"/>
      <c r="IM480" s="105"/>
      <c r="IN480" s="105"/>
      <c r="IO480" s="105"/>
      <c r="IP480" s="105"/>
      <c r="IQ480" s="105"/>
      <c r="IR480" s="105"/>
      <c r="IS480" s="105"/>
    </row>
    <row r="481" spans="1:253">
      <c r="A481" s="116"/>
      <c r="B481" s="105"/>
      <c r="C481" s="116"/>
      <c r="D481" s="116"/>
      <c r="E481" s="116"/>
      <c r="F481" s="116"/>
      <c r="G481" s="116"/>
      <c r="H481" s="116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  <c r="BA481" s="105"/>
      <c r="BB481" s="105"/>
      <c r="BC481" s="105"/>
      <c r="BD481" s="105"/>
      <c r="BE481" s="105"/>
      <c r="BF481" s="105"/>
      <c r="BG481" s="105"/>
      <c r="BH481" s="105"/>
      <c r="BI481" s="105"/>
      <c r="BJ481" s="105"/>
      <c r="BK481" s="105"/>
      <c r="BL481" s="105"/>
      <c r="BM481" s="105"/>
      <c r="BN481" s="105"/>
      <c r="BO481" s="105"/>
      <c r="BP481" s="105"/>
      <c r="BQ481" s="105"/>
      <c r="BR481" s="105"/>
      <c r="BS481" s="105"/>
      <c r="BT481" s="105"/>
      <c r="BU481" s="105"/>
      <c r="BV481" s="105"/>
      <c r="BW481" s="105"/>
      <c r="BX481" s="105"/>
      <c r="BY481" s="105"/>
      <c r="BZ481" s="105"/>
      <c r="CA481" s="105"/>
      <c r="CB481" s="105"/>
      <c r="CC481" s="105"/>
      <c r="CD481" s="105"/>
      <c r="CE481" s="105"/>
      <c r="CF481" s="105"/>
      <c r="CG481" s="105"/>
      <c r="CH481" s="105"/>
      <c r="CI481" s="105"/>
      <c r="CJ481" s="105"/>
      <c r="CK481" s="105"/>
      <c r="CL481" s="105"/>
      <c r="CM481" s="105"/>
      <c r="CN481" s="105"/>
      <c r="CO481" s="105"/>
      <c r="CP481" s="105"/>
      <c r="CQ481" s="105"/>
      <c r="CR481" s="105"/>
      <c r="CS481" s="105"/>
      <c r="CT481" s="105"/>
      <c r="CU481" s="105"/>
      <c r="CV481" s="105"/>
      <c r="CW481" s="105"/>
      <c r="CX481" s="105"/>
      <c r="CY481" s="105"/>
      <c r="CZ481" s="105"/>
      <c r="DA481" s="105"/>
      <c r="DB481" s="105"/>
      <c r="DC481" s="105"/>
      <c r="DD481" s="105"/>
      <c r="DE481" s="105"/>
      <c r="DF481" s="105"/>
      <c r="DG481" s="105"/>
      <c r="DH481" s="105"/>
      <c r="DI481" s="105"/>
      <c r="DJ481" s="105"/>
      <c r="DK481" s="105"/>
      <c r="DL481" s="105"/>
      <c r="DM481" s="105"/>
      <c r="DN481" s="105"/>
      <c r="DO481" s="105"/>
      <c r="DP481" s="105"/>
      <c r="DQ481" s="105"/>
      <c r="DR481" s="105"/>
      <c r="DS481" s="105"/>
      <c r="DT481" s="105"/>
      <c r="DU481" s="105"/>
      <c r="DV481" s="105"/>
      <c r="DW481" s="105"/>
      <c r="DX481" s="105"/>
      <c r="DY481" s="105"/>
      <c r="DZ481" s="105"/>
      <c r="EA481" s="105"/>
      <c r="EB481" s="105"/>
      <c r="EC481" s="105"/>
      <c r="ED481" s="105"/>
      <c r="EE481" s="105"/>
      <c r="EF481" s="105"/>
      <c r="EG481" s="105"/>
      <c r="EH481" s="105"/>
      <c r="EI481" s="105"/>
      <c r="EJ481" s="105"/>
      <c r="EK481" s="105"/>
      <c r="EL481" s="105"/>
      <c r="EM481" s="105"/>
      <c r="EN481" s="105"/>
      <c r="EO481" s="105"/>
      <c r="EP481" s="105"/>
      <c r="EQ481" s="105"/>
      <c r="ER481" s="105"/>
      <c r="ES481" s="105"/>
      <c r="ET481" s="105"/>
      <c r="EU481" s="105"/>
      <c r="EV481" s="105"/>
      <c r="EW481" s="105"/>
      <c r="EX481" s="105"/>
      <c r="EY481" s="105"/>
      <c r="EZ481" s="105"/>
      <c r="FA481" s="105"/>
      <c r="FB481" s="105"/>
      <c r="FC481" s="105"/>
      <c r="FD481" s="105"/>
      <c r="FE481" s="105"/>
      <c r="FF481" s="105"/>
      <c r="FG481" s="105"/>
      <c r="FH481" s="105"/>
      <c r="FI481" s="105"/>
      <c r="FJ481" s="105"/>
      <c r="FK481" s="105"/>
      <c r="FL481" s="105"/>
      <c r="FM481" s="105"/>
      <c r="FN481" s="105"/>
      <c r="FO481" s="105"/>
      <c r="FP481" s="105"/>
      <c r="FQ481" s="105"/>
      <c r="FR481" s="105"/>
      <c r="FS481" s="105"/>
      <c r="FT481" s="105"/>
      <c r="FU481" s="105"/>
      <c r="FV481" s="105"/>
      <c r="FW481" s="105"/>
      <c r="FX481" s="105"/>
      <c r="FY481" s="105"/>
      <c r="FZ481" s="105"/>
      <c r="GA481" s="105"/>
      <c r="GB481" s="105"/>
      <c r="GC481" s="105"/>
      <c r="GD481" s="105"/>
      <c r="GE481" s="105"/>
      <c r="GF481" s="105"/>
      <c r="GG481" s="105"/>
      <c r="GH481" s="105"/>
      <c r="GI481" s="105"/>
      <c r="GJ481" s="105"/>
      <c r="GK481" s="105"/>
      <c r="GL481" s="105"/>
      <c r="GM481" s="105"/>
      <c r="GN481" s="105"/>
      <c r="GO481" s="105"/>
      <c r="GP481" s="105"/>
      <c r="GQ481" s="105"/>
      <c r="GR481" s="105"/>
      <c r="GS481" s="105"/>
      <c r="GT481" s="105"/>
      <c r="GU481" s="105"/>
      <c r="GV481" s="105"/>
      <c r="GW481" s="105"/>
      <c r="GX481" s="105"/>
      <c r="GY481" s="105"/>
      <c r="GZ481" s="105"/>
      <c r="HA481" s="105"/>
      <c r="HB481" s="105"/>
      <c r="HC481" s="105"/>
      <c r="HD481" s="105"/>
      <c r="HE481" s="105"/>
      <c r="HF481" s="105"/>
      <c r="HG481" s="105"/>
      <c r="HH481" s="105"/>
      <c r="HI481" s="105"/>
      <c r="HJ481" s="105"/>
      <c r="HK481" s="105"/>
      <c r="HL481" s="105"/>
      <c r="HM481" s="105"/>
      <c r="HN481" s="105"/>
      <c r="HO481" s="105"/>
      <c r="HP481" s="105"/>
      <c r="HQ481" s="105"/>
      <c r="HR481" s="105"/>
      <c r="HS481" s="105"/>
      <c r="HT481" s="105"/>
      <c r="HU481" s="105"/>
      <c r="HV481" s="105"/>
      <c r="HW481" s="105"/>
      <c r="HX481" s="105"/>
      <c r="HY481" s="105"/>
      <c r="HZ481" s="105"/>
      <c r="IA481" s="105"/>
      <c r="IB481" s="105"/>
      <c r="IC481" s="105"/>
      <c r="ID481" s="105"/>
      <c r="IE481" s="105"/>
      <c r="IF481" s="105"/>
      <c r="IG481" s="105"/>
      <c r="IH481" s="105"/>
      <c r="II481" s="105"/>
      <c r="IJ481" s="105"/>
      <c r="IK481" s="105"/>
      <c r="IL481" s="105"/>
      <c r="IM481" s="105"/>
      <c r="IN481" s="105"/>
      <c r="IO481" s="105"/>
      <c r="IP481" s="105"/>
      <c r="IQ481" s="105"/>
      <c r="IR481" s="105"/>
      <c r="IS481" s="105"/>
    </row>
    <row r="482" spans="1:253">
      <c r="A482" s="116"/>
      <c r="B482" s="105"/>
      <c r="C482" s="116"/>
      <c r="D482" s="116"/>
      <c r="E482" s="116"/>
      <c r="F482" s="116"/>
      <c r="G482" s="116"/>
      <c r="H482" s="116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05"/>
      <c r="BF482" s="105"/>
      <c r="BG482" s="105"/>
      <c r="BH482" s="105"/>
      <c r="BI482" s="105"/>
      <c r="BJ482" s="105"/>
      <c r="BK482" s="105"/>
      <c r="BL482" s="105"/>
      <c r="BM482" s="105"/>
      <c r="BN482" s="105"/>
      <c r="BO482" s="105"/>
      <c r="BP482" s="105"/>
      <c r="BQ482" s="105"/>
      <c r="BR482" s="105"/>
      <c r="BS482" s="105"/>
      <c r="BT482" s="105"/>
      <c r="BU482" s="105"/>
      <c r="BV482" s="105"/>
      <c r="BW482" s="105"/>
      <c r="BX482" s="105"/>
      <c r="BY482" s="105"/>
      <c r="BZ482" s="105"/>
      <c r="CA482" s="105"/>
      <c r="CB482" s="105"/>
      <c r="CC482" s="105"/>
      <c r="CD482" s="105"/>
      <c r="CE482" s="105"/>
      <c r="CF482" s="105"/>
      <c r="CG482" s="105"/>
      <c r="CH482" s="105"/>
      <c r="CI482" s="105"/>
      <c r="CJ482" s="105"/>
      <c r="CK482" s="105"/>
      <c r="CL482" s="105"/>
      <c r="CM482" s="105"/>
      <c r="CN482" s="105"/>
      <c r="CO482" s="105"/>
      <c r="CP482" s="105"/>
      <c r="CQ482" s="105"/>
      <c r="CR482" s="105"/>
      <c r="CS482" s="105"/>
      <c r="CT482" s="105"/>
      <c r="CU482" s="105"/>
      <c r="CV482" s="105"/>
      <c r="CW482" s="105"/>
      <c r="CX482" s="105"/>
      <c r="CY482" s="105"/>
      <c r="CZ482" s="105"/>
      <c r="DA482" s="105"/>
      <c r="DB482" s="105"/>
      <c r="DC482" s="105"/>
      <c r="DD482" s="105"/>
      <c r="DE482" s="105"/>
      <c r="DF482" s="105"/>
      <c r="DG482" s="105"/>
      <c r="DH482" s="105"/>
      <c r="DI482" s="105"/>
      <c r="DJ482" s="105"/>
      <c r="DK482" s="105"/>
      <c r="DL482" s="105"/>
      <c r="DM482" s="105"/>
      <c r="DN482" s="105"/>
      <c r="DO482" s="105"/>
      <c r="DP482" s="105"/>
      <c r="DQ482" s="105"/>
      <c r="DR482" s="105"/>
      <c r="DS482" s="105"/>
      <c r="DT482" s="105"/>
      <c r="DU482" s="105"/>
      <c r="DV482" s="105"/>
      <c r="DW482" s="105"/>
      <c r="DX482" s="105"/>
      <c r="DY482" s="105"/>
      <c r="DZ482" s="105"/>
      <c r="EA482" s="105"/>
      <c r="EB482" s="105"/>
      <c r="EC482" s="105"/>
      <c r="ED482" s="105"/>
      <c r="EE482" s="105"/>
      <c r="EF482" s="105"/>
      <c r="EG482" s="105"/>
      <c r="EH482" s="105"/>
      <c r="EI482" s="105"/>
      <c r="EJ482" s="105"/>
      <c r="EK482" s="105"/>
      <c r="EL482" s="105"/>
      <c r="EM482" s="105"/>
      <c r="EN482" s="105"/>
      <c r="EO482" s="105"/>
      <c r="EP482" s="105"/>
      <c r="EQ482" s="105"/>
      <c r="ER482" s="105"/>
      <c r="ES482" s="105"/>
      <c r="ET482" s="105"/>
      <c r="EU482" s="105"/>
      <c r="EV482" s="105"/>
      <c r="EW482" s="105"/>
      <c r="EX482" s="105"/>
      <c r="EY482" s="105"/>
      <c r="EZ482" s="105"/>
      <c r="FA482" s="105"/>
      <c r="FB482" s="105"/>
      <c r="FC482" s="105"/>
      <c r="FD482" s="105"/>
      <c r="FE482" s="105"/>
      <c r="FF482" s="105"/>
      <c r="FG482" s="105"/>
      <c r="FH482" s="105"/>
      <c r="FI482" s="105"/>
      <c r="FJ482" s="105"/>
      <c r="FK482" s="105"/>
      <c r="FL482" s="105"/>
      <c r="FM482" s="105"/>
      <c r="FN482" s="105"/>
      <c r="FO482" s="105"/>
      <c r="FP482" s="105"/>
      <c r="FQ482" s="105"/>
      <c r="FR482" s="105"/>
      <c r="FS482" s="105"/>
      <c r="FT482" s="105"/>
      <c r="FU482" s="105"/>
      <c r="FV482" s="105"/>
      <c r="FW482" s="105"/>
      <c r="FX482" s="105"/>
      <c r="FY482" s="105"/>
      <c r="FZ482" s="105"/>
      <c r="GA482" s="105"/>
      <c r="GB482" s="105"/>
      <c r="GC482" s="105"/>
      <c r="GD482" s="105"/>
      <c r="GE482" s="105"/>
      <c r="GF482" s="105"/>
      <c r="GG482" s="105"/>
      <c r="GH482" s="105"/>
      <c r="GI482" s="105"/>
      <c r="GJ482" s="105"/>
      <c r="GK482" s="105"/>
      <c r="GL482" s="105"/>
      <c r="GM482" s="105"/>
      <c r="GN482" s="105"/>
      <c r="GO482" s="105"/>
      <c r="GP482" s="105"/>
      <c r="GQ482" s="105"/>
      <c r="GR482" s="105"/>
      <c r="GS482" s="105"/>
      <c r="GT482" s="105"/>
      <c r="GU482" s="105"/>
      <c r="GV482" s="105"/>
      <c r="GW482" s="105"/>
      <c r="GX482" s="105"/>
      <c r="GY482" s="105"/>
      <c r="GZ482" s="105"/>
      <c r="HA482" s="105"/>
      <c r="HB482" s="105"/>
      <c r="HC482" s="105"/>
      <c r="HD482" s="105"/>
      <c r="HE482" s="105"/>
      <c r="HF482" s="105"/>
      <c r="HG482" s="105"/>
      <c r="HH482" s="105"/>
      <c r="HI482" s="105"/>
      <c r="HJ482" s="105"/>
      <c r="HK482" s="105"/>
      <c r="HL482" s="105"/>
      <c r="HM482" s="105"/>
      <c r="HN482" s="105"/>
      <c r="HO482" s="105"/>
      <c r="HP482" s="105"/>
      <c r="HQ482" s="105"/>
      <c r="HR482" s="105"/>
      <c r="HS482" s="105"/>
      <c r="HT482" s="105"/>
      <c r="HU482" s="105"/>
      <c r="HV482" s="105"/>
      <c r="HW482" s="105"/>
      <c r="HX482" s="105"/>
      <c r="HY482" s="105"/>
      <c r="HZ482" s="105"/>
      <c r="IA482" s="105"/>
      <c r="IB482" s="105"/>
      <c r="IC482" s="105"/>
      <c r="ID482" s="105"/>
      <c r="IE482" s="105"/>
      <c r="IF482" s="105"/>
      <c r="IG482" s="105"/>
      <c r="IH482" s="105"/>
      <c r="II482" s="105"/>
      <c r="IJ482" s="105"/>
      <c r="IK482" s="105"/>
      <c r="IL482" s="105"/>
      <c r="IM482" s="105"/>
      <c r="IN482" s="105"/>
      <c r="IO482" s="105"/>
      <c r="IP482" s="105"/>
      <c r="IQ482" s="105"/>
      <c r="IR482" s="105"/>
      <c r="IS482" s="105"/>
    </row>
    <row r="483" spans="1:253">
      <c r="A483" s="116"/>
      <c r="B483" s="105"/>
      <c r="C483" s="116"/>
      <c r="D483" s="116"/>
      <c r="E483" s="116"/>
      <c r="F483" s="116"/>
      <c r="G483" s="116"/>
      <c r="H483" s="116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5"/>
      <c r="BE483" s="105"/>
      <c r="BF483" s="105"/>
      <c r="BG483" s="105"/>
      <c r="BH483" s="105"/>
      <c r="BI483" s="105"/>
      <c r="BJ483" s="105"/>
      <c r="BK483" s="105"/>
      <c r="BL483" s="105"/>
      <c r="BM483" s="105"/>
      <c r="BN483" s="105"/>
      <c r="BO483" s="105"/>
      <c r="BP483" s="105"/>
      <c r="BQ483" s="105"/>
      <c r="BR483" s="105"/>
      <c r="BS483" s="105"/>
      <c r="BT483" s="105"/>
      <c r="BU483" s="105"/>
      <c r="BV483" s="105"/>
      <c r="BW483" s="105"/>
      <c r="BX483" s="105"/>
      <c r="BY483" s="105"/>
      <c r="BZ483" s="105"/>
      <c r="CA483" s="105"/>
      <c r="CB483" s="105"/>
      <c r="CC483" s="105"/>
      <c r="CD483" s="105"/>
      <c r="CE483" s="105"/>
      <c r="CF483" s="105"/>
      <c r="CG483" s="105"/>
      <c r="CH483" s="105"/>
      <c r="CI483" s="105"/>
      <c r="CJ483" s="105"/>
      <c r="CK483" s="105"/>
      <c r="CL483" s="105"/>
      <c r="CM483" s="105"/>
      <c r="CN483" s="105"/>
      <c r="CO483" s="105"/>
      <c r="CP483" s="105"/>
      <c r="CQ483" s="105"/>
      <c r="CR483" s="105"/>
      <c r="CS483" s="105"/>
      <c r="CT483" s="105"/>
      <c r="CU483" s="105"/>
      <c r="CV483" s="105"/>
      <c r="CW483" s="105"/>
      <c r="CX483" s="105"/>
      <c r="CY483" s="105"/>
      <c r="CZ483" s="105"/>
      <c r="DA483" s="105"/>
      <c r="DB483" s="105"/>
      <c r="DC483" s="105"/>
      <c r="DD483" s="105"/>
      <c r="DE483" s="105"/>
      <c r="DF483" s="105"/>
      <c r="DG483" s="105"/>
      <c r="DH483" s="105"/>
      <c r="DI483" s="105"/>
      <c r="DJ483" s="105"/>
      <c r="DK483" s="105"/>
      <c r="DL483" s="105"/>
      <c r="DM483" s="105"/>
      <c r="DN483" s="105"/>
      <c r="DO483" s="105"/>
      <c r="DP483" s="105"/>
      <c r="DQ483" s="105"/>
      <c r="DR483" s="105"/>
      <c r="DS483" s="105"/>
      <c r="DT483" s="105"/>
      <c r="DU483" s="105"/>
      <c r="DV483" s="105"/>
      <c r="DW483" s="105"/>
      <c r="DX483" s="105"/>
      <c r="DY483" s="105"/>
      <c r="DZ483" s="105"/>
      <c r="EA483" s="105"/>
      <c r="EB483" s="105"/>
      <c r="EC483" s="105"/>
      <c r="ED483" s="105"/>
      <c r="EE483" s="105"/>
      <c r="EF483" s="105"/>
      <c r="EG483" s="105"/>
      <c r="EH483" s="105"/>
      <c r="EI483" s="105"/>
      <c r="EJ483" s="105"/>
      <c r="EK483" s="105"/>
      <c r="EL483" s="105"/>
      <c r="EM483" s="105"/>
      <c r="EN483" s="105"/>
      <c r="EO483" s="105"/>
      <c r="EP483" s="105"/>
      <c r="EQ483" s="105"/>
      <c r="ER483" s="105"/>
      <c r="ES483" s="105"/>
      <c r="ET483" s="105"/>
      <c r="EU483" s="105"/>
      <c r="EV483" s="105"/>
      <c r="EW483" s="105"/>
      <c r="EX483" s="105"/>
      <c r="EY483" s="105"/>
      <c r="EZ483" s="105"/>
      <c r="FA483" s="105"/>
      <c r="FB483" s="105"/>
      <c r="FC483" s="105"/>
      <c r="FD483" s="105"/>
      <c r="FE483" s="105"/>
      <c r="FF483" s="105"/>
      <c r="FG483" s="105"/>
      <c r="FH483" s="105"/>
      <c r="FI483" s="105"/>
      <c r="FJ483" s="105"/>
      <c r="FK483" s="105"/>
      <c r="FL483" s="105"/>
      <c r="FM483" s="105"/>
      <c r="FN483" s="105"/>
      <c r="FO483" s="105"/>
      <c r="FP483" s="105"/>
      <c r="FQ483" s="105"/>
      <c r="FR483" s="105"/>
      <c r="FS483" s="105"/>
      <c r="FT483" s="105"/>
      <c r="FU483" s="105"/>
      <c r="FV483" s="105"/>
      <c r="FW483" s="105"/>
      <c r="FX483" s="105"/>
      <c r="FY483" s="105"/>
      <c r="FZ483" s="105"/>
      <c r="GA483" s="105"/>
      <c r="GB483" s="105"/>
      <c r="GC483" s="105"/>
      <c r="GD483" s="105"/>
      <c r="GE483" s="105"/>
      <c r="GF483" s="105"/>
      <c r="GG483" s="105"/>
      <c r="GH483" s="105"/>
      <c r="GI483" s="105"/>
      <c r="GJ483" s="105"/>
      <c r="GK483" s="105"/>
      <c r="GL483" s="105"/>
      <c r="GM483" s="105"/>
      <c r="GN483" s="105"/>
      <c r="GO483" s="105"/>
      <c r="GP483" s="105"/>
      <c r="GQ483" s="105"/>
      <c r="GR483" s="105"/>
      <c r="GS483" s="105"/>
      <c r="GT483" s="105"/>
      <c r="GU483" s="105"/>
      <c r="GV483" s="105"/>
      <c r="GW483" s="105"/>
      <c r="GX483" s="105"/>
      <c r="GY483" s="105"/>
      <c r="GZ483" s="105"/>
      <c r="HA483" s="105"/>
      <c r="HB483" s="105"/>
      <c r="HC483" s="105"/>
      <c r="HD483" s="105"/>
      <c r="HE483" s="105"/>
      <c r="HF483" s="105"/>
      <c r="HG483" s="105"/>
      <c r="HH483" s="105"/>
      <c r="HI483" s="105"/>
      <c r="HJ483" s="105"/>
      <c r="HK483" s="105"/>
      <c r="HL483" s="105"/>
      <c r="HM483" s="105"/>
      <c r="HN483" s="105"/>
      <c r="HO483" s="105"/>
      <c r="HP483" s="105"/>
      <c r="HQ483" s="105"/>
      <c r="HR483" s="105"/>
      <c r="HS483" s="105"/>
      <c r="HT483" s="105"/>
      <c r="HU483" s="105"/>
      <c r="HV483" s="105"/>
      <c r="HW483" s="105"/>
      <c r="HX483" s="105"/>
      <c r="HY483" s="105"/>
      <c r="HZ483" s="105"/>
      <c r="IA483" s="105"/>
      <c r="IB483" s="105"/>
      <c r="IC483" s="105"/>
      <c r="ID483" s="105"/>
      <c r="IE483" s="105"/>
      <c r="IF483" s="105"/>
      <c r="IG483" s="105"/>
      <c r="IH483" s="105"/>
      <c r="II483" s="105"/>
      <c r="IJ483" s="105"/>
      <c r="IK483" s="105"/>
      <c r="IL483" s="105"/>
      <c r="IM483" s="105"/>
      <c r="IN483" s="105"/>
      <c r="IO483" s="105"/>
      <c r="IP483" s="105"/>
      <c r="IQ483" s="105"/>
      <c r="IR483" s="105"/>
      <c r="IS483" s="105"/>
    </row>
    <row r="484" spans="1:253">
      <c r="A484" s="116"/>
      <c r="B484" s="105"/>
      <c r="C484" s="116"/>
      <c r="D484" s="116"/>
      <c r="E484" s="116"/>
      <c r="F484" s="116"/>
      <c r="G484" s="116"/>
      <c r="H484" s="116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05"/>
      <c r="BF484" s="105"/>
      <c r="BG484" s="105"/>
      <c r="BH484" s="105"/>
      <c r="BI484" s="105"/>
      <c r="BJ484" s="105"/>
      <c r="BK484" s="105"/>
      <c r="BL484" s="105"/>
      <c r="BM484" s="105"/>
      <c r="BN484" s="105"/>
      <c r="BO484" s="105"/>
      <c r="BP484" s="105"/>
      <c r="BQ484" s="105"/>
      <c r="BR484" s="105"/>
      <c r="BS484" s="105"/>
      <c r="BT484" s="105"/>
      <c r="BU484" s="105"/>
      <c r="BV484" s="105"/>
      <c r="BW484" s="105"/>
      <c r="BX484" s="105"/>
      <c r="BY484" s="105"/>
      <c r="BZ484" s="105"/>
      <c r="CA484" s="105"/>
      <c r="CB484" s="105"/>
      <c r="CC484" s="105"/>
      <c r="CD484" s="105"/>
      <c r="CE484" s="105"/>
      <c r="CF484" s="105"/>
      <c r="CG484" s="105"/>
      <c r="CH484" s="105"/>
      <c r="CI484" s="105"/>
      <c r="CJ484" s="105"/>
      <c r="CK484" s="105"/>
      <c r="CL484" s="105"/>
      <c r="CM484" s="105"/>
      <c r="CN484" s="105"/>
      <c r="CO484" s="105"/>
      <c r="CP484" s="105"/>
      <c r="CQ484" s="105"/>
      <c r="CR484" s="105"/>
      <c r="CS484" s="105"/>
      <c r="CT484" s="105"/>
      <c r="CU484" s="105"/>
      <c r="CV484" s="105"/>
      <c r="CW484" s="105"/>
      <c r="CX484" s="105"/>
      <c r="CY484" s="105"/>
      <c r="CZ484" s="105"/>
      <c r="DA484" s="105"/>
      <c r="DB484" s="105"/>
      <c r="DC484" s="105"/>
      <c r="DD484" s="105"/>
      <c r="DE484" s="105"/>
      <c r="DF484" s="105"/>
      <c r="DG484" s="105"/>
      <c r="DH484" s="105"/>
      <c r="DI484" s="105"/>
      <c r="DJ484" s="105"/>
      <c r="DK484" s="105"/>
      <c r="DL484" s="105"/>
      <c r="DM484" s="105"/>
      <c r="DN484" s="105"/>
      <c r="DO484" s="105"/>
      <c r="DP484" s="105"/>
      <c r="DQ484" s="105"/>
      <c r="DR484" s="105"/>
      <c r="DS484" s="105"/>
      <c r="DT484" s="105"/>
      <c r="DU484" s="105"/>
      <c r="DV484" s="105"/>
      <c r="DW484" s="105"/>
      <c r="DX484" s="105"/>
      <c r="DY484" s="105"/>
      <c r="DZ484" s="105"/>
      <c r="EA484" s="105"/>
      <c r="EB484" s="105"/>
      <c r="EC484" s="105"/>
      <c r="ED484" s="105"/>
      <c r="EE484" s="105"/>
      <c r="EF484" s="105"/>
      <c r="EG484" s="105"/>
      <c r="EH484" s="105"/>
      <c r="EI484" s="105"/>
      <c r="EJ484" s="105"/>
      <c r="EK484" s="105"/>
      <c r="EL484" s="105"/>
      <c r="EM484" s="105"/>
      <c r="EN484" s="105"/>
      <c r="EO484" s="105"/>
      <c r="EP484" s="105"/>
      <c r="EQ484" s="105"/>
      <c r="ER484" s="105"/>
      <c r="ES484" s="105"/>
      <c r="ET484" s="105"/>
      <c r="EU484" s="105"/>
      <c r="EV484" s="105"/>
      <c r="EW484" s="105"/>
      <c r="EX484" s="105"/>
      <c r="EY484" s="105"/>
      <c r="EZ484" s="105"/>
      <c r="FA484" s="105"/>
      <c r="FB484" s="105"/>
      <c r="FC484" s="105"/>
      <c r="FD484" s="105"/>
      <c r="FE484" s="105"/>
      <c r="FF484" s="105"/>
      <c r="FG484" s="105"/>
      <c r="FH484" s="105"/>
      <c r="FI484" s="105"/>
      <c r="FJ484" s="105"/>
      <c r="FK484" s="105"/>
      <c r="FL484" s="105"/>
      <c r="FM484" s="105"/>
      <c r="FN484" s="105"/>
      <c r="FO484" s="105"/>
      <c r="FP484" s="105"/>
      <c r="FQ484" s="105"/>
      <c r="FR484" s="105"/>
      <c r="FS484" s="105"/>
      <c r="FT484" s="105"/>
      <c r="FU484" s="105"/>
      <c r="FV484" s="105"/>
      <c r="FW484" s="105"/>
      <c r="FX484" s="105"/>
      <c r="FY484" s="105"/>
      <c r="FZ484" s="105"/>
      <c r="GA484" s="105"/>
      <c r="GB484" s="105"/>
      <c r="GC484" s="105"/>
      <c r="GD484" s="105"/>
      <c r="GE484" s="105"/>
      <c r="GF484" s="105"/>
      <c r="GG484" s="105"/>
      <c r="GH484" s="105"/>
      <c r="GI484" s="105"/>
      <c r="GJ484" s="105"/>
      <c r="GK484" s="105"/>
      <c r="GL484" s="105"/>
      <c r="GM484" s="105"/>
      <c r="GN484" s="105"/>
      <c r="GO484" s="105"/>
      <c r="GP484" s="105"/>
      <c r="GQ484" s="105"/>
      <c r="GR484" s="105"/>
      <c r="GS484" s="105"/>
      <c r="GT484" s="105"/>
      <c r="GU484" s="105"/>
      <c r="GV484" s="105"/>
      <c r="GW484" s="105"/>
      <c r="GX484" s="105"/>
      <c r="GY484" s="105"/>
      <c r="GZ484" s="105"/>
      <c r="HA484" s="105"/>
      <c r="HB484" s="105"/>
      <c r="HC484" s="105"/>
      <c r="HD484" s="105"/>
      <c r="HE484" s="105"/>
      <c r="HF484" s="105"/>
      <c r="HG484" s="105"/>
      <c r="HH484" s="105"/>
      <c r="HI484" s="105"/>
      <c r="HJ484" s="105"/>
      <c r="HK484" s="105"/>
      <c r="HL484" s="105"/>
      <c r="HM484" s="105"/>
      <c r="HN484" s="105"/>
      <c r="HO484" s="105"/>
      <c r="HP484" s="105"/>
      <c r="HQ484" s="105"/>
      <c r="HR484" s="105"/>
      <c r="HS484" s="105"/>
      <c r="HT484" s="105"/>
      <c r="HU484" s="105"/>
      <c r="HV484" s="105"/>
      <c r="HW484" s="105"/>
      <c r="HX484" s="105"/>
      <c r="HY484" s="105"/>
      <c r="HZ484" s="105"/>
      <c r="IA484" s="105"/>
      <c r="IB484" s="105"/>
      <c r="IC484" s="105"/>
      <c r="ID484" s="105"/>
      <c r="IE484" s="105"/>
      <c r="IF484" s="105"/>
      <c r="IG484" s="105"/>
      <c r="IH484" s="105"/>
      <c r="II484" s="105"/>
      <c r="IJ484" s="105"/>
      <c r="IK484" s="105"/>
      <c r="IL484" s="105"/>
      <c r="IM484" s="105"/>
      <c r="IN484" s="105"/>
      <c r="IO484" s="105"/>
      <c r="IP484" s="105"/>
      <c r="IQ484" s="105"/>
      <c r="IR484" s="105"/>
      <c r="IS484" s="105"/>
    </row>
    <row r="485" spans="1:253">
      <c r="A485" s="116"/>
      <c r="B485" s="105"/>
      <c r="C485" s="116"/>
      <c r="D485" s="116"/>
      <c r="E485" s="116"/>
      <c r="F485" s="116"/>
      <c r="G485" s="116"/>
      <c r="H485" s="116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  <c r="AU485" s="105"/>
      <c r="AV485" s="105"/>
      <c r="AW485" s="105"/>
      <c r="AX485" s="105"/>
      <c r="AY485" s="105"/>
      <c r="AZ485" s="105"/>
      <c r="BA485" s="105"/>
      <c r="BB485" s="105"/>
      <c r="BC485" s="105"/>
      <c r="BD485" s="105"/>
      <c r="BE485" s="105"/>
      <c r="BF485" s="105"/>
      <c r="BG485" s="105"/>
      <c r="BH485" s="105"/>
      <c r="BI485" s="105"/>
      <c r="BJ485" s="105"/>
      <c r="BK485" s="105"/>
      <c r="BL485" s="105"/>
      <c r="BM485" s="105"/>
      <c r="BN485" s="105"/>
      <c r="BO485" s="105"/>
      <c r="BP485" s="105"/>
      <c r="BQ485" s="105"/>
      <c r="BR485" s="105"/>
      <c r="BS485" s="105"/>
      <c r="BT485" s="105"/>
      <c r="BU485" s="105"/>
      <c r="BV485" s="105"/>
      <c r="BW485" s="105"/>
      <c r="BX485" s="105"/>
      <c r="BY485" s="105"/>
      <c r="BZ485" s="105"/>
      <c r="CA485" s="105"/>
      <c r="CB485" s="105"/>
      <c r="CC485" s="105"/>
      <c r="CD485" s="105"/>
      <c r="CE485" s="105"/>
      <c r="CF485" s="105"/>
      <c r="CG485" s="105"/>
      <c r="CH485" s="105"/>
      <c r="CI485" s="105"/>
      <c r="CJ485" s="105"/>
      <c r="CK485" s="105"/>
      <c r="CL485" s="105"/>
      <c r="CM485" s="105"/>
      <c r="CN485" s="105"/>
      <c r="CO485" s="105"/>
      <c r="CP485" s="105"/>
      <c r="CQ485" s="105"/>
      <c r="CR485" s="105"/>
      <c r="CS485" s="105"/>
      <c r="CT485" s="105"/>
      <c r="CU485" s="105"/>
      <c r="CV485" s="105"/>
      <c r="CW485" s="105"/>
      <c r="CX485" s="105"/>
      <c r="CY485" s="105"/>
      <c r="CZ485" s="105"/>
      <c r="DA485" s="105"/>
      <c r="DB485" s="105"/>
      <c r="DC485" s="105"/>
      <c r="DD485" s="105"/>
      <c r="DE485" s="105"/>
      <c r="DF485" s="105"/>
      <c r="DG485" s="105"/>
      <c r="DH485" s="105"/>
      <c r="DI485" s="105"/>
      <c r="DJ485" s="105"/>
      <c r="DK485" s="105"/>
      <c r="DL485" s="105"/>
      <c r="DM485" s="105"/>
      <c r="DN485" s="105"/>
      <c r="DO485" s="105"/>
      <c r="DP485" s="105"/>
      <c r="DQ485" s="105"/>
      <c r="DR485" s="105"/>
      <c r="DS485" s="105"/>
      <c r="DT485" s="105"/>
      <c r="DU485" s="105"/>
      <c r="DV485" s="105"/>
      <c r="DW485" s="105"/>
      <c r="DX485" s="105"/>
      <c r="DY485" s="105"/>
      <c r="DZ485" s="105"/>
      <c r="EA485" s="105"/>
      <c r="EB485" s="105"/>
      <c r="EC485" s="105"/>
      <c r="ED485" s="105"/>
      <c r="EE485" s="105"/>
      <c r="EF485" s="105"/>
      <c r="EG485" s="105"/>
      <c r="EH485" s="105"/>
      <c r="EI485" s="105"/>
      <c r="EJ485" s="105"/>
      <c r="EK485" s="105"/>
      <c r="EL485" s="105"/>
      <c r="EM485" s="105"/>
      <c r="EN485" s="105"/>
      <c r="EO485" s="105"/>
      <c r="EP485" s="105"/>
      <c r="EQ485" s="105"/>
      <c r="ER485" s="105"/>
      <c r="ES485" s="105"/>
      <c r="ET485" s="105"/>
      <c r="EU485" s="105"/>
      <c r="EV485" s="105"/>
      <c r="EW485" s="105"/>
      <c r="EX485" s="105"/>
      <c r="EY485" s="105"/>
      <c r="EZ485" s="105"/>
      <c r="FA485" s="105"/>
      <c r="FB485" s="105"/>
      <c r="FC485" s="105"/>
      <c r="FD485" s="105"/>
      <c r="FE485" s="105"/>
      <c r="FF485" s="105"/>
      <c r="FG485" s="105"/>
      <c r="FH485" s="105"/>
      <c r="FI485" s="105"/>
      <c r="FJ485" s="105"/>
      <c r="FK485" s="105"/>
      <c r="FL485" s="105"/>
      <c r="FM485" s="105"/>
      <c r="FN485" s="105"/>
      <c r="FO485" s="105"/>
      <c r="FP485" s="105"/>
      <c r="FQ485" s="105"/>
      <c r="FR485" s="105"/>
      <c r="FS485" s="105"/>
      <c r="FT485" s="105"/>
      <c r="FU485" s="105"/>
      <c r="FV485" s="105"/>
      <c r="FW485" s="105"/>
      <c r="FX485" s="105"/>
      <c r="FY485" s="105"/>
      <c r="FZ485" s="105"/>
      <c r="GA485" s="105"/>
      <c r="GB485" s="105"/>
      <c r="GC485" s="105"/>
      <c r="GD485" s="105"/>
      <c r="GE485" s="105"/>
      <c r="GF485" s="105"/>
      <c r="GG485" s="105"/>
      <c r="GH485" s="105"/>
      <c r="GI485" s="105"/>
      <c r="GJ485" s="105"/>
      <c r="GK485" s="105"/>
      <c r="GL485" s="105"/>
      <c r="GM485" s="105"/>
      <c r="GN485" s="105"/>
      <c r="GO485" s="105"/>
      <c r="GP485" s="105"/>
      <c r="GQ485" s="105"/>
      <c r="GR485" s="105"/>
      <c r="GS485" s="105"/>
      <c r="GT485" s="105"/>
      <c r="GU485" s="105"/>
      <c r="GV485" s="105"/>
      <c r="GW485" s="105"/>
      <c r="GX485" s="105"/>
      <c r="GY485" s="105"/>
      <c r="GZ485" s="105"/>
      <c r="HA485" s="105"/>
      <c r="HB485" s="105"/>
      <c r="HC485" s="105"/>
      <c r="HD485" s="105"/>
      <c r="HE485" s="105"/>
      <c r="HF485" s="105"/>
      <c r="HG485" s="105"/>
      <c r="HH485" s="105"/>
      <c r="HI485" s="105"/>
      <c r="HJ485" s="105"/>
      <c r="HK485" s="105"/>
      <c r="HL485" s="105"/>
      <c r="HM485" s="105"/>
      <c r="HN485" s="105"/>
      <c r="HO485" s="105"/>
      <c r="HP485" s="105"/>
      <c r="HQ485" s="105"/>
      <c r="HR485" s="105"/>
      <c r="HS485" s="105"/>
      <c r="HT485" s="105"/>
      <c r="HU485" s="105"/>
      <c r="HV485" s="105"/>
      <c r="HW485" s="105"/>
      <c r="HX485" s="105"/>
      <c r="HY485" s="105"/>
      <c r="HZ485" s="105"/>
      <c r="IA485" s="105"/>
      <c r="IB485" s="105"/>
      <c r="IC485" s="105"/>
      <c r="ID485" s="105"/>
      <c r="IE485" s="105"/>
      <c r="IF485" s="105"/>
      <c r="IG485" s="105"/>
      <c r="IH485" s="105"/>
      <c r="II485" s="105"/>
      <c r="IJ485" s="105"/>
      <c r="IK485" s="105"/>
      <c r="IL485" s="105"/>
      <c r="IM485" s="105"/>
      <c r="IN485" s="105"/>
      <c r="IO485" s="105"/>
      <c r="IP485" s="105"/>
      <c r="IQ485" s="105"/>
      <c r="IR485" s="105"/>
      <c r="IS485" s="105"/>
    </row>
    <row r="486" spans="1:253">
      <c r="A486" s="116"/>
      <c r="B486" s="105"/>
      <c r="C486" s="116"/>
      <c r="D486" s="116"/>
      <c r="E486" s="116"/>
      <c r="F486" s="116"/>
      <c r="G486" s="116"/>
      <c r="H486" s="116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05"/>
      <c r="BF486" s="105"/>
      <c r="BG486" s="105"/>
      <c r="BH486" s="105"/>
      <c r="BI486" s="105"/>
      <c r="BJ486" s="105"/>
      <c r="BK486" s="105"/>
      <c r="BL486" s="105"/>
      <c r="BM486" s="105"/>
      <c r="BN486" s="105"/>
      <c r="BO486" s="105"/>
      <c r="BP486" s="105"/>
      <c r="BQ486" s="105"/>
      <c r="BR486" s="105"/>
      <c r="BS486" s="105"/>
      <c r="BT486" s="105"/>
      <c r="BU486" s="105"/>
      <c r="BV486" s="105"/>
      <c r="BW486" s="105"/>
      <c r="BX486" s="105"/>
      <c r="BY486" s="105"/>
      <c r="BZ486" s="105"/>
      <c r="CA486" s="105"/>
      <c r="CB486" s="105"/>
      <c r="CC486" s="105"/>
      <c r="CD486" s="105"/>
      <c r="CE486" s="105"/>
      <c r="CF486" s="105"/>
      <c r="CG486" s="105"/>
      <c r="CH486" s="105"/>
      <c r="CI486" s="105"/>
      <c r="CJ486" s="105"/>
      <c r="CK486" s="105"/>
      <c r="CL486" s="105"/>
      <c r="CM486" s="105"/>
      <c r="CN486" s="105"/>
      <c r="CO486" s="105"/>
      <c r="CP486" s="105"/>
      <c r="CQ486" s="105"/>
      <c r="CR486" s="105"/>
      <c r="CS486" s="105"/>
      <c r="CT486" s="105"/>
      <c r="CU486" s="105"/>
      <c r="CV486" s="105"/>
      <c r="CW486" s="105"/>
      <c r="CX486" s="105"/>
      <c r="CY486" s="105"/>
      <c r="CZ486" s="105"/>
      <c r="DA486" s="105"/>
      <c r="DB486" s="105"/>
      <c r="DC486" s="105"/>
      <c r="DD486" s="105"/>
      <c r="DE486" s="105"/>
      <c r="DF486" s="105"/>
      <c r="DG486" s="105"/>
      <c r="DH486" s="105"/>
      <c r="DI486" s="105"/>
      <c r="DJ486" s="105"/>
      <c r="DK486" s="105"/>
      <c r="DL486" s="105"/>
      <c r="DM486" s="105"/>
      <c r="DN486" s="105"/>
      <c r="DO486" s="105"/>
      <c r="DP486" s="105"/>
      <c r="DQ486" s="105"/>
      <c r="DR486" s="105"/>
      <c r="DS486" s="105"/>
      <c r="DT486" s="105"/>
      <c r="DU486" s="105"/>
      <c r="DV486" s="105"/>
      <c r="DW486" s="105"/>
      <c r="DX486" s="105"/>
      <c r="DY486" s="105"/>
      <c r="DZ486" s="105"/>
      <c r="EA486" s="105"/>
      <c r="EB486" s="105"/>
      <c r="EC486" s="105"/>
      <c r="ED486" s="105"/>
      <c r="EE486" s="105"/>
      <c r="EF486" s="105"/>
      <c r="EG486" s="105"/>
      <c r="EH486" s="105"/>
      <c r="EI486" s="105"/>
      <c r="EJ486" s="105"/>
      <c r="EK486" s="105"/>
      <c r="EL486" s="105"/>
      <c r="EM486" s="105"/>
      <c r="EN486" s="105"/>
      <c r="EO486" s="105"/>
      <c r="EP486" s="105"/>
      <c r="EQ486" s="105"/>
      <c r="ER486" s="105"/>
      <c r="ES486" s="105"/>
      <c r="ET486" s="105"/>
      <c r="EU486" s="105"/>
      <c r="EV486" s="105"/>
      <c r="EW486" s="105"/>
      <c r="EX486" s="105"/>
      <c r="EY486" s="105"/>
      <c r="EZ486" s="105"/>
      <c r="FA486" s="105"/>
      <c r="FB486" s="105"/>
      <c r="FC486" s="105"/>
      <c r="FD486" s="105"/>
      <c r="FE486" s="105"/>
      <c r="FF486" s="105"/>
      <c r="FG486" s="105"/>
      <c r="FH486" s="105"/>
      <c r="FI486" s="105"/>
      <c r="FJ486" s="105"/>
      <c r="FK486" s="105"/>
      <c r="FL486" s="105"/>
      <c r="FM486" s="105"/>
      <c r="FN486" s="105"/>
      <c r="FO486" s="105"/>
      <c r="FP486" s="105"/>
      <c r="FQ486" s="105"/>
      <c r="FR486" s="105"/>
      <c r="FS486" s="105"/>
      <c r="FT486" s="105"/>
      <c r="FU486" s="105"/>
      <c r="FV486" s="105"/>
      <c r="FW486" s="105"/>
      <c r="FX486" s="105"/>
      <c r="FY486" s="105"/>
      <c r="FZ486" s="105"/>
      <c r="GA486" s="105"/>
      <c r="GB486" s="105"/>
      <c r="GC486" s="105"/>
      <c r="GD486" s="105"/>
      <c r="GE486" s="105"/>
      <c r="GF486" s="105"/>
      <c r="GG486" s="105"/>
      <c r="GH486" s="105"/>
      <c r="GI486" s="105"/>
      <c r="GJ486" s="105"/>
      <c r="GK486" s="105"/>
      <c r="GL486" s="105"/>
      <c r="GM486" s="105"/>
      <c r="GN486" s="105"/>
      <c r="GO486" s="105"/>
      <c r="GP486" s="105"/>
      <c r="GQ486" s="105"/>
      <c r="GR486" s="105"/>
      <c r="GS486" s="105"/>
      <c r="GT486" s="105"/>
      <c r="GU486" s="105"/>
      <c r="GV486" s="105"/>
      <c r="GW486" s="105"/>
      <c r="GX486" s="105"/>
      <c r="GY486" s="105"/>
      <c r="GZ486" s="105"/>
      <c r="HA486" s="105"/>
      <c r="HB486" s="105"/>
      <c r="HC486" s="105"/>
      <c r="HD486" s="105"/>
      <c r="HE486" s="105"/>
      <c r="HF486" s="105"/>
      <c r="HG486" s="105"/>
      <c r="HH486" s="105"/>
      <c r="HI486" s="105"/>
      <c r="HJ486" s="105"/>
      <c r="HK486" s="105"/>
      <c r="HL486" s="105"/>
      <c r="HM486" s="105"/>
      <c r="HN486" s="105"/>
      <c r="HO486" s="105"/>
      <c r="HP486" s="105"/>
      <c r="HQ486" s="105"/>
      <c r="HR486" s="105"/>
      <c r="HS486" s="105"/>
      <c r="HT486" s="105"/>
      <c r="HU486" s="105"/>
      <c r="HV486" s="105"/>
      <c r="HW486" s="105"/>
      <c r="HX486" s="105"/>
      <c r="HY486" s="105"/>
      <c r="HZ486" s="105"/>
      <c r="IA486" s="105"/>
      <c r="IB486" s="105"/>
      <c r="IC486" s="105"/>
      <c r="ID486" s="105"/>
      <c r="IE486" s="105"/>
      <c r="IF486" s="105"/>
      <c r="IG486" s="105"/>
      <c r="IH486" s="105"/>
      <c r="II486" s="105"/>
      <c r="IJ486" s="105"/>
      <c r="IK486" s="105"/>
      <c r="IL486" s="105"/>
      <c r="IM486" s="105"/>
      <c r="IN486" s="105"/>
      <c r="IO486" s="105"/>
      <c r="IP486" s="105"/>
      <c r="IQ486" s="105"/>
      <c r="IR486" s="105"/>
      <c r="IS486" s="105"/>
    </row>
    <row r="487" spans="1:253">
      <c r="A487" s="116"/>
      <c r="B487" s="105"/>
      <c r="C487" s="116"/>
      <c r="D487" s="116"/>
      <c r="E487" s="116"/>
      <c r="F487" s="116"/>
      <c r="G487" s="116"/>
      <c r="H487" s="116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5"/>
      <c r="BE487" s="105"/>
      <c r="BF487" s="105"/>
      <c r="BG487" s="105"/>
      <c r="BH487" s="105"/>
      <c r="BI487" s="105"/>
      <c r="BJ487" s="105"/>
      <c r="BK487" s="105"/>
      <c r="BL487" s="105"/>
      <c r="BM487" s="105"/>
      <c r="BN487" s="105"/>
      <c r="BO487" s="105"/>
      <c r="BP487" s="105"/>
      <c r="BQ487" s="105"/>
      <c r="BR487" s="105"/>
      <c r="BS487" s="105"/>
      <c r="BT487" s="105"/>
      <c r="BU487" s="105"/>
      <c r="BV487" s="105"/>
      <c r="BW487" s="105"/>
      <c r="BX487" s="105"/>
      <c r="BY487" s="105"/>
      <c r="BZ487" s="105"/>
      <c r="CA487" s="105"/>
      <c r="CB487" s="105"/>
      <c r="CC487" s="105"/>
      <c r="CD487" s="105"/>
      <c r="CE487" s="105"/>
      <c r="CF487" s="105"/>
      <c r="CG487" s="105"/>
      <c r="CH487" s="105"/>
      <c r="CI487" s="105"/>
      <c r="CJ487" s="105"/>
      <c r="CK487" s="105"/>
      <c r="CL487" s="105"/>
      <c r="CM487" s="105"/>
      <c r="CN487" s="105"/>
      <c r="CO487" s="105"/>
      <c r="CP487" s="105"/>
      <c r="CQ487" s="105"/>
      <c r="CR487" s="105"/>
      <c r="CS487" s="105"/>
      <c r="CT487" s="105"/>
      <c r="CU487" s="105"/>
      <c r="CV487" s="105"/>
      <c r="CW487" s="105"/>
      <c r="CX487" s="105"/>
      <c r="CY487" s="105"/>
      <c r="CZ487" s="105"/>
      <c r="DA487" s="105"/>
      <c r="DB487" s="105"/>
      <c r="DC487" s="105"/>
      <c r="DD487" s="105"/>
      <c r="DE487" s="105"/>
      <c r="DF487" s="105"/>
      <c r="DG487" s="105"/>
      <c r="DH487" s="105"/>
      <c r="DI487" s="105"/>
      <c r="DJ487" s="105"/>
      <c r="DK487" s="105"/>
      <c r="DL487" s="105"/>
      <c r="DM487" s="105"/>
      <c r="DN487" s="105"/>
      <c r="DO487" s="105"/>
      <c r="DP487" s="105"/>
      <c r="DQ487" s="105"/>
      <c r="DR487" s="105"/>
      <c r="DS487" s="105"/>
      <c r="DT487" s="105"/>
      <c r="DU487" s="105"/>
      <c r="DV487" s="105"/>
      <c r="DW487" s="105"/>
      <c r="DX487" s="105"/>
      <c r="DY487" s="105"/>
      <c r="DZ487" s="105"/>
      <c r="EA487" s="105"/>
      <c r="EB487" s="105"/>
      <c r="EC487" s="105"/>
      <c r="ED487" s="105"/>
      <c r="EE487" s="105"/>
      <c r="EF487" s="105"/>
      <c r="EG487" s="105"/>
      <c r="EH487" s="105"/>
      <c r="EI487" s="105"/>
      <c r="EJ487" s="105"/>
      <c r="EK487" s="105"/>
      <c r="EL487" s="105"/>
      <c r="EM487" s="105"/>
      <c r="EN487" s="105"/>
      <c r="EO487" s="105"/>
      <c r="EP487" s="105"/>
      <c r="EQ487" s="105"/>
      <c r="ER487" s="105"/>
      <c r="ES487" s="105"/>
      <c r="ET487" s="105"/>
      <c r="EU487" s="105"/>
      <c r="EV487" s="105"/>
      <c r="EW487" s="105"/>
      <c r="EX487" s="105"/>
      <c r="EY487" s="105"/>
      <c r="EZ487" s="105"/>
      <c r="FA487" s="105"/>
      <c r="FB487" s="105"/>
      <c r="FC487" s="105"/>
      <c r="FD487" s="105"/>
      <c r="FE487" s="105"/>
      <c r="FF487" s="105"/>
      <c r="FG487" s="105"/>
      <c r="FH487" s="105"/>
      <c r="FI487" s="105"/>
      <c r="FJ487" s="105"/>
      <c r="FK487" s="105"/>
      <c r="FL487" s="105"/>
      <c r="FM487" s="105"/>
      <c r="FN487" s="105"/>
      <c r="FO487" s="105"/>
      <c r="FP487" s="105"/>
      <c r="FQ487" s="105"/>
      <c r="FR487" s="105"/>
      <c r="FS487" s="105"/>
      <c r="FT487" s="105"/>
      <c r="FU487" s="105"/>
      <c r="FV487" s="105"/>
      <c r="FW487" s="105"/>
      <c r="FX487" s="105"/>
      <c r="FY487" s="105"/>
      <c r="FZ487" s="105"/>
      <c r="GA487" s="105"/>
      <c r="GB487" s="105"/>
      <c r="GC487" s="105"/>
      <c r="GD487" s="105"/>
      <c r="GE487" s="105"/>
      <c r="GF487" s="105"/>
      <c r="GG487" s="105"/>
      <c r="GH487" s="105"/>
      <c r="GI487" s="105"/>
      <c r="GJ487" s="105"/>
      <c r="GK487" s="105"/>
      <c r="GL487" s="105"/>
      <c r="GM487" s="105"/>
      <c r="GN487" s="105"/>
      <c r="GO487" s="105"/>
      <c r="GP487" s="105"/>
      <c r="GQ487" s="105"/>
      <c r="GR487" s="105"/>
      <c r="GS487" s="105"/>
      <c r="GT487" s="105"/>
      <c r="GU487" s="105"/>
      <c r="GV487" s="105"/>
      <c r="GW487" s="105"/>
      <c r="GX487" s="105"/>
      <c r="GY487" s="105"/>
      <c r="GZ487" s="105"/>
      <c r="HA487" s="105"/>
      <c r="HB487" s="105"/>
      <c r="HC487" s="105"/>
      <c r="HD487" s="105"/>
      <c r="HE487" s="105"/>
      <c r="HF487" s="105"/>
      <c r="HG487" s="105"/>
      <c r="HH487" s="105"/>
      <c r="HI487" s="105"/>
      <c r="HJ487" s="105"/>
      <c r="HK487" s="105"/>
      <c r="HL487" s="105"/>
      <c r="HM487" s="105"/>
      <c r="HN487" s="105"/>
      <c r="HO487" s="105"/>
      <c r="HP487" s="105"/>
      <c r="HQ487" s="105"/>
      <c r="HR487" s="105"/>
      <c r="HS487" s="105"/>
      <c r="HT487" s="105"/>
      <c r="HU487" s="105"/>
      <c r="HV487" s="105"/>
      <c r="HW487" s="105"/>
      <c r="HX487" s="105"/>
      <c r="HY487" s="105"/>
      <c r="HZ487" s="105"/>
      <c r="IA487" s="105"/>
      <c r="IB487" s="105"/>
      <c r="IC487" s="105"/>
      <c r="ID487" s="105"/>
      <c r="IE487" s="105"/>
      <c r="IF487" s="105"/>
      <c r="IG487" s="105"/>
      <c r="IH487" s="105"/>
      <c r="II487" s="105"/>
      <c r="IJ487" s="105"/>
      <c r="IK487" s="105"/>
      <c r="IL487" s="105"/>
      <c r="IM487" s="105"/>
      <c r="IN487" s="105"/>
      <c r="IO487" s="105"/>
      <c r="IP487" s="105"/>
      <c r="IQ487" s="105"/>
      <c r="IR487" s="105"/>
      <c r="IS487" s="105"/>
    </row>
    <row r="488" spans="1:253">
      <c r="A488" s="116"/>
      <c r="B488" s="105"/>
      <c r="C488" s="116"/>
      <c r="D488" s="116"/>
      <c r="E488" s="116"/>
      <c r="F488" s="116"/>
      <c r="G488" s="116"/>
      <c r="H488" s="116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05"/>
      <c r="BF488" s="105"/>
      <c r="BG488" s="105"/>
      <c r="BH488" s="105"/>
      <c r="BI488" s="105"/>
      <c r="BJ488" s="105"/>
      <c r="BK488" s="105"/>
      <c r="BL488" s="105"/>
      <c r="BM488" s="105"/>
      <c r="BN488" s="105"/>
      <c r="BO488" s="105"/>
      <c r="BP488" s="105"/>
      <c r="BQ488" s="105"/>
      <c r="BR488" s="105"/>
      <c r="BS488" s="105"/>
      <c r="BT488" s="105"/>
      <c r="BU488" s="105"/>
      <c r="BV488" s="105"/>
      <c r="BW488" s="105"/>
      <c r="BX488" s="105"/>
      <c r="BY488" s="105"/>
      <c r="BZ488" s="105"/>
      <c r="CA488" s="105"/>
      <c r="CB488" s="105"/>
      <c r="CC488" s="105"/>
      <c r="CD488" s="105"/>
      <c r="CE488" s="105"/>
      <c r="CF488" s="105"/>
      <c r="CG488" s="105"/>
      <c r="CH488" s="105"/>
      <c r="CI488" s="105"/>
      <c r="CJ488" s="105"/>
      <c r="CK488" s="105"/>
      <c r="CL488" s="105"/>
      <c r="CM488" s="105"/>
      <c r="CN488" s="105"/>
      <c r="CO488" s="105"/>
      <c r="CP488" s="105"/>
      <c r="CQ488" s="105"/>
      <c r="CR488" s="105"/>
      <c r="CS488" s="105"/>
      <c r="CT488" s="105"/>
      <c r="CU488" s="105"/>
      <c r="CV488" s="105"/>
      <c r="CW488" s="105"/>
      <c r="CX488" s="105"/>
      <c r="CY488" s="105"/>
      <c r="CZ488" s="105"/>
      <c r="DA488" s="105"/>
      <c r="DB488" s="105"/>
      <c r="DC488" s="105"/>
      <c r="DD488" s="105"/>
      <c r="DE488" s="105"/>
      <c r="DF488" s="105"/>
      <c r="DG488" s="105"/>
      <c r="DH488" s="105"/>
      <c r="DI488" s="105"/>
      <c r="DJ488" s="105"/>
      <c r="DK488" s="105"/>
      <c r="DL488" s="105"/>
      <c r="DM488" s="105"/>
      <c r="DN488" s="105"/>
      <c r="DO488" s="105"/>
      <c r="DP488" s="105"/>
      <c r="DQ488" s="105"/>
      <c r="DR488" s="105"/>
      <c r="DS488" s="105"/>
      <c r="DT488" s="105"/>
      <c r="DU488" s="105"/>
      <c r="DV488" s="105"/>
      <c r="DW488" s="105"/>
      <c r="DX488" s="105"/>
      <c r="DY488" s="105"/>
      <c r="DZ488" s="105"/>
      <c r="EA488" s="105"/>
      <c r="EB488" s="105"/>
      <c r="EC488" s="105"/>
      <c r="ED488" s="105"/>
      <c r="EE488" s="105"/>
      <c r="EF488" s="105"/>
      <c r="EG488" s="105"/>
      <c r="EH488" s="105"/>
      <c r="EI488" s="105"/>
      <c r="EJ488" s="105"/>
      <c r="EK488" s="105"/>
      <c r="EL488" s="105"/>
      <c r="EM488" s="105"/>
      <c r="EN488" s="105"/>
      <c r="EO488" s="105"/>
      <c r="EP488" s="105"/>
      <c r="EQ488" s="105"/>
      <c r="ER488" s="105"/>
      <c r="ES488" s="105"/>
      <c r="ET488" s="105"/>
      <c r="EU488" s="105"/>
      <c r="EV488" s="105"/>
      <c r="EW488" s="105"/>
      <c r="EX488" s="105"/>
      <c r="EY488" s="105"/>
      <c r="EZ488" s="105"/>
      <c r="FA488" s="105"/>
      <c r="FB488" s="105"/>
      <c r="FC488" s="105"/>
      <c r="FD488" s="105"/>
      <c r="FE488" s="105"/>
      <c r="FF488" s="105"/>
      <c r="FG488" s="105"/>
      <c r="FH488" s="105"/>
      <c r="FI488" s="105"/>
      <c r="FJ488" s="105"/>
      <c r="FK488" s="105"/>
      <c r="FL488" s="105"/>
      <c r="FM488" s="105"/>
      <c r="FN488" s="105"/>
      <c r="FO488" s="105"/>
      <c r="FP488" s="105"/>
      <c r="FQ488" s="105"/>
      <c r="FR488" s="105"/>
      <c r="FS488" s="105"/>
      <c r="FT488" s="105"/>
      <c r="FU488" s="105"/>
      <c r="FV488" s="105"/>
      <c r="FW488" s="105"/>
      <c r="FX488" s="105"/>
      <c r="FY488" s="105"/>
      <c r="FZ488" s="105"/>
      <c r="GA488" s="105"/>
      <c r="GB488" s="105"/>
      <c r="GC488" s="105"/>
      <c r="GD488" s="105"/>
      <c r="GE488" s="105"/>
      <c r="GF488" s="105"/>
      <c r="GG488" s="105"/>
      <c r="GH488" s="105"/>
      <c r="GI488" s="105"/>
      <c r="GJ488" s="105"/>
      <c r="GK488" s="105"/>
      <c r="GL488" s="105"/>
      <c r="GM488" s="105"/>
      <c r="GN488" s="105"/>
      <c r="GO488" s="105"/>
      <c r="GP488" s="105"/>
      <c r="GQ488" s="105"/>
      <c r="GR488" s="105"/>
      <c r="GS488" s="105"/>
      <c r="GT488" s="105"/>
      <c r="GU488" s="105"/>
      <c r="GV488" s="105"/>
      <c r="GW488" s="105"/>
      <c r="GX488" s="105"/>
      <c r="GY488" s="105"/>
      <c r="GZ488" s="105"/>
      <c r="HA488" s="105"/>
      <c r="HB488" s="105"/>
      <c r="HC488" s="105"/>
      <c r="HD488" s="105"/>
      <c r="HE488" s="105"/>
      <c r="HF488" s="105"/>
      <c r="HG488" s="105"/>
      <c r="HH488" s="105"/>
      <c r="HI488" s="105"/>
      <c r="HJ488" s="105"/>
      <c r="HK488" s="105"/>
      <c r="HL488" s="105"/>
      <c r="HM488" s="105"/>
      <c r="HN488" s="105"/>
      <c r="HO488" s="105"/>
      <c r="HP488" s="105"/>
      <c r="HQ488" s="105"/>
      <c r="HR488" s="105"/>
      <c r="HS488" s="105"/>
      <c r="HT488" s="105"/>
      <c r="HU488" s="105"/>
      <c r="HV488" s="105"/>
      <c r="HW488" s="105"/>
      <c r="HX488" s="105"/>
      <c r="HY488" s="105"/>
      <c r="HZ488" s="105"/>
      <c r="IA488" s="105"/>
      <c r="IB488" s="105"/>
      <c r="IC488" s="105"/>
      <c r="ID488" s="105"/>
      <c r="IE488" s="105"/>
      <c r="IF488" s="105"/>
      <c r="IG488" s="105"/>
      <c r="IH488" s="105"/>
      <c r="II488" s="105"/>
      <c r="IJ488" s="105"/>
      <c r="IK488" s="105"/>
      <c r="IL488" s="105"/>
      <c r="IM488" s="105"/>
      <c r="IN488" s="105"/>
      <c r="IO488" s="105"/>
      <c r="IP488" s="105"/>
      <c r="IQ488" s="105"/>
      <c r="IR488" s="105"/>
      <c r="IS488" s="105"/>
    </row>
    <row r="489" spans="1:253">
      <c r="A489" s="116"/>
      <c r="B489" s="105"/>
      <c r="C489" s="116"/>
      <c r="D489" s="116"/>
      <c r="E489" s="116"/>
      <c r="F489" s="116"/>
      <c r="G489" s="116"/>
      <c r="H489" s="116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  <c r="AU489" s="105"/>
      <c r="AV489" s="105"/>
      <c r="AW489" s="105"/>
      <c r="AX489" s="105"/>
      <c r="AY489" s="105"/>
      <c r="AZ489" s="105"/>
      <c r="BA489" s="105"/>
      <c r="BB489" s="105"/>
      <c r="BC489" s="105"/>
      <c r="BD489" s="105"/>
      <c r="BE489" s="105"/>
      <c r="BF489" s="105"/>
      <c r="BG489" s="105"/>
      <c r="BH489" s="105"/>
      <c r="BI489" s="105"/>
      <c r="BJ489" s="105"/>
      <c r="BK489" s="105"/>
      <c r="BL489" s="105"/>
      <c r="BM489" s="105"/>
      <c r="BN489" s="105"/>
      <c r="BO489" s="105"/>
      <c r="BP489" s="105"/>
      <c r="BQ489" s="105"/>
      <c r="BR489" s="105"/>
      <c r="BS489" s="105"/>
      <c r="BT489" s="105"/>
      <c r="BU489" s="105"/>
      <c r="BV489" s="105"/>
      <c r="BW489" s="105"/>
      <c r="BX489" s="105"/>
      <c r="BY489" s="105"/>
      <c r="BZ489" s="105"/>
      <c r="CA489" s="105"/>
      <c r="CB489" s="105"/>
      <c r="CC489" s="105"/>
      <c r="CD489" s="105"/>
      <c r="CE489" s="105"/>
      <c r="CF489" s="105"/>
      <c r="CG489" s="105"/>
      <c r="CH489" s="105"/>
      <c r="CI489" s="105"/>
      <c r="CJ489" s="105"/>
      <c r="CK489" s="105"/>
      <c r="CL489" s="105"/>
      <c r="CM489" s="105"/>
      <c r="CN489" s="105"/>
      <c r="CO489" s="105"/>
      <c r="CP489" s="105"/>
      <c r="CQ489" s="105"/>
      <c r="CR489" s="105"/>
      <c r="CS489" s="105"/>
      <c r="CT489" s="105"/>
      <c r="CU489" s="105"/>
      <c r="CV489" s="105"/>
      <c r="CW489" s="105"/>
      <c r="CX489" s="105"/>
      <c r="CY489" s="105"/>
      <c r="CZ489" s="105"/>
      <c r="DA489" s="105"/>
      <c r="DB489" s="105"/>
      <c r="DC489" s="105"/>
      <c r="DD489" s="105"/>
      <c r="DE489" s="105"/>
      <c r="DF489" s="105"/>
      <c r="DG489" s="105"/>
      <c r="DH489" s="105"/>
      <c r="DI489" s="105"/>
      <c r="DJ489" s="105"/>
      <c r="DK489" s="105"/>
      <c r="DL489" s="105"/>
      <c r="DM489" s="105"/>
      <c r="DN489" s="105"/>
      <c r="DO489" s="105"/>
      <c r="DP489" s="105"/>
      <c r="DQ489" s="105"/>
      <c r="DR489" s="105"/>
      <c r="DS489" s="105"/>
      <c r="DT489" s="105"/>
      <c r="DU489" s="105"/>
      <c r="DV489" s="105"/>
      <c r="DW489" s="105"/>
      <c r="DX489" s="105"/>
      <c r="DY489" s="105"/>
      <c r="DZ489" s="105"/>
      <c r="EA489" s="105"/>
      <c r="EB489" s="105"/>
      <c r="EC489" s="105"/>
      <c r="ED489" s="105"/>
      <c r="EE489" s="105"/>
      <c r="EF489" s="105"/>
      <c r="EG489" s="105"/>
      <c r="EH489" s="105"/>
      <c r="EI489" s="105"/>
      <c r="EJ489" s="105"/>
      <c r="EK489" s="105"/>
      <c r="EL489" s="105"/>
      <c r="EM489" s="105"/>
      <c r="EN489" s="105"/>
      <c r="EO489" s="105"/>
      <c r="EP489" s="105"/>
      <c r="EQ489" s="105"/>
      <c r="ER489" s="105"/>
      <c r="ES489" s="105"/>
      <c r="ET489" s="105"/>
      <c r="EU489" s="105"/>
      <c r="EV489" s="105"/>
      <c r="EW489" s="105"/>
      <c r="EX489" s="105"/>
      <c r="EY489" s="105"/>
      <c r="EZ489" s="105"/>
      <c r="FA489" s="105"/>
      <c r="FB489" s="105"/>
      <c r="FC489" s="105"/>
      <c r="FD489" s="105"/>
      <c r="FE489" s="105"/>
      <c r="FF489" s="105"/>
      <c r="FG489" s="105"/>
      <c r="FH489" s="105"/>
      <c r="FI489" s="105"/>
      <c r="FJ489" s="105"/>
      <c r="FK489" s="105"/>
      <c r="FL489" s="105"/>
      <c r="FM489" s="105"/>
      <c r="FN489" s="105"/>
      <c r="FO489" s="105"/>
      <c r="FP489" s="105"/>
      <c r="FQ489" s="105"/>
      <c r="FR489" s="105"/>
      <c r="FS489" s="105"/>
      <c r="FT489" s="105"/>
      <c r="FU489" s="105"/>
      <c r="FV489" s="105"/>
      <c r="FW489" s="105"/>
      <c r="FX489" s="105"/>
      <c r="FY489" s="105"/>
      <c r="FZ489" s="105"/>
      <c r="GA489" s="105"/>
      <c r="GB489" s="105"/>
      <c r="GC489" s="105"/>
      <c r="GD489" s="105"/>
      <c r="GE489" s="105"/>
      <c r="GF489" s="105"/>
      <c r="GG489" s="105"/>
      <c r="GH489" s="105"/>
      <c r="GI489" s="105"/>
      <c r="GJ489" s="105"/>
      <c r="GK489" s="105"/>
      <c r="GL489" s="105"/>
      <c r="GM489" s="105"/>
      <c r="GN489" s="105"/>
      <c r="GO489" s="105"/>
      <c r="GP489" s="105"/>
      <c r="GQ489" s="105"/>
      <c r="GR489" s="105"/>
      <c r="GS489" s="105"/>
      <c r="GT489" s="105"/>
      <c r="GU489" s="105"/>
      <c r="GV489" s="105"/>
      <c r="GW489" s="105"/>
      <c r="GX489" s="105"/>
      <c r="GY489" s="105"/>
      <c r="GZ489" s="105"/>
      <c r="HA489" s="105"/>
      <c r="HB489" s="105"/>
      <c r="HC489" s="105"/>
      <c r="HD489" s="105"/>
      <c r="HE489" s="105"/>
      <c r="HF489" s="105"/>
      <c r="HG489" s="105"/>
      <c r="HH489" s="105"/>
      <c r="HI489" s="105"/>
      <c r="HJ489" s="105"/>
      <c r="HK489" s="105"/>
      <c r="HL489" s="105"/>
      <c r="HM489" s="105"/>
      <c r="HN489" s="105"/>
      <c r="HO489" s="105"/>
      <c r="HP489" s="105"/>
      <c r="HQ489" s="105"/>
      <c r="HR489" s="105"/>
      <c r="HS489" s="105"/>
      <c r="HT489" s="105"/>
      <c r="HU489" s="105"/>
      <c r="HV489" s="105"/>
      <c r="HW489" s="105"/>
      <c r="HX489" s="105"/>
      <c r="HY489" s="105"/>
      <c r="HZ489" s="105"/>
      <c r="IA489" s="105"/>
      <c r="IB489" s="105"/>
      <c r="IC489" s="105"/>
      <c r="ID489" s="105"/>
      <c r="IE489" s="105"/>
      <c r="IF489" s="105"/>
      <c r="IG489" s="105"/>
      <c r="IH489" s="105"/>
      <c r="II489" s="105"/>
      <c r="IJ489" s="105"/>
      <c r="IK489" s="105"/>
      <c r="IL489" s="105"/>
      <c r="IM489" s="105"/>
      <c r="IN489" s="105"/>
      <c r="IO489" s="105"/>
      <c r="IP489" s="105"/>
      <c r="IQ489" s="105"/>
      <c r="IR489" s="105"/>
      <c r="IS489" s="105"/>
    </row>
    <row r="490" spans="1:253">
      <c r="A490" s="116"/>
      <c r="B490" s="105"/>
      <c r="C490" s="116"/>
      <c r="D490" s="116"/>
      <c r="E490" s="116"/>
      <c r="F490" s="116"/>
      <c r="G490" s="116"/>
      <c r="H490" s="116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05"/>
      <c r="BF490" s="105"/>
      <c r="BG490" s="105"/>
      <c r="BH490" s="105"/>
      <c r="BI490" s="105"/>
      <c r="BJ490" s="105"/>
      <c r="BK490" s="105"/>
      <c r="BL490" s="105"/>
      <c r="BM490" s="105"/>
      <c r="BN490" s="105"/>
      <c r="BO490" s="105"/>
      <c r="BP490" s="105"/>
      <c r="BQ490" s="105"/>
      <c r="BR490" s="105"/>
      <c r="BS490" s="105"/>
      <c r="BT490" s="105"/>
      <c r="BU490" s="105"/>
      <c r="BV490" s="105"/>
      <c r="BW490" s="105"/>
      <c r="BX490" s="105"/>
      <c r="BY490" s="105"/>
      <c r="BZ490" s="105"/>
      <c r="CA490" s="105"/>
      <c r="CB490" s="105"/>
      <c r="CC490" s="105"/>
      <c r="CD490" s="105"/>
      <c r="CE490" s="105"/>
      <c r="CF490" s="105"/>
      <c r="CG490" s="105"/>
      <c r="CH490" s="105"/>
      <c r="CI490" s="105"/>
      <c r="CJ490" s="105"/>
      <c r="CK490" s="105"/>
      <c r="CL490" s="105"/>
      <c r="CM490" s="105"/>
      <c r="CN490" s="105"/>
      <c r="CO490" s="105"/>
      <c r="CP490" s="105"/>
      <c r="CQ490" s="105"/>
      <c r="CR490" s="105"/>
      <c r="CS490" s="105"/>
      <c r="CT490" s="105"/>
      <c r="CU490" s="105"/>
      <c r="CV490" s="105"/>
      <c r="CW490" s="105"/>
      <c r="CX490" s="105"/>
      <c r="CY490" s="105"/>
      <c r="CZ490" s="105"/>
      <c r="DA490" s="105"/>
      <c r="DB490" s="105"/>
      <c r="DC490" s="105"/>
      <c r="DD490" s="105"/>
      <c r="DE490" s="105"/>
      <c r="DF490" s="105"/>
      <c r="DG490" s="105"/>
      <c r="DH490" s="105"/>
      <c r="DI490" s="105"/>
      <c r="DJ490" s="105"/>
      <c r="DK490" s="105"/>
      <c r="DL490" s="105"/>
      <c r="DM490" s="105"/>
      <c r="DN490" s="105"/>
      <c r="DO490" s="105"/>
      <c r="DP490" s="105"/>
      <c r="DQ490" s="105"/>
      <c r="DR490" s="105"/>
      <c r="DS490" s="105"/>
      <c r="DT490" s="105"/>
      <c r="DU490" s="105"/>
      <c r="DV490" s="105"/>
      <c r="DW490" s="105"/>
      <c r="DX490" s="105"/>
      <c r="DY490" s="105"/>
      <c r="DZ490" s="105"/>
      <c r="EA490" s="105"/>
      <c r="EB490" s="105"/>
      <c r="EC490" s="105"/>
      <c r="ED490" s="105"/>
      <c r="EE490" s="105"/>
      <c r="EF490" s="105"/>
      <c r="EG490" s="105"/>
      <c r="EH490" s="105"/>
      <c r="EI490" s="105"/>
      <c r="EJ490" s="105"/>
      <c r="EK490" s="105"/>
      <c r="EL490" s="105"/>
      <c r="EM490" s="105"/>
      <c r="EN490" s="105"/>
      <c r="EO490" s="105"/>
      <c r="EP490" s="105"/>
      <c r="EQ490" s="105"/>
      <c r="ER490" s="105"/>
      <c r="ES490" s="105"/>
      <c r="ET490" s="105"/>
      <c r="EU490" s="105"/>
      <c r="EV490" s="105"/>
      <c r="EW490" s="105"/>
      <c r="EX490" s="105"/>
      <c r="EY490" s="105"/>
      <c r="EZ490" s="105"/>
      <c r="FA490" s="105"/>
      <c r="FB490" s="105"/>
      <c r="FC490" s="105"/>
      <c r="FD490" s="105"/>
      <c r="FE490" s="105"/>
      <c r="FF490" s="105"/>
      <c r="FG490" s="105"/>
      <c r="FH490" s="105"/>
      <c r="FI490" s="105"/>
      <c r="FJ490" s="105"/>
      <c r="FK490" s="105"/>
      <c r="FL490" s="105"/>
      <c r="FM490" s="105"/>
      <c r="FN490" s="105"/>
      <c r="FO490" s="105"/>
      <c r="FP490" s="105"/>
      <c r="FQ490" s="105"/>
      <c r="FR490" s="105"/>
      <c r="FS490" s="105"/>
      <c r="FT490" s="105"/>
      <c r="FU490" s="105"/>
      <c r="FV490" s="105"/>
      <c r="FW490" s="105"/>
      <c r="FX490" s="105"/>
      <c r="FY490" s="105"/>
      <c r="FZ490" s="105"/>
      <c r="GA490" s="105"/>
      <c r="GB490" s="105"/>
      <c r="GC490" s="105"/>
      <c r="GD490" s="105"/>
      <c r="GE490" s="105"/>
      <c r="GF490" s="105"/>
      <c r="GG490" s="105"/>
      <c r="GH490" s="105"/>
      <c r="GI490" s="105"/>
      <c r="GJ490" s="105"/>
      <c r="GK490" s="105"/>
      <c r="GL490" s="105"/>
      <c r="GM490" s="105"/>
      <c r="GN490" s="105"/>
      <c r="GO490" s="105"/>
      <c r="GP490" s="105"/>
      <c r="GQ490" s="105"/>
      <c r="GR490" s="105"/>
      <c r="GS490" s="105"/>
      <c r="GT490" s="105"/>
      <c r="GU490" s="105"/>
      <c r="GV490" s="105"/>
      <c r="GW490" s="105"/>
      <c r="GX490" s="105"/>
      <c r="GY490" s="105"/>
      <c r="GZ490" s="105"/>
      <c r="HA490" s="105"/>
      <c r="HB490" s="105"/>
      <c r="HC490" s="105"/>
      <c r="HD490" s="105"/>
      <c r="HE490" s="105"/>
      <c r="HF490" s="105"/>
      <c r="HG490" s="105"/>
      <c r="HH490" s="105"/>
      <c r="HI490" s="105"/>
      <c r="HJ490" s="105"/>
      <c r="HK490" s="105"/>
      <c r="HL490" s="105"/>
      <c r="HM490" s="105"/>
      <c r="HN490" s="105"/>
      <c r="HO490" s="105"/>
      <c r="HP490" s="105"/>
      <c r="HQ490" s="105"/>
      <c r="HR490" s="105"/>
      <c r="HS490" s="105"/>
      <c r="HT490" s="105"/>
      <c r="HU490" s="105"/>
      <c r="HV490" s="105"/>
      <c r="HW490" s="105"/>
      <c r="HX490" s="105"/>
      <c r="HY490" s="105"/>
      <c r="HZ490" s="105"/>
      <c r="IA490" s="105"/>
      <c r="IB490" s="105"/>
      <c r="IC490" s="105"/>
      <c r="ID490" s="105"/>
      <c r="IE490" s="105"/>
      <c r="IF490" s="105"/>
      <c r="IG490" s="105"/>
      <c r="IH490" s="105"/>
      <c r="II490" s="105"/>
      <c r="IJ490" s="105"/>
      <c r="IK490" s="105"/>
      <c r="IL490" s="105"/>
      <c r="IM490" s="105"/>
      <c r="IN490" s="105"/>
      <c r="IO490" s="105"/>
      <c r="IP490" s="105"/>
      <c r="IQ490" s="105"/>
      <c r="IR490" s="105"/>
      <c r="IS490" s="105"/>
    </row>
    <row r="491" spans="1:253">
      <c r="A491" s="116"/>
      <c r="B491" s="105"/>
      <c r="C491" s="116"/>
      <c r="D491" s="116"/>
      <c r="E491" s="116"/>
      <c r="F491" s="116"/>
      <c r="G491" s="116"/>
      <c r="H491" s="116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5"/>
      <c r="BE491" s="105"/>
      <c r="BF491" s="105"/>
      <c r="BG491" s="105"/>
      <c r="BH491" s="105"/>
      <c r="BI491" s="105"/>
      <c r="BJ491" s="105"/>
      <c r="BK491" s="105"/>
      <c r="BL491" s="105"/>
      <c r="BM491" s="105"/>
      <c r="BN491" s="105"/>
      <c r="BO491" s="105"/>
      <c r="BP491" s="105"/>
      <c r="BQ491" s="105"/>
      <c r="BR491" s="105"/>
      <c r="BS491" s="105"/>
      <c r="BT491" s="105"/>
      <c r="BU491" s="105"/>
      <c r="BV491" s="105"/>
      <c r="BW491" s="105"/>
      <c r="BX491" s="105"/>
      <c r="BY491" s="105"/>
      <c r="BZ491" s="105"/>
      <c r="CA491" s="105"/>
      <c r="CB491" s="105"/>
      <c r="CC491" s="105"/>
      <c r="CD491" s="105"/>
      <c r="CE491" s="105"/>
      <c r="CF491" s="105"/>
      <c r="CG491" s="105"/>
      <c r="CH491" s="105"/>
      <c r="CI491" s="105"/>
      <c r="CJ491" s="105"/>
      <c r="CK491" s="105"/>
      <c r="CL491" s="105"/>
      <c r="CM491" s="105"/>
      <c r="CN491" s="105"/>
      <c r="CO491" s="105"/>
      <c r="CP491" s="105"/>
      <c r="CQ491" s="105"/>
      <c r="CR491" s="105"/>
      <c r="CS491" s="105"/>
      <c r="CT491" s="105"/>
      <c r="CU491" s="105"/>
      <c r="CV491" s="105"/>
      <c r="CW491" s="105"/>
      <c r="CX491" s="105"/>
      <c r="CY491" s="105"/>
      <c r="CZ491" s="105"/>
      <c r="DA491" s="105"/>
      <c r="DB491" s="105"/>
      <c r="DC491" s="105"/>
      <c r="DD491" s="105"/>
      <c r="DE491" s="105"/>
      <c r="DF491" s="105"/>
      <c r="DG491" s="105"/>
      <c r="DH491" s="105"/>
      <c r="DI491" s="105"/>
      <c r="DJ491" s="105"/>
      <c r="DK491" s="105"/>
      <c r="DL491" s="105"/>
      <c r="DM491" s="105"/>
      <c r="DN491" s="105"/>
      <c r="DO491" s="105"/>
      <c r="DP491" s="105"/>
      <c r="DQ491" s="105"/>
      <c r="DR491" s="105"/>
      <c r="DS491" s="105"/>
      <c r="DT491" s="105"/>
      <c r="DU491" s="105"/>
      <c r="DV491" s="105"/>
      <c r="DW491" s="105"/>
      <c r="DX491" s="105"/>
      <c r="DY491" s="105"/>
      <c r="DZ491" s="105"/>
      <c r="EA491" s="105"/>
      <c r="EB491" s="105"/>
      <c r="EC491" s="105"/>
      <c r="ED491" s="105"/>
      <c r="EE491" s="105"/>
      <c r="EF491" s="105"/>
      <c r="EG491" s="105"/>
      <c r="EH491" s="105"/>
      <c r="EI491" s="105"/>
      <c r="EJ491" s="105"/>
      <c r="EK491" s="105"/>
      <c r="EL491" s="105"/>
      <c r="EM491" s="105"/>
      <c r="EN491" s="105"/>
      <c r="EO491" s="105"/>
      <c r="EP491" s="105"/>
      <c r="EQ491" s="105"/>
      <c r="ER491" s="105"/>
      <c r="ES491" s="105"/>
      <c r="ET491" s="105"/>
      <c r="EU491" s="105"/>
      <c r="EV491" s="105"/>
      <c r="EW491" s="105"/>
      <c r="EX491" s="105"/>
      <c r="EY491" s="105"/>
      <c r="EZ491" s="105"/>
      <c r="FA491" s="105"/>
      <c r="FB491" s="105"/>
      <c r="FC491" s="105"/>
      <c r="FD491" s="105"/>
      <c r="FE491" s="105"/>
      <c r="FF491" s="105"/>
      <c r="FG491" s="105"/>
      <c r="FH491" s="105"/>
      <c r="FI491" s="105"/>
      <c r="FJ491" s="105"/>
      <c r="FK491" s="105"/>
      <c r="FL491" s="105"/>
      <c r="FM491" s="105"/>
      <c r="FN491" s="105"/>
      <c r="FO491" s="105"/>
      <c r="FP491" s="105"/>
      <c r="FQ491" s="105"/>
      <c r="FR491" s="105"/>
      <c r="FS491" s="105"/>
      <c r="FT491" s="105"/>
      <c r="FU491" s="105"/>
      <c r="FV491" s="105"/>
      <c r="FW491" s="105"/>
      <c r="FX491" s="105"/>
      <c r="FY491" s="105"/>
      <c r="FZ491" s="105"/>
      <c r="GA491" s="105"/>
      <c r="GB491" s="105"/>
      <c r="GC491" s="105"/>
      <c r="GD491" s="105"/>
      <c r="GE491" s="105"/>
      <c r="GF491" s="105"/>
      <c r="GG491" s="105"/>
      <c r="GH491" s="105"/>
      <c r="GI491" s="105"/>
      <c r="GJ491" s="105"/>
      <c r="GK491" s="105"/>
      <c r="GL491" s="105"/>
      <c r="GM491" s="105"/>
      <c r="GN491" s="105"/>
      <c r="GO491" s="105"/>
      <c r="GP491" s="105"/>
      <c r="GQ491" s="105"/>
      <c r="GR491" s="105"/>
      <c r="GS491" s="105"/>
      <c r="GT491" s="105"/>
      <c r="GU491" s="105"/>
      <c r="GV491" s="105"/>
      <c r="GW491" s="105"/>
      <c r="GX491" s="105"/>
      <c r="GY491" s="105"/>
      <c r="GZ491" s="105"/>
      <c r="HA491" s="105"/>
      <c r="HB491" s="105"/>
      <c r="HC491" s="105"/>
      <c r="HD491" s="105"/>
      <c r="HE491" s="105"/>
      <c r="HF491" s="105"/>
      <c r="HG491" s="105"/>
      <c r="HH491" s="105"/>
      <c r="HI491" s="105"/>
      <c r="HJ491" s="105"/>
      <c r="HK491" s="105"/>
      <c r="HL491" s="105"/>
      <c r="HM491" s="105"/>
      <c r="HN491" s="105"/>
      <c r="HO491" s="105"/>
      <c r="HP491" s="105"/>
      <c r="HQ491" s="105"/>
      <c r="HR491" s="105"/>
      <c r="HS491" s="105"/>
      <c r="HT491" s="105"/>
      <c r="HU491" s="105"/>
      <c r="HV491" s="105"/>
      <c r="HW491" s="105"/>
      <c r="HX491" s="105"/>
      <c r="HY491" s="105"/>
      <c r="HZ491" s="105"/>
      <c r="IA491" s="105"/>
      <c r="IB491" s="105"/>
      <c r="IC491" s="105"/>
      <c r="ID491" s="105"/>
      <c r="IE491" s="105"/>
      <c r="IF491" s="105"/>
      <c r="IG491" s="105"/>
      <c r="IH491" s="105"/>
      <c r="II491" s="105"/>
      <c r="IJ491" s="105"/>
      <c r="IK491" s="105"/>
      <c r="IL491" s="105"/>
      <c r="IM491" s="105"/>
      <c r="IN491" s="105"/>
      <c r="IO491" s="105"/>
      <c r="IP491" s="105"/>
      <c r="IQ491" s="105"/>
      <c r="IR491" s="105"/>
      <c r="IS491" s="105"/>
    </row>
    <row r="492" spans="1:253">
      <c r="A492" s="116"/>
      <c r="B492" s="105"/>
      <c r="C492" s="116"/>
      <c r="D492" s="116"/>
      <c r="E492" s="116"/>
      <c r="F492" s="116"/>
      <c r="G492" s="116"/>
      <c r="H492" s="116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05"/>
      <c r="BF492" s="105"/>
      <c r="BG492" s="105"/>
      <c r="BH492" s="105"/>
      <c r="BI492" s="105"/>
      <c r="BJ492" s="105"/>
      <c r="BK492" s="105"/>
      <c r="BL492" s="105"/>
      <c r="BM492" s="105"/>
      <c r="BN492" s="105"/>
      <c r="BO492" s="105"/>
      <c r="BP492" s="105"/>
      <c r="BQ492" s="105"/>
      <c r="BR492" s="105"/>
      <c r="BS492" s="105"/>
      <c r="BT492" s="105"/>
      <c r="BU492" s="105"/>
      <c r="BV492" s="105"/>
      <c r="BW492" s="105"/>
      <c r="BX492" s="105"/>
      <c r="BY492" s="105"/>
      <c r="BZ492" s="105"/>
      <c r="CA492" s="105"/>
      <c r="CB492" s="105"/>
      <c r="CC492" s="105"/>
      <c r="CD492" s="105"/>
      <c r="CE492" s="105"/>
      <c r="CF492" s="105"/>
      <c r="CG492" s="105"/>
      <c r="CH492" s="105"/>
      <c r="CI492" s="105"/>
      <c r="CJ492" s="105"/>
      <c r="CK492" s="105"/>
      <c r="CL492" s="105"/>
      <c r="CM492" s="105"/>
      <c r="CN492" s="105"/>
      <c r="CO492" s="105"/>
      <c r="CP492" s="105"/>
      <c r="CQ492" s="105"/>
      <c r="CR492" s="105"/>
      <c r="CS492" s="105"/>
      <c r="CT492" s="105"/>
      <c r="CU492" s="105"/>
      <c r="CV492" s="105"/>
      <c r="CW492" s="105"/>
      <c r="CX492" s="105"/>
      <c r="CY492" s="105"/>
      <c r="CZ492" s="105"/>
      <c r="DA492" s="105"/>
      <c r="DB492" s="105"/>
      <c r="DC492" s="105"/>
      <c r="DD492" s="105"/>
      <c r="DE492" s="105"/>
      <c r="DF492" s="105"/>
      <c r="DG492" s="105"/>
      <c r="DH492" s="105"/>
      <c r="DI492" s="105"/>
      <c r="DJ492" s="105"/>
      <c r="DK492" s="105"/>
      <c r="DL492" s="105"/>
      <c r="DM492" s="105"/>
      <c r="DN492" s="105"/>
      <c r="DO492" s="105"/>
      <c r="DP492" s="105"/>
      <c r="DQ492" s="105"/>
      <c r="DR492" s="105"/>
      <c r="DS492" s="105"/>
      <c r="DT492" s="105"/>
      <c r="DU492" s="105"/>
      <c r="DV492" s="105"/>
      <c r="DW492" s="105"/>
      <c r="DX492" s="105"/>
      <c r="DY492" s="105"/>
      <c r="DZ492" s="105"/>
      <c r="EA492" s="105"/>
      <c r="EB492" s="105"/>
      <c r="EC492" s="105"/>
      <c r="ED492" s="105"/>
      <c r="EE492" s="105"/>
      <c r="EF492" s="105"/>
      <c r="EG492" s="105"/>
      <c r="EH492" s="105"/>
      <c r="EI492" s="105"/>
      <c r="EJ492" s="105"/>
      <c r="EK492" s="105"/>
      <c r="EL492" s="105"/>
      <c r="EM492" s="105"/>
      <c r="EN492" s="105"/>
      <c r="EO492" s="105"/>
      <c r="EP492" s="105"/>
      <c r="EQ492" s="105"/>
      <c r="ER492" s="105"/>
      <c r="ES492" s="105"/>
      <c r="ET492" s="105"/>
      <c r="EU492" s="105"/>
      <c r="EV492" s="105"/>
      <c r="EW492" s="105"/>
      <c r="EX492" s="105"/>
      <c r="EY492" s="105"/>
      <c r="EZ492" s="105"/>
      <c r="FA492" s="105"/>
      <c r="FB492" s="105"/>
      <c r="FC492" s="105"/>
      <c r="FD492" s="105"/>
      <c r="FE492" s="105"/>
      <c r="FF492" s="105"/>
      <c r="FG492" s="105"/>
      <c r="FH492" s="105"/>
      <c r="FI492" s="105"/>
      <c r="FJ492" s="105"/>
      <c r="FK492" s="105"/>
      <c r="FL492" s="105"/>
      <c r="FM492" s="105"/>
      <c r="FN492" s="105"/>
      <c r="FO492" s="105"/>
      <c r="FP492" s="105"/>
      <c r="FQ492" s="105"/>
      <c r="FR492" s="105"/>
      <c r="FS492" s="105"/>
      <c r="FT492" s="105"/>
      <c r="FU492" s="105"/>
      <c r="FV492" s="105"/>
      <c r="FW492" s="105"/>
      <c r="FX492" s="105"/>
      <c r="FY492" s="105"/>
      <c r="FZ492" s="105"/>
      <c r="GA492" s="105"/>
      <c r="GB492" s="105"/>
      <c r="GC492" s="105"/>
      <c r="GD492" s="105"/>
      <c r="GE492" s="105"/>
      <c r="GF492" s="105"/>
      <c r="GG492" s="105"/>
      <c r="GH492" s="105"/>
      <c r="GI492" s="105"/>
      <c r="GJ492" s="105"/>
      <c r="GK492" s="105"/>
      <c r="GL492" s="105"/>
      <c r="GM492" s="105"/>
      <c r="GN492" s="105"/>
      <c r="GO492" s="105"/>
      <c r="GP492" s="105"/>
      <c r="GQ492" s="105"/>
      <c r="GR492" s="105"/>
      <c r="GS492" s="105"/>
      <c r="GT492" s="105"/>
      <c r="GU492" s="105"/>
      <c r="GV492" s="105"/>
      <c r="GW492" s="105"/>
      <c r="GX492" s="105"/>
      <c r="GY492" s="105"/>
      <c r="GZ492" s="105"/>
      <c r="HA492" s="105"/>
      <c r="HB492" s="105"/>
      <c r="HC492" s="105"/>
      <c r="HD492" s="105"/>
      <c r="HE492" s="105"/>
      <c r="HF492" s="105"/>
      <c r="HG492" s="105"/>
      <c r="HH492" s="105"/>
      <c r="HI492" s="105"/>
      <c r="HJ492" s="105"/>
      <c r="HK492" s="105"/>
      <c r="HL492" s="105"/>
      <c r="HM492" s="105"/>
      <c r="HN492" s="105"/>
      <c r="HO492" s="105"/>
      <c r="HP492" s="105"/>
      <c r="HQ492" s="105"/>
      <c r="HR492" s="105"/>
      <c r="HS492" s="105"/>
      <c r="HT492" s="105"/>
      <c r="HU492" s="105"/>
      <c r="HV492" s="105"/>
      <c r="HW492" s="105"/>
      <c r="HX492" s="105"/>
      <c r="HY492" s="105"/>
      <c r="HZ492" s="105"/>
      <c r="IA492" s="105"/>
      <c r="IB492" s="105"/>
      <c r="IC492" s="105"/>
      <c r="ID492" s="105"/>
      <c r="IE492" s="105"/>
      <c r="IF492" s="105"/>
      <c r="IG492" s="105"/>
      <c r="IH492" s="105"/>
      <c r="II492" s="105"/>
      <c r="IJ492" s="105"/>
      <c r="IK492" s="105"/>
      <c r="IL492" s="105"/>
      <c r="IM492" s="105"/>
      <c r="IN492" s="105"/>
      <c r="IO492" s="105"/>
      <c r="IP492" s="105"/>
      <c r="IQ492" s="105"/>
      <c r="IR492" s="105"/>
      <c r="IS492" s="105"/>
    </row>
    <row r="493" spans="1:253">
      <c r="A493" s="116"/>
      <c r="B493" s="105"/>
      <c r="C493" s="116"/>
      <c r="D493" s="116"/>
      <c r="E493" s="116"/>
      <c r="F493" s="116"/>
      <c r="G493" s="116"/>
      <c r="H493" s="116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  <c r="AU493" s="105"/>
      <c r="AV493" s="105"/>
      <c r="AW493" s="105"/>
      <c r="AX493" s="105"/>
      <c r="AY493" s="105"/>
      <c r="AZ493" s="105"/>
      <c r="BA493" s="105"/>
      <c r="BB493" s="105"/>
      <c r="BC493" s="105"/>
      <c r="BD493" s="105"/>
      <c r="BE493" s="105"/>
      <c r="BF493" s="105"/>
      <c r="BG493" s="105"/>
      <c r="BH493" s="105"/>
      <c r="BI493" s="105"/>
      <c r="BJ493" s="105"/>
      <c r="BK493" s="105"/>
      <c r="BL493" s="105"/>
      <c r="BM493" s="105"/>
      <c r="BN493" s="105"/>
      <c r="BO493" s="105"/>
      <c r="BP493" s="105"/>
      <c r="BQ493" s="105"/>
      <c r="BR493" s="105"/>
      <c r="BS493" s="105"/>
      <c r="BT493" s="105"/>
      <c r="BU493" s="105"/>
      <c r="BV493" s="105"/>
      <c r="BW493" s="105"/>
      <c r="BX493" s="105"/>
      <c r="BY493" s="105"/>
      <c r="BZ493" s="105"/>
      <c r="CA493" s="105"/>
      <c r="CB493" s="105"/>
      <c r="CC493" s="105"/>
      <c r="CD493" s="105"/>
      <c r="CE493" s="105"/>
      <c r="CF493" s="105"/>
      <c r="CG493" s="105"/>
      <c r="CH493" s="105"/>
      <c r="CI493" s="105"/>
      <c r="CJ493" s="105"/>
      <c r="CK493" s="105"/>
      <c r="CL493" s="105"/>
      <c r="CM493" s="105"/>
      <c r="CN493" s="105"/>
      <c r="CO493" s="105"/>
      <c r="CP493" s="105"/>
      <c r="CQ493" s="105"/>
      <c r="CR493" s="105"/>
      <c r="CS493" s="105"/>
      <c r="CT493" s="105"/>
      <c r="CU493" s="105"/>
      <c r="CV493" s="105"/>
      <c r="CW493" s="105"/>
      <c r="CX493" s="105"/>
      <c r="CY493" s="105"/>
      <c r="CZ493" s="105"/>
      <c r="DA493" s="105"/>
      <c r="DB493" s="105"/>
      <c r="DC493" s="105"/>
      <c r="DD493" s="105"/>
      <c r="DE493" s="105"/>
      <c r="DF493" s="105"/>
      <c r="DG493" s="105"/>
      <c r="DH493" s="105"/>
      <c r="DI493" s="105"/>
      <c r="DJ493" s="105"/>
      <c r="DK493" s="105"/>
      <c r="DL493" s="105"/>
      <c r="DM493" s="105"/>
      <c r="DN493" s="105"/>
      <c r="DO493" s="105"/>
      <c r="DP493" s="105"/>
      <c r="DQ493" s="105"/>
      <c r="DR493" s="105"/>
      <c r="DS493" s="105"/>
      <c r="DT493" s="105"/>
      <c r="DU493" s="105"/>
      <c r="DV493" s="105"/>
      <c r="DW493" s="105"/>
      <c r="DX493" s="105"/>
      <c r="DY493" s="105"/>
      <c r="DZ493" s="105"/>
      <c r="EA493" s="105"/>
      <c r="EB493" s="105"/>
      <c r="EC493" s="105"/>
      <c r="ED493" s="105"/>
      <c r="EE493" s="105"/>
      <c r="EF493" s="105"/>
      <c r="EG493" s="105"/>
      <c r="EH493" s="105"/>
      <c r="EI493" s="105"/>
      <c r="EJ493" s="105"/>
      <c r="EK493" s="105"/>
      <c r="EL493" s="105"/>
      <c r="EM493" s="105"/>
      <c r="EN493" s="105"/>
      <c r="EO493" s="105"/>
      <c r="EP493" s="105"/>
      <c r="EQ493" s="105"/>
      <c r="ER493" s="105"/>
      <c r="ES493" s="105"/>
      <c r="ET493" s="105"/>
      <c r="EU493" s="105"/>
      <c r="EV493" s="105"/>
      <c r="EW493" s="105"/>
      <c r="EX493" s="105"/>
      <c r="EY493" s="105"/>
      <c r="EZ493" s="105"/>
      <c r="FA493" s="105"/>
      <c r="FB493" s="105"/>
      <c r="FC493" s="105"/>
      <c r="FD493" s="105"/>
      <c r="FE493" s="105"/>
      <c r="FF493" s="105"/>
      <c r="FG493" s="105"/>
      <c r="FH493" s="105"/>
      <c r="FI493" s="105"/>
      <c r="FJ493" s="105"/>
      <c r="FK493" s="105"/>
      <c r="FL493" s="105"/>
      <c r="FM493" s="105"/>
      <c r="FN493" s="105"/>
      <c r="FO493" s="105"/>
      <c r="FP493" s="105"/>
      <c r="FQ493" s="105"/>
      <c r="FR493" s="105"/>
      <c r="FS493" s="105"/>
      <c r="FT493" s="105"/>
      <c r="FU493" s="105"/>
      <c r="FV493" s="105"/>
      <c r="FW493" s="105"/>
      <c r="FX493" s="105"/>
      <c r="FY493" s="105"/>
      <c r="FZ493" s="105"/>
      <c r="GA493" s="105"/>
      <c r="GB493" s="105"/>
      <c r="GC493" s="105"/>
      <c r="GD493" s="105"/>
      <c r="GE493" s="105"/>
      <c r="GF493" s="105"/>
      <c r="GG493" s="105"/>
      <c r="GH493" s="105"/>
      <c r="GI493" s="105"/>
      <c r="GJ493" s="105"/>
      <c r="GK493" s="105"/>
      <c r="GL493" s="105"/>
      <c r="GM493" s="105"/>
      <c r="GN493" s="105"/>
      <c r="GO493" s="105"/>
      <c r="GP493" s="105"/>
      <c r="GQ493" s="105"/>
      <c r="GR493" s="105"/>
      <c r="GS493" s="105"/>
      <c r="GT493" s="105"/>
      <c r="GU493" s="105"/>
      <c r="GV493" s="105"/>
      <c r="GW493" s="105"/>
      <c r="GX493" s="105"/>
      <c r="GY493" s="105"/>
      <c r="GZ493" s="105"/>
      <c r="HA493" s="105"/>
      <c r="HB493" s="105"/>
      <c r="HC493" s="105"/>
      <c r="HD493" s="105"/>
      <c r="HE493" s="105"/>
      <c r="HF493" s="105"/>
      <c r="HG493" s="105"/>
      <c r="HH493" s="105"/>
      <c r="HI493" s="105"/>
      <c r="HJ493" s="105"/>
      <c r="HK493" s="105"/>
      <c r="HL493" s="105"/>
      <c r="HM493" s="105"/>
      <c r="HN493" s="105"/>
      <c r="HO493" s="105"/>
      <c r="HP493" s="105"/>
      <c r="HQ493" s="105"/>
      <c r="HR493" s="105"/>
      <c r="HS493" s="105"/>
      <c r="HT493" s="105"/>
      <c r="HU493" s="105"/>
      <c r="HV493" s="105"/>
      <c r="HW493" s="105"/>
      <c r="HX493" s="105"/>
      <c r="HY493" s="105"/>
      <c r="HZ493" s="105"/>
      <c r="IA493" s="105"/>
      <c r="IB493" s="105"/>
      <c r="IC493" s="105"/>
      <c r="ID493" s="105"/>
      <c r="IE493" s="105"/>
      <c r="IF493" s="105"/>
      <c r="IG493" s="105"/>
      <c r="IH493" s="105"/>
      <c r="II493" s="105"/>
      <c r="IJ493" s="105"/>
      <c r="IK493" s="105"/>
      <c r="IL493" s="105"/>
      <c r="IM493" s="105"/>
      <c r="IN493" s="105"/>
      <c r="IO493" s="105"/>
      <c r="IP493" s="105"/>
      <c r="IQ493" s="105"/>
      <c r="IR493" s="105"/>
      <c r="IS493" s="105"/>
    </row>
    <row r="494" spans="1:253">
      <c r="A494" s="116"/>
      <c r="B494" s="105"/>
      <c r="C494" s="116"/>
      <c r="D494" s="116"/>
      <c r="E494" s="116"/>
      <c r="F494" s="116"/>
      <c r="G494" s="116"/>
      <c r="H494" s="116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05"/>
      <c r="BF494" s="105"/>
      <c r="BG494" s="105"/>
      <c r="BH494" s="105"/>
      <c r="BI494" s="105"/>
      <c r="BJ494" s="105"/>
      <c r="BK494" s="105"/>
      <c r="BL494" s="105"/>
      <c r="BM494" s="105"/>
      <c r="BN494" s="105"/>
      <c r="BO494" s="105"/>
      <c r="BP494" s="105"/>
      <c r="BQ494" s="105"/>
      <c r="BR494" s="105"/>
      <c r="BS494" s="105"/>
      <c r="BT494" s="105"/>
      <c r="BU494" s="105"/>
      <c r="BV494" s="105"/>
      <c r="BW494" s="105"/>
      <c r="BX494" s="105"/>
      <c r="BY494" s="105"/>
      <c r="BZ494" s="105"/>
      <c r="CA494" s="105"/>
      <c r="CB494" s="105"/>
      <c r="CC494" s="105"/>
      <c r="CD494" s="105"/>
      <c r="CE494" s="105"/>
      <c r="CF494" s="105"/>
      <c r="CG494" s="105"/>
      <c r="CH494" s="105"/>
      <c r="CI494" s="105"/>
      <c r="CJ494" s="105"/>
      <c r="CK494" s="105"/>
      <c r="CL494" s="105"/>
      <c r="CM494" s="105"/>
      <c r="CN494" s="105"/>
      <c r="CO494" s="105"/>
      <c r="CP494" s="105"/>
      <c r="CQ494" s="105"/>
      <c r="CR494" s="105"/>
      <c r="CS494" s="105"/>
      <c r="CT494" s="105"/>
      <c r="CU494" s="105"/>
      <c r="CV494" s="105"/>
      <c r="CW494" s="105"/>
      <c r="CX494" s="105"/>
      <c r="CY494" s="105"/>
      <c r="CZ494" s="105"/>
      <c r="DA494" s="105"/>
      <c r="DB494" s="105"/>
      <c r="DC494" s="105"/>
      <c r="DD494" s="105"/>
      <c r="DE494" s="105"/>
      <c r="DF494" s="105"/>
      <c r="DG494" s="105"/>
      <c r="DH494" s="105"/>
      <c r="DI494" s="105"/>
      <c r="DJ494" s="105"/>
      <c r="DK494" s="105"/>
      <c r="DL494" s="105"/>
      <c r="DM494" s="105"/>
      <c r="DN494" s="105"/>
      <c r="DO494" s="105"/>
      <c r="DP494" s="105"/>
      <c r="DQ494" s="105"/>
      <c r="DR494" s="105"/>
      <c r="DS494" s="105"/>
      <c r="DT494" s="105"/>
      <c r="DU494" s="105"/>
      <c r="DV494" s="105"/>
      <c r="DW494" s="105"/>
      <c r="DX494" s="105"/>
      <c r="DY494" s="105"/>
      <c r="DZ494" s="105"/>
      <c r="EA494" s="105"/>
      <c r="EB494" s="105"/>
      <c r="EC494" s="105"/>
      <c r="ED494" s="105"/>
      <c r="EE494" s="105"/>
      <c r="EF494" s="105"/>
      <c r="EG494" s="105"/>
      <c r="EH494" s="105"/>
      <c r="EI494" s="105"/>
      <c r="EJ494" s="105"/>
      <c r="EK494" s="105"/>
      <c r="EL494" s="105"/>
      <c r="EM494" s="105"/>
      <c r="EN494" s="105"/>
      <c r="EO494" s="105"/>
      <c r="EP494" s="105"/>
      <c r="EQ494" s="105"/>
      <c r="ER494" s="105"/>
      <c r="ES494" s="105"/>
      <c r="ET494" s="105"/>
      <c r="EU494" s="105"/>
      <c r="EV494" s="105"/>
      <c r="EW494" s="105"/>
      <c r="EX494" s="105"/>
      <c r="EY494" s="105"/>
      <c r="EZ494" s="105"/>
      <c r="FA494" s="105"/>
      <c r="FB494" s="105"/>
      <c r="FC494" s="105"/>
      <c r="FD494" s="105"/>
      <c r="FE494" s="105"/>
      <c r="FF494" s="105"/>
      <c r="FG494" s="105"/>
      <c r="FH494" s="105"/>
      <c r="FI494" s="105"/>
      <c r="FJ494" s="105"/>
      <c r="FK494" s="105"/>
      <c r="FL494" s="105"/>
      <c r="FM494" s="105"/>
      <c r="FN494" s="105"/>
      <c r="FO494" s="105"/>
      <c r="FP494" s="105"/>
      <c r="FQ494" s="105"/>
      <c r="FR494" s="105"/>
      <c r="FS494" s="105"/>
      <c r="FT494" s="105"/>
      <c r="FU494" s="105"/>
      <c r="FV494" s="105"/>
      <c r="FW494" s="105"/>
      <c r="FX494" s="105"/>
      <c r="FY494" s="105"/>
      <c r="FZ494" s="105"/>
      <c r="GA494" s="105"/>
      <c r="GB494" s="105"/>
      <c r="GC494" s="105"/>
      <c r="GD494" s="105"/>
      <c r="GE494" s="105"/>
      <c r="GF494" s="105"/>
      <c r="GG494" s="105"/>
      <c r="GH494" s="105"/>
      <c r="GI494" s="105"/>
      <c r="GJ494" s="105"/>
      <c r="GK494" s="105"/>
      <c r="GL494" s="105"/>
      <c r="GM494" s="105"/>
      <c r="GN494" s="105"/>
      <c r="GO494" s="105"/>
      <c r="GP494" s="105"/>
      <c r="GQ494" s="105"/>
      <c r="GR494" s="105"/>
      <c r="GS494" s="105"/>
      <c r="GT494" s="105"/>
      <c r="GU494" s="105"/>
      <c r="GV494" s="105"/>
      <c r="GW494" s="105"/>
      <c r="GX494" s="105"/>
      <c r="GY494" s="105"/>
      <c r="GZ494" s="105"/>
      <c r="HA494" s="105"/>
      <c r="HB494" s="105"/>
      <c r="HC494" s="105"/>
      <c r="HD494" s="105"/>
      <c r="HE494" s="105"/>
      <c r="HF494" s="105"/>
      <c r="HG494" s="105"/>
      <c r="HH494" s="105"/>
      <c r="HI494" s="105"/>
      <c r="HJ494" s="105"/>
      <c r="HK494" s="105"/>
      <c r="HL494" s="105"/>
      <c r="HM494" s="105"/>
      <c r="HN494" s="105"/>
      <c r="HO494" s="105"/>
      <c r="HP494" s="105"/>
      <c r="HQ494" s="105"/>
      <c r="HR494" s="105"/>
      <c r="HS494" s="105"/>
      <c r="HT494" s="105"/>
      <c r="HU494" s="105"/>
      <c r="HV494" s="105"/>
      <c r="HW494" s="105"/>
      <c r="HX494" s="105"/>
      <c r="HY494" s="105"/>
      <c r="HZ494" s="105"/>
      <c r="IA494" s="105"/>
      <c r="IB494" s="105"/>
      <c r="IC494" s="105"/>
      <c r="ID494" s="105"/>
      <c r="IE494" s="105"/>
      <c r="IF494" s="105"/>
      <c r="IG494" s="105"/>
      <c r="IH494" s="105"/>
      <c r="II494" s="105"/>
      <c r="IJ494" s="105"/>
      <c r="IK494" s="105"/>
      <c r="IL494" s="105"/>
      <c r="IM494" s="105"/>
      <c r="IN494" s="105"/>
      <c r="IO494" s="105"/>
      <c r="IP494" s="105"/>
      <c r="IQ494" s="105"/>
      <c r="IR494" s="105"/>
      <c r="IS494" s="105"/>
    </row>
    <row r="495" spans="1:253">
      <c r="A495" s="116"/>
      <c r="B495" s="105"/>
      <c r="C495" s="116"/>
      <c r="D495" s="116"/>
      <c r="E495" s="116"/>
      <c r="F495" s="116"/>
      <c r="G495" s="116"/>
      <c r="H495" s="116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  <c r="AU495" s="105"/>
      <c r="AV495" s="105"/>
      <c r="AW495" s="105"/>
      <c r="AX495" s="105"/>
      <c r="AY495" s="105"/>
      <c r="AZ495" s="105"/>
      <c r="BA495" s="105"/>
      <c r="BB495" s="105"/>
      <c r="BC495" s="105"/>
      <c r="BD495" s="105"/>
      <c r="BE495" s="105"/>
      <c r="BF495" s="105"/>
      <c r="BG495" s="105"/>
      <c r="BH495" s="105"/>
      <c r="BI495" s="105"/>
      <c r="BJ495" s="105"/>
      <c r="BK495" s="105"/>
      <c r="BL495" s="105"/>
      <c r="BM495" s="105"/>
      <c r="BN495" s="105"/>
      <c r="BO495" s="105"/>
      <c r="BP495" s="105"/>
      <c r="BQ495" s="105"/>
      <c r="BR495" s="105"/>
      <c r="BS495" s="105"/>
      <c r="BT495" s="105"/>
      <c r="BU495" s="105"/>
      <c r="BV495" s="105"/>
      <c r="BW495" s="105"/>
      <c r="BX495" s="105"/>
      <c r="BY495" s="105"/>
      <c r="BZ495" s="105"/>
      <c r="CA495" s="105"/>
      <c r="CB495" s="105"/>
      <c r="CC495" s="105"/>
      <c r="CD495" s="105"/>
      <c r="CE495" s="105"/>
      <c r="CF495" s="105"/>
      <c r="CG495" s="105"/>
      <c r="CH495" s="105"/>
      <c r="CI495" s="105"/>
      <c r="CJ495" s="105"/>
      <c r="CK495" s="105"/>
      <c r="CL495" s="105"/>
      <c r="CM495" s="105"/>
      <c r="CN495" s="105"/>
      <c r="CO495" s="105"/>
      <c r="CP495" s="105"/>
      <c r="CQ495" s="105"/>
      <c r="CR495" s="105"/>
      <c r="CS495" s="105"/>
      <c r="CT495" s="105"/>
      <c r="CU495" s="105"/>
      <c r="CV495" s="105"/>
      <c r="CW495" s="105"/>
      <c r="CX495" s="105"/>
      <c r="CY495" s="105"/>
      <c r="CZ495" s="105"/>
      <c r="DA495" s="105"/>
      <c r="DB495" s="105"/>
      <c r="DC495" s="105"/>
      <c r="DD495" s="105"/>
      <c r="DE495" s="105"/>
      <c r="DF495" s="105"/>
      <c r="DG495" s="105"/>
      <c r="DH495" s="105"/>
      <c r="DI495" s="105"/>
      <c r="DJ495" s="105"/>
      <c r="DK495" s="105"/>
      <c r="DL495" s="105"/>
      <c r="DM495" s="105"/>
      <c r="DN495" s="105"/>
      <c r="DO495" s="105"/>
      <c r="DP495" s="105"/>
      <c r="DQ495" s="105"/>
      <c r="DR495" s="105"/>
      <c r="DS495" s="105"/>
      <c r="DT495" s="105"/>
      <c r="DU495" s="105"/>
      <c r="DV495" s="105"/>
      <c r="DW495" s="105"/>
      <c r="DX495" s="105"/>
      <c r="DY495" s="105"/>
      <c r="DZ495" s="105"/>
      <c r="EA495" s="105"/>
      <c r="EB495" s="105"/>
      <c r="EC495" s="105"/>
      <c r="ED495" s="105"/>
      <c r="EE495" s="105"/>
      <c r="EF495" s="105"/>
      <c r="EG495" s="105"/>
      <c r="EH495" s="105"/>
      <c r="EI495" s="105"/>
      <c r="EJ495" s="105"/>
      <c r="EK495" s="105"/>
      <c r="EL495" s="105"/>
      <c r="EM495" s="105"/>
      <c r="EN495" s="105"/>
      <c r="EO495" s="105"/>
      <c r="EP495" s="105"/>
      <c r="EQ495" s="105"/>
      <c r="ER495" s="105"/>
      <c r="ES495" s="105"/>
      <c r="ET495" s="105"/>
      <c r="EU495" s="105"/>
      <c r="EV495" s="105"/>
      <c r="EW495" s="105"/>
      <c r="EX495" s="105"/>
      <c r="EY495" s="105"/>
      <c r="EZ495" s="105"/>
      <c r="FA495" s="105"/>
      <c r="FB495" s="105"/>
      <c r="FC495" s="105"/>
      <c r="FD495" s="105"/>
      <c r="FE495" s="105"/>
      <c r="FF495" s="105"/>
      <c r="FG495" s="105"/>
      <c r="FH495" s="105"/>
      <c r="FI495" s="105"/>
      <c r="FJ495" s="105"/>
      <c r="FK495" s="105"/>
      <c r="FL495" s="105"/>
      <c r="FM495" s="105"/>
      <c r="FN495" s="105"/>
      <c r="FO495" s="105"/>
      <c r="FP495" s="105"/>
      <c r="FQ495" s="105"/>
      <c r="FR495" s="105"/>
      <c r="FS495" s="105"/>
      <c r="FT495" s="105"/>
      <c r="FU495" s="105"/>
      <c r="FV495" s="105"/>
      <c r="FW495" s="105"/>
      <c r="FX495" s="105"/>
      <c r="FY495" s="105"/>
      <c r="FZ495" s="105"/>
      <c r="GA495" s="105"/>
      <c r="GB495" s="105"/>
      <c r="GC495" s="105"/>
      <c r="GD495" s="105"/>
      <c r="GE495" s="105"/>
      <c r="GF495" s="105"/>
      <c r="GG495" s="105"/>
      <c r="GH495" s="105"/>
      <c r="GI495" s="105"/>
      <c r="GJ495" s="105"/>
      <c r="GK495" s="105"/>
      <c r="GL495" s="105"/>
      <c r="GM495" s="105"/>
      <c r="GN495" s="105"/>
      <c r="GO495" s="105"/>
      <c r="GP495" s="105"/>
      <c r="GQ495" s="105"/>
      <c r="GR495" s="105"/>
      <c r="GS495" s="105"/>
      <c r="GT495" s="105"/>
      <c r="GU495" s="105"/>
      <c r="GV495" s="105"/>
      <c r="GW495" s="105"/>
      <c r="GX495" s="105"/>
      <c r="GY495" s="105"/>
      <c r="GZ495" s="105"/>
      <c r="HA495" s="105"/>
      <c r="HB495" s="105"/>
      <c r="HC495" s="105"/>
      <c r="HD495" s="105"/>
      <c r="HE495" s="105"/>
      <c r="HF495" s="105"/>
      <c r="HG495" s="105"/>
      <c r="HH495" s="105"/>
      <c r="HI495" s="105"/>
      <c r="HJ495" s="105"/>
      <c r="HK495" s="105"/>
      <c r="HL495" s="105"/>
      <c r="HM495" s="105"/>
      <c r="HN495" s="105"/>
      <c r="HO495" s="105"/>
      <c r="HP495" s="105"/>
      <c r="HQ495" s="105"/>
      <c r="HR495" s="105"/>
      <c r="HS495" s="105"/>
      <c r="HT495" s="105"/>
      <c r="HU495" s="105"/>
      <c r="HV495" s="105"/>
      <c r="HW495" s="105"/>
      <c r="HX495" s="105"/>
      <c r="HY495" s="105"/>
      <c r="HZ495" s="105"/>
      <c r="IA495" s="105"/>
      <c r="IB495" s="105"/>
      <c r="IC495" s="105"/>
      <c r="ID495" s="105"/>
      <c r="IE495" s="105"/>
      <c r="IF495" s="105"/>
      <c r="IG495" s="105"/>
      <c r="IH495" s="105"/>
      <c r="II495" s="105"/>
      <c r="IJ495" s="105"/>
      <c r="IK495" s="105"/>
      <c r="IL495" s="105"/>
      <c r="IM495" s="105"/>
      <c r="IN495" s="105"/>
      <c r="IO495" s="105"/>
      <c r="IP495" s="105"/>
      <c r="IQ495" s="105"/>
      <c r="IR495" s="105"/>
      <c r="IS495" s="105"/>
    </row>
    <row r="496" spans="1:253">
      <c r="A496" s="116"/>
      <c r="B496" s="105"/>
      <c r="C496" s="116"/>
      <c r="D496" s="116"/>
      <c r="E496" s="116"/>
      <c r="F496" s="116"/>
      <c r="G496" s="116"/>
      <c r="H496" s="116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05"/>
      <c r="BF496" s="105"/>
      <c r="BG496" s="105"/>
      <c r="BH496" s="105"/>
      <c r="BI496" s="105"/>
      <c r="BJ496" s="105"/>
      <c r="BK496" s="105"/>
      <c r="BL496" s="105"/>
      <c r="BM496" s="105"/>
      <c r="BN496" s="105"/>
      <c r="BO496" s="105"/>
      <c r="BP496" s="105"/>
      <c r="BQ496" s="105"/>
      <c r="BR496" s="105"/>
      <c r="BS496" s="105"/>
      <c r="BT496" s="105"/>
      <c r="BU496" s="105"/>
      <c r="BV496" s="105"/>
      <c r="BW496" s="105"/>
      <c r="BX496" s="105"/>
      <c r="BY496" s="105"/>
      <c r="BZ496" s="105"/>
      <c r="CA496" s="105"/>
      <c r="CB496" s="105"/>
      <c r="CC496" s="105"/>
      <c r="CD496" s="105"/>
      <c r="CE496" s="105"/>
      <c r="CF496" s="105"/>
      <c r="CG496" s="105"/>
      <c r="CH496" s="105"/>
      <c r="CI496" s="105"/>
      <c r="CJ496" s="105"/>
      <c r="CK496" s="105"/>
      <c r="CL496" s="105"/>
      <c r="CM496" s="105"/>
      <c r="CN496" s="105"/>
      <c r="CO496" s="105"/>
      <c r="CP496" s="105"/>
      <c r="CQ496" s="105"/>
      <c r="CR496" s="105"/>
      <c r="CS496" s="105"/>
      <c r="CT496" s="105"/>
      <c r="CU496" s="105"/>
      <c r="CV496" s="105"/>
      <c r="CW496" s="105"/>
      <c r="CX496" s="105"/>
      <c r="CY496" s="105"/>
      <c r="CZ496" s="105"/>
      <c r="DA496" s="105"/>
      <c r="DB496" s="105"/>
      <c r="DC496" s="105"/>
      <c r="DD496" s="105"/>
      <c r="DE496" s="105"/>
      <c r="DF496" s="105"/>
      <c r="DG496" s="105"/>
      <c r="DH496" s="105"/>
      <c r="DI496" s="105"/>
      <c r="DJ496" s="105"/>
      <c r="DK496" s="105"/>
      <c r="DL496" s="105"/>
      <c r="DM496" s="105"/>
      <c r="DN496" s="105"/>
      <c r="DO496" s="105"/>
      <c r="DP496" s="105"/>
      <c r="DQ496" s="105"/>
      <c r="DR496" s="105"/>
      <c r="DS496" s="105"/>
      <c r="DT496" s="105"/>
      <c r="DU496" s="105"/>
      <c r="DV496" s="105"/>
      <c r="DW496" s="105"/>
      <c r="DX496" s="105"/>
      <c r="DY496" s="105"/>
      <c r="DZ496" s="105"/>
      <c r="EA496" s="105"/>
      <c r="EB496" s="105"/>
      <c r="EC496" s="105"/>
      <c r="ED496" s="105"/>
      <c r="EE496" s="105"/>
      <c r="EF496" s="105"/>
      <c r="EG496" s="105"/>
      <c r="EH496" s="105"/>
      <c r="EI496" s="105"/>
      <c r="EJ496" s="105"/>
      <c r="EK496" s="105"/>
      <c r="EL496" s="105"/>
      <c r="EM496" s="105"/>
      <c r="EN496" s="105"/>
      <c r="EO496" s="105"/>
      <c r="EP496" s="105"/>
      <c r="EQ496" s="105"/>
      <c r="ER496" s="105"/>
      <c r="ES496" s="105"/>
      <c r="ET496" s="105"/>
      <c r="EU496" s="105"/>
      <c r="EV496" s="105"/>
      <c r="EW496" s="105"/>
      <c r="EX496" s="105"/>
      <c r="EY496" s="105"/>
      <c r="EZ496" s="105"/>
      <c r="FA496" s="105"/>
      <c r="FB496" s="105"/>
      <c r="FC496" s="105"/>
      <c r="FD496" s="105"/>
      <c r="FE496" s="105"/>
      <c r="FF496" s="105"/>
      <c r="FG496" s="105"/>
      <c r="FH496" s="105"/>
      <c r="FI496" s="105"/>
      <c r="FJ496" s="105"/>
      <c r="FK496" s="105"/>
      <c r="FL496" s="105"/>
      <c r="FM496" s="105"/>
      <c r="FN496" s="105"/>
      <c r="FO496" s="105"/>
      <c r="FP496" s="105"/>
      <c r="FQ496" s="105"/>
      <c r="FR496" s="105"/>
      <c r="FS496" s="105"/>
      <c r="FT496" s="105"/>
      <c r="FU496" s="105"/>
      <c r="FV496" s="105"/>
      <c r="FW496" s="105"/>
      <c r="FX496" s="105"/>
      <c r="FY496" s="105"/>
      <c r="FZ496" s="105"/>
      <c r="GA496" s="105"/>
      <c r="GB496" s="105"/>
      <c r="GC496" s="105"/>
      <c r="GD496" s="105"/>
      <c r="GE496" s="105"/>
      <c r="GF496" s="105"/>
      <c r="GG496" s="105"/>
      <c r="GH496" s="105"/>
      <c r="GI496" s="105"/>
      <c r="GJ496" s="105"/>
      <c r="GK496" s="105"/>
      <c r="GL496" s="105"/>
      <c r="GM496" s="105"/>
      <c r="GN496" s="105"/>
      <c r="GO496" s="105"/>
      <c r="GP496" s="105"/>
      <c r="GQ496" s="105"/>
      <c r="GR496" s="105"/>
      <c r="GS496" s="105"/>
      <c r="GT496" s="105"/>
      <c r="GU496" s="105"/>
      <c r="GV496" s="105"/>
      <c r="GW496" s="105"/>
      <c r="GX496" s="105"/>
      <c r="GY496" s="105"/>
      <c r="GZ496" s="105"/>
      <c r="HA496" s="105"/>
      <c r="HB496" s="105"/>
      <c r="HC496" s="105"/>
      <c r="HD496" s="105"/>
      <c r="HE496" s="105"/>
      <c r="HF496" s="105"/>
      <c r="HG496" s="105"/>
      <c r="HH496" s="105"/>
      <c r="HI496" s="105"/>
      <c r="HJ496" s="105"/>
      <c r="HK496" s="105"/>
      <c r="HL496" s="105"/>
      <c r="HM496" s="105"/>
      <c r="HN496" s="105"/>
      <c r="HO496" s="105"/>
      <c r="HP496" s="105"/>
      <c r="HQ496" s="105"/>
      <c r="HR496" s="105"/>
      <c r="HS496" s="105"/>
      <c r="HT496" s="105"/>
      <c r="HU496" s="105"/>
      <c r="HV496" s="105"/>
      <c r="HW496" s="105"/>
      <c r="HX496" s="105"/>
      <c r="HY496" s="105"/>
      <c r="HZ496" s="105"/>
      <c r="IA496" s="105"/>
      <c r="IB496" s="105"/>
      <c r="IC496" s="105"/>
      <c r="ID496" s="105"/>
      <c r="IE496" s="105"/>
      <c r="IF496" s="105"/>
      <c r="IG496" s="105"/>
      <c r="IH496" s="105"/>
      <c r="II496" s="105"/>
      <c r="IJ496" s="105"/>
      <c r="IK496" s="105"/>
      <c r="IL496" s="105"/>
      <c r="IM496" s="105"/>
      <c r="IN496" s="105"/>
      <c r="IO496" s="105"/>
      <c r="IP496" s="105"/>
      <c r="IQ496" s="105"/>
      <c r="IR496" s="105"/>
      <c r="IS496" s="105"/>
    </row>
    <row r="497" spans="1:253">
      <c r="A497" s="116"/>
      <c r="B497" s="105"/>
      <c r="C497" s="116"/>
      <c r="D497" s="116"/>
      <c r="E497" s="116"/>
      <c r="F497" s="116"/>
      <c r="G497" s="116"/>
      <c r="H497" s="116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  <c r="AU497" s="105"/>
      <c r="AV497" s="105"/>
      <c r="AW497" s="105"/>
      <c r="AX497" s="105"/>
      <c r="AY497" s="105"/>
      <c r="AZ497" s="105"/>
      <c r="BA497" s="105"/>
      <c r="BB497" s="105"/>
      <c r="BC497" s="105"/>
      <c r="BD497" s="105"/>
      <c r="BE497" s="105"/>
      <c r="BF497" s="105"/>
      <c r="BG497" s="105"/>
      <c r="BH497" s="105"/>
      <c r="BI497" s="105"/>
      <c r="BJ497" s="105"/>
      <c r="BK497" s="105"/>
      <c r="BL497" s="105"/>
      <c r="BM497" s="105"/>
      <c r="BN497" s="105"/>
      <c r="BO497" s="105"/>
      <c r="BP497" s="105"/>
      <c r="BQ497" s="105"/>
      <c r="BR497" s="105"/>
      <c r="BS497" s="105"/>
      <c r="BT497" s="105"/>
      <c r="BU497" s="105"/>
      <c r="BV497" s="105"/>
      <c r="BW497" s="105"/>
      <c r="BX497" s="105"/>
      <c r="BY497" s="105"/>
      <c r="BZ497" s="105"/>
      <c r="CA497" s="105"/>
      <c r="CB497" s="105"/>
      <c r="CC497" s="105"/>
      <c r="CD497" s="105"/>
      <c r="CE497" s="105"/>
      <c r="CF497" s="105"/>
      <c r="CG497" s="105"/>
      <c r="CH497" s="105"/>
      <c r="CI497" s="105"/>
      <c r="CJ497" s="105"/>
      <c r="CK497" s="105"/>
      <c r="CL497" s="105"/>
      <c r="CM497" s="105"/>
      <c r="CN497" s="105"/>
      <c r="CO497" s="105"/>
      <c r="CP497" s="105"/>
      <c r="CQ497" s="105"/>
      <c r="CR497" s="105"/>
      <c r="CS497" s="105"/>
      <c r="CT497" s="105"/>
      <c r="CU497" s="105"/>
      <c r="CV497" s="105"/>
      <c r="CW497" s="105"/>
      <c r="CX497" s="105"/>
      <c r="CY497" s="105"/>
      <c r="CZ497" s="105"/>
      <c r="DA497" s="105"/>
      <c r="DB497" s="105"/>
      <c r="DC497" s="105"/>
      <c r="DD497" s="105"/>
      <c r="DE497" s="105"/>
      <c r="DF497" s="105"/>
      <c r="DG497" s="105"/>
      <c r="DH497" s="105"/>
      <c r="DI497" s="105"/>
      <c r="DJ497" s="105"/>
      <c r="DK497" s="105"/>
      <c r="DL497" s="105"/>
      <c r="DM497" s="105"/>
      <c r="DN497" s="105"/>
      <c r="DO497" s="105"/>
      <c r="DP497" s="105"/>
      <c r="DQ497" s="105"/>
      <c r="DR497" s="105"/>
      <c r="DS497" s="105"/>
      <c r="DT497" s="105"/>
      <c r="DU497" s="105"/>
      <c r="DV497" s="105"/>
      <c r="DW497" s="105"/>
      <c r="DX497" s="105"/>
      <c r="DY497" s="105"/>
      <c r="DZ497" s="105"/>
      <c r="EA497" s="105"/>
      <c r="EB497" s="105"/>
      <c r="EC497" s="105"/>
      <c r="ED497" s="105"/>
      <c r="EE497" s="105"/>
      <c r="EF497" s="105"/>
      <c r="EG497" s="105"/>
      <c r="EH497" s="105"/>
      <c r="EI497" s="105"/>
      <c r="EJ497" s="105"/>
      <c r="EK497" s="105"/>
      <c r="EL497" s="105"/>
      <c r="EM497" s="105"/>
      <c r="EN497" s="105"/>
      <c r="EO497" s="105"/>
      <c r="EP497" s="105"/>
      <c r="EQ497" s="105"/>
      <c r="ER497" s="105"/>
      <c r="ES497" s="105"/>
      <c r="ET497" s="105"/>
      <c r="EU497" s="105"/>
      <c r="EV497" s="105"/>
      <c r="EW497" s="105"/>
      <c r="EX497" s="105"/>
      <c r="EY497" s="105"/>
      <c r="EZ497" s="105"/>
      <c r="FA497" s="105"/>
      <c r="FB497" s="105"/>
      <c r="FC497" s="105"/>
      <c r="FD497" s="105"/>
      <c r="FE497" s="105"/>
      <c r="FF497" s="105"/>
      <c r="FG497" s="105"/>
      <c r="FH497" s="105"/>
      <c r="FI497" s="105"/>
      <c r="FJ497" s="105"/>
      <c r="FK497" s="105"/>
      <c r="FL497" s="105"/>
      <c r="FM497" s="105"/>
      <c r="FN497" s="105"/>
      <c r="FO497" s="105"/>
      <c r="FP497" s="105"/>
      <c r="FQ497" s="105"/>
      <c r="FR497" s="105"/>
      <c r="FS497" s="105"/>
      <c r="FT497" s="105"/>
      <c r="FU497" s="105"/>
      <c r="FV497" s="105"/>
      <c r="FW497" s="105"/>
      <c r="FX497" s="105"/>
      <c r="FY497" s="105"/>
      <c r="FZ497" s="105"/>
      <c r="GA497" s="105"/>
      <c r="GB497" s="105"/>
      <c r="GC497" s="105"/>
      <c r="GD497" s="105"/>
      <c r="GE497" s="105"/>
      <c r="GF497" s="105"/>
      <c r="GG497" s="105"/>
      <c r="GH497" s="105"/>
      <c r="GI497" s="105"/>
      <c r="GJ497" s="105"/>
      <c r="GK497" s="105"/>
      <c r="GL497" s="105"/>
      <c r="GM497" s="105"/>
      <c r="GN497" s="105"/>
      <c r="GO497" s="105"/>
      <c r="GP497" s="105"/>
      <c r="GQ497" s="105"/>
      <c r="GR497" s="105"/>
      <c r="GS497" s="105"/>
      <c r="GT497" s="105"/>
      <c r="GU497" s="105"/>
      <c r="GV497" s="105"/>
      <c r="GW497" s="105"/>
      <c r="GX497" s="105"/>
      <c r="GY497" s="105"/>
      <c r="GZ497" s="105"/>
      <c r="HA497" s="105"/>
      <c r="HB497" s="105"/>
      <c r="HC497" s="105"/>
      <c r="HD497" s="105"/>
      <c r="HE497" s="105"/>
      <c r="HF497" s="105"/>
      <c r="HG497" s="105"/>
      <c r="HH497" s="105"/>
      <c r="HI497" s="105"/>
      <c r="HJ497" s="105"/>
      <c r="HK497" s="105"/>
      <c r="HL497" s="105"/>
      <c r="HM497" s="105"/>
      <c r="HN497" s="105"/>
      <c r="HO497" s="105"/>
      <c r="HP497" s="105"/>
      <c r="HQ497" s="105"/>
      <c r="HR497" s="105"/>
      <c r="HS497" s="105"/>
      <c r="HT497" s="105"/>
      <c r="HU497" s="105"/>
      <c r="HV497" s="105"/>
      <c r="HW497" s="105"/>
      <c r="HX497" s="105"/>
      <c r="HY497" s="105"/>
      <c r="HZ497" s="105"/>
      <c r="IA497" s="105"/>
      <c r="IB497" s="105"/>
      <c r="IC497" s="105"/>
      <c r="ID497" s="105"/>
      <c r="IE497" s="105"/>
      <c r="IF497" s="105"/>
      <c r="IG497" s="105"/>
      <c r="IH497" s="105"/>
      <c r="II497" s="105"/>
      <c r="IJ497" s="105"/>
      <c r="IK497" s="105"/>
      <c r="IL497" s="105"/>
      <c r="IM497" s="105"/>
      <c r="IN497" s="105"/>
      <c r="IO497" s="105"/>
      <c r="IP497" s="105"/>
      <c r="IQ497" s="105"/>
      <c r="IR497" s="105"/>
      <c r="IS497" s="105"/>
    </row>
    <row r="498" spans="1:253">
      <c r="A498" s="116"/>
      <c r="B498" s="105"/>
      <c r="C498" s="116"/>
      <c r="D498" s="116"/>
      <c r="E498" s="116"/>
      <c r="F498" s="116"/>
      <c r="G498" s="116"/>
      <c r="H498" s="116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05"/>
      <c r="BF498" s="105"/>
      <c r="BG498" s="105"/>
      <c r="BH498" s="105"/>
      <c r="BI498" s="105"/>
      <c r="BJ498" s="105"/>
      <c r="BK498" s="105"/>
      <c r="BL498" s="105"/>
      <c r="BM498" s="105"/>
      <c r="BN498" s="105"/>
      <c r="BO498" s="105"/>
      <c r="BP498" s="105"/>
      <c r="BQ498" s="105"/>
      <c r="BR498" s="105"/>
      <c r="BS498" s="105"/>
      <c r="BT498" s="105"/>
      <c r="BU498" s="105"/>
      <c r="BV498" s="105"/>
      <c r="BW498" s="105"/>
      <c r="BX498" s="105"/>
      <c r="BY498" s="105"/>
      <c r="BZ498" s="105"/>
      <c r="CA498" s="105"/>
      <c r="CB498" s="105"/>
      <c r="CC498" s="105"/>
      <c r="CD498" s="105"/>
      <c r="CE498" s="105"/>
      <c r="CF498" s="105"/>
      <c r="CG498" s="105"/>
      <c r="CH498" s="105"/>
      <c r="CI498" s="105"/>
      <c r="CJ498" s="105"/>
      <c r="CK498" s="105"/>
      <c r="CL498" s="105"/>
      <c r="CM498" s="105"/>
      <c r="CN498" s="105"/>
      <c r="CO498" s="105"/>
      <c r="CP498" s="105"/>
      <c r="CQ498" s="105"/>
      <c r="CR498" s="105"/>
      <c r="CS498" s="105"/>
      <c r="CT498" s="105"/>
      <c r="CU498" s="105"/>
      <c r="CV498" s="105"/>
      <c r="CW498" s="105"/>
      <c r="CX498" s="105"/>
      <c r="CY498" s="105"/>
      <c r="CZ498" s="105"/>
      <c r="DA498" s="105"/>
      <c r="DB498" s="105"/>
      <c r="DC498" s="105"/>
      <c r="DD498" s="105"/>
      <c r="DE498" s="105"/>
      <c r="DF498" s="105"/>
      <c r="DG498" s="105"/>
      <c r="DH498" s="105"/>
      <c r="DI498" s="105"/>
      <c r="DJ498" s="105"/>
      <c r="DK498" s="105"/>
      <c r="DL498" s="105"/>
      <c r="DM498" s="105"/>
      <c r="DN498" s="105"/>
      <c r="DO498" s="105"/>
      <c r="DP498" s="105"/>
      <c r="DQ498" s="105"/>
      <c r="DR498" s="105"/>
      <c r="DS498" s="105"/>
      <c r="DT498" s="105"/>
      <c r="DU498" s="105"/>
      <c r="DV498" s="105"/>
      <c r="DW498" s="105"/>
      <c r="DX498" s="105"/>
      <c r="DY498" s="105"/>
      <c r="DZ498" s="105"/>
      <c r="EA498" s="105"/>
      <c r="EB498" s="105"/>
      <c r="EC498" s="105"/>
      <c r="ED498" s="105"/>
      <c r="EE498" s="105"/>
      <c r="EF498" s="105"/>
      <c r="EG498" s="105"/>
      <c r="EH498" s="105"/>
      <c r="EI498" s="105"/>
      <c r="EJ498" s="105"/>
      <c r="EK498" s="105"/>
      <c r="EL498" s="105"/>
      <c r="EM498" s="105"/>
      <c r="EN498" s="105"/>
      <c r="EO498" s="105"/>
      <c r="EP498" s="105"/>
      <c r="EQ498" s="105"/>
      <c r="ER498" s="105"/>
      <c r="ES498" s="105"/>
      <c r="ET498" s="105"/>
      <c r="EU498" s="105"/>
      <c r="EV498" s="105"/>
      <c r="EW498" s="105"/>
      <c r="EX498" s="105"/>
      <c r="EY498" s="105"/>
      <c r="EZ498" s="105"/>
      <c r="FA498" s="105"/>
      <c r="FB498" s="105"/>
      <c r="FC498" s="105"/>
      <c r="FD498" s="105"/>
      <c r="FE498" s="105"/>
      <c r="FF498" s="105"/>
      <c r="FG498" s="105"/>
      <c r="FH498" s="105"/>
      <c r="FI498" s="105"/>
      <c r="FJ498" s="105"/>
      <c r="FK498" s="105"/>
      <c r="FL498" s="105"/>
      <c r="FM498" s="105"/>
      <c r="FN498" s="105"/>
      <c r="FO498" s="105"/>
      <c r="FP498" s="105"/>
      <c r="FQ498" s="105"/>
      <c r="FR498" s="105"/>
      <c r="FS498" s="105"/>
      <c r="FT498" s="105"/>
      <c r="FU498" s="105"/>
      <c r="FV498" s="105"/>
      <c r="FW498" s="105"/>
      <c r="FX498" s="105"/>
      <c r="FY498" s="105"/>
      <c r="FZ498" s="105"/>
      <c r="GA498" s="105"/>
      <c r="GB498" s="105"/>
      <c r="GC498" s="105"/>
      <c r="GD498" s="105"/>
      <c r="GE498" s="105"/>
      <c r="GF498" s="105"/>
      <c r="GG498" s="105"/>
      <c r="GH498" s="105"/>
      <c r="GI498" s="105"/>
      <c r="GJ498" s="105"/>
      <c r="GK498" s="105"/>
      <c r="GL498" s="105"/>
      <c r="GM498" s="105"/>
      <c r="GN498" s="105"/>
      <c r="GO498" s="105"/>
      <c r="GP498" s="105"/>
      <c r="GQ498" s="105"/>
      <c r="GR498" s="105"/>
      <c r="GS498" s="105"/>
      <c r="GT498" s="105"/>
      <c r="GU498" s="105"/>
      <c r="GV498" s="105"/>
      <c r="GW498" s="105"/>
      <c r="GX498" s="105"/>
      <c r="GY498" s="105"/>
      <c r="GZ498" s="105"/>
      <c r="HA498" s="105"/>
      <c r="HB498" s="105"/>
      <c r="HC498" s="105"/>
      <c r="HD498" s="105"/>
      <c r="HE498" s="105"/>
      <c r="HF498" s="105"/>
      <c r="HG498" s="105"/>
      <c r="HH498" s="105"/>
      <c r="HI498" s="105"/>
      <c r="HJ498" s="105"/>
      <c r="HK498" s="105"/>
      <c r="HL498" s="105"/>
      <c r="HM498" s="105"/>
      <c r="HN498" s="105"/>
      <c r="HO498" s="105"/>
      <c r="HP498" s="105"/>
      <c r="HQ498" s="105"/>
      <c r="HR498" s="105"/>
      <c r="HS498" s="105"/>
      <c r="HT498" s="105"/>
      <c r="HU498" s="105"/>
      <c r="HV498" s="105"/>
      <c r="HW498" s="105"/>
      <c r="HX498" s="105"/>
      <c r="HY498" s="105"/>
      <c r="HZ498" s="105"/>
      <c r="IA498" s="105"/>
      <c r="IB498" s="105"/>
      <c r="IC498" s="105"/>
      <c r="ID498" s="105"/>
      <c r="IE498" s="105"/>
      <c r="IF498" s="105"/>
      <c r="IG498" s="105"/>
      <c r="IH498" s="105"/>
      <c r="II498" s="105"/>
      <c r="IJ498" s="105"/>
      <c r="IK498" s="105"/>
      <c r="IL498" s="105"/>
      <c r="IM498" s="105"/>
      <c r="IN498" s="105"/>
      <c r="IO498" s="105"/>
      <c r="IP498" s="105"/>
      <c r="IQ498" s="105"/>
      <c r="IR498" s="105"/>
      <c r="IS498" s="105"/>
    </row>
    <row r="499" spans="1:253">
      <c r="A499" s="116"/>
      <c r="B499" s="105"/>
      <c r="C499" s="116"/>
      <c r="D499" s="116"/>
      <c r="E499" s="116"/>
      <c r="F499" s="116"/>
      <c r="G499" s="116"/>
      <c r="H499" s="116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5"/>
      <c r="BE499" s="105"/>
      <c r="BF499" s="105"/>
      <c r="BG499" s="105"/>
      <c r="BH499" s="105"/>
      <c r="BI499" s="105"/>
      <c r="BJ499" s="105"/>
      <c r="BK499" s="105"/>
      <c r="BL499" s="105"/>
      <c r="BM499" s="105"/>
      <c r="BN499" s="105"/>
      <c r="BO499" s="105"/>
      <c r="BP499" s="105"/>
      <c r="BQ499" s="105"/>
      <c r="BR499" s="105"/>
      <c r="BS499" s="105"/>
      <c r="BT499" s="105"/>
      <c r="BU499" s="105"/>
      <c r="BV499" s="105"/>
      <c r="BW499" s="105"/>
      <c r="BX499" s="105"/>
      <c r="BY499" s="105"/>
      <c r="BZ499" s="105"/>
      <c r="CA499" s="105"/>
      <c r="CB499" s="105"/>
      <c r="CC499" s="105"/>
      <c r="CD499" s="105"/>
      <c r="CE499" s="105"/>
      <c r="CF499" s="105"/>
      <c r="CG499" s="105"/>
      <c r="CH499" s="105"/>
      <c r="CI499" s="105"/>
      <c r="CJ499" s="105"/>
      <c r="CK499" s="105"/>
      <c r="CL499" s="105"/>
      <c r="CM499" s="105"/>
      <c r="CN499" s="105"/>
      <c r="CO499" s="105"/>
      <c r="CP499" s="105"/>
      <c r="CQ499" s="105"/>
      <c r="CR499" s="105"/>
      <c r="CS499" s="105"/>
      <c r="CT499" s="105"/>
      <c r="CU499" s="105"/>
      <c r="CV499" s="105"/>
      <c r="CW499" s="105"/>
      <c r="CX499" s="105"/>
      <c r="CY499" s="105"/>
      <c r="CZ499" s="105"/>
      <c r="DA499" s="105"/>
      <c r="DB499" s="105"/>
      <c r="DC499" s="105"/>
      <c r="DD499" s="105"/>
      <c r="DE499" s="105"/>
      <c r="DF499" s="105"/>
      <c r="DG499" s="105"/>
      <c r="DH499" s="105"/>
      <c r="DI499" s="105"/>
      <c r="DJ499" s="105"/>
      <c r="DK499" s="105"/>
      <c r="DL499" s="105"/>
      <c r="DM499" s="105"/>
      <c r="DN499" s="105"/>
      <c r="DO499" s="105"/>
      <c r="DP499" s="105"/>
      <c r="DQ499" s="105"/>
      <c r="DR499" s="105"/>
      <c r="DS499" s="105"/>
      <c r="DT499" s="105"/>
      <c r="DU499" s="105"/>
      <c r="DV499" s="105"/>
      <c r="DW499" s="105"/>
      <c r="DX499" s="105"/>
      <c r="DY499" s="105"/>
      <c r="DZ499" s="105"/>
      <c r="EA499" s="105"/>
      <c r="EB499" s="105"/>
      <c r="EC499" s="105"/>
      <c r="ED499" s="105"/>
      <c r="EE499" s="105"/>
      <c r="EF499" s="105"/>
      <c r="EG499" s="105"/>
      <c r="EH499" s="105"/>
      <c r="EI499" s="105"/>
      <c r="EJ499" s="105"/>
      <c r="EK499" s="105"/>
      <c r="EL499" s="105"/>
      <c r="EM499" s="105"/>
      <c r="EN499" s="105"/>
      <c r="EO499" s="105"/>
      <c r="EP499" s="105"/>
      <c r="EQ499" s="105"/>
      <c r="ER499" s="105"/>
      <c r="ES499" s="105"/>
      <c r="ET499" s="105"/>
      <c r="EU499" s="105"/>
      <c r="EV499" s="105"/>
      <c r="EW499" s="105"/>
      <c r="EX499" s="105"/>
      <c r="EY499" s="105"/>
      <c r="EZ499" s="105"/>
      <c r="FA499" s="105"/>
      <c r="FB499" s="105"/>
      <c r="FC499" s="105"/>
      <c r="FD499" s="105"/>
      <c r="FE499" s="105"/>
      <c r="FF499" s="105"/>
      <c r="FG499" s="105"/>
      <c r="FH499" s="105"/>
      <c r="FI499" s="105"/>
      <c r="FJ499" s="105"/>
      <c r="FK499" s="105"/>
      <c r="FL499" s="105"/>
      <c r="FM499" s="105"/>
      <c r="FN499" s="105"/>
      <c r="FO499" s="105"/>
      <c r="FP499" s="105"/>
      <c r="FQ499" s="105"/>
      <c r="FR499" s="105"/>
      <c r="FS499" s="105"/>
      <c r="FT499" s="105"/>
      <c r="FU499" s="105"/>
      <c r="FV499" s="105"/>
      <c r="FW499" s="105"/>
      <c r="FX499" s="105"/>
      <c r="FY499" s="105"/>
      <c r="FZ499" s="105"/>
      <c r="GA499" s="105"/>
      <c r="GB499" s="105"/>
      <c r="GC499" s="105"/>
      <c r="GD499" s="105"/>
      <c r="GE499" s="105"/>
      <c r="GF499" s="105"/>
      <c r="GG499" s="105"/>
      <c r="GH499" s="105"/>
      <c r="GI499" s="105"/>
      <c r="GJ499" s="105"/>
      <c r="GK499" s="105"/>
      <c r="GL499" s="105"/>
      <c r="GM499" s="105"/>
      <c r="GN499" s="105"/>
      <c r="GO499" s="105"/>
      <c r="GP499" s="105"/>
      <c r="GQ499" s="105"/>
      <c r="GR499" s="105"/>
      <c r="GS499" s="105"/>
      <c r="GT499" s="105"/>
      <c r="GU499" s="105"/>
      <c r="GV499" s="105"/>
      <c r="GW499" s="105"/>
      <c r="GX499" s="105"/>
      <c r="GY499" s="105"/>
      <c r="GZ499" s="105"/>
      <c r="HA499" s="105"/>
      <c r="HB499" s="105"/>
      <c r="HC499" s="105"/>
      <c r="HD499" s="105"/>
      <c r="HE499" s="105"/>
      <c r="HF499" s="105"/>
      <c r="HG499" s="105"/>
      <c r="HH499" s="105"/>
      <c r="HI499" s="105"/>
      <c r="HJ499" s="105"/>
      <c r="HK499" s="105"/>
      <c r="HL499" s="105"/>
      <c r="HM499" s="105"/>
      <c r="HN499" s="105"/>
      <c r="HO499" s="105"/>
      <c r="HP499" s="105"/>
      <c r="HQ499" s="105"/>
      <c r="HR499" s="105"/>
      <c r="HS499" s="105"/>
      <c r="HT499" s="105"/>
      <c r="HU499" s="105"/>
      <c r="HV499" s="105"/>
      <c r="HW499" s="105"/>
      <c r="HX499" s="105"/>
      <c r="HY499" s="105"/>
      <c r="HZ499" s="105"/>
      <c r="IA499" s="105"/>
      <c r="IB499" s="105"/>
      <c r="IC499" s="105"/>
      <c r="ID499" s="105"/>
      <c r="IE499" s="105"/>
      <c r="IF499" s="105"/>
      <c r="IG499" s="105"/>
      <c r="IH499" s="105"/>
      <c r="II499" s="105"/>
      <c r="IJ499" s="105"/>
      <c r="IK499" s="105"/>
      <c r="IL499" s="105"/>
      <c r="IM499" s="105"/>
      <c r="IN499" s="105"/>
      <c r="IO499" s="105"/>
      <c r="IP499" s="105"/>
      <c r="IQ499" s="105"/>
      <c r="IR499" s="105"/>
      <c r="IS499" s="105"/>
    </row>
    <row r="500" spans="1:253">
      <c r="A500" s="116"/>
      <c r="B500" s="105"/>
      <c r="C500" s="116"/>
      <c r="D500" s="116"/>
      <c r="E500" s="116"/>
      <c r="F500" s="116"/>
      <c r="G500" s="116"/>
      <c r="H500" s="116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05"/>
      <c r="BF500" s="105"/>
      <c r="BG500" s="105"/>
      <c r="BH500" s="105"/>
      <c r="BI500" s="105"/>
      <c r="BJ500" s="105"/>
      <c r="BK500" s="105"/>
      <c r="BL500" s="105"/>
      <c r="BM500" s="105"/>
      <c r="BN500" s="105"/>
      <c r="BO500" s="105"/>
      <c r="BP500" s="105"/>
      <c r="BQ500" s="105"/>
      <c r="BR500" s="105"/>
      <c r="BS500" s="105"/>
      <c r="BT500" s="105"/>
      <c r="BU500" s="105"/>
      <c r="BV500" s="105"/>
      <c r="BW500" s="105"/>
      <c r="BX500" s="105"/>
      <c r="BY500" s="105"/>
      <c r="BZ500" s="105"/>
      <c r="CA500" s="105"/>
      <c r="CB500" s="105"/>
      <c r="CC500" s="105"/>
      <c r="CD500" s="105"/>
      <c r="CE500" s="105"/>
      <c r="CF500" s="105"/>
      <c r="CG500" s="105"/>
      <c r="CH500" s="105"/>
      <c r="CI500" s="105"/>
      <c r="CJ500" s="105"/>
      <c r="CK500" s="105"/>
      <c r="CL500" s="105"/>
      <c r="CM500" s="105"/>
      <c r="CN500" s="105"/>
      <c r="CO500" s="105"/>
      <c r="CP500" s="105"/>
      <c r="CQ500" s="105"/>
      <c r="CR500" s="105"/>
      <c r="CS500" s="105"/>
      <c r="CT500" s="105"/>
      <c r="CU500" s="105"/>
      <c r="CV500" s="105"/>
      <c r="CW500" s="105"/>
      <c r="CX500" s="105"/>
      <c r="CY500" s="105"/>
      <c r="CZ500" s="105"/>
      <c r="DA500" s="105"/>
      <c r="DB500" s="105"/>
      <c r="DC500" s="105"/>
      <c r="DD500" s="105"/>
      <c r="DE500" s="105"/>
      <c r="DF500" s="105"/>
      <c r="DG500" s="105"/>
      <c r="DH500" s="105"/>
      <c r="DI500" s="105"/>
      <c r="DJ500" s="105"/>
      <c r="DK500" s="105"/>
      <c r="DL500" s="105"/>
      <c r="DM500" s="105"/>
      <c r="DN500" s="105"/>
      <c r="DO500" s="105"/>
      <c r="DP500" s="105"/>
      <c r="DQ500" s="105"/>
      <c r="DR500" s="105"/>
      <c r="DS500" s="105"/>
      <c r="DT500" s="105"/>
      <c r="DU500" s="105"/>
      <c r="DV500" s="105"/>
      <c r="DW500" s="105"/>
      <c r="DX500" s="105"/>
      <c r="DY500" s="105"/>
      <c r="DZ500" s="105"/>
      <c r="EA500" s="105"/>
      <c r="EB500" s="105"/>
      <c r="EC500" s="105"/>
      <c r="ED500" s="105"/>
      <c r="EE500" s="105"/>
      <c r="EF500" s="105"/>
      <c r="EG500" s="105"/>
      <c r="EH500" s="105"/>
      <c r="EI500" s="105"/>
      <c r="EJ500" s="105"/>
      <c r="EK500" s="105"/>
      <c r="EL500" s="105"/>
      <c r="EM500" s="105"/>
      <c r="EN500" s="105"/>
      <c r="EO500" s="105"/>
      <c r="EP500" s="105"/>
      <c r="EQ500" s="105"/>
      <c r="ER500" s="105"/>
      <c r="ES500" s="105"/>
      <c r="ET500" s="105"/>
      <c r="EU500" s="105"/>
      <c r="EV500" s="105"/>
      <c r="EW500" s="105"/>
      <c r="EX500" s="105"/>
      <c r="EY500" s="105"/>
      <c r="EZ500" s="105"/>
      <c r="FA500" s="105"/>
      <c r="FB500" s="105"/>
      <c r="FC500" s="105"/>
      <c r="FD500" s="105"/>
      <c r="FE500" s="105"/>
      <c r="FF500" s="105"/>
      <c r="FG500" s="105"/>
      <c r="FH500" s="105"/>
      <c r="FI500" s="105"/>
      <c r="FJ500" s="105"/>
      <c r="FK500" s="105"/>
      <c r="FL500" s="105"/>
      <c r="FM500" s="105"/>
      <c r="FN500" s="105"/>
      <c r="FO500" s="105"/>
      <c r="FP500" s="105"/>
      <c r="FQ500" s="105"/>
      <c r="FR500" s="105"/>
      <c r="FS500" s="105"/>
      <c r="FT500" s="105"/>
      <c r="FU500" s="105"/>
      <c r="FV500" s="105"/>
      <c r="FW500" s="105"/>
      <c r="FX500" s="105"/>
      <c r="FY500" s="105"/>
      <c r="FZ500" s="105"/>
      <c r="GA500" s="105"/>
      <c r="GB500" s="105"/>
      <c r="GC500" s="105"/>
      <c r="GD500" s="105"/>
      <c r="GE500" s="105"/>
      <c r="GF500" s="105"/>
      <c r="GG500" s="105"/>
      <c r="GH500" s="105"/>
      <c r="GI500" s="105"/>
      <c r="GJ500" s="105"/>
      <c r="GK500" s="105"/>
      <c r="GL500" s="105"/>
      <c r="GM500" s="105"/>
      <c r="GN500" s="105"/>
      <c r="GO500" s="105"/>
      <c r="GP500" s="105"/>
      <c r="GQ500" s="105"/>
      <c r="GR500" s="105"/>
      <c r="GS500" s="105"/>
      <c r="GT500" s="105"/>
      <c r="GU500" s="105"/>
      <c r="GV500" s="105"/>
      <c r="GW500" s="105"/>
      <c r="GX500" s="105"/>
      <c r="GY500" s="105"/>
      <c r="GZ500" s="105"/>
      <c r="HA500" s="105"/>
      <c r="HB500" s="105"/>
      <c r="HC500" s="105"/>
      <c r="HD500" s="105"/>
      <c r="HE500" s="105"/>
      <c r="HF500" s="105"/>
      <c r="HG500" s="105"/>
      <c r="HH500" s="105"/>
      <c r="HI500" s="105"/>
      <c r="HJ500" s="105"/>
      <c r="HK500" s="105"/>
      <c r="HL500" s="105"/>
      <c r="HM500" s="105"/>
      <c r="HN500" s="105"/>
      <c r="HO500" s="105"/>
      <c r="HP500" s="105"/>
      <c r="HQ500" s="105"/>
      <c r="HR500" s="105"/>
      <c r="HS500" s="105"/>
      <c r="HT500" s="105"/>
      <c r="HU500" s="105"/>
      <c r="HV500" s="105"/>
      <c r="HW500" s="105"/>
      <c r="HX500" s="105"/>
      <c r="HY500" s="105"/>
      <c r="HZ500" s="105"/>
      <c r="IA500" s="105"/>
      <c r="IB500" s="105"/>
      <c r="IC500" s="105"/>
      <c r="ID500" s="105"/>
      <c r="IE500" s="105"/>
      <c r="IF500" s="105"/>
      <c r="IG500" s="105"/>
      <c r="IH500" s="105"/>
      <c r="II500" s="105"/>
      <c r="IJ500" s="105"/>
      <c r="IK500" s="105"/>
      <c r="IL500" s="105"/>
      <c r="IM500" s="105"/>
      <c r="IN500" s="105"/>
      <c r="IO500" s="105"/>
      <c r="IP500" s="105"/>
      <c r="IQ500" s="105"/>
      <c r="IR500" s="105"/>
      <c r="IS500" s="105"/>
    </row>
    <row r="501" spans="1:253">
      <c r="A501" s="116"/>
      <c r="B501" s="105"/>
      <c r="C501" s="116"/>
      <c r="D501" s="116"/>
      <c r="E501" s="116"/>
      <c r="F501" s="116"/>
      <c r="G501" s="116"/>
      <c r="H501" s="116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5"/>
      <c r="BE501" s="105"/>
      <c r="BF501" s="105"/>
      <c r="BG501" s="105"/>
      <c r="BH501" s="105"/>
      <c r="BI501" s="105"/>
      <c r="BJ501" s="105"/>
      <c r="BK501" s="105"/>
      <c r="BL501" s="105"/>
      <c r="BM501" s="105"/>
      <c r="BN501" s="105"/>
      <c r="BO501" s="105"/>
      <c r="BP501" s="105"/>
      <c r="BQ501" s="105"/>
      <c r="BR501" s="105"/>
      <c r="BS501" s="105"/>
      <c r="BT501" s="105"/>
      <c r="BU501" s="105"/>
      <c r="BV501" s="105"/>
      <c r="BW501" s="105"/>
      <c r="BX501" s="105"/>
      <c r="BY501" s="105"/>
      <c r="BZ501" s="105"/>
      <c r="CA501" s="105"/>
      <c r="CB501" s="105"/>
      <c r="CC501" s="105"/>
      <c r="CD501" s="105"/>
      <c r="CE501" s="105"/>
      <c r="CF501" s="105"/>
      <c r="CG501" s="105"/>
      <c r="CH501" s="105"/>
      <c r="CI501" s="105"/>
      <c r="CJ501" s="105"/>
      <c r="CK501" s="105"/>
      <c r="CL501" s="105"/>
      <c r="CM501" s="105"/>
      <c r="CN501" s="105"/>
      <c r="CO501" s="105"/>
      <c r="CP501" s="105"/>
      <c r="CQ501" s="105"/>
      <c r="CR501" s="105"/>
      <c r="CS501" s="105"/>
      <c r="CT501" s="105"/>
      <c r="CU501" s="105"/>
      <c r="CV501" s="105"/>
      <c r="CW501" s="105"/>
      <c r="CX501" s="105"/>
      <c r="CY501" s="105"/>
      <c r="CZ501" s="105"/>
      <c r="DA501" s="105"/>
      <c r="DB501" s="105"/>
      <c r="DC501" s="105"/>
      <c r="DD501" s="105"/>
      <c r="DE501" s="105"/>
      <c r="DF501" s="105"/>
      <c r="DG501" s="105"/>
      <c r="DH501" s="105"/>
      <c r="DI501" s="105"/>
      <c r="DJ501" s="105"/>
      <c r="DK501" s="105"/>
      <c r="DL501" s="105"/>
      <c r="DM501" s="105"/>
      <c r="DN501" s="105"/>
      <c r="DO501" s="105"/>
      <c r="DP501" s="105"/>
      <c r="DQ501" s="105"/>
      <c r="DR501" s="105"/>
      <c r="DS501" s="105"/>
      <c r="DT501" s="105"/>
      <c r="DU501" s="105"/>
      <c r="DV501" s="105"/>
      <c r="DW501" s="105"/>
      <c r="DX501" s="105"/>
      <c r="DY501" s="105"/>
      <c r="DZ501" s="105"/>
      <c r="EA501" s="105"/>
      <c r="EB501" s="105"/>
      <c r="EC501" s="105"/>
      <c r="ED501" s="105"/>
      <c r="EE501" s="105"/>
      <c r="EF501" s="105"/>
      <c r="EG501" s="105"/>
      <c r="EH501" s="105"/>
      <c r="EI501" s="105"/>
      <c r="EJ501" s="105"/>
      <c r="EK501" s="105"/>
      <c r="EL501" s="105"/>
      <c r="EM501" s="105"/>
      <c r="EN501" s="105"/>
      <c r="EO501" s="105"/>
      <c r="EP501" s="105"/>
      <c r="EQ501" s="105"/>
      <c r="ER501" s="105"/>
      <c r="ES501" s="105"/>
      <c r="ET501" s="105"/>
      <c r="EU501" s="105"/>
      <c r="EV501" s="105"/>
      <c r="EW501" s="105"/>
      <c r="EX501" s="105"/>
      <c r="EY501" s="105"/>
      <c r="EZ501" s="105"/>
      <c r="FA501" s="105"/>
      <c r="FB501" s="105"/>
      <c r="FC501" s="105"/>
      <c r="FD501" s="105"/>
      <c r="FE501" s="105"/>
      <c r="FF501" s="105"/>
      <c r="FG501" s="105"/>
      <c r="FH501" s="105"/>
      <c r="FI501" s="105"/>
      <c r="FJ501" s="105"/>
      <c r="FK501" s="105"/>
      <c r="FL501" s="105"/>
      <c r="FM501" s="105"/>
      <c r="FN501" s="105"/>
      <c r="FO501" s="105"/>
      <c r="FP501" s="105"/>
      <c r="FQ501" s="105"/>
      <c r="FR501" s="105"/>
      <c r="FS501" s="105"/>
      <c r="FT501" s="105"/>
      <c r="FU501" s="105"/>
      <c r="FV501" s="105"/>
      <c r="FW501" s="105"/>
      <c r="FX501" s="105"/>
      <c r="FY501" s="105"/>
      <c r="FZ501" s="105"/>
      <c r="GA501" s="105"/>
      <c r="GB501" s="105"/>
      <c r="GC501" s="105"/>
      <c r="GD501" s="105"/>
      <c r="GE501" s="105"/>
      <c r="GF501" s="105"/>
      <c r="GG501" s="105"/>
      <c r="GH501" s="105"/>
      <c r="GI501" s="105"/>
      <c r="GJ501" s="105"/>
      <c r="GK501" s="105"/>
      <c r="GL501" s="105"/>
      <c r="GM501" s="105"/>
      <c r="GN501" s="105"/>
      <c r="GO501" s="105"/>
      <c r="GP501" s="105"/>
      <c r="GQ501" s="105"/>
      <c r="GR501" s="105"/>
      <c r="GS501" s="105"/>
      <c r="GT501" s="105"/>
      <c r="GU501" s="105"/>
      <c r="GV501" s="105"/>
      <c r="GW501" s="105"/>
      <c r="GX501" s="105"/>
      <c r="GY501" s="105"/>
      <c r="GZ501" s="105"/>
      <c r="HA501" s="105"/>
      <c r="HB501" s="105"/>
      <c r="HC501" s="105"/>
      <c r="HD501" s="105"/>
      <c r="HE501" s="105"/>
      <c r="HF501" s="105"/>
      <c r="HG501" s="105"/>
      <c r="HH501" s="105"/>
      <c r="HI501" s="105"/>
      <c r="HJ501" s="105"/>
      <c r="HK501" s="105"/>
      <c r="HL501" s="105"/>
      <c r="HM501" s="105"/>
      <c r="HN501" s="105"/>
      <c r="HO501" s="105"/>
      <c r="HP501" s="105"/>
      <c r="HQ501" s="105"/>
      <c r="HR501" s="105"/>
      <c r="HS501" s="105"/>
      <c r="HT501" s="105"/>
      <c r="HU501" s="105"/>
      <c r="HV501" s="105"/>
      <c r="HW501" s="105"/>
      <c r="HX501" s="105"/>
      <c r="HY501" s="105"/>
      <c r="HZ501" s="105"/>
      <c r="IA501" s="105"/>
      <c r="IB501" s="105"/>
      <c r="IC501" s="105"/>
      <c r="ID501" s="105"/>
      <c r="IE501" s="105"/>
      <c r="IF501" s="105"/>
      <c r="IG501" s="105"/>
      <c r="IH501" s="105"/>
      <c r="II501" s="105"/>
      <c r="IJ501" s="105"/>
      <c r="IK501" s="105"/>
      <c r="IL501" s="105"/>
      <c r="IM501" s="105"/>
      <c r="IN501" s="105"/>
      <c r="IO501" s="105"/>
      <c r="IP501" s="105"/>
      <c r="IQ501" s="105"/>
      <c r="IR501" s="105"/>
      <c r="IS501" s="105"/>
    </row>
    <row r="502" spans="1:253">
      <c r="A502" s="116"/>
      <c r="B502" s="105"/>
      <c r="C502" s="116"/>
      <c r="D502" s="116"/>
      <c r="E502" s="116"/>
      <c r="F502" s="116"/>
      <c r="G502" s="116"/>
      <c r="H502" s="116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05"/>
      <c r="BF502" s="105"/>
      <c r="BG502" s="105"/>
      <c r="BH502" s="105"/>
      <c r="BI502" s="105"/>
      <c r="BJ502" s="105"/>
      <c r="BK502" s="105"/>
      <c r="BL502" s="105"/>
      <c r="BM502" s="105"/>
      <c r="BN502" s="105"/>
      <c r="BO502" s="105"/>
      <c r="BP502" s="105"/>
      <c r="BQ502" s="105"/>
      <c r="BR502" s="105"/>
      <c r="BS502" s="105"/>
      <c r="BT502" s="105"/>
      <c r="BU502" s="105"/>
      <c r="BV502" s="105"/>
      <c r="BW502" s="105"/>
      <c r="BX502" s="105"/>
      <c r="BY502" s="105"/>
      <c r="BZ502" s="105"/>
      <c r="CA502" s="105"/>
      <c r="CB502" s="105"/>
      <c r="CC502" s="105"/>
      <c r="CD502" s="105"/>
      <c r="CE502" s="105"/>
      <c r="CF502" s="105"/>
      <c r="CG502" s="105"/>
      <c r="CH502" s="105"/>
      <c r="CI502" s="105"/>
      <c r="CJ502" s="105"/>
      <c r="CK502" s="105"/>
      <c r="CL502" s="105"/>
      <c r="CM502" s="105"/>
      <c r="CN502" s="105"/>
      <c r="CO502" s="105"/>
      <c r="CP502" s="105"/>
      <c r="CQ502" s="105"/>
      <c r="CR502" s="105"/>
      <c r="CS502" s="105"/>
      <c r="CT502" s="105"/>
      <c r="CU502" s="105"/>
      <c r="CV502" s="105"/>
      <c r="CW502" s="105"/>
      <c r="CX502" s="105"/>
      <c r="CY502" s="105"/>
      <c r="CZ502" s="105"/>
      <c r="DA502" s="105"/>
      <c r="DB502" s="105"/>
      <c r="DC502" s="105"/>
      <c r="DD502" s="105"/>
      <c r="DE502" s="105"/>
      <c r="DF502" s="105"/>
      <c r="DG502" s="105"/>
      <c r="DH502" s="105"/>
      <c r="DI502" s="105"/>
      <c r="DJ502" s="105"/>
      <c r="DK502" s="105"/>
      <c r="DL502" s="105"/>
      <c r="DM502" s="105"/>
      <c r="DN502" s="105"/>
      <c r="DO502" s="105"/>
      <c r="DP502" s="105"/>
      <c r="DQ502" s="105"/>
      <c r="DR502" s="105"/>
      <c r="DS502" s="105"/>
      <c r="DT502" s="105"/>
      <c r="DU502" s="105"/>
      <c r="DV502" s="105"/>
      <c r="DW502" s="105"/>
      <c r="DX502" s="105"/>
      <c r="DY502" s="105"/>
      <c r="DZ502" s="105"/>
      <c r="EA502" s="105"/>
      <c r="EB502" s="105"/>
      <c r="EC502" s="105"/>
      <c r="ED502" s="105"/>
      <c r="EE502" s="105"/>
      <c r="EF502" s="105"/>
      <c r="EG502" s="105"/>
      <c r="EH502" s="105"/>
      <c r="EI502" s="105"/>
      <c r="EJ502" s="105"/>
      <c r="EK502" s="105"/>
      <c r="EL502" s="105"/>
      <c r="EM502" s="105"/>
      <c r="EN502" s="105"/>
      <c r="EO502" s="105"/>
      <c r="EP502" s="105"/>
      <c r="EQ502" s="105"/>
      <c r="ER502" s="105"/>
      <c r="ES502" s="105"/>
      <c r="ET502" s="105"/>
      <c r="EU502" s="105"/>
      <c r="EV502" s="105"/>
      <c r="EW502" s="105"/>
      <c r="EX502" s="105"/>
      <c r="EY502" s="105"/>
      <c r="EZ502" s="105"/>
      <c r="FA502" s="105"/>
      <c r="FB502" s="105"/>
      <c r="FC502" s="105"/>
      <c r="FD502" s="105"/>
      <c r="FE502" s="105"/>
      <c r="FF502" s="105"/>
      <c r="FG502" s="105"/>
      <c r="FH502" s="105"/>
      <c r="FI502" s="105"/>
      <c r="FJ502" s="105"/>
      <c r="FK502" s="105"/>
      <c r="FL502" s="105"/>
      <c r="FM502" s="105"/>
      <c r="FN502" s="105"/>
      <c r="FO502" s="105"/>
      <c r="FP502" s="105"/>
      <c r="FQ502" s="105"/>
      <c r="FR502" s="105"/>
      <c r="FS502" s="105"/>
      <c r="FT502" s="105"/>
      <c r="FU502" s="105"/>
      <c r="FV502" s="105"/>
      <c r="FW502" s="105"/>
      <c r="FX502" s="105"/>
      <c r="FY502" s="105"/>
      <c r="FZ502" s="105"/>
      <c r="GA502" s="105"/>
      <c r="GB502" s="105"/>
      <c r="GC502" s="105"/>
      <c r="GD502" s="105"/>
      <c r="GE502" s="105"/>
      <c r="GF502" s="105"/>
      <c r="GG502" s="105"/>
      <c r="GH502" s="105"/>
      <c r="GI502" s="105"/>
      <c r="GJ502" s="105"/>
      <c r="GK502" s="105"/>
      <c r="GL502" s="105"/>
      <c r="GM502" s="105"/>
      <c r="GN502" s="105"/>
      <c r="GO502" s="105"/>
      <c r="GP502" s="105"/>
      <c r="GQ502" s="105"/>
      <c r="GR502" s="105"/>
      <c r="GS502" s="105"/>
      <c r="GT502" s="105"/>
      <c r="GU502" s="105"/>
      <c r="GV502" s="105"/>
      <c r="GW502" s="105"/>
      <c r="GX502" s="105"/>
      <c r="GY502" s="105"/>
      <c r="GZ502" s="105"/>
      <c r="HA502" s="105"/>
      <c r="HB502" s="105"/>
      <c r="HC502" s="105"/>
      <c r="HD502" s="105"/>
      <c r="HE502" s="105"/>
      <c r="HF502" s="105"/>
      <c r="HG502" s="105"/>
      <c r="HH502" s="105"/>
      <c r="HI502" s="105"/>
      <c r="HJ502" s="105"/>
      <c r="HK502" s="105"/>
      <c r="HL502" s="105"/>
      <c r="HM502" s="105"/>
      <c r="HN502" s="105"/>
      <c r="HO502" s="105"/>
      <c r="HP502" s="105"/>
      <c r="HQ502" s="105"/>
      <c r="HR502" s="105"/>
      <c r="HS502" s="105"/>
      <c r="HT502" s="105"/>
      <c r="HU502" s="105"/>
      <c r="HV502" s="105"/>
      <c r="HW502" s="105"/>
      <c r="HX502" s="105"/>
      <c r="HY502" s="105"/>
      <c r="HZ502" s="105"/>
      <c r="IA502" s="105"/>
      <c r="IB502" s="105"/>
      <c r="IC502" s="105"/>
      <c r="ID502" s="105"/>
      <c r="IE502" s="105"/>
      <c r="IF502" s="105"/>
      <c r="IG502" s="105"/>
      <c r="IH502" s="105"/>
      <c r="II502" s="105"/>
      <c r="IJ502" s="105"/>
      <c r="IK502" s="105"/>
      <c r="IL502" s="105"/>
      <c r="IM502" s="105"/>
      <c r="IN502" s="105"/>
      <c r="IO502" s="105"/>
      <c r="IP502" s="105"/>
      <c r="IQ502" s="105"/>
      <c r="IR502" s="105"/>
      <c r="IS502" s="105"/>
    </row>
    <row r="503" spans="1:253">
      <c r="A503" s="116"/>
      <c r="B503" s="105"/>
      <c r="C503" s="116"/>
      <c r="D503" s="116"/>
      <c r="E503" s="116"/>
      <c r="F503" s="116"/>
      <c r="G503" s="116"/>
      <c r="H503" s="116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  <c r="AU503" s="105"/>
      <c r="AV503" s="105"/>
      <c r="AW503" s="105"/>
      <c r="AX503" s="105"/>
      <c r="AY503" s="105"/>
      <c r="AZ503" s="105"/>
      <c r="BA503" s="105"/>
      <c r="BB503" s="105"/>
      <c r="BC503" s="105"/>
      <c r="BD503" s="105"/>
      <c r="BE503" s="105"/>
      <c r="BF503" s="105"/>
      <c r="BG503" s="105"/>
      <c r="BH503" s="105"/>
      <c r="BI503" s="105"/>
      <c r="BJ503" s="105"/>
      <c r="BK503" s="105"/>
      <c r="BL503" s="105"/>
      <c r="BM503" s="105"/>
      <c r="BN503" s="105"/>
      <c r="BO503" s="105"/>
      <c r="BP503" s="105"/>
      <c r="BQ503" s="105"/>
      <c r="BR503" s="105"/>
      <c r="BS503" s="105"/>
      <c r="BT503" s="105"/>
      <c r="BU503" s="105"/>
      <c r="BV503" s="105"/>
      <c r="BW503" s="105"/>
      <c r="BX503" s="105"/>
      <c r="BY503" s="105"/>
      <c r="BZ503" s="105"/>
      <c r="CA503" s="105"/>
      <c r="CB503" s="105"/>
      <c r="CC503" s="105"/>
      <c r="CD503" s="105"/>
      <c r="CE503" s="105"/>
      <c r="CF503" s="105"/>
      <c r="CG503" s="105"/>
      <c r="CH503" s="105"/>
      <c r="CI503" s="105"/>
      <c r="CJ503" s="105"/>
      <c r="CK503" s="105"/>
      <c r="CL503" s="105"/>
      <c r="CM503" s="105"/>
      <c r="CN503" s="105"/>
      <c r="CO503" s="105"/>
      <c r="CP503" s="105"/>
      <c r="CQ503" s="105"/>
      <c r="CR503" s="105"/>
      <c r="CS503" s="105"/>
      <c r="CT503" s="105"/>
      <c r="CU503" s="105"/>
      <c r="CV503" s="105"/>
      <c r="CW503" s="105"/>
      <c r="CX503" s="105"/>
      <c r="CY503" s="105"/>
      <c r="CZ503" s="105"/>
      <c r="DA503" s="105"/>
      <c r="DB503" s="105"/>
      <c r="DC503" s="105"/>
      <c r="DD503" s="105"/>
      <c r="DE503" s="105"/>
      <c r="DF503" s="105"/>
      <c r="DG503" s="105"/>
      <c r="DH503" s="105"/>
      <c r="DI503" s="105"/>
      <c r="DJ503" s="105"/>
      <c r="DK503" s="105"/>
      <c r="DL503" s="105"/>
      <c r="DM503" s="105"/>
      <c r="DN503" s="105"/>
      <c r="DO503" s="105"/>
      <c r="DP503" s="105"/>
      <c r="DQ503" s="105"/>
      <c r="DR503" s="105"/>
      <c r="DS503" s="105"/>
      <c r="DT503" s="105"/>
      <c r="DU503" s="105"/>
      <c r="DV503" s="105"/>
      <c r="DW503" s="105"/>
      <c r="DX503" s="105"/>
      <c r="DY503" s="105"/>
      <c r="DZ503" s="105"/>
      <c r="EA503" s="105"/>
      <c r="EB503" s="105"/>
      <c r="EC503" s="105"/>
      <c r="ED503" s="105"/>
      <c r="EE503" s="105"/>
      <c r="EF503" s="105"/>
      <c r="EG503" s="105"/>
      <c r="EH503" s="105"/>
      <c r="EI503" s="105"/>
      <c r="EJ503" s="105"/>
      <c r="EK503" s="105"/>
      <c r="EL503" s="105"/>
      <c r="EM503" s="105"/>
      <c r="EN503" s="105"/>
      <c r="EO503" s="105"/>
      <c r="EP503" s="105"/>
      <c r="EQ503" s="105"/>
      <c r="ER503" s="105"/>
      <c r="ES503" s="105"/>
      <c r="ET503" s="105"/>
      <c r="EU503" s="105"/>
      <c r="EV503" s="105"/>
      <c r="EW503" s="105"/>
      <c r="EX503" s="105"/>
      <c r="EY503" s="105"/>
      <c r="EZ503" s="105"/>
      <c r="FA503" s="105"/>
      <c r="FB503" s="105"/>
      <c r="FC503" s="105"/>
      <c r="FD503" s="105"/>
      <c r="FE503" s="105"/>
      <c r="FF503" s="105"/>
      <c r="FG503" s="105"/>
      <c r="FH503" s="105"/>
      <c r="FI503" s="105"/>
      <c r="FJ503" s="105"/>
      <c r="FK503" s="105"/>
      <c r="FL503" s="105"/>
      <c r="FM503" s="105"/>
      <c r="FN503" s="105"/>
      <c r="FO503" s="105"/>
      <c r="FP503" s="105"/>
      <c r="FQ503" s="105"/>
      <c r="FR503" s="105"/>
      <c r="FS503" s="105"/>
      <c r="FT503" s="105"/>
      <c r="FU503" s="105"/>
      <c r="FV503" s="105"/>
      <c r="FW503" s="105"/>
      <c r="FX503" s="105"/>
      <c r="FY503" s="105"/>
      <c r="FZ503" s="105"/>
      <c r="GA503" s="105"/>
      <c r="GB503" s="105"/>
      <c r="GC503" s="105"/>
      <c r="GD503" s="105"/>
      <c r="GE503" s="105"/>
      <c r="GF503" s="105"/>
      <c r="GG503" s="105"/>
      <c r="GH503" s="105"/>
      <c r="GI503" s="105"/>
      <c r="GJ503" s="105"/>
      <c r="GK503" s="105"/>
      <c r="GL503" s="105"/>
      <c r="GM503" s="105"/>
      <c r="GN503" s="105"/>
      <c r="GO503" s="105"/>
      <c r="GP503" s="105"/>
      <c r="GQ503" s="105"/>
      <c r="GR503" s="105"/>
      <c r="GS503" s="105"/>
      <c r="GT503" s="105"/>
      <c r="GU503" s="105"/>
      <c r="GV503" s="105"/>
      <c r="GW503" s="105"/>
      <c r="GX503" s="105"/>
      <c r="GY503" s="105"/>
      <c r="GZ503" s="105"/>
      <c r="HA503" s="105"/>
      <c r="HB503" s="105"/>
      <c r="HC503" s="105"/>
      <c r="HD503" s="105"/>
      <c r="HE503" s="105"/>
      <c r="HF503" s="105"/>
      <c r="HG503" s="105"/>
      <c r="HH503" s="105"/>
      <c r="HI503" s="105"/>
      <c r="HJ503" s="105"/>
      <c r="HK503" s="105"/>
      <c r="HL503" s="105"/>
      <c r="HM503" s="105"/>
      <c r="HN503" s="105"/>
      <c r="HO503" s="105"/>
      <c r="HP503" s="105"/>
      <c r="HQ503" s="105"/>
      <c r="HR503" s="105"/>
      <c r="HS503" s="105"/>
      <c r="HT503" s="105"/>
      <c r="HU503" s="105"/>
      <c r="HV503" s="105"/>
      <c r="HW503" s="105"/>
      <c r="HX503" s="105"/>
      <c r="HY503" s="105"/>
      <c r="HZ503" s="105"/>
      <c r="IA503" s="105"/>
      <c r="IB503" s="105"/>
      <c r="IC503" s="105"/>
      <c r="ID503" s="105"/>
      <c r="IE503" s="105"/>
      <c r="IF503" s="105"/>
      <c r="IG503" s="105"/>
      <c r="IH503" s="105"/>
      <c r="II503" s="105"/>
      <c r="IJ503" s="105"/>
      <c r="IK503" s="105"/>
      <c r="IL503" s="105"/>
      <c r="IM503" s="105"/>
      <c r="IN503" s="105"/>
      <c r="IO503" s="105"/>
      <c r="IP503" s="105"/>
      <c r="IQ503" s="105"/>
      <c r="IR503" s="105"/>
      <c r="IS503" s="105"/>
    </row>
    <row r="504" spans="1:253">
      <c r="A504" s="116"/>
      <c r="B504" s="105"/>
      <c r="C504" s="116"/>
      <c r="D504" s="116"/>
      <c r="E504" s="116"/>
      <c r="F504" s="116"/>
      <c r="G504" s="116"/>
      <c r="H504" s="116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05"/>
      <c r="BF504" s="105"/>
      <c r="BG504" s="105"/>
      <c r="BH504" s="105"/>
      <c r="BI504" s="105"/>
      <c r="BJ504" s="105"/>
      <c r="BK504" s="105"/>
      <c r="BL504" s="105"/>
      <c r="BM504" s="105"/>
      <c r="BN504" s="105"/>
      <c r="BO504" s="105"/>
      <c r="BP504" s="105"/>
      <c r="BQ504" s="105"/>
      <c r="BR504" s="105"/>
      <c r="BS504" s="105"/>
      <c r="BT504" s="105"/>
      <c r="BU504" s="105"/>
      <c r="BV504" s="105"/>
      <c r="BW504" s="105"/>
      <c r="BX504" s="105"/>
      <c r="BY504" s="105"/>
      <c r="BZ504" s="105"/>
      <c r="CA504" s="105"/>
      <c r="CB504" s="105"/>
      <c r="CC504" s="105"/>
      <c r="CD504" s="105"/>
      <c r="CE504" s="105"/>
      <c r="CF504" s="105"/>
      <c r="CG504" s="105"/>
      <c r="CH504" s="105"/>
      <c r="CI504" s="105"/>
      <c r="CJ504" s="105"/>
      <c r="CK504" s="105"/>
      <c r="CL504" s="105"/>
      <c r="CM504" s="105"/>
      <c r="CN504" s="105"/>
      <c r="CO504" s="105"/>
      <c r="CP504" s="105"/>
      <c r="CQ504" s="105"/>
      <c r="CR504" s="105"/>
      <c r="CS504" s="105"/>
      <c r="CT504" s="105"/>
      <c r="CU504" s="105"/>
      <c r="CV504" s="105"/>
      <c r="CW504" s="105"/>
      <c r="CX504" s="105"/>
      <c r="CY504" s="105"/>
      <c r="CZ504" s="105"/>
      <c r="DA504" s="105"/>
      <c r="DB504" s="105"/>
      <c r="DC504" s="105"/>
      <c r="DD504" s="105"/>
      <c r="DE504" s="105"/>
      <c r="DF504" s="105"/>
      <c r="DG504" s="105"/>
      <c r="DH504" s="105"/>
      <c r="DI504" s="105"/>
      <c r="DJ504" s="105"/>
      <c r="DK504" s="105"/>
      <c r="DL504" s="105"/>
      <c r="DM504" s="105"/>
      <c r="DN504" s="105"/>
      <c r="DO504" s="105"/>
      <c r="DP504" s="105"/>
      <c r="DQ504" s="105"/>
      <c r="DR504" s="105"/>
      <c r="DS504" s="105"/>
      <c r="DT504" s="105"/>
      <c r="DU504" s="105"/>
      <c r="DV504" s="105"/>
      <c r="DW504" s="105"/>
      <c r="DX504" s="105"/>
      <c r="DY504" s="105"/>
      <c r="DZ504" s="105"/>
      <c r="EA504" s="105"/>
      <c r="EB504" s="105"/>
      <c r="EC504" s="105"/>
      <c r="ED504" s="105"/>
      <c r="EE504" s="105"/>
      <c r="EF504" s="105"/>
      <c r="EG504" s="105"/>
      <c r="EH504" s="105"/>
      <c r="EI504" s="105"/>
      <c r="EJ504" s="105"/>
      <c r="EK504" s="105"/>
      <c r="EL504" s="105"/>
      <c r="EM504" s="105"/>
      <c r="EN504" s="105"/>
      <c r="EO504" s="105"/>
      <c r="EP504" s="105"/>
      <c r="EQ504" s="105"/>
      <c r="ER504" s="105"/>
      <c r="ES504" s="105"/>
      <c r="ET504" s="105"/>
      <c r="EU504" s="105"/>
      <c r="EV504" s="105"/>
      <c r="EW504" s="105"/>
      <c r="EX504" s="105"/>
      <c r="EY504" s="105"/>
      <c r="EZ504" s="105"/>
      <c r="FA504" s="105"/>
      <c r="FB504" s="105"/>
      <c r="FC504" s="105"/>
      <c r="FD504" s="105"/>
      <c r="FE504" s="105"/>
      <c r="FF504" s="105"/>
      <c r="FG504" s="105"/>
      <c r="FH504" s="105"/>
      <c r="FI504" s="105"/>
      <c r="FJ504" s="105"/>
      <c r="FK504" s="105"/>
      <c r="FL504" s="105"/>
      <c r="FM504" s="105"/>
      <c r="FN504" s="105"/>
      <c r="FO504" s="105"/>
      <c r="FP504" s="105"/>
      <c r="FQ504" s="105"/>
      <c r="FR504" s="105"/>
      <c r="FS504" s="105"/>
      <c r="FT504" s="105"/>
      <c r="FU504" s="105"/>
      <c r="FV504" s="105"/>
      <c r="FW504" s="105"/>
      <c r="FX504" s="105"/>
      <c r="FY504" s="105"/>
      <c r="FZ504" s="105"/>
      <c r="GA504" s="105"/>
      <c r="GB504" s="105"/>
      <c r="GC504" s="105"/>
      <c r="GD504" s="105"/>
      <c r="GE504" s="105"/>
      <c r="GF504" s="105"/>
      <c r="GG504" s="105"/>
      <c r="GH504" s="105"/>
      <c r="GI504" s="105"/>
      <c r="GJ504" s="105"/>
      <c r="GK504" s="105"/>
      <c r="GL504" s="105"/>
      <c r="GM504" s="105"/>
      <c r="GN504" s="105"/>
      <c r="GO504" s="105"/>
      <c r="GP504" s="105"/>
      <c r="GQ504" s="105"/>
      <c r="GR504" s="105"/>
      <c r="GS504" s="105"/>
      <c r="GT504" s="105"/>
      <c r="GU504" s="105"/>
      <c r="GV504" s="105"/>
      <c r="GW504" s="105"/>
      <c r="GX504" s="105"/>
      <c r="GY504" s="105"/>
      <c r="GZ504" s="105"/>
      <c r="HA504" s="105"/>
      <c r="HB504" s="105"/>
      <c r="HC504" s="105"/>
      <c r="HD504" s="105"/>
      <c r="HE504" s="105"/>
      <c r="HF504" s="105"/>
      <c r="HG504" s="105"/>
      <c r="HH504" s="105"/>
      <c r="HI504" s="105"/>
      <c r="HJ504" s="105"/>
      <c r="HK504" s="105"/>
      <c r="HL504" s="105"/>
      <c r="HM504" s="105"/>
      <c r="HN504" s="105"/>
      <c r="HO504" s="105"/>
      <c r="HP504" s="105"/>
      <c r="HQ504" s="105"/>
      <c r="HR504" s="105"/>
      <c r="HS504" s="105"/>
      <c r="HT504" s="105"/>
      <c r="HU504" s="105"/>
      <c r="HV504" s="105"/>
      <c r="HW504" s="105"/>
      <c r="HX504" s="105"/>
      <c r="HY504" s="105"/>
      <c r="HZ504" s="105"/>
      <c r="IA504" s="105"/>
      <c r="IB504" s="105"/>
      <c r="IC504" s="105"/>
      <c r="ID504" s="105"/>
      <c r="IE504" s="105"/>
      <c r="IF504" s="105"/>
      <c r="IG504" s="105"/>
      <c r="IH504" s="105"/>
      <c r="II504" s="105"/>
      <c r="IJ504" s="105"/>
      <c r="IK504" s="105"/>
      <c r="IL504" s="105"/>
      <c r="IM504" s="105"/>
      <c r="IN504" s="105"/>
      <c r="IO504" s="105"/>
      <c r="IP504" s="105"/>
      <c r="IQ504" s="105"/>
      <c r="IR504" s="105"/>
      <c r="IS504" s="105"/>
    </row>
    <row r="505" spans="1:253">
      <c r="A505" s="116"/>
      <c r="B505" s="105"/>
      <c r="C505" s="116"/>
      <c r="D505" s="116"/>
      <c r="E505" s="116"/>
      <c r="F505" s="116"/>
      <c r="G505" s="116"/>
      <c r="H505" s="116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  <c r="AU505" s="105"/>
      <c r="AV505" s="105"/>
      <c r="AW505" s="105"/>
      <c r="AX505" s="105"/>
      <c r="AY505" s="105"/>
      <c r="AZ505" s="105"/>
      <c r="BA505" s="105"/>
      <c r="BB505" s="105"/>
      <c r="BC505" s="105"/>
      <c r="BD505" s="105"/>
      <c r="BE505" s="105"/>
      <c r="BF505" s="105"/>
      <c r="BG505" s="105"/>
      <c r="BH505" s="105"/>
      <c r="BI505" s="105"/>
      <c r="BJ505" s="105"/>
      <c r="BK505" s="105"/>
      <c r="BL505" s="105"/>
      <c r="BM505" s="105"/>
      <c r="BN505" s="105"/>
      <c r="BO505" s="105"/>
      <c r="BP505" s="105"/>
      <c r="BQ505" s="105"/>
      <c r="BR505" s="105"/>
      <c r="BS505" s="105"/>
      <c r="BT505" s="105"/>
      <c r="BU505" s="105"/>
      <c r="BV505" s="105"/>
      <c r="BW505" s="105"/>
      <c r="BX505" s="105"/>
      <c r="BY505" s="105"/>
      <c r="BZ505" s="105"/>
      <c r="CA505" s="105"/>
      <c r="CB505" s="105"/>
      <c r="CC505" s="105"/>
      <c r="CD505" s="105"/>
      <c r="CE505" s="105"/>
      <c r="CF505" s="105"/>
      <c r="CG505" s="105"/>
      <c r="CH505" s="105"/>
      <c r="CI505" s="105"/>
      <c r="CJ505" s="105"/>
      <c r="CK505" s="105"/>
      <c r="CL505" s="105"/>
      <c r="CM505" s="105"/>
      <c r="CN505" s="105"/>
      <c r="CO505" s="105"/>
      <c r="CP505" s="105"/>
      <c r="CQ505" s="105"/>
      <c r="CR505" s="105"/>
      <c r="CS505" s="105"/>
      <c r="CT505" s="105"/>
      <c r="CU505" s="105"/>
      <c r="CV505" s="105"/>
      <c r="CW505" s="105"/>
      <c r="CX505" s="105"/>
      <c r="CY505" s="105"/>
      <c r="CZ505" s="105"/>
      <c r="DA505" s="105"/>
      <c r="DB505" s="105"/>
      <c r="DC505" s="105"/>
      <c r="DD505" s="105"/>
      <c r="DE505" s="105"/>
      <c r="DF505" s="105"/>
      <c r="DG505" s="105"/>
      <c r="DH505" s="105"/>
      <c r="DI505" s="105"/>
      <c r="DJ505" s="105"/>
      <c r="DK505" s="105"/>
      <c r="DL505" s="105"/>
      <c r="DM505" s="105"/>
      <c r="DN505" s="105"/>
      <c r="DO505" s="105"/>
      <c r="DP505" s="105"/>
      <c r="DQ505" s="105"/>
      <c r="DR505" s="105"/>
      <c r="DS505" s="105"/>
      <c r="DT505" s="105"/>
      <c r="DU505" s="105"/>
      <c r="DV505" s="105"/>
      <c r="DW505" s="105"/>
      <c r="DX505" s="105"/>
      <c r="DY505" s="105"/>
      <c r="DZ505" s="105"/>
      <c r="EA505" s="105"/>
      <c r="EB505" s="105"/>
      <c r="EC505" s="105"/>
      <c r="ED505" s="105"/>
      <c r="EE505" s="105"/>
      <c r="EF505" s="105"/>
      <c r="EG505" s="105"/>
      <c r="EH505" s="105"/>
      <c r="EI505" s="105"/>
      <c r="EJ505" s="105"/>
      <c r="EK505" s="105"/>
      <c r="EL505" s="105"/>
      <c r="EM505" s="105"/>
      <c r="EN505" s="105"/>
      <c r="EO505" s="105"/>
      <c r="EP505" s="105"/>
      <c r="EQ505" s="105"/>
      <c r="ER505" s="105"/>
      <c r="ES505" s="105"/>
      <c r="ET505" s="105"/>
      <c r="EU505" s="105"/>
      <c r="EV505" s="105"/>
      <c r="EW505" s="105"/>
      <c r="EX505" s="105"/>
      <c r="EY505" s="105"/>
      <c r="EZ505" s="105"/>
      <c r="FA505" s="105"/>
      <c r="FB505" s="105"/>
      <c r="FC505" s="105"/>
      <c r="FD505" s="105"/>
      <c r="FE505" s="105"/>
      <c r="FF505" s="105"/>
      <c r="FG505" s="105"/>
      <c r="FH505" s="105"/>
      <c r="FI505" s="105"/>
      <c r="FJ505" s="105"/>
      <c r="FK505" s="105"/>
      <c r="FL505" s="105"/>
      <c r="FM505" s="105"/>
      <c r="FN505" s="105"/>
      <c r="FO505" s="105"/>
      <c r="FP505" s="105"/>
      <c r="FQ505" s="105"/>
      <c r="FR505" s="105"/>
      <c r="FS505" s="105"/>
      <c r="FT505" s="105"/>
      <c r="FU505" s="105"/>
      <c r="FV505" s="105"/>
      <c r="FW505" s="105"/>
      <c r="FX505" s="105"/>
      <c r="FY505" s="105"/>
      <c r="FZ505" s="105"/>
      <c r="GA505" s="105"/>
      <c r="GB505" s="105"/>
      <c r="GC505" s="105"/>
      <c r="GD505" s="105"/>
      <c r="GE505" s="105"/>
      <c r="GF505" s="105"/>
      <c r="GG505" s="105"/>
      <c r="GH505" s="105"/>
      <c r="GI505" s="105"/>
      <c r="GJ505" s="105"/>
      <c r="GK505" s="105"/>
      <c r="GL505" s="105"/>
      <c r="GM505" s="105"/>
      <c r="GN505" s="105"/>
      <c r="GO505" s="105"/>
      <c r="GP505" s="105"/>
      <c r="GQ505" s="105"/>
      <c r="GR505" s="105"/>
      <c r="GS505" s="105"/>
      <c r="GT505" s="105"/>
      <c r="GU505" s="105"/>
      <c r="GV505" s="105"/>
      <c r="GW505" s="105"/>
      <c r="GX505" s="105"/>
      <c r="GY505" s="105"/>
      <c r="GZ505" s="105"/>
      <c r="HA505" s="105"/>
      <c r="HB505" s="105"/>
      <c r="HC505" s="105"/>
      <c r="HD505" s="105"/>
      <c r="HE505" s="105"/>
      <c r="HF505" s="105"/>
      <c r="HG505" s="105"/>
      <c r="HH505" s="105"/>
      <c r="HI505" s="105"/>
      <c r="HJ505" s="105"/>
      <c r="HK505" s="105"/>
      <c r="HL505" s="105"/>
      <c r="HM505" s="105"/>
      <c r="HN505" s="105"/>
      <c r="HO505" s="105"/>
      <c r="HP505" s="105"/>
      <c r="HQ505" s="105"/>
      <c r="HR505" s="105"/>
      <c r="HS505" s="105"/>
      <c r="HT505" s="105"/>
      <c r="HU505" s="105"/>
      <c r="HV505" s="105"/>
      <c r="HW505" s="105"/>
      <c r="HX505" s="105"/>
      <c r="HY505" s="105"/>
      <c r="HZ505" s="105"/>
      <c r="IA505" s="105"/>
      <c r="IB505" s="105"/>
      <c r="IC505" s="105"/>
      <c r="ID505" s="105"/>
      <c r="IE505" s="105"/>
      <c r="IF505" s="105"/>
      <c r="IG505" s="105"/>
      <c r="IH505" s="105"/>
      <c r="II505" s="105"/>
      <c r="IJ505" s="105"/>
      <c r="IK505" s="105"/>
      <c r="IL505" s="105"/>
      <c r="IM505" s="105"/>
      <c r="IN505" s="105"/>
      <c r="IO505" s="105"/>
      <c r="IP505" s="105"/>
      <c r="IQ505" s="105"/>
      <c r="IR505" s="105"/>
      <c r="IS505" s="105"/>
    </row>
    <row r="506" spans="1:253">
      <c r="A506" s="116"/>
      <c r="B506" s="105"/>
      <c r="C506" s="116"/>
      <c r="D506" s="116"/>
      <c r="E506" s="116"/>
      <c r="F506" s="116"/>
      <c r="G506" s="116"/>
      <c r="H506" s="116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05"/>
      <c r="BF506" s="105"/>
      <c r="BG506" s="105"/>
      <c r="BH506" s="105"/>
      <c r="BI506" s="105"/>
      <c r="BJ506" s="105"/>
      <c r="BK506" s="105"/>
      <c r="BL506" s="105"/>
      <c r="BM506" s="105"/>
      <c r="BN506" s="105"/>
      <c r="BO506" s="105"/>
      <c r="BP506" s="105"/>
      <c r="BQ506" s="105"/>
      <c r="BR506" s="105"/>
      <c r="BS506" s="105"/>
      <c r="BT506" s="105"/>
      <c r="BU506" s="105"/>
      <c r="BV506" s="105"/>
      <c r="BW506" s="105"/>
      <c r="BX506" s="105"/>
      <c r="BY506" s="105"/>
      <c r="BZ506" s="105"/>
      <c r="CA506" s="105"/>
      <c r="CB506" s="105"/>
      <c r="CC506" s="105"/>
      <c r="CD506" s="105"/>
      <c r="CE506" s="105"/>
      <c r="CF506" s="105"/>
      <c r="CG506" s="105"/>
      <c r="CH506" s="105"/>
      <c r="CI506" s="105"/>
      <c r="CJ506" s="105"/>
      <c r="CK506" s="105"/>
      <c r="CL506" s="105"/>
      <c r="CM506" s="105"/>
      <c r="CN506" s="105"/>
      <c r="CO506" s="105"/>
      <c r="CP506" s="105"/>
      <c r="CQ506" s="105"/>
      <c r="CR506" s="105"/>
      <c r="CS506" s="105"/>
      <c r="CT506" s="105"/>
      <c r="CU506" s="105"/>
      <c r="CV506" s="105"/>
      <c r="CW506" s="105"/>
      <c r="CX506" s="105"/>
      <c r="CY506" s="105"/>
      <c r="CZ506" s="105"/>
      <c r="DA506" s="105"/>
      <c r="DB506" s="105"/>
      <c r="DC506" s="105"/>
      <c r="DD506" s="105"/>
      <c r="DE506" s="105"/>
      <c r="DF506" s="105"/>
      <c r="DG506" s="105"/>
      <c r="DH506" s="105"/>
      <c r="DI506" s="105"/>
      <c r="DJ506" s="105"/>
      <c r="DK506" s="105"/>
      <c r="DL506" s="105"/>
      <c r="DM506" s="105"/>
      <c r="DN506" s="105"/>
      <c r="DO506" s="105"/>
      <c r="DP506" s="105"/>
      <c r="DQ506" s="105"/>
      <c r="DR506" s="105"/>
      <c r="DS506" s="105"/>
      <c r="DT506" s="105"/>
      <c r="DU506" s="105"/>
      <c r="DV506" s="105"/>
      <c r="DW506" s="105"/>
      <c r="DX506" s="105"/>
      <c r="DY506" s="105"/>
      <c r="DZ506" s="105"/>
      <c r="EA506" s="105"/>
      <c r="EB506" s="105"/>
      <c r="EC506" s="105"/>
      <c r="ED506" s="105"/>
      <c r="EE506" s="105"/>
      <c r="EF506" s="105"/>
      <c r="EG506" s="105"/>
      <c r="EH506" s="105"/>
      <c r="EI506" s="105"/>
      <c r="EJ506" s="105"/>
      <c r="EK506" s="105"/>
      <c r="EL506" s="105"/>
      <c r="EM506" s="105"/>
      <c r="EN506" s="105"/>
      <c r="EO506" s="105"/>
      <c r="EP506" s="105"/>
      <c r="EQ506" s="105"/>
      <c r="ER506" s="105"/>
      <c r="ES506" s="105"/>
      <c r="ET506" s="105"/>
      <c r="EU506" s="105"/>
      <c r="EV506" s="105"/>
      <c r="EW506" s="105"/>
      <c r="EX506" s="105"/>
      <c r="EY506" s="105"/>
      <c r="EZ506" s="105"/>
      <c r="FA506" s="105"/>
      <c r="FB506" s="105"/>
      <c r="FC506" s="105"/>
      <c r="FD506" s="105"/>
      <c r="FE506" s="105"/>
      <c r="FF506" s="105"/>
      <c r="FG506" s="105"/>
      <c r="FH506" s="105"/>
      <c r="FI506" s="105"/>
      <c r="FJ506" s="105"/>
      <c r="FK506" s="105"/>
      <c r="FL506" s="105"/>
      <c r="FM506" s="105"/>
      <c r="FN506" s="105"/>
      <c r="FO506" s="105"/>
      <c r="FP506" s="105"/>
      <c r="FQ506" s="105"/>
      <c r="FR506" s="105"/>
      <c r="FS506" s="105"/>
      <c r="FT506" s="105"/>
      <c r="FU506" s="105"/>
      <c r="FV506" s="105"/>
      <c r="FW506" s="105"/>
      <c r="FX506" s="105"/>
      <c r="FY506" s="105"/>
      <c r="FZ506" s="105"/>
      <c r="GA506" s="105"/>
      <c r="GB506" s="105"/>
      <c r="GC506" s="105"/>
      <c r="GD506" s="105"/>
      <c r="GE506" s="105"/>
      <c r="GF506" s="105"/>
      <c r="GG506" s="105"/>
      <c r="GH506" s="105"/>
      <c r="GI506" s="105"/>
      <c r="GJ506" s="105"/>
      <c r="GK506" s="105"/>
      <c r="GL506" s="105"/>
      <c r="GM506" s="105"/>
      <c r="GN506" s="105"/>
      <c r="GO506" s="105"/>
      <c r="GP506" s="105"/>
      <c r="GQ506" s="105"/>
      <c r="GR506" s="105"/>
      <c r="GS506" s="105"/>
      <c r="GT506" s="105"/>
      <c r="GU506" s="105"/>
      <c r="GV506" s="105"/>
      <c r="GW506" s="105"/>
      <c r="GX506" s="105"/>
      <c r="GY506" s="105"/>
      <c r="GZ506" s="105"/>
      <c r="HA506" s="105"/>
      <c r="HB506" s="105"/>
      <c r="HC506" s="105"/>
      <c r="HD506" s="105"/>
      <c r="HE506" s="105"/>
      <c r="HF506" s="105"/>
      <c r="HG506" s="105"/>
      <c r="HH506" s="105"/>
      <c r="HI506" s="105"/>
      <c r="HJ506" s="105"/>
      <c r="HK506" s="105"/>
      <c r="HL506" s="105"/>
      <c r="HM506" s="105"/>
      <c r="HN506" s="105"/>
      <c r="HO506" s="105"/>
      <c r="HP506" s="105"/>
      <c r="HQ506" s="105"/>
      <c r="HR506" s="105"/>
      <c r="HS506" s="105"/>
      <c r="HT506" s="105"/>
      <c r="HU506" s="105"/>
      <c r="HV506" s="105"/>
      <c r="HW506" s="105"/>
      <c r="HX506" s="105"/>
      <c r="HY506" s="105"/>
      <c r="HZ506" s="105"/>
      <c r="IA506" s="105"/>
      <c r="IB506" s="105"/>
      <c r="IC506" s="105"/>
      <c r="ID506" s="105"/>
      <c r="IE506" s="105"/>
      <c r="IF506" s="105"/>
      <c r="IG506" s="105"/>
      <c r="IH506" s="105"/>
      <c r="II506" s="105"/>
      <c r="IJ506" s="105"/>
      <c r="IK506" s="105"/>
      <c r="IL506" s="105"/>
      <c r="IM506" s="105"/>
      <c r="IN506" s="105"/>
      <c r="IO506" s="105"/>
      <c r="IP506" s="105"/>
      <c r="IQ506" s="105"/>
      <c r="IR506" s="105"/>
      <c r="IS506" s="105"/>
    </row>
    <row r="507" spans="1:253">
      <c r="A507" s="116"/>
      <c r="B507" s="105"/>
      <c r="C507" s="116"/>
      <c r="D507" s="116"/>
      <c r="E507" s="116"/>
      <c r="F507" s="116"/>
      <c r="G507" s="116"/>
      <c r="H507" s="116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05"/>
      <c r="BF507" s="105"/>
      <c r="BG507" s="105"/>
      <c r="BH507" s="105"/>
      <c r="BI507" s="105"/>
      <c r="BJ507" s="105"/>
      <c r="BK507" s="105"/>
      <c r="BL507" s="105"/>
      <c r="BM507" s="105"/>
      <c r="BN507" s="105"/>
      <c r="BO507" s="105"/>
      <c r="BP507" s="105"/>
      <c r="BQ507" s="105"/>
      <c r="BR507" s="105"/>
      <c r="BS507" s="105"/>
      <c r="BT507" s="105"/>
      <c r="BU507" s="105"/>
      <c r="BV507" s="105"/>
      <c r="BW507" s="105"/>
      <c r="BX507" s="105"/>
      <c r="BY507" s="105"/>
      <c r="BZ507" s="105"/>
      <c r="CA507" s="105"/>
      <c r="CB507" s="105"/>
      <c r="CC507" s="105"/>
      <c r="CD507" s="105"/>
      <c r="CE507" s="105"/>
      <c r="CF507" s="105"/>
      <c r="CG507" s="105"/>
      <c r="CH507" s="105"/>
      <c r="CI507" s="105"/>
      <c r="CJ507" s="105"/>
      <c r="CK507" s="105"/>
      <c r="CL507" s="105"/>
      <c r="CM507" s="105"/>
      <c r="CN507" s="105"/>
      <c r="CO507" s="105"/>
      <c r="CP507" s="105"/>
      <c r="CQ507" s="105"/>
      <c r="CR507" s="105"/>
      <c r="CS507" s="105"/>
      <c r="CT507" s="105"/>
      <c r="CU507" s="105"/>
      <c r="CV507" s="105"/>
      <c r="CW507" s="105"/>
      <c r="CX507" s="105"/>
      <c r="CY507" s="105"/>
      <c r="CZ507" s="105"/>
      <c r="DA507" s="105"/>
      <c r="DB507" s="105"/>
      <c r="DC507" s="105"/>
      <c r="DD507" s="105"/>
      <c r="DE507" s="105"/>
      <c r="DF507" s="105"/>
      <c r="DG507" s="105"/>
      <c r="DH507" s="105"/>
      <c r="DI507" s="105"/>
      <c r="DJ507" s="105"/>
      <c r="DK507" s="105"/>
      <c r="DL507" s="105"/>
      <c r="DM507" s="105"/>
      <c r="DN507" s="105"/>
      <c r="DO507" s="105"/>
      <c r="DP507" s="105"/>
      <c r="DQ507" s="105"/>
      <c r="DR507" s="105"/>
      <c r="DS507" s="105"/>
      <c r="DT507" s="105"/>
      <c r="DU507" s="105"/>
      <c r="DV507" s="105"/>
      <c r="DW507" s="105"/>
      <c r="DX507" s="105"/>
      <c r="DY507" s="105"/>
      <c r="DZ507" s="105"/>
      <c r="EA507" s="105"/>
      <c r="EB507" s="105"/>
      <c r="EC507" s="105"/>
      <c r="ED507" s="105"/>
      <c r="EE507" s="105"/>
      <c r="EF507" s="105"/>
      <c r="EG507" s="105"/>
      <c r="EH507" s="105"/>
      <c r="EI507" s="105"/>
      <c r="EJ507" s="105"/>
      <c r="EK507" s="105"/>
      <c r="EL507" s="105"/>
      <c r="EM507" s="105"/>
      <c r="EN507" s="105"/>
      <c r="EO507" s="105"/>
      <c r="EP507" s="105"/>
      <c r="EQ507" s="105"/>
      <c r="ER507" s="105"/>
      <c r="ES507" s="105"/>
      <c r="ET507" s="105"/>
      <c r="EU507" s="105"/>
      <c r="EV507" s="105"/>
      <c r="EW507" s="105"/>
      <c r="EX507" s="105"/>
      <c r="EY507" s="105"/>
      <c r="EZ507" s="105"/>
      <c r="FA507" s="105"/>
      <c r="FB507" s="105"/>
      <c r="FC507" s="105"/>
      <c r="FD507" s="105"/>
      <c r="FE507" s="105"/>
      <c r="FF507" s="105"/>
      <c r="FG507" s="105"/>
      <c r="FH507" s="105"/>
      <c r="FI507" s="105"/>
      <c r="FJ507" s="105"/>
      <c r="FK507" s="105"/>
      <c r="FL507" s="105"/>
      <c r="FM507" s="105"/>
      <c r="FN507" s="105"/>
      <c r="FO507" s="105"/>
      <c r="FP507" s="105"/>
      <c r="FQ507" s="105"/>
      <c r="FR507" s="105"/>
      <c r="FS507" s="105"/>
      <c r="FT507" s="105"/>
      <c r="FU507" s="105"/>
      <c r="FV507" s="105"/>
      <c r="FW507" s="105"/>
      <c r="FX507" s="105"/>
      <c r="FY507" s="105"/>
      <c r="FZ507" s="105"/>
      <c r="GA507" s="105"/>
      <c r="GB507" s="105"/>
      <c r="GC507" s="105"/>
      <c r="GD507" s="105"/>
      <c r="GE507" s="105"/>
      <c r="GF507" s="105"/>
      <c r="GG507" s="105"/>
      <c r="GH507" s="105"/>
      <c r="GI507" s="105"/>
      <c r="GJ507" s="105"/>
      <c r="GK507" s="105"/>
      <c r="GL507" s="105"/>
      <c r="GM507" s="105"/>
      <c r="GN507" s="105"/>
      <c r="GO507" s="105"/>
      <c r="GP507" s="105"/>
      <c r="GQ507" s="105"/>
      <c r="GR507" s="105"/>
      <c r="GS507" s="105"/>
      <c r="GT507" s="105"/>
      <c r="GU507" s="105"/>
      <c r="GV507" s="105"/>
      <c r="GW507" s="105"/>
      <c r="GX507" s="105"/>
      <c r="GY507" s="105"/>
      <c r="GZ507" s="105"/>
      <c r="HA507" s="105"/>
      <c r="HB507" s="105"/>
      <c r="HC507" s="105"/>
      <c r="HD507" s="105"/>
      <c r="HE507" s="105"/>
      <c r="HF507" s="105"/>
      <c r="HG507" s="105"/>
      <c r="HH507" s="105"/>
      <c r="HI507" s="105"/>
      <c r="HJ507" s="105"/>
      <c r="HK507" s="105"/>
      <c r="HL507" s="105"/>
      <c r="HM507" s="105"/>
      <c r="HN507" s="105"/>
      <c r="HO507" s="105"/>
      <c r="HP507" s="105"/>
      <c r="HQ507" s="105"/>
      <c r="HR507" s="105"/>
      <c r="HS507" s="105"/>
      <c r="HT507" s="105"/>
      <c r="HU507" s="105"/>
      <c r="HV507" s="105"/>
      <c r="HW507" s="105"/>
      <c r="HX507" s="105"/>
      <c r="HY507" s="105"/>
      <c r="HZ507" s="105"/>
      <c r="IA507" s="105"/>
      <c r="IB507" s="105"/>
      <c r="IC507" s="105"/>
      <c r="ID507" s="105"/>
      <c r="IE507" s="105"/>
      <c r="IF507" s="105"/>
      <c r="IG507" s="105"/>
      <c r="IH507" s="105"/>
      <c r="II507" s="105"/>
      <c r="IJ507" s="105"/>
      <c r="IK507" s="105"/>
      <c r="IL507" s="105"/>
      <c r="IM507" s="105"/>
      <c r="IN507" s="105"/>
      <c r="IO507" s="105"/>
      <c r="IP507" s="105"/>
      <c r="IQ507" s="105"/>
      <c r="IR507" s="105"/>
      <c r="IS507" s="105"/>
    </row>
    <row r="508" spans="1:253">
      <c r="A508" s="116"/>
      <c r="B508" s="105"/>
      <c r="C508" s="116"/>
      <c r="D508" s="116"/>
      <c r="E508" s="116"/>
      <c r="F508" s="116"/>
      <c r="G508" s="116"/>
      <c r="H508" s="116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05"/>
      <c r="BF508" s="105"/>
      <c r="BG508" s="105"/>
      <c r="BH508" s="105"/>
      <c r="BI508" s="105"/>
      <c r="BJ508" s="105"/>
      <c r="BK508" s="105"/>
      <c r="BL508" s="105"/>
      <c r="BM508" s="105"/>
      <c r="BN508" s="105"/>
      <c r="BO508" s="105"/>
      <c r="BP508" s="105"/>
      <c r="BQ508" s="105"/>
      <c r="BR508" s="105"/>
      <c r="BS508" s="105"/>
      <c r="BT508" s="105"/>
      <c r="BU508" s="105"/>
      <c r="BV508" s="105"/>
      <c r="BW508" s="105"/>
      <c r="BX508" s="105"/>
      <c r="BY508" s="105"/>
      <c r="BZ508" s="105"/>
      <c r="CA508" s="105"/>
      <c r="CB508" s="105"/>
      <c r="CC508" s="105"/>
      <c r="CD508" s="105"/>
      <c r="CE508" s="105"/>
      <c r="CF508" s="105"/>
      <c r="CG508" s="105"/>
      <c r="CH508" s="105"/>
      <c r="CI508" s="105"/>
      <c r="CJ508" s="105"/>
      <c r="CK508" s="105"/>
      <c r="CL508" s="105"/>
      <c r="CM508" s="105"/>
      <c r="CN508" s="105"/>
      <c r="CO508" s="105"/>
      <c r="CP508" s="105"/>
      <c r="CQ508" s="105"/>
      <c r="CR508" s="105"/>
      <c r="CS508" s="105"/>
      <c r="CT508" s="105"/>
      <c r="CU508" s="105"/>
      <c r="CV508" s="105"/>
      <c r="CW508" s="105"/>
      <c r="CX508" s="105"/>
      <c r="CY508" s="105"/>
      <c r="CZ508" s="105"/>
      <c r="DA508" s="105"/>
      <c r="DB508" s="105"/>
      <c r="DC508" s="105"/>
      <c r="DD508" s="105"/>
      <c r="DE508" s="105"/>
      <c r="DF508" s="105"/>
      <c r="DG508" s="105"/>
      <c r="DH508" s="105"/>
      <c r="DI508" s="105"/>
      <c r="DJ508" s="105"/>
      <c r="DK508" s="105"/>
      <c r="DL508" s="105"/>
      <c r="DM508" s="105"/>
      <c r="DN508" s="105"/>
      <c r="DO508" s="105"/>
      <c r="DP508" s="105"/>
      <c r="DQ508" s="105"/>
      <c r="DR508" s="105"/>
      <c r="DS508" s="105"/>
      <c r="DT508" s="105"/>
      <c r="DU508" s="105"/>
      <c r="DV508" s="105"/>
      <c r="DW508" s="105"/>
      <c r="DX508" s="105"/>
      <c r="DY508" s="105"/>
      <c r="DZ508" s="105"/>
      <c r="EA508" s="105"/>
      <c r="EB508" s="105"/>
      <c r="EC508" s="105"/>
      <c r="ED508" s="105"/>
      <c r="EE508" s="105"/>
      <c r="EF508" s="105"/>
      <c r="EG508" s="105"/>
      <c r="EH508" s="105"/>
      <c r="EI508" s="105"/>
      <c r="EJ508" s="105"/>
      <c r="EK508" s="105"/>
      <c r="EL508" s="105"/>
      <c r="EM508" s="105"/>
      <c r="EN508" s="105"/>
      <c r="EO508" s="105"/>
      <c r="EP508" s="105"/>
      <c r="EQ508" s="105"/>
      <c r="ER508" s="105"/>
      <c r="ES508" s="105"/>
      <c r="ET508" s="105"/>
      <c r="EU508" s="105"/>
      <c r="EV508" s="105"/>
      <c r="EW508" s="105"/>
      <c r="EX508" s="105"/>
      <c r="EY508" s="105"/>
      <c r="EZ508" s="105"/>
      <c r="FA508" s="105"/>
      <c r="FB508" s="105"/>
      <c r="FC508" s="105"/>
      <c r="FD508" s="105"/>
      <c r="FE508" s="105"/>
      <c r="FF508" s="105"/>
      <c r="FG508" s="105"/>
      <c r="FH508" s="105"/>
      <c r="FI508" s="105"/>
      <c r="FJ508" s="105"/>
      <c r="FK508" s="105"/>
      <c r="FL508" s="105"/>
      <c r="FM508" s="105"/>
      <c r="FN508" s="105"/>
      <c r="FO508" s="105"/>
      <c r="FP508" s="105"/>
      <c r="FQ508" s="105"/>
      <c r="FR508" s="105"/>
      <c r="FS508" s="105"/>
      <c r="FT508" s="105"/>
      <c r="FU508" s="105"/>
      <c r="FV508" s="105"/>
      <c r="FW508" s="105"/>
      <c r="FX508" s="105"/>
      <c r="FY508" s="105"/>
      <c r="FZ508" s="105"/>
      <c r="GA508" s="105"/>
      <c r="GB508" s="105"/>
      <c r="GC508" s="105"/>
      <c r="GD508" s="105"/>
      <c r="GE508" s="105"/>
      <c r="GF508" s="105"/>
      <c r="GG508" s="105"/>
      <c r="GH508" s="105"/>
      <c r="GI508" s="105"/>
      <c r="GJ508" s="105"/>
      <c r="GK508" s="105"/>
      <c r="GL508" s="105"/>
      <c r="GM508" s="105"/>
      <c r="GN508" s="105"/>
      <c r="GO508" s="105"/>
      <c r="GP508" s="105"/>
      <c r="GQ508" s="105"/>
      <c r="GR508" s="105"/>
      <c r="GS508" s="105"/>
      <c r="GT508" s="105"/>
      <c r="GU508" s="105"/>
      <c r="GV508" s="105"/>
      <c r="GW508" s="105"/>
      <c r="GX508" s="105"/>
      <c r="GY508" s="105"/>
      <c r="GZ508" s="105"/>
      <c r="HA508" s="105"/>
      <c r="HB508" s="105"/>
      <c r="HC508" s="105"/>
      <c r="HD508" s="105"/>
      <c r="HE508" s="105"/>
      <c r="HF508" s="105"/>
      <c r="HG508" s="105"/>
      <c r="HH508" s="105"/>
      <c r="HI508" s="105"/>
      <c r="HJ508" s="105"/>
      <c r="HK508" s="105"/>
      <c r="HL508" s="105"/>
      <c r="HM508" s="105"/>
      <c r="HN508" s="105"/>
      <c r="HO508" s="105"/>
      <c r="HP508" s="105"/>
      <c r="HQ508" s="105"/>
      <c r="HR508" s="105"/>
      <c r="HS508" s="105"/>
      <c r="HT508" s="105"/>
      <c r="HU508" s="105"/>
      <c r="HV508" s="105"/>
      <c r="HW508" s="105"/>
      <c r="HX508" s="105"/>
      <c r="HY508" s="105"/>
      <c r="HZ508" s="105"/>
      <c r="IA508" s="105"/>
      <c r="IB508" s="105"/>
      <c r="IC508" s="105"/>
      <c r="ID508" s="105"/>
      <c r="IE508" s="105"/>
      <c r="IF508" s="105"/>
      <c r="IG508" s="105"/>
      <c r="IH508" s="105"/>
      <c r="II508" s="105"/>
      <c r="IJ508" s="105"/>
      <c r="IK508" s="105"/>
      <c r="IL508" s="105"/>
      <c r="IM508" s="105"/>
      <c r="IN508" s="105"/>
      <c r="IO508" s="105"/>
      <c r="IP508" s="105"/>
      <c r="IQ508" s="105"/>
      <c r="IR508" s="105"/>
      <c r="IS508" s="105"/>
    </row>
    <row r="509" spans="1:253">
      <c r="A509" s="116"/>
      <c r="B509" s="105"/>
      <c r="C509" s="116"/>
      <c r="D509" s="116"/>
      <c r="E509" s="116"/>
      <c r="F509" s="116"/>
      <c r="G509" s="116"/>
      <c r="H509" s="116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  <c r="AU509" s="105"/>
      <c r="AV509" s="105"/>
      <c r="AW509" s="105"/>
      <c r="AX509" s="105"/>
      <c r="AY509" s="105"/>
      <c r="AZ509" s="105"/>
      <c r="BA509" s="105"/>
      <c r="BB509" s="105"/>
      <c r="BC509" s="105"/>
      <c r="BD509" s="105"/>
      <c r="BE509" s="105"/>
      <c r="BF509" s="105"/>
      <c r="BG509" s="105"/>
      <c r="BH509" s="105"/>
      <c r="BI509" s="105"/>
      <c r="BJ509" s="105"/>
      <c r="BK509" s="105"/>
      <c r="BL509" s="105"/>
      <c r="BM509" s="105"/>
      <c r="BN509" s="105"/>
      <c r="BO509" s="105"/>
      <c r="BP509" s="105"/>
      <c r="BQ509" s="105"/>
      <c r="BR509" s="105"/>
      <c r="BS509" s="105"/>
      <c r="BT509" s="105"/>
      <c r="BU509" s="105"/>
      <c r="BV509" s="105"/>
      <c r="BW509" s="105"/>
      <c r="BX509" s="105"/>
      <c r="BY509" s="105"/>
      <c r="BZ509" s="105"/>
      <c r="CA509" s="105"/>
      <c r="CB509" s="105"/>
      <c r="CC509" s="105"/>
      <c r="CD509" s="105"/>
      <c r="CE509" s="105"/>
      <c r="CF509" s="105"/>
      <c r="CG509" s="105"/>
      <c r="CH509" s="105"/>
      <c r="CI509" s="105"/>
      <c r="CJ509" s="105"/>
      <c r="CK509" s="105"/>
      <c r="CL509" s="105"/>
      <c r="CM509" s="105"/>
      <c r="CN509" s="105"/>
      <c r="CO509" s="105"/>
      <c r="CP509" s="105"/>
      <c r="CQ509" s="105"/>
      <c r="CR509" s="105"/>
      <c r="CS509" s="105"/>
      <c r="CT509" s="105"/>
      <c r="CU509" s="105"/>
      <c r="CV509" s="105"/>
      <c r="CW509" s="105"/>
      <c r="CX509" s="105"/>
      <c r="CY509" s="105"/>
      <c r="CZ509" s="105"/>
      <c r="DA509" s="105"/>
      <c r="DB509" s="105"/>
      <c r="DC509" s="105"/>
      <c r="DD509" s="105"/>
      <c r="DE509" s="105"/>
      <c r="DF509" s="105"/>
      <c r="DG509" s="105"/>
      <c r="DH509" s="105"/>
      <c r="DI509" s="105"/>
      <c r="DJ509" s="105"/>
      <c r="DK509" s="105"/>
      <c r="DL509" s="105"/>
      <c r="DM509" s="105"/>
      <c r="DN509" s="105"/>
      <c r="DO509" s="105"/>
      <c r="DP509" s="105"/>
      <c r="DQ509" s="105"/>
      <c r="DR509" s="105"/>
      <c r="DS509" s="105"/>
      <c r="DT509" s="105"/>
      <c r="DU509" s="105"/>
      <c r="DV509" s="105"/>
      <c r="DW509" s="105"/>
      <c r="DX509" s="105"/>
      <c r="DY509" s="105"/>
      <c r="DZ509" s="105"/>
      <c r="EA509" s="105"/>
      <c r="EB509" s="105"/>
      <c r="EC509" s="105"/>
      <c r="ED509" s="105"/>
      <c r="EE509" s="105"/>
      <c r="EF509" s="105"/>
      <c r="EG509" s="105"/>
      <c r="EH509" s="105"/>
      <c r="EI509" s="105"/>
      <c r="EJ509" s="105"/>
      <c r="EK509" s="105"/>
      <c r="EL509" s="105"/>
      <c r="EM509" s="105"/>
      <c r="EN509" s="105"/>
      <c r="EO509" s="105"/>
      <c r="EP509" s="105"/>
      <c r="EQ509" s="105"/>
      <c r="ER509" s="105"/>
      <c r="ES509" s="105"/>
      <c r="ET509" s="105"/>
      <c r="EU509" s="105"/>
      <c r="EV509" s="105"/>
      <c r="EW509" s="105"/>
      <c r="EX509" s="105"/>
      <c r="EY509" s="105"/>
      <c r="EZ509" s="105"/>
      <c r="FA509" s="105"/>
      <c r="FB509" s="105"/>
      <c r="FC509" s="105"/>
      <c r="FD509" s="105"/>
      <c r="FE509" s="105"/>
      <c r="FF509" s="105"/>
      <c r="FG509" s="105"/>
      <c r="FH509" s="105"/>
      <c r="FI509" s="105"/>
      <c r="FJ509" s="105"/>
      <c r="FK509" s="105"/>
      <c r="FL509" s="105"/>
      <c r="FM509" s="105"/>
      <c r="FN509" s="105"/>
      <c r="FO509" s="105"/>
      <c r="FP509" s="105"/>
      <c r="FQ509" s="105"/>
      <c r="FR509" s="105"/>
      <c r="FS509" s="105"/>
      <c r="FT509" s="105"/>
      <c r="FU509" s="105"/>
      <c r="FV509" s="105"/>
      <c r="FW509" s="105"/>
      <c r="FX509" s="105"/>
      <c r="FY509" s="105"/>
      <c r="FZ509" s="105"/>
      <c r="GA509" s="105"/>
      <c r="GB509" s="105"/>
      <c r="GC509" s="105"/>
      <c r="GD509" s="105"/>
      <c r="GE509" s="105"/>
      <c r="GF509" s="105"/>
      <c r="GG509" s="105"/>
      <c r="GH509" s="105"/>
      <c r="GI509" s="105"/>
      <c r="GJ509" s="105"/>
      <c r="GK509" s="105"/>
      <c r="GL509" s="105"/>
      <c r="GM509" s="105"/>
      <c r="GN509" s="105"/>
      <c r="GO509" s="105"/>
      <c r="GP509" s="105"/>
      <c r="GQ509" s="105"/>
      <c r="GR509" s="105"/>
      <c r="GS509" s="105"/>
      <c r="GT509" s="105"/>
      <c r="GU509" s="105"/>
      <c r="GV509" s="105"/>
      <c r="GW509" s="105"/>
      <c r="GX509" s="105"/>
      <c r="GY509" s="105"/>
      <c r="GZ509" s="105"/>
      <c r="HA509" s="105"/>
      <c r="HB509" s="105"/>
      <c r="HC509" s="105"/>
      <c r="HD509" s="105"/>
      <c r="HE509" s="105"/>
      <c r="HF509" s="105"/>
      <c r="HG509" s="105"/>
      <c r="HH509" s="105"/>
      <c r="HI509" s="105"/>
      <c r="HJ509" s="105"/>
      <c r="HK509" s="105"/>
      <c r="HL509" s="105"/>
      <c r="HM509" s="105"/>
      <c r="HN509" s="105"/>
      <c r="HO509" s="105"/>
      <c r="HP509" s="105"/>
      <c r="HQ509" s="105"/>
      <c r="HR509" s="105"/>
      <c r="HS509" s="105"/>
      <c r="HT509" s="105"/>
      <c r="HU509" s="105"/>
      <c r="HV509" s="105"/>
      <c r="HW509" s="105"/>
      <c r="HX509" s="105"/>
      <c r="HY509" s="105"/>
      <c r="HZ509" s="105"/>
      <c r="IA509" s="105"/>
      <c r="IB509" s="105"/>
      <c r="IC509" s="105"/>
      <c r="ID509" s="105"/>
      <c r="IE509" s="105"/>
      <c r="IF509" s="105"/>
      <c r="IG509" s="105"/>
      <c r="IH509" s="105"/>
      <c r="II509" s="105"/>
      <c r="IJ509" s="105"/>
      <c r="IK509" s="105"/>
      <c r="IL509" s="105"/>
      <c r="IM509" s="105"/>
      <c r="IN509" s="105"/>
      <c r="IO509" s="105"/>
      <c r="IP509" s="105"/>
      <c r="IQ509" s="105"/>
      <c r="IR509" s="105"/>
      <c r="IS509" s="105"/>
    </row>
    <row r="510" spans="1:253">
      <c r="A510" s="116"/>
      <c r="B510" s="105"/>
      <c r="C510" s="116"/>
      <c r="D510" s="116"/>
      <c r="E510" s="116"/>
      <c r="F510" s="116"/>
      <c r="G510" s="116"/>
      <c r="H510" s="116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05"/>
      <c r="BF510" s="105"/>
      <c r="BG510" s="105"/>
      <c r="BH510" s="105"/>
      <c r="BI510" s="105"/>
      <c r="BJ510" s="105"/>
      <c r="BK510" s="105"/>
      <c r="BL510" s="105"/>
      <c r="BM510" s="105"/>
      <c r="BN510" s="105"/>
      <c r="BO510" s="105"/>
      <c r="BP510" s="105"/>
      <c r="BQ510" s="105"/>
      <c r="BR510" s="105"/>
      <c r="BS510" s="105"/>
      <c r="BT510" s="105"/>
      <c r="BU510" s="105"/>
      <c r="BV510" s="105"/>
      <c r="BW510" s="105"/>
      <c r="BX510" s="105"/>
      <c r="BY510" s="105"/>
      <c r="BZ510" s="105"/>
      <c r="CA510" s="105"/>
      <c r="CB510" s="105"/>
      <c r="CC510" s="105"/>
      <c r="CD510" s="105"/>
      <c r="CE510" s="105"/>
      <c r="CF510" s="105"/>
      <c r="CG510" s="105"/>
      <c r="CH510" s="105"/>
      <c r="CI510" s="105"/>
      <c r="CJ510" s="105"/>
      <c r="CK510" s="105"/>
      <c r="CL510" s="105"/>
      <c r="CM510" s="105"/>
      <c r="CN510" s="105"/>
      <c r="CO510" s="105"/>
      <c r="CP510" s="105"/>
      <c r="CQ510" s="105"/>
      <c r="CR510" s="105"/>
      <c r="CS510" s="105"/>
      <c r="CT510" s="105"/>
      <c r="CU510" s="105"/>
      <c r="CV510" s="105"/>
      <c r="CW510" s="105"/>
      <c r="CX510" s="105"/>
      <c r="CY510" s="105"/>
      <c r="CZ510" s="105"/>
      <c r="DA510" s="105"/>
      <c r="DB510" s="105"/>
      <c r="DC510" s="105"/>
      <c r="DD510" s="105"/>
      <c r="DE510" s="105"/>
      <c r="DF510" s="105"/>
      <c r="DG510" s="105"/>
      <c r="DH510" s="105"/>
      <c r="DI510" s="105"/>
      <c r="DJ510" s="105"/>
      <c r="DK510" s="105"/>
      <c r="DL510" s="105"/>
      <c r="DM510" s="105"/>
      <c r="DN510" s="105"/>
      <c r="DO510" s="105"/>
      <c r="DP510" s="105"/>
      <c r="DQ510" s="105"/>
      <c r="DR510" s="105"/>
      <c r="DS510" s="105"/>
      <c r="DT510" s="105"/>
      <c r="DU510" s="105"/>
      <c r="DV510" s="105"/>
      <c r="DW510" s="105"/>
      <c r="DX510" s="105"/>
      <c r="DY510" s="105"/>
      <c r="DZ510" s="105"/>
      <c r="EA510" s="105"/>
      <c r="EB510" s="105"/>
      <c r="EC510" s="105"/>
      <c r="ED510" s="105"/>
      <c r="EE510" s="105"/>
      <c r="EF510" s="105"/>
      <c r="EG510" s="105"/>
      <c r="EH510" s="105"/>
      <c r="EI510" s="105"/>
      <c r="EJ510" s="105"/>
      <c r="EK510" s="105"/>
      <c r="EL510" s="105"/>
      <c r="EM510" s="105"/>
      <c r="EN510" s="105"/>
      <c r="EO510" s="105"/>
      <c r="EP510" s="105"/>
      <c r="EQ510" s="105"/>
      <c r="ER510" s="105"/>
      <c r="ES510" s="105"/>
      <c r="ET510" s="105"/>
      <c r="EU510" s="105"/>
      <c r="EV510" s="105"/>
      <c r="EW510" s="105"/>
      <c r="EX510" s="105"/>
      <c r="EY510" s="105"/>
      <c r="EZ510" s="105"/>
      <c r="FA510" s="105"/>
      <c r="FB510" s="105"/>
      <c r="FC510" s="105"/>
      <c r="FD510" s="105"/>
      <c r="FE510" s="105"/>
      <c r="FF510" s="105"/>
      <c r="FG510" s="105"/>
      <c r="FH510" s="105"/>
      <c r="FI510" s="105"/>
      <c r="FJ510" s="105"/>
      <c r="FK510" s="105"/>
      <c r="FL510" s="105"/>
      <c r="FM510" s="105"/>
      <c r="FN510" s="105"/>
      <c r="FO510" s="105"/>
      <c r="FP510" s="105"/>
      <c r="FQ510" s="105"/>
      <c r="FR510" s="105"/>
      <c r="FS510" s="105"/>
      <c r="FT510" s="105"/>
      <c r="FU510" s="105"/>
      <c r="FV510" s="105"/>
      <c r="FW510" s="105"/>
      <c r="FX510" s="105"/>
      <c r="FY510" s="105"/>
      <c r="FZ510" s="105"/>
      <c r="GA510" s="105"/>
      <c r="GB510" s="105"/>
      <c r="GC510" s="105"/>
      <c r="GD510" s="105"/>
      <c r="GE510" s="105"/>
      <c r="GF510" s="105"/>
      <c r="GG510" s="105"/>
      <c r="GH510" s="105"/>
      <c r="GI510" s="105"/>
      <c r="GJ510" s="105"/>
      <c r="GK510" s="105"/>
      <c r="GL510" s="105"/>
      <c r="GM510" s="105"/>
      <c r="GN510" s="105"/>
      <c r="GO510" s="105"/>
      <c r="GP510" s="105"/>
      <c r="GQ510" s="105"/>
      <c r="GR510" s="105"/>
      <c r="GS510" s="105"/>
      <c r="GT510" s="105"/>
      <c r="GU510" s="105"/>
      <c r="GV510" s="105"/>
      <c r="GW510" s="105"/>
      <c r="GX510" s="105"/>
      <c r="GY510" s="105"/>
      <c r="GZ510" s="105"/>
      <c r="HA510" s="105"/>
      <c r="HB510" s="105"/>
      <c r="HC510" s="105"/>
      <c r="HD510" s="105"/>
      <c r="HE510" s="105"/>
      <c r="HF510" s="105"/>
      <c r="HG510" s="105"/>
      <c r="HH510" s="105"/>
      <c r="HI510" s="105"/>
      <c r="HJ510" s="105"/>
      <c r="HK510" s="105"/>
      <c r="HL510" s="105"/>
      <c r="HM510" s="105"/>
      <c r="HN510" s="105"/>
      <c r="HO510" s="105"/>
      <c r="HP510" s="105"/>
      <c r="HQ510" s="105"/>
      <c r="HR510" s="105"/>
      <c r="HS510" s="105"/>
      <c r="HT510" s="105"/>
      <c r="HU510" s="105"/>
      <c r="HV510" s="105"/>
      <c r="HW510" s="105"/>
      <c r="HX510" s="105"/>
      <c r="HY510" s="105"/>
      <c r="HZ510" s="105"/>
      <c r="IA510" s="105"/>
      <c r="IB510" s="105"/>
      <c r="IC510" s="105"/>
      <c r="ID510" s="105"/>
      <c r="IE510" s="105"/>
      <c r="IF510" s="105"/>
      <c r="IG510" s="105"/>
      <c r="IH510" s="105"/>
      <c r="II510" s="105"/>
      <c r="IJ510" s="105"/>
      <c r="IK510" s="105"/>
      <c r="IL510" s="105"/>
      <c r="IM510" s="105"/>
      <c r="IN510" s="105"/>
      <c r="IO510" s="105"/>
      <c r="IP510" s="105"/>
      <c r="IQ510" s="105"/>
      <c r="IR510" s="105"/>
      <c r="IS510" s="105"/>
    </row>
    <row r="511" spans="1:253">
      <c r="A511" s="116"/>
      <c r="B511" s="105"/>
      <c r="C511" s="116"/>
      <c r="D511" s="116"/>
      <c r="E511" s="116"/>
      <c r="F511" s="116"/>
      <c r="G511" s="116"/>
      <c r="H511" s="116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  <c r="AU511" s="105"/>
      <c r="AV511" s="105"/>
      <c r="AW511" s="105"/>
      <c r="AX511" s="105"/>
      <c r="AY511" s="105"/>
      <c r="AZ511" s="105"/>
      <c r="BA511" s="105"/>
      <c r="BB511" s="105"/>
      <c r="BC511" s="105"/>
      <c r="BD511" s="105"/>
      <c r="BE511" s="105"/>
      <c r="BF511" s="105"/>
      <c r="BG511" s="105"/>
      <c r="BH511" s="105"/>
      <c r="BI511" s="105"/>
      <c r="BJ511" s="105"/>
      <c r="BK511" s="105"/>
      <c r="BL511" s="105"/>
      <c r="BM511" s="105"/>
      <c r="BN511" s="105"/>
      <c r="BO511" s="105"/>
      <c r="BP511" s="105"/>
      <c r="BQ511" s="105"/>
      <c r="BR511" s="105"/>
      <c r="BS511" s="105"/>
      <c r="BT511" s="105"/>
      <c r="BU511" s="105"/>
      <c r="BV511" s="105"/>
      <c r="BW511" s="105"/>
      <c r="BX511" s="105"/>
      <c r="BY511" s="105"/>
      <c r="BZ511" s="105"/>
      <c r="CA511" s="105"/>
      <c r="CB511" s="105"/>
      <c r="CC511" s="105"/>
      <c r="CD511" s="105"/>
      <c r="CE511" s="105"/>
      <c r="CF511" s="105"/>
      <c r="CG511" s="105"/>
      <c r="CH511" s="105"/>
      <c r="CI511" s="105"/>
      <c r="CJ511" s="105"/>
      <c r="CK511" s="105"/>
      <c r="CL511" s="105"/>
      <c r="CM511" s="105"/>
      <c r="CN511" s="105"/>
      <c r="CO511" s="105"/>
      <c r="CP511" s="105"/>
      <c r="CQ511" s="105"/>
      <c r="CR511" s="105"/>
      <c r="CS511" s="105"/>
      <c r="CT511" s="105"/>
      <c r="CU511" s="105"/>
      <c r="CV511" s="105"/>
      <c r="CW511" s="105"/>
      <c r="CX511" s="105"/>
      <c r="CY511" s="105"/>
      <c r="CZ511" s="105"/>
      <c r="DA511" s="105"/>
      <c r="DB511" s="105"/>
      <c r="DC511" s="105"/>
      <c r="DD511" s="105"/>
      <c r="DE511" s="105"/>
      <c r="DF511" s="105"/>
      <c r="DG511" s="105"/>
      <c r="DH511" s="105"/>
      <c r="DI511" s="105"/>
      <c r="DJ511" s="105"/>
      <c r="DK511" s="105"/>
      <c r="DL511" s="105"/>
      <c r="DM511" s="105"/>
      <c r="DN511" s="105"/>
      <c r="DO511" s="105"/>
      <c r="DP511" s="105"/>
      <c r="DQ511" s="105"/>
      <c r="DR511" s="105"/>
      <c r="DS511" s="105"/>
      <c r="DT511" s="105"/>
      <c r="DU511" s="105"/>
      <c r="DV511" s="105"/>
      <c r="DW511" s="105"/>
      <c r="DX511" s="105"/>
      <c r="DY511" s="105"/>
      <c r="DZ511" s="105"/>
      <c r="EA511" s="105"/>
      <c r="EB511" s="105"/>
      <c r="EC511" s="105"/>
      <c r="ED511" s="105"/>
      <c r="EE511" s="105"/>
      <c r="EF511" s="105"/>
      <c r="EG511" s="105"/>
      <c r="EH511" s="105"/>
      <c r="EI511" s="105"/>
      <c r="EJ511" s="105"/>
      <c r="EK511" s="105"/>
      <c r="EL511" s="105"/>
      <c r="EM511" s="105"/>
      <c r="EN511" s="105"/>
      <c r="EO511" s="105"/>
      <c r="EP511" s="105"/>
      <c r="EQ511" s="105"/>
      <c r="ER511" s="105"/>
      <c r="ES511" s="105"/>
      <c r="ET511" s="105"/>
      <c r="EU511" s="105"/>
      <c r="EV511" s="105"/>
      <c r="EW511" s="105"/>
      <c r="EX511" s="105"/>
      <c r="EY511" s="105"/>
      <c r="EZ511" s="105"/>
      <c r="FA511" s="105"/>
      <c r="FB511" s="105"/>
      <c r="FC511" s="105"/>
      <c r="FD511" s="105"/>
      <c r="FE511" s="105"/>
      <c r="FF511" s="105"/>
      <c r="FG511" s="105"/>
      <c r="FH511" s="105"/>
      <c r="FI511" s="105"/>
      <c r="FJ511" s="105"/>
      <c r="FK511" s="105"/>
      <c r="FL511" s="105"/>
      <c r="FM511" s="105"/>
      <c r="FN511" s="105"/>
      <c r="FO511" s="105"/>
      <c r="FP511" s="105"/>
      <c r="FQ511" s="105"/>
      <c r="FR511" s="105"/>
      <c r="FS511" s="105"/>
      <c r="FT511" s="105"/>
      <c r="FU511" s="105"/>
      <c r="FV511" s="105"/>
      <c r="FW511" s="105"/>
      <c r="FX511" s="105"/>
      <c r="FY511" s="105"/>
      <c r="FZ511" s="105"/>
      <c r="GA511" s="105"/>
      <c r="GB511" s="105"/>
      <c r="GC511" s="105"/>
      <c r="GD511" s="105"/>
      <c r="GE511" s="105"/>
      <c r="GF511" s="105"/>
      <c r="GG511" s="105"/>
      <c r="GH511" s="105"/>
      <c r="GI511" s="105"/>
      <c r="GJ511" s="105"/>
      <c r="GK511" s="105"/>
      <c r="GL511" s="105"/>
      <c r="GM511" s="105"/>
      <c r="GN511" s="105"/>
      <c r="GO511" s="105"/>
      <c r="GP511" s="105"/>
      <c r="GQ511" s="105"/>
      <c r="GR511" s="105"/>
      <c r="GS511" s="105"/>
      <c r="GT511" s="105"/>
      <c r="GU511" s="105"/>
      <c r="GV511" s="105"/>
      <c r="GW511" s="105"/>
      <c r="GX511" s="105"/>
      <c r="GY511" s="105"/>
      <c r="GZ511" s="105"/>
      <c r="HA511" s="105"/>
      <c r="HB511" s="105"/>
      <c r="HC511" s="105"/>
      <c r="HD511" s="105"/>
      <c r="HE511" s="105"/>
      <c r="HF511" s="105"/>
      <c r="HG511" s="105"/>
      <c r="HH511" s="105"/>
      <c r="HI511" s="105"/>
      <c r="HJ511" s="105"/>
      <c r="HK511" s="105"/>
      <c r="HL511" s="105"/>
      <c r="HM511" s="105"/>
      <c r="HN511" s="105"/>
      <c r="HO511" s="105"/>
      <c r="HP511" s="105"/>
      <c r="HQ511" s="105"/>
      <c r="HR511" s="105"/>
      <c r="HS511" s="105"/>
      <c r="HT511" s="105"/>
      <c r="HU511" s="105"/>
      <c r="HV511" s="105"/>
      <c r="HW511" s="105"/>
      <c r="HX511" s="105"/>
      <c r="HY511" s="105"/>
      <c r="HZ511" s="105"/>
      <c r="IA511" s="105"/>
      <c r="IB511" s="105"/>
      <c r="IC511" s="105"/>
      <c r="ID511" s="105"/>
      <c r="IE511" s="105"/>
      <c r="IF511" s="105"/>
      <c r="IG511" s="105"/>
      <c r="IH511" s="105"/>
      <c r="II511" s="105"/>
      <c r="IJ511" s="105"/>
      <c r="IK511" s="105"/>
      <c r="IL511" s="105"/>
      <c r="IM511" s="105"/>
      <c r="IN511" s="105"/>
      <c r="IO511" s="105"/>
      <c r="IP511" s="105"/>
      <c r="IQ511" s="105"/>
      <c r="IR511" s="105"/>
      <c r="IS511" s="105"/>
    </row>
    <row r="512" spans="1:253">
      <c r="A512" s="116"/>
      <c r="B512" s="105"/>
      <c r="C512" s="116"/>
      <c r="D512" s="116"/>
      <c r="E512" s="116"/>
      <c r="F512" s="116"/>
      <c r="G512" s="116"/>
      <c r="H512" s="116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05"/>
      <c r="BF512" s="105"/>
      <c r="BG512" s="105"/>
      <c r="BH512" s="105"/>
      <c r="BI512" s="105"/>
      <c r="BJ512" s="105"/>
      <c r="BK512" s="105"/>
      <c r="BL512" s="105"/>
      <c r="BM512" s="105"/>
      <c r="BN512" s="105"/>
      <c r="BO512" s="105"/>
      <c r="BP512" s="105"/>
      <c r="BQ512" s="105"/>
      <c r="BR512" s="105"/>
      <c r="BS512" s="105"/>
      <c r="BT512" s="105"/>
      <c r="BU512" s="105"/>
      <c r="BV512" s="105"/>
      <c r="BW512" s="105"/>
      <c r="BX512" s="105"/>
      <c r="BY512" s="105"/>
      <c r="BZ512" s="105"/>
      <c r="CA512" s="105"/>
      <c r="CB512" s="105"/>
      <c r="CC512" s="105"/>
      <c r="CD512" s="105"/>
      <c r="CE512" s="105"/>
      <c r="CF512" s="105"/>
      <c r="CG512" s="105"/>
      <c r="CH512" s="105"/>
      <c r="CI512" s="105"/>
      <c r="CJ512" s="105"/>
      <c r="CK512" s="105"/>
      <c r="CL512" s="105"/>
      <c r="CM512" s="105"/>
      <c r="CN512" s="105"/>
      <c r="CO512" s="105"/>
      <c r="CP512" s="105"/>
      <c r="CQ512" s="105"/>
      <c r="CR512" s="105"/>
      <c r="CS512" s="105"/>
      <c r="CT512" s="105"/>
      <c r="CU512" s="105"/>
      <c r="CV512" s="105"/>
      <c r="CW512" s="105"/>
      <c r="CX512" s="105"/>
      <c r="CY512" s="105"/>
      <c r="CZ512" s="105"/>
      <c r="DA512" s="105"/>
      <c r="DB512" s="105"/>
      <c r="DC512" s="105"/>
      <c r="DD512" s="105"/>
      <c r="DE512" s="105"/>
      <c r="DF512" s="105"/>
      <c r="DG512" s="105"/>
      <c r="DH512" s="105"/>
      <c r="DI512" s="105"/>
      <c r="DJ512" s="105"/>
      <c r="DK512" s="105"/>
      <c r="DL512" s="105"/>
      <c r="DM512" s="105"/>
      <c r="DN512" s="105"/>
      <c r="DO512" s="105"/>
      <c r="DP512" s="105"/>
      <c r="DQ512" s="105"/>
      <c r="DR512" s="105"/>
      <c r="DS512" s="105"/>
      <c r="DT512" s="105"/>
      <c r="DU512" s="105"/>
      <c r="DV512" s="105"/>
      <c r="DW512" s="105"/>
      <c r="DX512" s="105"/>
      <c r="DY512" s="105"/>
      <c r="DZ512" s="105"/>
      <c r="EA512" s="105"/>
      <c r="EB512" s="105"/>
      <c r="EC512" s="105"/>
      <c r="ED512" s="105"/>
      <c r="EE512" s="105"/>
      <c r="EF512" s="105"/>
      <c r="EG512" s="105"/>
      <c r="EH512" s="105"/>
      <c r="EI512" s="105"/>
      <c r="EJ512" s="105"/>
      <c r="EK512" s="105"/>
      <c r="EL512" s="105"/>
      <c r="EM512" s="105"/>
      <c r="EN512" s="105"/>
      <c r="EO512" s="105"/>
      <c r="EP512" s="105"/>
      <c r="EQ512" s="105"/>
      <c r="ER512" s="105"/>
      <c r="ES512" s="105"/>
      <c r="ET512" s="105"/>
      <c r="EU512" s="105"/>
      <c r="EV512" s="105"/>
      <c r="EW512" s="105"/>
      <c r="EX512" s="105"/>
      <c r="EY512" s="105"/>
      <c r="EZ512" s="105"/>
      <c r="FA512" s="105"/>
      <c r="FB512" s="105"/>
      <c r="FC512" s="105"/>
      <c r="FD512" s="105"/>
      <c r="FE512" s="105"/>
      <c r="FF512" s="105"/>
      <c r="FG512" s="105"/>
      <c r="FH512" s="105"/>
      <c r="FI512" s="105"/>
      <c r="FJ512" s="105"/>
      <c r="FK512" s="105"/>
      <c r="FL512" s="105"/>
      <c r="FM512" s="105"/>
      <c r="FN512" s="105"/>
      <c r="FO512" s="105"/>
      <c r="FP512" s="105"/>
      <c r="FQ512" s="105"/>
      <c r="FR512" s="105"/>
      <c r="FS512" s="105"/>
      <c r="FT512" s="105"/>
      <c r="FU512" s="105"/>
      <c r="FV512" s="105"/>
      <c r="FW512" s="105"/>
      <c r="FX512" s="105"/>
      <c r="FY512" s="105"/>
      <c r="FZ512" s="105"/>
      <c r="GA512" s="105"/>
      <c r="GB512" s="105"/>
      <c r="GC512" s="105"/>
      <c r="GD512" s="105"/>
      <c r="GE512" s="105"/>
      <c r="GF512" s="105"/>
      <c r="GG512" s="105"/>
      <c r="GH512" s="105"/>
      <c r="GI512" s="105"/>
      <c r="GJ512" s="105"/>
      <c r="GK512" s="105"/>
      <c r="GL512" s="105"/>
      <c r="GM512" s="105"/>
      <c r="GN512" s="105"/>
      <c r="GO512" s="105"/>
      <c r="GP512" s="105"/>
      <c r="GQ512" s="105"/>
      <c r="GR512" s="105"/>
      <c r="GS512" s="105"/>
      <c r="GT512" s="105"/>
      <c r="GU512" s="105"/>
      <c r="GV512" s="105"/>
      <c r="GW512" s="105"/>
      <c r="GX512" s="105"/>
      <c r="GY512" s="105"/>
      <c r="GZ512" s="105"/>
      <c r="HA512" s="105"/>
      <c r="HB512" s="105"/>
      <c r="HC512" s="105"/>
      <c r="HD512" s="105"/>
      <c r="HE512" s="105"/>
      <c r="HF512" s="105"/>
      <c r="HG512" s="105"/>
      <c r="HH512" s="105"/>
      <c r="HI512" s="105"/>
      <c r="HJ512" s="105"/>
      <c r="HK512" s="105"/>
      <c r="HL512" s="105"/>
      <c r="HM512" s="105"/>
      <c r="HN512" s="105"/>
      <c r="HO512" s="105"/>
      <c r="HP512" s="105"/>
      <c r="HQ512" s="105"/>
      <c r="HR512" s="105"/>
      <c r="HS512" s="105"/>
      <c r="HT512" s="105"/>
      <c r="HU512" s="105"/>
      <c r="HV512" s="105"/>
      <c r="HW512" s="105"/>
      <c r="HX512" s="105"/>
      <c r="HY512" s="105"/>
      <c r="HZ512" s="105"/>
      <c r="IA512" s="105"/>
      <c r="IB512" s="105"/>
      <c r="IC512" s="105"/>
      <c r="ID512" s="105"/>
      <c r="IE512" s="105"/>
      <c r="IF512" s="105"/>
      <c r="IG512" s="105"/>
      <c r="IH512" s="105"/>
      <c r="II512" s="105"/>
      <c r="IJ512" s="105"/>
      <c r="IK512" s="105"/>
      <c r="IL512" s="105"/>
      <c r="IM512" s="105"/>
      <c r="IN512" s="105"/>
      <c r="IO512" s="105"/>
      <c r="IP512" s="105"/>
      <c r="IQ512" s="105"/>
      <c r="IR512" s="105"/>
      <c r="IS512" s="105"/>
    </row>
    <row r="513" spans="1:253">
      <c r="A513" s="116"/>
      <c r="B513" s="105"/>
      <c r="C513" s="116"/>
      <c r="D513" s="116"/>
      <c r="E513" s="116"/>
      <c r="F513" s="116"/>
      <c r="G513" s="116"/>
      <c r="H513" s="116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5"/>
      <c r="BE513" s="105"/>
      <c r="BF513" s="105"/>
      <c r="BG513" s="105"/>
      <c r="BH513" s="105"/>
      <c r="BI513" s="105"/>
      <c r="BJ513" s="105"/>
      <c r="BK513" s="105"/>
      <c r="BL513" s="105"/>
      <c r="BM513" s="105"/>
      <c r="BN513" s="105"/>
      <c r="BO513" s="105"/>
      <c r="BP513" s="105"/>
      <c r="BQ513" s="105"/>
      <c r="BR513" s="105"/>
      <c r="BS513" s="105"/>
      <c r="BT513" s="105"/>
      <c r="BU513" s="105"/>
      <c r="BV513" s="105"/>
      <c r="BW513" s="105"/>
      <c r="BX513" s="105"/>
      <c r="BY513" s="105"/>
      <c r="BZ513" s="105"/>
      <c r="CA513" s="105"/>
      <c r="CB513" s="105"/>
      <c r="CC513" s="105"/>
      <c r="CD513" s="105"/>
      <c r="CE513" s="105"/>
      <c r="CF513" s="105"/>
      <c r="CG513" s="105"/>
      <c r="CH513" s="105"/>
      <c r="CI513" s="105"/>
      <c r="CJ513" s="105"/>
      <c r="CK513" s="105"/>
      <c r="CL513" s="105"/>
      <c r="CM513" s="105"/>
      <c r="CN513" s="105"/>
      <c r="CO513" s="105"/>
      <c r="CP513" s="105"/>
      <c r="CQ513" s="105"/>
      <c r="CR513" s="105"/>
      <c r="CS513" s="105"/>
      <c r="CT513" s="105"/>
      <c r="CU513" s="105"/>
      <c r="CV513" s="105"/>
      <c r="CW513" s="105"/>
      <c r="CX513" s="105"/>
      <c r="CY513" s="105"/>
      <c r="CZ513" s="105"/>
      <c r="DA513" s="105"/>
      <c r="DB513" s="105"/>
      <c r="DC513" s="105"/>
      <c r="DD513" s="105"/>
      <c r="DE513" s="105"/>
      <c r="DF513" s="105"/>
      <c r="DG513" s="105"/>
      <c r="DH513" s="105"/>
      <c r="DI513" s="105"/>
      <c r="DJ513" s="105"/>
      <c r="DK513" s="105"/>
      <c r="DL513" s="105"/>
      <c r="DM513" s="105"/>
      <c r="DN513" s="105"/>
      <c r="DO513" s="105"/>
      <c r="DP513" s="105"/>
      <c r="DQ513" s="105"/>
      <c r="DR513" s="105"/>
      <c r="DS513" s="105"/>
      <c r="DT513" s="105"/>
      <c r="DU513" s="105"/>
      <c r="DV513" s="105"/>
      <c r="DW513" s="105"/>
      <c r="DX513" s="105"/>
      <c r="DY513" s="105"/>
      <c r="DZ513" s="105"/>
      <c r="EA513" s="105"/>
      <c r="EB513" s="105"/>
      <c r="EC513" s="105"/>
      <c r="ED513" s="105"/>
      <c r="EE513" s="105"/>
      <c r="EF513" s="105"/>
      <c r="EG513" s="105"/>
      <c r="EH513" s="105"/>
      <c r="EI513" s="105"/>
      <c r="EJ513" s="105"/>
      <c r="EK513" s="105"/>
      <c r="EL513" s="105"/>
      <c r="EM513" s="105"/>
      <c r="EN513" s="105"/>
      <c r="EO513" s="105"/>
      <c r="EP513" s="105"/>
      <c r="EQ513" s="105"/>
      <c r="ER513" s="105"/>
      <c r="ES513" s="105"/>
      <c r="ET513" s="105"/>
      <c r="EU513" s="105"/>
      <c r="EV513" s="105"/>
      <c r="EW513" s="105"/>
      <c r="EX513" s="105"/>
      <c r="EY513" s="105"/>
      <c r="EZ513" s="105"/>
      <c r="FA513" s="105"/>
      <c r="FB513" s="105"/>
      <c r="FC513" s="105"/>
      <c r="FD513" s="105"/>
      <c r="FE513" s="105"/>
      <c r="FF513" s="105"/>
      <c r="FG513" s="105"/>
      <c r="FH513" s="105"/>
      <c r="FI513" s="105"/>
      <c r="FJ513" s="105"/>
      <c r="FK513" s="105"/>
      <c r="FL513" s="105"/>
      <c r="FM513" s="105"/>
      <c r="FN513" s="105"/>
      <c r="FO513" s="105"/>
      <c r="FP513" s="105"/>
      <c r="FQ513" s="105"/>
      <c r="FR513" s="105"/>
      <c r="FS513" s="105"/>
      <c r="FT513" s="105"/>
      <c r="FU513" s="105"/>
      <c r="FV513" s="105"/>
      <c r="FW513" s="105"/>
      <c r="FX513" s="105"/>
      <c r="FY513" s="105"/>
      <c r="FZ513" s="105"/>
      <c r="GA513" s="105"/>
      <c r="GB513" s="105"/>
      <c r="GC513" s="105"/>
      <c r="GD513" s="105"/>
      <c r="GE513" s="105"/>
      <c r="GF513" s="105"/>
      <c r="GG513" s="105"/>
      <c r="GH513" s="105"/>
      <c r="GI513" s="105"/>
      <c r="GJ513" s="105"/>
      <c r="GK513" s="105"/>
      <c r="GL513" s="105"/>
      <c r="GM513" s="105"/>
      <c r="GN513" s="105"/>
      <c r="GO513" s="105"/>
      <c r="GP513" s="105"/>
      <c r="GQ513" s="105"/>
      <c r="GR513" s="105"/>
      <c r="GS513" s="105"/>
      <c r="GT513" s="105"/>
      <c r="GU513" s="105"/>
      <c r="GV513" s="105"/>
      <c r="GW513" s="105"/>
      <c r="GX513" s="105"/>
      <c r="GY513" s="105"/>
      <c r="GZ513" s="105"/>
      <c r="HA513" s="105"/>
      <c r="HB513" s="105"/>
      <c r="HC513" s="105"/>
      <c r="HD513" s="105"/>
      <c r="HE513" s="105"/>
      <c r="HF513" s="105"/>
      <c r="HG513" s="105"/>
      <c r="HH513" s="105"/>
      <c r="HI513" s="105"/>
      <c r="HJ513" s="105"/>
      <c r="HK513" s="105"/>
      <c r="HL513" s="105"/>
      <c r="HM513" s="105"/>
      <c r="HN513" s="105"/>
      <c r="HO513" s="105"/>
      <c r="HP513" s="105"/>
      <c r="HQ513" s="105"/>
      <c r="HR513" s="105"/>
      <c r="HS513" s="105"/>
      <c r="HT513" s="105"/>
      <c r="HU513" s="105"/>
      <c r="HV513" s="105"/>
      <c r="HW513" s="105"/>
      <c r="HX513" s="105"/>
      <c r="HY513" s="105"/>
      <c r="HZ513" s="105"/>
      <c r="IA513" s="105"/>
      <c r="IB513" s="105"/>
      <c r="IC513" s="105"/>
      <c r="ID513" s="105"/>
      <c r="IE513" s="105"/>
      <c r="IF513" s="105"/>
      <c r="IG513" s="105"/>
      <c r="IH513" s="105"/>
      <c r="II513" s="105"/>
      <c r="IJ513" s="105"/>
      <c r="IK513" s="105"/>
      <c r="IL513" s="105"/>
      <c r="IM513" s="105"/>
      <c r="IN513" s="105"/>
      <c r="IO513" s="105"/>
      <c r="IP513" s="105"/>
      <c r="IQ513" s="105"/>
      <c r="IR513" s="105"/>
      <c r="IS513" s="105"/>
    </row>
    <row r="514" spans="1:253">
      <c r="A514" s="116"/>
      <c r="B514" s="105"/>
      <c r="C514" s="116"/>
      <c r="D514" s="116"/>
      <c r="E514" s="116"/>
      <c r="F514" s="116"/>
      <c r="G514" s="116"/>
      <c r="H514" s="116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05"/>
      <c r="BF514" s="105"/>
      <c r="BG514" s="105"/>
      <c r="BH514" s="105"/>
      <c r="BI514" s="105"/>
      <c r="BJ514" s="105"/>
      <c r="BK514" s="105"/>
      <c r="BL514" s="105"/>
      <c r="BM514" s="105"/>
      <c r="BN514" s="105"/>
      <c r="BO514" s="105"/>
      <c r="BP514" s="105"/>
      <c r="BQ514" s="105"/>
      <c r="BR514" s="105"/>
      <c r="BS514" s="105"/>
      <c r="BT514" s="105"/>
      <c r="BU514" s="105"/>
      <c r="BV514" s="105"/>
      <c r="BW514" s="105"/>
      <c r="BX514" s="105"/>
      <c r="BY514" s="105"/>
      <c r="BZ514" s="105"/>
      <c r="CA514" s="105"/>
      <c r="CB514" s="105"/>
      <c r="CC514" s="105"/>
      <c r="CD514" s="105"/>
      <c r="CE514" s="105"/>
      <c r="CF514" s="105"/>
      <c r="CG514" s="105"/>
      <c r="CH514" s="105"/>
      <c r="CI514" s="105"/>
      <c r="CJ514" s="105"/>
      <c r="CK514" s="105"/>
      <c r="CL514" s="105"/>
      <c r="CM514" s="105"/>
      <c r="CN514" s="105"/>
      <c r="CO514" s="105"/>
      <c r="CP514" s="105"/>
      <c r="CQ514" s="105"/>
      <c r="CR514" s="105"/>
      <c r="CS514" s="105"/>
      <c r="CT514" s="105"/>
      <c r="CU514" s="105"/>
      <c r="CV514" s="105"/>
      <c r="CW514" s="105"/>
      <c r="CX514" s="105"/>
      <c r="CY514" s="105"/>
      <c r="CZ514" s="105"/>
      <c r="DA514" s="105"/>
      <c r="DB514" s="105"/>
      <c r="DC514" s="105"/>
      <c r="DD514" s="105"/>
      <c r="DE514" s="105"/>
      <c r="DF514" s="105"/>
      <c r="DG514" s="105"/>
      <c r="DH514" s="105"/>
      <c r="DI514" s="105"/>
      <c r="DJ514" s="105"/>
      <c r="DK514" s="105"/>
      <c r="DL514" s="105"/>
      <c r="DM514" s="105"/>
      <c r="DN514" s="105"/>
      <c r="DO514" s="105"/>
      <c r="DP514" s="105"/>
      <c r="DQ514" s="105"/>
      <c r="DR514" s="105"/>
      <c r="DS514" s="105"/>
      <c r="DT514" s="105"/>
      <c r="DU514" s="105"/>
      <c r="DV514" s="105"/>
      <c r="DW514" s="105"/>
      <c r="DX514" s="105"/>
      <c r="DY514" s="105"/>
      <c r="DZ514" s="105"/>
      <c r="EA514" s="105"/>
      <c r="EB514" s="105"/>
      <c r="EC514" s="105"/>
      <c r="ED514" s="105"/>
      <c r="EE514" s="105"/>
      <c r="EF514" s="105"/>
      <c r="EG514" s="105"/>
      <c r="EH514" s="105"/>
      <c r="EI514" s="105"/>
      <c r="EJ514" s="105"/>
      <c r="EK514" s="105"/>
      <c r="EL514" s="105"/>
      <c r="EM514" s="105"/>
      <c r="EN514" s="105"/>
      <c r="EO514" s="105"/>
      <c r="EP514" s="105"/>
      <c r="EQ514" s="105"/>
      <c r="ER514" s="105"/>
      <c r="ES514" s="105"/>
      <c r="ET514" s="105"/>
      <c r="EU514" s="105"/>
      <c r="EV514" s="105"/>
      <c r="EW514" s="105"/>
      <c r="EX514" s="105"/>
      <c r="EY514" s="105"/>
      <c r="EZ514" s="105"/>
      <c r="FA514" s="105"/>
      <c r="FB514" s="105"/>
      <c r="FC514" s="105"/>
      <c r="FD514" s="105"/>
      <c r="FE514" s="105"/>
      <c r="FF514" s="105"/>
      <c r="FG514" s="105"/>
      <c r="FH514" s="105"/>
      <c r="FI514" s="105"/>
      <c r="FJ514" s="105"/>
      <c r="FK514" s="105"/>
      <c r="FL514" s="105"/>
      <c r="FM514" s="105"/>
      <c r="FN514" s="105"/>
      <c r="FO514" s="105"/>
      <c r="FP514" s="105"/>
      <c r="FQ514" s="105"/>
      <c r="FR514" s="105"/>
      <c r="FS514" s="105"/>
      <c r="FT514" s="105"/>
      <c r="FU514" s="105"/>
      <c r="FV514" s="105"/>
      <c r="FW514" s="105"/>
      <c r="FX514" s="105"/>
      <c r="FY514" s="105"/>
      <c r="FZ514" s="105"/>
      <c r="GA514" s="105"/>
      <c r="GB514" s="105"/>
      <c r="GC514" s="105"/>
      <c r="GD514" s="105"/>
      <c r="GE514" s="105"/>
      <c r="GF514" s="105"/>
      <c r="GG514" s="105"/>
      <c r="GH514" s="105"/>
      <c r="GI514" s="105"/>
      <c r="GJ514" s="105"/>
      <c r="GK514" s="105"/>
      <c r="GL514" s="105"/>
      <c r="GM514" s="105"/>
      <c r="GN514" s="105"/>
      <c r="GO514" s="105"/>
      <c r="GP514" s="105"/>
      <c r="GQ514" s="105"/>
      <c r="GR514" s="105"/>
      <c r="GS514" s="105"/>
      <c r="GT514" s="105"/>
      <c r="GU514" s="105"/>
      <c r="GV514" s="105"/>
      <c r="GW514" s="105"/>
      <c r="GX514" s="105"/>
      <c r="GY514" s="105"/>
      <c r="GZ514" s="105"/>
      <c r="HA514" s="105"/>
      <c r="HB514" s="105"/>
      <c r="HC514" s="105"/>
      <c r="HD514" s="105"/>
      <c r="HE514" s="105"/>
      <c r="HF514" s="105"/>
      <c r="HG514" s="105"/>
      <c r="HH514" s="105"/>
      <c r="HI514" s="105"/>
      <c r="HJ514" s="105"/>
      <c r="HK514" s="105"/>
      <c r="HL514" s="105"/>
      <c r="HM514" s="105"/>
      <c r="HN514" s="105"/>
      <c r="HO514" s="105"/>
      <c r="HP514" s="105"/>
      <c r="HQ514" s="105"/>
      <c r="HR514" s="105"/>
      <c r="HS514" s="105"/>
      <c r="HT514" s="105"/>
      <c r="HU514" s="105"/>
      <c r="HV514" s="105"/>
      <c r="HW514" s="105"/>
      <c r="HX514" s="105"/>
      <c r="HY514" s="105"/>
      <c r="HZ514" s="105"/>
      <c r="IA514" s="105"/>
      <c r="IB514" s="105"/>
      <c r="IC514" s="105"/>
      <c r="ID514" s="105"/>
      <c r="IE514" s="105"/>
      <c r="IF514" s="105"/>
      <c r="IG514" s="105"/>
      <c r="IH514" s="105"/>
      <c r="II514" s="105"/>
      <c r="IJ514" s="105"/>
      <c r="IK514" s="105"/>
      <c r="IL514" s="105"/>
      <c r="IM514" s="105"/>
      <c r="IN514" s="105"/>
      <c r="IO514" s="105"/>
      <c r="IP514" s="105"/>
      <c r="IQ514" s="105"/>
      <c r="IR514" s="105"/>
      <c r="IS514" s="105"/>
    </row>
    <row r="515" spans="1:253">
      <c r="A515" s="116"/>
      <c r="B515" s="105"/>
      <c r="C515" s="116"/>
      <c r="D515" s="116"/>
      <c r="E515" s="116"/>
      <c r="F515" s="116"/>
      <c r="G515" s="116"/>
      <c r="H515" s="116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  <c r="BF515" s="105"/>
      <c r="BG515" s="105"/>
      <c r="BH515" s="105"/>
      <c r="BI515" s="105"/>
      <c r="BJ515" s="105"/>
      <c r="BK515" s="105"/>
      <c r="BL515" s="105"/>
      <c r="BM515" s="105"/>
      <c r="BN515" s="105"/>
      <c r="BO515" s="105"/>
      <c r="BP515" s="105"/>
      <c r="BQ515" s="105"/>
      <c r="BR515" s="105"/>
      <c r="BS515" s="105"/>
      <c r="BT515" s="105"/>
      <c r="BU515" s="105"/>
      <c r="BV515" s="105"/>
      <c r="BW515" s="105"/>
      <c r="BX515" s="105"/>
      <c r="BY515" s="105"/>
      <c r="BZ515" s="105"/>
      <c r="CA515" s="105"/>
      <c r="CB515" s="105"/>
      <c r="CC515" s="105"/>
      <c r="CD515" s="105"/>
      <c r="CE515" s="105"/>
      <c r="CF515" s="105"/>
      <c r="CG515" s="105"/>
      <c r="CH515" s="105"/>
      <c r="CI515" s="105"/>
      <c r="CJ515" s="105"/>
      <c r="CK515" s="105"/>
      <c r="CL515" s="105"/>
      <c r="CM515" s="105"/>
      <c r="CN515" s="105"/>
      <c r="CO515" s="105"/>
      <c r="CP515" s="105"/>
      <c r="CQ515" s="105"/>
      <c r="CR515" s="105"/>
      <c r="CS515" s="105"/>
      <c r="CT515" s="105"/>
      <c r="CU515" s="105"/>
      <c r="CV515" s="105"/>
      <c r="CW515" s="105"/>
      <c r="CX515" s="105"/>
      <c r="CY515" s="105"/>
      <c r="CZ515" s="105"/>
      <c r="DA515" s="105"/>
      <c r="DB515" s="105"/>
      <c r="DC515" s="105"/>
      <c r="DD515" s="105"/>
      <c r="DE515" s="105"/>
      <c r="DF515" s="105"/>
      <c r="DG515" s="105"/>
      <c r="DH515" s="105"/>
      <c r="DI515" s="105"/>
      <c r="DJ515" s="105"/>
      <c r="DK515" s="105"/>
      <c r="DL515" s="105"/>
      <c r="DM515" s="105"/>
      <c r="DN515" s="105"/>
      <c r="DO515" s="105"/>
      <c r="DP515" s="105"/>
      <c r="DQ515" s="105"/>
      <c r="DR515" s="105"/>
      <c r="DS515" s="105"/>
      <c r="DT515" s="105"/>
      <c r="DU515" s="105"/>
      <c r="DV515" s="105"/>
      <c r="DW515" s="105"/>
      <c r="DX515" s="105"/>
      <c r="DY515" s="105"/>
      <c r="DZ515" s="105"/>
      <c r="EA515" s="105"/>
      <c r="EB515" s="105"/>
      <c r="EC515" s="105"/>
      <c r="ED515" s="105"/>
      <c r="EE515" s="105"/>
      <c r="EF515" s="105"/>
      <c r="EG515" s="105"/>
      <c r="EH515" s="105"/>
      <c r="EI515" s="105"/>
      <c r="EJ515" s="105"/>
      <c r="EK515" s="105"/>
      <c r="EL515" s="105"/>
      <c r="EM515" s="105"/>
      <c r="EN515" s="105"/>
      <c r="EO515" s="105"/>
      <c r="EP515" s="105"/>
      <c r="EQ515" s="105"/>
      <c r="ER515" s="105"/>
      <c r="ES515" s="105"/>
      <c r="ET515" s="105"/>
      <c r="EU515" s="105"/>
      <c r="EV515" s="105"/>
      <c r="EW515" s="105"/>
      <c r="EX515" s="105"/>
      <c r="EY515" s="105"/>
      <c r="EZ515" s="105"/>
      <c r="FA515" s="105"/>
      <c r="FB515" s="105"/>
      <c r="FC515" s="105"/>
      <c r="FD515" s="105"/>
      <c r="FE515" s="105"/>
      <c r="FF515" s="105"/>
      <c r="FG515" s="105"/>
      <c r="FH515" s="105"/>
      <c r="FI515" s="105"/>
      <c r="FJ515" s="105"/>
      <c r="FK515" s="105"/>
      <c r="FL515" s="105"/>
      <c r="FM515" s="105"/>
      <c r="FN515" s="105"/>
      <c r="FO515" s="105"/>
      <c r="FP515" s="105"/>
      <c r="FQ515" s="105"/>
      <c r="FR515" s="105"/>
      <c r="FS515" s="105"/>
      <c r="FT515" s="105"/>
      <c r="FU515" s="105"/>
      <c r="FV515" s="105"/>
      <c r="FW515" s="105"/>
      <c r="FX515" s="105"/>
      <c r="FY515" s="105"/>
      <c r="FZ515" s="105"/>
      <c r="GA515" s="105"/>
      <c r="GB515" s="105"/>
      <c r="GC515" s="105"/>
      <c r="GD515" s="105"/>
      <c r="GE515" s="105"/>
      <c r="GF515" s="105"/>
      <c r="GG515" s="105"/>
      <c r="GH515" s="105"/>
      <c r="GI515" s="105"/>
      <c r="GJ515" s="105"/>
      <c r="GK515" s="105"/>
      <c r="GL515" s="105"/>
      <c r="GM515" s="105"/>
      <c r="GN515" s="105"/>
      <c r="GO515" s="105"/>
      <c r="GP515" s="105"/>
      <c r="GQ515" s="105"/>
      <c r="GR515" s="105"/>
      <c r="GS515" s="105"/>
      <c r="GT515" s="105"/>
      <c r="GU515" s="105"/>
      <c r="GV515" s="105"/>
      <c r="GW515" s="105"/>
      <c r="GX515" s="105"/>
      <c r="GY515" s="105"/>
      <c r="GZ515" s="105"/>
      <c r="HA515" s="105"/>
      <c r="HB515" s="105"/>
      <c r="HC515" s="105"/>
      <c r="HD515" s="105"/>
      <c r="HE515" s="105"/>
      <c r="HF515" s="105"/>
      <c r="HG515" s="105"/>
      <c r="HH515" s="105"/>
      <c r="HI515" s="105"/>
      <c r="HJ515" s="105"/>
      <c r="HK515" s="105"/>
      <c r="HL515" s="105"/>
      <c r="HM515" s="105"/>
      <c r="HN515" s="105"/>
      <c r="HO515" s="105"/>
      <c r="HP515" s="105"/>
      <c r="HQ515" s="105"/>
      <c r="HR515" s="105"/>
      <c r="HS515" s="105"/>
      <c r="HT515" s="105"/>
      <c r="HU515" s="105"/>
      <c r="HV515" s="105"/>
      <c r="HW515" s="105"/>
      <c r="HX515" s="105"/>
      <c r="HY515" s="105"/>
      <c r="HZ515" s="105"/>
      <c r="IA515" s="105"/>
      <c r="IB515" s="105"/>
      <c r="IC515" s="105"/>
      <c r="ID515" s="105"/>
      <c r="IE515" s="105"/>
      <c r="IF515" s="105"/>
      <c r="IG515" s="105"/>
      <c r="IH515" s="105"/>
      <c r="II515" s="105"/>
      <c r="IJ515" s="105"/>
      <c r="IK515" s="105"/>
      <c r="IL515" s="105"/>
      <c r="IM515" s="105"/>
      <c r="IN515" s="105"/>
      <c r="IO515" s="105"/>
      <c r="IP515" s="105"/>
      <c r="IQ515" s="105"/>
      <c r="IR515" s="105"/>
      <c r="IS515" s="105"/>
    </row>
    <row r="516" spans="1:253">
      <c r="A516" s="116"/>
      <c r="B516" s="105"/>
      <c r="C516" s="116"/>
      <c r="D516" s="116"/>
      <c r="E516" s="116"/>
      <c r="F516" s="116"/>
      <c r="G516" s="116"/>
      <c r="H516" s="116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  <c r="BF516" s="105"/>
      <c r="BG516" s="105"/>
      <c r="BH516" s="105"/>
      <c r="BI516" s="105"/>
      <c r="BJ516" s="105"/>
      <c r="BK516" s="105"/>
      <c r="BL516" s="105"/>
      <c r="BM516" s="105"/>
      <c r="BN516" s="105"/>
      <c r="BO516" s="105"/>
      <c r="BP516" s="105"/>
      <c r="BQ516" s="105"/>
      <c r="BR516" s="105"/>
      <c r="BS516" s="105"/>
      <c r="BT516" s="105"/>
      <c r="BU516" s="105"/>
      <c r="BV516" s="105"/>
      <c r="BW516" s="105"/>
      <c r="BX516" s="105"/>
      <c r="BY516" s="105"/>
      <c r="BZ516" s="105"/>
      <c r="CA516" s="105"/>
      <c r="CB516" s="105"/>
      <c r="CC516" s="105"/>
      <c r="CD516" s="105"/>
      <c r="CE516" s="105"/>
      <c r="CF516" s="105"/>
      <c r="CG516" s="105"/>
      <c r="CH516" s="105"/>
      <c r="CI516" s="105"/>
      <c r="CJ516" s="105"/>
      <c r="CK516" s="105"/>
      <c r="CL516" s="105"/>
      <c r="CM516" s="105"/>
      <c r="CN516" s="105"/>
      <c r="CO516" s="105"/>
      <c r="CP516" s="105"/>
      <c r="CQ516" s="105"/>
      <c r="CR516" s="105"/>
      <c r="CS516" s="105"/>
      <c r="CT516" s="105"/>
      <c r="CU516" s="105"/>
      <c r="CV516" s="105"/>
      <c r="CW516" s="105"/>
      <c r="CX516" s="105"/>
      <c r="CY516" s="105"/>
      <c r="CZ516" s="105"/>
      <c r="DA516" s="105"/>
      <c r="DB516" s="105"/>
      <c r="DC516" s="105"/>
      <c r="DD516" s="105"/>
      <c r="DE516" s="105"/>
      <c r="DF516" s="105"/>
      <c r="DG516" s="105"/>
      <c r="DH516" s="105"/>
      <c r="DI516" s="105"/>
      <c r="DJ516" s="105"/>
      <c r="DK516" s="105"/>
      <c r="DL516" s="105"/>
      <c r="DM516" s="105"/>
      <c r="DN516" s="105"/>
      <c r="DO516" s="105"/>
      <c r="DP516" s="105"/>
      <c r="DQ516" s="105"/>
      <c r="DR516" s="105"/>
      <c r="DS516" s="105"/>
      <c r="DT516" s="105"/>
      <c r="DU516" s="105"/>
      <c r="DV516" s="105"/>
      <c r="DW516" s="105"/>
      <c r="DX516" s="105"/>
      <c r="DY516" s="105"/>
      <c r="DZ516" s="105"/>
      <c r="EA516" s="105"/>
      <c r="EB516" s="105"/>
      <c r="EC516" s="105"/>
      <c r="ED516" s="105"/>
      <c r="EE516" s="105"/>
      <c r="EF516" s="105"/>
      <c r="EG516" s="105"/>
      <c r="EH516" s="105"/>
      <c r="EI516" s="105"/>
      <c r="EJ516" s="105"/>
      <c r="EK516" s="105"/>
      <c r="EL516" s="105"/>
      <c r="EM516" s="105"/>
      <c r="EN516" s="105"/>
      <c r="EO516" s="105"/>
      <c r="EP516" s="105"/>
      <c r="EQ516" s="105"/>
      <c r="ER516" s="105"/>
      <c r="ES516" s="105"/>
      <c r="ET516" s="105"/>
      <c r="EU516" s="105"/>
      <c r="EV516" s="105"/>
      <c r="EW516" s="105"/>
      <c r="EX516" s="105"/>
      <c r="EY516" s="105"/>
      <c r="EZ516" s="105"/>
      <c r="FA516" s="105"/>
      <c r="FB516" s="105"/>
      <c r="FC516" s="105"/>
      <c r="FD516" s="105"/>
      <c r="FE516" s="105"/>
      <c r="FF516" s="105"/>
      <c r="FG516" s="105"/>
      <c r="FH516" s="105"/>
      <c r="FI516" s="105"/>
      <c r="FJ516" s="105"/>
      <c r="FK516" s="105"/>
      <c r="FL516" s="105"/>
      <c r="FM516" s="105"/>
      <c r="FN516" s="105"/>
      <c r="FO516" s="105"/>
      <c r="FP516" s="105"/>
      <c r="FQ516" s="105"/>
      <c r="FR516" s="105"/>
      <c r="FS516" s="105"/>
      <c r="FT516" s="105"/>
      <c r="FU516" s="105"/>
      <c r="FV516" s="105"/>
      <c r="FW516" s="105"/>
      <c r="FX516" s="105"/>
      <c r="FY516" s="105"/>
      <c r="FZ516" s="105"/>
      <c r="GA516" s="105"/>
      <c r="GB516" s="105"/>
      <c r="GC516" s="105"/>
      <c r="GD516" s="105"/>
      <c r="GE516" s="105"/>
      <c r="GF516" s="105"/>
      <c r="GG516" s="105"/>
      <c r="GH516" s="105"/>
      <c r="GI516" s="105"/>
      <c r="GJ516" s="105"/>
      <c r="GK516" s="105"/>
      <c r="GL516" s="105"/>
      <c r="GM516" s="105"/>
      <c r="GN516" s="105"/>
      <c r="GO516" s="105"/>
      <c r="GP516" s="105"/>
      <c r="GQ516" s="105"/>
      <c r="GR516" s="105"/>
      <c r="GS516" s="105"/>
      <c r="GT516" s="105"/>
      <c r="GU516" s="105"/>
      <c r="GV516" s="105"/>
      <c r="GW516" s="105"/>
      <c r="GX516" s="105"/>
      <c r="GY516" s="105"/>
      <c r="GZ516" s="105"/>
      <c r="HA516" s="105"/>
      <c r="HB516" s="105"/>
      <c r="HC516" s="105"/>
      <c r="HD516" s="105"/>
      <c r="HE516" s="105"/>
      <c r="HF516" s="105"/>
      <c r="HG516" s="105"/>
      <c r="HH516" s="105"/>
      <c r="HI516" s="105"/>
      <c r="HJ516" s="105"/>
      <c r="HK516" s="105"/>
      <c r="HL516" s="105"/>
      <c r="HM516" s="105"/>
      <c r="HN516" s="105"/>
      <c r="HO516" s="105"/>
      <c r="HP516" s="105"/>
      <c r="HQ516" s="105"/>
      <c r="HR516" s="105"/>
      <c r="HS516" s="105"/>
      <c r="HT516" s="105"/>
      <c r="HU516" s="105"/>
      <c r="HV516" s="105"/>
      <c r="HW516" s="105"/>
      <c r="HX516" s="105"/>
      <c r="HY516" s="105"/>
      <c r="HZ516" s="105"/>
      <c r="IA516" s="105"/>
      <c r="IB516" s="105"/>
      <c r="IC516" s="105"/>
      <c r="ID516" s="105"/>
      <c r="IE516" s="105"/>
      <c r="IF516" s="105"/>
      <c r="IG516" s="105"/>
      <c r="IH516" s="105"/>
      <c r="II516" s="105"/>
      <c r="IJ516" s="105"/>
      <c r="IK516" s="105"/>
      <c r="IL516" s="105"/>
      <c r="IM516" s="105"/>
      <c r="IN516" s="105"/>
      <c r="IO516" s="105"/>
      <c r="IP516" s="105"/>
      <c r="IQ516" s="105"/>
      <c r="IR516" s="105"/>
      <c r="IS516" s="105"/>
    </row>
    <row r="517" spans="1:253">
      <c r="A517" s="116"/>
      <c r="B517" s="105"/>
      <c r="C517" s="116"/>
      <c r="D517" s="116"/>
      <c r="E517" s="116"/>
      <c r="F517" s="116"/>
      <c r="G517" s="116"/>
      <c r="H517" s="116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05"/>
      <c r="BF517" s="105"/>
      <c r="BG517" s="105"/>
      <c r="BH517" s="105"/>
      <c r="BI517" s="105"/>
      <c r="BJ517" s="105"/>
      <c r="BK517" s="105"/>
      <c r="BL517" s="105"/>
      <c r="BM517" s="105"/>
      <c r="BN517" s="105"/>
      <c r="BO517" s="105"/>
      <c r="BP517" s="105"/>
      <c r="BQ517" s="105"/>
      <c r="BR517" s="105"/>
      <c r="BS517" s="105"/>
      <c r="BT517" s="105"/>
      <c r="BU517" s="105"/>
      <c r="BV517" s="105"/>
      <c r="BW517" s="105"/>
      <c r="BX517" s="105"/>
      <c r="BY517" s="105"/>
      <c r="BZ517" s="105"/>
      <c r="CA517" s="105"/>
      <c r="CB517" s="105"/>
      <c r="CC517" s="105"/>
      <c r="CD517" s="105"/>
      <c r="CE517" s="105"/>
      <c r="CF517" s="105"/>
      <c r="CG517" s="105"/>
      <c r="CH517" s="105"/>
      <c r="CI517" s="105"/>
      <c r="CJ517" s="105"/>
      <c r="CK517" s="105"/>
      <c r="CL517" s="105"/>
      <c r="CM517" s="105"/>
      <c r="CN517" s="105"/>
      <c r="CO517" s="105"/>
      <c r="CP517" s="105"/>
      <c r="CQ517" s="105"/>
      <c r="CR517" s="105"/>
      <c r="CS517" s="105"/>
      <c r="CT517" s="105"/>
      <c r="CU517" s="105"/>
      <c r="CV517" s="105"/>
      <c r="CW517" s="105"/>
      <c r="CX517" s="105"/>
      <c r="CY517" s="105"/>
      <c r="CZ517" s="105"/>
      <c r="DA517" s="105"/>
      <c r="DB517" s="105"/>
      <c r="DC517" s="105"/>
      <c r="DD517" s="105"/>
      <c r="DE517" s="105"/>
      <c r="DF517" s="105"/>
      <c r="DG517" s="105"/>
      <c r="DH517" s="105"/>
      <c r="DI517" s="105"/>
      <c r="DJ517" s="105"/>
      <c r="DK517" s="105"/>
      <c r="DL517" s="105"/>
      <c r="DM517" s="105"/>
      <c r="DN517" s="105"/>
      <c r="DO517" s="105"/>
      <c r="DP517" s="105"/>
      <c r="DQ517" s="105"/>
      <c r="DR517" s="105"/>
      <c r="DS517" s="105"/>
      <c r="DT517" s="105"/>
      <c r="DU517" s="105"/>
      <c r="DV517" s="105"/>
      <c r="DW517" s="105"/>
      <c r="DX517" s="105"/>
      <c r="DY517" s="105"/>
      <c r="DZ517" s="105"/>
      <c r="EA517" s="105"/>
      <c r="EB517" s="105"/>
      <c r="EC517" s="105"/>
      <c r="ED517" s="105"/>
      <c r="EE517" s="105"/>
      <c r="EF517" s="105"/>
      <c r="EG517" s="105"/>
      <c r="EH517" s="105"/>
      <c r="EI517" s="105"/>
      <c r="EJ517" s="105"/>
      <c r="EK517" s="105"/>
      <c r="EL517" s="105"/>
      <c r="EM517" s="105"/>
      <c r="EN517" s="105"/>
      <c r="EO517" s="105"/>
      <c r="EP517" s="105"/>
      <c r="EQ517" s="105"/>
      <c r="ER517" s="105"/>
      <c r="ES517" s="105"/>
      <c r="ET517" s="105"/>
      <c r="EU517" s="105"/>
      <c r="EV517" s="105"/>
      <c r="EW517" s="105"/>
      <c r="EX517" s="105"/>
      <c r="EY517" s="105"/>
      <c r="EZ517" s="105"/>
      <c r="FA517" s="105"/>
      <c r="FB517" s="105"/>
      <c r="FC517" s="105"/>
      <c r="FD517" s="105"/>
      <c r="FE517" s="105"/>
      <c r="FF517" s="105"/>
      <c r="FG517" s="105"/>
      <c r="FH517" s="105"/>
      <c r="FI517" s="105"/>
      <c r="FJ517" s="105"/>
      <c r="FK517" s="105"/>
      <c r="FL517" s="105"/>
      <c r="FM517" s="105"/>
      <c r="FN517" s="105"/>
      <c r="FO517" s="105"/>
      <c r="FP517" s="105"/>
      <c r="FQ517" s="105"/>
      <c r="FR517" s="105"/>
      <c r="FS517" s="105"/>
      <c r="FT517" s="105"/>
      <c r="FU517" s="105"/>
      <c r="FV517" s="105"/>
      <c r="FW517" s="105"/>
      <c r="FX517" s="105"/>
      <c r="FY517" s="105"/>
      <c r="FZ517" s="105"/>
      <c r="GA517" s="105"/>
      <c r="GB517" s="105"/>
      <c r="GC517" s="105"/>
      <c r="GD517" s="105"/>
      <c r="GE517" s="105"/>
      <c r="GF517" s="105"/>
      <c r="GG517" s="105"/>
      <c r="GH517" s="105"/>
      <c r="GI517" s="105"/>
      <c r="GJ517" s="105"/>
      <c r="GK517" s="105"/>
      <c r="GL517" s="105"/>
      <c r="GM517" s="105"/>
      <c r="GN517" s="105"/>
      <c r="GO517" s="105"/>
      <c r="GP517" s="105"/>
      <c r="GQ517" s="105"/>
      <c r="GR517" s="105"/>
      <c r="GS517" s="105"/>
      <c r="GT517" s="105"/>
      <c r="GU517" s="105"/>
      <c r="GV517" s="105"/>
      <c r="GW517" s="105"/>
      <c r="GX517" s="105"/>
      <c r="GY517" s="105"/>
      <c r="GZ517" s="105"/>
      <c r="HA517" s="105"/>
      <c r="HB517" s="105"/>
      <c r="HC517" s="105"/>
      <c r="HD517" s="105"/>
      <c r="HE517" s="105"/>
      <c r="HF517" s="105"/>
      <c r="HG517" s="105"/>
      <c r="HH517" s="105"/>
      <c r="HI517" s="105"/>
      <c r="HJ517" s="105"/>
      <c r="HK517" s="105"/>
      <c r="HL517" s="105"/>
      <c r="HM517" s="105"/>
      <c r="HN517" s="105"/>
      <c r="HO517" s="105"/>
      <c r="HP517" s="105"/>
      <c r="HQ517" s="105"/>
      <c r="HR517" s="105"/>
      <c r="HS517" s="105"/>
      <c r="HT517" s="105"/>
      <c r="HU517" s="105"/>
      <c r="HV517" s="105"/>
      <c r="HW517" s="105"/>
      <c r="HX517" s="105"/>
      <c r="HY517" s="105"/>
      <c r="HZ517" s="105"/>
      <c r="IA517" s="105"/>
      <c r="IB517" s="105"/>
      <c r="IC517" s="105"/>
      <c r="ID517" s="105"/>
      <c r="IE517" s="105"/>
      <c r="IF517" s="105"/>
      <c r="IG517" s="105"/>
      <c r="IH517" s="105"/>
      <c r="II517" s="105"/>
      <c r="IJ517" s="105"/>
      <c r="IK517" s="105"/>
      <c r="IL517" s="105"/>
      <c r="IM517" s="105"/>
      <c r="IN517" s="105"/>
      <c r="IO517" s="105"/>
      <c r="IP517" s="105"/>
      <c r="IQ517" s="105"/>
      <c r="IR517" s="105"/>
      <c r="IS517" s="105"/>
    </row>
    <row r="518" spans="1:253">
      <c r="A518" s="116"/>
      <c r="B518" s="105"/>
      <c r="C518" s="116"/>
      <c r="D518" s="116"/>
      <c r="E518" s="116"/>
      <c r="F518" s="116"/>
      <c r="G518" s="116"/>
      <c r="H518" s="116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05"/>
      <c r="BF518" s="105"/>
      <c r="BG518" s="105"/>
      <c r="BH518" s="105"/>
      <c r="BI518" s="105"/>
      <c r="BJ518" s="105"/>
      <c r="BK518" s="105"/>
      <c r="BL518" s="105"/>
      <c r="BM518" s="105"/>
      <c r="BN518" s="105"/>
      <c r="BO518" s="105"/>
      <c r="BP518" s="105"/>
      <c r="BQ518" s="105"/>
      <c r="BR518" s="105"/>
      <c r="BS518" s="105"/>
      <c r="BT518" s="105"/>
      <c r="BU518" s="105"/>
      <c r="BV518" s="105"/>
      <c r="BW518" s="105"/>
      <c r="BX518" s="105"/>
      <c r="BY518" s="105"/>
      <c r="BZ518" s="105"/>
      <c r="CA518" s="105"/>
      <c r="CB518" s="105"/>
      <c r="CC518" s="105"/>
      <c r="CD518" s="105"/>
      <c r="CE518" s="105"/>
      <c r="CF518" s="105"/>
      <c r="CG518" s="105"/>
      <c r="CH518" s="105"/>
      <c r="CI518" s="105"/>
      <c r="CJ518" s="105"/>
      <c r="CK518" s="105"/>
      <c r="CL518" s="105"/>
      <c r="CM518" s="105"/>
      <c r="CN518" s="105"/>
      <c r="CO518" s="105"/>
      <c r="CP518" s="105"/>
      <c r="CQ518" s="105"/>
      <c r="CR518" s="105"/>
      <c r="CS518" s="105"/>
      <c r="CT518" s="105"/>
      <c r="CU518" s="105"/>
      <c r="CV518" s="105"/>
      <c r="CW518" s="105"/>
      <c r="CX518" s="105"/>
      <c r="CY518" s="105"/>
      <c r="CZ518" s="105"/>
      <c r="DA518" s="105"/>
      <c r="DB518" s="105"/>
      <c r="DC518" s="105"/>
      <c r="DD518" s="105"/>
      <c r="DE518" s="105"/>
      <c r="DF518" s="105"/>
      <c r="DG518" s="105"/>
      <c r="DH518" s="105"/>
      <c r="DI518" s="105"/>
      <c r="DJ518" s="105"/>
      <c r="DK518" s="105"/>
      <c r="DL518" s="105"/>
      <c r="DM518" s="105"/>
      <c r="DN518" s="105"/>
      <c r="DO518" s="105"/>
      <c r="DP518" s="105"/>
      <c r="DQ518" s="105"/>
      <c r="DR518" s="105"/>
      <c r="DS518" s="105"/>
      <c r="DT518" s="105"/>
      <c r="DU518" s="105"/>
      <c r="DV518" s="105"/>
      <c r="DW518" s="105"/>
      <c r="DX518" s="105"/>
      <c r="DY518" s="105"/>
      <c r="DZ518" s="105"/>
      <c r="EA518" s="105"/>
      <c r="EB518" s="105"/>
      <c r="EC518" s="105"/>
      <c r="ED518" s="105"/>
      <c r="EE518" s="105"/>
      <c r="EF518" s="105"/>
      <c r="EG518" s="105"/>
      <c r="EH518" s="105"/>
      <c r="EI518" s="105"/>
      <c r="EJ518" s="105"/>
      <c r="EK518" s="105"/>
      <c r="EL518" s="105"/>
      <c r="EM518" s="105"/>
      <c r="EN518" s="105"/>
      <c r="EO518" s="105"/>
      <c r="EP518" s="105"/>
      <c r="EQ518" s="105"/>
      <c r="ER518" s="105"/>
      <c r="ES518" s="105"/>
      <c r="ET518" s="105"/>
      <c r="EU518" s="105"/>
      <c r="EV518" s="105"/>
      <c r="EW518" s="105"/>
      <c r="EX518" s="105"/>
      <c r="EY518" s="105"/>
      <c r="EZ518" s="105"/>
      <c r="FA518" s="105"/>
      <c r="FB518" s="105"/>
      <c r="FC518" s="105"/>
      <c r="FD518" s="105"/>
      <c r="FE518" s="105"/>
      <c r="FF518" s="105"/>
      <c r="FG518" s="105"/>
      <c r="FH518" s="105"/>
      <c r="FI518" s="105"/>
      <c r="FJ518" s="105"/>
      <c r="FK518" s="105"/>
      <c r="FL518" s="105"/>
      <c r="FM518" s="105"/>
      <c r="FN518" s="105"/>
      <c r="FO518" s="105"/>
      <c r="FP518" s="105"/>
      <c r="FQ518" s="105"/>
      <c r="FR518" s="105"/>
      <c r="FS518" s="105"/>
      <c r="FT518" s="105"/>
      <c r="FU518" s="105"/>
      <c r="FV518" s="105"/>
      <c r="FW518" s="105"/>
      <c r="FX518" s="105"/>
      <c r="FY518" s="105"/>
      <c r="FZ518" s="105"/>
      <c r="GA518" s="105"/>
      <c r="GB518" s="105"/>
      <c r="GC518" s="105"/>
      <c r="GD518" s="105"/>
      <c r="GE518" s="105"/>
      <c r="GF518" s="105"/>
      <c r="GG518" s="105"/>
      <c r="GH518" s="105"/>
      <c r="GI518" s="105"/>
      <c r="GJ518" s="105"/>
      <c r="GK518" s="105"/>
      <c r="GL518" s="105"/>
      <c r="GM518" s="105"/>
      <c r="GN518" s="105"/>
      <c r="GO518" s="105"/>
      <c r="GP518" s="105"/>
      <c r="GQ518" s="105"/>
      <c r="GR518" s="105"/>
      <c r="GS518" s="105"/>
      <c r="GT518" s="105"/>
      <c r="GU518" s="105"/>
      <c r="GV518" s="105"/>
      <c r="GW518" s="105"/>
      <c r="GX518" s="105"/>
      <c r="GY518" s="105"/>
      <c r="GZ518" s="105"/>
      <c r="HA518" s="105"/>
      <c r="HB518" s="105"/>
      <c r="HC518" s="105"/>
      <c r="HD518" s="105"/>
      <c r="HE518" s="105"/>
      <c r="HF518" s="105"/>
      <c r="HG518" s="105"/>
      <c r="HH518" s="105"/>
      <c r="HI518" s="105"/>
      <c r="HJ518" s="105"/>
      <c r="HK518" s="105"/>
      <c r="HL518" s="105"/>
      <c r="HM518" s="105"/>
      <c r="HN518" s="105"/>
      <c r="HO518" s="105"/>
      <c r="HP518" s="105"/>
      <c r="HQ518" s="105"/>
      <c r="HR518" s="105"/>
      <c r="HS518" s="105"/>
      <c r="HT518" s="105"/>
      <c r="HU518" s="105"/>
      <c r="HV518" s="105"/>
      <c r="HW518" s="105"/>
      <c r="HX518" s="105"/>
      <c r="HY518" s="105"/>
      <c r="HZ518" s="105"/>
      <c r="IA518" s="105"/>
      <c r="IB518" s="105"/>
      <c r="IC518" s="105"/>
      <c r="ID518" s="105"/>
      <c r="IE518" s="105"/>
      <c r="IF518" s="105"/>
      <c r="IG518" s="105"/>
      <c r="IH518" s="105"/>
      <c r="II518" s="105"/>
      <c r="IJ518" s="105"/>
      <c r="IK518" s="105"/>
      <c r="IL518" s="105"/>
      <c r="IM518" s="105"/>
      <c r="IN518" s="105"/>
      <c r="IO518" s="105"/>
      <c r="IP518" s="105"/>
      <c r="IQ518" s="105"/>
      <c r="IR518" s="105"/>
      <c r="IS518" s="105"/>
    </row>
    <row r="519" spans="1:253">
      <c r="A519" s="116"/>
      <c r="B519" s="105"/>
      <c r="C519" s="116"/>
      <c r="D519" s="116"/>
      <c r="E519" s="116"/>
      <c r="F519" s="116"/>
      <c r="G519" s="116"/>
      <c r="H519" s="116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5"/>
      <c r="BE519" s="105"/>
      <c r="BF519" s="105"/>
      <c r="BG519" s="105"/>
      <c r="BH519" s="105"/>
      <c r="BI519" s="105"/>
      <c r="BJ519" s="105"/>
      <c r="BK519" s="105"/>
      <c r="BL519" s="105"/>
      <c r="BM519" s="105"/>
      <c r="BN519" s="105"/>
      <c r="BO519" s="105"/>
      <c r="BP519" s="105"/>
      <c r="BQ519" s="105"/>
      <c r="BR519" s="105"/>
      <c r="BS519" s="105"/>
      <c r="BT519" s="105"/>
      <c r="BU519" s="105"/>
      <c r="BV519" s="105"/>
      <c r="BW519" s="105"/>
      <c r="BX519" s="105"/>
      <c r="BY519" s="105"/>
      <c r="BZ519" s="105"/>
      <c r="CA519" s="105"/>
      <c r="CB519" s="105"/>
      <c r="CC519" s="105"/>
      <c r="CD519" s="105"/>
      <c r="CE519" s="105"/>
      <c r="CF519" s="105"/>
      <c r="CG519" s="105"/>
      <c r="CH519" s="105"/>
      <c r="CI519" s="105"/>
      <c r="CJ519" s="105"/>
      <c r="CK519" s="105"/>
      <c r="CL519" s="105"/>
      <c r="CM519" s="105"/>
      <c r="CN519" s="105"/>
      <c r="CO519" s="105"/>
      <c r="CP519" s="105"/>
      <c r="CQ519" s="105"/>
      <c r="CR519" s="105"/>
      <c r="CS519" s="105"/>
      <c r="CT519" s="105"/>
      <c r="CU519" s="105"/>
      <c r="CV519" s="105"/>
      <c r="CW519" s="105"/>
      <c r="CX519" s="105"/>
      <c r="CY519" s="105"/>
      <c r="CZ519" s="105"/>
      <c r="DA519" s="105"/>
      <c r="DB519" s="105"/>
      <c r="DC519" s="105"/>
      <c r="DD519" s="105"/>
      <c r="DE519" s="105"/>
      <c r="DF519" s="105"/>
      <c r="DG519" s="105"/>
      <c r="DH519" s="105"/>
      <c r="DI519" s="105"/>
      <c r="DJ519" s="105"/>
      <c r="DK519" s="105"/>
      <c r="DL519" s="105"/>
      <c r="DM519" s="105"/>
      <c r="DN519" s="105"/>
      <c r="DO519" s="105"/>
      <c r="DP519" s="105"/>
      <c r="DQ519" s="105"/>
      <c r="DR519" s="105"/>
      <c r="DS519" s="105"/>
      <c r="DT519" s="105"/>
      <c r="DU519" s="105"/>
      <c r="DV519" s="105"/>
      <c r="DW519" s="105"/>
      <c r="DX519" s="105"/>
      <c r="DY519" s="105"/>
      <c r="DZ519" s="105"/>
      <c r="EA519" s="105"/>
      <c r="EB519" s="105"/>
      <c r="EC519" s="105"/>
      <c r="ED519" s="105"/>
      <c r="EE519" s="105"/>
      <c r="EF519" s="105"/>
      <c r="EG519" s="105"/>
      <c r="EH519" s="105"/>
      <c r="EI519" s="105"/>
      <c r="EJ519" s="105"/>
      <c r="EK519" s="105"/>
      <c r="EL519" s="105"/>
      <c r="EM519" s="105"/>
      <c r="EN519" s="105"/>
      <c r="EO519" s="105"/>
      <c r="EP519" s="105"/>
      <c r="EQ519" s="105"/>
      <c r="ER519" s="105"/>
      <c r="ES519" s="105"/>
      <c r="ET519" s="105"/>
      <c r="EU519" s="105"/>
      <c r="EV519" s="105"/>
      <c r="EW519" s="105"/>
      <c r="EX519" s="105"/>
      <c r="EY519" s="105"/>
      <c r="EZ519" s="105"/>
      <c r="FA519" s="105"/>
      <c r="FB519" s="105"/>
      <c r="FC519" s="105"/>
      <c r="FD519" s="105"/>
      <c r="FE519" s="105"/>
      <c r="FF519" s="105"/>
      <c r="FG519" s="105"/>
      <c r="FH519" s="105"/>
      <c r="FI519" s="105"/>
      <c r="FJ519" s="105"/>
      <c r="FK519" s="105"/>
      <c r="FL519" s="105"/>
      <c r="FM519" s="105"/>
      <c r="FN519" s="105"/>
      <c r="FO519" s="105"/>
      <c r="FP519" s="105"/>
      <c r="FQ519" s="105"/>
      <c r="FR519" s="105"/>
      <c r="FS519" s="105"/>
      <c r="FT519" s="105"/>
      <c r="FU519" s="105"/>
      <c r="FV519" s="105"/>
      <c r="FW519" s="105"/>
      <c r="FX519" s="105"/>
      <c r="FY519" s="105"/>
      <c r="FZ519" s="105"/>
      <c r="GA519" s="105"/>
      <c r="GB519" s="105"/>
      <c r="GC519" s="105"/>
      <c r="GD519" s="105"/>
      <c r="GE519" s="105"/>
      <c r="GF519" s="105"/>
      <c r="GG519" s="105"/>
      <c r="GH519" s="105"/>
      <c r="GI519" s="105"/>
      <c r="GJ519" s="105"/>
      <c r="GK519" s="105"/>
      <c r="GL519" s="105"/>
      <c r="GM519" s="105"/>
      <c r="GN519" s="105"/>
      <c r="GO519" s="105"/>
      <c r="GP519" s="105"/>
      <c r="GQ519" s="105"/>
      <c r="GR519" s="105"/>
      <c r="GS519" s="105"/>
      <c r="GT519" s="105"/>
      <c r="GU519" s="105"/>
      <c r="GV519" s="105"/>
      <c r="GW519" s="105"/>
      <c r="GX519" s="105"/>
      <c r="GY519" s="105"/>
      <c r="GZ519" s="105"/>
      <c r="HA519" s="105"/>
      <c r="HB519" s="105"/>
      <c r="HC519" s="105"/>
      <c r="HD519" s="105"/>
      <c r="HE519" s="105"/>
      <c r="HF519" s="105"/>
      <c r="HG519" s="105"/>
      <c r="HH519" s="105"/>
      <c r="HI519" s="105"/>
      <c r="HJ519" s="105"/>
      <c r="HK519" s="105"/>
      <c r="HL519" s="105"/>
      <c r="HM519" s="105"/>
      <c r="HN519" s="105"/>
      <c r="HO519" s="105"/>
      <c r="HP519" s="105"/>
      <c r="HQ519" s="105"/>
      <c r="HR519" s="105"/>
      <c r="HS519" s="105"/>
      <c r="HT519" s="105"/>
      <c r="HU519" s="105"/>
      <c r="HV519" s="105"/>
      <c r="HW519" s="105"/>
      <c r="HX519" s="105"/>
      <c r="HY519" s="105"/>
      <c r="HZ519" s="105"/>
      <c r="IA519" s="105"/>
      <c r="IB519" s="105"/>
      <c r="IC519" s="105"/>
      <c r="ID519" s="105"/>
      <c r="IE519" s="105"/>
      <c r="IF519" s="105"/>
      <c r="IG519" s="105"/>
      <c r="IH519" s="105"/>
      <c r="II519" s="105"/>
      <c r="IJ519" s="105"/>
      <c r="IK519" s="105"/>
      <c r="IL519" s="105"/>
      <c r="IM519" s="105"/>
      <c r="IN519" s="105"/>
      <c r="IO519" s="105"/>
      <c r="IP519" s="105"/>
      <c r="IQ519" s="105"/>
      <c r="IR519" s="105"/>
      <c r="IS519" s="105"/>
    </row>
    <row r="520" spans="1:253">
      <c r="A520" s="116"/>
      <c r="B520" s="105"/>
      <c r="C520" s="116"/>
      <c r="D520" s="116"/>
      <c r="E520" s="116"/>
      <c r="F520" s="116"/>
      <c r="G520" s="116"/>
      <c r="H520" s="116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05"/>
      <c r="BF520" s="105"/>
      <c r="BG520" s="105"/>
      <c r="BH520" s="105"/>
      <c r="BI520" s="105"/>
      <c r="BJ520" s="105"/>
      <c r="BK520" s="105"/>
      <c r="BL520" s="105"/>
      <c r="BM520" s="105"/>
      <c r="BN520" s="105"/>
      <c r="BO520" s="105"/>
      <c r="BP520" s="105"/>
      <c r="BQ520" s="105"/>
      <c r="BR520" s="105"/>
      <c r="BS520" s="105"/>
      <c r="BT520" s="105"/>
      <c r="BU520" s="105"/>
      <c r="BV520" s="105"/>
      <c r="BW520" s="105"/>
      <c r="BX520" s="105"/>
      <c r="BY520" s="105"/>
      <c r="BZ520" s="105"/>
      <c r="CA520" s="105"/>
      <c r="CB520" s="105"/>
      <c r="CC520" s="105"/>
      <c r="CD520" s="105"/>
      <c r="CE520" s="105"/>
      <c r="CF520" s="105"/>
      <c r="CG520" s="105"/>
      <c r="CH520" s="105"/>
      <c r="CI520" s="105"/>
      <c r="CJ520" s="105"/>
      <c r="CK520" s="105"/>
      <c r="CL520" s="105"/>
      <c r="CM520" s="105"/>
      <c r="CN520" s="105"/>
      <c r="CO520" s="105"/>
      <c r="CP520" s="105"/>
      <c r="CQ520" s="105"/>
      <c r="CR520" s="105"/>
      <c r="CS520" s="105"/>
      <c r="CT520" s="105"/>
      <c r="CU520" s="105"/>
      <c r="CV520" s="105"/>
      <c r="CW520" s="105"/>
      <c r="CX520" s="105"/>
      <c r="CY520" s="105"/>
      <c r="CZ520" s="105"/>
      <c r="DA520" s="105"/>
      <c r="DB520" s="105"/>
      <c r="DC520" s="105"/>
      <c r="DD520" s="105"/>
      <c r="DE520" s="105"/>
      <c r="DF520" s="105"/>
      <c r="DG520" s="105"/>
      <c r="DH520" s="105"/>
      <c r="DI520" s="105"/>
      <c r="DJ520" s="105"/>
      <c r="DK520" s="105"/>
      <c r="DL520" s="105"/>
      <c r="DM520" s="105"/>
      <c r="DN520" s="105"/>
      <c r="DO520" s="105"/>
      <c r="DP520" s="105"/>
      <c r="DQ520" s="105"/>
      <c r="DR520" s="105"/>
      <c r="DS520" s="105"/>
      <c r="DT520" s="105"/>
      <c r="DU520" s="105"/>
      <c r="DV520" s="105"/>
      <c r="DW520" s="105"/>
      <c r="DX520" s="105"/>
      <c r="DY520" s="105"/>
      <c r="DZ520" s="105"/>
      <c r="EA520" s="105"/>
      <c r="EB520" s="105"/>
      <c r="EC520" s="105"/>
      <c r="ED520" s="105"/>
      <c r="EE520" s="105"/>
      <c r="EF520" s="105"/>
      <c r="EG520" s="105"/>
      <c r="EH520" s="105"/>
      <c r="EI520" s="105"/>
      <c r="EJ520" s="105"/>
      <c r="EK520" s="105"/>
      <c r="EL520" s="105"/>
      <c r="EM520" s="105"/>
      <c r="EN520" s="105"/>
      <c r="EO520" s="105"/>
      <c r="EP520" s="105"/>
      <c r="EQ520" s="105"/>
      <c r="ER520" s="105"/>
      <c r="ES520" s="105"/>
      <c r="ET520" s="105"/>
      <c r="EU520" s="105"/>
      <c r="EV520" s="105"/>
      <c r="EW520" s="105"/>
      <c r="EX520" s="105"/>
      <c r="EY520" s="105"/>
      <c r="EZ520" s="105"/>
      <c r="FA520" s="105"/>
      <c r="FB520" s="105"/>
      <c r="FC520" s="105"/>
      <c r="FD520" s="105"/>
      <c r="FE520" s="105"/>
      <c r="FF520" s="105"/>
      <c r="FG520" s="105"/>
      <c r="FH520" s="105"/>
      <c r="FI520" s="105"/>
      <c r="FJ520" s="105"/>
      <c r="FK520" s="105"/>
      <c r="FL520" s="105"/>
      <c r="FM520" s="105"/>
      <c r="FN520" s="105"/>
      <c r="FO520" s="105"/>
      <c r="FP520" s="105"/>
      <c r="FQ520" s="105"/>
      <c r="FR520" s="105"/>
      <c r="FS520" s="105"/>
      <c r="FT520" s="105"/>
      <c r="FU520" s="105"/>
      <c r="FV520" s="105"/>
      <c r="FW520" s="105"/>
      <c r="FX520" s="105"/>
      <c r="FY520" s="105"/>
      <c r="FZ520" s="105"/>
      <c r="GA520" s="105"/>
      <c r="GB520" s="105"/>
      <c r="GC520" s="105"/>
      <c r="GD520" s="105"/>
      <c r="GE520" s="105"/>
      <c r="GF520" s="105"/>
      <c r="GG520" s="105"/>
      <c r="GH520" s="105"/>
      <c r="GI520" s="105"/>
      <c r="GJ520" s="105"/>
      <c r="GK520" s="105"/>
      <c r="GL520" s="105"/>
      <c r="GM520" s="105"/>
      <c r="GN520" s="105"/>
      <c r="GO520" s="105"/>
      <c r="GP520" s="105"/>
      <c r="GQ520" s="105"/>
      <c r="GR520" s="105"/>
      <c r="GS520" s="105"/>
      <c r="GT520" s="105"/>
      <c r="GU520" s="105"/>
      <c r="GV520" s="105"/>
      <c r="GW520" s="105"/>
      <c r="GX520" s="105"/>
      <c r="GY520" s="105"/>
      <c r="GZ520" s="105"/>
      <c r="HA520" s="105"/>
      <c r="HB520" s="105"/>
      <c r="HC520" s="105"/>
      <c r="HD520" s="105"/>
      <c r="HE520" s="105"/>
      <c r="HF520" s="105"/>
      <c r="HG520" s="105"/>
      <c r="HH520" s="105"/>
      <c r="HI520" s="105"/>
      <c r="HJ520" s="105"/>
      <c r="HK520" s="105"/>
      <c r="HL520" s="105"/>
      <c r="HM520" s="105"/>
      <c r="HN520" s="105"/>
      <c r="HO520" s="105"/>
      <c r="HP520" s="105"/>
      <c r="HQ520" s="105"/>
      <c r="HR520" s="105"/>
      <c r="HS520" s="105"/>
      <c r="HT520" s="105"/>
      <c r="HU520" s="105"/>
      <c r="HV520" s="105"/>
      <c r="HW520" s="105"/>
      <c r="HX520" s="105"/>
      <c r="HY520" s="105"/>
      <c r="HZ520" s="105"/>
      <c r="IA520" s="105"/>
      <c r="IB520" s="105"/>
      <c r="IC520" s="105"/>
      <c r="ID520" s="105"/>
      <c r="IE520" s="105"/>
      <c r="IF520" s="105"/>
      <c r="IG520" s="105"/>
      <c r="IH520" s="105"/>
      <c r="II520" s="105"/>
      <c r="IJ520" s="105"/>
      <c r="IK520" s="105"/>
      <c r="IL520" s="105"/>
      <c r="IM520" s="105"/>
      <c r="IN520" s="105"/>
      <c r="IO520" s="105"/>
      <c r="IP520" s="105"/>
      <c r="IQ520" s="105"/>
      <c r="IR520" s="105"/>
      <c r="IS520" s="105"/>
    </row>
    <row r="521" spans="1:253">
      <c r="A521" s="116"/>
      <c r="B521" s="105"/>
      <c r="C521" s="116"/>
      <c r="D521" s="116"/>
      <c r="E521" s="116"/>
      <c r="F521" s="116"/>
      <c r="G521" s="116"/>
      <c r="H521" s="116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5"/>
      <c r="BE521" s="105"/>
      <c r="BF521" s="105"/>
      <c r="BG521" s="105"/>
      <c r="BH521" s="105"/>
      <c r="BI521" s="105"/>
      <c r="BJ521" s="105"/>
      <c r="BK521" s="105"/>
      <c r="BL521" s="105"/>
      <c r="BM521" s="105"/>
      <c r="BN521" s="105"/>
      <c r="BO521" s="105"/>
      <c r="BP521" s="105"/>
      <c r="BQ521" s="105"/>
      <c r="BR521" s="105"/>
      <c r="BS521" s="105"/>
      <c r="BT521" s="105"/>
      <c r="BU521" s="105"/>
      <c r="BV521" s="105"/>
      <c r="BW521" s="105"/>
      <c r="BX521" s="105"/>
      <c r="BY521" s="105"/>
      <c r="BZ521" s="105"/>
      <c r="CA521" s="105"/>
      <c r="CB521" s="105"/>
      <c r="CC521" s="105"/>
      <c r="CD521" s="105"/>
      <c r="CE521" s="105"/>
      <c r="CF521" s="105"/>
      <c r="CG521" s="105"/>
      <c r="CH521" s="105"/>
      <c r="CI521" s="105"/>
      <c r="CJ521" s="105"/>
      <c r="CK521" s="105"/>
      <c r="CL521" s="105"/>
      <c r="CM521" s="105"/>
      <c r="CN521" s="105"/>
      <c r="CO521" s="105"/>
      <c r="CP521" s="105"/>
      <c r="CQ521" s="105"/>
      <c r="CR521" s="105"/>
      <c r="CS521" s="105"/>
      <c r="CT521" s="105"/>
      <c r="CU521" s="105"/>
      <c r="CV521" s="105"/>
      <c r="CW521" s="105"/>
      <c r="CX521" s="105"/>
      <c r="CY521" s="105"/>
      <c r="CZ521" s="105"/>
      <c r="DA521" s="105"/>
      <c r="DB521" s="105"/>
      <c r="DC521" s="105"/>
      <c r="DD521" s="105"/>
      <c r="DE521" s="105"/>
      <c r="DF521" s="105"/>
      <c r="DG521" s="105"/>
      <c r="DH521" s="105"/>
      <c r="DI521" s="105"/>
      <c r="DJ521" s="105"/>
      <c r="DK521" s="105"/>
      <c r="DL521" s="105"/>
      <c r="DM521" s="105"/>
      <c r="DN521" s="105"/>
      <c r="DO521" s="105"/>
      <c r="DP521" s="105"/>
      <c r="DQ521" s="105"/>
      <c r="DR521" s="105"/>
      <c r="DS521" s="105"/>
      <c r="DT521" s="105"/>
      <c r="DU521" s="105"/>
      <c r="DV521" s="105"/>
      <c r="DW521" s="105"/>
      <c r="DX521" s="105"/>
      <c r="DY521" s="105"/>
      <c r="DZ521" s="105"/>
      <c r="EA521" s="105"/>
      <c r="EB521" s="105"/>
      <c r="EC521" s="105"/>
      <c r="ED521" s="105"/>
      <c r="EE521" s="105"/>
      <c r="EF521" s="105"/>
      <c r="EG521" s="105"/>
      <c r="EH521" s="105"/>
      <c r="EI521" s="105"/>
      <c r="EJ521" s="105"/>
      <c r="EK521" s="105"/>
      <c r="EL521" s="105"/>
      <c r="EM521" s="105"/>
      <c r="EN521" s="105"/>
      <c r="EO521" s="105"/>
      <c r="EP521" s="105"/>
      <c r="EQ521" s="105"/>
      <c r="ER521" s="105"/>
      <c r="ES521" s="105"/>
      <c r="ET521" s="105"/>
      <c r="EU521" s="105"/>
      <c r="EV521" s="105"/>
      <c r="EW521" s="105"/>
      <c r="EX521" s="105"/>
      <c r="EY521" s="105"/>
      <c r="EZ521" s="105"/>
      <c r="FA521" s="105"/>
      <c r="FB521" s="105"/>
      <c r="FC521" s="105"/>
      <c r="FD521" s="105"/>
      <c r="FE521" s="105"/>
      <c r="FF521" s="105"/>
      <c r="FG521" s="105"/>
      <c r="FH521" s="105"/>
      <c r="FI521" s="105"/>
      <c r="FJ521" s="105"/>
      <c r="FK521" s="105"/>
      <c r="FL521" s="105"/>
      <c r="FM521" s="105"/>
      <c r="FN521" s="105"/>
      <c r="FO521" s="105"/>
      <c r="FP521" s="105"/>
      <c r="FQ521" s="105"/>
      <c r="FR521" s="105"/>
      <c r="FS521" s="105"/>
      <c r="FT521" s="105"/>
      <c r="FU521" s="105"/>
      <c r="FV521" s="105"/>
      <c r="FW521" s="105"/>
      <c r="FX521" s="105"/>
      <c r="FY521" s="105"/>
      <c r="FZ521" s="105"/>
      <c r="GA521" s="105"/>
      <c r="GB521" s="105"/>
      <c r="GC521" s="105"/>
      <c r="GD521" s="105"/>
      <c r="GE521" s="105"/>
      <c r="GF521" s="105"/>
      <c r="GG521" s="105"/>
      <c r="GH521" s="105"/>
      <c r="GI521" s="105"/>
      <c r="GJ521" s="105"/>
      <c r="GK521" s="105"/>
      <c r="GL521" s="105"/>
      <c r="GM521" s="105"/>
      <c r="GN521" s="105"/>
      <c r="GO521" s="105"/>
      <c r="GP521" s="105"/>
      <c r="GQ521" s="105"/>
      <c r="GR521" s="105"/>
      <c r="GS521" s="105"/>
      <c r="GT521" s="105"/>
      <c r="GU521" s="105"/>
      <c r="GV521" s="105"/>
      <c r="GW521" s="105"/>
      <c r="GX521" s="105"/>
      <c r="GY521" s="105"/>
      <c r="GZ521" s="105"/>
      <c r="HA521" s="105"/>
      <c r="HB521" s="105"/>
      <c r="HC521" s="105"/>
      <c r="HD521" s="105"/>
      <c r="HE521" s="105"/>
      <c r="HF521" s="105"/>
      <c r="HG521" s="105"/>
      <c r="HH521" s="105"/>
      <c r="HI521" s="105"/>
      <c r="HJ521" s="105"/>
      <c r="HK521" s="105"/>
      <c r="HL521" s="105"/>
      <c r="HM521" s="105"/>
      <c r="HN521" s="105"/>
      <c r="HO521" s="105"/>
      <c r="HP521" s="105"/>
      <c r="HQ521" s="105"/>
      <c r="HR521" s="105"/>
      <c r="HS521" s="105"/>
      <c r="HT521" s="105"/>
      <c r="HU521" s="105"/>
      <c r="HV521" s="105"/>
      <c r="HW521" s="105"/>
      <c r="HX521" s="105"/>
      <c r="HY521" s="105"/>
      <c r="HZ521" s="105"/>
      <c r="IA521" s="105"/>
      <c r="IB521" s="105"/>
      <c r="IC521" s="105"/>
      <c r="ID521" s="105"/>
      <c r="IE521" s="105"/>
      <c r="IF521" s="105"/>
      <c r="IG521" s="105"/>
      <c r="IH521" s="105"/>
      <c r="II521" s="105"/>
      <c r="IJ521" s="105"/>
      <c r="IK521" s="105"/>
      <c r="IL521" s="105"/>
      <c r="IM521" s="105"/>
      <c r="IN521" s="105"/>
      <c r="IO521" s="105"/>
      <c r="IP521" s="105"/>
      <c r="IQ521" s="105"/>
      <c r="IR521" s="105"/>
      <c r="IS521" s="105"/>
    </row>
    <row r="522" spans="1:253">
      <c r="A522" s="116"/>
      <c r="B522" s="105"/>
      <c r="C522" s="116"/>
      <c r="D522" s="116"/>
      <c r="E522" s="116"/>
      <c r="F522" s="116"/>
      <c r="G522" s="116"/>
      <c r="H522" s="116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05"/>
      <c r="BF522" s="105"/>
      <c r="BG522" s="105"/>
      <c r="BH522" s="105"/>
      <c r="BI522" s="105"/>
      <c r="BJ522" s="105"/>
      <c r="BK522" s="105"/>
      <c r="BL522" s="105"/>
      <c r="BM522" s="105"/>
      <c r="BN522" s="105"/>
      <c r="BO522" s="105"/>
      <c r="BP522" s="105"/>
      <c r="BQ522" s="105"/>
      <c r="BR522" s="105"/>
      <c r="BS522" s="105"/>
      <c r="BT522" s="105"/>
      <c r="BU522" s="105"/>
      <c r="BV522" s="105"/>
      <c r="BW522" s="105"/>
      <c r="BX522" s="105"/>
      <c r="BY522" s="105"/>
      <c r="BZ522" s="105"/>
      <c r="CA522" s="105"/>
      <c r="CB522" s="105"/>
      <c r="CC522" s="105"/>
      <c r="CD522" s="105"/>
      <c r="CE522" s="105"/>
      <c r="CF522" s="105"/>
      <c r="CG522" s="105"/>
      <c r="CH522" s="105"/>
      <c r="CI522" s="105"/>
      <c r="CJ522" s="105"/>
      <c r="CK522" s="105"/>
      <c r="CL522" s="105"/>
      <c r="CM522" s="105"/>
      <c r="CN522" s="105"/>
      <c r="CO522" s="105"/>
      <c r="CP522" s="105"/>
      <c r="CQ522" s="105"/>
      <c r="CR522" s="105"/>
      <c r="CS522" s="105"/>
      <c r="CT522" s="105"/>
      <c r="CU522" s="105"/>
      <c r="CV522" s="105"/>
      <c r="CW522" s="105"/>
      <c r="CX522" s="105"/>
      <c r="CY522" s="105"/>
      <c r="CZ522" s="105"/>
      <c r="DA522" s="105"/>
      <c r="DB522" s="105"/>
      <c r="DC522" s="105"/>
      <c r="DD522" s="105"/>
      <c r="DE522" s="105"/>
      <c r="DF522" s="105"/>
      <c r="DG522" s="105"/>
      <c r="DH522" s="105"/>
      <c r="DI522" s="105"/>
      <c r="DJ522" s="105"/>
      <c r="DK522" s="105"/>
      <c r="DL522" s="105"/>
      <c r="DM522" s="105"/>
      <c r="DN522" s="105"/>
      <c r="DO522" s="105"/>
      <c r="DP522" s="105"/>
      <c r="DQ522" s="105"/>
      <c r="DR522" s="105"/>
      <c r="DS522" s="105"/>
      <c r="DT522" s="105"/>
      <c r="DU522" s="105"/>
      <c r="DV522" s="105"/>
      <c r="DW522" s="105"/>
      <c r="DX522" s="105"/>
      <c r="DY522" s="105"/>
      <c r="DZ522" s="105"/>
      <c r="EA522" s="105"/>
      <c r="EB522" s="105"/>
      <c r="EC522" s="105"/>
      <c r="ED522" s="105"/>
      <c r="EE522" s="105"/>
      <c r="EF522" s="105"/>
      <c r="EG522" s="105"/>
      <c r="EH522" s="105"/>
      <c r="EI522" s="105"/>
      <c r="EJ522" s="105"/>
      <c r="EK522" s="105"/>
      <c r="EL522" s="105"/>
      <c r="EM522" s="105"/>
      <c r="EN522" s="105"/>
      <c r="EO522" s="105"/>
      <c r="EP522" s="105"/>
      <c r="EQ522" s="105"/>
      <c r="ER522" s="105"/>
      <c r="ES522" s="105"/>
      <c r="ET522" s="105"/>
      <c r="EU522" s="105"/>
      <c r="EV522" s="105"/>
      <c r="EW522" s="105"/>
      <c r="EX522" s="105"/>
      <c r="EY522" s="105"/>
      <c r="EZ522" s="105"/>
      <c r="FA522" s="105"/>
      <c r="FB522" s="105"/>
      <c r="FC522" s="105"/>
      <c r="FD522" s="105"/>
      <c r="FE522" s="105"/>
      <c r="FF522" s="105"/>
      <c r="FG522" s="105"/>
      <c r="FH522" s="105"/>
      <c r="FI522" s="105"/>
      <c r="FJ522" s="105"/>
      <c r="FK522" s="105"/>
      <c r="FL522" s="105"/>
      <c r="FM522" s="105"/>
      <c r="FN522" s="105"/>
      <c r="FO522" s="105"/>
      <c r="FP522" s="105"/>
      <c r="FQ522" s="105"/>
      <c r="FR522" s="105"/>
      <c r="FS522" s="105"/>
      <c r="FT522" s="105"/>
      <c r="FU522" s="105"/>
      <c r="FV522" s="105"/>
      <c r="FW522" s="105"/>
      <c r="FX522" s="105"/>
      <c r="FY522" s="105"/>
      <c r="FZ522" s="105"/>
      <c r="GA522" s="105"/>
      <c r="GB522" s="105"/>
      <c r="GC522" s="105"/>
      <c r="GD522" s="105"/>
      <c r="GE522" s="105"/>
      <c r="GF522" s="105"/>
      <c r="GG522" s="105"/>
      <c r="GH522" s="105"/>
      <c r="GI522" s="105"/>
      <c r="GJ522" s="105"/>
      <c r="GK522" s="105"/>
      <c r="GL522" s="105"/>
      <c r="GM522" s="105"/>
      <c r="GN522" s="105"/>
      <c r="GO522" s="105"/>
      <c r="GP522" s="105"/>
      <c r="GQ522" s="105"/>
      <c r="GR522" s="105"/>
      <c r="GS522" s="105"/>
      <c r="GT522" s="105"/>
      <c r="GU522" s="105"/>
      <c r="GV522" s="105"/>
      <c r="GW522" s="105"/>
      <c r="GX522" s="105"/>
      <c r="GY522" s="105"/>
      <c r="GZ522" s="105"/>
      <c r="HA522" s="105"/>
      <c r="HB522" s="105"/>
      <c r="HC522" s="105"/>
      <c r="HD522" s="105"/>
      <c r="HE522" s="105"/>
      <c r="HF522" s="105"/>
      <c r="HG522" s="105"/>
      <c r="HH522" s="105"/>
      <c r="HI522" s="105"/>
      <c r="HJ522" s="105"/>
      <c r="HK522" s="105"/>
      <c r="HL522" s="105"/>
      <c r="HM522" s="105"/>
      <c r="HN522" s="105"/>
      <c r="HO522" s="105"/>
      <c r="HP522" s="105"/>
      <c r="HQ522" s="105"/>
      <c r="HR522" s="105"/>
      <c r="HS522" s="105"/>
      <c r="HT522" s="105"/>
      <c r="HU522" s="105"/>
      <c r="HV522" s="105"/>
      <c r="HW522" s="105"/>
      <c r="HX522" s="105"/>
      <c r="HY522" s="105"/>
      <c r="HZ522" s="105"/>
      <c r="IA522" s="105"/>
      <c r="IB522" s="105"/>
      <c r="IC522" s="105"/>
      <c r="ID522" s="105"/>
      <c r="IE522" s="105"/>
      <c r="IF522" s="105"/>
      <c r="IG522" s="105"/>
      <c r="IH522" s="105"/>
      <c r="II522" s="105"/>
      <c r="IJ522" s="105"/>
      <c r="IK522" s="105"/>
      <c r="IL522" s="105"/>
      <c r="IM522" s="105"/>
      <c r="IN522" s="105"/>
      <c r="IO522" s="105"/>
      <c r="IP522" s="105"/>
      <c r="IQ522" s="105"/>
      <c r="IR522" s="105"/>
      <c r="IS522" s="105"/>
    </row>
    <row r="523" spans="1:253">
      <c r="A523" s="116"/>
      <c r="B523" s="105"/>
      <c r="C523" s="116"/>
      <c r="D523" s="116"/>
      <c r="E523" s="116"/>
      <c r="F523" s="116"/>
      <c r="G523" s="116"/>
      <c r="H523" s="116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  <c r="BF523" s="105"/>
      <c r="BG523" s="105"/>
      <c r="BH523" s="105"/>
      <c r="BI523" s="105"/>
      <c r="BJ523" s="105"/>
      <c r="BK523" s="105"/>
      <c r="BL523" s="105"/>
      <c r="BM523" s="105"/>
      <c r="BN523" s="105"/>
      <c r="BO523" s="105"/>
      <c r="BP523" s="105"/>
      <c r="BQ523" s="105"/>
      <c r="BR523" s="105"/>
      <c r="BS523" s="105"/>
      <c r="BT523" s="105"/>
      <c r="BU523" s="105"/>
      <c r="BV523" s="105"/>
      <c r="BW523" s="105"/>
      <c r="BX523" s="105"/>
      <c r="BY523" s="105"/>
      <c r="BZ523" s="105"/>
      <c r="CA523" s="105"/>
      <c r="CB523" s="105"/>
      <c r="CC523" s="105"/>
      <c r="CD523" s="105"/>
      <c r="CE523" s="105"/>
      <c r="CF523" s="105"/>
      <c r="CG523" s="105"/>
      <c r="CH523" s="105"/>
      <c r="CI523" s="105"/>
      <c r="CJ523" s="105"/>
      <c r="CK523" s="105"/>
      <c r="CL523" s="105"/>
      <c r="CM523" s="105"/>
      <c r="CN523" s="105"/>
      <c r="CO523" s="105"/>
      <c r="CP523" s="105"/>
      <c r="CQ523" s="105"/>
      <c r="CR523" s="105"/>
      <c r="CS523" s="105"/>
      <c r="CT523" s="105"/>
      <c r="CU523" s="105"/>
      <c r="CV523" s="105"/>
      <c r="CW523" s="105"/>
      <c r="CX523" s="105"/>
      <c r="CY523" s="105"/>
      <c r="CZ523" s="105"/>
      <c r="DA523" s="105"/>
      <c r="DB523" s="105"/>
      <c r="DC523" s="105"/>
      <c r="DD523" s="105"/>
      <c r="DE523" s="105"/>
      <c r="DF523" s="105"/>
      <c r="DG523" s="105"/>
      <c r="DH523" s="105"/>
      <c r="DI523" s="105"/>
      <c r="DJ523" s="105"/>
      <c r="DK523" s="105"/>
      <c r="DL523" s="105"/>
      <c r="DM523" s="105"/>
      <c r="DN523" s="105"/>
      <c r="DO523" s="105"/>
      <c r="DP523" s="105"/>
      <c r="DQ523" s="105"/>
      <c r="DR523" s="105"/>
      <c r="DS523" s="105"/>
      <c r="DT523" s="105"/>
      <c r="DU523" s="105"/>
      <c r="DV523" s="105"/>
      <c r="DW523" s="105"/>
      <c r="DX523" s="105"/>
      <c r="DY523" s="105"/>
      <c r="DZ523" s="105"/>
      <c r="EA523" s="105"/>
      <c r="EB523" s="105"/>
      <c r="EC523" s="105"/>
      <c r="ED523" s="105"/>
      <c r="EE523" s="105"/>
      <c r="EF523" s="105"/>
      <c r="EG523" s="105"/>
      <c r="EH523" s="105"/>
      <c r="EI523" s="105"/>
      <c r="EJ523" s="105"/>
      <c r="EK523" s="105"/>
      <c r="EL523" s="105"/>
      <c r="EM523" s="105"/>
      <c r="EN523" s="105"/>
      <c r="EO523" s="105"/>
      <c r="EP523" s="105"/>
      <c r="EQ523" s="105"/>
      <c r="ER523" s="105"/>
      <c r="ES523" s="105"/>
      <c r="ET523" s="105"/>
      <c r="EU523" s="105"/>
      <c r="EV523" s="105"/>
      <c r="EW523" s="105"/>
      <c r="EX523" s="105"/>
      <c r="EY523" s="105"/>
      <c r="EZ523" s="105"/>
      <c r="FA523" s="105"/>
      <c r="FB523" s="105"/>
      <c r="FC523" s="105"/>
      <c r="FD523" s="105"/>
      <c r="FE523" s="105"/>
      <c r="FF523" s="105"/>
      <c r="FG523" s="105"/>
      <c r="FH523" s="105"/>
      <c r="FI523" s="105"/>
      <c r="FJ523" s="105"/>
      <c r="FK523" s="105"/>
      <c r="FL523" s="105"/>
      <c r="FM523" s="105"/>
      <c r="FN523" s="105"/>
      <c r="FO523" s="105"/>
      <c r="FP523" s="105"/>
      <c r="FQ523" s="105"/>
      <c r="FR523" s="105"/>
      <c r="FS523" s="105"/>
      <c r="FT523" s="105"/>
      <c r="FU523" s="105"/>
      <c r="FV523" s="105"/>
      <c r="FW523" s="105"/>
      <c r="FX523" s="105"/>
      <c r="FY523" s="105"/>
      <c r="FZ523" s="105"/>
      <c r="GA523" s="105"/>
      <c r="GB523" s="105"/>
      <c r="GC523" s="105"/>
      <c r="GD523" s="105"/>
      <c r="GE523" s="105"/>
      <c r="GF523" s="105"/>
      <c r="GG523" s="105"/>
      <c r="GH523" s="105"/>
      <c r="GI523" s="105"/>
      <c r="GJ523" s="105"/>
      <c r="GK523" s="105"/>
      <c r="GL523" s="105"/>
      <c r="GM523" s="105"/>
      <c r="GN523" s="105"/>
      <c r="GO523" s="105"/>
      <c r="GP523" s="105"/>
      <c r="GQ523" s="105"/>
      <c r="GR523" s="105"/>
      <c r="GS523" s="105"/>
      <c r="GT523" s="105"/>
      <c r="GU523" s="105"/>
      <c r="GV523" s="105"/>
      <c r="GW523" s="105"/>
      <c r="GX523" s="105"/>
      <c r="GY523" s="105"/>
      <c r="GZ523" s="105"/>
      <c r="HA523" s="105"/>
      <c r="HB523" s="105"/>
      <c r="HC523" s="105"/>
      <c r="HD523" s="105"/>
      <c r="HE523" s="105"/>
      <c r="HF523" s="105"/>
      <c r="HG523" s="105"/>
      <c r="HH523" s="105"/>
      <c r="HI523" s="105"/>
      <c r="HJ523" s="105"/>
      <c r="HK523" s="105"/>
      <c r="HL523" s="105"/>
      <c r="HM523" s="105"/>
      <c r="HN523" s="105"/>
      <c r="HO523" s="105"/>
      <c r="HP523" s="105"/>
      <c r="HQ523" s="105"/>
      <c r="HR523" s="105"/>
      <c r="HS523" s="105"/>
      <c r="HT523" s="105"/>
      <c r="HU523" s="105"/>
      <c r="HV523" s="105"/>
      <c r="HW523" s="105"/>
      <c r="HX523" s="105"/>
      <c r="HY523" s="105"/>
      <c r="HZ523" s="105"/>
      <c r="IA523" s="105"/>
      <c r="IB523" s="105"/>
      <c r="IC523" s="105"/>
      <c r="ID523" s="105"/>
      <c r="IE523" s="105"/>
      <c r="IF523" s="105"/>
      <c r="IG523" s="105"/>
      <c r="IH523" s="105"/>
      <c r="II523" s="105"/>
      <c r="IJ523" s="105"/>
      <c r="IK523" s="105"/>
      <c r="IL523" s="105"/>
      <c r="IM523" s="105"/>
      <c r="IN523" s="105"/>
      <c r="IO523" s="105"/>
      <c r="IP523" s="105"/>
      <c r="IQ523" s="105"/>
      <c r="IR523" s="105"/>
      <c r="IS523" s="105"/>
    </row>
    <row r="524" spans="1:253">
      <c r="A524" s="116"/>
      <c r="B524" s="105"/>
      <c r="C524" s="116"/>
      <c r="D524" s="116"/>
      <c r="E524" s="116"/>
      <c r="F524" s="116"/>
      <c r="G524" s="116"/>
      <c r="H524" s="116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05"/>
      <c r="BF524" s="105"/>
      <c r="BG524" s="105"/>
      <c r="BH524" s="105"/>
      <c r="BI524" s="105"/>
      <c r="BJ524" s="105"/>
      <c r="BK524" s="105"/>
      <c r="BL524" s="105"/>
      <c r="BM524" s="105"/>
      <c r="BN524" s="105"/>
      <c r="BO524" s="105"/>
      <c r="BP524" s="105"/>
      <c r="BQ524" s="105"/>
      <c r="BR524" s="105"/>
      <c r="BS524" s="105"/>
      <c r="BT524" s="105"/>
      <c r="BU524" s="105"/>
      <c r="BV524" s="105"/>
      <c r="BW524" s="105"/>
      <c r="BX524" s="105"/>
      <c r="BY524" s="105"/>
      <c r="BZ524" s="105"/>
      <c r="CA524" s="105"/>
      <c r="CB524" s="105"/>
      <c r="CC524" s="105"/>
      <c r="CD524" s="105"/>
      <c r="CE524" s="105"/>
      <c r="CF524" s="105"/>
      <c r="CG524" s="105"/>
      <c r="CH524" s="105"/>
      <c r="CI524" s="105"/>
      <c r="CJ524" s="105"/>
      <c r="CK524" s="105"/>
      <c r="CL524" s="105"/>
      <c r="CM524" s="105"/>
      <c r="CN524" s="105"/>
      <c r="CO524" s="105"/>
      <c r="CP524" s="105"/>
      <c r="CQ524" s="105"/>
      <c r="CR524" s="105"/>
      <c r="CS524" s="105"/>
      <c r="CT524" s="105"/>
      <c r="CU524" s="105"/>
      <c r="CV524" s="105"/>
      <c r="CW524" s="105"/>
      <c r="CX524" s="105"/>
      <c r="CY524" s="105"/>
      <c r="CZ524" s="105"/>
      <c r="DA524" s="105"/>
      <c r="DB524" s="105"/>
      <c r="DC524" s="105"/>
      <c r="DD524" s="105"/>
      <c r="DE524" s="105"/>
      <c r="DF524" s="105"/>
      <c r="DG524" s="105"/>
      <c r="DH524" s="105"/>
      <c r="DI524" s="105"/>
      <c r="DJ524" s="105"/>
      <c r="DK524" s="105"/>
      <c r="DL524" s="105"/>
      <c r="DM524" s="105"/>
      <c r="DN524" s="105"/>
      <c r="DO524" s="105"/>
      <c r="DP524" s="105"/>
      <c r="DQ524" s="105"/>
      <c r="DR524" s="105"/>
      <c r="DS524" s="105"/>
      <c r="DT524" s="105"/>
      <c r="DU524" s="105"/>
      <c r="DV524" s="105"/>
      <c r="DW524" s="105"/>
      <c r="DX524" s="105"/>
      <c r="DY524" s="105"/>
      <c r="DZ524" s="105"/>
      <c r="EA524" s="105"/>
      <c r="EB524" s="105"/>
      <c r="EC524" s="105"/>
      <c r="ED524" s="105"/>
      <c r="EE524" s="105"/>
      <c r="EF524" s="105"/>
      <c r="EG524" s="105"/>
      <c r="EH524" s="105"/>
      <c r="EI524" s="105"/>
      <c r="EJ524" s="105"/>
      <c r="EK524" s="105"/>
      <c r="EL524" s="105"/>
      <c r="EM524" s="105"/>
      <c r="EN524" s="105"/>
      <c r="EO524" s="105"/>
      <c r="EP524" s="105"/>
      <c r="EQ524" s="105"/>
      <c r="ER524" s="105"/>
      <c r="ES524" s="105"/>
      <c r="ET524" s="105"/>
      <c r="EU524" s="105"/>
      <c r="EV524" s="105"/>
      <c r="EW524" s="105"/>
      <c r="EX524" s="105"/>
      <c r="EY524" s="105"/>
      <c r="EZ524" s="105"/>
      <c r="FA524" s="105"/>
      <c r="FB524" s="105"/>
      <c r="FC524" s="105"/>
      <c r="FD524" s="105"/>
      <c r="FE524" s="105"/>
      <c r="FF524" s="105"/>
      <c r="FG524" s="105"/>
      <c r="FH524" s="105"/>
      <c r="FI524" s="105"/>
      <c r="FJ524" s="105"/>
      <c r="FK524" s="105"/>
      <c r="FL524" s="105"/>
      <c r="FM524" s="105"/>
      <c r="FN524" s="105"/>
      <c r="FO524" s="105"/>
      <c r="FP524" s="105"/>
      <c r="FQ524" s="105"/>
      <c r="FR524" s="105"/>
      <c r="FS524" s="105"/>
      <c r="FT524" s="105"/>
      <c r="FU524" s="105"/>
      <c r="FV524" s="105"/>
      <c r="FW524" s="105"/>
      <c r="FX524" s="105"/>
      <c r="FY524" s="105"/>
      <c r="FZ524" s="105"/>
      <c r="GA524" s="105"/>
      <c r="GB524" s="105"/>
      <c r="GC524" s="105"/>
      <c r="GD524" s="105"/>
      <c r="GE524" s="105"/>
      <c r="GF524" s="105"/>
      <c r="GG524" s="105"/>
      <c r="GH524" s="105"/>
      <c r="GI524" s="105"/>
      <c r="GJ524" s="105"/>
      <c r="GK524" s="105"/>
      <c r="GL524" s="105"/>
      <c r="GM524" s="105"/>
      <c r="GN524" s="105"/>
      <c r="GO524" s="105"/>
      <c r="GP524" s="105"/>
      <c r="GQ524" s="105"/>
      <c r="GR524" s="105"/>
      <c r="GS524" s="105"/>
      <c r="GT524" s="105"/>
      <c r="GU524" s="105"/>
      <c r="GV524" s="105"/>
      <c r="GW524" s="105"/>
      <c r="GX524" s="105"/>
      <c r="GY524" s="105"/>
      <c r="GZ524" s="105"/>
      <c r="HA524" s="105"/>
      <c r="HB524" s="105"/>
      <c r="HC524" s="105"/>
      <c r="HD524" s="105"/>
      <c r="HE524" s="105"/>
      <c r="HF524" s="105"/>
      <c r="HG524" s="105"/>
      <c r="HH524" s="105"/>
      <c r="HI524" s="105"/>
      <c r="HJ524" s="105"/>
      <c r="HK524" s="105"/>
      <c r="HL524" s="105"/>
      <c r="HM524" s="105"/>
      <c r="HN524" s="105"/>
      <c r="HO524" s="105"/>
      <c r="HP524" s="105"/>
      <c r="HQ524" s="105"/>
      <c r="HR524" s="105"/>
      <c r="HS524" s="105"/>
      <c r="HT524" s="105"/>
      <c r="HU524" s="105"/>
      <c r="HV524" s="105"/>
      <c r="HW524" s="105"/>
      <c r="HX524" s="105"/>
      <c r="HY524" s="105"/>
      <c r="HZ524" s="105"/>
      <c r="IA524" s="105"/>
      <c r="IB524" s="105"/>
      <c r="IC524" s="105"/>
      <c r="ID524" s="105"/>
      <c r="IE524" s="105"/>
      <c r="IF524" s="105"/>
      <c r="IG524" s="105"/>
      <c r="IH524" s="105"/>
      <c r="II524" s="105"/>
      <c r="IJ524" s="105"/>
      <c r="IK524" s="105"/>
      <c r="IL524" s="105"/>
      <c r="IM524" s="105"/>
      <c r="IN524" s="105"/>
      <c r="IO524" s="105"/>
      <c r="IP524" s="105"/>
      <c r="IQ524" s="105"/>
      <c r="IR524" s="105"/>
      <c r="IS524" s="105"/>
    </row>
    <row r="525" spans="1:253">
      <c r="A525" s="116"/>
      <c r="B525" s="105"/>
      <c r="C525" s="116"/>
      <c r="D525" s="116"/>
      <c r="E525" s="116"/>
      <c r="F525" s="116"/>
      <c r="G525" s="116"/>
      <c r="H525" s="116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  <c r="AU525" s="105"/>
      <c r="AV525" s="105"/>
      <c r="AW525" s="105"/>
      <c r="AX525" s="105"/>
      <c r="AY525" s="105"/>
      <c r="AZ525" s="105"/>
      <c r="BA525" s="105"/>
      <c r="BB525" s="105"/>
      <c r="BC525" s="105"/>
      <c r="BD525" s="105"/>
      <c r="BE525" s="105"/>
      <c r="BF525" s="105"/>
      <c r="BG525" s="105"/>
      <c r="BH525" s="105"/>
      <c r="BI525" s="105"/>
      <c r="BJ525" s="105"/>
      <c r="BK525" s="105"/>
      <c r="BL525" s="105"/>
      <c r="BM525" s="105"/>
      <c r="BN525" s="105"/>
      <c r="BO525" s="105"/>
      <c r="BP525" s="105"/>
      <c r="BQ525" s="105"/>
      <c r="BR525" s="105"/>
      <c r="BS525" s="105"/>
      <c r="BT525" s="105"/>
      <c r="BU525" s="105"/>
      <c r="BV525" s="105"/>
      <c r="BW525" s="105"/>
      <c r="BX525" s="105"/>
      <c r="BY525" s="105"/>
      <c r="BZ525" s="105"/>
      <c r="CA525" s="105"/>
      <c r="CB525" s="105"/>
      <c r="CC525" s="105"/>
      <c r="CD525" s="105"/>
      <c r="CE525" s="105"/>
      <c r="CF525" s="105"/>
      <c r="CG525" s="105"/>
      <c r="CH525" s="105"/>
      <c r="CI525" s="105"/>
      <c r="CJ525" s="105"/>
      <c r="CK525" s="105"/>
      <c r="CL525" s="105"/>
      <c r="CM525" s="105"/>
      <c r="CN525" s="105"/>
      <c r="CO525" s="105"/>
      <c r="CP525" s="105"/>
      <c r="CQ525" s="105"/>
      <c r="CR525" s="105"/>
      <c r="CS525" s="105"/>
      <c r="CT525" s="105"/>
      <c r="CU525" s="105"/>
      <c r="CV525" s="105"/>
      <c r="CW525" s="105"/>
      <c r="CX525" s="105"/>
      <c r="CY525" s="105"/>
      <c r="CZ525" s="105"/>
      <c r="DA525" s="105"/>
      <c r="DB525" s="105"/>
      <c r="DC525" s="105"/>
      <c r="DD525" s="105"/>
      <c r="DE525" s="105"/>
      <c r="DF525" s="105"/>
      <c r="DG525" s="105"/>
      <c r="DH525" s="105"/>
      <c r="DI525" s="105"/>
      <c r="DJ525" s="105"/>
      <c r="DK525" s="105"/>
      <c r="DL525" s="105"/>
      <c r="DM525" s="105"/>
      <c r="DN525" s="105"/>
      <c r="DO525" s="105"/>
      <c r="DP525" s="105"/>
      <c r="DQ525" s="105"/>
      <c r="DR525" s="105"/>
      <c r="DS525" s="105"/>
      <c r="DT525" s="105"/>
      <c r="DU525" s="105"/>
      <c r="DV525" s="105"/>
      <c r="DW525" s="105"/>
      <c r="DX525" s="105"/>
      <c r="DY525" s="105"/>
      <c r="DZ525" s="105"/>
      <c r="EA525" s="105"/>
      <c r="EB525" s="105"/>
      <c r="EC525" s="105"/>
      <c r="ED525" s="105"/>
      <c r="EE525" s="105"/>
      <c r="EF525" s="105"/>
      <c r="EG525" s="105"/>
      <c r="EH525" s="105"/>
      <c r="EI525" s="105"/>
      <c r="EJ525" s="105"/>
      <c r="EK525" s="105"/>
      <c r="EL525" s="105"/>
      <c r="EM525" s="105"/>
      <c r="EN525" s="105"/>
      <c r="EO525" s="105"/>
      <c r="EP525" s="105"/>
      <c r="EQ525" s="105"/>
      <c r="ER525" s="105"/>
      <c r="ES525" s="105"/>
      <c r="ET525" s="105"/>
      <c r="EU525" s="105"/>
      <c r="EV525" s="105"/>
      <c r="EW525" s="105"/>
      <c r="EX525" s="105"/>
      <c r="EY525" s="105"/>
      <c r="EZ525" s="105"/>
      <c r="FA525" s="105"/>
      <c r="FB525" s="105"/>
      <c r="FC525" s="105"/>
      <c r="FD525" s="105"/>
      <c r="FE525" s="105"/>
      <c r="FF525" s="105"/>
      <c r="FG525" s="105"/>
      <c r="FH525" s="105"/>
      <c r="FI525" s="105"/>
      <c r="FJ525" s="105"/>
      <c r="FK525" s="105"/>
      <c r="FL525" s="105"/>
      <c r="FM525" s="105"/>
      <c r="FN525" s="105"/>
      <c r="FO525" s="105"/>
      <c r="FP525" s="105"/>
      <c r="FQ525" s="105"/>
      <c r="FR525" s="105"/>
      <c r="FS525" s="105"/>
      <c r="FT525" s="105"/>
      <c r="FU525" s="105"/>
      <c r="FV525" s="105"/>
      <c r="FW525" s="105"/>
      <c r="FX525" s="105"/>
      <c r="FY525" s="105"/>
      <c r="FZ525" s="105"/>
      <c r="GA525" s="105"/>
      <c r="GB525" s="105"/>
      <c r="GC525" s="105"/>
      <c r="GD525" s="105"/>
      <c r="GE525" s="105"/>
      <c r="GF525" s="105"/>
      <c r="GG525" s="105"/>
      <c r="GH525" s="105"/>
      <c r="GI525" s="105"/>
      <c r="GJ525" s="105"/>
      <c r="GK525" s="105"/>
      <c r="GL525" s="105"/>
      <c r="GM525" s="105"/>
      <c r="GN525" s="105"/>
      <c r="GO525" s="105"/>
      <c r="GP525" s="105"/>
      <c r="GQ525" s="105"/>
      <c r="GR525" s="105"/>
      <c r="GS525" s="105"/>
      <c r="GT525" s="105"/>
      <c r="GU525" s="105"/>
      <c r="GV525" s="105"/>
      <c r="GW525" s="105"/>
      <c r="GX525" s="105"/>
      <c r="GY525" s="105"/>
      <c r="GZ525" s="105"/>
      <c r="HA525" s="105"/>
      <c r="HB525" s="105"/>
      <c r="HC525" s="105"/>
      <c r="HD525" s="105"/>
      <c r="HE525" s="105"/>
      <c r="HF525" s="105"/>
      <c r="HG525" s="105"/>
      <c r="HH525" s="105"/>
      <c r="HI525" s="105"/>
      <c r="HJ525" s="105"/>
      <c r="HK525" s="105"/>
      <c r="HL525" s="105"/>
      <c r="HM525" s="105"/>
      <c r="HN525" s="105"/>
      <c r="HO525" s="105"/>
      <c r="HP525" s="105"/>
      <c r="HQ525" s="105"/>
      <c r="HR525" s="105"/>
      <c r="HS525" s="105"/>
      <c r="HT525" s="105"/>
      <c r="HU525" s="105"/>
      <c r="HV525" s="105"/>
      <c r="HW525" s="105"/>
      <c r="HX525" s="105"/>
      <c r="HY525" s="105"/>
      <c r="HZ525" s="105"/>
      <c r="IA525" s="105"/>
      <c r="IB525" s="105"/>
      <c r="IC525" s="105"/>
      <c r="ID525" s="105"/>
      <c r="IE525" s="105"/>
      <c r="IF525" s="105"/>
      <c r="IG525" s="105"/>
      <c r="IH525" s="105"/>
      <c r="II525" s="105"/>
      <c r="IJ525" s="105"/>
      <c r="IK525" s="105"/>
      <c r="IL525" s="105"/>
      <c r="IM525" s="105"/>
      <c r="IN525" s="105"/>
      <c r="IO525" s="105"/>
      <c r="IP525" s="105"/>
      <c r="IQ525" s="105"/>
      <c r="IR525" s="105"/>
      <c r="IS525" s="105"/>
    </row>
    <row r="526" spans="1:253">
      <c r="A526" s="116"/>
      <c r="B526" s="105"/>
      <c r="C526" s="116"/>
      <c r="D526" s="116"/>
      <c r="E526" s="116"/>
      <c r="F526" s="116"/>
      <c r="G526" s="116"/>
      <c r="H526" s="116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05"/>
      <c r="BF526" s="105"/>
      <c r="BG526" s="105"/>
      <c r="BH526" s="105"/>
      <c r="BI526" s="105"/>
      <c r="BJ526" s="105"/>
      <c r="BK526" s="105"/>
      <c r="BL526" s="105"/>
      <c r="BM526" s="105"/>
      <c r="BN526" s="105"/>
      <c r="BO526" s="105"/>
      <c r="BP526" s="105"/>
      <c r="BQ526" s="105"/>
      <c r="BR526" s="105"/>
      <c r="BS526" s="105"/>
      <c r="BT526" s="105"/>
      <c r="BU526" s="105"/>
      <c r="BV526" s="105"/>
      <c r="BW526" s="105"/>
      <c r="BX526" s="105"/>
      <c r="BY526" s="105"/>
      <c r="BZ526" s="105"/>
      <c r="CA526" s="105"/>
      <c r="CB526" s="105"/>
      <c r="CC526" s="105"/>
      <c r="CD526" s="105"/>
      <c r="CE526" s="105"/>
      <c r="CF526" s="105"/>
      <c r="CG526" s="105"/>
      <c r="CH526" s="105"/>
      <c r="CI526" s="105"/>
      <c r="CJ526" s="105"/>
      <c r="CK526" s="105"/>
      <c r="CL526" s="105"/>
      <c r="CM526" s="105"/>
      <c r="CN526" s="105"/>
      <c r="CO526" s="105"/>
      <c r="CP526" s="105"/>
      <c r="CQ526" s="105"/>
      <c r="CR526" s="105"/>
      <c r="CS526" s="105"/>
      <c r="CT526" s="105"/>
      <c r="CU526" s="105"/>
      <c r="CV526" s="105"/>
      <c r="CW526" s="105"/>
      <c r="CX526" s="105"/>
      <c r="CY526" s="105"/>
      <c r="CZ526" s="105"/>
      <c r="DA526" s="105"/>
      <c r="DB526" s="105"/>
      <c r="DC526" s="105"/>
      <c r="DD526" s="105"/>
      <c r="DE526" s="105"/>
      <c r="DF526" s="105"/>
      <c r="DG526" s="105"/>
      <c r="DH526" s="105"/>
      <c r="DI526" s="105"/>
      <c r="DJ526" s="105"/>
      <c r="DK526" s="105"/>
      <c r="DL526" s="105"/>
      <c r="DM526" s="105"/>
      <c r="DN526" s="105"/>
      <c r="DO526" s="105"/>
      <c r="DP526" s="105"/>
      <c r="DQ526" s="105"/>
      <c r="DR526" s="105"/>
      <c r="DS526" s="105"/>
      <c r="DT526" s="105"/>
      <c r="DU526" s="105"/>
      <c r="DV526" s="105"/>
      <c r="DW526" s="105"/>
      <c r="DX526" s="105"/>
      <c r="DY526" s="105"/>
      <c r="DZ526" s="105"/>
      <c r="EA526" s="105"/>
      <c r="EB526" s="105"/>
      <c r="EC526" s="105"/>
      <c r="ED526" s="105"/>
      <c r="EE526" s="105"/>
      <c r="EF526" s="105"/>
      <c r="EG526" s="105"/>
      <c r="EH526" s="105"/>
      <c r="EI526" s="105"/>
      <c r="EJ526" s="105"/>
      <c r="EK526" s="105"/>
      <c r="EL526" s="105"/>
      <c r="EM526" s="105"/>
      <c r="EN526" s="105"/>
      <c r="EO526" s="105"/>
      <c r="EP526" s="105"/>
      <c r="EQ526" s="105"/>
      <c r="ER526" s="105"/>
      <c r="ES526" s="105"/>
      <c r="ET526" s="105"/>
      <c r="EU526" s="105"/>
      <c r="EV526" s="105"/>
      <c r="EW526" s="105"/>
      <c r="EX526" s="105"/>
      <c r="EY526" s="105"/>
      <c r="EZ526" s="105"/>
      <c r="FA526" s="105"/>
      <c r="FB526" s="105"/>
      <c r="FC526" s="105"/>
      <c r="FD526" s="105"/>
      <c r="FE526" s="105"/>
      <c r="FF526" s="105"/>
      <c r="FG526" s="105"/>
      <c r="FH526" s="105"/>
      <c r="FI526" s="105"/>
      <c r="FJ526" s="105"/>
      <c r="FK526" s="105"/>
      <c r="FL526" s="105"/>
      <c r="FM526" s="105"/>
      <c r="FN526" s="105"/>
      <c r="FO526" s="105"/>
      <c r="FP526" s="105"/>
      <c r="FQ526" s="105"/>
      <c r="FR526" s="105"/>
      <c r="FS526" s="105"/>
      <c r="FT526" s="105"/>
      <c r="FU526" s="105"/>
      <c r="FV526" s="105"/>
      <c r="FW526" s="105"/>
      <c r="FX526" s="105"/>
      <c r="FY526" s="105"/>
      <c r="FZ526" s="105"/>
      <c r="GA526" s="105"/>
      <c r="GB526" s="105"/>
      <c r="GC526" s="105"/>
      <c r="GD526" s="105"/>
      <c r="GE526" s="105"/>
      <c r="GF526" s="105"/>
      <c r="GG526" s="105"/>
      <c r="GH526" s="105"/>
      <c r="GI526" s="105"/>
      <c r="GJ526" s="105"/>
      <c r="GK526" s="105"/>
      <c r="GL526" s="105"/>
      <c r="GM526" s="105"/>
      <c r="GN526" s="105"/>
      <c r="GO526" s="105"/>
      <c r="GP526" s="105"/>
      <c r="GQ526" s="105"/>
      <c r="GR526" s="105"/>
      <c r="GS526" s="105"/>
      <c r="GT526" s="105"/>
      <c r="GU526" s="105"/>
      <c r="GV526" s="105"/>
      <c r="GW526" s="105"/>
      <c r="GX526" s="105"/>
      <c r="GY526" s="105"/>
      <c r="GZ526" s="105"/>
      <c r="HA526" s="105"/>
      <c r="HB526" s="105"/>
      <c r="HC526" s="105"/>
      <c r="HD526" s="105"/>
      <c r="HE526" s="105"/>
      <c r="HF526" s="105"/>
      <c r="HG526" s="105"/>
      <c r="HH526" s="105"/>
      <c r="HI526" s="105"/>
      <c r="HJ526" s="105"/>
      <c r="HK526" s="105"/>
      <c r="HL526" s="105"/>
      <c r="HM526" s="105"/>
      <c r="HN526" s="105"/>
      <c r="HO526" s="105"/>
      <c r="HP526" s="105"/>
      <c r="HQ526" s="105"/>
      <c r="HR526" s="105"/>
      <c r="HS526" s="105"/>
      <c r="HT526" s="105"/>
      <c r="HU526" s="105"/>
      <c r="HV526" s="105"/>
      <c r="HW526" s="105"/>
      <c r="HX526" s="105"/>
      <c r="HY526" s="105"/>
      <c r="HZ526" s="105"/>
      <c r="IA526" s="105"/>
      <c r="IB526" s="105"/>
      <c r="IC526" s="105"/>
      <c r="ID526" s="105"/>
      <c r="IE526" s="105"/>
      <c r="IF526" s="105"/>
      <c r="IG526" s="105"/>
      <c r="IH526" s="105"/>
      <c r="II526" s="105"/>
      <c r="IJ526" s="105"/>
      <c r="IK526" s="105"/>
      <c r="IL526" s="105"/>
      <c r="IM526" s="105"/>
      <c r="IN526" s="105"/>
      <c r="IO526" s="105"/>
      <c r="IP526" s="105"/>
      <c r="IQ526" s="105"/>
      <c r="IR526" s="105"/>
      <c r="IS526" s="105"/>
    </row>
    <row r="527" spans="1:253">
      <c r="A527" s="116"/>
      <c r="B527" s="105"/>
      <c r="C527" s="116"/>
      <c r="D527" s="116"/>
      <c r="E527" s="116"/>
      <c r="F527" s="116"/>
      <c r="G527" s="116"/>
      <c r="H527" s="116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5"/>
      <c r="BE527" s="105"/>
      <c r="BF527" s="105"/>
      <c r="BG527" s="105"/>
      <c r="BH527" s="105"/>
      <c r="BI527" s="105"/>
      <c r="BJ527" s="105"/>
      <c r="BK527" s="105"/>
      <c r="BL527" s="105"/>
      <c r="BM527" s="105"/>
      <c r="BN527" s="105"/>
      <c r="BO527" s="105"/>
      <c r="BP527" s="105"/>
      <c r="BQ527" s="105"/>
      <c r="BR527" s="105"/>
      <c r="BS527" s="105"/>
      <c r="BT527" s="105"/>
      <c r="BU527" s="105"/>
      <c r="BV527" s="105"/>
      <c r="BW527" s="105"/>
      <c r="BX527" s="105"/>
      <c r="BY527" s="105"/>
      <c r="BZ527" s="105"/>
      <c r="CA527" s="105"/>
      <c r="CB527" s="105"/>
      <c r="CC527" s="105"/>
      <c r="CD527" s="105"/>
      <c r="CE527" s="105"/>
      <c r="CF527" s="105"/>
      <c r="CG527" s="105"/>
      <c r="CH527" s="105"/>
      <c r="CI527" s="105"/>
      <c r="CJ527" s="105"/>
      <c r="CK527" s="105"/>
      <c r="CL527" s="105"/>
      <c r="CM527" s="105"/>
      <c r="CN527" s="105"/>
      <c r="CO527" s="105"/>
      <c r="CP527" s="105"/>
      <c r="CQ527" s="105"/>
      <c r="CR527" s="105"/>
      <c r="CS527" s="105"/>
      <c r="CT527" s="105"/>
      <c r="CU527" s="105"/>
      <c r="CV527" s="105"/>
      <c r="CW527" s="105"/>
      <c r="CX527" s="105"/>
      <c r="CY527" s="105"/>
      <c r="CZ527" s="105"/>
      <c r="DA527" s="105"/>
      <c r="DB527" s="105"/>
      <c r="DC527" s="105"/>
      <c r="DD527" s="105"/>
      <c r="DE527" s="105"/>
      <c r="DF527" s="105"/>
      <c r="DG527" s="105"/>
      <c r="DH527" s="105"/>
      <c r="DI527" s="105"/>
      <c r="DJ527" s="105"/>
      <c r="DK527" s="105"/>
      <c r="DL527" s="105"/>
      <c r="DM527" s="105"/>
      <c r="DN527" s="105"/>
      <c r="DO527" s="105"/>
      <c r="DP527" s="105"/>
      <c r="DQ527" s="105"/>
      <c r="DR527" s="105"/>
      <c r="DS527" s="105"/>
      <c r="DT527" s="105"/>
      <c r="DU527" s="105"/>
      <c r="DV527" s="105"/>
      <c r="DW527" s="105"/>
      <c r="DX527" s="105"/>
      <c r="DY527" s="105"/>
      <c r="DZ527" s="105"/>
      <c r="EA527" s="105"/>
      <c r="EB527" s="105"/>
      <c r="EC527" s="105"/>
      <c r="ED527" s="105"/>
      <c r="EE527" s="105"/>
      <c r="EF527" s="105"/>
      <c r="EG527" s="105"/>
      <c r="EH527" s="105"/>
      <c r="EI527" s="105"/>
      <c r="EJ527" s="105"/>
      <c r="EK527" s="105"/>
      <c r="EL527" s="105"/>
      <c r="EM527" s="105"/>
      <c r="EN527" s="105"/>
      <c r="EO527" s="105"/>
      <c r="EP527" s="105"/>
      <c r="EQ527" s="105"/>
      <c r="ER527" s="105"/>
      <c r="ES527" s="105"/>
      <c r="ET527" s="105"/>
      <c r="EU527" s="105"/>
      <c r="EV527" s="105"/>
      <c r="EW527" s="105"/>
      <c r="EX527" s="105"/>
      <c r="EY527" s="105"/>
      <c r="EZ527" s="105"/>
      <c r="FA527" s="105"/>
      <c r="FB527" s="105"/>
      <c r="FC527" s="105"/>
      <c r="FD527" s="105"/>
      <c r="FE527" s="105"/>
      <c r="FF527" s="105"/>
      <c r="FG527" s="105"/>
      <c r="FH527" s="105"/>
      <c r="FI527" s="105"/>
      <c r="FJ527" s="105"/>
      <c r="FK527" s="105"/>
      <c r="FL527" s="105"/>
      <c r="FM527" s="105"/>
      <c r="FN527" s="105"/>
      <c r="FO527" s="105"/>
      <c r="FP527" s="105"/>
      <c r="FQ527" s="105"/>
      <c r="FR527" s="105"/>
      <c r="FS527" s="105"/>
      <c r="FT527" s="105"/>
      <c r="FU527" s="105"/>
      <c r="FV527" s="105"/>
      <c r="FW527" s="105"/>
      <c r="FX527" s="105"/>
      <c r="FY527" s="105"/>
      <c r="FZ527" s="105"/>
      <c r="GA527" s="105"/>
      <c r="GB527" s="105"/>
      <c r="GC527" s="105"/>
      <c r="GD527" s="105"/>
      <c r="GE527" s="105"/>
      <c r="GF527" s="105"/>
      <c r="GG527" s="105"/>
      <c r="GH527" s="105"/>
      <c r="GI527" s="105"/>
      <c r="GJ527" s="105"/>
      <c r="GK527" s="105"/>
      <c r="GL527" s="105"/>
      <c r="GM527" s="105"/>
      <c r="GN527" s="105"/>
      <c r="GO527" s="105"/>
      <c r="GP527" s="105"/>
      <c r="GQ527" s="105"/>
      <c r="GR527" s="105"/>
      <c r="GS527" s="105"/>
      <c r="GT527" s="105"/>
      <c r="GU527" s="105"/>
      <c r="GV527" s="105"/>
      <c r="GW527" s="105"/>
      <c r="GX527" s="105"/>
      <c r="GY527" s="105"/>
      <c r="GZ527" s="105"/>
      <c r="HA527" s="105"/>
      <c r="HB527" s="105"/>
      <c r="HC527" s="105"/>
      <c r="HD527" s="105"/>
      <c r="HE527" s="105"/>
      <c r="HF527" s="105"/>
      <c r="HG527" s="105"/>
      <c r="HH527" s="105"/>
      <c r="HI527" s="105"/>
      <c r="HJ527" s="105"/>
      <c r="HK527" s="105"/>
      <c r="HL527" s="105"/>
      <c r="HM527" s="105"/>
      <c r="HN527" s="105"/>
      <c r="HO527" s="105"/>
      <c r="HP527" s="105"/>
      <c r="HQ527" s="105"/>
      <c r="HR527" s="105"/>
      <c r="HS527" s="105"/>
      <c r="HT527" s="105"/>
      <c r="HU527" s="105"/>
      <c r="HV527" s="105"/>
      <c r="HW527" s="105"/>
      <c r="HX527" s="105"/>
      <c r="HY527" s="105"/>
      <c r="HZ527" s="105"/>
      <c r="IA527" s="105"/>
      <c r="IB527" s="105"/>
      <c r="IC527" s="105"/>
      <c r="ID527" s="105"/>
      <c r="IE527" s="105"/>
      <c r="IF527" s="105"/>
      <c r="IG527" s="105"/>
      <c r="IH527" s="105"/>
      <c r="II527" s="105"/>
      <c r="IJ527" s="105"/>
      <c r="IK527" s="105"/>
      <c r="IL527" s="105"/>
      <c r="IM527" s="105"/>
      <c r="IN527" s="105"/>
      <c r="IO527" s="105"/>
      <c r="IP527" s="105"/>
      <c r="IQ527" s="105"/>
      <c r="IR527" s="105"/>
      <c r="IS527" s="105"/>
    </row>
    <row r="528" spans="1:253">
      <c r="A528" s="116"/>
      <c r="B528" s="105"/>
      <c r="C528" s="116"/>
      <c r="D528" s="116"/>
      <c r="E528" s="116"/>
      <c r="F528" s="116"/>
      <c r="G528" s="116"/>
      <c r="H528" s="116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05"/>
      <c r="BF528" s="105"/>
      <c r="BG528" s="105"/>
      <c r="BH528" s="105"/>
      <c r="BI528" s="105"/>
      <c r="BJ528" s="105"/>
      <c r="BK528" s="105"/>
      <c r="BL528" s="105"/>
      <c r="BM528" s="105"/>
      <c r="BN528" s="105"/>
      <c r="BO528" s="105"/>
      <c r="BP528" s="105"/>
      <c r="BQ528" s="105"/>
      <c r="BR528" s="105"/>
      <c r="BS528" s="105"/>
      <c r="BT528" s="105"/>
      <c r="BU528" s="105"/>
      <c r="BV528" s="105"/>
      <c r="BW528" s="105"/>
      <c r="BX528" s="105"/>
      <c r="BY528" s="105"/>
      <c r="BZ528" s="105"/>
      <c r="CA528" s="105"/>
      <c r="CB528" s="105"/>
      <c r="CC528" s="105"/>
      <c r="CD528" s="105"/>
      <c r="CE528" s="105"/>
      <c r="CF528" s="105"/>
      <c r="CG528" s="105"/>
      <c r="CH528" s="105"/>
      <c r="CI528" s="105"/>
      <c r="CJ528" s="105"/>
      <c r="CK528" s="105"/>
      <c r="CL528" s="105"/>
      <c r="CM528" s="105"/>
      <c r="CN528" s="105"/>
      <c r="CO528" s="105"/>
      <c r="CP528" s="105"/>
      <c r="CQ528" s="105"/>
      <c r="CR528" s="105"/>
      <c r="CS528" s="105"/>
      <c r="CT528" s="105"/>
      <c r="CU528" s="105"/>
      <c r="CV528" s="105"/>
      <c r="CW528" s="105"/>
      <c r="CX528" s="105"/>
      <c r="CY528" s="105"/>
      <c r="CZ528" s="105"/>
      <c r="DA528" s="105"/>
      <c r="DB528" s="105"/>
      <c r="DC528" s="105"/>
      <c r="DD528" s="105"/>
      <c r="DE528" s="105"/>
      <c r="DF528" s="105"/>
      <c r="DG528" s="105"/>
      <c r="DH528" s="105"/>
      <c r="DI528" s="105"/>
      <c r="DJ528" s="105"/>
      <c r="DK528" s="105"/>
      <c r="DL528" s="105"/>
      <c r="DM528" s="105"/>
      <c r="DN528" s="105"/>
      <c r="DO528" s="105"/>
      <c r="DP528" s="105"/>
      <c r="DQ528" s="105"/>
      <c r="DR528" s="105"/>
      <c r="DS528" s="105"/>
      <c r="DT528" s="105"/>
      <c r="DU528" s="105"/>
      <c r="DV528" s="105"/>
      <c r="DW528" s="105"/>
      <c r="DX528" s="105"/>
      <c r="DY528" s="105"/>
      <c r="DZ528" s="105"/>
      <c r="EA528" s="105"/>
      <c r="EB528" s="105"/>
      <c r="EC528" s="105"/>
      <c r="ED528" s="105"/>
      <c r="EE528" s="105"/>
      <c r="EF528" s="105"/>
      <c r="EG528" s="105"/>
      <c r="EH528" s="105"/>
      <c r="EI528" s="105"/>
      <c r="EJ528" s="105"/>
      <c r="EK528" s="105"/>
      <c r="EL528" s="105"/>
      <c r="EM528" s="105"/>
      <c r="EN528" s="105"/>
      <c r="EO528" s="105"/>
      <c r="EP528" s="105"/>
      <c r="EQ528" s="105"/>
      <c r="ER528" s="105"/>
      <c r="ES528" s="105"/>
      <c r="ET528" s="105"/>
      <c r="EU528" s="105"/>
      <c r="EV528" s="105"/>
      <c r="EW528" s="105"/>
      <c r="EX528" s="105"/>
      <c r="EY528" s="105"/>
      <c r="EZ528" s="105"/>
      <c r="FA528" s="105"/>
      <c r="FB528" s="105"/>
      <c r="FC528" s="105"/>
      <c r="FD528" s="105"/>
      <c r="FE528" s="105"/>
      <c r="FF528" s="105"/>
      <c r="FG528" s="105"/>
      <c r="FH528" s="105"/>
      <c r="FI528" s="105"/>
      <c r="FJ528" s="105"/>
      <c r="FK528" s="105"/>
      <c r="FL528" s="105"/>
      <c r="FM528" s="105"/>
      <c r="FN528" s="105"/>
      <c r="FO528" s="105"/>
      <c r="FP528" s="105"/>
      <c r="FQ528" s="105"/>
      <c r="FR528" s="105"/>
      <c r="FS528" s="105"/>
      <c r="FT528" s="105"/>
      <c r="FU528" s="105"/>
      <c r="FV528" s="105"/>
      <c r="FW528" s="105"/>
      <c r="FX528" s="105"/>
      <c r="FY528" s="105"/>
      <c r="FZ528" s="105"/>
      <c r="GA528" s="105"/>
      <c r="GB528" s="105"/>
      <c r="GC528" s="105"/>
      <c r="GD528" s="105"/>
      <c r="GE528" s="105"/>
      <c r="GF528" s="105"/>
      <c r="GG528" s="105"/>
      <c r="GH528" s="105"/>
      <c r="GI528" s="105"/>
      <c r="GJ528" s="105"/>
      <c r="GK528" s="105"/>
      <c r="GL528" s="105"/>
      <c r="GM528" s="105"/>
      <c r="GN528" s="105"/>
      <c r="GO528" s="105"/>
      <c r="GP528" s="105"/>
      <c r="GQ528" s="105"/>
      <c r="GR528" s="105"/>
      <c r="GS528" s="105"/>
      <c r="GT528" s="105"/>
      <c r="GU528" s="105"/>
      <c r="GV528" s="105"/>
      <c r="GW528" s="105"/>
      <c r="GX528" s="105"/>
      <c r="GY528" s="105"/>
      <c r="GZ528" s="105"/>
      <c r="HA528" s="105"/>
      <c r="HB528" s="105"/>
      <c r="HC528" s="105"/>
      <c r="HD528" s="105"/>
      <c r="HE528" s="105"/>
      <c r="HF528" s="105"/>
      <c r="HG528" s="105"/>
      <c r="HH528" s="105"/>
      <c r="HI528" s="105"/>
      <c r="HJ528" s="105"/>
      <c r="HK528" s="105"/>
      <c r="HL528" s="105"/>
      <c r="HM528" s="105"/>
      <c r="HN528" s="105"/>
      <c r="HO528" s="105"/>
      <c r="HP528" s="105"/>
      <c r="HQ528" s="105"/>
      <c r="HR528" s="105"/>
      <c r="HS528" s="105"/>
      <c r="HT528" s="105"/>
      <c r="HU528" s="105"/>
      <c r="HV528" s="105"/>
      <c r="HW528" s="105"/>
      <c r="HX528" s="105"/>
      <c r="HY528" s="105"/>
      <c r="HZ528" s="105"/>
      <c r="IA528" s="105"/>
      <c r="IB528" s="105"/>
      <c r="IC528" s="105"/>
      <c r="ID528" s="105"/>
      <c r="IE528" s="105"/>
      <c r="IF528" s="105"/>
      <c r="IG528" s="105"/>
      <c r="IH528" s="105"/>
      <c r="II528" s="105"/>
      <c r="IJ528" s="105"/>
      <c r="IK528" s="105"/>
      <c r="IL528" s="105"/>
      <c r="IM528" s="105"/>
      <c r="IN528" s="105"/>
      <c r="IO528" s="105"/>
      <c r="IP528" s="105"/>
      <c r="IQ528" s="105"/>
      <c r="IR528" s="105"/>
      <c r="IS528" s="105"/>
    </row>
    <row r="529" spans="1:253">
      <c r="A529" s="116"/>
      <c r="B529" s="105"/>
      <c r="C529" s="116"/>
      <c r="D529" s="116"/>
      <c r="E529" s="116"/>
      <c r="F529" s="116"/>
      <c r="G529" s="116"/>
      <c r="H529" s="116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05"/>
      <c r="BF529" s="105"/>
      <c r="BG529" s="105"/>
      <c r="BH529" s="105"/>
      <c r="BI529" s="105"/>
      <c r="BJ529" s="105"/>
      <c r="BK529" s="105"/>
      <c r="BL529" s="105"/>
      <c r="BM529" s="105"/>
      <c r="BN529" s="105"/>
      <c r="BO529" s="105"/>
      <c r="BP529" s="105"/>
      <c r="BQ529" s="105"/>
      <c r="BR529" s="105"/>
      <c r="BS529" s="105"/>
      <c r="BT529" s="105"/>
      <c r="BU529" s="105"/>
      <c r="BV529" s="105"/>
      <c r="BW529" s="105"/>
      <c r="BX529" s="105"/>
      <c r="BY529" s="105"/>
      <c r="BZ529" s="105"/>
      <c r="CA529" s="105"/>
      <c r="CB529" s="105"/>
      <c r="CC529" s="105"/>
      <c r="CD529" s="105"/>
      <c r="CE529" s="105"/>
      <c r="CF529" s="105"/>
      <c r="CG529" s="105"/>
      <c r="CH529" s="105"/>
      <c r="CI529" s="105"/>
      <c r="CJ529" s="105"/>
      <c r="CK529" s="105"/>
      <c r="CL529" s="105"/>
      <c r="CM529" s="105"/>
      <c r="CN529" s="105"/>
      <c r="CO529" s="105"/>
      <c r="CP529" s="105"/>
      <c r="CQ529" s="105"/>
      <c r="CR529" s="105"/>
      <c r="CS529" s="105"/>
      <c r="CT529" s="105"/>
      <c r="CU529" s="105"/>
      <c r="CV529" s="105"/>
      <c r="CW529" s="105"/>
      <c r="CX529" s="105"/>
      <c r="CY529" s="105"/>
      <c r="CZ529" s="105"/>
      <c r="DA529" s="105"/>
      <c r="DB529" s="105"/>
      <c r="DC529" s="105"/>
      <c r="DD529" s="105"/>
      <c r="DE529" s="105"/>
      <c r="DF529" s="105"/>
      <c r="DG529" s="105"/>
      <c r="DH529" s="105"/>
      <c r="DI529" s="105"/>
      <c r="DJ529" s="105"/>
      <c r="DK529" s="105"/>
      <c r="DL529" s="105"/>
      <c r="DM529" s="105"/>
      <c r="DN529" s="105"/>
      <c r="DO529" s="105"/>
      <c r="DP529" s="105"/>
      <c r="DQ529" s="105"/>
      <c r="DR529" s="105"/>
      <c r="DS529" s="105"/>
      <c r="DT529" s="105"/>
      <c r="DU529" s="105"/>
      <c r="DV529" s="105"/>
      <c r="DW529" s="105"/>
      <c r="DX529" s="105"/>
      <c r="DY529" s="105"/>
      <c r="DZ529" s="105"/>
      <c r="EA529" s="105"/>
      <c r="EB529" s="105"/>
      <c r="EC529" s="105"/>
      <c r="ED529" s="105"/>
      <c r="EE529" s="105"/>
      <c r="EF529" s="105"/>
      <c r="EG529" s="105"/>
      <c r="EH529" s="105"/>
      <c r="EI529" s="105"/>
      <c r="EJ529" s="105"/>
      <c r="EK529" s="105"/>
      <c r="EL529" s="105"/>
      <c r="EM529" s="105"/>
      <c r="EN529" s="105"/>
      <c r="EO529" s="105"/>
      <c r="EP529" s="105"/>
      <c r="EQ529" s="105"/>
      <c r="ER529" s="105"/>
      <c r="ES529" s="105"/>
      <c r="ET529" s="105"/>
      <c r="EU529" s="105"/>
      <c r="EV529" s="105"/>
      <c r="EW529" s="105"/>
      <c r="EX529" s="105"/>
      <c r="EY529" s="105"/>
      <c r="EZ529" s="105"/>
      <c r="FA529" s="105"/>
      <c r="FB529" s="105"/>
      <c r="FC529" s="105"/>
      <c r="FD529" s="105"/>
      <c r="FE529" s="105"/>
      <c r="FF529" s="105"/>
      <c r="FG529" s="105"/>
      <c r="FH529" s="105"/>
      <c r="FI529" s="105"/>
      <c r="FJ529" s="105"/>
      <c r="FK529" s="105"/>
      <c r="FL529" s="105"/>
      <c r="FM529" s="105"/>
      <c r="FN529" s="105"/>
      <c r="FO529" s="105"/>
      <c r="FP529" s="105"/>
      <c r="FQ529" s="105"/>
      <c r="FR529" s="105"/>
      <c r="FS529" s="105"/>
      <c r="FT529" s="105"/>
      <c r="FU529" s="105"/>
      <c r="FV529" s="105"/>
      <c r="FW529" s="105"/>
      <c r="FX529" s="105"/>
      <c r="FY529" s="105"/>
      <c r="FZ529" s="105"/>
      <c r="GA529" s="105"/>
      <c r="GB529" s="105"/>
      <c r="GC529" s="105"/>
      <c r="GD529" s="105"/>
      <c r="GE529" s="105"/>
      <c r="GF529" s="105"/>
      <c r="GG529" s="105"/>
      <c r="GH529" s="105"/>
      <c r="GI529" s="105"/>
      <c r="GJ529" s="105"/>
      <c r="GK529" s="105"/>
      <c r="GL529" s="105"/>
      <c r="GM529" s="105"/>
      <c r="GN529" s="105"/>
      <c r="GO529" s="105"/>
      <c r="GP529" s="105"/>
      <c r="GQ529" s="105"/>
      <c r="GR529" s="105"/>
      <c r="GS529" s="105"/>
      <c r="GT529" s="105"/>
      <c r="GU529" s="105"/>
      <c r="GV529" s="105"/>
      <c r="GW529" s="105"/>
      <c r="GX529" s="105"/>
      <c r="GY529" s="105"/>
      <c r="GZ529" s="105"/>
      <c r="HA529" s="105"/>
      <c r="HB529" s="105"/>
      <c r="HC529" s="105"/>
      <c r="HD529" s="105"/>
      <c r="HE529" s="105"/>
      <c r="HF529" s="105"/>
      <c r="HG529" s="105"/>
      <c r="HH529" s="105"/>
      <c r="HI529" s="105"/>
      <c r="HJ529" s="105"/>
      <c r="HK529" s="105"/>
      <c r="HL529" s="105"/>
      <c r="HM529" s="105"/>
      <c r="HN529" s="105"/>
      <c r="HO529" s="105"/>
      <c r="HP529" s="105"/>
      <c r="HQ529" s="105"/>
      <c r="HR529" s="105"/>
      <c r="HS529" s="105"/>
      <c r="HT529" s="105"/>
      <c r="HU529" s="105"/>
      <c r="HV529" s="105"/>
      <c r="HW529" s="105"/>
      <c r="HX529" s="105"/>
      <c r="HY529" s="105"/>
      <c r="HZ529" s="105"/>
      <c r="IA529" s="105"/>
      <c r="IB529" s="105"/>
      <c r="IC529" s="105"/>
      <c r="ID529" s="105"/>
      <c r="IE529" s="105"/>
      <c r="IF529" s="105"/>
      <c r="IG529" s="105"/>
      <c r="IH529" s="105"/>
      <c r="II529" s="105"/>
      <c r="IJ529" s="105"/>
      <c r="IK529" s="105"/>
      <c r="IL529" s="105"/>
      <c r="IM529" s="105"/>
      <c r="IN529" s="105"/>
      <c r="IO529" s="105"/>
      <c r="IP529" s="105"/>
      <c r="IQ529" s="105"/>
      <c r="IR529" s="105"/>
      <c r="IS529" s="105"/>
    </row>
    <row r="530" spans="1:253">
      <c r="A530" s="116"/>
      <c r="B530" s="105"/>
      <c r="C530" s="116"/>
      <c r="D530" s="116"/>
      <c r="E530" s="116"/>
      <c r="F530" s="116"/>
      <c r="G530" s="116"/>
      <c r="H530" s="116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05"/>
      <c r="BF530" s="105"/>
      <c r="BG530" s="105"/>
      <c r="BH530" s="105"/>
      <c r="BI530" s="105"/>
      <c r="BJ530" s="105"/>
      <c r="BK530" s="105"/>
      <c r="BL530" s="105"/>
      <c r="BM530" s="105"/>
      <c r="BN530" s="105"/>
      <c r="BO530" s="105"/>
      <c r="BP530" s="105"/>
      <c r="BQ530" s="105"/>
      <c r="BR530" s="105"/>
      <c r="BS530" s="105"/>
      <c r="BT530" s="105"/>
      <c r="BU530" s="105"/>
      <c r="BV530" s="105"/>
      <c r="BW530" s="105"/>
      <c r="BX530" s="105"/>
      <c r="BY530" s="105"/>
      <c r="BZ530" s="105"/>
      <c r="CA530" s="105"/>
      <c r="CB530" s="105"/>
      <c r="CC530" s="105"/>
      <c r="CD530" s="105"/>
      <c r="CE530" s="105"/>
      <c r="CF530" s="105"/>
      <c r="CG530" s="105"/>
      <c r="CH530" s="105"/>
      <c r="CI530" s="105"/>
      <c r="CJ530" s="105"/>
      <c r="CK530" s="105"/>
      <c r="CL530" s="105"/>
      <c r="CM530" s="105"/>
      <c r="CN530" s="105"/>
      <c r="CO530" s="105"/>
      <c r="CP530" s="105"/>
      <c r="CQ530" s="105"/>
      <c r="CR530" s="105"/>
      <c r="CS530" s="105"/>
      <c r="CT530" s="105"/>
      <c r="CU530" s="105"/>
      <c r="CV530" s="105"/>
      <c r="CW530" s="105"/>
      <c r="CX530" s="105"/>
      <c r="CY530" s="105"/>
      <c r="CZ530" s="105"/>
      <c r="DA530" s="105"/>
      <c r="DB530" s="105"/>
      <c r="DC530" s="105"/>
      <c r="DD530" s="105"/>
      <c r="DE530" s="105"/>
      <c r="DF530" s="105"/>
      <c r="DG530" s="105"/>
      <c r="DH530" s="105"/>
      <c r="DI530" s="105"/>
      <c r="DJ530" s="105"/>
      <c r="DK530" s="105"/>
      <c r="DL530" s="105"/>
      <c r="DM530" s="105"/>
      <c r="DN530" s="105"/>
      <c r="DO530" s="105"/>
      <c r="DP530" s="105"/>
      <c r="DQ530" s="105"/>
      <c r="DR530" s="105"/>
      <c r="DS530" s="105"/>
      <c r="DT530" s="105"/>
      <c r="DU530" s="105"/>
      <c r="DV530" s="105"/>
      <c r="DW530" s="105"/>
      <c r="DX530" s="105"/>
      <c r="DY530" s="105"/>
      <c r="DZ530" s="105"/>
      <c r="EA530" s="105"/>
      <c r="EB530" s="105"/>
      <c r="EC530" s="105"/>
      <c r="ED530" s="105"/>
      <c r="EE530" s="105"/>
      <c r="EF530" s="105"/>
      <c r="EG530" s="105"/>
      <c r="EH530" s="105"/>
      <c r="EI530" s="105"/>
      <c r="EJ530" s="105"/>
      <c r="EK530" s="105"/>
      <c r="EL530" s="105"/>
      <c r="EM530" s="105"/>
      <c r="EN530" s="105"/>
      <c r="EO530" s="105"/>
      <c r="EP530" s="105"/>
      <c r="EQ530" s="105"/>
      <c r="ER530" s="105"/>
      <c r="ES530" s="105"/>
      <c r="ET530" s="105"/>
      <c r="EU530" s="105"/>
      <c r="EV530" s="105"/>
      <c r="EW530" s="105"/>
      <c r="EX530" s="105"/>
      <c r="EY530" s="105"/>
      <c r="EZ530" s="105"/>
      <c r="FA530" s="105"/>
      <c r="FB530" s="105"/>
      <c r="FC530" s="105"/>
      <c r="FD530" s="105"/>
      <c r="FE530" s="105"/>
      <c r="FF530" s="105"/>
      <c r="FG530" s="105"/>
      <c r="FH530" s="105"/>
      <c r="FI530" s="105"/>
      <c r="FJ530" s="105"/>
      <c r="FK530" s="105"/>
      <c r="FL530" s="105"/>
      <c r="FM530" s="105"/>
      <c r="FN530" s="105"/>
      <c r="FO530" s="105"/>
      <c r="FP530" s="105"/>
      <c r="FQ530" s="105"/>
      <c r="FR530" s="105"/>
      <c r="FS530" s="105"/>
      <c r="FT530" s="105"/>
      <c r="FU530" s="105"/>
      <c r="FV530" s="105"/>
      <c r="FW530" s="105"/>
      <c r="FX530" s="105"/>
      <c r="FY530" s="105"/>
      <c r="FZ530" s="105"/>
      <c r="GA530" s="105"/>
      <c r="GB530" s="105"/>
      <c r="GC530" s="105"/>
      <c r="GD530" s="105"/>
      <c r="GE530" s="105"/>
      <c r="GF530" s="105"/>
      <c r="GG530" s="105"/>
      <c r="GH530" s="105"/>
      <c r="GI530" s="105"/>
      <c r="GJ530" s="105"/>
      <c r="GK530" s="105"/>
      <c r="GL530" s="105"/>
      <c r="GM530" s="105"/>
      <c r="GN530" s="105"/>
      <c r="GO530" s="105"/>
      <c r="GP530" s="105"/>
      <c r="GQ530" s="105"/>
      <c r="GR530" s="105"/>
      <c r="GS530" s="105"/>
      <c r="GT530" s="105"/>
      <c r="GU530" s="105"/>
      <c r="GV530" s="105"/>
      <c r="GW530" s="105"/>
      <c r="GX530" s="105"/>
      <c r="GY530" s="105"/>
      <c r="GZ530" s="105"/>
      <c r="HA530" s="105"/>
      <c r="HB530" s="105"/>
      <c r="HC530" s="105"/>
      <c r="HD530" s="105"/>
      <c r="HE530" s="105"/>
      <c r="HF530" s="105"/>
      <c r="HG530" s="105"/>
      <c r="HH530" s="105"/>
      <c r="HI530" s="105"/>
      <c r="HJ530" s="105"/>
      <c r="HK530" s="105"/>
      <c r="HL530" s="105"/>
      <c r="HM530" s="105"/>
      <c r="HN530" s="105"/>
      <c r="HO530" s="105"/>
      <c r="HP530" s="105"/>
      <c r="HQ530" s="105"/>
      <c r="HR530" s="105"/>
      <c r="HS530" s="105"/>
      <c r="HT530" s="105"/>
      <c r="HU530" s="105"/>
      <c r="HV530" s="105"/>
      <c r="HW530" s="105"/>
      <c r="HX530" s="105"/>
      <c r="HY530" s="105"/>
      <c r="HZ530" s="105"/>
      <c r="IA530" s="105"/>
      <c r="IB530" s="105"/>
      <c r="IC530" s="105"/>
      <c r="ID530" s="105"/>
      <c r="IE530" s="105"/>
      <c r="IF530" s="105"/>
      <c r="IG530" s="105"/>
      <c r="IH530" s="105"/>
      <c r="II530" s="105"/>
      <c r="IJ530" s="105"/>
      <c r="IK530" s="105"/>
      <c r="IL530" s="105"/>
      <c r="IM530" s="105"/>
      <c r="IN530" s="105"/>
      <c r="IO530" s="105"/>
      <c r="IP530" s="105"/>
      <c r="IQ530" s="105"/>
      <c r="IR530" s="105"/>
      <c r="IS530" s="105"/>
    </row>
    <row r="531" spans="1:253">
      <c r="A531" s="116"/>
      <c r="B531" s="105"/>
      <c r="C531" s="116"/>
      <c r="D531" s="116"/>
      <c r="E531" s="116"/>
      <c r="F531" s="116"/>
      <c r="G531" s="116"/>
      <c r="H531" s="116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05"/>
      <c r="BF531" s="105"/>
      <c r="BG531" s="105"/>
      <c r="BH531" s="105"/>
      <c r="BI531" s="105"/>
      <c r="BJ531" s="105"/>
      <c r="BK531" s="105"/>
      <c r="BL531" s="105"/>
      <c r="BM531" s="105"/>
      <c r="BN531" s="105"/>
      <c r="BO531" s="105"/>
      <c r="BP531" s="105"/>
      <c r="BQ531" s="105"/>
      <c r="BR531" s="105"/>
      <c r="BS531" s="105"/>
      <c r="BT531" s="105"/>
      <c r="BU531" s="105"/>
      <c r="BV531" s="105"/>
      <c r="BW531" s="105"/>
      <c r="BX531" s="105"/>
      <c r="BY531" s="105"/>
      <c r="BZ531" s="105"/>
      <c r="CA531" s="105"/>
      <c r="CB531" s="105"/>
      <c r="CC531" s="105"/>
      <c r="CD531" s="105"/>
      <c r="CE531" s="105"/>
      <c r="CF531" s="105"/>
      <c r="CG531" s="105"/>
      <c r="CH531" s="105"/>
      <c r="CI531" s="105"/>
      <c r="CJ531" s="105"/>
      <c r="CK531" s="105"/>
      <c r="CL531" s="105"/>
      <c r="CM531" s="105"/>
      <c r="CN531" s="105"/>
      <c r="CO531" s="105"/>
      <c r="CP531" s="105"/>
      <c r="CQ531" s="105"/>
      <c r="CR531" s="105"/>
      <c r="CS531" s="105"/>
      <c r="CT531" s="105"/>
      <c r="CU531" s="105"/>
      <c r="CV531" s="105"/>
      <c r="CW531" s="105"/>
      <c r="CX531" s="105"/>
      <c r="CY531" s="105"/>
      <c r="CZ531" s="105"/>
      <c r="DA531" s="105"/>
      <c r="DB531" s="105"/>
      <c r="DC531" s="105"/>
      <c r="DD531" s="105"/>
      <c r="DE531" s="105"/>
      <c r="DF531" s="105"/>
      <c r="DG531" s="105"/>
      <c r="DH531" s="105"/>
      <c r="DI531" s="105"/>
      <c r="DJ531" s="105"/>
      <c r="DK531" s="105"/>
      <c r="DL531" s="105"/>
      <c r="DM531" s="105"/>
      <c r="DN531" s="105"/>
      <c r="DO531" s="105"/>
      <c r="DP531" s="105"/>
      <c r="DQ531" s="105"/>
      <c r="DR531" s="105"/>
      <c r="DS531" s="105"/>
      <c r="DT531" s="105"/>
      <c r="DU531" s="105"/>
      <c r="DV531" s="105"/>
      <c r="DW531" s="105"/>
      <c r="DX531" s="105"/>
      <c r="DY531" s="105"/>
      <c r="DZ531" s="105"/>
      <c r="EA531" s="105"/>
      <c r="EB531" s="105"/>
      <c r="EC531" s="105"/>
      <c r="ED531" s="105"/>
      <c r="EE531" s="105"/>
      <c r="EF531" s="105"/>
      <c r="EG531" s="105"/>
      <c r="EH531" s="105"/>
      <c r="EI531" s="105"/>
      <c r="EJ531" s="105"/>
      <c r="EK531" s="105"/>
      <c r="EL531" s="105"/>
      <c r="EM531" s="105"/>
      <c r="EN531" s="105"/>
      <c r="EO531" s="105"/>
      <c r="EP531" s="105"/>
      <c r="EQ531" s="105"/>
      <c r="ER531" s="105"/>
      <c r="ES531" s="105"/>
      <c r="ET531" s="105"/>
      <c r="EU531" s="105"/>
      <c r="EV531" s="105"/>
      <c r="EW531" s="105"/>
      <c r="EX531" s="105"/>
      <c r="EY531" s="105"/>
      <c r="EZ531" s="105"/>
      <c r="FA531" s="105"/>
      <c r="FB531" s="105"/>
      <c r="FC531" s="105"/>
      <c r="FD531" s="105"/>
      <c r="FE531" s="105"/>
      <c r="FF531" s="105"/>
      <c r="FG531" s="105"/>
      <c r="FH531" s="105"/>
      <c r="FI531" s="105"/>
      <c r="FJ531" s="105"/>
      <c r="FK531" s="105"/>
      <c r="FL531" s="105"/>
      <c r="FM531" s="105"/>
      <c r="FN531" s="105"/>
      <c r="FO531" s="105"/>
      <c r="FP531" s="105"/>
      <c r="FQ531" s="105"/>
      <c r="FR531" s="105"/>
      <c r="FS531" s="105"/>
      <c r="FT531" s="105"/>
      <c r="FU531" s="105"/>
      <c r="FV531" s="105"/>
      <c r="FW531" s="105"/>
      <c r="FX531" s="105"/>
      <c r="FY531" s="105"/>
      <c r="FZ531" s="105"/>
      <c r="GA531" s="105"/>
      <c r="GB531" s="105"/>
      <c r="GC531" s="105"/>
      <c r="GD531" s="105"/>
      <c r="GE531" s="105"/>
      <c r="GF531" s="105"/>
      <c r="GG531" s="105"/>
      <c r="GH531" s="105"/>
      <c r="GI531" s="105"/>
      <c r="GJ531" s="105"/>
      <c r="GK531" s="105"/>
      <c r="GL531" s="105"/>
      <c r="GM531" s="105"/>
      <c r="GN531" s="105"/>
      <c r="GO531" s="105"/>
      <c r="GP531" s="105"/>
      <c r="GQ531" s="105"/>
      <c r="GR531" s="105"/>
      <c r="GS531" s="105"/>
      <c r="GT531" s="105"/>
      <c r="GU531" s="105"/>
      <c r="GV531" s="105"/>
      <c r="GW531" s="105"/>
      <c r="GX531" s="105"/>
      <c r="GY531" s="105"/>
      <c r="GZ531" s="105"/>
      <c r="HA531" s="105"/>
      <c r="HB531" s="105"/>
      <c r="HC531" s="105"/>
      <c r="HD531" s="105"/>
      <c r="HE531" s="105"/>
      <c r="HF531" s="105"/>
      <c r="HG531" s="105"/>
      <c r="HH531" s="105"/>
      <c r="HI531" s="105"/>
      <c r="HJ531" s="105"/>
      <c r="HK531" s="105"/>
      <c r="HL531" s="105"/>
      <c r="HM531" s="105"/>
      <c r="HN531" s="105"/>
      <c r="HO531" s="105"/>
      <c r="HP531" s="105"/>
      <c r="HQ531" s="105"/>
      <c r="HR531" s="105"/>
      <c r="HS531" s="105"/>
      <c r="HT531" s="105"/>
      <c r="HU531" s="105"/>
      <c r="HV531" s="105"/>
      <c r="HW531" s="105"/>
      <c r="HX531" s="105"/>
      <c r="HY531" s="105"/>
      <c r="HZ531" s="105"/>
      <c r="IA531" s="105"/>
      <c r="IB531" s="105"/>
      <c r="IC531" s="105"/>
      <c r="ID531" s="105"/>
      <c r="IE531" s="105"/>
      <c r="IF531" s="105"/>
      <c r="IG531" s="105"/>
      <c r="IH531" s="105"/>
      <c r="II531" s="105"/>
      <c r="IJ531" s="105"/>
      <c r="IK531" s="105"/>
      <c r="IL531" s="105"/>
      <c r="IM531" s="105"/>
      <c r="IN531" s="105"/>
      <c r="IO531" s="105"/>
      <c r="IP531" s="105"/>
      <c r="IQ531" s="105"/>
      <c r="IR531" s="105"/>
      <c r="IS531" s="105"/>
    </row>
    <row r="532" spans="1:253">
      <c r="A532" s="116"/>
      <c r="B532" s="105"/>
      <c r="C532" s="116"/>
      <c r="D532" s="116"/>
      <c r="E532" s="116"/>
      <c r="F532" s="116"/>
      <c r="G532" s="116"/>
      <c r="H532" s="116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05"/>
      <c r="BF532" s="105"/>
      <c r="BG532" s="105"/>
      <c r="BH532" s="105"/>
      <c r="BI532" s="105"/>
      <c r="BJ532" s="105"/>
      <c r="BK532" s="105"/>
      <c r="BL532" s="105"/>
      <c r="BM532" s="105"/>
      <c r="BN532" s="105"/>
      <c r="BO532" s="105"/>
      <c r="BP532" s="105"/>
      <c r="BQ532" s="105"/>
      <c r="BR532" s="105"/>
      <c r="BS532" s="105"/>
      <c r="BT532" s="105"/>
      <c r="BU532" s="105"/>
      <c r="BV532" s="105"/>
      <c r="BW532" s="105"/>
      <c r="BX532" s="105"/>
      <c r="BY532" s="105"/>
      <c r="BZ532" s="105"/>
      <c r="CA532" s="105"/>
      <c r="CB532" s="105"/>
      <c r="CC532" s="105"/>
      <c r="CD532" s="105"/>
      <c r="CE532" s="105"/>
      <c r="CF532" s="105"/>
      <c r="CG532" s="105"/>
      <c r="CH532" s="105"/>
      <c r="CI532" s="105"/>
      <c r="CJ532" s="105"/>
      <c r="CK532" s="105"/>
      <c r="CL532" s="105"/>
      <c r="CM532" s="105"/>
      <c r="CN532" s="105"/>
      <c r="CO532" s="105"/>
      <c r="CP532" s="105"/>
      <c r="CQ532" s="105"/>
      <c r="CR532" s="105"/>
      <c r="CS532" s="105"/>
      <c r="CT532" s="105"/>
      <c r="CU532" s="105"/>
      <c r="CV532" s="105"/>
      <c r="CW532" s="105"/>
      <c r="CX532" s="105"/>
      <c r="CY532" s="105"/>
      <c r="CZ532" s="105"/>
      <c r="DA532" s="105"/>
      <c r="DB532" s="105"/>
      <c r="DC532" s="105"/>
      <c r="DD532" s="105"/>
      <c r="DE532" s="105"/>
      <c r="DF532" s="105"/>
      <c r="DG532" s="105"/>
      <c r="DH532" s="105"/>
      <c r="DI532" s="105"/>
      <c r="DJ532" s="105"/>
      <c r="DK532" s="105"/>
      <c r="DL532" s="105"/>
      <c r="DM532" s="105"/>
      <c r="DN532" s="105"/>
      <c r="DO532" s="105"/>
      <c r="DP532" s="105"/>
      <c r="DQ532" s="105"/>
      <c r="DR532" s="105"/>
      <c r="DS532" s="105"/>
      <c r="DT532" s="105"/>
      <c r="DU532" s="105"/>
      <c r="DV532" s="105"/>
      <c r="DW532" s="105"/>
      <c r="DX532" s="105"/>
      <c r="DY532" s="105"/>
      <c r="DZ532" s="105"/>
      <c r="EA532" s="105"/>
      <c r="EB532" s="105"/>
      <c r="EC532" s="105"/>
      <c r="ED532" s="105"/>
      <c r="EE532" s="105"/>
      <c r="EF532" s="105"/>
      <c r="EG532" s="105"/>
      <c r="EH532" s="105"/>
      <c r="EI532" s="105"/>
      <c r="EJ532" s="105"/>
      <c r="EK532" s="105"/>
      <c r="EL532" s="105"/>
      <c r="EM532" s="105"/>
      <c r="EN532" s="105"/>
      <c r="EO532" s="105"/>
      <c r="EP532" s="105"/>
      <c r="EQ532" s="105"/>
      <c r="ER532" s="105"/>
      <c r="ES532" s="105"/>
      <c r="ET532" s="105"/>
      <c r="EU532" s="105"/>
      <c r="EV532" s="105"/>
      <c r="EW532" s="105"/>
      <c r="EX532" s="105"/>
      <c r="EY532" s="105"/>
      <c r="EZ532" s="105"/>
      <c r="FA532" s="105"/>
      <c r="FB532" s="105"/>
      <c r="FC532" s="105"/>
      <c r="FD532" s="105"/>
      <c r="FE532" s="105"/>
      <c r="FF532" s="105"/>
      <c r="FG532" s="105"/>
      <c r="FH532" s="105"/>
      <c r="FI532" s="105"/>
      <c r="FJ532" s="105"/>
      <c r="FK532" s="105"/>
      <c r="FL532" s="105"/>
      <c r="FM532" s="105"/>
      <c r="FN532" s="105"/>
      <c r="FO532" s="105"/>
      <c r="FP532" s="105"/>
      <c r="FQ532" s="105"/>
      <c r="FR532" s="105"/>
      <c r="FS532" s="105"/>
      <c r="FT532" s="105"/>
      <c r="FU532" s="105"/>
      <c r="FV532" s="105"/>
      <c r="FW532" s="105"/>
      <c r="FX532" s="105"/>
      <c r="FY532" s="105"/>
      <c r="FZ532" s="105"/>
      <c r="GA532" s="105"/>
      <c r="GB532" s="105"/>
      <c r="GC532" s="105"/>
      <c r="GD532" s="105"/>
      <c r="GE532" s="105"/>
      <c r="GF532" s="105"/>
      <c r="GG532" s="105"/>
      <c r="GH532" s="105"/>
      <c r="GI532" s="105"/>
      <c r="GJ532" s="105"/>
      <c r="GK532" s="105"/>
      <c r="GL532" s="105"/>
      <c r="GM532" s="105"/>
      <c r="GN532" s="105"/>
      <c r="GO532" s="105"/>
      <c r="GP532" s="105"/>
      <c r="GQ532" s="105"/>
      <c r="GR532" s="105"/>
      <c r="GS532" s="105"/>
      <c r="GT532" s="105"/>
      <c r="GU532" s="105"/>
      <c r="GV532" s="105"/>
      <c r="GW532" s="105"/>
      <c r="GX532" s="105"/>
      <c r="GY532" s="105"/>
      <c r="GZ532" s="105"/>
      <c r="HA532" s="105"/>
      <c r="HB532" s="105"/>
      <c r="HC532" s="105"/>
      <c r="HD532" s="105"/>
      <c r="HE532" s="105"/>
      <c r="HF532" s="105"/>
      <c r="HG532" s="105"/>
      <c r="HH532" s="105"/>
      <c r="HI532" s="105"/>
      <c r="HJ532" s="105"/>
      <c r="HK532" s="105"/>
      <c r="HL532" s="105"/>
      <c r="HM532" s="105"/>
      <c r="HN532" s="105"/>
      <c r="HO532" s="105"/>
      <c r="HP532" s="105"/>
      <c r="HQ532" s="105"/>
      <c r="HR532" s="105"/>
      <c r="HS532" s="105"/>
      <c r="HT532" s="105"/>
      <c r="HU532" s="105"/>
      <c r="HV532" s="105"/>
      <c r="HW532" s="105"/>
      <c r="HX532" s="105"/>
      <c r="HY532" s="105"/>
      <c r="HZ532" s="105"/>
      <c r="IA532" s="105"/>
      <c r="IB532" s="105"/>
      <c r="IC532" s="105"/>
      <c r="ID532" s="105"/>
      <c r="IE532" s="105"/>
      <c r="IF532" s="105"/>
      <c r="IG532" s="105"/>
      <c r="IH532" s="105"/>
      <c r="II532" s="105"/>
      <c r="IJ532" s="105"/>
      <c r="IK532" s="105"/>
      <c r="IL532" s="105"/>
      <c r="IM532" s="105"/>
      <c r="IN532" s="105"/>
      <c r="IO532" s="105"/>
      <c r="IP532" s="105"/>
      <c r="IQ532" s="105"/>
      <c r="IR532" s="105"/>
      <c r="IS532" s="105"/>
    </row>
    <row r="533" spans="1:253">
      <c r="A533" s="116"/>
      <c r="B533" s="105"/>
      <c r="C533" s="116"/>
      <c r="D533" s="116"/>
      <c r="E533" s="116"/>
      <c r="F533" s="116"/>
      <c r="G533" s="116"/>
      <c r="H533" s="116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5"/>
      <c r="BE533" s="105"/>
      <c r="BF533" s="105"/>
      <c r="BG533" s="105"/>
      <c r="BH533" s="105"/>
      <c r="BI533" s="105"/>
      <c r="BJ533" s="105"/>
      <c r="BK533" s="105"/>
      <c r="BL533" s="105"/>
      <c r="BM533" s="105"/>
      <c r="BN533" s="105"/>
      <c r="BO533" s="105"/>
      <c r="BP533" s="105"/>
      <c r="BQ533" s="105"/>
      <c r="BR533" s="105"/>
      <c r="BS533" s="105"/>
      <c r="BT533" s="105"/>
      <c r="BU533" s="105"/>
      <c r="BV533" s="105"/>
      <c r="BW533" s="105"/>
      <c r="BX533" s="105"/>
      <c r="BY533" s="105"/>
      <c r="BZ533" s="105"/>
      <c r="CA533" s="105"/>
      <c r="CB533" s="105"/>
      <c r="CC533" s="105"/>
      <c r="CD533" s="105"/>
      <c r="CE533" s="105"/>
      <c r="CF533" s="105"/>
      <c r="CG533" s="105"/>
      <c r="CH533" s="105"/>
      <c r="CI533" s="105"/>
      <c r="CJ533" s="105"/>
      <c r="CK533" s="105"/>
      <c r="CL533" s="105"/>
      <c r="CM533" s="105"/>
      <c r="CN533" s="105"/>
      <c r="CO533" s="105"/>
      <c r="CP533" s="105"/>
      <c r="CQ533" s="105"/>
      <c r="CR533" s="105"/>
      <c r="CS533" s="105"/>
      <c r="CT533" s="105"/>
      <c r="CU533" s="105"/>
      <c r="CV533" s="105"/>
      <c r="CW533" s="105"/>
      <c r="CX533" s="105"/>
      <c r="CY533" s="105"/>
      <c r="CZ533" s="105"/>
      <c r="DA533" s="105"/>
      <c r="DB533" s="105"/>
      <c r="DC533" s="105"/>
      <c r="DD533" s="105"/>
      <c r="DE533" s="105"/>
      <c r="DF533" s="105"/>
      <c r="DG533" s="105"/>
      <c r="DH533" s="105"/>
      <c r="DI533" s="105"/>
      <c r="DJ533" s="105"/>
      <c r="DK533" s="105"/>
      <c r="DL533" s="105"/>
      <c r="DM533" s="105"/>
      <c r="DN533" s="105"/>
      <c r="DO533" s="105"/>
      <c r="DP533" s="105"/>
      <c r="DQ533" s="105"/>
      <c r="DR533" s="105"/>
      <c r="DS533" s="105"/>
      <c r="DT533" s="105"/>
      <c r="DU533" s="105"/>
      <c r="DV533" s="105"/>
      <c r="DW533" s="105"/>
      <c r="DX533" s="105"/>
      <c r="DY533" s="105"/>
      <c r="DZ533" s="105"/>
      <c r="EA533" s="105"/>
      <c r="EB533" s="105"/>
      <c r="EC533" s="105"/>
      <c r="ED533" s="105"/>
      <c r="EE533" s="105"/>
      <c r="EF533" s="105"/>
      <c r="EG533" s="105"/>
      <c r="EH533" s="105"/>
      <c r="EI533" s="105"/>
      <c r="EJ533" s="105"/>
      <c r="EK533" s="105"/>
      <c r="EL533" s="105"/>
      <c r="EM533" s="105"/>
      <c r="EN533" s="105"/>
      <c r="EO533" s="105"/>
      <c r="EP533" s="105"/>
      <c r="EQ533" s="105"/>
      <c r="ER533" s="105"/>
      <c r="ES533" s="105"/>
      <c r="ET533" s="105"/>
      <c r="EU533" s="105"/>
      <c r="EV533" s="105"/>
      <c r="EW533" s="105"/>
      <c r="EX533" s="105"/>
      <c r="EY533" s="105"/>
      <c r="EZ533" s="105"/>
      <c r="FA533" s="105"/>
      <c r="FB533" s="105"/>
      <c r="FC533" s="105"/>
      <c r="FD533" s="105"/>
      <c r="FE533" s="105"/>
      <c r="FF533" s="105"/>
      <c r="FG533" s="105"/>
      <c r="FH533" s="105"/>
      <c r="FI533" s="105"/>
      <c r="FJ533" s="105"/>
      <c r="FK533" s="105"/>
      <c r="FL533" s="105"/>
      <c r="FM533" s="105"/>
      <c r="FN533" s="105"/>
      <c r="FO533" s="105"/>
      <c r="FP533" s="105"/>
      <c r="FQ533" s="105"/>
      <c r="FR533" s="105"/>
      <c r="FS533" s="105"/>
      <c r="FT533" s="105"/>
      <c r="FU533" s="105"/>
      <c r="FV533" s="105"/>
      <c r="FW533" s="105"/>
      <c r="FX533" s="105"/>
      <c r="FY533" s="105"/>
      <c r="FZ533" s="105"/>
      <c r="GA533" s="105"/>
      <c r="GB533" s="105"/>
      <c r="GC533" s="105"/>
      <c r="GD533" s="105"/>
      <c r="GE533" s="105"/>
      <c r="GF533" s="105"/>
      <c r="GG533" s="105"/>
      <c r="GH533" s="105"/>
      <c r="GI533" s="105"/>
      <c r="GJ533" s="105"/>
      <c r="GK533" s="105"/>
      <c r="GL533" s="105"/>
      <c r="GM533" s="105"/>
      <c r="GN533" s="105"/>
      <c r="GO533" s="105"/>
      <c r="GP533" s="105"/>
      <c r="GQ533" s="105"/>
      <c r="GR533" s="105"/>
      <c r="GS533" s="105"/>
      <c r="GT533" s="105"/>
      <c r="GU533" s="105"/>
      <c r="GV533" s="105"/>
      <c r="GW533" s="105"/>
      <c r="GX533" s="105"/>
      <c r="GY533" s="105"/>
      <c r="GZ533" s="105"/>
      <c r="HA533" s="105"/>
      <c r="HB533" s="105"/>
      <c r="HC533" s="105"/>
      <c r="HD533" s="105"/>
      <c r="HE533" s="105"/>
      <c r="HF533" s="105"/>
      <c r="HG533" s="105"/>
      <c r="HH533" s="105"/>
      <c r="HI533" s="105"/>
      <c r="HJ533" s="105"/>
      <c r="HK533" s="105"/>
      <c r="HL533" s="105"/>
      <c r="HM533" s="105"/>
      <c r="HN533" s="105"/>
      <c r="HO533" s="105"/>
      <c r="HP533" s="105"/>
      <c r="HQ533" s="105"/>
      <c r="HR533" s="105"/>
      <c r="HS533" s="105"/>
      <c r="HT533" s="105"/>
      <c r="HU533" s="105"/>
      <c r="HV533" s="105"/>
      <c r="HW533" s="105"/>
      <c r="HX533" s="105"/>
      <c r="HY533" s="105"/>
      <c r="HZ533" s="105"/>
      <c r="IA533" s="105"/>
      <c r="IB533" s="105"/>
      <c r="IC533" s="105"/>
      <c r="ID533" s="105"/>
      <c r="IE533" s="105"/>
      <c r="IF533" s="105"/>
      <c r="IG533" s="105"/>
      <c r="IH533" s="105"/>
      <c r="II533" s="105"/>
      <c r="IJ533" s="105"/>
      <c r="IK533" s="105"/>
      <c r="IL533" s="105"/>
      <c r="IM533" s="105"/>
      <c r="IN533" s="105"/>
      <c r="IO533" s="105"/>
      <c r="IP533" s="105"/>
      <c r="IQ533" s="105"/>
      <c r="IR533" s="105"/>
      <c r="IS533" s="105"/>
    </row>
    <row r="534" spans="1:253">
      <c r="A534" s="116"/>
      <c r="B534" s="105"/>
      <c r="C534" s="116"/>
      <c r="D534" s="116"/>
      <c r="E534" s="116"/>
      <c r="F534" s="116"/>
      <c r="G534" s="116"/>
      <c r="H534" s="116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05"/>
      <c r="BF534" s="105"/>
      <c r="BG534" s="105"/>
      <c r="BH534" s="105"/>
      <c r="BI534" s="105"/>
      <c r="BJ534" s="105"/>
      <c r="BK534" s="105"/>
      <c r="BL534" s="105"/>
      <c r="BM534" s="105"/>
      <c r="BN534" s="105"/>
      <c r="BO534" s="105"/>
      <c r="BP534" s="105"/>
      <c r="BQ534" s="105"/>
      <c r="BR534" s="105"/>
      <c r="BS534" s="105"/>
      <c r="BT534" s="105"/>
      <c r="BU534" s="105"/>
      <c r="BV534" s="105"/>
      <c r="BW534" s="105"/>
      <c r="BX534" s="105"/>
      <c r="BY534" s="105"/>
      <c r="BZ534" s="105"/>
      <c r="CA534" s="105"/>
      <c r="CB534" s="105"/>
      <c r="CC534" s="105"/>
      <c r="CD534" s="105"/>
      <c r="CE534" s="105"/>
      <c r="CF534" s="105"/>
      <c r="CG534" s="105"/>
      <c r="CH534" s="105"/>
      <c r="CI534" s="105"/>
      <c r="CJ534" s="105"/>
      <c r="CK534" s="105"/>
      <c r="CL534" s="105"/>
      <c r="CM534" s="105"/>
      <c r="CN534" s="105"/>
      <c r="CO534" s="105"/>
      <c r="CP534" s="105"/>
      <c r="CQ534" s="105"/>
      <c r="CR534" s="105"/>
      <c r="CS534" s="105"/>
      <c r="CT534" s="105"/>
      <c r="CU534" s="105"/>
      <c r="CV534" s="105"/>
      <c r="CW534" s="105"/>
      <c r="CX534" s="105"/>
      <c r="CY534" s="105"/>
      <c r="CZ534" s="105"/>
      <c r="DA534" s="105"/>
      <c r="DB534" s="105"/>
      <c r="DC534" s="105"/>
      <c r="DD534" s="105"/>
      <c r="DE534" s="105"/>
      <c r="DF534" s="105"/>
      <c r="DG534" s="105"/>
      <c r="DH534" s="105"/>
      <c r="DI534" s="105"/>
      <c r="DJ534" s="105"/>
      <c r="DK534" s="105"/>
      <c r="DL534" s="105"/>
      <c r="DM534" s="105"/>
      <c r="DN534" s="105"/>
      <c r="DO534" s="105"/>
      <c r="DP534" s="105"/>
      <c r="DQ534" s="105"/>
      <c r="DR534" s="105"/>
      <c r="DS534" s="105"/>
      <c r="DT534" s="105"/>
      <c r="DU534" s="105"/>
      <c r="DV534" s="105"/>
      <c r="DW534" s="105"/>
      <c r="DX534" s="105"/>
      <c r="DY534" s="105"/>
      <c r="DZ534" s="105"/>
      <c r="EA534" s="105"/>
      <c r="EB534" s="105"/>
      <c r="EC534" s="105"/>
      <c r="ED534" s="105"/>
      <c r="EE534" s="105"/>
      <c r="EF534" s="105"/>
      <c r="EG534" s="105"/>
      <c r="EH534" s="105"/>
      <c r="EI534" s="105"/>
      <c r="EJ534" s="105"/>
      <c r="EK534" s="105"/>
      <c r="EL534" s="105"/>
      <c r="EM534" s="105"/>
      <c r="EN534" s="105"/>
      <c r="EO534" s="105"/>
      <c r="EP534" s="105"/>
      <c r="EQ534" s="105"/>
      <c r="ER534" s="105"/>
      <c r="ES534" s="105"/>
      <c r="ET534" s="105"/>
      <c r="EU534" s="105"/>
      <c r="EV534" s="105"/>
      <c r="EW534" s="105"/>
      <c r="EX534" s="105"/>
      <c r="EY534" s="105"/>
      <c r="EZ534" s="105"/>
      <c r="FA534" s="105"/>
      <c r="FB534" s="105"/>
      <c r="FC534" s="105"/>
      <c r="FD534" s="105"/>
      <c r="FE534" s="105"/>
      <c r="FF534" s="105"/>
      <c r="FG534" s="105"/>
      <c r="FH534" s="105"/>
      <c r="FI534" s="105"/>
      <c r="FJ534" s="105"/>
      <c r="FK534" s="105"/>
      <c r="FL534" s="105"/>
      <c r="FM534" s="105"/>
      <c r="FN534" s="105"/>
      <c r="FO534" s="105"/>
      <c r="FP534" s="105"/>
      <c r="FQ534" s="105"/>
      <c r="FR534" s="105"/>
      <c r="FS534" s="105"/>
      <c r="FT534" s="105"/>
      <c r="FU534" s="105"/>
      <c r="FV534" s="105"/>
      <c r="FW534" s="105"/>
      <c r="FX534" s="105"/>
      <c r="FY534" s="105"/>
      <c r="FZ534" s="105"/>
      <c r="GA534" s="105"/>
      <c r="GB534" s="105"/>
      <c r="GC534" s="105"/>
      <c r="GD534" s="105"/>
      <c r="GE534" s="105"/>
      <c r="GF534" s="105"/>
      <c r="GG534" s="105"/>
      <c r="GH534" s="105"/>
      <c r="GI534" s="105"/>
      <c r="GJ534" s="105"/>
      <c r="GK534" s="105"/>
      <c r="GL534" s="105"/>
      <c r="GM534" s="105"/>
      <c r="GN534" s="105"/>
      <c r="GO534" s="105"/>
      <c r="GP534" s="105"/>
      <c r="GQ534" s="105"/>
      <c r="GR534" s="105"/>
      <c r="GS534" s="105"/>
      <c r="GT534" s="105"/>
      <c r="GU534" s="105"/>
      <c r="GV534" s="105"/>
      <c r="GW534" s="105"/>
      <c r="GX534" s="105"/>
      <c r="GY534" s="105"/>
      <c r="GZ534" s="105"/>
      <c r="HA534" s="105"/>
      <c r="HB534" s="105"/>
      <c r="HC534" s="105"/>
      <c r="HD534" s="105"/>
      <c r="HE534" s="105"/>
      <c r="HF534" s="105"/>
      <c r="HG534" s="105"/>
      <c r="HH534" s="105"/>
      <c r="HI534" s="105"/>
      <c r="HJ534" s="105"/>
      <c r="HK534" s="105"/>
      <c r="HL534" s="105"/>
      <c r="HM534" s="105"/>
      <c r="HN534" s="105"/>
      <c r="HO534" s="105"/>
      <c r="HP534" s="105"/>
      <c r="HQ534" s="105"/>
      <c r="HR534" s="105"/>
      <c r="HS534" s="105"/>
      <c r="HT534" s="105"/>
      <c r="HU534" s="105"/>
      <c r="HV534" s="105"/>
      <c r="HW534" s="105"/>
      <c r="HX534" s="105"/>
      <c r="HY534" s="105"/>
      <c r="HZ534" s="105"/>
      <c r="IA534" s="105"/>
      <c r="IB534" s="105"/>
      <c r="IC534" s="105"/>
      <c r="ID534" s="105"/>
      <c r="IE534" s="105"/>
      <c r="IF534" s="105"/>
      <c r="IG534" s="105"/>
      <c r="IH534" s="105"/>
      <c r="II534" s="105"/>
      <c r="IJ534" s="105"/>
      <c r="IK534" s="105"/>
      <c r="IL534" s="105"/>
      <c r="IM534" s="105"/>
      <c r="IN534" s="105"/>
      <c r="IO534" s="105"/>
      <c r="IP534" s="105"/>
      <c r="IQ534" s="105"/>
      <c r="IR534" s="105"/>
      <c r="IS534" s="105"/>
    </row>
    <row r="535" spans="1:253">
      <c r="A535" s="116"/>
      <c r="B535" s="105"/>
      <c r="C535" s="116"/>
      <c r="D535" s="116"/>
      <c r="E535" s="116"/>
      <c r="F535" s="116"/>
      <c r="G535" s="116"/>
      <c r="H535" s="116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5"/>
      <c r="BE535" s="105"/>
      <c r="BF535" s="105"/>
      <c r="BG535" s="105"/>
      <c r="BH535" s="105"/>
      <c r="BI535" s="105"/>
      <c r="BJ535" s="105"/>
      <c r="BK535" s="105"/>
      <c r="BL535" s="105"/>
      <c r="BM535" s="105"/>
      <c r="BN535" s="105"/>
      <c r="BO535" s="105"/>
      <c r="BP535" s="105"/>
      <c r="BQ535" s="105"/>
      <c r="BR535" s="105"/>
      <c r="BS535" s="105"/>
      <c r="BT535" s="105"/>
      <c r="BU535" s="105"/>
      <c r="BV535" s="105"/>
      <c r="BW535" s="105"/>
      <c r="BX535" s="105"/>
      <c r="BY535" s="105"/>
      <c r="BZ535" s="105"/>
      <c r="CA535" s="105"/>
      <c r="CB535" s="105"/>
      <c r="CC535" s="105"/>
      <c r="CD535" s="105"/>
      <c r="CE535" s="105"/>
      <c r="CF535" s="105"/>
      <c r="CG535" s="105"/>
      <c r="CH535" s="105"/>
      <c r="CI535" s="105"/>
      <c r="CJ535" s="105"/>
      <c r="CK535" s="105"/>
      <c r="CL535" s="105"/>
      <c r="CM535" s="105"/>
      <c r="CN535" s="105"/>
      <c r="CO535" s="105"/>
      <c r="CP535" s="105"/>
      <c r="CQ535" s="105"/>
      <c r="CR535" s="105"/>
      <c r="CS535" s="105"/>
      <c r="CT535" s="105"/>
      <c r="CU535" s="105"/>
      <c r="CV535" s="105"/>
      <c r="CW535" s="105"/>
      <c r="CX535" s="105"/>
      <c r="CY535" s="105"/>
      <c r="CZ535" s="105"/>
      <c r="DA535" s="105"/>
      <c r="DB535" s="105"/>
      <c r="DC535" s="105"/>
      <c r="DD535" s="105"/>
      <c r="DE535" s="105"/>
      <c r="DF535" s="105"/>
      <c r="DG535" s="105"/>
      <c r="DH535" s="105"/>
      <c r="DI535" s="105"/>
      <c r="DJ535" s="105"/>
      <c r="DK535" s="105"/>
      <c r="DL535" s="105"/>
      <c r="DM535" s="105"/>
      <c r="DN535" s="105"/>
      <c r="DO535" s="105"/>
      <c r="DP535" s="105"/>
      <c r="DQ535" s="105"/>
      <c r="DR535" s="105"/>
      <c r="DS535" s="105"/>
      <c r="DT535" s="105"/>
      <c r="DU535" s="105"/>
      <c r="DV535" s="105"/>
      <c r="DW535" s="105"/>
      <c r="DX535" s="105"/>
      <c r="DY535" s="105"/>
      <c r="DZ535" s="105"/>
      <c r="EA535" s="105"/>
      <c r="EB535" s="105"/>
      <c r="EC535" s="105"/>
      <c r="ED535" s="105"/>
      <c r="EE535" s="105"/>
      <c r="EF535" s="105"/>
      <c r="EG535" s="105"/>
      <c r="EH535" s="105"/>
      <c r="EI535" s="105"/>
      <c r="EJ535" s="105"/>
      <c r="EK535" s="105"/>
      <c r="EL535" s="105"/>
      <c r="EM535" s="105"/>
      <c r="EN535" s="105"/>
      <c r="EO535" s="105"/>
      <c r="EP535" s="105"/>
      <c r="EQ535" s="105"/>
      <c r="ER535" s="105"/>
      <c r="ES535" s="105"/>
      <c r="ET535" s="105"/>
      <c r="EU535" s="105"/>
      <c r="EV535" s="105"/>
      <c r="EW535" s="105"/>
      <c r="EX535" s="105"/>
      <c r="EY535" s="105"/>
      <c r="EZ535" s="105"/>
      <c r="FA535" s="105"/>
      <c r="FB535" s="105"/>
      <c r="FC535" s="105"/>
      <c r="FD535" s="105"/>
      <c r="FE535" s="105"/>
      <c r="FF535" s="105"/>
      <c r="FG535" s="105"/>
      <c r="FH535" s="105"/>
      <c r="FI535" s="105"/>
      <c r="FJ535" s="105"/>
      <c r="FK535" s="105"/>
      <c r="FL535" s="105"/>
      <c r="FM535" s="105"/>
      <c r="FN535" s="105"/>
      <c r="FO535" s="105"/>
      <c r="FP535" s="105"/>
      <c r="FQ535" s="105"/>
      <c r="FR535" s="105"/>
      <c r="FS535" s="105"/>
      <c r="FT535" s="105"/>
      <c r="FU535" s="105"/>
      <c r="FV535" s="105"/>
      <c r="FW535" s="105"/>
      <c r="FX535" s="105"/>
      <c r="FY535" s="105"/>
      <c r="FZ535" s="105"/>
      <c r="GA535" s="105"/>
      <c r="GB535" s="105"/>
      <c r="GC535" s="105"/>
      <c r="GD535" s="105"/>
      <c r="GE535" s="105"/>
      <c r="GF535" s="105"/>
      <c r="GG535" s="105"/>
      <c r="GH535" s="105"/>
      <c r="GI535" s="105"/>
      <c r="GJ535" s="105"/>
      <c r="GK535" s="105"/>
      <c r="GL535" s="105"/>
      <c r="GM535" s="105"/>
      <c r="GN535" s="105"/>
      <c r="GO535" s="105"/>
      <c r="GP535" s="105"/>
      <c r="GQ535" s="105"/>
      <c r="GR535" s="105"/>
      <c r="GS535" s="105"/>
      <c r="GT535" s="105"/>
      <c r="GU535" s="105"/>
      <c r="GV535" s="105"/>
      <c r="GW535" s="105"/>
      <c r="GX535" s="105"/>
      <c r="GY535" s="105"/>
      <c r="GZ535" s="105"/>
      <c r="HA535" s="105"/>
      <c r="HB535" s="105"/>
      <c r="HC535" s="105"/>
      <c r="HD535" s="105"/>
      <c r="HE535" s="105"/>
      <c r="HF535" s="105"/>
      <c r="HG535" s="105"/>
      <c r="HH535" s="105"/>
      <c r="HI535" s="105"/>
      <c r="HJ535" s="105"/>
      <c r="HK535" s="105"/>
      <c r="HL535" s="105"/>
      <c r="HM535" s="105"/>
      <c r="HN535" s="105"/>
      <c r="HO535" s="105"/>
      <c r="HP535" s="105"/>
      <c r="HQ535" s="105"/>
      <c r="HR535" s="105"/>
      <c r="HS535" s="105"/>
      <c r="HT535" s="105"/>
      <c r="HU535" s="105"/>
      <c r="HV535" s="105"/>
      <c r="HW535" s="105"/>
      <c r="HX535" s="105"/>
      <c r="HY535" s="105"/>
      <c r="HZ535" s="105"/>
      <c r="IA535" s="105"/>
      <c r="IB535" s="105"/>
      <c r="IC535" s="105"/>
      <c r="ID535" s="105"/>
      <c r="IE535" s="105"/>
      <c r="IF535" s="105"/>
      <c r="IG535" s="105"/>
      <c r="IH535" s="105"/>
      <c r="II535" s="105"/>
      <c r="IJ535" s="105"/>
      <c r="IK535" s="105"/>
      <c r="IL535" s="105"/>
      <c r="IM535" s="105"/>
      <c r="IN535" s="105"/>
      <c r="IO535" s="105"/>
      <c r="IP535" s="105"/>
      <c r="IQ535" s="105"/>
      <c r="IR535" s="105"/>
      <c r="IS535" s="105"/>
    </row>
    <row r="536" spans="1:253">
      <c r="A536" s="116"/>
      <c r="B536" s="105"/>
      <c r="C536" s="116"/>
      <c r="D536" s="116"/>
      <c r="E536" s="116"/>
      <c r="F536" s="116"/>
      <c r="G536" s="116"/>
      <c r="H536" s="116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05"/>
      <c r="BF536" s="105"/>
      <c r="BG536" s="105"/>
      <c r="BH536" s="105"/>
      <c r="BI536" s="105"/>
      <c r="BJ536" s="105"/>
      <c r="BK536" s="105"/>
      <c r="BL536" s="105"/>
      <c r="BM536" s="105"/>
      <c r="BN536" s="105"/>
      <c r="BO536" s="105"/>
      <c r="BP536" s="105"/>
      <c r="BQ536" s="105"/>
      <c r="BR536" s="105"/>
      <c r="BS536" s="105"/>
      <c r="BT536" s="105"/>
      <c r="BU536" s="105"/>
      <c r="BV536" s="105"/>
      <c r="BW536" s="105"/>
      <c r="BX536" s="105"/>
      <c r="BY536" s="105"/>
      <c r="BZ536" s="105"/>
      <c r="CA536" s="105"/>
      <c r="CB536" s="105"/>
      <c r="CC536" s="105"/>
      <c r="CD536" s="105"/>
      <c r="CE536" s="105"/>
      <c r="CF536" s="105"/>
      <c r="CG536" s="105"/>
      <c r="CH536" s="105"/>
      <c r="CI536" s="105"/>
      <c r="CJ536" s="105"/>
      <c r="CK536" s="105"/>
      <c r="CL536" s="105"/>
      <c r="CM536" s="105"/>
      <c r="CN536" s="105"/>
      <c r="CO536" s="105"/>
      <c r="CP536" s="105"/>
      <c r="CQ536" s="105"/>
      <c r="CR536" s="105"/>
      <c r="CS536" s="105"/>
      <c r="CT536" s="105"/>
      <c r="CU536" s="105"/>
      <c r="CV536" s="105"/>
      <c r="CW536" s="105"/>
      <c r="CX536" s="105"/>
      <c r="CY536" s="105"/>
      <c r="CZ536" s="105"/>
      <c r="DA536" s="105"/>
      <c r="DB536" s="105"/>
      <c r="DC536" s="105"/>
      <c r="DD536" s="105"/>
      <c r="DE536" s="105"/>
      <c r="DF536" s="105"/>
      <c r="DG536" s="105"/>
      <c r="DH536" s="105"/>
      <c r="DI536" s="105"/>
      <c r="DJ536" s="105"/>
      <c r="DK536" s="105"/>
      <c r="DL536" s="105"/>
      <c r="DM536" s="105"/>
      <c r="DN536" s="105"/>
      <c r="DO536" s="105"/>
      <c r="DP536" s="105"/>
      <c r="DQ536" s="105"/>
      <c r="DR536" s="105"/>
      <c r="DS536" s="105"/>
      <c r="DT536" s="105"/>
      <c r="DU536" s="105"/>
      <c r="DV536" s="105"/>
      <c r="DW536" s="105"/>
      <c r="DX536" s="105"/>
      <c r="DY536" s="105"/>
      <c r="DZ536" s="105"/>
      <c r="EA536" s="105"/>
      <c r="EB536" s="105"/>
      <c r="EC536" s="105"/>
      <c r="ED536" s="105"/>
      <c r="EE536" s="105"/>
      <c r="EF536" s="105"/>
      <c r="EG536" s="105"/>
      <c r="EH536" s="105"/>
      <c r="EI536" s="105"/>
      <c r="EJ536" s="105"/>
      <c r="EK536" s="105"/>
      <c r="EL536" s="105"/>
      <c r="EM536" s="105"/>
      <c r="EN536" s="105"/>
      <c r="EO536" s="105"/>
      <c r="EP536" s="105"/>
      <c r="EQ536" s="105"/>
      <c r="ER536" s="105"/>
      <c r="ES536" s="105"/>
      <c r="ET536" s="105"/>
      <c r="EU536" s="105"/>
      <c r="EV536" s="105"/>
      <c r="EW536" s="105"/>
      <c r="EX536" s="105"/>
      <c r="EY536" s="105"/>
      <c r="EZ536" s="105"/>
      <c r="FA536" s="105"/>
      <c r="FB536" s="105"/>
      <c r="FC536" s="105"/>
      <c r="FD536" s="105"/>
      <c r="FE536" s="105"/>
      <c r="FF536" s="105"/>
      <c r="FG536" s="105"/>
      <c r="FH536" s="105"/>
      <c r="FI536" s="105"/>
      <c r="FJ536" s="105"/>
      <c r="FK536" s="105"/>
      <c r="FL536" s="105"/>
      <c r="FM536" s="105"/>
      <c r="FN536" s="105"/>
      <c r="FO536" s="105"/>
      <c r="FP536" s="105"/>
      <c r="FQ536" s="105"/>
      <c r="FR536" s="105"/>
      <c r="FS536" s="105"/>
      <c r="FT536" s="105"/>
      <c r="FU536" s="105"/>
      <c r="FV536" s="105"/>
      <c r="FW536" s="105"/>
      <c r="FX536" s="105"/>
      <c r="FY536" s="105"/>
      <c r="FZ536" s="105"/>
      <c r="GA536" s="105"/>
      <c r="GB536" s="105"/>
      <c r="GC536" s="105"/>
      <c r="GD536" s="105"/>
      <c r="GE536" s="105"/>
      <c r="GF536" s="105"/>
      <c r="GG536" s="105"/>
      <c r="GH536" s="105"/>
      <c r="GI536" s="105"/>
      <c r="GJ536" s="105"/>
      <c r="GK536" s="105"/>
      <c r="GL536" s="105"/>
      <c r="GM536" s="105"/>
      <c r="GN536" s="105"/>
      <c r="GO536" s="105"/>
      <c r="GP536" s="105"/>
      <c r="GQ536" s="105"/>
      <c r="GR536" s="105"/>
      <c r="GS536" s="105"/>
      <c r="GT536" s="105"/>
      <c r="GU536" s="105"/>
      <c r="GV536" s="105"/>
      <c r="GW536" s="105"/>
      <c r="GX536" s="105"/>
      <c r="GY536" s="105"/>
      <c r="GZ536" s="105"/>
      <c r="HA536" s="105"/>
      <c r="HB536" s="105"/>
      <c r="HC536" s="105"/>
      <c r="HD536" s="105"/>
      <c r="HE536" s="105"/>
      <c r="HF536" s="105"/>
      <c r="HG536" s="105"/>
      <c r="HH536" s="105"/>
      <c r="HI536" s="105"/>
      <c r="HJ536" s="105"/>
      <c r="HK536" s="105"/>
      <c r="HL536" s="105"/>
      <c r="HM536" s="105"/>
      <c r="HN536" s="105"/>
      <c r="HO536" s="105"/>
      <c r="HP536" s="105"/>
      <c r="HQ536" s="105"/>
      <c r="HR536" s="105"/>
      <c r="HS536" s="105"/>
      <c r="HT536" s="105"/>
      <c r="HU536" s="105"/>
      <c r="HV536" s="105"/>
      <c r="HW536" s="105"/>
      <c r="HX536" s="105"/>
      <c r="HY536" s="105"/>
      <c r="HZ536" s="105"/>
      <c r="IA536" s="105"/>
      <c r="IB536" s="105"/>
      <c r="IC536" s="105"/>
      <c r="ID536" s="105"/>
      <c r="IE536" s="105"/>
      <c r="IF536" s="105"/>
      <c r="IG536" s="105"/>
      <c r="IH536" s="105"/>
      <c r="II536" s="105"/>
      <c r="IJ536" s="105"/>
      <c r="IK536" s="105"/>
      <c r="IL536" s="105"/>
      <c r="IM536" s="105"/>
      <c r="IN536" s="105"/>
      <c r="IO536" s="105"/>
      <c r="IP536" s="105"/>
      <c r="IQ536" s="105"/>
      <c r="IR536" s="105"/>
      <c r="IS536" s="105"/>
    </row>
    <row r="537" spans="1:253">
      <c r="A537" s="116"/>
      <c r="B537" s="105"/>
      <c r="C537" s="116"/>
      <c r="D537" s="116"/>
      <c r="E537" s="116"/>
      <c r="F537" s="116"/>
      <c r="G537" s="116"/>
      <c r="H537" s="116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5"/>
      <c r="BE537" s="105"/>
      <c r="BF537" s="105"/>
      <c r="BG537" s="105"/>
      <c r="BH537" s="105"/>
      <c r="BI537" s="105"/>
      <c r="BJ537" s="105"/>
      <c r="BK537" s="105"/>
      <c r="BL537" s="105"/>
      <c r="BM537" s="105"/>
      <c r="BN537" s="105"/>
      <c r="BO537" s="105"/>
      <c r="BP537" s="105"/>
      <c r="BQ537" s="105"/>
      <c r="BR537" s="105"/>
      <c r="BS537" s="105"/>
      <c r="BT537" s="105"/>
      <c r="BU537" s="105"/>
      <c r="BV537" s="105"/>
      <c r="BW537" s="105"/>
      <c r="BX537" s="105"/>
      <c r="BY537" s="105"/>
      <c r="BZ537" s="105"/>
      <c r="CA537" s="105"/>
      <c r="CB537" s="105"/>
      <c r="CC537" s="105"/>
      <c r="CD537" s="105"/>
      <c r="CE537" s="105"/>
      <c r="CF537" s="105"/>
      <c r="CG537" s="105"/>
      <c r="CH537" s="105"/>
      <c r="CI537" s="105"/>
      <c r="CJ537" s="105"/>
      <c r="CK537" s="105"/>
      <c r="CL537" s="105"/>
      <c r="CM537" s="105"/>
      <c r="CN537" s="105"/>
      <c r="CO537" s="105"/>
      <c r="CP537" s="105"/>
      <c r="CQ537" s="105"/>
      <c r="CR537" s="105"/>
      <c r="CS537" s="105"/>
      <c r="CT537" s="105"/>
      <c r="CU537" s="105"/>
      <c r="CV537" s="105"/>
      <c r="CW537" s="105"/>
      <c r="CX537" s="105"/>
      <c r="CY537" s="105"/>
      <c r="CZ537" s="105"/>
      <c r="DA537" s="105"/>
      <c r="DB537" s="105"/>
      <c r="DC537" s="105"/>
      <c r="DD537" s="105"/>
      <c r="DE537" s="105"/>
      <c r="DF537" s="105"/>
      <c r="DG537" s="105"/>
      <c r="DH537" s="105"/>
      <c r="DI537" s="105"/>
      <c r="DJ537" s="105"/>
      <c r="DK537" s="105"/>
      <c r="DL537" s="105"/>
      <c r="DM537" s="105"/>
      <c r="DN537" s="105"/>
      <c r="DO537" s="105"/>
      <c r="DP537" s="105"/>
      <c r="DQ537" s="105"/>
      <c r="DR537" s="105"/>
      <c r="DS537" s="105"/>
      <c r="DT537" s="105"/>
      <c r="DU537" s="105"/>
      <c r="DV537" s="105"/>
      <c r="DW537" s="105"/>
      <c r="DX537" s="105"/>
      <c r="DY537" s="105"/>
      <c r="DZ537" s="105"/>
      <c r="EA537" s="105"/>
      <c r="EB537" s="105"/>
      <c r="EC537" s="105"/>
      <c r="ED537" s="105"/>
      <c r="EE537" s="105"/>
      <c r="EF537" s="105"/>
      <c r="EG537" s="105"/>
      <c r="EH537" s="105"/>
      <c r="EI537" s="105"/>
      <c r="EJ537" s="105"/>
      <c r="EK537" s="105"/>
      <c r="EL537" s="105"/>
      <c r="EM537" s="105"/>
      <c r="EN537" s="105"/>
      <c r="EO537" s="105"/>
      <c r="EP537" s="105"/>
      <c r="EQ537" s="105"/>
      <c r="ER537" s="105"/>
      <c r="ES537" s="105"/>
      <c r="ET537" s="105"/>
      <c r="EU537" s="105"/>
      <c r="EV537" s="105"/>
      <c r="EW537" s="105"/>
      <c r="EX537" s="105"/>
      <c r="EY537" s="105"/>
      <c r="EZ537" s="105"/>
      <c r="FA537" s="105"/>
      <c r="FB537" s="105"/>
      <c r="FC537" s="105"/>
      <c r="FD537" s="105"/>
      <c r="FE537" s="105"/>
      <c r="FF537" s="105"/>
      <c r="FG537" s="105"/>
      <c r="FH537" s="105"/>
      <c r="FI537" s="105"/>
      <c r="FJ537" s="105"/>
      <c r="FK537" s="105"/>
      <c r="FL537" s="105"/>
      <c r="FM537" s="105"/>
      <c r="FN537" s="105"/>
      <c r="FO537" s="105"/>
      <c r="FP537" s="105"/>
      <c r="FQ537" s="105"/>
      <c r="FR537" s="105"/>
      <c r="FS537" s="105"/>
      <c r="FT537" s="105"/>
      <c r="FU537" s="105"/>
      <c r="FV537" s="105"/>
      <c r="FW537" s="105"/>
      <c r="FX537" s="105"/>
      <c r="FY537" s="105"/>
      <c r="FZ537" s="105"/>
      <c r="GA537" s="105"/>
      <c r="GB537" s="105"/>
      <c r="GC537" s="105"/>
      <c r="GD537" s="105"/>
      <c r="GE537" s="105"/>
      <c r="GF537" s="105"/>
      <c r="GG537" s="105"/>
      <c r="GH537" s="105"/>
      <c r="GI537" s="105"/>
      <c r="GJ537" s="105"/>
      <c r="GK537" s="105"/>
      <c r="GL537" s="105"/>
      <c r="GM537" s="105"/>
      <c r="GN537" s="105"/>
      <c r="GO537" s="105"/>
      <c r="GP537" s="105"/>
      <c r="GQ537" s="105"/>
      <c r="GR537" s="105"/>
      <c r="GS537" s="105"/>
      <c r="GT537" s="105"/>
      <c r="GU537" s="105"/>
      <c r="GV537" s="105"/>
      <c r="GW537" s="105"/>
      <c r="GX537" s="105"/>
      <c r="GY537" s="105"/>
      <c r="GZ537" s="105"/>
      <c r="HA537" s="105"/>
      <c r="HB537" s="105"/>
      <c r="HC537" s="105"/>
      <c r="HD537" s="105"/>
      <c r="HE537" s="105"/>
      <c r="HF537" s="105"/>
      <c r="HG537" s="105"/>
      <c r="HH537" s="105"/>
      <c r="HI537" s="105"/>
      <c r="HJ537" s="105"/>
      <c r="HK537" s="105"/>
      <c r="HL537" s="105"/>
      <c r="HM537" s="105"/>
      <c r="HN537" s="105"/>
      <c r="HO537" s="105"/>
      <c r="HP537" s="105"/>
      <c r="HQ537" s="105"/>
      <c r="HR537" s="105"/>
      <c r="HS537" s="105"/>
      <c r="HT537" s="105"/>
      <c r="HU537" s="105"/>
      <c r="HV537" s="105"/>
      <c r="HW537" s="105"/>
      <c r="HX537" s="105"/>
      <c r="HY537" s="105"/>
      <c r="HZ537" s="105"/>
      <c r="IA537" s="105"/>
      <c r="IB537" s="105"/>
      <c r="IC537" s="105"/>
      <c r="ID537" s="105"/>
      <c r="IE537" s="105"/>
      <c r="IF537" s="105"/>
      <c r="IG537" s="105"/>
      <c r="IH537" s="105"/>
      <c r="II537" s="105"/>
      <c r="IJ537" s="105"/>
      <c r="IK537" s="105"/>
      <c r="IL537" s="105"/>
      <c r="IM537" s="105"/>
      <c r="IN537" s="105"/>
      <c r="IO537" s="105"/>
      <c r="IP537" s="105"/>
      <c r="IQ537" s="105"/>
      <c r="IR537" s="105"/>
      <c r="IS537" s="105"/>
    </row>
    <row r="538" spans="1:253">
      <c r="A538" s="116"/>
      <c r="B538" s="105"/>
      <c r="C538" s="116"/>
      <c r="D538" s="116"/>
      <c r="E538" s="116"/>
      <c r="F538" s="116"/>
      <c r="G538" s="116"/>
      <c r="H538" s="116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05"/>
      <c r="BF538" s="105"/>
      <c r="BG538" s="105"/>
      <c r="BH538" s="105"/>
      <c r="BI538" s="105"/>
      <c r="BJ538" s="105"/>
      <c r="BK538" s="105"/>
      <c r="BL538" s="105"/>
      <c r="BM538" s="105"/>
      <c r="BN538" s="105"/>
      <c r="BO538" s="105"/>
      <c r="BP538" s="105"/>
      <c r="BQ538" s="105"/>
      <c r="BR538" s="105"/>
      <c r="BS538" s="105"/>
      <c r="BT538" s="105"/>
      <c r="BU538" s="105"/>
      <c r="BV538" s="105"/>
      <c r="BW538" s="105"/>
      <c r="BX538" s="105"/>
      <c r="BY538" s="105"/>
      <c r="BZ538" s="105"/>
      <c r="CA538" s="105"/>
      <c r="CB538" s="105"/>
      <c r="CC538" s="105"/>
      <c r="CD538" s="105"/>
      <c r="CE538" s="105"/>
      <c r="CF538" s="105"/>
      <c r="CG538" s="105"/>
      <c r="CH538" s="105"/>
      <c r="CI538" s="105"/>
      <c r="CJ538" s="105"/>
      <c r="CK538" s="105"/>
      <c r="CL538" s="105"/>
      <c r="CM538" s="105"/>
      <c r="CN538" s="105"/>
      <c r="CO538" s="105"/>
      <c r="CP538" s="105"/>
      <c r="CQ538" s="105"/>
      <c r="CR538" s="105"/>
      <c r="CS538" s="105"/>
      <c r="CT538" s="105"/>
      <c r="CU538" s="105"/>
      <c r="CV538" s="105"/>
      <c r="CW538" s="105"/>
      <c r="CX538" s="105"/>
      <c r="CY538" s="105"/>
      <c r="CZ538" s="105"/>
      <c r="DA538" s="105"/>
      <c r="DB538" s="105"/>
      <c r="DC538" s="105"/>
      <c r="DD538" s="105"/>
      <c r="DE538" s="105"/>
      <c r="DF538" s="105"/>
      <c r="DG538" s="105"/>
      <c r="DH538" s="105"/>
      <c r="DI538" s="105"/>
      <c r="DJ538" s="105"/>
      <c r="DK538" s="105"/>
      <c r="DL538" s="105"/>
      <c r="DM538" s="105"/>
      <c r="DN538" s="105"/>
      <c r="DO538" s="105"/>
      <c r="DP538" s="105"/>
      <c r="DQ538" s="105"/>
      <c r="DR538" s="105"/>
      <c r="DS538" s="105"/>
      <c r="DT538" s="105"/>
      <c r="DU538" s="105"/>
      <c r="DV538" s="105"/>
      <c r="DW538" s="105"/>
      <c r="DX538" s="105"/>
      <c r="DY538" s="105"/>
      <c r="DZ538" s="105"/>
      <c r="EA538" s="105"/>
      <c r="EB538" s="105"/>
      <c r="EC538" s="105"/>
      <c r="ED538" s="105"/>
      <c r="EE538" s="105"/>
      <c r="EF538" s="105"/>
      <c r="EG538" s="105"/>
      <c r="EH538" s="105"/>
      <c r="EI538" s="105"/>
      <c r="EJ538" s="105"/>
      <c r="EK538" s="105"/>
      <c r="EL538" s="105"/>
      <c r="EM538" s="105"/>
      <c r="EN538" s="105"/>
      <c r="EO538" s="105"/>
      <c r="EP538" s="105"/>
      <c r="EQ538" s="105"/>
      <c r="ER538" s="105"/>
      <c r="ES538" s="105"/>
      <c r="ET538" s="105"/>
      <c r="EU538" s="105"/>
      <c r="EV538" s="105"/>
      <c r="EW538" s="105"/>
      <c r="EX538" s="105"/>
      <c r="EY538" s="105"/>
      <c r="EZ538" s="105"/>
      <c r="FA538" s="105"/>
      <c r="FB538" s="105"/>
      <c r="FC538" s="105"/>
      <c r="FD538" s="105"/>
      <c r="FE538" s="105"/>
      <c r="FF538" s="105"/>
      <c r="FG538" s="105"/>
      <c r="FH538" s="105"/>
      <c r="FI538" s="105"/>
      <c r="FJ538" s="105"/>
      <c r="FK538" s="105"/>
      <c r="FL538" s="105"/>
      <c r="FM538" s="105"/>
      <c r="FN538" s="105"/>
      <c r="FO538" s="105"/>
      <c r="FP538" s="105"/>
      <c r="FQ538" s="105"/>
      <c r="FR538" s="105"/>
      <c r="FS538" s="105"/>
      <c r="FT538" s="105"/>
      <c r="FU538" s="105"/>
      <c r="FV538" s="105"/>
      <c r="FW538" s="105"/>
      <c r="FX538" s="105"/>
      <c r="FY538" s="105"/>
      <c r="FZ538" s="105"/>
      <c r="GA538" s="105"/>
      <c r="GB538" s="105"/>
      <c r="GC538" s="105"/>
      <c r="GD538" s="105"/>
      <c r="GE538" s="105"/>
      <c r="GF538" s="105"/>
      <c r="GG538" s="105"/>
      <c r="GH538" s="105"/>
      <c r="GI538" s="105"/>
      <c r="GJ538" s="105"/>
      <c r="GK538" s="105"/>
      <c r="GL538" s="105"/>
      <c r="GM538" s="105"/>
      <c r="GN538" s="105"/>
      <c r="GO538" s="105"/>
      <c r="GP538" s="105"/>
      <c r="GQ538" s="105"/>
      <c r="GR538" s="105"/>
      <c r="GS538" s="105"/>
      <c r="GT538" s="105"/>
      <c r="GU538" s="105"/>
      <c r="GV538" s="105"/>
      <c r="GW538" s="105"/>
      <c r="GX538" s="105"/>
      <c r="GY538" s="105"/>
      <c r="GZ538" s="105"/>
      <c r="HA538" s="105"/>
      <c r="HB538" s="105"/>
      <c r="HC538" s="105"/>
      <c r="HD538" s="105"/>
      <c r="HE538" s="105"/>
      <c r="HF538" s="105"/>
      <c r="HG538" s="105"/>
      <c r="HH538" s="105"/>
      <c r="HI538" s="105"/>
      <c r="HJ538" s="105"/>
      <c r="HK538" s="105"/>
      <c r="HL538" s="105"/>
      <c r="HM538" s="105"/>
      <c r="HN538" s="105"/>
      <c r="HO538" s="105"/>
      <c r="HP538" s="105"/>
      <c r="HQ538" s="105"/>
      <c r="HR538" s="105"/>
      <c r="HS538" s="105"/>
      <c r="HT538" s="105"/>
      <c r="HU538" s="105"/>
      <c r="HV538" s="105"/>
      <c r="HW538" s="105"/>
      <c r="HX538" s="105"/>
      <c r="HY538" s="105"/>
      <c r="HZ538" s="105"/>
      <c r="IA538" s="105"/>
      <c r="IB538" s="105"/>
      <c r="IC538" s="105"/>
      <c r="ID538" s="105"/>
      <c r="IE538" s="105"/>
      <c r="IF538" s="105"/>
      <c r="IG538" s="105"/>
      <c r="IH538" s="105"/>
      <c r="II538" s="105"/>
      <c r="IJ538" s="105"/>
      <c r="IK538" s="105"/>
      <c r="IL538" s="105"/>
      <c r="IM538" s="105"/>
      <c r="IN538" s="105"/>
      <c r="IO538" s="105"/>
      <c r="IP538" s="105"/>
      <c r="IQ538" s="105"/>
      <c r="IR538" s="105"/>
      <c r="IS538" s="105"/>
    </row>
    <row r="539" spans="1:253">
      <c r="A539" s="116"/>
      <c r="B539" s="105"/>
      <c r="C539" s="116"/>
      <c r="D539" s="116"/>
      <c r="E539" s="116"/>
      <c r="F539" s="116"/>
      <c r="G539" s="116"/>
      <c r="H539" s="116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5"/>
      <c r="BE539" s="105"/>
      <c r="BF539" s="105"/>
      <c r="BG539" s="105"/>
      <c r="BH539" s="105"/>
      <c r="BI539" s="105"/>
      <c r="BJ539" s="105"/>
      <c r="BK539" s="105"/>
      <c r="BL539" s="105"/>
      <c r="BM539" s="105"/>
      <c r="BN539" s="105"/>
      <c r="BO539" s="105"/>
      <c r="BP539" s="105"/>
      <c r="BQ539" s="105"/>
      <c r="BR539" s="105"/>
      <c r="BS539" s="105"/>
      <c r="BT539" s="105"/>
      <c r="BU539" s="105"/>
      <c r="BV539" s="105"/>
      <c r="BW539" s="105"/>
      <c r="BX539" s="105"/>
      <c r="BY539" s="105"/>
      <c r="BZ539" s="105"/>
      <c r="CA539" s="105"/>
      <c r="CB539" s="105"/>
      <c r="CC539" s="105"/>
      <c r="CD539" s="105"/>
      <c r="CE539" s="105"/>
      <c r="CF539" s="105"/>
      <c r="CG539" s="105"/>
      <c r="CH539" s="105"/>
      <c r="CI539" s="105"/>
      <c r="CJ539" s="105"/>
      <c r="CK539" s="105"/>
      <c r="CL539" s="105"/>
      <c r="CM539" s="105"/>
      <c r="CN539" s="105"/>
      <c r="CO539" s="105"/>
      <c r="CP539" s="105"/>
      <c r="CQ539" s="105"/>
      <c r="CR539" s="105"/>
      <c r="CS539" s="105"/>
      <c r="CT539" s="105"/>
      <c r="CU539" s="105"/>
      <c r="CV539" s="105"/>
      <c r="CW539" s="105"/>
      <c r="CX539" s="105"/>
      <c r="CY539" s="105"/>
      <c r="CZ539" s="105"/>
      <c r="DA539" s="105"/>
      <c r="DB539" s="105"/>
      <c r="DC539" s="105"/>
      <c r="DD539" s="105"/>
      <c r="DE539" s="105"/>
      <c r="DF539" s="105"/>
      <c r="DG539" s="105"/>
      <c r="DH539" s="105"/>
      <c r="DI539" s="105"/>
      <c r="DJ539" s="105"/>
      <c r="DK539" s="105"/>
      <c r="DL539" s="105"/>
      <c r="DM539" s="105"/>
      <c r="DN539" s="105"/>
      <c r="DO539" s="105"/>
      <c r="DP539" s="105"/>
      <c r="DQ539" s="105"/>
      <c r="DR539" s="105"/>
      <c r="DS539" s="105"/>
      <c r="DT539" s="105"/>
      <c r="DU539" s="105"/>
      <c r="DV539" s="105"/>
      <c r="DW539" s="105"/>
      <c r="DX539" s="105"/>
      <c r="DY539" s="105"/>
      <c r="DZ539" s="105"/>
      <c r="EA539" s="105"/>
      <c r="EB539" s="105"/>
      <c r="EC539" s="105"/>
      <c r="ED539" s="105"/>
      <c r="EE539" s="105"/>
      <c r="EF539" s="105"/>
      <c r="EG539" s="105"/>
      <c r="EH539" s="105"/>
      <c r="EI539" s="105"/>
      <c r="EJ539" s="105"/>
      <c r="EK539" s="105"/>
      <c r="EL539" s="105"/>
      <c r="EM539" s="105"/>
      <c r="EN539" s="105"/>
      <c r="EO539" s="105"/>
      <c r="EP539" s="105"/>
      <c r="EQ539" s="105"/>
      <c r="ER539" s="105"/>
      <c r="ES539" s="105"/>
      <c r="ET539" s="105"/>
      <c r="EU539" s="105"/>
      <c r="EV539" s="105"/>
      <c r="EW539" s="105"/>
      <c r="EX539" s="105"/>
      <c r="EY539" s="105"/>
      <c r="EZ539" s="105"/>
      <c r="FA539" s="105"/>
      <c r="FB539" s="105"/>
      <c r="FC539" s="105"/>
      <c r="FD539" s="105"/>
      <c r="FE539" s="105"/>
      <c r="FF539" s="105"/>
      <c r="FG539" s="105"/>
      <c r="FH539" s="105"/>
      <c r="FI539" s="105"/>
      <c r="FJ539" s="105"/>
      <c r="FK539" s="105"/>
      <c r="FL539" s="105"/>
      <c r="FM539" s="105"/>
      <c r="FN539" s="105"/>
      <c r="FO539" s="105"/>
      <c r="FP539" s="105"/>
      <c r="FQ539" s="105"/>
      <c r="FR539" s="105"/>
      <c r="FS539" s="105"/>
      <c r="FT539" s="105"/>
      <c r="FU539" s="105"/>
      <c r="FV539" s="105"/>
      <c r="FW539" s="105"/>
      <c r="FX539" s="105"/>
      <c r="FY539" s="105"/>
      <c r="FZ539" s="105"/>
      <c r="GA539" s="105"/>
      <c r="GB539" s="105"/>
      <c r="GC539" s="105"/>
      <c r="GD539" s="105"/>
      <c r="GE539" s="105"/>
      <c r="GF539" s="105"/>
      <c r="GG539" s="105"/>
      <c r="GH539" s="105"/>
      <c r="GI539" s="105"/>
      <c r="GJ539" s="105"/>
      <c r="GK539" s="105"/>
      <c r="GL539" s="105"/>
      <c r="GM539" s="105"/>
      <c r="GN539" s="105"/>
      <c r="GO539" s="105"/>
      <c r="GP539" s="105"/>
      <c r="GQ539" s="105"/>
      <c r="GR539" s="105"/>
      <c r="GS539" s="105"/>
      <c r="GT539" s="105"/>
      <c r="GU539" s="105"/>
      <c r="GV539" s="105"/>
      <c r="GW539" s="105"/>
      <c r="GX539" s="105"/>
      <c r="GY539" s="105"/>
      <c r="GZ539" s="105"/>
      <c r="HA539" s="105"/>
      <c r="HB539" s="105"/>
      <c r="HC539" s="105"/>
      <c r="HD539" s="105"/>
      <c r="HE539" s="105"/>
      <c r="HF539" s="105"/>
      <c r="HG539" s="105"/>
      <c r="HH539" s="105"/>
      <c r="HI539" s="105"/>
      <c r="HJ539" s="105"/>
      <c r="HK539" s="105"/>
      <c r="HL539" s="105"/>
      <c r="HM539" s="105"/>
      <c r="HN539" s="105"/>
      <c r="HO539" s="105"/>
      <c r="HP539" s="105"/>
      <c r="HQ539" s="105"/>
      <c r="HR539" s="105"/>
      <c r="HS539" s="105"/>
      <c r="HT539" s="105"/>
      <c r="HU539" s="105"/>
      <c r="HV539" s="105"/>
      <c r="HW539" s="105"/>
      <c r="HX539" s="105"/>
      <c r="HY539" s="105"/>
      <c r="HZ539" s="105"/>
      <c r="IA539" s="105"/>
      <c r="IB539" s="105"/>
      <c r="IC539" s="105"/>
      <c r="ID539" s="105"/>
      <c r="IE539" s="105"/>
      <c r="IF539" s="105"/>
      <c r="IG539" s="105"/>
      <c r="IH539" s="105"/>
      <c r="II539" s="105"/>
      <c r="IJ539" s="105"/>
      <c r="IK539" s="105"/>
      <c r="IL539" s="105"/>
      <c r="IM539" s="105"/>
      <c r="IN539" s="105"/>
      <c r="IO539" s="105"/>
      <c r="IP539" s="105"/>
      <c r="IQ539" s="105"/>
      <c r="IR539" s="105"/>
      <c r="IS539" s="105"/>
    </row>
    <row r="540" spans="1:253">
      <c r="A540" s="116"/>
      <c r="B540" s="105"/>
      <c r="C540" s="116"/>
      <c r="D540" s="116"/>
      <c r="E540" s="116"/>
      <c r="F540" s="116"/>
      <c r="G540" s="116"/>
      <c r="H540" s="116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05"/>
      <c r="BF540" s="105"/>
      <c r="BG540" s="105"/>
      <c r="BH540" s="105"/>
      <c r="BI540" s="105"/>
      <c r="BJ540" s="105"/>
      <c r="BK540" s="105"/>
      <c r="BL540" s="105"/>
      <c r="BM540" s="105"/>
      <c r="BN540" s="105"/>
      <c r="BO540" s="105"/>
      <c r="BP540" s="105"/>
      <c r="BQ540" s="105"/>
      <c r="BR540" s="105"/>
      <c r="BS540" s="105"/>
      <c r="BT540" s="105"/>
      <c r="BU540" s="105"/>
      <c r="BV540" s="105"/>
      <c r="BW540" s="105"/>
      <c r="BX540" s="105"/>
      <c r="BY540" s="105"/>
      <c r="BZ540" s="105"/>
      <c r="CA540" s="105"/>
      <c r="CB540" s="105"/>
      <c r="CC540" s="105"/>
      <c r="CD540" s="105"/>
      <c r="CE540" s="105"/>
      <c r="CF540" s="105"/>
      <c r="CG540" s="105"/>
      <c r="CH540" s="105"/>
      <c r="CI540" s="105"/>
      <c r="CJ540" s="105"/>
      <c r="CK540" s="105"/>
      <c r="CL540" s="105"/>
      <c r="CM540" s="105"/>
      <c r="CN540" s="105"/>
      <c r="CO540" s="105"/>
      <c r="CP540" s="105"/>
      <c r="CQ540" s="105"/>
      <c r="CR540" s="105"/>
      <c r="CS540" s="105"/>
      <c r="CT540" s="105"/>
      <c r="CU540" s="105"/>
      <c r="CV540" s="105"/>
      <c r="CW540" s="105"/>
      <c r="CX540" s="105"/>
      <c r="CY540" s="105"/>
      <c r="CZ540" s="105"/>
      <c r="DA540" s="105"/>
      <c r="DB540" s="105"/>
      <c r="DC540" s="105"/>
      <c r="DD540" s="105"/>
      <c r="DE540" s="105"/>
      <c r="DF540" s="105"/>
      <c r="DG540" s="105"/>
      <c r="DH540" s="105"/>
      <c r="DI540" s="105"/>
      <c r="DJ540" s="105"/>
      <c r="DK540" s="105"/>
      <c r="DL540" s="105"/>
      <c r="DM540" s="105"/>
      <c r="DN540" s="105"/>
      <c r="DO540" s="105"/>
      <c r="DP540" s="105"/>
      <c r="DQ540" s="105"/>
      <c r="DR540" s="105"/>
      <c r="DS540" s="105"/>
      <c r="DT540" s="105"/>
      <c r="DU540" s="105"/>
      <c r="DV540" s="105"/>
      <c r="DW540" s="105"/>
      <c r="DX540" s="105"/>
      <c r="DY540" s="105"/>
      <c r="DZ540" s="105"/>
      <c r="EA540" s="105"/>
      <c r="EB540" s="105"/>
      <c r="EC540" s="105"/>
      <c r="ED540" s="105"/>
      <c r="EE540" s="105"/>
      <c r="EF540" s="105"/>
      <c r="EG540" s="105"/>
      <c r="EH540" s="105"/>
      <c r="EI540" s="105"/>
      <c r="EJ540" s="105"/>
      <c r="EK540" s="105"/>
      <c r="EL540" s="105"/>
      <c r="EM540" s="105"/>
      <c r="EN540" s="105"/>
      <c r="EO540" s="105"/>
      <c r="EP540" s="105"/>
      <c r="EQ540" s="105"/>
      <c r="ER540" s="105"/>
      <c r="ES540" s="105"/>
      <c r="ET540" s="105"/>
      <c r="EU540" s="105"/>
      <c r="EV540" s="105"/>
      <c r="EW540" s="105"/>
      <c r="EX540" s="105"/>
      <c r="EY540" s="105"/>
      <c r="EZ540" s="105"/>
      <c r="FA540" s="105"/>
      <c r="FB540" s="105"/>
      <c r="FC540" s="105"/>
      <c r="FD540" s="105"/>
      <c r="FE540" s="105"/>
      <c r="FF540" s="105"/>
      <c r="FG540" s="105"/>
      <c r="FH540" s="105"/>
      <c r="FI540" s="105"/>
      <c r="FJ540" s="105"/>
      <c r="FK540" s="105"/>
      <c r="FL540" s="105"/>
      <c r="FM540" s="105"/>
      <c r="FN540" s="105"/>
      <c r="FO540" s="105"/>
      <c r="FP540" s="105"/>
      <c r="FQ540" s="105"/>
      <c r="FR540" s="105"/>
      <c r="FS540" s="105"/>
      <c r="FT540" s="105"/>
      <c r="FU540" s="105"/>
      <c r="FV540" s="105"/>
      <c r="FW540" s="105"/>
      <c r="FX540" s="105"/>
      <c r="FY540" s="105"/>
      <c r="FZ540" s="105"/>
      <c r="GA540" s="105"/>
      <c r="GB540" s="105"/>
      <c r="GC540" s="105"/>
      <c r="GD540" s="105"/>
      <c r="GE540" s="105"/>
      <c r="GF540" s="105"/>
      <c r="GG540" s="105"/>
      <c r="GH540" s="105"/>
      <c r="GI540" s="105"/>
      <c r="GJ540" s="105"/>
      <c r="GK540" s="105"/>
      <c r="GL540" s="105"/>
      <c r="GM540" s="105"/>
      <c r="GN540" s="105"/>
      <c r="GO540" s="105"/>
      <c r="GP540" s="105"/>
      <c r="GQ540" s="105"/>
      <c r="GR540" s="105"/>
      <c r="GS540" s="105"/>
      <c r="GT540" s="105"/>
      <c r="GU540" s="105"/>
      <c r="GV540" s="105"/>
      <c r="GW540" s="105"/>
      <c r="GX540" s="105"/>
      <c r="GY540" s="105"/>
      <c r="GZ540" s="105"/>
      <c r="HA540" s="105"/>
      <c r="HB540" s="105"/>
      <c r="HC540" s="105"/>
      <c r="HD540" s="105"/>
      <c r="HE540" s="105"/>
      <c r="HF540" s="105"/>
      <c r="HG540" s="105"/>
      <c r="HH540" s="105"/>
      <c r="HI540" s="105"/>
      <c r="HJ540" s="105"/>
      <c r="HK540" s="105"/>
      <c r="HL540" s="105"/>
      <c r="HM540" s="105"/>
      <c r="HN540" s="105"/>
      <c r="HO540" s="105"/>
      <c r="HP540" s="105"/>
      <c r="HQ540" s="105"/>
      <c r="HR540" s="105"/>
      <c r="HS540" s="105"/>
      <c r="HT540" s="105"/>
      <c r="HU540" s="105"/>
      <c r="HV540" s="105"/>
      <c r="HW540" s="105"/>
      <c r="HX540" s="105"/>
      <c r="HY540" s="105"/>
      <c r="HZ540" s="105"/>
      <c r="IA540" s="105"/>
      <c r="IB540" s="105"/>
      <c r="IC540" s="105"/>
      <c r="ID540" s="105"/>
      <c r="IE540" s="105"/>
      <c r="IF540" s="105"/>
      <c r="IG540" s="105"/>
      <c r="IH540" s="105"/>
      <c r="II540" s="105"/>
      <c r="IJ540" s="105"/>
      <c r="IK540" s="105"/>
      <c r="IL540" s="105"/>
      <c r="IM540" s="105"/>
      <c r="IN540" s="105"/>
      <c r="IO540" s="105"/>
      <c r="IP540" s="105"/>
      <c r="IQ540" s="105"/>
      <c r="IR540" s="105"/>
      <c r="IS540" s="105"/>
    </row>
    <row r="541" spans="1:253">
      <c r="A541" s="116"/>
      <c r="B541" s="105"/>
      <c r="C541" s="116"/>
      <c r="D541" s="116"/>
      <c r="E541" s="116"/>
      <c r="F541" s="116"/>
      <c r="G541" s="116"/>
      <c r="H541" s="116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  <c r="AU541" s="105"/>
      <c r="AV541" s="105"/>
      <c r="AW541" s="105"/>
      <c r="AX541" s="105"/>
      <c r="AY541" s="105"/>
      <c r="AZ541" s="105"/>
      <c r="BA541" s="105"/>
      <c r="BB541" s="105"/>
      <c r="BC541" s="105"/>
      <c r="BD541" s="105"/>
      <c r="BE541" s="105"/>
      <c r="BF541" s="105"/>
      <c r="BG541" s="105"/>
      <c r="BH541" s="105"/>
      <c r="BI541" s="105"/>
      <c r="BJ541" s="105"/>
      <c r="BK541" s="105"/>
      <c r="BL541" s="105"/>
      <c r="BM541" s="105"/>
      <c r="BN541" s="105"/>
      <c r="BO541" s="105"/>
      <c r="BP541" s="105"/>
      <c r="BQ541" s="105"/>
      <c r="BR541" s="105"/>
      <c r="BS541" s="105"/>
      <c r="BT541" s="105"/>
      <c r="BU541" s="105"/>
      <c r="BV541" s="105"/>
      <c r="BW541" s="105"/>
      <c r="BX541" s="105"/>
      <c r="BY541" s="105"/>
      <c r="BZ541" s="105"/>
      <c r="CA541" s="105"/>
      <c r="CB541" s="105"/>
      <c r="CC541" s="105"/>
      <c r="CD541" s="105"/>
      <c r="CE541" s="105"/>
      <c r="CF541" s="105"/>
      <c r="CG541" s="105"/>
      <c r="CH541" s="105"/>
      <c r="CI541" s="105"/>
      <c r="CJ541" s="105"/>
      <c r="CK541" s="105"/>
      <c r="CL541" s="105"/>
      <c r="CM541" s="105"/>
      <c r="CN541" s="105"/>
      <c r="CO541" s="105"/>
      <c r="CP541" s="105"/>
      <c r="CQ541" s="105"/>
      <c r="CR541" s="105"/>
      <c r="CS541" s="105"/>
      <c r="CT541" s="105"/>
      <c r="CU541" s="105"/>
      <c r="CV541" s="105"/>
      <c r="CW541" s="105"/>
      <c r="CX541" s="105"/>
      <c r="CY541" s="105"/>
      <c r="CZ541" s="105"/>
      <c r="DA541" s="105"/>
      <c r="DB541" s="105"/>
      <c r="DC541" s="105"/>
      <c r="DD541" s="105"/>
      <c r="DE541" s="105"/>
      <c r="DF541" s="105"/>
      <c r="DG541" s="105"/>
      <c r="DH541" s="105"/>
      <c r="DI541" s="105"/>
      <c r="DJ541" s="105"/>
      <c r="DK541" s="105"/>
      <c r="DL541" s="105"/>
      <c r="DM541" s="105"/>
      <c r="DN541" s="105"/>
      <c r="DO541" s="105"/>
      <c r="DP541" s="105"/>
      <c r="DQ541" s="105"/>
      <c r="DR541" s="105"/>
      <c r="DS541" s="105"/>
      <c r="DT541" s="105"/>
      <c r="DU541" s="105"/>
      <c r="DV541" s="105"/>
      <c r="DW541" s="105"/>
      <c r="DX541" s="105"/>
      <c r="DY541" s="105"/>
      <c r="DZ541" s="105"/>
      <c r="EA541" s="105"/>
      <c r="EB541" s="105"/>
      <c r="EC541" s="105"/>
      <c r="ED541" s="105"/>
      <c r="EE541" s="105"/>
      <c r="EF541" s="105"/>
      <c r="EG541" s="105"/>
      <c r="EH541" s="105"/>
      <c r="EI541" s="105"/>
      <c r="EJ541" s="105"/>
      <c r="EK541" s="105"/>
      <c r="EL541" s="105"/>
      <c r="EM541" s="105"/>
      <c r="EN541" s="105"/>
      <c r="EO541" s="105"/>
      <c r="EP541" s="105"/>
      <c r="EQ541" s="105"/>
      <c r="ER541" s="105"/>
      <c r="ES541" s="105"/>
      <c r="ET541" s="105"/>
      <c r="EU541" s="105"/>
      <c r="EV541" s="105"/>
      <c r="EW541" s="105"/>
      <c r="EX541" s="105"/>
      <c r="EY541" s="105"/>
      <c r="EZ541" s="105"/>
      <c r="FA541" s="105"/>
      <c r="FB541" s="105"/>
      <c r="FC541" s="105"/>
      <c r="FD541" s="105"/>
      <c r="FE541" s="105"/>
      <c r="FF541" s="105"/>
      <c r="FG541" s="105"/>
      <c r="FH541" s="105"/>
      <c r="FI541" s="105"/>
      <c r="FJ541" s="105"/>
      <c r="FK541" s="105"/>
      <c r="FL541" s="105"/>
      <c r="FM541" s="105"/>
      <c r="FN541" s="105"/>
      <c r="FO541" s="105"/>
      <c r="FP541" s="105"/>
      <c r="FQ541" s="105"/>
      <c r="FR541" s="105"/>
      <c r="FS541" s="105"/>
      <c r="FT541" s="105"/>
      <c r="FU541" s="105"/>
      <c r="FV541" s="105"/>
      <c r="FW541" s="105"/>
      <c r="FX541" s="105"/>
      <c r="FY541" s="105"/>
      <c r="FZ541" s="105"/>
      <c r="GA541" s="105"/>
      <c r="GB541" s="105"/>
      <c r="GC541" s="105"/>
      <c r="GD541" s="105"/>
      <c r="GE541" s="105"/>
      <c r="GF541" s="105"/>
      <c r="GG541" s="105"/>
      <c r="GH541" s="105"/>
      <c r="GI541" s="105"/>
      <c r="GJ541" s="105"/>
      <c r="GK541" s="105"/>
      <c r="GL541" s="105"/>
      <c r="GM541" s="105"/>
      <c r="GN541" s="105"/>
      <c r="GO541" s="105"/>
      <c r="GP541" s="105"/>
      <c r="GQ541" s="105"/>
      <c r="GR541" s="105"/>
      <c r="GS541" s="105"/>
      <c r="GT541" s="105"/>
      <c r="GU541" s="105"/>
      <c r="GV541" s="105"/>
      <c r="GW541" s="105"/>
      <c r="GX541" s="105"/>
      <c r="GY541" s="105"/>
      <c r="GZ541" s="105"/>
      <c r="HA541" s="105"/>
      <c r="HB541" s="105"/>
      <c r="HC541" s="105"/>
      <c r="HD541" s="105"/>
      <c r="HE541" s="105"/>
      <c r="HF541" s="105"/>
      <c r="HG541" s="105"/>
      <c r="HH541" s="105"/>
      <c r="HI541" s="105"/>
      <c r="HJ541" s="105"/>
      <c r="HK541" s="105"/>
      <c r="HL541" s="105"/>
      <c r="HM541" s="105"/>
      <c r="HN541" s="105"/>
      <c r="HO541" s="105"/>
      <c r="HP541" s="105"/>
      <c r="HQ541" s="105"/>
      <c r="HR541" s="105"/>
      <c r="HS541" s="105"/>
      <c r="HT541" s="105"/>
      <c r="HU541" s="105"/>
      <c r="HV541" s="105"/>
      <c r="HW541" s="105"/>
      <c r="HX541" s="105"/>
      <c r="HY541" s="105"/>
      <c r="HZ541" s="105"/>
      <c r="IA541" s="105"/>
      <c r="IB541" s="105"/>
      <c r="IC541" s="105"/>
      <c r="ID541" s="105"/>
      <c r="IE541" s="105"/>
      <c r="IF541" s="105"/>
      <c r="IG541" s="105"/>
      <c r="IH541" s="105"/>
      <c r="II541" s="105"/>
      <c r="IJ541" s="105"/>
      <c r="IK541" s="105"/>
      <c r="IL541" s="105"/>
      <c r="IM541" s="105"/>
      <c r="IN541" s="105"/>
      <c r="IO541" s="105"/>
      <c r="IP541" s="105"/>
      <c r="IQ541" s="105"/>
      <c r="IR541" s="105"/>
      <c r="IS541" s="105"/>
    </row>
    <row r="542" spans="1:253">
      <c r="A542" s="116"/>
      <c r="B542" s="105"/>
      <c r="C542" s="116"/>
      <c r="D542" s="116"/>
      <c r="E542" s="116"/>
      <c r="F542" s="116"/>
      <c r="G542" s="116"/>
      <c r="H542" s="116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05"/>
      <c r="BF542" s="105"/>
      <c r="BG542" s="105"/>
      <c r="BH542" s="105"/>
      <c r="BI542" s="105"/>
      <c r="BJ542" s="105"/>
      <c r="BK542" s="105"/>
      <c r="BL542" s="105"/>
      <c r="BM542" s="105"/>
      <c r="BN542" s="105"/>
      <c r="BO542" s="105"/>
      <c r="BP542" s="105"/>
      <c r="BQ542" s="105"/>
      <c r="BR542" s="105"/>
      <c r="BS542" s="105"/>
      <c r="BT542" s="105"/>
      <c r="BU542" s="105"/>
      <c r="BV542" s="105"/>
      <c r="BW542" s="105"/>
      <c r="BX542" s="105"/>
      <c r="BY542" s="105"/>
      <c r="BZ542" s="105"/>
      <c r="CA542" s="105"/>
      <c r="CB542" s="105"/>
      <c r="CC542" s="105"/>
      <c r="CD542" s="105"/>
      <c r="CE542" s="105"/>
      <c r="CF542" s="105"/>
      <c r="CG542" s="105"/>
      <c r="CH542" s="105"/>
      <c r="CI542" s="105"/>
      <c r="CJ542" s="105"/>
      <c r="CK542" s="105"/>
      <c r="CL542" s="105"/>
      <c r="CM542" s="105"/>
      <c r="CN542" s="105"/>
      <c r="CO542" s="105"/>
      <c r="CP542" s="105"/>
      <c r="CQ542" s="105"/>
      <c r="CR542" s="105"/>
      <c r="CS542" s="105"/>
      <c r="CT542" s="105"/>
      <c r="CU542" s="105"/>
      <c r="CV542" s="105"/>
      <c r="CW542" s="105"/>
      <c r="CX542" s="105"/>
      <c r="CY542" s="105"/>
      <c r="CZ542" s="105"/>
      <c r="DA542" s="105"/>
      <c r="DB542" s="105"/>
      <c r="DC542" s="105"/>
      <c r="DD542" s="105"/>
      <c r="DE542" s="105"/>
      <c r="DF542" s="105"/>
      <c r="DG542" s="105"/>
      <c r="DH542" s="105"/>
      <c r="DI542" s="105"/>
      <c r="DJ542" s="105"/>
      <c r="DK542" s="105"/>
      <c r="DL542" s="105"/>
      <c r="DM542" s="105"/>
      <c r="DN542" s="105"/>
      <c r="DO542" s="105"/>
      <c r="DP542" s="105"/>
      <c r="DQ542" s="105"/>
      <c r="DR542" s="105"/>
      <c r="DS542" s="105"/>
      <c r="DT542" s="105"/>
      <c r="DU542" s="105"/>
      <c r="DV542" s="105"/>
      <c r="DW542" s="105"/>
      <c r="DX542" s="105"/>
      <c r="DY542" s="105"/>
      <c r="DZ542" s="105"/>
      <c r="EA542" s="105"/>
      <c r="EB542" s="105"/>
      <c r="EC542" s="105"/>
      <c r="ED542" s="105"/>
      <c r="EE542" s="105"/>
      <c r="EF542" s="105"/>
      <c r="EG542" s="105"/>
      <c r="EH542" s="105"/>
      <c r="EI542" s="105"/>
      <c r="EJ542" s="105"/>
      <c r="EK542" s="105"/>
      <c r="EL542" s="105"/>
      <c r="EM542" s="105"/>
      <c r="EN542" s="105"/>
      <c r="EO542" s="105"/>
      <c r="EP542" s="105"/>
      <c r="EQ542" s="105"/>
      <c r="ER542" s="105"/>
      <c r="ES542" s="105"/>
      <c r="ET542" s="105"/>
      <c r="EU542" s="105"/>
      <c r="EV542" s="105"/>
      <c r="EW542" s="105"/>
      <c r="EX542" s="105"/>
      <c r="EY542" s="105"/>
      <c r="EZ542" s="105"/>
      <c r="FA542" s="105"/>
      <c r="FB542" s="105"/>
      <c r="FC542" s="105"/>
      <c r="FD542" s="105"/>
      <c r="FE542" s="105"/>
      <c r="FF542" s="105"/>
      <c r="FG542" s="105"/>
      <c r="FH542" s="105"/>
      <c r="FI542" s="105"/>
      <c r="FJ542" s="105"/>
      <c r="FK542" s="105"/>
      <c r="FL542" s="105"/>
      <c r="FM542" s="105"/>
      <c r="FN542" s="105"/>
      <c r="FO542" s="105"/>
      <c r="FP542" s="105"/>
      <c r="FQ542" s="105"/>
      <c r="FR542" s="105"/>
      <c r="FS542" s="105"/>
      <c r="FT542" s="105"/>
      <c r="FU542" s="105"/>
      <c r="FV542" s="105"/>
      <c r="FW542" s="105"/>
      <c r="FX542" s="105"/>
      <c r="FY542" s="105"/>
      <c r="FZ542" s="105"/>
      <c r="GA542" s="105"/>
      <c r="GB542" s="105"/>
      <c r="GC542" s="105"/>
      <c r="GD542" s="105"/>
      <c r="GE542" s="105"/>
      <c r="GF542" s="105"/>
      <c r="GG542" s="105"/>
      <c r="GH542" s="105"/>
      <c r="GI542" s="105"/>
      <c r="GJ542" s="105"/>
      <c r="GK542" s="105"/>
      <c r="GL542" s="105"/>
      <c r="GM542" s="105"/>
      <c r="GN542" s="105"/>
      <c r="GO542" s="105"/>
      <c r="GP542" s="105"/>
      <c r="GQ542" s="105"/>
      <c r="GR542" s="105"/>
      <c r="GS542" s="105"/>
      <c r="GT542" s="105"/>
      <c r="GU542" s="105"/>
      <c r="GV542" s="105"/>
      <c r="GW542" s="105"/>
      <c r="GX542" s="105"/>
      <c r="GY542" s="105"/>
      <c r="GZ542" s="105"/>
      <c r="HA542" s="105"/>
      <c r="HB542" s="105"/>
      <c r="HC542" s="105"/>
      <c r="HD542" s="105"/>
      <c r="HE542" s="105"/>
      <c r="HF542" s="105"/>
      <c r="HG542" s="105"/>
      <c r="HH542" s="105"/>
      <c r="HI542" s="105"/>
      <c r="HJ542" s="105"/>
      <c r="HK542" s="105"/>
      <c r="HL542" s="105"/>
      <c r="HM542" s="105"/>
      <c r="HN542" s="105"/>
      <c r="HO542" s="105"/>
      <c r="HP542" s="105"/>
      <c r="HQ542" s="105"/>
      <c r="HR542" s="105"/>
      <c r="HS542" s="105"/>
      <c r="HT542" s="105"/>
      <c r="HU542" s="105"/>
      <c r="HV542" s="105"/>
      <c r="HW542" s="105"/>
      <c r="HX542" s="105"/>
      <c r="HY542" s="105"/>
      <c r="HZ542" s="105"/>
      <c r="IA542" s="105"/>
      <c r="IB542" s="105"/>
      <c r="IC542" s="105"/>
      <c r="ID542" s="105"/>
      <c r="IE542" s="105"/>
      <c r="IF542" s="105"/>
      <c r="IG542" s="105"/>
      <c r="IH542" s="105"/>
      <c r="II542" s="105"/>
      <c r="IJ542" s="105"/>
      <c r="IK542" s="105"/>
      <c r="IL542" s="105"/>
      <c r="IM542" s="105"/>
      <c r="IN542" s="105"/>
      <c r="IO542" s="105"/>
      <c r="IP542" s="105"/>
      <c r="IQ542" s="105"/>
      <c r="IR542" s="105"/>
      <c r="IS542" s="105"/>
    </row>
    <row r="543" spans="1:253">
      <c r="A543" s="116"/>
      <c r="B543" s="105"/>
      <c r="C543" s="116"/>
      <c r="D543" s="116"/>
      <c r="E543" s="116"/>
      <c r="F543" s="116"/>
      <c r="G543" s="116"/>
      <c r="H543" s="116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  <c r="BA543" s="105"/>
      <c r="BB543" s="105"/>
      <c r="BC543" s="105"/>
      <c r="BD543" s="105"/>
      <c r="BE543" s="105"/>
      <c r="BF543" s="105"/>
      <c r="BG543" s="105"/>
      <c r="BH543" s="105"/>
      <c r="BI543" s="105"/>
      <c r="BJ543" s="105"/>
      <c r="BK543" s="105"/>
      <c r="BL543" s="105"/>
      <c r="BM543" s="105"/>
      <c r="BN543" s="105"/>
      <c r="BO543" s="105"/>
      <c r="BP543" s="105"/>
      <c r="BQ543" s="105"/>
      <c r="BR543" s="105"/>
      <c r="BS543" s="105"/>
      <c r="BT543" s="105"/>
      <c r="BU543" s="105"/>
      <c r="BV543" s="105"/>
      <c r="BW543" s="105"/>
      <c r="BX543" s="105"/>
      <c r="BY543" s="105"/>
      <c r="BZ543" s="105"/>
      <c r="CA543" s="105"/>
      <c r="CB543" s="105"/>
      <c r="CC543" s="105"/>
      <c r="CD543" s="105"/>
      <c r="CE543" s="105"/>
      <c r="CF543" s="105"/>
      <c r="CG543" s="105"/>
      <c r="CH543" s="105"/>
      <c r="CI543" s="105"/>
      <c r="CJ543" s="105"/>
      <c r="CK543" s="105"/>
      <c r="CL543" s="105"/>
      <c r="CM543" s="105"/>
      <c r="CN543" s="105"/>
      <c r="CO543" s="105"/>
      <c r="CP543" s="105"/>
      <c r="CQ543" s="105"/>
      <c r="CR543" s="105"/>
      <c r="CS543" s="105"/>
      <c r="CT543" s="105"/>
      <c r="CU543" s="105"/>
      <c r="CV543" s="105"/>
      <c r="CW543" s="105"/>
      <c r="CX543" s="105"/>
      <c r="CY543" s="105"/>
      <c r="CZ543" s="105"/>
      <c r="DA543" s="105"/>
      <c r="DB543" s="105"/>
      <c r="DC543" s="105"/>
      <c r="DD543" s="105"/>
      <c r="DE543" s="105"/>
      <c r="DF543" s="105"/>
      <c r="DG543" s="105"/>
      <c r="DH543" s="105"/>
      <c r="DI543" s="105"/>
      <c r="DJ543" s="105"/>
      <c r="DK543" s="105"/>
      <c r="DL543" s="105"/>
      <c r="DM543" s="105"/>
      <c r="DN543" s="105"/>
      <c r="DO543" s="105"/>
      <c r="DP543" s="105"/>
      <c r="DQ543" s="105"/>
      <c r="DR543" s="105"/>
      <c r="DS543" s="105"/>
      <c r="DT543" s="105"/>
      <c r="DU543" s="105"/>
      <c r="DV543" s="105"/>
      <c r="DW543" s="105"/>
      <c r="DX543" s="105"/>
      <c r="DY543" s="105"/>
      <c r="DZ543" s="105"/>
      <c r="EA543" s="105"/>
      <c r="EB543" s="105"/>
      <c r="EC543" s="105"/>
      <c r="ED543" s="105"/>
      <c r="EE543" s="105"/>
      <c r="EF543" s="105"/>
      <c r="EG543" s="105"/>
      <c r="EH543" s="105"/>
      <c r="EI543" s="105"/>
      <c r="EJ543" s="105"/>
      <c r="EK543" s="105"/>
      <c r="EL543" s="105"/>
      <c r="EM543" s="105"/>
      <c r="EN543" s="105"/>
      <c r="EO543" s="105"/>
      <c r="EP543" s="105"/>
      <c r="EQ543" s="105"/>
      <c r="ER543" s="105"/>
      <c r="ES543" s="105"/>
      <c r="ET543" s="105"/>
      <c r="EU543" s="105"/>
      <c r="EV543" s="105"/>
      <c r="EW543" s="105"/>
      <c r="EX543" s="105"/>
      <c r="EY543" s="105"/>
      <c r="EZ543" s="105"/>
      <c r="FA543" s="105"/>
      <c r="FB543" s="105"/>
      <c r="FC543" s="105"/>
      <c r="FD543" s="105"/>
      <c r="FE543" s="105"/>
      <c r="FF543" s="105"/>
      <c r="FG543" s="105"/>
      <c r="FH543" s="105"/>
      <c r="FI543" s="105"/>
      <c r="FJ543" s="105"/>
      <c r="FK543" s="105"/>
      <c r="FL543" s="105"/>
      <c r="FM543" s="105"/>
      <c r="FN543" s="105"/>
      <c r="FO543" s="105"/>
      <c r="FP543" s="105"/>
      <c r="FQ543" s="105"/>
      <c r="FR543" s="105"/>
      <c r="FS543" s="105"/>
      <c r="FT543" s="105"/>
      <c r="FU543" s="105"/>
      <c r="FV543" s="105"/>
      <c r="FW543" s="105"/>
      <c r="FX543" s="105"/>
      <c r="FY543" s="105"/>
      <c r="FZ543" s="105"/>
      <c r="GA543" s="105"/>
      <c r="GB543" s="105"/>
      <c r="GC543" s="105"/>
      <c r="GD543" s="105"/>
      <c r="GE543" s="105"/>
      <c r="GF543" s="105"/>
      <c r="GG543" s="105"/>
      <c r="GH543" s="105"/>
      <c r="GI543" s="105"/>
      <c r="GJ543" s="105"/>
      <c r="GK543" s="105"/>
      <c r="GL543" s="105"/>
      <c r="GM543" s="105"/>
      <c r="GN543" s="105"/>
      <c r="GO543" s="105"/>
      <c r="GP543" s="105"/>
      <c r="GQ543" s="105"/>
      <c r="GR543" s="105"/>
      <c r="GS543" s="105"/>
      <c r="GT543" s="105"/>
      <c r="GU543" s="105"/>
      <c r="GV543" s="105"/>
      <c r="GW543" s="105"/>
      <c r="GX543" s="105"/>
      <c r="GY543" s="105"/>
      <c r="GZ543" s="105"/>
      <c r="HA543" s="105"/>
      <c r="HB543" s="105"/>
      <c r="HC543" s="105"/>
      <c r="HD543" s="105"/>
      <c r="HE543" s="105"/>
      <c r="HF543" s="105"/>
      <c r="HG543" s="105"/>
      <c r="HH543" s="105"/>
      <c r="HI543" s="105"/>
      <c r="HJ543" s="105"/>
      <c r="HK543" s="105"/>
      <c r="HL543" s="105"/>
      <c r="HM543" s="105"/>
      <c r="HN543" s="105"/>
      <c r="HO543" s="105"/>
      <c r="HP543" s="105"/>
      <c r="HQ543" s="105"/>
      <c r="HR543" s="105"/>
      <c r="HS543" s="105"/>
      <c r="HT543" s="105"/>
      <c r="HU543" s="105"/>
      <c r="HV543" s="105"/>
      <c r="HW543" s="105"/>
      <c r="HX543" s="105"/>
      <c r="HY543" s="105"/>
      <c r="HZ543" s="105"/>
      <c r="IA543" s="105"/>
      <c r="IB543" s="105"/>
      <c r="IC543" s="105"/>
      <c r="ID543" s="105"/>
      <c r="IE543" s="105"/>
      <c r="IF543" s="105"/>
      <c r="IG543" s="105"/>
      <c r="IH543" s="105"/>
      <c r="II543" s="105"/>
      <c r="IJ543" s="105"/>
      <c r="IK543" s="105"/>
      <c r="IL543" s="105"/>
      <c r="IM543" s="105"/>
      <c r="IN543" s="105"/>
      <c r="IO543" s="105"/>
      <c r="IP543" s="105"/>
      <c r="IQ543" s="105"/>
      <c r="IR543" s="105"/>
      <c r="IS543" s="105"/>
    </row>
    <row r="544" spans="1:253">
      <c r="A544" s="116"/>
      <c r="B544" s="105"/>
      <c r="C544" s="116"/>
      <c r="D544" s="116"/>
      <c r="E544" s="116"/>
      <c r="F544" s="116"/>
      <c r="G544" s="116"/>
      <c r="H544" s="116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05"/>
      <c r="BF544" s="105"/>
      <c r="BG544" s="105"/>
      <c r="BH544" s="105"/>
      <c r="BI544" s="105"/>
      <c r="BJ544" s="105"/>
      <c r="BK544" s="105"/>
      <c r="BL544" s="105"/>
      <c r="BM544" s="105"/>
      <c r="BN544" s="105"/>
      <c r="BO544" s="105"/>
      <c r="BP544" s="105"/>
      <c r="BQ544" s="105"/>
      <c r="BR544" s="105"/>
      <c r="BS544" s="105"/>
      <c r="BT544" s="105"/>
      <c r="BU544" s="105"/>
      <c r="BV544" s="105"/>
      <c r="BW544" s="105"/>
      <c r="BX544" s="105"/>
      <c r="BY544" s="105"/>
      <c r="BZ544" s="105"/>
      <c r="CA544" s="105"/>
      <c r="CB544" s="105"/>
      <c r="CC544" s="105"/>
      <c r="CD544" s="105"/>
      <c r="CE544" s="105"/>
      <c r="CF544" s="105"/>
      <c r="CG544" s="105"/>
      <c r="CH544" s="105"/>
      <c r="CI544" s="105"/>
      <c r="CJ544" s="105"/>
      <c r="CK544" s="105"/>
      <c r="CL544" s="105"/>
      <c r="CM544" s="105"/>
      <c r="CN544" s="105"/>
      <c r="CO544" s="105"/>
      <c r="CP544" s="105"/>
      <c r="CQ544" s="105"/>
      <c r="CR544" s="105"/>
      <c r="CS544" s="105"/>
      <c r="CT544" s="105"/>
      <c r="CU544" s="105"/>
      <c r="CV544" s="105"/>
      <c r="CW544" s="105"/>
      <c r="CX544" s="105"/>
      <c r="CY544" s="105"/>
      <c r="CZ544" s="105"/>
      <c r="DA544" s="105"/>
      <c r="DB544" s="105"/>
      <c r="DC544" s="105"/>
      <c r="DD544" s="105"/>
      <c r="DE544" s="105"/>
      <c r="DF544" s="105"/>
      <c r="DG544" s="105"/>
      <c r="DH544" s="105"/>
      <c r="DI544" s="105"/>
      <c r="DJ544" s="105"/>
      <c r="DK544" s="105"/>
      <c r="DL544" s="105"/>
      <c r="DM544" s="105"/>
      <c r="DN544" s="105"/>
      <c r="DO544" s="105"/>
      <c r="DP544" s="105"/>
      <c r="DQ544" s="105"/>
      <c r="DR544" s="105"/>
      <c r="DS544" s="105"/>
      <c r="DT544" s="105"/>
      <c r="DU544" s="105"/>
      <c r="DV544" s="105"/>
      <c r="DW544" s="105"/>
      <c r="DX544" s="105"/>
      <c r="DY544" s="105"/>
      <c r="DZ544" s="105"/>
      <c r="EA544" s="105"/>
      <c r="EB544" s="105"/>
      <c r="EC544" s="105"/>
      <c r="ED544" s="105"/>
      <c r="EE544" s="105"/>
      <c r="EF544" s="105"/>
      <c r="EG544" s="105"/>
      <c r="EH544" s="105"/>
      <c r="EI544" s="105"/>
      <c r="EJ544" s="105"/>
      <c r="EK544" s="105"/>
      <c r="EL544" s="105"/>
      <c r="EM544" s="105"/>
      <c r="EN544" s="105"/>
      <c r="EO544" s="105"/>
      <c r="EP544" s="105"/>
      <c r="EQ544" s="105"/>
      <c r="ER544" s="105"/>
      <c r="ES544" s="105"/>
      <c r="ET544" s="105"/>
      <c r="EU544" s="105"/>
      <c r="EV544" s="105"/>
      <c r="EW544" s="105"/>
      <c r="EX544" s="105"/>
      <c r="EY544" s="105"/>
      <c r="EZ544" s="105"/>
      <c r="FA544" s="105"/>
      <c r="FB544" s="105"/>
      <c r="FC544" s="105"/>
      <c r="FD544" s="105"/>
      <c r="FE544" s="105"/>
      <c r="FF544" s="105"/>
      <c r="FG544" s="105"/>
      <c r="FH544" s="105"/>
      <c r="FI544" s="105"/>
      <c r="FJ544" s="105"/>
      <c r="FK544" s="105"/>
      <c r="FL544" s="105"/>
      <c r="FM544" s="105"/>
      <c r="FN544" s="105"/>
      <c r="FO544" s="105"/>
      <c r="FP544" s="105"/>
      <c r="FQ544" s="105"/>
      <c r="FR544" s="105"/>
      <c r="FS544" s="105"/>
      <c r="FT544" s="105"/>
      <c r="FU544" s="105"/>
      <c r="FV544" s="105"/>
      <c r="FW544" s="105"/>
      <c r="FX544" s="105"/>
      <c r="FY544" s="105"/>
      <c r="FZ544" s="105"/>
      <c r="GA544" s="105"/>
      <c r="GB544" s="105"/>
      <c r="GC544" s="105"/>
      <c r="GD544" s="105"/>
      <c r="GE544" s="105"/>
      <c r="GF544" s="105"/>
      <c r="GG544" s="105"/>
      <c r="GH544" s="105"/>
      <c r="GI544" s="105"/>
      <c r="GJ544" s="105"/>
      <c r="GK544" s="105"/>
      <c r="GL544" s="105"/>
      <c r="GM544" s="105"/>
      <c r="GN544" s="105"/>
      <c r="GO544" s="105"/>
      <c r="GP544" s="105"/>
      <c r="GQ544" s="105"/>
      <c r="GR544" s="105"/>
      <c r="GS544" s="105"/>
      <c r="GT544" s="105"/>
      <c r="GU544" s="105"/>
      <c r="GV544" s="105"/>
      <c r="GW544" s="105"/>
      <c r="GX544" s="105"/>
      <c r="GY544" s="105"/>
      <c r="GZ544" s="105"/>
      <c r="HA544" s="105"/>
      <c r="HB544" s="105"/>
      <c r="HC544" s="105"/>
      <c r="HD544" s="105"/>
      <c r="HE544" s="105"/>
      <c r="HF544" s="105"/>
      <c r="HG544" s="105"/>
      <c r="HH544" s="105"/>
      <c r="HI544" s="105"/>
      <c r="HJ544" s="105"/>
      <c r="HK544" s="105"/>
      <c r="HL544" s="105"/>
      <c r="HM544" s="105"/>
      <c r="HN544" s="105"/>
      <c r="HO544" s="105"/>
      <c r="HP544" s="105"/>
      <c r="HQ544" s="105"/>
      <c r="HR544" s="105"/>
      <c r="HS544" s="105"/>
      <c r="HT544" s="105"/>
      <c r="HU544" s="105"/>
      <c r="HV544" s="105"/>
      <c r="HW544" s="105"/>
      <c r="HX544" s="105"/>
      <c r="HY544" s="105"/>
      <c r="HZ544" s="105"/>
      <c r="IA544" s="105"/>
      <c r="IB544" s="105"/>
      <c r="IC544" s="105"/>
      <c r="ID544" s="105"/>
      <c r="IE544" s="105"/>
      <c r="IF544" s="105"/>
      <c r="IG544" s="105"/>
      <c r="IH544" s="105"/>
      <c r="II544" s="105"/>
      <c r="IJ544" s="105"/>
      <c r="IK544" s="105"/>
      <c r="IL544" s="105"/>
      <c r="IM544" s="105"/>
      <c r="IN544" s="105"/>
      <c r="IO544" s="105"/>
      <c r="IP544" s="105"/>
      <c r="IQ544" s="105"/>
      <c r="IR544" s="105"/>
      <c r="IS544" s="105"/>
    </row>
    <row r="545" spans="1:253">
      <c r="A545" s="116"/>
      <c r="B545" s="105"/>
      <c r="C545" s="116"/>
      <c r="D545" s="116"/>
      <c r="E545" s="116"/>
      <c r="F545" s="116"/>
      <c r="G545" s="116"/>
      <c r="H545" s="116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5"/>
      <c r="BE545" s="105"/>
      <c r="BF545" s="105"/>
      <c r="BG545" s="105"/>
      <c r="BH545" s="105"/>
      <c r="BI545" s="105"/>
      <c r="BJ545" s="105"/>
      <c r="BK545" s="105"/>
      <c r="BL545" s="105"/>
      <c r="BM545" s="105"/>
      <c r="BN545" s="105"/>
      <c r="BO545" s="105"/>
      <c r="BP545" s="105"/>
      <c r="BQ545" s="105"/>
      <c r="BR545" s="105"/>
      <c r="BS545" s="105"/>
      <c r="BT545" s="105"/>
      <c r="BU545" s="105"/>
      <c r="BV545" s="105"/>
      <c r="BW545" s="105"/>
      <c r="BX545" s="105"/>
      <c r="BY545" s="105"/>
      <c r="BZ545" s="105"/>
      <c r="CA545" s="105"/>
      <c r="CB545" s="105"/>
      <c r="CC545" s="105"/>
      <c r="CD545" s="105"/>
      <c r="CE545" s="105"/>
      <c r="CF545" s="105"/>
      <c r="CG545" s="105"/>
      <c r="CH545" s="105"/>
      <c r="CI545" s="105"/>
      <c r="CJ545" s="105"/>
      <c r="CK545" s="105"/>
      <c r="CL545" s="105"/>
      <c r="CM545" s="105"/>
      <c r="CN545" s="105"/>
      <c r="CO545" s="105"/>
      <c r="CP545" s="105"/>
      <c r="CQ545" s="105"/>
      <c r="CR545" s="105"/>
      <c r="CS545" s="105"/>
      <c r="CT545" s="105"/>
      <c r="CU545" s="105"/>
      <c r="CV545" s="105"/>
      <c r="CW545" s="105"/>
      <c r="CX545" s="105"/>
      <c r="CY545" s="105"/>
      <c r="CZ545" s="105"/>
      <c r="DA545" s="105"/>
      <c r="DB545" s="105"/>
      <c r="DC545" s="105"/>
      <c r="DD545" s="105"/>
      <c r="DE545" s="105"/>
      <c r="DF545" s="105"/>
      <c r="DG545" s="105"/>
      <c r="DH545" s="105"/>
      <c r="DI545" s="105"/>
      <c r="DJ545" s="105"/>
      <c r="DK545" s="105"/>
      <c r="DL545" s="105"/>
      <c r="DM545" s="105"/>
      <c r="DN545" s="105"/>
      <c r="DO545" s="105"/>
      <c r="DP545" s="105"/>
      <c r="DQ545" s="105"/>
      <c r="DR545" s="105"/>
      <c r="DS545" s="105"/>
      <c r="DT545" s="105"/>
      <c r="DU545" s="105"/>
      <c r="DV545" s="105"/>
      <c r="DW545" s="105"/>
      <c r="DX545" s="105"/>
      <c r="DY545" s="105"/>
      <c r="DZ545" s="105"/>
      <c r="EA545" s="105"/>
      <c r="EB545" s="105"/>
      <c r="EC545" s="105"/>
      <c r="ED545" s="105"/>
      <c r="EE545" s="105"/>
      <c r="EF545" s="105"/>
      <c r="EG545" s="105"/>
      <c r="EH545" s="105"/>
      <c r="EI545" s="105"/>
      <c r="EJ545" s="105"/>
      <c r="EK545" s="105"/>
      <c r="EL545" s="105"/>
      <c r="EM545" s="105"/>
      <c r="EN545" s="105"/>
      <c r="EO545" s="105"/>
      <c r="EP545" s="105"/>
      <c r="EQ545" s="105"/>
      <c r="ER545" s="105"/>
      <c r="ES545" s="105"/>
      <c r="ET545" s="105"/>
      <c r="EU545" s="105"/>
      <c r="EV545" s="105"/>
      <c r="EW545" s="105"/>
      <c r="EX545" s="105"/>
      <c r="EY545" s="105"/>
      <c r="EZ545" s="105"/>
      <c r="FA545" s="105"/>
      <c r="FB545" s="105"/>
      <c r="FC545" s="105"/>
      <c r="FD545" s="105"/>
      <c r="FE545" s="105"/>
      <c r="FF545" s="105"/>
      <c r="FG545" s="105"/>
      <c r="FH545" s="105"/>
      <c r="FI545" s="105"/>
      <c r="FJ545" s="105"/>
      <c r="FK545" s="105"/>
      <c r="FL545" s="105"/>
      <c r="FM545" s="105"/>
      <c r="FN545" s="105"/>
      <c r="FO545" s="105"/>
      <c r="FP545" s="105"/>
      <c r="FQ545" s="105"/>
      <c r="FR545" s="105"/>
      <c r="FS545" s="105"/>
      <c r="FT545" s="105"/>
      <c r="FU545" s="105"/>
      <c r="FV545" s="105"/>
      <c r="FW545" s="105"/>
      <c r="FX545" s="105"/>
      <c r="FY545" s="105"/>
      <c r="FZ545" s="105"/>
      <c r="GA545" s="105"/>
      <c r="GB545" s="105"/>
      <c r="GC545" s="105"/>
      <c r="GD545" s="105"/>
      <c r="GE545" s="105"/>
      <c r="GF545" s="105"/>
      <c r="GG545" s="105"/>
      <c r="GH545" s="105"/>
      <c r="GI545" s="105"/>
      <c r="GJ545" s="105"/>
      <c r="GK545" s="105"/>
      <c r="GL545" s="105"/>
      <c r="GM545" s="105"/>
      <c r="GN545" s="105"/>
      <c r="GO545" s="105"/>
      <c r="GP545" s="105"/>
      <c r="GQ545" s="105"/>
      <c r="GR545" s="105"/>
      <c r="GS545" s="105"/>
      <c r="GT545" s="105"/>
      <c r="GU545" s="105"/>
      <c r="GV545" s="105"/>
      <c r="GW545" s="105"/>
      <c r="GX545" s="105"/>
      <c r="GY545" s="105"/>
      <c r="GZ545" s="105"/>
      <c r="HA545" s="105"/>
      <c r="HB545" s="105"/>
      <c r="HC545" s="105"/>
      <c r="HD545" s="105"/>
      <c r="HE545" s="105"/>
      <c r="HF545" s="105"/>
      <c r="HG545" s="105"/>
      <c r="HH545" s="105"/>
      <c r="HI545" s="105"/>
      <c r="HJ545" s="105"/>
      <c r="HK545" s="105"/>
      <c r="HL545" s="105"/>
      <c r="HM545" s="105"/>
      <c r="HN545" s="105"/>
      <c r="HO545" s="105"/>
      <c r="HP545" s="105"/>
      <c r="HQ545" s="105"/>
      <c r="HR545" s="105"/>
      <c r="HS545" s="105"/>
      <c r="HT545" s="105"/>
      <c r="HU545" s="105"/>
      <c r="HV545" s="105"/>
      <c r="HW545" s="105"/>
      <c r="HX545" s="105"/>
      <c r="HY545" s="105"/>
      <c r="HZ545" s="105"/>
      <c r="IA545" s="105"/>
      <c r="IB545" s="105"/>
      <c r="IC545" s="105"/>
      <c r="ID545" s="105"/>
      <c r="IE545" s="105"/>
      <c r="IF545" s="105"/>
      <c r="IG545" s="105"/>
      <c r="IH545" s="105"/>
      <c r="II545" s="105"/>
      <c r="IJ545" s="105"/>
      <c r="IK545" s="105"/>
      <c r="IL545" s="105"/>
      <c r="IM545" s="105"/>
      <c r="IN545" s="105"/>
      <c r="IO545" s="105"/>
      <c r="IP545" s="105"/>
      <c r="IQ545" s="105"/>
      <c r="IR545" s="105"/>
      <c r="IS545" s="105"/>
    </row>
    <row r="546" spans="1:253">
      <c r="A546" s="116"/>
      <c r="B546" s="105"/>
      <c r="C546" s="116"/>
      <c r="D546" s="116"/>
      <c r="E546" s="116"/>
      <c r="F546" s="116"/>
      <c r="G546" s="116"/>
      <c r="H546" s="116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  <c r="BF546" s="105"/>
      <c r="BG546" s="105"/>
      <c r="BH546" s="105"/>
      <c r="BI546" s="105"/>
      <c r="BJ546" s="105"/>
      <c r="BK546" s="105"/>
      <c r="BL546" s="105"/>
      <c r="BM546" s="105"/>
      <c r="BN546" s="105"/>
      <c r="BO546" s="105"/>
      <c r="BP546" s="105"/>
      <c r="BQ546" s="105"/>
      <c r="BR546" s="105"/>
      <c r="BS546" s="105"/>
      <c r="BT546" s="105"/>
      <c r="BU546" s="105"/>
      <c r="BV546" s="105"/>
      <c r="BW546" s="105"/>
      <c r="BX546" s="105"/>
      <c r="BY546" s="105"/>
      <c r="BZ546" s="105"/>
      <c r="CA546" s="105"/>
      <c r="CB546" s="105"/>
      <c r="CC546" s="105"/>
      <c r="CD546" s="105"/>
      <c r="CE546" s="105"/>
      <c r="CF546" s="105"/>
      <c r="CG546" s="105"/>
      <c r="CH546" s="105"/>
      <c r="CI546" s="105"/>
      <c r="CJ546" s="105"/>
      <c r="CK546" s="105"/>
      <c r="CL546" s="105"/>
      <c r="CM546" s="105"/>
      <c r="CN546" s="105"/>
      <c r="CO546" s="105"/>
      <c r="CP546" s="105"/>
      <c r="CQ546" s="105"/>
      <c r="CR546" s="105"/>
      <c r="CS546" s="105"/>
      <c r="CT546" s="105"/>
      <c r="CU546" s="105"/>
      <c r="CV546" s="105"/>
      <c r="CW546" s="105"/>
      <c r="CX546" s="105"/>
      <c r="CY546" s="105"/>
      <c r="CZ546" s="105"/>
      <c r="DA546" s="105"/>
      <c r="DB546" s="105"/>
      <c r="DC546" s="105"/>
      <c r="DD546" s="105"/>
      <c r="DE546" s="105"/>
      <c r="DF546" s="105"/>
      <c r="DG546" s="105"/>
      <c r="DH546" s="105"/>
      <c r="DI546" s="105"/>
      <c r="DJ546" s="105"/>
      <c r="DK546" s="105"/>
      <c r="DL546" s="105"/>
      <c r="DM546" s="105"/>
      <c r="DN546" s="105"/>
      <c r="DO546" s="105"/>
      <c r="DP546" s="105"/>
      <c r="DQ546" s="105"/>
      <c r="DR546" s="105"/>
      <c r="DS546" s="105"/>
      <c r="DT546" s="105"/>
      <c r="DU546" s="105"/>
      <c r="DV546" s="105"/>
      <c r="DW546" s="105"/>
      <c r="DX546" s="105"/>
      <c r="DY546" s="105"/>
      <c r="DZ546" s="105"/>
      <c r="EA546" s="105"/>
      <c r="EB546" s="105"/>
      <c r="EC546" s="105"/>
      <c r="ED546" s="105"/>
      <c r="EE546" s="105"/>
      <c r="EF546" s="105"/>
      <c r="EG546" s="105"/>
      <c r="EH546" s="105"/>
      <c r="EI546" s="105"/>
      <c r="EJ546" s="105"/>
      <c r="EK546" s="105"/>
      <c r="EL546" s="105"/>
      <c r="EM546" s="105"/>
      <c r="EN546" s="105"/>
      <c r="EO546" s="105"/>
      <c r="EP546" s="105"/>
      <c r="EQ546" s="105"/>
      <c r="ER546" s="105"/>
      <c r="ES546" s="105"/>
      <c r="ET546" s="105"/>
      <c r="EU546" s="105"/>
      <c r="EV546" s="105"/>
      <c r="EW546" s="105"/>
      <c r="EX546" s="105"/>
      <c r="EY546" s="105"/>
      <c r="EZ546" s="105"/>
      <c r="FA546" s="105"/>
      <c r="FB546" s="105"/>
      <c r="FC546" s="105"/>
      <c r="FD546" s="105"/>
      <c r="FE546" s="105"/>
      <c r="FF546" s="105"/>
      <c r="FG546" s="105"/>
      <c r="FH546" s="105"/>
      <c r="FI546" s="105"/>
      <c r="FJ546" s="105"/>
      <c r="FK546" s="105"/>
      <c r="FL546" s="105"/>
      <c r="FM546" s="105"/>
      <c r="FN546" s="105"/>
      <c r="FO546" s="105"/>
      <c r="FP546" s="105"/>
      <c r="FQ546" s="105"/>
      <c r="FR546" s="105"/>
      <c r="FS546" s="105"/>
      <c r="FT546" s="105"/>
      <c r="FU546" s="105"/>
      <c r="FV546" s="105"/>
      <c r="FW546" s="105"/>
      <c r="FX546" s="105"/>
      <c r="FY546" s="105"/>
      <c r="FZ546" s="105"/>
      <c r="GA546" s="105"/>
      <c r="GB546" s="105"/>
      <c r="GC546" s="105"/>
      <c r="GD546" s="105"/>
      <c r="GE546" s="105"/>
      <c r="GF546" s="105"/>
      <c r="GG546" s="105"/>
      <c r="GH546" s="105"/>
      <c r="GI546" s="105"/>
      <c r="GJ546" s="105"/>
      <c r="GK546" s="105"/>
      <c r="GL546" s="105"/>
      <c r="GM546" s="105"/>
      <c r="GN546" s="105"/>
      <c r="GO546" s="105"/>
      <c r="GP546" s="105"/>
      <c r="GQ546" s="105"/>
      <c r="GR546" s="105"/>
      <c r="GS546" s="105"/>
      <c r="GT546" s="105"/>
      <c r="GU546" s="105"/>
      <c r="GV546" s="105"/>
      <c r="GW546" s="105"/>
      <c r="GX546" s="105"/>
      <c r="GY546" s="105"/>
      <c r="GZ546" s="105"/>
      <c r="HA546" s="105"/>
      <c r="HB546" s="105"/>
      <c r="HC546" s="105"/>
      <c r="HD546" s="105"/>
      <c r="HE546" s="105"/>
      <c r="HF546" s="105"/>
      <c r="HG546" s="105"/>
      <c r="HH546" s="105"/>
      <c r="HI546" s="105"/>
      <c r="HJ546" s="105"/>
      <c r="HK546" s="105"/>
      <c r="HL546" s="105"/>
      <c r="HM546" s="105"/>
      <c r="HN546" s="105"/>
      <c r="HO546" s="105"/>
      <c r="HP546" s="105"/>
      <c r="HQ546" s="105"/>
      <c r="HR546" s="105"/>
      <c r="HS546" s="105"/>
      <c r="HT546" s="105"/>
      <c r="HU546" s="105"/>
      <c r="HV546" s="105"/>
      <c r="HW546" s="105"/>
      <c r="HX546" s="105"/>
      <c r="HY546" s="105"/>
      <c r="HZ546" s="105"/>
      <c r="IA546" s="105"/>
      <c r="IB546" s="105"/>
      <c r="IC546" s="105"/>
      <c r="ID546" s="105"/>
      <c r="IE546" s="105"/>
      <c r="IF546" s="105"/>
      <c r="IG546" s="105"/>
      <c r="IH546" s="105"/>
      <c r="II546" s="105"/>
      <c r="IJ546" s="105"/>
      <c r="IK546" s="105"/>
      <c r="IL546" s="105"/>
      <c r="IM546" s="105"/>
      <c r="IN546" s="105"/>
      <c r="IO546" s="105"/>
      <c r="IP546" s="105"/>
      <c r="IQ546" s="105"/>
      <c r="IR546" s="105"/>
      <c r="IS546" s="105"/>
    </row>
    <row r="547" spans="1:253">
      <c r="A547" s="116"/>
      <c r="B547" s="105"/>
      <c r="C547" s="116"/>
      <c r="D547" s="116"/>
      <c r="E547" s="116"/>
      <c r="F547" s="116"/>
      <c r="G547" s="116"/>
      <c r="H547" s="116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05"/>
      <c r="BF547" s="105"/>
      <c r="BG547" s="105"/>
      <c r="BH547" s="105"/>
      <c r="BI547" s="105"/>
      <c r="BJ547" s="105"/>
      <c r="BK547" s="105"/>
      <c r="BL547" s="105"/>
      <c r="BM547" s="105"/>
      <c r="BN547" s="105"/>
      <c r="BO547" s="105"/>
      <c r="BP547" s="105"/>
      <c r="BQ547" s="105"/>
      <c r="BR547" s="105"/>
      <c r="BS547" s="105"/>
      <c r="BT547" s="105"/>
      <c r="BU547" s="105"/>
      <c r="BV547" s="105"/>
      <c r="BW547" s="105"/>
      <c r="BX547" s="105"/>
      <c r="BY547" s="105"/>
      <c r="BZ547" s="105"/>
      <c r="CA547" s="105"/>
      <c r="CB547" s="105"/>
      <c r="CC547" s="105"/>
      <c r="CD547" s="105"/>
      <c r="CE547" s="105"/>
      <c r="CF547" s="105"/>
      <c r="CG547" s="105"/>
      <c r="CH547" s="105"/>
      <c r="CI547" s="105"/>
      <c r="CJ547" s="105"/>
      <c r="CK547" s="105"/>
      <c r="CL547" s="105"/>
      <c r="CM547" s="105"/>
      <c r="CN547" s="105"/>
      <c r="CO547" s="105"/>
      <c r="CP547" s="105"/>
      <c r="CQ547" s="105"/>
      <c r="CR547" s="105"/>
      <c r="CS547" s="105"/>
      <c r="CT547" s="105"/>
      <c r="CU547" s="105"/>
      <c r="CV547" s="105"/>
      <c r="CW547" s="105"/>
      <c r="CX547" s="105"/>
      <c r="CY547" s="105"/>
      <c r="CZ547" s="105"/>
      <c r="DA547" s="105"/>
      <c r="DB547" s="105"/>
      <c r="DC547" s="105"/>
      <c r="DD547" s="105"/>
      <c r="DE547" s="105"/>
      <c r="DF547" s="105"/>
      <c r="DG547" s="105"/>
      <c r="DH547" s="105"/>
      <c r="DI547" s="105"/>
      <c r="DJ547" s="105"/>
      <c r="DK547" s="105"/>
      <c r="DL547" s="105"/>
      <c r="DM547" s="105"/>
      <c r="DN547" s="105"/>
      <c r="DO547" s="105"/>
      <c r="DP547" s="105"/>
      <c r="DQ547" s="105"/>
      <c r="DR547" s="105"/>
      <c r="DS547" s="105"/>
      <c r="DT547" s="105"/>
      <c r="DU547" s="105"/>
      <c r="DV547" s="105"/>
      <c r="DW547" s="105"/>
      <c r="DX547" s="105"/>
      <c r="DY547" s="105"/>
      <c r="DZ547" s="105"/>
      <c r="EA547" s="105"/>
      <c r="EB547" s="105"/>
      <c r="EC547" s="105"/>
      <c r="ED547" s="105"/>
      <c r="EE547" s="105"/>
      <c r="EF547" s="105"/>
      <c r="EG547" s="105"/>
      <c r="EH547" s="105"/>
      <c r="EI547" s="105"/>
      <c r="EJ547" s="105"/>
      <c r="EK547" s="105"/>
      <c r="EL547" s="105"/>
      <c r="EM547" s="105"/>
      <c r="EN547" s="105"/>
      <c r="EO547" s="105"/>
      <c r="EP547" s="105"/>
      <c r="EQ547" s="105"/>
      <c r="ER547" s="105"/>
      <c r="ES547" s="105"/>
      <c r="ET547" s="105"/>
      <c r="EU547" s="105"/>
      <c r="EV547" s="105"/>
      <c r="EW547" s="105"/>
      <c r="EX547" s="105"/>
      <c r="EY547" s="105"/>
      <c r="EZ547" s="105"/>
      <c r="FA547" s="105"/>
      <c r="FB547" s="105"/>
      <c r="FC547" s="105"/>
      <c r="FD547" s="105"/>
      <c r="FE547" s="105"/>
      <c r="FF547" s="105"/>
      <c r="FG547" s="105"/>
      <c r="FH547" s="105"/>
      <c r="FI547" s="105"/>
      <c r="FJ547" s="105"/>
      <c r="FK547" s="105"/>
      <c r="FL547" s="105"/>
      <c r="FM547" s="105"/>
      <c r="FN547" s="105"/>
      <c r="FO547" s="105"/>
      <c r="FP547" s="105"/>
      <c r="FQ547" s="105"/>
      <c r="FR547" s="105"/>
      <c r="FS547" s="105"/>
      <c r="FT547" s="105"/>
      <c r="FU547" s="105"/>
      <c r="FV547" s="105"/>
      <c r="FW547" s="105"/>
      <c r="FX547" s="105"/>
      <c r="FY547" s="105"/>
      <c r="FZ547" s="105"/>
      <c r="GA547" s="105"/>
      <c r="GB547" s="105"/>
      <c r="GC547" s="105"/>
      <c r="GD547" s="105"/>
      <c r="GE547" s="105"/>
      <c r="GF547" s="105"/>
      <c r="GG547" s="105"/>
      <c r="GH547" s="105"/>
      <c r="GI547" s="105"/>
      <c r="GJ547" s="105"/>
      <c r="GK547" s="105"/>
      <c r="GL547" s="105"/>
      <c r="GM547" s="105"/>
      <c r="GN547" s="105"/>
      <c r="GO547" s="105"/>
      <c r="GP547" s="105"/>
      <c r="GQ547" s="105"/>
      <c r="GR547" s="105"/>
      <c r="GS547" s="105"/>
      <c r="GT547" s="105"/>
      <c r="GU547" s="105"/>
      <c r="GV547" s="105"/>
      <c r="GW547" s="105"/>
      <c r="GX547" s="105"/>
      <c r="GY547" s="105"/>
      <c r="GZ547" s="105"/>
      <c r="HA547" s="105"/>
      <c r="HB547" s="105"/>
      <c r="HC547" s="105"/>
      <c r="HD547" s="105"/>
      <c r="HE547" s="105"/>
      <c r="HF547" s="105"/>
      <c r="HG547" s="105"/>
      <c r="HH547" s="105"/>
      <c r="HI547" s="105"/>
      <c r="HJ547" s="105"/>
      <c r="HK547" s="105"/>
      <c r="HL547" s="105"/>
      <c r="HM547" s="105"/>
      <c r="HN547" s="105"/>
      <c r="HO547" s="105"/>
      <c r="HP547" s="105"/>
      <c r="HQ547" s="105"/>
      <c r="HR547" s="105"/>
      <c r="HS547" s="105"/>
      <c r="HT547" s="105"/>
      <c r="HU547" s="105"/>
      <c r="HV547" s="105"/>
      <c r="HW547" s="105"/>
      <c r="HX547" s="105"/>
      <c r="HY547" s="105"/>
      <c r="HZ547" s="105"/>
      <c r="IA547" s="105"/>
      <c r="IB547" s="105"/>
      <c r="IC547" s="105"/>
      <c r="ID547" s="105"/>
      <c r="IE547" s="105"/>
      <c r="IF547" s="105"/>
      <c r="IG547" s="105"/>
      <c r="IH547" s="105"/>
      <c r="II547" s="105"/>
      <c r="IJ547" s="105"/>
      <c r="IK547" s="105"/>
      <c r="IL547" s="105"/>
      <c r="IM547" s="105"/>
      <c r="IN547" s="105"/>
      <c r="IO547" s="105"/>
      <c r="IP547" s="105"/>
      <c r="IQ547" s="105"/>
      <c r="IR547" s="105"/>
      <c r="IS547" s="105"/>
    </row>
    <row r="548" spans="1:253">
      <c r="A548" s="116"/>
      <c r="B548" s="105"/>
      <c r="C548" s="116"/>
      <c r="D548" s="116"/>
      <c r="E548" s="116"/>
      <c r="F548" s="116"/>
      <c r="G548" s="116"/>
      <c r="H548" s="116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05"/>
      <c r="BF548" s="105"/>
      <c r="BG548" s="105"/>
      <c r="BH548" s="105"/>
      <c r="BI548" s="105"/>
      <c r="BJ548" s="105"/>
      <c r="BK548" s="105"/>
      <c r="BL548" s="105"/>
      <c r="BM548" s="105"/>
      <c r="BN548" s="105"/>
      <c r="BO548" s="105"/>
      <c r="BP548" s="105"/>
      <c r="BQ548" s="105"/>
      <c r="BR548" s="105"/>
      <c r="BS548" s="105"/>
      <c r="BT548" s="105"/>
      <c r="BU548" s="105"/>
      <c r="BV548" s="105"/>
      <c r="BW548" s="105"/>
      <c r="BX548" s="105"/>
      <c r="BY548" s="105"/>
      <c r="BZ548" s="105"/>
      <c r="CA548" s="105"/>
      <c r="CB548" s="105"/>
      <c r="CC548" s="105"/>
      <c r="CD548" s="105"/>
      <c r="CE548" s="105"/>
      <c r="CF548" s="105"/>
      <c r="CG548" s="105"/>
      <c r="CH548" s="105"/>
      <c r="CI548" s="105"/>
      <c r="CJ548" s="105"/>
      <c r="CK548" s="105"/>
      <c r="CL548" s="105"/>
      <c r="CM548" s="105"/>
      <c r="CN548" s="105"/>
      <c r="CO548" s="105"/>
      <c r="CP548" s="105"/>
      <c r="CQ548" s="105"/>
      <c r="CR548" s="105"/>
      <c r="CS548" s="105"/>
      <c r="CT548" s="105"/>
      <c r="CU548" s="105"/>
      <c r="CV548" s="105"/>
      <c r="CW548" s="105"/>
      <c r="CX548" s="105"/>
      <c r="CY548" s="105"/>
      <c r="CZ548" s="105"/>
      <c r="DA548" s="105"/>
      <c r="DB548" s="105"/>
      <c r="DC548" s="105"/>
      <c r="DD548" s="105"/>
      <c r="DE548" s="105"/>
      <c r="DF548" s="105"/>
      <c r="DG548" s="105"/>
      <c r="DH548" s="105"/>
      <c r="DI548" s="105"/>
      <c r="DJ548" s="105"/>
      <c r="DK548" s="105"/>
      <c r="DL548" s="105"/>
      <c r="DM548" s="105"/>
      <c r="DN548" s="105"/>
      <c r="DO548" s="105"/>
      <c r="DP548" s="105"/>
      <c r="DQ548" s="105"/>
      <c r="DR548" s="105"/>
      <c r="DS548" s="105"/>
      <c r="DT548" s="105"/>
      <c r="DU548" s="105"/>
      <c r="DV548" s="105"/>
      <c r="DW548" s="105"/>
      <c r="DX548" s="105"/>
      <c r="DY548" s="105"/>
      <c r="DZ548" s="105"/>
      <c r="EA548" s="105"/>
      <c r="EB548" s="105"/>
      <c r="EC548" s="105"/>
      <c r="ED548" s="105"/>
      <c r="EE548" s="105"/>
      <c r="EF548" s="105"/>
      <c r="EG548" s="105"/>
      <c r="EH548" s="105"/>
      <c r="EI548" s="105"/>
      <c r="EJ548" s="105"/>
      <c r="EK548" s="105"/>
      <c r="EL548" s="105"/>
      <c r="EM548" s="105"/>
      <c r="EN548" s="105"/>
      <c r="EO548" s="105"/>
      <c r="EP548" s="105"/>
      <c r="EQ548" s="105"/>
      <c r="ER548" s="105"/>
      <c r="ES548" s="105"/>
      <c r="ET548" s="105"/>
      <c r="EU548" s="105"/>
      <c r="EV548" s="105"/>
      <c r="EW548" s="105"/>
      <c r="EX548" s="105"/>
      <c r="EY548" s="105"/>
      <c r="EZ548" s="105"/>
      <c r="FA548" s="105"/>
      <c r="FB548" s="105"/>
      <c r="FC548" s="105"/>
      <c r="FD548" s="105"/>
      <c r="FE548" s="105"/>
      <c r="FF548" s="105"/>
      <c r="FG548" s="105"/>
      <c r="FH548" s="105"/>
      <c r="FI548" s="105"/>
      <c r="FJ548" s="105"/>
      <c r="FK548" s="105"/>
      <c r="FL548" s="105"/>
      <c r="FM548" s="105"/>
      <c r="FN548" s="105"/>
      <c r="FO548" s="105"/>
      <c r="FP548" s="105"/>
      <c r="FQ548" s="105"/>
      <c r="FR548" s="105"/>
      <c r="FS548" s="105"/>
      <c r="FT548" s="105"/>
      <c r="FU548" s="105"/>
      <c r="FV548" s="105"/>
      <c r="FW548" s="105"/>
      <c r="FX548" s="105"/>
      <c r="FY548" s="105"/>
      <c r="FZ548" s="105"/>
      <c r="GA548" s="105"/>
      <c r="GB548" s="105"/>
      <c r="GC548" s="105"/>
      <c r="GD548" s="105"/>
      <c r="GE548" s="105"/>
      <c r="GF548" s="105"/>
      <c r="GG548" s="105"/>
      <c r="GH548" s="105"/>
      <c r="GI548" s="105"/>
      <c r="GJ548" s="105"/>
      <c r="GK548" s="105"/>
      <c r="GL548" s="105"/>
      <c r="GM548" s="105"/>
      <c r="GN548" s="105"/>
      <c r="GO548" s="105"/>
      <c r="GP548" s="105"/>
      <c r="GQ548" s="105"/>
      <c r="GR548" s="105"/>
      <c r="GS548" s="105"/>
      <c r="GT548" s="105"/>
      <c r="GU548" s="105"/>
      <c r="GV548" s="105"/>
      <c r="GW548" s="105"/>
      <c r="GX548" s="105"/>
      <c r="GY548" s="105"/>
      <c r="GZ548" s="105"/>
      <c r="HA548" s="105"/>
      <c r="HB548" s="105"/>
      <c r="HC548" s="105"/>
      <c r="HD548" s="105"/>
      <c r="HE548" s="105"/>
      <c r="HF548" s="105"/>
      <c r="HG548" s="105"/>
      <c r="HH548" s="105"/>
      <c r="HI548" s="105"/>
      <c r="HJ548" s="105"/>
      <c r="HK548" s="105"/>
      <c r="HL548" s="105"/>
      <c r="HM548" s="105"/>
      <c r="HN548" s="105"/>
      <c r="HO548" s="105"/>
      <c r="HP548" s="105"/>
      <c r="HQ548" s="105"/>
      <c r="HR548" s="105"/>
      <c r="HS548" s="105"/>
      <c r="HT548" s="105"/>
      <c r="HU548" s="105"/>
      <c r="HV548" s="105"/>
      <c r="HW548" s="105"/>
      <c r="HX548" s="105"/>
      <c r="HY548" s="105"/>
      <c r="HZ548" s="105"/>
      <c r="IA548" s="105"/>
      <c r="IB548" s="105"/>
      <c r="IC548" s="105"/>
      <c r="ID548" s="105"/>
      <c r="IE548" s="105"/>
      <c r="IF548" s="105"/>
      <c r="IG548" s="105"/>
      <c r="IH548" s="105"/>
      <c r="II548" s="105"/>
      <c r="IJ548" s="105"/>
      <c r="IK548" s="105"/>
      <c r="IL548" s="105"/>
      <c r="IM548" s="105"/>
      <c r="IN548" s="105"/>
      <c r="IO548" s="105"/>
      <c r="IP548" s="105"/>
      <c r="IQ548" s="105"/>
      <c r="IR548" s="105"/>
      <c r="IS548" s="105"/>
    </row>
    <row r="549" spans="1:253">
      <c r="A549" s="116"/>
      <c r="B549" s="105"/>
      <c r="C549" s="116"/>
      <c r="D549" s="116"/>
      <c r="E549" s="116"/>
      <c r="F549" s="116"/>
      <c r="G549" s="116"/>
      <c r="H549" s="116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105"/>
      <c r="BA549" s="105"/>
      <c r="BB549" s="105"/>
      <c r="BC549" s="105"/>
      <c r="BD549" s="105"/>
      <c r="BE549" s="105"/>
      <c r="BF549" s="105"/>
      <c r="BG549" s="105"/>
      <c r="BH549" s="105"/>
      <c r="BI549" s="105"/>
      <c r="BJ549" s="105"/>
      <c r="BK549" s="105"/>
      <c r="BL549" s="105"/>
      <c r="BM549" s="105"/>
      <c r="BN549" s="105"/>
      <c r="BO549" s="105"/>
      <c r="BP549" s="105"/>
      <c r="BQ549" s="105"/>
      <c r="BR549" s="105"/>
      <c r="BS549" s="105"/>
      <c r="BT549" s="105"/>
      <c r="BU549" s="105"/>
      <c r="BV549" s="105"/>
      <c r="BW549" s="105"/>
      <c r="BX549" s="105"/>
      <c r="BY549" s="105"/>
      <c r="BZ549" s="105"/>
      <c r="CA549" s="105"/>
      <c r="CB549" s="105"/>
      <c r="CC549" s="105"/>
      <c r="CD549" s="105"/>
      <c r="CE549" s="105"/>
      <c r="CF549" s="105"/>
      <c r="CG549" s="105"/>
      <c r="CH549" s="105"/>
      <c r="CI549" s="105"/>
      <c r="CJ549" s="105"/>
      <c r="CK549" s="105"/>
      <c r="CL549" s="105"/>
      <c r="CM549" s="105"/>
      <c r="CN549" s="105"/>
      <c r="CO549" s="105"/>
      <c r="CP549" s="105"/>
      <c r="CQ549" s="105"/>
      <c r="CR549" s="105"/>
      <c r="CS549" s="105"/>
      <c r="CT549" s="105"/>
      <c r="CU549" s="105"/>
      <c r="CV549" s="105"/>
      <c r="CW549" s="105"/>
      <c r="CX549" s="105"/>
      <c r="CY549" s="105"/>
      <c r="CZ549" s="105"/>
      <c r="DA549" s="105"/>
      <c r="DB549" s="105"/>
      <c r="DC549" s="105"/>
      <c r="DD549" s="105"/>
      <c r="DE549" s="105"/>
      <c r="DF549" s="105"/>
      <c r="DG549" s="105"/>
      <c r="DH549" s="105"/>
      <c r="DI549" s="105"/>
      <c r="DJ549" s="105"/>
      <c r="DK549" s="105"/>
      <c r="DL549" s="105"/>
      <c r="DM549" s="105"/>
      <c r="DN549" s="105"/>
      <c r="DO549" s="105"/>
      <c r="DP549" s="105"/>
      <c r="DQ549" s="105"/>
      <c r="DR549" s="105"/>
      <c r="DS549" s="105"/>
      <c r="DT549" s="105"/>
      <c r="DU549" s="105"/>
      <c r="DV549" s="105"/>
      <c r="DW549" s="105"/>
      <c r="DX549" s="105"/>
      <c r="DY549" s="105"/>
      <c r="DZ549" s="105"/>
      <c r="EA549" s="105"/>
      <c r="EB549" s="105"/>
      <c r="EC549" s="105"/>
      <c r="ED549" s="105"/>
      <c r="EE549" s="105"/>
      <c r="EF549" s="105"/>
      <c r="EG549" s="105"/>
      <c r="EH549" s="105"/>
      <c r="EI549" s="105"/>
      <c r="EJ549" s="105"/>
      <c r="EK549" s="105"/>
      <c r="EL549" s="105"/>
      <c r="EM549" s="105"/>
      <c r="EN549" s="105"/>
      <c r="EO549" s="105"/>
      <c r="EP549" s="105"/>
      <c r="EQ549" s="105"/>
      <c r="ER549" s="105"/>
      <c r="ES549" s="105"/>
      <c r="ET549" s="105"/>
      <c r="EU549" s="105"/>
      <c r="EV549" s="105"/>
      <c r="EW549" s="105"/>
      <c r="EX549" s="105"/>
      <c r="EY549" s="105"/>
      <c r="EZ549" s="105"/>
      <c r="FA549" s="105"/>
      <c r="FB549" s="105"/>
      <c r="FC549" s="105"/>
      <c r="FD549" s="105"/>
      <c r="FE549" s="105"/>
      <c r="FF549" s="105"/>
      <c r="FG549" s="105"/>
      <c r="FH549" s="105"/>
      <c r="FI549" s="105"/>
      <c r="FJ549" s="105"/>
      <c r="FK549" s="105"/>
      <c r="FL549" s="105"/>
      <c r="FM549" s="105"/>
      <c r="FN549" s="105"/>
      <c r="FO549" s="105"/>
      <c r="FP549" s="105"/>
      <c r="FQ549" s="105"/>
      <c r="FR549" s="105"/>
      <c r="FS549" s="105"/>
      <c r="FT549" s="105"/>
      <c r="FU549" s="105"/>
      <c r="FV549" s="105"/>
      <c r="FW549" s="105"/>
      <c r="FX549" s="105"/>
      <c r="FY549" s="105"/>
      <c r="FZ549" s="105"/>
      <c r="GA549" s="105"/>
      <c r="GB549" s="105"/>
      <c r="GC549" s="105"/>
      <c r="GD549" s="105"/>
      <c r="GE549" s="105"/>
      <c r="GF549" s="105"/>
      <c r="GG549" s="105"/>
      <c r="GH549" s="105"/>
      <c r="GI549" s="105"/>
      <c r="GJ549" s="105"/>
      <c r="GK549" s="105"/>
      <c r="GL549" s="105"/>
      <c r="GM549" s="105"/>
      <c r="GN549" s="105"/>
      <c r="GO549" s="105"/>
      <c r="GP549" s="105"/>
      <c r="GQ549" s="105"/>
      <c r="GR549" s="105"/>
      <c r="GS549" s="105"/>
      <c r="GT549" s="105"/>
      <c r="GU549" s="105"/>
      <c r="GV549" s="105"/>
      <c r="GW549" s="105"/>
      <c r="GX549" s="105"/>
      <c r="GY549" s="105"/>
      <c r="GZ549" s="105"/>
      <c r="HA549" s="105"/>
      <c r="HB549" s="105"/>
      <c r="HC549" s="105"/>
      <c r="HD549" s="105"/>
      <c r="HE549" s="105"/>
      <c r="HF549" s="105"/>
      <c r="HG549" s="105"/>
      <c r="HH549" s="105"/>
      <c r="HI549" s="105"/>
      <c r="HJ549" s="105"/>
      <c r="HK549" s="105"/>
      <c r="HL549" s="105"/>
      <c r="HM549" s="105"/>
      <c r="HN549" s="105"/>
      <c r="HO549" s="105"/>
      <c r="HP549" s="105"/>
      <c r="HQ549" s="105"/>
      <c r="HR549" s="105"/>
      <c r="HS549" s="105"/>
      <c r="HT549" s="105"/>
      <c r="HU549" s="105"/>
      <c r="HV549" s="105"/>
      <c r="HW549" s="105"/>
      <c r="HX549" s="105"/>
      <c r="HY549" s="105"/>
      <c r="HZ549" s="105"/>
      <c r="IA549" s="105"/>
      <c r="IB549" s="105"/>
      <c r="IC549" s="105"/>
      <c r="ID549" s="105"/>
      <c r="IE549" s="105"/>
      <c r="IF549" s="105"/>
      <c r="IG549" s="105"/>
      <c r="IH549" s="105"/>
      <c r="II549" s="105"/>
      <c r="IJ549" s="105"/>
      <c r="IK549" s="105"/>
      <c r="IL549" s="105"/>
      <c r="IM549" s="105"/>
      <c r="IN549" s="105"/>
      <c r="IO549" s="105"/>
      <c r="IP549" s="105"/>
      <c r="IQ549" s="105"/>
      <c r="IR549" s="105"/>
      <c r="IS549" s="105"/>
    </row>
    <row r="550" spans="1:253">
      <c r="A550" s="116"/>
      <c r="B550" s="105"/>
      <c r="C550" s="116"/>
      <c r="D550" s="116"/>
      <c r="E550" s="116"/>
      <c r="F550" s="116"/>
      <c r="G550" s="116"/>
      <c r="H550" s="116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05"/>
      <c r="BF550" s="105"/>
      <c r="BG550" s="105"/>
      <c r="BH550" s="105"/>
      <c r="BI550" s="105"/>
      <c r="BJ550" s="105"/>
      <c r="BK550" s="105"/>
      <c r="BL550" s="105"/>
      <c r="BM550" s="105"/>
      <c r="BN550" s="105"/>
      <c r="BO550" s="105"/>
      <c r="BP550" s="105"/>
      <c r="BQ550" s="105"/>
      <c r="BR550" s="105"/>
      <c r="BS550" s="105"/>
      <c r="BT550" s="105"/>
      <c r="BU550" s="105"/>
      <c r="BV550" s="105"/>
      <c r="BW550" s="105"/>
      <c r="BX550" s="105"/>
      <c r="BY550" s="105"/>
      <c r="BZ550" s="105"/>
      <c r="CA550" s="105"/>
      <c r="CB550" s="105"/>
      <c r="CC550" s="105"/>
      <c r="CD550" s="105"/>
      <c r="CE550" s="105"/>
      <c r="CF550" s="105"/>
      <c r="CG550" s="105"/>
      <c r="CH550" s="105"/>
      <c r="CI550" s="105"/>
      <c r="CJ550" s="105"/>
      <c r="CK550" s="105"/>
      <c r="CL550" s="105"/>
      <c r="CM550" s="105"/>
      <c r="CN550" s="105"/>
      <c r="CO550" s="105"/>
      <c r="CP550" s="105"/>
      <c r="CQ550" s="105"/>
      <c r="CR550" s="105"/>
      <c r="CS550" s="105"/>
      <c r="CT550" s="105"/>
      <c r="CU550" s="105"/>
      <c r="CV550" s="105"/>
      <c r="CW550" s="105"/>
      <c r="CX550" s="105"/>
      <c r="CY550" s="105"/>
      <c r="CZ550" s="105"/>
      <c r="DA550" s="105"/>
      <c r="DB550" s="105"/>
      <c r="DC550" s="105"/>
      <c r="DD550" s="105"/>
      <c r="DE550" s="105"/>
      <c r="DF550" s="105"/>
      <c r="DG550" s="105"/>
      <c r="DH550" s="105"/>
      <c r="DI550" s="105"/>
      <c r="DJ550" s="105"/>
      <c r="DK550" s="105"/>
      <c r="DL550" s="105"/>
      <c r="DM550" s="105"/>
      <c r="DN550" s="105"/>
      <c r="DO550" s="105"/>
      <c r="DP550" s="105"/>
      <c r="DQ550" s="105"/>
      <c r="DR550" s="105"/>
      <c r="DS550" s="105"/>
      <c r="DT550" s="105"/>
      <c r="DU550" s="105"/>
      <c r="DV550" s="105"/>
      <c r="DW550" s="105"/>
      <c r="DX550" s="105"/>
      <c r="DY550" s="105"/>
      <c r="DZ550" s="105"/>
      <c r="EA550" s="105"/>
      <c r="EB550" s="105"/>
      <c r="EC550" s="105"/>
      <c r="ED550" s="105"/>
      <c r="EE550" s="105"/>
      <c r="EF550" s="105"/>
      <c r="EG550" s="105"/>
      <c r="EH550" s="105"/>
      <c r="EI550" s="105"/>
      <c r="EJ550" s="105"/>
      <c r="EK550" s="105"/>
      <c r="EL550" s="105"/>
      <c r="EM550" s="105"/>
      <c r="EN550" s="105"/>
      <c r="EO550" s="105"/>
      <c r="EP550" s="105"/>
      <c r="EQ550" s="105"/>
      <c r="ER550" s="105"/>
      <c r="ES550" s="105"/>
      <c r="ET550" s="105"/>
      <c r="EU550" s="105"/>
      <c r="EV550" s="105"/>
      <c r="EW550" s="105"/>
      <c r="EX550" s="105"/>
      <c r="EY550" s="105"/>
      <c r="EZ550" s="105"/>
      <c r="FA550" s="105"/>
      <c r="FB550" s="105"/>
      <c r="FC550" s="105"/>
      <c r="FD550" s="105"/>
      <c r="FE550" s="105"/>
      <c r="FF550" s="105"/>
      <c r="FG550" s="105"/>
      <c r="FH550" s="105"/>
      <c r="FI550" s="105"/>
      <c r="FJ550" s="105"/>
      <c r="FK550" s="105"/>
      <c r="FL550" s="105"/>
      <c r="FM550" s="105"/>
      <c r="FN550" s="105"/>
      <c r="FO550" s="105"/>
      <c r="FP550" s="105"/>
      <c r="FQ550" s="105"/>
      <c r="FR550" s="105"/>
      <c r="FS550" s="105"/>
      <c r="FT550" s="105"/>
      <c r="FU550" s="105"/>
      <c r="FV550" s="105"/>
      <c r="FW550" s="105"/>
      <c r="FX550" s="105"/>
      <c r="FY550" s="105"/>
      <c r="FZ550" s="105"/>
      <c r="GA550" s="105"/>
      <c r="GB550" s="105"/>
      <c r="GC550" s="105"/>
      <c r="GD550" s="105"/>
      <c r="GE550" s="105"/>
      <c r="GF550" s="105"/>
      <c r="GG550" s="105"/>
      <c r="GH550" s="105"/>
      <c r="GI550" s="105"/>
      <c r="GJ550" s="105"/>
      <c r="GK550" s="105"/>
      <c r="GL550" s="105"/>
      <c r="GM550" s="105"/>
      <c r="GN550" s="105"/>
      <c r="GO550" s="105"/>
      <c r="GP550" s="105"/>
      <c r="GQ550" s="105"/>
      <c r="GR550" s="105"/>
      <c r="GS550" s="105"/>
      <c r="GT550" s="105"/>
      <c r="GU550" s="105"/>
      <c r="GV550" s="105"/>
      <c r="GW550" s="105"/>
      <c r="GX550" s="105"/>
      <c r="GY550" s="105"/>
      <c r="GZ550" s="105"/>
      <c r="HA550" s="105"/>
      <c r="HB550" s="105"/>
      <c r="HC550" s="105"/>
      <c r="HD550" s="105"/>
      <c r="HE550" s="105"/>
      <c r="HF550" s="105"/>
      <c r="HG550" s="105"/>
      <c r="HH550" s="105"/>
      <c r="HI550" s="105"/>
      <c r="HJ550" s="105"/>
      <c r="HK550" s="105"/>
      <c r="HL550" s="105"/>
      <c r="HM550" s="105"/>
      <c r="HN550" s="105"/>
      <c r="HO550" s="105"/>
      <c r="HP550" s="105"/>
      <c r="HQ550" s="105"/>
      <c r="HR550" s="105"/>
      <c r="HS550" s="105"/>
      <c r="HT550" s="105"/>
      <c r="HU550" s="105"/>
      <c r="HV550" s="105"/>
      <c r="HW550" s="105"/>
      <c r="HX550" s="105"/>
      <c r="HY550" s="105"/>
      <c r="HZ550" s="105"/>
      <c r="IA550" s="105"/>
      <c r="IB550" s="105"/>
      <c r="IC550" s="105"/>
      <c r="ID550" s="105"/>
      <c r="IE550" s="105"/>
      <c r="IF550" s="105"/>
      <c r="IG550" s="105"/>
      <c r="IH550" s="105"/>
      <c r="II550" s="105"/>
      <c r="IJ550" s="105"/>
      <c r="IK550" s="105"/>
      <c r="IL550" s="105"/>
      <c r="IM550" s="105"/>
      <c r="IN550" s="105"/>
      <c r="IO550" s="105"/>
      <c r="IP550" s="105"/>
      <c r="IQ550" s="105"/>
      <c r="IR550" s="105"/>
      <c r="IS550" s="105"/>
    </row>
    <row r="551" spans="1:253">
      <c r="A551" s="116"/>
      <c r="B551" s="105"/>
      <c r="C551" s="116"/>
      <c r="D551" s="116"/>
      <c r="E551" s="116"/>
      <c r="F551" s="116"/>
      <c r="G551" s="116"/>
      <c r="H551" s="116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105"/>
      <c r="BA551" s="105"/>
      <c r="BB551" s="105"/>
      <c r="BC551" s="105"/>
      <c r="BD551" s="105"/>
      <c r="BE551" s="105"/>
      <c r="BF551" s="105"/>
      <c r="BG551" s="105"/>
      <c r="BH551" s="105"/>
      <c r="BI551" s="105"/>
      <c r="BJ551" s="105"/>
      <c r="BK551" s="105"/>
      <c r="BL551" s="105"/>
      <c r="BM551" s="105"/>
      <c r="BN551" s="105"/>
      <c r="BO551" s="105"/>
      <c r="BP551" s="105"/>
      <c r="BQ551" s="105"/>
      <c r="BR551" s="105"/>
      <c r="BS551" s="105"/>
      <c r="BT551" s="105"/>
      <c r="BU551" s="105"/>
      <c r="BV551" s="105"/>
      <c r="BW551" s="105"/>
      <c r="BX551" s="105"/>
      <c r="BY551" s="105"/>
      <c r="BZ551" s="105"/>
      <c r="CA551" s="105"/>
      <c r="CB551" s="105"/>
      <c r="CC551" s="105"/>
      <c r="CD551" s="105"/>
      <c r="CE551" s="105"/>
      <c r="CF551" s="105"/>
      <c r="CG551" s="105"/>
      <c r="CH551" s="105"/>
      <c r="CI551" s="105"/>
      <c r="CJ551" s="105"/>
      <c r="CK551" s="105"/>
      <c r="CL551" s="105"/>
      <c r="CM551" s="105"/>
      <c r="CN551" s="105"/>
      <c r="CO551" s="105"/>
      <c r="CP551" s="105"/>
      <c r="CQ551" s="105"/>
      <c r="CR551" s="105"/>
      <c r="CS551" s="105"/>
      <c r="CT551" s="105"/>
      <c r="CU551" s="105"/>
      <c r="CV551" s="105"/>
      <c r="CW551" s="105"/>
      <c r="CX551" s="105"/>
      <c r="CY551" s="105"/>
      <c r="CZ551" s="105"/>
      <c r="DA551" s="105"/>
      <c r="DB551" s="105"/>
      <c r="DC551" s="105"/>
      <c r="DD551" s="105"/>
      <c r="DE551" s="105"/>
      <c r="DF551" s="105"/>
      <c r="DG551" s="105"/>
      <c r="DH551" s="105"/>
      <c r="DI551" s="105"/>
      <c r="DJ551" s="105"/>
      <c r="DK551" s="105"/>
      <c r="DL551" s="105"/>
      <c r="DM551" s="105"/>
      <c r="DN551" s="105"/>
      <c r="DO551" s="105"/>
      <c r="DP551" s="105"/>
      <c r="DQ551" s="105"/>
      <c r="DR551" s="105"/>
      <c r="DS551" s="105"/>
      <c r="DT551" s="105"/>
      <c r="DU551" s="105"/>
      <c r="DV551" s="105"/>
      <c r="DW551" s="105"/>
      <c r="DX551" s="105"/>
      <c r="DY551" s="105"/>
      <c r="DZ551" s="105"/>
      <c r="EA551" s="105"/>
      <c r="EB551" s="105"/>
      <c r="EC551" s="105"/>
      <c r="ED551" s="105"/>
      <c r="EE551" s="105"/>
      <c r="EF551" s="105"/>
      <c r="EG551" s="105"/>
      <c r="EH551" s="105"/>
      <c r="EI551" s="105"/>
      <c r="EJ551" s="105"/>
      <c r="EK551" s="105"/>
      <c r="EL551" s="105"/>
      <c r="EM551" s="105"/>
      <c r="EN551" s="105"/>
      <c r="EO551" s="105"/>
      <c r="EP551" s="105"/>
      <c r="EQ551" s="105"/>
      <c r="ER551" s="105"/>
      <c r="ES551" s="105"/>
      <c r="ET551" s="105"/>
      <c r="EU551" s="105"/>
      <c r="EV551" s="105"/>
      <c r="EW551" s="105"/>
      <c r="EX551" s="105"/>
      <c r="EY551" s="105"/>
      <c r="EZ551" s="105"/>
      <c r="FA551" s="105"/>
      <c r="FB551" s="105"/>
      <c r="FC551" s="105"/>
      <c r="FD551" s="105"/>
      <c r="FE551" s="105"/>
      <c r="FF551" s="105"/>
      <c r="FG551" s="105"/>
      <c r="FH551" s="105"/>
      <c r="FI551" s="105"/>
      <c r="FJ551" s="105"/>
      <c r="FK551" s="105"/>
      <c r="FL551" s="105"/>
      <c r="FM551" s="105"/>
      <c r="FN551" s="105"/>
      <c r="FO551" s="105"/>
      <c r="FP551" s="105"/>
      <c r="FQ551" s="105"/>
      <c r="FR551" s="105"/>
      <c r="FS551" s="105"/>
      <c r="FT551" s="105"/>
      <c r="FU551" s="105"/>
      <c r="FV551" s="105"/>
      <c r="FW551" s="105"/>
      <c r="FX551" s="105"/>
      <c r="FY551" s="105"/>
      <c r="FZ551" s="105"/>
      <c r="GA551" s="105"/>
      <c r="GB551" s="105"/>
      <c r="GC551" s="105"/>
      <c r="GD551" s="105"/>
      <c r="GE551" s="105"/>
      <c r="GF551" s="105"/>
      <c r="GG551" s="105"/>
      <c r="GH551" s="105"/>
      <c r="GI551" s="105"/>
      <c r="GJ551" s="105"/>
      <c r="GK551" s="105"/>
      <c r="GL551" s="105"/>
      <c r="GM551" s="105"/>
      <c r="GN551" s="105"/>
      <c r="GO551" s="105"/>
      <c r="GP551" s="105"/>
      <c r="GQ551" s="105"/>
      <c r="GR551" s="105"/>
      <c r="GS551" s="105"/>
      <c r="GT551" s="105"/>
      <c r="GU551" s="105"/>
      <c r="GV551" s="105"/>
      <c r="GW551" s="105"/>
      <c r="GX551" s="105"/>
      <c r="GY551" s="105"/>
      <c r="GZ551" s="105"/>
      <c r="HA551" s="105"/>
      <c r="HB551" s="105"/>
      <c r="HC551" s="105"/>
      <c r="HD551" s="105"/>
      <c r="HE551" s="105"/>
      <c r="HF551" s="105"/>
      <c r="HG551" s="105"/>
      <c r="HH551" s="105"/>
      <c r="HI551" s="105"/>
      <c r="HJ551" s="105"/>
      <c r="HK551" s="105"/>
      <c r="HL551" s="105"/>
      <c r="HM551" s="105"/>
      <c r="HN551" s="105"/>
      <c r="HO551" s="105"/>
      <c r="HP551" s="105"/>
      <c r="HQ551" s="105"/>
      <c r="HR551" s="105"/>
      <c r="HS551" s="105"/>
      <c r="HT551" s="105"/>
      <c r="HU551" s="105"/>
      <c r="HV551" s="105"/>
      <c r="HW551" s="105"/>
      <c r="HX551" s="105"/>
      <c r="HY551" s="105"/>
      <c r="HZ551" s="105"/>
      <c r="IA551" s="105"/>
      <c r="IB551" s="105"/>
      <c r="IC551" s="105"/>
      <c r="ID551" s="105"/>
      <c r="IE551" s="105"/>
      <c r="IF551" s="105"/>
      <c r="IG551" s="105"/>
      <c r="IH551" s="105"/>
      <c r="II551" s="105"/>
      <c r="IJ551" s="105"/>
      <c r="IK551" s="105"/>
      <c r="IL551" s="105"/>
      <c r="IM551" s="105"/>
      <c r="IN551" s="105"/>
      <c r="IO551" s="105"/>
      <c r="IP551" s="105"/>
      <c r="IQ551" s="105"/>
      <c r="IR551" s="105"/>
      <c r="IS551" s="105"/>
    </row>
    <row r="552" spans="1:253">
      <c r="A552" s="116"/>
      <c r="B552" s="105"/>
      <c r="C552" s="116"/>
      <c r="D552" s="116"/>
      <c r="E552" s="116"/>
      <c r="F552" s="116"/>
      <c r="G552" s="116"/>
      <c r="H552" s="116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05"/>
      <c r="BF552" s="105"/>
      <c r="BG552" s="105"/>
      <c r="BH552" s="105"/>
      <c r="BI552" s="105"/>
      <c r="BJ552" s="105"/>
      <c r="BK552" s="105"/>
      <c r="BL552" s="105"/>
      <c r="BM552" s="105"/>
      <c r="BN552" s="105"/>
      <c r="BO552" s="105"/>
      <c r="BP552" s="105"/>
      <c r="BQ552" s="105"/>
      <c r="BR552" s="105"/>
      <c r="BS552" s="105"/>
      <c r="BT552" s="105"/>
      <c r="BU552" s="105"/>
      <c r="BV552" s="105"/>
      <c r="BW552" s="105"/>
      <c r="BX552" s="105"/>
      <c r="BY552" s="105"/>
      <c r="BZ552" s="105"/>
      <c r="CA552" s="105"/>
      <c r="CB552" s="105"/>
      <c r="CC552" s="105"/>
      <c r="CD552" s="105"/>
      <c r="CE552" s="105"/>
      <c r="CF552" s="105"/>
      <c r="CG552" s="105"/>
      <c r="CH552" s="105"/>
      <c r="CI552" s="105"/>
      <c r="CJ552" s="105"/>
      <c r="CK552" s="105"/>
      <c r="CL552" s="105"/>
      <c r="CM552" s="105"/>
      <c r="CN552" s="105"/>
      <c r="CO552" s="105"/>
      <c r="CP552" s="105"/>
      <c r="CQ552" s="105"/>
      <c r="CR552" s="105"/>
      <c r="CS552" s="105"/>
      <c r="CT552" s="105"/>
      <c r="CU552" s="105"/>
      <c r="CV552" s="105"/>
      <c r="CW552" s="105"/>
      <c r="CX552" s="105"/>
      <c r="CY552" s="105"/>
      <c r="CZ552" s="105"/>
      <c r="DA552" s="105"/>
      <c r="DB552" s="105"/>
      <c r="DC552" s="105"/>
      <c r="DD552" s="105"/>
      <c r="DE552" s="105"/>
      <c r="DF552" s="105"/>
      <c r="DG552" s="105"/>
      <c r="DH552" s="105"/>
      <c r="DI552" s="105"/>
      <c r="DJ552" s="105"/>
      <c r="DK552" s="105"/>
      <c r="DL552" s="105"/>
      <c r="DM552" s="105"/>
      <c r="DN552" s="105"/>
      <c r="DO552" s="105"/>
      <c r="DP552" s="105"/>
      <c r="DQ552" s="105"/>
      <c r="DR552" s="105"/>
      <c r="DS552" s="105"/>
      <c r="DT552" s="105"/>
      <c r="DU552" s="105"/>
      <c r="DV552" s="105"/>
      <c r="DW552" s="105"/>
      <c r="DX552" s="105"/>
      <c r="DY552" s="105"/>
      <c r="DZ552" s="105"/>
      <c r="EA552" s="105"/>
      <c r="EB552" s="105"/>
      <c r="EC552" s="105"/>
      <c r="ED552" s="105"/>
      <c r="EE552" s="105"/>
      <c r="EF552" s="105"/>
      <c r="EG552" s="105"/>
      <c r="EH552" s="105"/>
      <c r="EI552" s="105"/>
      <c r="EJ552" s="105"/>
      <c r="EK552" s="105"/>
      <c r="EL552" s="105"/>
      <c r="EM552" s="105"/>
      <c r="EN552" s="105"/>
      <c r="EO552" s="105"/>
      <c r="EP552" s="105"/>
      <c r="EQ552" s="105"/>
      <c r="ER552" s="105"/>
      <c r="ES552" s="105"/>
      <c r="ET552" s="105"/>
      <c r="EU552" s="105"/>
      <c r="EV552" s="105"/>
      <c r="EW552" s="105"/>
      <c r="EX552" s="105"/>
      <c r="EY552" s="105"/>
      <c r="EZ552" s="105"/>
      <c r="FA552" s="105"/>
      <c r="FB552" s="105"/>
      <c r="FC552" s="105"/>
      <c r="FD552" s="105"/>
      <c r="FE552" s="105"/>
      <c r="FF552" s="105"/>
      <c r="FG552" s="105"/>
      <c r="FH552" s="105"/>
      <c r="FI552" s="105"/>
      <c r="FJ552" s="105"/>
      <c r="FK552" s="105"/>
      <c r="FL552" s="105"/>
      <c r="FM552" s="105"/>
      <c r="FN552" s="105"/>
      <c r="FO552" s="105"/>
      <c r="FP552" s="105"/>
      <c r="FQ552" s="105"/>
      <c r="FR552" s="105"/>
      <c r="FS552" s="105"/>
      <c r="FT552" s="105"/>
      <c r="FU552" s="105"/>
      <c r="FV552" s="105"/>
      <c r="FW552" s="105"/>
      <c r="FX552" s="105"/>
      <c r="FY552" s="105"/>
      <c r="FZ552" s="105"/>
      <c r="GA552" s="105"/>
      <c r="GB552" s="105"/>
      <c r="GC552" s="105"/>
      <c r="GD552" s="105"/>
      <c r="GE552" s="105"/>
      <c r="GF552" s="105"/>
      <c r="GG552" s="105"/>
      <c r="GH552" s="105"/>
      <c r="GI552" s="105"/>
      <c r="GJ552" s="105"/>
      <c r="GK552" s="105"/>
      <c r="GL552" s="105"/>
      <c r="GM552" s="105"/>
      <c r="GN552" s="105"/>
      <c r="GO552" s="105"/>
      <c r="GP552" s="105"/>
      <c r="GQ552" s="105"/>
      <c r="GR552" s="105"/>
      <c r="GS552" s="105"/>
      <c r="GT552" s="105"/>
      <c r="GU552" s="105"/>
      <c r="GV552" s="105"/>
      <c r="GW552" s="105"/>
      <c r="GX552" s="105"/>
      <c r="GY552" s="105"/>
      <c r="GZ552" s="105"/>
      <c r="HA552" s="105"/>
      <c r="HB552" s="105"/>
      <c r="HC552" s="105"/>
      <c r="HD552" s="105"/>
      <c r="HE552" s="105"/>
      <c r="HF552" s="105"/>
      <c r="HG552" s="105"/>
      <c r="HH552" s="105"/>
      <c r="HI552" s="105"/>
      <c r="HJ552" s="105"/>
      <c r="HK552" s="105"/>
      <c r="HL552" s="105"/>
      <c r="HM552" s="105"/>
      <c r="HN552" s="105"/>
      <c r="HO552" s="105"/>
      <c r="HP552" s="105"/>
      <c r="HQ552" s="105"/>
      <c r="HR552" s="105"/>
      <c r="HS552" s="105"/>
      <c r="HT552" s="105"/>
      <c r="HU552" s="105"/>
      <c r="HV552" s="105"/>
      <c r="HW552" s="105"/>
      <c r="HX552" s="105"/>
      <c r="HY552" s="105"/>
      <c r="HZ552" s="105"/>
      <c r="IA552" s="105"/>
      <c r="IB552" s="105"/>
      <c r="IC552" s="105"/>
      <c r="ID552" s="105"/>
      <c r="IE552" s="105"/>
      <c r="IF552" s="105"/>
      <c r="IG552" s="105"/>
      <c r="IH552" s="105"/>
      <c r="II552" s="105"/>
      <c r="IJ552" s="105"/>
      <c r="IK552" s="105"/>
      <c r="IL552" s="105"/>
      <c r="IM552" s="105"/>
      <c r="IN552" s="105"/>
      <c r="IO552" s="105"/>
      <c r="IP552" s="105"/>
      <c r="IQ552" s="105"/>
      <c r="IR552" s="105"/>
      <c r="IS552" s="105"/>
    </row>
    <row r="553" spans="1:253">
      <c r="A553" s="116"/>
      <c r="B553" s="105"/>
      <c r="C553" s="116"/>
      <c r="D553" s="116"/>
      <c r="E553" s="116"/>
      <c r="F553" s="116"/>
      <c r="G553" s="116"/>
      <c r="H553" s="116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105"/>
      <c r="BA553" s="105"/>
      <c r="BB553" s="105"/>
      <c r="BC553" s="105"/>
      <c r="BD553" s="105"/>
      <c r="BE553" s="105"/>
      <c r="BF553" s="105"/>
      <c r="BG553" s="105"/>
      <c r="BH553" s="105"/>
      <c r="BI553" s="105"/>
      <c r="BJ553" s="105"/>
      <c r="BK553" s="105"/>
      <c r="BL553" s="105"/>
      <c r="BM553" s="105"/>
      <c r="BN553" s="105"/>
      <c r="BO553" s="105"/>
      <c r="BP553" s="105"/>
      <c r="BQ553" s="105"/>
      <c r="BR553" s="105"/>
      <c r="BS553" s="105"/>
      <c r="BT553" s="105"/>
      <c r="BU553" s="105"/>
      <c r="BV553" s="105"/>
      <c r="BW553" s="105"/>
      <c r="BX553" s="105"/>
      <c r="BY553" s="105"/>
      <c r="BZ553" s="105"/>
      <c r="CA553" s="105"/>
      <c r="CB553" s="105"/>
      <c r="CC553" s="105"/>
      <c r="CD553" s="105"/>
      <c r="CE553" s="105"/>
      <c r="CF553" s="105"/>
      <c r="CG553" s="105"/>
      <c r="CH553" s="105"/>
      <c r="CI553" s="105"/>
      <c r="CJ553" s="105"/>
      <c r="CK553" s="105"/>
      <c r="CL553" s="105"/>
      <c r="CM553" s="105"/>
      <c r="CN553" s="105"/>
      <c r="CO553" s="105"/>
      <c r="CP553" s="105"/>
      <c r="CQ553" s="105"/>
      <c r="CR553" s="105"/>
      <c r="CS553" s="105"/>
      <c r="CT553" s="105"/>
      <c r="CU553" s="105"/>
      <c r="CV553" s="105"/>
      <c r="CW553" s="105"/>
      <c r="CX553" s="105"/>
      <c r="CY553" s="105"/>
      <c r="CZ553" s="105"/>
      <c r="DA553" s="105"/>
      <c r="DB553" s="105"/>
      <c r="DC553" s="105"/>
      <c r="DD553" s="105"/>
      <c r="DE553" s="105"/>
      <c r="DF553" s="105"/>
      <c r="DG553" s="105"/>
      <c r="DH553" s="105"/>
      <c r="DI553" s="105"/>
      <c r="DJ553" s="105"/>
      <c r="DK553" s="105"/>
      <c r="DL553" s="105"/>
      <c r="DM553" s="105"/>
      <c r="DN553" s="105"/>
      <c r="DO553" s="105"/>
      <c r="DP553" s="105"/>
      <c r="DQ553" s="105"/>
      <c r="DR553" s="105"/>
      <c r="DS553" s="105"/>
      <c r="DT553" s="105"/>
      <c r="DU553" s="105"/>
      <c r="DV553" s="105"/>
      <c r="DW553" s="105"/>
      <c r="DX553" s="105"/>
      <c r="DY553" s="105"/>
      <c r="DZ553" s="105"/>
      <c r="EA553" s="105"/>
      <c r="EB553" s="105"/>
      <c r="EC553" s="105"/>
      <c r="ED553" s="105"/>
      <c r="EE553" s="105"/>
      <c r="EF553" s="105"/>
      <c r="EG553" s="105"/>
      <c r="EH553" s="105"/>
      <c r="EI553" s="105"/>
      <c r="EJ553" s="105"/>
      <c r="EK553" s="105"/>
      <c r="EL553" s="105"/>
      <c r="EM553" s="105"/>
      <c r="EN553" s="105"/>
      <c r="EO553" s="105"/>
      <c r="EP553" s="105"/>
      <c r="EQ553" s="105"/>
      <c r="ER553" s="105"/>
      <c r="ES553" s="105"/>
      <c r="ET553" s="105"/>
      <c r="EU553" s="105"/>
      <c r="EV553" s="105"/>
      <c r="EW553" s="105"/>
      <c r="EX553" s="105"/>
      <c r="EY553" s="105"/>
      <c r="EZ553" s="105"/>
      <c r="FA553" s="105"/>
      <c r="FB553" s="105"/>
      <c r="FC553" s="105"/>
      <c r="FD553" s="105"/>
      <c r="FE553" s="105"/>
      <c r="FF553" s="105"/>
      <c r="FG553" s="105"/>
      <c r="FH553" s="105"/>
      <c r="FI553" s="105"/>
      <c r="FJ553" s="105"/>
      <c r="FK553" s="105"/>
      <c r="FL553" s="105"/>
      <c r="FM553" s="105"/>
      <c r="FN553" s="105"/>
      <c r="FO553" s="105"/>
      <c r="FP553" s="105"/>
      <c r="FQ553" s="105"/>
      <c r="FR553" s="105"/>
      <c r="FS553" s="105"/>
      <c r="FT553" s="105"/>
      <c r="FU553" s="105"/>
      <c r="FV553" s="105"/>
      <c r="FW553" s="105"/>
      <c r="FX553" s="105"/>
      <c r="FY553" s="105"/>
      <c r="FZ553" s="105"/>
      <c r="GA553" s="105"/>
      <c r="GB553" s="105"/>
      <c r="GC553" s="105"/>
      <c r="GD553" s="105"/>
      <c r="GE553" s="105"/>
      <c r="GF553" s="105"/>
      <c r="GG553" s="105"/>
      <c r="GH553" s="105"/>
      <c r="GI553" s="105"/>
      <c r="GJ553" s="105"/>
      <c r="GK553" s="105"/>
      <c r="GL553" s="105"/>
      <c r="GM553" s="105"/>
      <c r="GN553" s="105"/>
      <c r="GO553" s="105"/>
      <c r="GP553" s="105"/>
      <c r="GQ553" s="105"/>
      <c r="GR553" s="105"/>
      <c r="GS553" s="105"/>
      <c r="GT553" s="105"/>
      <c r="GU553" s="105"/>
      <c r="GV553" s="105"/>
      <c r="GW553" s="105"/>
      <c r="GX553" s="105"/>
      <c r="GY553" s="105"/>
      <c r="GZ553" s="105"/>
      <c r="HA553" s="105"/>
      <c r="HB553" s="105"/>
      <c r="HC553" s="105"/>
      <c r="HD553" s="105"/>
      <c r="HE553" s="105"/>
      <c r="HF553" s="105"/>
      <c r="HG553" s="105"/>
      <c r="HH553" s="105"/>
      <c r="HI553" s="105"/>
      <c r="HJ553" s="105"/>
      <c r="HK553" s="105"/>
      <c r="HL553" s="105"/>
      <c r="HM553" s="105"/>
      <c r="HN553" s="105"/>
      <c r="HO553" s="105"/>
      <c r="HP553" s="105"/>
      <c r="HQ553" s="105"/>
      <c r="HR553" s="105"/>
      <c r="HS553" s="105"/>
      <c r="HT553" s="105"/>
      <c r="HU553" s="105"/>
      <c r="HV553" s="105"/>
      <c r="HW553" s="105"/>
      <c r="HX553" s="105"/>
      <c r="HY553" s="105"/>
      <c r="HZ553" s="105"/>
      <c r="IA553" s="105"/>
      <c r="IB553" s="105"/>
      <c r="IC553" s="105"/>
      <c r="ID553" s="105"/>
      <c r="IE553" s="105"/>
      <c r="IF553" s="105"/>
      <c r="IG553" s="105"/>
      <c r="IH553" s="105"/>
      <c r="II553" s="105"/>
      <c r="IJ553" s="105"/>
      <c r="IK553" s="105"/>
      <c r="IL553" s="105"/>
      <c r="IM553" s="105"/>
      <c r="IN553" s="105"/>
      <c r="IO553" s="105"/>
      <c r="IP553" s="105"/>
      <c r="IQ553" s="105"/>
      <c r="IR553" s="105"/>
      <c r="IS553" s="105"/>
    </row>
    <row r="554" spans="1:253">
      <c r="A554" s="116"/>
      <c r="B554" s="105"/>
      <c r="C554" s="116"/>
      <c r="D554" s="116"/>
      <c r="E554" s="116"/>
      <c r="F554" s="116"/>
      <c r="G554" s="116"/>
      <c r="H554" s="116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05"/>
      <c r="BF554" s="105"/>
      <c r="BG554" s="105"/>
      <c r="BH554" s="105"/>
      <c r="BI554" s="105"/>
      <c r="BJ554" s="105"/>
      <c r="BK554" s="105"/>
      <c r="BL554" s="105"/>
      <c r="BM554" s="105"/>
      <c r="BN554" s="105"/>
      <c r="BO554" s="105"/>
      <c r="BP554" s="105"/>
      <c r="BQ554" s="105"/>
      <c r="BR554" s="105"/>
      <c r="BS554" s="105"/>
      <c r="BT554" s="105"/>
      <c r="BU554" s="105"/>
      <c r="BV554" s="105"/>
      <c r="BW554" s="105"/>
      <c r="BX554" s="105"/>
      <c r="BY554" s="105"/>
      <c r="BZ554" s="105"/>
      <c r="CA554" s="105"/>
      <c r="CB554" s="105"/>
      <c r="CC554" s="105"/>
      <c r="CD554" s="105"/>
      <c r="CE554" s="105"/>
      <c r="CF554" s="105"/>
      <c r="CG554" s="105"/>
      <c r="CH554" s="105"/>
      <c r="CI554" s="105"/>
      <c r="CJ554" s="105"/>
      <c r="CK554" s="105"/>
      <c r="CL554" s="105"/>
      <c r="CM554" s="105"/>
      <c r="CN554" s="105"/>
      <c r="CO554" s="105"/>
      <c r="CP554" s="105"/>
      <c r="CQ554" s="105"/>
      <c r="CR554" s="105"/>
      <c r="CS554" s="105"/>
      <c r="CT554" s="105"/>
      <c r="CU554" s="105"/>
      <c r="CV554" s="105"/>
      <c r="CW554" s="105"/>
      <c r="CX554" s="105"/>
      <c r="CY554" s="105"/>
      <c r="CZ554" s="105"/>
      <c r="DA554" s="105"/>
      <c r="DB554" s="105"/>
      <c r="DC554" s="105"/>
      <c r="DD554" s="105"/>
      <c r="DE554" s="105"/>
      <c r="DF554" s="105"/>
      <c r="DG554" s="105"/>
      <c r="DH554" s="105"/>
      <c r="DI554" s="105"/>
      <c r="DJ554" s="105"/>
      <c r="DK554" s="105"/>
      <c r="DL554" s="105"/>
      <c r="DM554" s="105"/>
      <c r="DN554" s="105"/>
      <c r="DO554" s="105"/>
      <c r="DP554" s="105"/>
      <c r="DQ554" s="105"/>
      <c r="DR554" s="105"/>
      <c r="DS554" s="105"/>
      <c r="DT554" s="105"/>
      <c r="DU554" s="105"/>
      <c r="DV554" s="105"/>
      <c r="DW554" s="105"/>
      <c r="DX554" s="105"/>
      <c r="DY554" s="105"/>
      <c r="DZ554" s="105"/>
      <c r="EA554" s="105"/>
      <c r="EB554" s="105"/>
      <c r="EC554" s="105"/>
      <c r="ED554" s="105"/>
      <c r="EE554" s="105"/>
      <c r="EF554" s="105"/>
      <c r="EG554" s="105"/>
      <c r="EH554" s="105"/>
      <c r="EI554" s="105"/>
      <c r="EJ554" s="105"/>
      <c r="EK554" s="105"/>
      <c r="EL554" s="105"/>
      <c r="EM554" s="105"/>
      <c r="EN554" s="105"/>
      <c r="EO554" s="105"/>
      <c r="EP554" s="105"/>
      <c r="EQ554" s="105"/>
      <c r="ER554" s="105"/>
      <c r="ES554" s="105"/>
      <c r="ET554" s="105"/>
      <c r="EU554" s="105"/>
      <c r="EV554" s="105"/>
      <c r="EW554" s="105"/>
      <c r="EX554" s="105"/>
      <c r="EY554" s="105"/>
      <c r="EZ554" s="105"/>
      <c r="FA554" s="105"/>
      <c r="FB554" s="105"/>
      <c r="FC554" s="105"/>
      <c r="FD554" s="105"/>
      <c r="FE554" s="105"/>
      <c r="FF554" s="105"/>
      <c r="FG554" s="105"/>
      <c r="FH554" s="105"/>
      <c r="FI554" s="105"/>
      <c r="FJ554" s="105"/>
      <c r="FK554" s="105"/>
      <c r="FL554" s="105"/>
      <c r="FM554" s="105"/>
      <c r="FN554" s="105"/>
      <c r="FO554" s="105"/>
      <c r="FP554" s="105"/>
      <c r="FQ554" s="105"/>
      <c r="FR554" s="105"/>
      <c r="FS554" s="105"/>
      <c r="FT554" s="105"/>
      <c r="FU554" s="105"/>
      <c r="FV554" s="105"/>
      <c r="FW554" s="105"/>
      <c r="FX554" s="105"/>
      <c r="FY554" s="105"/>
      <c r="FZ554" s="105"/>
      <c r="GA554" s="105"/>
      <c r="GB554" s="105"/>
      <c r="GC554" s="105"/>
      <c r="GD554" s="105"/>
      <c r="GE554" s="105"/>
      <c r="GF554" s="105"/>
      <c r="GG554" s="105"/>
      <c r="GH554" s="105"/>
      <c r="GI554" s="105"/>
      <c r="GJ554" s="105"/>
      <c r="GK554" s="105"/>
      <c r="GL554" s="105"/>
      <c r="GM554" s="105"/>
      <c r="GN554" s="105"/>
      <c r="GO554" s="105"/>
      <c r="GP554" s="105"/>
      <c r="GQ554" s="105"/>
      <c r="GR554" s="105"/>
      <c r="GS554" s="105"/>
      <c r="GT554" s="105"/>
      <c r="GU554" s="105"/>
      <c r="GV554" s="105"/>
      <c r="GW554" s="105"/>
      <c r="GX554" s="105"/>
      <c r="GY554" s="105"/>
      <c r="GZ554" s="105"/>
      <c r="HA554" s="105"/>
      <c r="HB554" s="105"/>
      <c r="HC554" s="105"/>
      <c r="HD554" s="105"/>
      <c r="HE554" s="105"/>
      <c r="HF554" s="105"/>
      <c r="HG554" s="105"/>
      <c r="HH554" s="105"/>
      <c r="HI554" s="105"/>
      <c r="HJ554" s="105"/>
      <c r="HK554" s="105"/>
      <c r="HL554" s="105"/>
      <c r="HM554" s="105"/>
      <c r="HN554" s="105"/>
      <c r="HO554" s="105"/>
      <c r="HP554" s="105"/>
      <c r="HQ554" s="105"/>
      <c r="HR554" s="105"/>
      <c r="HS554" s="105"/>
      <c r="HT554" s="105"/>
      <c r="HU554" s="105"/>
      <c r="HV554" s="105"/>
      <c r="HW554" s="105"/>
      <c r="HX554" s="105"/>
      <c r="HY554" s="105"/>
      <c r="HZ554" s="105"/>
      <c r="IA554" s="105"/>
      <c r="IB554" s="105"/>
      <c r="IC554" s="105"/>
      <c r="ID554" s="105"/>
      <c r="IE554" s="105"/>
      <c r="IF554" s="105"/>
      <c r="IG554" s="105"/>
      <c r="IH554" s="105"/>
      <c r="II554" s="105"/>
      <c r="IJ554" s="105"/>
      <c r="IK554" s="105"/>
      <c r="IL554" s="105"/>
      <c r="IM554" s="105"/>
      <c r="IN554" s="105"/>
      <c r="IO554" s="105"/>
      <c r="IP554" s="105"/>
      <c r="IQ554" s="105"/>
      <c r="IR554" s="105"/>
      <c r="IS554" s="105"/>
    </row>
    <row r="555" spans="1:253">
      <c r="A555" s="116"/>
      <c r="B555" s="105"/>
      <c r="C555" s="116"/>
      <c r="D555" s="116"/>
      <c r="E555" s="116"/>
      <c r="F555" s="116"/>
      <c r="G555" s="116"/>
      <c r="H555" s="116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05"/>
      <c r="BF555" s="105"/>
      <c r="BG555" s="105"/>
      <c r="BH555" s="105"/>
      <c r="BI555" s="105"/>
      <c r="BJ555" s="105"/>
      <c r="BK555" s="105"/>
      <c r="BL555" s="105"/>
      <c r="BM555" s="105"/>
      <c r="BN555" s="105"/>
      <c r="BO555" s="105"/>
      <c r="BP555" s="105"/>
      <c r="BQ555" s="105"/>
      <c r="BR555" s="105"/>
      <c r="BS555" s="105"/>
      <c r="BT555" s="105"/>
      <c r="BU555" s="105"/>
      <c r="BV555" s="105"/>
      <c r="BW555" s="105"/>
      <c r="BX555" s="105"/>
      <c r="BY555" s="105"/>
      <c r="BZ555" s="105"/>
      <c r="CA555" s="105"/>
      <c r="CB555" s="105"/>
      <c r="CC555" s="105"/>
      <c r="CD555" s="105"/>
      <c r="CE555" s="105"/>
      <c r="CF555" s="105"/>
      <c r="CG555" s="105"/>
      <c r="CH555" s="105"/>
      <c r="CI555" s="105"/>
      <c r="CJ555" s="105"/>
      <c r="CK555" s="105"/>
      <c r="CL555" s="105"/>
      <c r="CM555" s="105"/>
      <c r="CN555" s="105"/>
      <c r="CO555" s="105"/>
      <c r="CP555" s="105"/>
      <c r="CQ555" s="105"/>
      <c r="CR555" s="105"/>
      <c r="CS555" s="105"/>
      <c r="CT555" s="105"/>
      <c r="CU555" s="105"/>
      <c r="CV555" s="105"/>
      <c r="CW555" s="105"/>
      <c r="CX555" s="105"/>
      <c r="CY555" s="105"/>
      <c r="CZ555" s="105"/>
      <c r="DA555" s="105"/>
      <c r="DB555" s="105"/>
      <c r="DC555" s="105"/>
      <c r="DD555" s="105"/>
      <c r="DE555" s="105"/>
      <c r="DF555" s="105"/>
      <c r="DG555" s="105"/>
      <c r="DH555" s="105"/>
      <c r="DI555" s="105"/>
      <c r="DJ555" s="105"/>
      <c r="DK555" s="105"/>
      <c r="DL555" s="105"/>
      <c r="DM555" s="105"/>
      <c r="DN555" s="105"/>
      <c r="DO555" s="105"/>
      <c r="DP555" s="105"/>
      <c r="DQ555" s="105"/>
      <c r="DR555" s="105"/>
      <c r="DS555" s="105"/>
      <c r="DT555" s="105"/>
      <c r="DU555" s="105"/>
      <c r="DV555" s="105"/>
      <c r="DW555" s="105"/>
      <c r="DX555" s="105"/>
      <c r="DY555" s="105"/>
      <c r="DZ555" s="105"/>
      <c r="EA555" s="105"/>
      <c r="EB555" s="105"/>
      <c r="EC555" s="105"/>
      <c r="ED555" s="105"/>
      <c r="EE555" s="105"/>
      <c r="EF555" s="105"/>
      <c r="EG555" s="105"/>
      <c r="EH555" s="105"/>
      <c r="EI555" s="105"/>
      <c r="EJ555" s="105"/>
      <c r="EK555" s="105"/>
      <c r="EL555" s="105"/>
      <c r="EM555" s="105"/>
      <c r="EN555" s="105"/>
      <c r="EO555" s="105"/>
      <c r="EP555" s="105"/>
      <c r="EQ555" s="105"/>
      <c r="ER555" s="105"/>
      <c r="ES555" s="105"/>
      <c r="ET555" s="105"/>
      <c r="EU555" s="105"/>
      <c r="EV555" s="105"/>
      <c r="EW555" s="105"/>
      <c r="EX555" s="105"/>
      <c r="EY555" s="105"/>
      <c r="EZ555" s="105"/>
      <c r="FA555" s="105"/>
      <c r="FB555" s="105"/>
      <c r="FC555" s="105"/>
      <c r="FD555" s="105"/>
      <c r="FE555" s="105"/>
      <c r="FF555" s="105"/>
      <c r="FG555" s="105"/>
      <c r="FH555" s="105"/>
      <c r="FI555" s="105"/>
      <c r="FJ555" s="105"/>
      <c r="FK555" s="105"/>
      <c r="FL555" s="105"/>
      <c r="FM555" s="105"/>
      <c r="FN555" s="105"/>
      <c r="FO555" s="105"/>
      <c r="FP555" s="105"/>
      <c r="FQ555" s="105"/>
      <c r="FR555" s="105"/>
      <c r="FS555" s="105"/>
      <c r="FT555" s="105"/>
      <c r="FU555" s="105"/>
      <c r="FV555" s="105"/>
      <c r="FW555" s="105"/>
      <c r="FX555" s="105"/>
      <c r="FY555" s="105"/>
      <c r="FZ555" s="105"/>
      <c r="GA555" s="105"/>
      <c r="GB555" s="105"/>
      <c r="GC555" s="105"/>
      <c r="GD555" s="105"/>
      <c r="GE555" s="105"/>
      <c r="GF555" s="105"/>
      <c r="GG555" s="105"/>
      <c r="GH555" s="105"/>
      <c r="GI555" s="105"/>
      <c r="GJ555" s="105"/>
      <c r="GK555" s="105"/>
      <c r="GL555" s="105"/>
      <c r="GM555" s="105"/>
      <c r="GN555" s="105"/>
      <c r="GO555" s="105"/>
      <c r="GP555" s="105"/>
      <c r="GQ555" s="105"/>
      <c r="GR555" s="105"/>
      <c r="GS555" s="105"/>
      <c r="GT555" s="105"/>
      <c r="GU555" s="105"/>
      <c r="GV555" s="105"/>
      <c r="GW555" s="105"/>
      <c r="GX555" s="105"/>
      <c r="GY555" s="105"/>
      <c r="GZ555" s="105"/>
      <c r="HA555" s="105"/>
      <c r="HB555" s="105"/>
      <c r="HC555" s="105"/>
      <c r="HD555" s="105"/>
      <c r="HE555" s="105"/>
      <c r="HF555" s="105"/>
      <c r="HG555" s="105"/>
      <c r="HH555" s="105"/>
      <c r="HI555" s="105"/>
      <c r="HJ555" s="105"/>
      <c r="HK555" s="105"/>
      <c r="HL555" s="105"/>
      <c r="HM555" s="105"/>
      <c r="HN555" s="105"/>
      <c r="HO555" s="105"/>
      <c r="HP555" s="105"/>
      <c r="HQ555" s="105"/>
      <c r="HR555" s="105"/>
      <c r="HS555" s="105"/>
      <c r="HT555" s="105"/>
      <c r="HU555" s="105"/>
      <c r="HV555" s="105"/>
      <c r="HW555" s="105"/>
      <c r="HX555" s="105"/>
      <c r="HY555" s="105"/>
      <c r="HZ555" s="105"/>
      <c r="IA555" s="105"/>
      <c r="IB555" s="105"/>
      <c r="IC555" s="105"/>
      <c r="ID555" s="105"/>
      <c r="IE555" s="105"/>
      <c r="IF555" s="105"/>
      <c r="IG555" s="105"/>
      <c r="IH555" s="105"/>
      <c r="II555" s="105"/>
      <c r="IJ555" s="105"/>
      <c r="IK555" s="105"/>
      <c r="IL555" s="105"/>
      <c r="IM555" s="105"/>
      <c r="IN555" s="105"/>
      <c r="IO555" s="105"/>
      <c r="IP555" s="105"/>
      <c r="IQ555" s="105"/>
      <c r="IR555" s="105"/>
      <c r="IS555" s="105"/>
    </row>
    <row r="556" spans="1:253">
      <c r="A556" s="116"/>
      <c r="B556" s="105"/>
      <c r="C556" s="116"/>
      <c r="D556" s="116"/>
      <c r="E556" s="116"/>
      <c r="F556" s="116"/>
      <c r="G556" s="116"/>
      <c r="H556" s="116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05"/>
      <c r="BF556" s="105"/>
      <c r="BG556" s="105"/>
      <c r="BH556" s="105"/>
      <c r="BI556" s="105"/>
      <c r="BJ556" s="105"/>
      <c r="BK556" s="105"/>
      <c r="BL556" s="105"/>
      <c r="BM556" s="105"/>
      <c r="BN556" s="105"/>
      <c r="BO556" s="105"/>
      <c r="BP556" s="105"/>
      <c r="BQ556" s="105"/>
      <c r="BR556" s="105"/>
      <c r="BS556" s="105"/>
      <c r="BT556" s="105"/>
      <c r="BU556" s="105"/>
      <c r="BV556" s="105"/>
      <c r="BW556" s="105"/>
      <c r="BX556" s="105"/>
      <c r="BY556" s="105"/>
      <c r="BZ556" s="105"/>
      <c r="CA556" s="105"/>
      <c r="CB556" s="105"/>
      <c r="CC556" s="105"/>
      <c r="CD556" s="105"/>
      <c r="CE556" s="105"/>
      <c r="CF556" s="105"/>
      <c r="CG556" s="105"/>
      <c r="CH556" s="105"/>
      <c r="CI556" s="105"/>
      <c r="CJ556" s="105"/>
      <c r="CK556" s="105"/>
      <c r="CL556" s="105"/>
      <c r="CM556" s="105"/>
      <c r="CN556" s="105"/>
      <c r="CO556" s="105"/>
      <c r="CP556" s="105"/>
      <c r="CQ556" s="105"/>
      <c r="CR556" s="105"/>
      <c r="CS556" s="105"/>
      <c r="CT556" s="105"/>
      <c r="CU556" s="105"/>
      <c r="CV556" s="105"/>
      <c r="CW556" s="105"/>
      <c r="CX556" s="105"/>
      <c r="CY556" s="105"/>
      <c r="CZ556" s="105"/>
      <c r="DA556" s="105"/>
      <c r="DB556" s="105"/>
      <c r="DC556" s="105"/>
      <c r="DD556" s="105"/>
      <c r="DE556" s="105"/>
      <c r="DF556" s="105"/>
      <c r="DG556" s="105"/>
      <c r="DH556" s="105"/>
      <c r="DI556" s="105"/>
      <c r="DJ556" s="105"/>
      <c r="DK556" s="105"/>
      <c r="DL556" s="105"/>
      <c r="DM556" s="105"/>
      <c r="DN556" s="105"/>
      <c r="DO556" s="105"/>
      <c r="DP556" s="105"/>
      <c r="DQ556" s="105"/>
      <c r="DR556" s="105"/>
      <c r="DS556" s="105"/>
      <c r="DT556" s="105"/>
      <c r="DU556" s="105"/>
      <c r="DV556" s="105"/>
      <c r="DW556" s="105"/>
      <c r="DX556" s="105"/>
      <c r="DY556" s="105"/>
      <c r="DZ556" s="105"/>
      <c r="EA556" s="105"/>
      <c r="EB556" s="105"/>
      <c r="EC556" s="105"/>
      <c r="ED556" s="105"/>
      <c r="EE556" s="105"/>
      <c r="EF556" s="105"/>
      <c r="EG556" s="105"/>
      <c r="EH556" s="105"/>
      <c r="EI556" s="105"/>
      <c r="EJ556" s="105"/>
      <c r="EK556" s="105"/>
      <c r="EL556" s="105"/>
      <c r="EM556" s="105"/>
      <c r="EN556" s="105"/>
      <c r="EO556" s="105"/>
      <c r="EP556" s="105"/>
      <c r="EQ556" s="105"/>
      <c r="ER556" s="105"/>
      <c r="ES556" s="105"/>
      <c r="ET556" s="105"/>
      <c r="EU556" s="105"/>
      <c r="EV556" s="105"/>
      <c r="EW556" s="105"/>
      <c r="EX556" s="105"/>
      <c r="EY556" s="105"/>
      <c r="EZ556" s="105"/>
      <c r="FA556" s="105"/>
      <c r="FB556" s="105"/>
      <c r="FC556" s="105"/>
      <c r="FD556" s="105"/>
      <c r="FE556" s="105"/>
      <c r="FF556" s="105"/>
      <c r="FG556" s="105"/>
      <c r="FH556" s="105"/>
      <c r="FI556" s="105"/>
      <c r="FJ556" s="105"/>
      <c r="FK556" s="105"/>
      <c r="FL556" s="105"/>
      <c r="FM556" s="105"/>
      <c r="FN556" s="105"/>
      <c r="FO556" s="105"/>
      <c r="FP556" s="105"/>
      <c r="FQ556" s="105"/>
      <c r="FR556" s="105"/>
      <c r="FS556" s="105"/>
      <c r="FT556" s="105"/>
      <c r="FU556" s="105"/>
      <c r="FV556" s="105"/>
      <c r="FW556" s="105"/>
      <c r="FX556" s="105"/>
      <c r="FY556" s="105"/>
      <c r="FZ556" s="105"/>
      <c r="GA556" s="105"/>
      <c r="GB556" s="105"/>
      <c r="GC556" s="105"/>
      <c r="GD556" s="105"/>
      <c r="GE556" s="105"/>
      <c r="GF556" s="105"/>
      <c r="GG556" s="105"/>
      <c r="GH556" s="105"/>
      <c r="GI556" s="105"/>
      <c r="GJ556" s="105"/>
      <c r="GK556" s="105"/>
      <c r="GL556" s="105"/>
      <c r="GM556" s="105"/>
      <c r="GN556" s="105"/>
      <c r="GO556" s="105"/>
      <c r="GP556" s="105"/>
      <c r="GQ556" s="105"/>
      <c r="GR556" s="105"/>
      <c r="GS556" s="105"/>
      <c r="GT556" s="105"/>
      <c r="GU556" s="105"/>
      <c r="GV556" s="105"/>
      <c r="GW556" s="105"/>
      <c r="GX556" s="105"/>
      <c r="GY556" s="105"/>
      <c r="GZ556" s="105"/>
      <c r="HA556" s="105"/>
      <c r="HB556" s="105"/>
      <c r="HC556" s="105"/>
      <c r="HD556" s="105"/>
      <c r="HE556" s="105"/>
      <c r="HF556" s="105"/>
      <c r="HG556" s="105"/>
      <c r="HH556" s="105"/>
      <c r="HI556" s="105"/>
      <c r="HJ556" s="105"/>
      <c r="HK556" s="105"/>
      <c r="HL556" s="105"/>
      <c r="HM556" s="105"/>
      <c r="HN556" s="105"/>
      <c r="HO556" s="105"/>
      <c r="HP556" s="105"/>
      <c r="HQ556" s="105"/>
      <c r="HR556" s="105"/>
      <c r="HS556" s="105"/>
      <c r="HT556" s="105"/>
      <c r="HU556" s="105"/>
      <c r="HV556" s="105"/>
      <c r="HW556" s="105"/>
      <c r="HX556" s="105"/>
      <c r="HY556" s="105"/>
      <c r="HZ556" s="105"/>
      <c r="IA556" s="105"/>
      <c r="IB556" s="105"/>
      <c r="IC556" s="105"/>
      <c r="ID556" s="105"/>
      <c r="IE556" s="105"/>
      <c r="IF556" s="105"/>
      <c r="IG556" s="105"/>
      <c r="IH556" s="105"/>
      <c r="II556" s="105"/>
      <c r="IJ556" s="105"/>
      <c r="IK556" s="105"/>
      <c r="IL556" s="105"/>
      <c r="IM556" s="105"/>
      <c r="IN556" s="105"/>
      <c r="IO556" s="105"/>
      <c r="IP556" s="105"/>
      <c r="IQ556" s="105"/>
      <c r="IR556" s="105"/>
      <c r="IS556" s="105"/>
    </row>
    <row r="557" spans="1:253">
      <c r="A557" s="116"/>
      <c r="B557" s="105"/>
      <c r="C557" s="116"/>
      <c r="D557" s="116"/>
      <c r="E557" s="116"/>
      <c r="F557" s="116"/>
      <c r="G557" s="116"/>
      <c r="H557" s="116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105"/>
      <c r="BA557" s="105"/>
      <c r="BB557" s="105"/>
      <c r="BC557" s="105"/>
      <c r="BD557" s="105"/>
      <c r="BE557" s="105"/>
      <c r="BF557" s="105"/>
      <c r="BG557" s="105"/>
      <c r="BH557" s="105"/>
      <c r="BI557" s="105"/>
      <c r="BJ557" s="105"/>
      <c r="BK557" s="105"/>
      <c r="BL557" s="105"/>
      <c r="BM557" s="105"/>
      <c r="BN557" s="105"/>
      <c r="BO557" s="105"/>
      <c r="BP557" s="105"/>
      <c r="BQ557" s="105"/>
      <c r="BR557" s="105"/>
      <c r="BS557" s="105"/>
      <c r="BT557" s="105"/>
      <c r="BU557" s="105"/>
      <c r="BV557" s="105"/>
      <c r="BW557" s="105"/>
      <c r="BX557" s="105"/>
      <c r="BY557" s="105"/>
      <c r="BZ557" s="105"/>
      <c r="CA557" s="105"/>
      <c r="CB557" s="105"/>
      <c r="CC557" s="105"/>
      <c r="CD557" s="105"/>
      <c r="CE557" s="105"/>
      <c r="CF557" s="105"/>
      <c r="CG557" s="105"/>
      <c r="CH557" s="105"/>
      <c r="CI557" s="105"/>
      <c r="CJ557" s="105"/>
      <c r="CK557" s="105"/>
      <c r="CL557" s="105"/>
      <c r="CM557" s="105"/>
      <c r="CN557" s="105"/>
      <c r="CO557" s="105"/>
      <c r="CP557" s="105"/>
      <c r="CQ557" s="105"/>
      <c r="CR557" s="105"/>
      <c r="CS557" s="105"/>
      <c r="CT557" s="105"/>
      <c r="CU557" s="105"/>
      <c r="CV557" s="105"/>
      <c r="CW557" s="105"/>
      <c r="CX557" s="105"/>
      <c r="CY557" s="105"/>
      <c r="CZ557" s="105"/>
      <c r="DA557" s="105"/>
      <c r="DB557" s="105"/>
      <c r="DC557" s="105"/>
      <c r="DD557" s="105"/>
      <c r="DE557" s="105"/>
      <c r="DF557" s="105"/>
      <c r="DG557" s="105"/>
      <c r="DH557" s="105"/>
      <c r="DI557" s="105"/>
      <c r="DJ557" s="105"/>
      <c r="DK557" s="105"/>
      <c r="DL557" s="105"/>
      <c r="DM557" s="105"/>
      <c r="DN557" s="105"/>
      <c r="DO557" s="105"/>
      <c r="DP557" s="105"/>
      <c r="DQ557" s="105"/>
      <c r="DR557" s="105"/>
      <c r="DS557" s="105"/>
      <c r="DT557" s="105"/>
      <c r="DU557" s="105"/>
      <c r="DV557" s="105"/>
      <c r="DW557" s="105"/>
      <c r="DX557" s="105"/>
      <c r="DY557" s="105"/>
      <c r="DZ557" s="105"/>
      <c r="EA557" s="105"/>
      <c r="EB557" s="105"/>
      <c r="EC557" s="105"/>
      <c r="ED557" s="105"/>
      <c r="EE557" s="105"/>
      <c r="EF557" s="105"/>
      <c r="EG557" s="105"/>
      <c r="EH557" s="105"/>
      <c r="EI557" s="105"/>
      <c r="EJ557" s="105"/>
      <c r="EK557" s="105"/>
      <c r="EL557" s="105"/>
      <c r="EM557" s="105"/>
      <c r="EN557" s="105"/>
      <c r="EO557" s="105"/>
      <c r="EP557" s="105"/>
      <c r="EQ557" s="105"/>
      <c r="ER557" s="105"/>
      <c r="ES557" s="105"/>
      <c r="ET557" s="105"/>
      <c r="EU557" s="105"/>
      <c r="EV557" s="105"/>
      <c r="EW557" s="105"/>
      <c r="EX557" s="105"/>
      <c r="EY557" s="105"/>
      <c r="EZ557" s="105"/>
      <c r="FA557" s="105"/>
      <c r="FB557" s="105"/>
      <c r="FC557" s="105"/>
      <c r="FD557" s="105"/>
      <c r="FE557" s="105"/>
      <c r="FF557" s="105"/>
      <c r="FG557" s="105"/>
      <c r="FH557" s="105"/>
      <c r="FI557" s="105"/>
      <c r="FJ557" s="105"/>
      <c r="FK557" s="105"/>
      <c r="FL557" s="105"/>
      <c r="FM557" s="105"/>
      <c r="FN557" s="105"/>
      <c r="FO557" s="105"/>
      <c r="FP557" s="105"/>
      <c r="FQ557" s="105"/>
      <c r="FR557" s="105"/>
      <c r="FS557" s="105"/>
      <c r="FT557" s="105"/>
      <c r="FU557" s="105"/>
      <c r="FV557" s="105"/>
      <c r="FW557" s="105"/>
      <c r="FX557" s="105"/>
      <c r="FY557" s="105"/>
      <c r="FZ557" s="105"/>
      <c r="GA557" s="105"/>
      <c r="GB557" s="105"/>
      <c r="GC557" s="105"/>
      <c r="GD557" s="105"/>
      <c r="GE557" s="105"/>
      <c r="GF557" s="105"/>
      <c r="GG557" s="105"/>
      <c r="GH557" s="105"/>
      <c r="GI557" s="105"/>
      <c r="GJ557" s="105"/>
      <c r="GK557" s="105"/>
      <c r="GL557" s="105"/>
      <c r="GM557" s="105"/>
      <c r="GN557" s="105"/>
      <c r="GO557" s="105"/>
      <c r="GP557" s="105"/>
      <c r="GQ557" s="105"/>
      <c r="GR557" s="105"/>
      <c r="GS557" s="105"/>
      <c r="GT557" s="105"/>
      <c r="GU557" s="105"/>
      <c r="GV557" s="105"/>
      <c r="GW557" s="105"/>
      <c r="GX557" s="105"/>
      <c r="GY557" s="105"/>
      <c r="GZ557" s="105"/>
      <c r="HA557" s="105"/>
      <c r="HB557" s="105"/>
      <c r="HC557" s="105"/>
      <c r="HD557" s="105"/>
      <c r="HE557" s="105"/>
      <c r="HF557" s="105"/>
      <c r="HG557" s="105"/>
      <c r="HH557" s="105"/>
      <c r="HI557" s="105"/>
      <c r="HJ557" s="105"/>
      <c r="HK557" s="105"/>
      <c r="HL557" s="105"/>
      <c r="HM557" s="105"/>
      <c r="HN557" s="105"/>
      <c r="HO557" s="105"/>
      <c r="HP557" s="105"/>
      <c r="HQ557" s="105"/>
      <c r="HR557" s="105"/>
      <c r="HS557" s="105"/>
      <c r="HT557" s="105"/>
      <c r="HU557" s="105"/>
      <c r="HV557" s="105"/>
      <c r="HW557" s="105"/>
      <c r="HX557" s="105"/>
      <c r="HY557" s="105"/>
      <c r="HZ557" s="105"/>
      <c r="IA557" s="105"/>
      <c r="IB557" s="105"/>
      <c r="IC557" s="105"/>
      <c r="ID557" s="105"/>
      <c r="IE557" s="105"/>
      <c r="IF557" s="105"/>
      <c r="IG557" s="105"/>
      <c r="IH557" s="105"/>
      <c r="II557" s="105"/>
      <c r="IJ557" s="105"/>
      <c r="IK557" s="105"/>
      <c r="IL557" s="105"/>
      <c r="IM557" s="105"/>
      <c r="IN557" s="105"/>
      <c r="IO557" s="105"/>
      <c r="IP557" s="105"/>
      <c r="IQ557" s="105"/>
      <c r="IR557" s="105"/>
      <c r="IS557" s="105"/>
    </row>
    <row r="558" spans="1:253">
      <c r="A558" s="116"/>
      <c r="B558" s="105"/>
      <c r="C558" s="116"/>
      <c r="D558" s="116"/>
      <c r="E558" s="116"/>
      <c r="F558" s="116"/>
      <c r="G558" s="116"/>
      <c r="H558" s="116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05"/>
      <c r="BF558" s="105"/>
      <c r="BG558" s="105"/>
      <c r="BH558" s="105"/>
      <c r="BI558" s="105"/>
      <c r="BJ558" s="105"/>
      <c r="BK558" s="105"/>
      <c r="BL558" s="105"/>
      <c r="BM558" s="105"/>
      <c r="BN558" s="105"/>
      <c r="BO558" s="105"/>
      <c r="BP558" s="105"/>
      <c r="BQ558" s="105"/>
      <c r="BR558" s="105"/>
      <c r="BS558" s="105"/>
      <c r="BT558" s="105"/>
      <c r="BU558" s="105"/>
      <c r="BV558" s="105"/>
      <c r="BW558" s="105"/>
      <c r="BX558" s="105"/>
      <c r="BY558" s="105"/>
      <c r="BZ558" s="105"/>
      <c r="CA558" s="105"/>
      <c r="CB558" s="105"/>
      <c r="CC558" s="105"/>
      <c r="CD558" s="105"/>
      <c r="CE558" s="105"/>
      <c r="CF558" s="105"/>
      <c r="CG558" s="105"/>
      <c r="CH558" s="105"/>
      <c r="CI558" s="105"/>
      <c r="CJ558" s="105"/>
      <c r="CK558" s="105"/>
      <c r="CL558" s="105"/>
      <c r="CM558" s="105"/>
      <c r="CN558" s="105"/>
      <c r="CO558" s="105"/>
      <c r="CP558" s="105"/>
      <c r="CQ558" s="105"/>
      <c r="CR558" s="105"/>
      <c r="CS558" s="105"/>
      <c r="CT558" s="105"/>
      <c r="CU558" s="105"/>
      <c r="CV558" s="105"/>
      <c r="CW558" s="105"/>
      <c r="CX558" s="105"/>
      <c r="CY558" s="105"/>
      <c r="CZ558" s="105"/>
      <c r="DA558" s="105"/>
      <c r="DB558" s="105"/>
      <c r="DC558" s="105"/>
      <c r="DD558" s="105"/>
      <c r="DE558" s="105"/>
      <c r="DF558" s="105"/>
      <c r="DG558" s="105"/>
      <c r="DH558" s="105"/>
      <c r="DI558" s="105"/>
      <c r="DJ558" s="105"/>
      <c r="DK558" s="105"/>
      <c r="DL558" s="105"/>
      <c r="DM558" s="105"/>
      <c r="DN558" s="105"/>
      <c r="DO558" s="105"/>
      <c r="DP558" s="105"/>
      <c r="DQ558" s="105"/>
      <c r="DR558" s="105"/>
      <c r="DS558" s="105"/>
      <c r="DT558" s="105"/>
      <c r="DU558" s="105"/>
      <c r="DV558" s="105"/>
      <c r="DW558" s="105"/>
      <c r="DX558" s="105"/>
      <c r="DY558" s="105"/>
      <c r="DZ558" s="105"/>
      <c r="EA558" s="105"/>
      <c r="EB558" s="105"/>
      <c r="EC558" s="105"/>
      <c r="ED558" s="105"/>
      <c r="EE558" s="105"/>
      <c r="EF558" s="105"/>
      <c r="EG558" s="105"/>
      <c r="EH558" s="105"/>
      <c r="EI558" s="105"/>
      <c r="EJ558" s="105"/>
      <c r="EK558" s="105"/>
      <c r="EL558" s="105"/>
      <c r="EM558" s="105"/>
      <c r="EN558" s="105"/>
      <c r="EO558" s="105"/>
      <c r="EP558" s="105"/>
      <c r="EQ558" s="105"/>
      <c r="ER558" s="105"/>
      <c r="ES558" s="105"/>
      <c r="ET558" s="105"/>
      <c r="EU558" s="105"/>
      <c r="EV558" s="105"/>
      <c r="EW558" s="105"/>
      <c r="EX558" s="105"/>
      <c r="EY558" s="105"/>
      <c r="EZ558" s="105"/>
      <c r="FA558" s="105"/>
      <c r="FB558" s="105"/>
      <c r="FC558" s="105"/>
      <c r="FD558" s="105"/>
      <c r="FE558" s="105"/>
      <c r="FF558" s="105"/>
      <c r="FG558" s="105"/>
      <c r="FH558" s="105"/>
      <c r="FI558" s="105"/>
      <c r="FJ558" s="105"/>
      <c r="FK558" s="105"/>
      <c r="FL558" s="105"/>
      <c r="FM558" s="105"/>
      <c r="FN558" s="105"/>
      <c r="FO558" s="105"/>
      <c r="FP558" s="105"/>
      <c r="FQ558" s="105"/>
      <c r="FR558" s="105"/>
      <c r="FS558" s="105"/>
      <c r="FT558" s="105"/>
      <c r="FU558" s="105"/>
      <c r="FV558" s="105"/>
      <c r="FW558" s="105"/>
      <c r="FX558" s="105"/>
      <c r="FY558" s="105"/>
      <c r="FZ558" s="105"/>
      <c r="GA558" s="105"/>
      <c r="GB558" s="105"/>
      <c r="GC558" s="105"/>
      <c r="GD558" s="105"/>
      <c r="GE558" s="105"/>
      <c r="GF558" s="105"/>
      <c r="GG558" s="105"/>
      <c r="GH558" s="105"/>
      <c r="GI558" s="105"/>
      <c r="GJ558" s="105"/>
      <c r="GK558" s="105"/>
      <c r="GL558" s="105"/>
      <c r="GM558" s="105"/>
      <c r="GN558" s="105"/>
      <c r="GO558" s="105"/>
      <c r="GP558" s="105"/>
      <c r="GQ558" s="105"/>
      <c r="GR558" s="105"/>
      <c r="GS558" s="105"/>
      <c r="GT558" s="105"/>
      <c r="GU558" s="105"/>
      <c r="GV558" s="105"/>
      <c r="GW558" s="105"/>
      <c r="GX558" s="105"/>
      <c r="GY558" s="105"/>
      <c r="GZ558" s="105"/>
      <c r="HA558" s="105"/>
      <c r="HB558" s="105"/>
      <c r="HC558" s="105"/>
      <c r="HD558" s="105"/>
      <c r="HE558" s="105"/>
      <c r="HF558" s="105"/>
      <c r="HG558" s="105"/>
      <c r="HH558" s="105"/>
      <c r="HI558" s="105"/>
      <c r="HJ558" s="105"/>
      <c r="HK558" s="105"/>
      <c r="HL558" s="105"/>
      <c r="HM558" s="105"/>
      <c r="HN558" s="105"/>
      <c r="HO558" s="105"/>
      <c r="HP558" s="105"/>
      <c r="HQ558" s="105"/>
      <c r="HR558" s="105"/>
      <c r="HS558" s="105"/>
      <c r="HT558" s="105"/>
      <c r="HU558" s="105"/>
      <c r="HV558" s="105"/>
      <c r="HW558" s="105"/>
      <c r="HX558" s="105"/>
      <c r="HY558" s="105"/>
      <c r="HZ558" s="105"/>
      <c r="IA558" s="105"/>
      <c r="IB558" s="105"/>
      <c r="IC558" s="105"/>
      <c r="ID558" s="105"/>
      <c r="IE558" s="105"/>
      <c r="IF558" s="105"/>
      <c r="IG558" s="105"/>
      <c r="IH558" s="105"/>
      <c r="II558" s="105"/>
      <c r="IJ558" s="105"/>
      <c r="IK558" s="105"/>
      <c r="IL558" s="105"/>
      <c r="IM558" s="105"/>
      <c r="IN558" s="105"/>
      <c r="IO558" s="105"/>
      <c r="IP558" s="105"/>
      <c r="IQ558" s="105"/>
      <c r="IR558" s="105"/>
      <c r="IS558" s="105"/>
    </row>
    <row r="559" spans="1:253">
      <c r="A559" s="116"/>
      <c r="B559" s="105"/>
      <c r="C559" s="116"/>
      <c r="D559" s="116"/>
      <c r="E559" s="116"/>
      <c r="F559" s="116"/>
      <c r="G559" s="116"/>
      <c r="H559" s="116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  <c r="AU559" s="105"/>
      <c r="AV559" s="105"/>
      <c r="AW559" s="105"/>
      <c r="AX559" s="105"/>
      <c r="AY559" s="105"/>
      <c r="AZ559" s="105"/>
      <c r="BA559" s="105"/>
      <c r="BB559" s="105"/>
      <c r="BC559" s="105"/>
      <c r="BD559" s="105"/>
      <c r="BE559" s="105"/>
      <c r="BF559" s="105"/>
      <c r="BG559" s="105"/>
      <c r="BH559" s="105"/>
      <c r="BI559" s="105"/>
      <c r="BJ559" s="105"/>
      <c r="BK559" s="105"/>
      <c r="BL559" s="105"/>
      <c r="BM559" s="105"/>
      <c r="BN559" s="105"/>
      <c r="BO559" s="105"/>
      <c r="BP559" s="105"/>
      <c r="BQ559" s="105"/>
      <c r="BR559" s="105"/>
      <c r="BS559" s="105"/>
      <c r="BT559" s="105"/>
      <c r="BU559" s="105"/>
      <c r="BV559" s="105"/>
      <c r="BW559" s="105"/>
      <c r="BX559" s="105"/>
      <c r="BY559" s="105"/>
      <c r="BZ559" s="105"/>
      <c r="CA559" s="105"/>
      <c r="CB559" s="105"/>
      <c r="CC559" s="105"/>
      <c r="CD559" s="105"/>
      <c r="CE559" s="105"/>
      <c r="CF559" s="105"/>
      <c r="CG559" s="105"/>
      <c r="CH559" s="105"/>
      <c r="CI559" s="105"/>
      <c r="CJ559" s="105"/>
      <c r="CK559" s="105"/>
      <c r="CL559" s="105"/>
      <c r="CM559" s="105"/>
      <c r="CN559" s="105"/>
      <c r="CO559" s="105"/>
      <c r="CP559" s="105"/>
      <c r="CQ559" s="105"/>
      <c r="CR559" s="105"/>
      <c r="CS559" s="105"/>
      <c r="CT559" s="105"/>
      <c r="CU559" s="105"/>
      <c r="CV559" s="105"/>
      <c r="CW559" s="105"/>
      <c r="CX559" s="105"/>
      <c r="CY559" s="105"/>
      <c r="CZ559" s="105"/>
      <c r="DA559" s="105"/>
      <c r="DB559" s="105"/>
      <c r="DC559" s="105"/>
      <c r="DD559" s="105"/>
      <c r="DE559" s="105"/>
      <c r="DF559" s="105"/>
      <c r="DG559" s="105"/>
      <c r="DH559" s="105"/>
      <c r="DI559" s="105"/>
      <c r="DJ559" s="105"/>
      <c r="DK559" s="105"/>
      <c r="DL559" s="105"/>
      <c r="DM559" s="105"/>
      <c r="DN559" s="105"/>
      <c r="DO559" s="105"/>
      <c r="DP559" s="105"/>
      <c r="DQ559" s="105"/>
      <c r="DR559" s="105"/>
      <c r="DS559" s="105"/>
      <c r="DT559" s="105"/>
      <c r="DU559" s="105"/>
      <c r="DV559" s="105"/>
      <c r="DW559" s="105"/>
      <c r="DX559" s="105"/>
      <c r="DY559" s="105"/>
      <c r="DZ559" s="105"/>
      <c r="EA559" s="105"/>
      <c r="EB559" s="105"/>
      <c r="EC559" s="105"/>
      <c r="ED559" s="105"/>
      <c r="EE559" s="105"/>
      <c r="EF559" s="105"/>
      <c r="EG559" s="105"/>
      <c r="EH559" s="105"/>
      <c r="EI559" s="105"/>
      <c r="EJ559" s="105"/>
      <c r="EK559" s="105"/>
      <c r="EL559" s="105"/>
      <c r="EM559" s="105"/>
      <c r="EN559" s="105"/>
      <c r="EO559" s="105"/>
      <c r="EP559" s="105"/>
      <c r="EQ559" s="105"/>
      <c r="ER559" s="105"/>
      <c r="ES559" s="105"/>
      <c r="ET559" s="105"/>
      <c r="EU559" s="105"/>
      <c r="EV559" s="105"/>
      <c r="EW559" s="105"/>
      <c r="EX559" s="105"/>
      <c r="EY559" s="105"/>
      <c r="EZ559" s="105"/>
      <c r="FA559" s="105"/>
      <c r="FB559" s="105"/>
      <c r="FC559" s="105"/>
      <c r="FD559" s="105"/>
      <c r="FE559" s="105"/>
      <c r="FF559" s="105"/>
      <c r="FG559" s="105"/>
      <c r="FH559" s="105"/>
      <c r="FI559" s="105"/>
      <c r="FJ559" s="105"/>
      <c r="FK559" s="105"/>
      <c r="FL559" s="105"/>
      <c r="FM559" s="105"/>
      <c r="FN559" s="105"/>
      <c r="FO559" s="105"/>
      <c r="FP559" s="105"/>
      <c r="FQ559" s="105"/>
      <c r="FR559" s="105"/>
      <c r="FS559" s="105"/>
      <c r="FT559" s="105"/>
      <c r="FU559" s="105"/>
      <c r="FV559" s="105"/>
      <c r="FW559" s="105"/>
      <c r="FX559" s="105"/>
      <c r="FY559" s="105"/>
      <c r="FZ559" s="105"/>
      <c r="GA559" s="105"/>
      <c r="GB559" s="105"/>
      <c r="GC559" s="105"/>
      <c r="GD559" s="105"/>
      <c r="GE559" s="105"/>
      <c r="GF559" s="105"/>
      <c r="GG559" s="105"/>
      <c r="GH559" s="105"/>
      <c r="GI559" s="105"/>
      <c r="GJ559" s="105"/>
      <c r="GK559" s="105"/>
      <c r="GL559" s="105"/>
      <c r="GM559" s="105"/>
      <c r="GN559" s="105"/>
      <c r="GO559" s="105"/>
      <c r="GP559" s="105"/>
      <c r="GQ559" s="105"/>
      <c r="GR559" s="105"/>
      <c r="GS559" s="105"/>
      <c r="GT559" s="105"/>
      <c r="GU559" s="105"/>
      <c r="GV559" s="105"/>
      <c r="GW559" s="105"/>
      <c r="GX559" s="105"/>
      <c r="GY559" s="105"/>
      <c r="GZ559" s="105"/>
      <c r="HA559" s="105"/>
      <c r="HB559" s="105"/>
      <c r="HC559" s="105"/>
      <c r="HD559" s="105"/>
      <c r="HE559" s="105"/>
      <c r="HF559" s="105"/>
      <c r="HG559" s="105"/>
      <c r="HH559" s="105"/>
      <c r="HI559" s="105"/>
      <c r="HJ559" s="105"/>
      <c r="HK559" s="105"/>
      <c r="HL559" s="105"/>
      <c r="HM559" s="105"/>
      <c r="HN559" s="105"/>
      <c r="HO559" s="105"/>
      <c r="HP559" s="105"/>
      <c r="HQ559" s="105"/>
      <c r="HR559" s="105"/>
      <c r="HS559" s="105"/>
      <c r="HT559" s="105"/>
      <c r="HU559" s="105"/>
      <c r="HV559" s="105"/>
      <c r="HW559" s="105"/>
      <c r="HX559" s="105"/>
      <c r="HY559" s="105"/>
      <c r="HZ559" s="105"/>
      <c r="IA559" s="105"/>
      <c r="IB559" s="105"/>
      <c r="IC559" s="105"/>
      <c r="ID559" s="105"/>
      <c r="IE559" s="105"/>
      <c r="IF559" s="105"/>
      <c r="IG559" s="105"/>
      <c r="IH559" s="105"/>
      <c r="II559" s="105"/>
      <c r="IJ559" s="105"/>
      <c r="IK559" s="105"/>
      <c r="IL559" s="105"/>
      <c r="IM559" s="105"/>
      <c r="IN559" s="105"/>
      <c r="IO559" s="105"/>
      <c r="IP559" s="105"/>
      <c r="IQ559" s="105"/>
      <c r="IR559" s="105"/>
      <c r="IS559" s="105"/>
    </row>
    <row r="560" spans="1:253">
      <c r="A560" s="116"/>
      <c r="B560" s="105"/>
      <c r="C560" s="116"/>
      <c r="D560" s="116"/>
      <c r="E560" s="116"/>
      <c r="F560" s="116"/>
      <c r="G560" s="116"/>
      <c r="H560" s="116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05"/>
      <c r="BF560" s="105"/>
      <c r="BG560" s="105"/>
      <c r="BH560" s="105"/>
      <c r="BI560" s="105"/>
      <c r="BJ560" s="105"/>
      <c r="BK560" s="105"/>
      <c r="BL560" s="105"/>
      <c r="BM560" s="105"/>
      <c r="BN560" s="105"/>
      <c r="BO560" s="105"/>
      <c r="BP560" s="105"/>
      <c r="BQ560" s="105"/>
      <c r="BR560" s="105"/>
      <c r="BS560" s="105"/>
      <c r="BT560" s="105"/>
      <c r="BU560" s="105"/>
      <c r="BV560" s="105"/>
      <c r="BW560" s="105"/>
      <c r="BX560" s="105"/>
      <c r="BY560" s="105"/>
      <c r="BZ560" s="105"/>
      <c r="CA560" s="105"/>
      <c r="CB560" s="105"/>
      <c r="CC560" s="105"/>
      <c r="CD560" s="105"/>
      <c r="CE560" s="105"/>
      <c r="CF560" s="105"/>
      <c r="CG560" s="105"/>
      <c r="CH560" s="105"/>
      <c r="CI560" s="105"/>
      <c r="CJ560" s="105"/>
      <c r="CK560" s="105"/>
      <c r="CL560" s="105"/>
      <c r="CM560" s="105"/>
      <c r="CN560" s="105"/>
      <c r="CO560" s="105"/>
      <c r="CP560" s="105"/>
      <c r="CQ560" s="105"/>
      <c r="CR560" s="105"/>
      <c r="CS560" s="105"/>
      <c r="CT560" s="105"/>
      <c r="CU560" s="105"/>
      <c r="CV560" s="105"/>
      <c r="CW560" s="105"/>
      <c r="CX560" s="105"/>
      <c r="CY560" s="105"/>
      <c r="CZ560" s="105"/>
      <c r="DA560" s="105"/>
      <c r="DB560" s="105"/>
      <c r="DC560" s="105"/>
      <c r="DD560" s="105"/>
      <c r="DE560" s="105"/>
      <c r="DF560" s="105"/>
      <c r="DG560" s="105"/>
      <c r="DH560" s="105"/>
      <c r="DI560" s="105"/>
      <c r="DJ560" s="105"/>
      <c r="DK560" s="105"/>
      <c r="DL560" s="105"/>
      <c r="DM560" s="105"/>
      <c r="DN560" s="105"/>
      <c r="DO560" s="105"/>
      <c r="DP560" s="105"/>
      <c r="DQ560" s="105"/>
      <c r="DR560" s="105"/>
      <c r="DS560" s="105"/>
      <c r="DT560" s="105"/>
      <c r="DU560" s="105"/>
      <c r="DV560" s="105"/>
      <c r="DW560" s="105"/>
      <c r="DX560" s="105"/>
      <c r="DY560" s="105"/>
      <c r="DZ560" s="105"/>
      <c r="EA560" s="105"/>
      <c r="EB560" s="105"/>
      <c r="EC560" s="105"/>
      <c r="ED560" s="105"/>
      <c r="EE560" s="105"/>
      <c r="EF560" s="105"/>
      <c r="EG560" s="105"/>
      <c r="EH560" s="105"/>
      <c r="EI560" s="105"/>
      <c r="EJ560" s="105"/>
      <c r="EK560" s="105"/>
      <c r="EL560" s="105"/>
      <c r="EM560" s="105"/>
      <c r="EN560" s="105"/>
      <c r="EO560" s="105"/>
      <c r="EP560" s="105"/>
      <c r="EQ560" s="105"/>
      <c r="ER560" s="105"/>
      <c r="ES560" s="105"/>
      <c r="ET560" s="105"/>
      <c r="EU560" s="105"/>
      <c r="EV560" s="105"/>
      <c r="EW560" s="105"/>
      <c r="EX560" s="105"/>
      <c r="EY560" s="105"/>
      <c r="EZ560" s="105"/>
      <c r="FA560" s="105"/>
      <c r="FB560" s="105"/>
      <c r="FC560" s="105"/>
      <c r="FD560" s="105"/>
      <c r="FE560" s="105"/>
      <c r="FF560" s="105"/>
      <c r="FG560" s="105"/>
      <c r="FH560" s="105"/>
      <c r="FI560" s="105"/>
      <c r="FJ560" s="105"/>
      <c r="FK560" s="105"/>
      <c r="FL560" s="105"/>
      <c r="FM560" s="105"/>
      <c r="FN560" s="105"/>
      <c r="FO560" s="105"/>
      <c r="FP560" s="105"/>
      <c r="FQ560" s="105"/>
      <c r="FR560" s="105"/>
      <c r="FS560" s="105"/>
      <c r="FT560" s="105"/>
      <c r="FU560" s="105"/>
      <c r="FV560" s="105"/>
      <c r="FW560" s="105"/>
      <c r="FX560" s="105"/>
      <c r="FY560" s="105"/>
      <c r="FZ560" s="105"/>
      <c r="GA560" s="105"/>
      <c r="GB560" s="105"/>
      <c r="GC560" s="105"/>
      <c r="GD560" s="105"/>
      <c r="GE560" s="105"/>
      <c r="GF560" s="105"/>
      <c r="GG560" s="105"/>
      <c r="GH560" s="105"/>
      <c r="GI560" s="105"/>
      <c r="GJ560" s="105"/>
      <c r="GK560" s="105"/>
      <c r="GL560" s="105"/>
      <c r="GM560" s="105"/>
      <c r="GN560" s="105"/>
      <c r="GO560" s="105"/>
      <c r="GP560" s="105"/>
      <c r="GQ560" s="105"/>
      <c r="GR560" s="105"/>
      <c r="GS560" s="105"/>
      <c r="GT560" s="105"/>
      <c r="GU560" s="105"/>
      <c r="GV560" s="105"/>
      <c r="GW560" s="105"/>
      <c r="GX560" s="105"/>
      <c r="GY560" s="105"/>
      <c r="GZ560" s="105"/>
      <c r="HA560" s="105"/>
      <c r="HB560" s="105"/>
      <c r="HC560" s="105"/>
      <c r="HD560" s="105"/>
      <c r="HE560" s="105"/>
      <c r="HF560" s="105"/>
      <c r="HG560" s="105"/>
      <c r="HH560" s="105"/>
      <c r="HI560" s="105"/>
      <c r="HJ560" s="105"/>
      <c r="HK560" s="105"/>
      <c r="HL560" s="105"/>
      <c r="HM560" s="105"/>
      <c r="HN560" s="105"/>
      <c r="HO560" s="105"/>
      <c r="HP560" s="105"/>
      <c r="HQ560" s="105"/>
      <c r="HR560" s="105"/>
      <c r="HS560" s="105"/>
      <c r="HT560" s="105"/>
      <c r="HU560" s="105"/>
      <c r="HV560" s="105"/>
      <c r="HW560" s="105"/>
      <c r="HX560" s="105"/>
      <c r="HY560" s="105"/>
      <c r="HZ560" s="105"/>
      <c r="IA560" s="105"/>
      <c r="IB560" s="105"/>
      <c r="IC560" s="105"/>
      <c r="ID560" s="105"/>
      <c r="IE560" s="105"/>
      <c r="IF560" s="105"/>
      <c r="IG560" s="105"/>
      <c r="IH560" s="105"/>
      <c r="II560" s="105"/>
      <c r="IJ560" s="105"/>
      <c r="IK560" s="105"/>
      <c r="IL560" s="105"/>
      <c r="IM560" s="105"/>
      <c r="IN560" s="105"/>
      <c r="IO560" s="105"/>
      <c r="IP560" s="105"/>
      <c r="IQ560" s="105"/>
      <c r="IR560" s="105"/>
      <c r="IS560" s="105"/>
    </row>
    <row r="561" spans="1:253">
      <c r="A561" s="116"/>
      <c r="B561" s="105"/>
      <c r="C561" s="116"/>
      <c r="D561" s="116"/>
      <c r="E561" s="116"/>
      <c r="F561" s="116"/>
      <c r="G561" s="116"/>
      <c r="H561" s="116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  <c r="AU561" s="105"/>
      <c r="AV561" s="105"/>
      <c r="AW561" s="105"/>
      <c r="AX561" s="105"/>
      <c r="AY561" s="105"/>
      <c r="AZ561" s="105"/>
      <c r="BA561" s="105"/>
      <c r="BB561" s="105"/>
      <c r="BC561" s="105"/>
      <c r="BD561" s="105"/>
      <c r="BE561" s="105"/>
      <c r="BF561" s="105"/>
      <c r="BG561" s="105"/>
      <c r="BH561" s="105"/>
      <c r="BI561" s="105"/>
      <c r="BJ561" s="105"/>
      <c r="BK561" s="105"/>
      <c r="BL561" s="105"/>
      <c r="BM561" s="105"/>
      <c r="BN561" s="105"/>
      <c r="BO561" s="105"/>
      <c r="BP561" s="105"/>
      <c r="BQ561" s="105"/>
      <c r="BR561" s="105"/>
      <c r="BS561" s="105"/>
      <c r="BT561" s="105"/>
      <c r="BU561" s="105"/>
      <c r="BV561" s="105"/>
      <c r="BW561" s="105"/>
      <c r="BX561" s="105"/>
      <c r="BY561" s="105"/>
      <c r="BZ561" s="105"/>
      <c r="CA561" s="105"/>
      <c r="CB561" s="105"/>
      <c r="CC561" s="105"/>
      <c r="CD561" s="105"/>
      <c r="CE561" s="105"/>
      <c r="CF561" s="105"/>
      <c r="CG561" s="105"/>
      <c r="CH561" s="105"/>
      <c r="CI561" s="105"/>
      <c r="CJ561" s="105"/>
      <c r="CK561" s="105"/>
      <c r="CL561" s="105"/>
      <c r="CM561" s="105"/>
      <c r="CN561" s="105"/>
      <c r="CO561" s="105"/>
      <c r="CP561" s="105"/>
      <c r="CQ561" s="105"/>
      <c r="CR561" s="105"/>
      <c r="CS561" s="105"/>
      <c r="CT561" s="105"/>
      <c r="CU561" s="105"/>
      <c r="CV561" s="105"/>
      <c r="CW561" s="105"/>
      <c r="CX561" s="105"/>
      <c r="CY561" s="105"/>
      <c r="CZ561" s="105"/>
      <c r="DA561" s="105"/>
      <c r="DB561" s="105"/>
      <c r="DC561" s="105"/>
      <c r="DD561" s="105"/>
      <c r="DE561" s="105"/>
      <c r="DF561" s="105"/>
      <c r="DG561" s="105"/>
      <c r="DH561" s="105"/>
      <c r="DI561" s="105"/>
      <c r="DJ561" s="105"/>
      <c r="DK561" s="105"/>
      <c r="DL561" s="105"/>
      <c r="DM561" s="105"/>
      <c r="DN561" s="105"/>
      <c r="DO561" s="105"/>
      <c r="DP561" s="105"/>
      <c r="DQ561" s="105"/>
      <c r="DR561" s="105"/>
      <c r="DS561" s="105"/>
      <c r="DT561" s="105"/>
      <c r="DU561" s="105"/>
      <c r="DV561" s="105"/>
      <c r="DW561" s="105"/>
      <c r="DX561" s="105"/>
      <c r="DY561" s="105"/>
      <c r="DZ561" s="105"/>
      <c r="EA561" s="105"/>
      <c r="EB561" s="105"/>
      <c r="EC561" s="105"/>
      <c r="ED561" s="105"/>
      <c r="EE561" s="105"/>
      <c r="EF561" s="105"/>
      <c r="EG561" s="105"/>
      <c r="EH561" s="105"/>
      <c r="EI561" s="105"/>
      <c r="EJ561" s="105"/>
      <c r="EK561" s="105"/>
      <c r="EL561" s="105"/>
      <c r="EM561" s="105"/>
      <c r="EN561" s="105"/>
      <c r="EO561" s="105"/>
      <c r="EP561" s="105"/>
      <c r="EQ561" s="105"/>
      <c r="ER561" s="105"/>
      <c r="ES561" s="105"/>
      <c r="ET561" s="105"/>
      <c r="EU561" s="105"/>
      <c r="EV561" s="105"/>
      <c r="EW561" s="105"/>
      <c r="EX561" s="105"/>
      <c r="EY561" s="105"/>
      <c r="EZ561" s="105"/>
      <c r="FA561" s="105"/>
      <c r="FB561" s="105"/>
      <c r="FC561" s="105"/>
      <c r="FD561" s="105"/>
      <c r="FE561" s="105"/>
      <c r="FF561" s="105"/>
      <c r="FG561" s="105"/>
      <c r="FH561" s="105"/>
      <c r="FI561" s="105"/>
      <c r="FJ561" s="105"/>
      <c r="FK561" s="105"/>
      <c r="FL561" s="105"/>
      <c r="FM561" s="105"/>
      <c r="FN561" s="105"/>
      <c r="FO561" s="105"/>
      <c r="FP561" s="105"/>
      <c r="FQ561" s="105"/>
      <c r="FR561" s="105"/>
      <c r="FS561" s="105"/>
      <c r="FT561" s="105"/>
      <c r="FU561" s="105"/>
      <c r="FV561" s="105"/>
      <c r="FW561" s="105"/>
      <c r="FX561" s="105"/>
      <c r="FY561" s="105"/>
      <c r="FZ561" s="105"/>
      <c r="GA561" s="105"/>
      <c r="GB561" s="105"/>
      <c r="GC561" s="105"/>
      <c r="GD561" s="105"/>
      <c r="GE561" s="105"/>
      <c r="GF561" s="105"/>
      <c r="GG561" s="105"/>
      <c r="GH561" s="105"/>
      <c r="GI561" s="105"/>
      <c r="GJ561" s="105"/>
      <c r="GK561" s="105"/>
      <c r="GL561" s="105"/>
      <c r="GM561" s="105"/>
      <c r="GN561" s="105"/>
      <c r="GO561" s="105"/>
      <c r="GP561" s="105"/>
      <c r="GQ561" s="105"/>
      <c r="GR561" s="105"/>
      <c r="GS561" s="105"/>
      <c r="GT561" s="105"/>
      <c r="GU561" s="105"/>
      <c r="GV561" s="105"/>
      <c r="GW561" s="105"/>
      <c r="GX561" s="105"/>
      <c r="GY561" s="105"/>
      <c r="GZ561" s="105"/>
      <c r="HA561" s="105"/>
      <c r="HB561" s="105"/>
      <c r="HC561" s="105"/>
      <c r="HD561" s="105"/>
      <c r="HE561" s="105"/>
      <c r="HF561" s="105"/>
      <c r="HG561" s="105"/>
      <c r="HH561" s="105"/>
      <c r="HI561" s="105"/>
      <c r="HJ561" s="105"/>
      <c r="HK561" s="105"/>
      <c r="HL561" s="105"/>
      <c r="HM561" s="105"/>
      <c r="HN561" s="105"/>
      <c r="HO561" s="105"/>
      <c r="HP561" s="105"/>
      <c r="HQ561" s="105"/>
      <c r="HR561" s="105"/>
      <c r="HS561" s="105"/>
      <c r="HT561" s="105"/>
      <c r="HU561" s="105"/>
      <c r="HV561" s="105"/>
      <c r="HW561" s="105"/>
      <c r="HX561" s="105"/>
      <c r="HY561" s="105"/>
      <c r="HZ561" s="105"/>
      <c r="IA561" s="105"/>
      <c r="IB561" s="105"/>
      <c r="IC561" s="105"/>
      <c r="ID561" s="105"/>
      <c r="IE561" s="105"/>
      <c r="IF561" s="105"/>
      <c r="IG561" s="105"/>
      <c r="IH561" s="105"/>
      <c r="II561" s="105"/>
      <c r="IJ561" s="105"/>
      <c r="IK561" s="105"/>
      <c r="IL561" s="105"/>
      <c r="IM561" s="105"/>
      <c r="IN561" s="105"/>
      <c r="IO561" s="105"/>
      <c r="IP561" s="105"/>
      <c r="IQ561" s="105"/>
      <c r="IR561" s="105"/>
      <c r="IS561" s="105"/>
    </row>
    <row r="562" spans="1:253">
      <c r="A562" s="116"/>
      <c r="B562" s="105"/>
      <c r="C562" s="116"/>
      <c r="D562" s="116"/>
      <c r="E562" s="116"/>
      <c r="F562" s="116"/>
      <c r="G562" s="116"/>
      <c r="H562" s="116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05"/>
      <c r="BF562" s="105"/>
      <c r="BG562" s="105"/>
      <c r="BH562" s="105"/>
      <c r="BI562" s="105"/>
      <c r="BJ562" s="105"/>
      <c r="BK562" s="105"/>
      <c r="BL562" s="105"/>
      <c r="BM562" s="105"/>
      <c r="BN562" s="105"/>
      <c r="BO562" s="105"/>
      <c r="BP562" s="105"/>
      <c r="BQ562" s="105"/>
      <c r="BR562" s="105"/>
      <c r="BS562" s="105"/>
      <c r="BT562" s="105"/>
      <c r="BU562" s="105"/>
      <c r="BV562" s="105"/>
      <c r="BW562" s="105"/>
      <c r="BX562" s="105"/>
      <c r="BY562" s="105"/>
      <c r="BZ562" s="105"/>
      <c r="CA562" s="105"/>
      <c r="CB562" s="105"/>
      <c r="CC562" s="105"/>
      <c r="CD562" s="105"/>
      <c r="CE562" s="105"/>
      <c r="CF562" s="105"/>
      <c r="CG562" s="105"/>
      <c r="CH562" s="105"/>
      <c r="CI562" s="105"/>
      <c r="CJ562" s="105"/>
      <c r="CK562" s="105"/>
      <c r="CL562" s="105"/>
      <c r="CM562" s="105"/>
      <c r="CN562" s="105"/>
      <c r="CO562" s="105"/>
      <c r="CP562" s="105"/>
      <c r="CQ562" s="105"/>
      <c r="CR562" s="105"/>
      <c r="CS562" s="105"/>
      <c r="CT562" s="105"/>
      <c r="CU562" s="105"/>
      <c r="CV562" s="105"/>
      <c r="CW562" s="105"/>
      <c r="CX562" s="105"/>
      <c r="CY562" s="105"/>
      <c r="CZ562" s="105"/>
      <c r="DA562" s="105"/>
      <c r="DB562" s="105"/>
      <c r="DC562" s="105"/>
      <c r="DD562" s="105"/>
      <c r="DE562" s="105"/>
      <c r="DF562" s="105"/>
      <c r="DG562" s="105"/>
      <c r="DH562" s="105"/>
      <c r="DI562" s="105"/>
      <c r="DJ562" s="105"/>
      <c r="DK562" s="105"/>
      <c r="DL562" s="105"/>
      <c r="DM562" s="105"/>
      <c r="DN562" s="105"/>
      <c r="DO562" s="105"/>
      <c r="DP562" s="105"/>
      <c r="DQ562" s="105"/>
      <c r="DR562" s="105"/>
      <c r="DS562" s="105"/>
      <c r="DT562" s="105"/>
      <c r="DU562" s="105"/>
      <c r="DV562" s="105"/>
      <c r="DW562" s="105"/>
      <c r="DX562" s="105"/>
      <c r="DY562" s="105"/>
      <c r="DZ562" s="105"/>
      <c r="EA562" s="105"/>
      <c r="EB562" s="105"/>
      <c r="EC562" s="105"/>
      <c r="ED562" s="105"/>
      <c r="EE562" s="105"/>
      <c r="EF562" s="105"/>
      <c r="EG562" s="105"/>
      <c r="EH562" s="105"/>
      <c r="EI562" s="105"/>
      <c r="EJ562" s="105"/>
      <c r="EK562" s="105"/>
      <c r="EL562" s="105"/>
      <c r="EM562" s="105"/>
      <c r="EN562" s="105"/>
      <c r="EO562" s="105"/>
      <c r="EP562" s="105"/>
      <c r="EQ562" s="105"/>
      <c r="ER562" s="105"/>
      <c r="ES562" s="105"/>
      <c r="ET562" s="105"/>
      <c r="EU562" s="105"/>
      <c r="EV562" s="105"/>
      <c r="EW562" s="105"/>
      <c r="EX562" s="105"/>
      <c r="EY562" s="105"/>
      <c r="EZ562" s="105"/>
      <c r="FA562" s="105"/>
      <c r="FB562" s="105"/>
      <c r="FC562" s="105"/>
      <c r="FD562" s="105"/>
      <c r="FE562" s="105"/>
      <c r="FF562" s="105"/>
      <c r="FG562" s="105"/>
      <c r="FH562" s="105"/>
      <c r="FI562" s="105"/>
      <c r="FJ562" s="105"/>
      <c r="FK562" s="105"/>
      <c r="FL562" s="105"/>
      <c r="FM562" s="105"/>
      <c r="FN562" s="105"/>
      <c r="FO562" s="105"/>
      <c r="FP562" s="105"/>
      <c r="FQ562" s="105"/>
      <c r="FR562" s="105"/>
      <c r="FS562" s="105"/>
      <c r="FT562" s="105"/>
      <c r="FU562" s="105"/>
      <c r="FV562" s="105"/>
      <c r="FW562" s="105"/>
      <c r="FX562" s="105"/>
      <c r="FY562" s="105"/>
      <c r="FZ562" s="105"/>
      <c r="GA562" s="105"/>
      <c r="GB562" s="105"/>
      <c r="GC562" s="105"/>
      <c r="GD562" s="105"/>
      <c r="GE562" s="105"/>
      <c r="GF562" s="105"/>
      <c r="GG562" s="105"/>
      <c r="GH562" s="105"/>
      <c r="GI562" s="105"/>
      <c r="GJ562" s="105"/>
      <c r="GK562" s="105"/>
      <c r="GL562" s="105"/>
      <c r="GM562" s="105"/>
      <c r="GN562" s="105"/>
      <c r="GO562" s="105"/>
      <c r="GP562" s="105"/>
      <c r="GQ562" s="105"/>
      <c r="GR562" s="105"/>
      <c r="GS562" s="105"/>
      <c r="GT562" s="105"/>
      <c r="GU562" s="105"/>
      <c r="GV562" s="105"/>
      <c r="GW562" s="105"/>
      <c r="GX562" s="105"/>
      <c r="GY562" s="105"/>
      <c r="GZ562" s="105"/>
      <c r="HA562" s="105"/>
      <c r="HB562" s="105"/>
      <c r="HC562" s="105"/>
      <c r="HD562" s="105"/>
      <c r="HE562" s="105"/>
      <c r="HF562" s="105"/>
      <c r="HG562" s="105"/>
      <c r="HH562" s="105"/>
      <c r="HI562" s="105"/>
      <c r="HJ562" s="105"/>
      <c r="HK562" s="105"/>
      <c r="HL562" s="105"/>
      <c r="HM562" s="105"/>
      <c r="HN562" s="105"/>
      <c r="HO562" s="105"/>
      <c r="HP562" s="105"/>
      <c r="HQ562" s="105"/>
      <c r="HR562" s="105"/>
      <c r="HS562" s="105"/>
      <c r="HT562" s="105"/>
      <c r="HU562" s="105"/>
      <c r="HV562" s="105"/>
      <c r="HW562" s="105"/>
      <c r="HX562" s="105"/>
      <c r="HY562" s="105"/>
      <c r="HZ562" s="105"/>
      <c r="IA562" s="105"/>
      <c r="IB562" s="105"/>
      <c r="IC562" s="105"/>
      <c r="ID562" s="105"/>
      <c r="IE562" s="105"/>
      <c r="IF562" s="105"/>
      <c r="IG562" s="105"/>
      <c r="IH562" s="105"/>
      <c r="II562" s="105"/>
      <c r="IJ562" s="105"/>
      <c r="IK562" s="105"/>
      <c r="IL562" s="105"/>
      <c r="IM562" s="105"/>
      <c r="IN562" s="105"/>
      <c r="IO562" s="105"/>
      <c r="IP562" s="105"/>
      <c r="IQ562" s="105"/>
      <c r="IR562" s="105"/>
      <c r="IS562" s="105"/>
    </row>
    <row r="563" spans="1:253">
      <c r="A563" s="116"/>
      <c r="B563" s="105"/>
      <c r="C563" s="116"/>
      <c r="D563" s="116"/>
      <c r="E563" s="116"/>
      <c r="F563" s="116"/>
      <c r="G563" s="116"/>
      <c r="H563" s="116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5"/>
      <c r="BE563" s="105"/>
      <c r="BF563" s="105"/>
      <c r="BG563" s="105"/>
      <c r="BH563" s="105"/>
      <c r="BI563" s="105"/>
      <c r="BJ563" s="105"/>
      <c r="BK563" s="105"/>
      <c r="BL563" s="105"/>
      <c r="BM563" s="105"/>
      <c r="BN563" s="105"/>
      <c r="BO563" s="105"/>
      <c r="BP563" s="105"/>
      <c r="BQ563" s="105"/>
      <c r="BR563" s="105"/>
      <c r="BS563" s="105"/>
      <c r="BT563" s="105"/>
      <c r="BU563" s="105"/>
      <c r="BV563" s="105"/>
      <c r="BW563" s="105"/>
      <c r="BX563" s="105"/>
      <c r="BY563" s="105"/>
      <c r="BZ563" s="105"/>
      <c r="CA563" s="105"/>
      <c r="CB563" s="105"/>
      <c r="CC563" s="105"/>
      <c r="CD563" s="105"/>
      <c r="CE563" s="105"/>
      <c r="CF563" s="105"/>
      <c r="CG563" s="105"/>
      <c r="CH563" s="105"/>
      <c r="CI563" s="105"/>
      <c r="CJ563" s="105"/>
      <c r="CK563" s="105"/>
      <c r="CL563" s="105"/>
      <c r="CM563" s="105"/>
      <c r="CN563" s="105"/>
      <c r="CO563" s="105"/>
      <c r="CP563" s="105"/>
      <c r="CQ563" s="105"/>
      <c r="CR563" s="105"/>
      <c r="CS563" s="105"/>
      <c r="CT563" s="105"/>
      <c r="CU563" s="105"/>
      <c r="CV563" s="105"/>
      <c r="CW563" s="105"/>
      <c r="CX563" s="105"/>
      <c r="CY563" s="105"/>
      <c r="CZ563" s="105"/>
      <c r="DA563" s="105"/>
      <c r="DB563" s="105"/>
      <c r="DC563" s="105"/>
      <c r="DD563" s="105"/>
      <c r="DE563" s="105"/>
      <c r="DF563" s="105"/>
      <c r="DG563" s="105"/>
      <c r="DH563" s="105"/>
      <c r="DI563" s="105"/>
      <c r="DJ563" s="105"/>
      <c r="DK563" s="105"/>
      <c r="DL563" s="105"/>
      <c r="DM563" s="105"/>
      <c r="DN563" s="105"/>
      <c r="DO563" s="105"/>
      <c r="DP563" s="105"/>
      <c r="DQ563" s="105"/>
      <c r="DR563" s="105"/>
      <c r="DS563" s="105"/>
      <c r="DT563" s="105"/>
      <c r="DU563" s="105"/>
      <c r="DV563" s="105"/>
      <c r="DW563" s="105"/>
      <c r="DX563" s="105"/>
      <c r="DY563" s="105"/>
      <c r="DZ563" s="105"/>
      <c r="EA563" s="105"/>
      <c r="EB563" s="105"/>
      <c r="EC563" s="105"/>
      <c r="ED563" s="105"/>
      <c r="EE563" s="105"/>
      <c r="EF563" s="105"/>
      <c r="EG563" s="105"/>
      <c r="EH563" s="105"/>
      <c r="EI563" s="105"/>
      <c r="EJ563" s="105"/>
      <c r="EK563" s="105"/>
      <c r="EL563" s="105"/>
      <c r="EM563" s="105"/>
      <c r="EN563" s="105"/>
      <c r="EO563" s="105"/>
      <c r="EP563" s="105"/>
      <c r="EQ563" s="105"/>
      <c r="ER563" s="105"/>
      <c r="ES563" s="105"/>
      <c r="ET563" s="105"/>
      <c r="EU563" s="105"/>
      <c r="EV563" s="105"/>
      <c r="EW563" s="105"/>
      <c r="EX563" s="105"/>
      <c r="EY563" s="105"/>
      <c r="EZ563" s="105"/>
      <c r="FA563" s="105"/>
      <c r="FB563" s="105"/>
      <c r="FC563" s="105"/>
      <c r="FD563" s="105"/>
      <c r="FE563" s="105"/>
      <c r="FF563" s="105"/>
      <c r="FG563" s="105"/>
      <c r="FH563" s="105"/>
      <c r="FI563" s="105"/>
      <c r="FJ563" s="105"/>
      <c r="FK563" s="105"/>
      <c r="FL563" s="105"/>
      <c r="FM563" s="105"/>
      <c r="FN563" s="105"/>
      <c r="FO563" s="105"/>
      <c r="FP563" s="105"/>
      <c r="FQ563" s="105"/>
      <c r="FR563" s="105"/>
      <c r="FS563" s="105"/>
      <c r="FT563" s="105"/>
      <c r="FU563" s="105"/>
      <c r="FV563" s="105"/>
      <c r="FW563" s="105"/>
      <c r="FX563" s="105"/>
      <c r="FY563" s="105"/>
      <c r="FZ563" s="105"/>
      <c r="GA563" s="105"/>
      <c r="GB563" s="105"/>
      <c r="GC563" s="105"/>
      <c r="GD563" s="105"/>
      <c r="GE563" s="105"/>
      <c r="GF563" s="105"/>
      <c r="GG563" s="105"/>
      <c r="GH563" s="105"/>
      <c r="GI563" s="105"/>
      <c r="GJ563" s="105"/>
      <c r="GK563" s="105"/>
      <c r="GL563" s="105"/>
      <c r="GM563" s="105"/>
      <c r="GN563" s="105"/>
      <c r="GO563" s="105"/>
      <c r="GP563" s="105"/>
      <c r="GQ563" s="105"/>
      <c r="GR563" s="105"/>
      <c r="GS563" s="105"/>
      <c r="GT563" s="105"/>
      <c r="GU563" s="105"/>
      <c r="GV563" s="105"/>
      <c r="GW563" s="105"/>
      <c r="GX563" s="105"/>
      <c r="GY563" s="105"/>
      <c r="GZ563" s="105"/>
      <c r="HA563" s="105"/>
      <c r="HB563" s="105"/>
      <c r="HC563" s="105"/>
      <c r="HD563" s="105"/>
      <c r="HE563" s="105"/>
      <c r="HF563" s="105"/>
      <c r="HG563" s="105"/>
      <c r="HH563" s="105"/>
      <c r="HI563" s="105"/>
      <c r="HJ563" s="105"/>
      <c r="HK563" s="105"/>
      <c r="HL563" s="105"/>
      <c r="HM563" s="105"/>
      <c r="HN563" s="105"/>
      <c r="HO563" s="105"/>
      <c r="HP563" s="105"/>
      <c r="HQ563" s="105"/>
      <c r="HR563" s="105"/>
      <c r="HS563" s="105"/>
      <c r="HT563" s="105"/>
      <c r="HU563" s="105"/>
      <c r="HV563" s="105"/>
      <c r="HW563" s="105"/>
      <c r="HX563" s="105"/>
      <c r="HY563" s="105"/>
      <c r="HZ563" s="105"/>
      <c r="IA563" s="105"/>
      <c r="IB563" s="105"/>
      <c r="IC563" s="105"/>
      <c r="ID563" s="105"/>
      <c r="IE563" s="105"/>
      <c r="IF563" s="105"/>
      <c r="IG563" s="105"/>
      <c r="IH563" s="105"/>
      <c r="II563" s="105"/>
      <c r="IJ563" s="105"/>
      <c r="IK563" s="105"/>
      <c r="IL563" s="105"/>
      <c r="IM563" s="105"/>
      <c r="IN563" s="105"/>
      <c r="IO563" s="105"/>
      <c r="IP563" s="105"/>
      <c r="IQ563" s="105"/>
      <c r="IR563" s="105"/>
      <c r="IS563" s="105"/>
    </row>
    <row r="564" spans="1:253">
      <c r="A564" s="116"/>
      <c r="B564" s="105"/>
      <c r="C564" s="116"/>
      <c r="D564" s="116"/>
      <c r="E564" s="116"/>
      <c r="F564" s="116"/>
      <c r="G564" s="116"/>
      <c r="H564" s="116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05"/>
      <c r="BF564" s="105"/>
      <c r="BG564" s="105"/>
      <c r="BH564" s="105"/>
      <c r="BI564" s="105"/>
      <c r="BJ564" s="105"/>
      <c r="BK564" s="105"/>
      <c r="BL564" s="105"/>
      <c r="BM564" s="105"/>
      <c r="BN564" s="105"/>
      <c r="BO564" s="105"/>
      <c r="BP564" s="105"/>
      <c r="BQ564" s="105"/>
      <c r="BR564" s="105"/>
      <c r="BS564" s="105"/>
      <c r="BT564" s="105"/>
      <c r="BU564" s="105"/>
      <c r="BV564" s="105"/>
      <c r="BW564" s="105"/>
      <c r="BX564" s="105"/>
      <c r="BY564" s="105"/>
      <c r="BZ564" s="105"/>
      <c r="CA564" s="105"/>
      <c r="CB564" s="105"/>
      <c r="CC564" s="105"/>
      <c r="CD564" s="105"/>
      <c r="CE564" s="105"/>
      <c r="CF564" s="105"/>
      <c r="CG564" s="105"/>
      <c r="CH564" s="105"/>
      <c r="CI564" s="105"/>
      <c r="CJ564" s="105"/>
      <c r="CK564" s="105"/>
      <c r="CL564" s="105"/>
      <c r="CM564" s="105"/>
      <c r="CN564" s="105"/>
      <c r="CO564" s="105"/>
      <c r="CP564" s="105"/>
      <c r="CQ564" s="105"/>
      <c r="CR564" s="105"/>
      <c r="CS564" s="105"/>
      <c r="CT564" s="105"/>
      <c r="CU564" s="105"/>
      <c r="CV564" s="105"/>
      <c r="CW564" s="105"/>
      <c r="CX564" s="105"/>
      <c r="CY564" s="105"/>
      <c r="CZ564" s="105"/>
      <c r="DA564" s="105"/>
      <c r="DB564" s="105"/>
      <c r="DC564" s="105"/>
      <c r="DD564" s="105"/>
      <c r="DE564" s="105"/>
      <c r="DF564" s="105"/>
      <c r="DG564" s="105"/>
      <c r="DH564" s="105"/>
      <c r="DI564" s="105"/>
      <c r="DJ564" s="105"/>
      <c r="DK564" s="105"/>
      <c r="DL564" s="105"/>
      <c r="DM564" s="105"/>
      <c r="DN564" s="105"/>
      <c r="DO564" s="105"/>
      <c r="DP564" s="105"/>
      <c r="DQ564" s="105"/>
      <c r="DR564" s="105"/>
      <c r="DS564" s="105"/>
      <c r="DT564" s="105"/>
      <c r="DU564" s="105"/>
      <c r="DV564" s="105"/>
      <c r="DW564" s="105"/>
      <c r="DX564" s="105"/>
      <c r="DY564" s="105"/>
      <c r="DZ564" s="105"/>
      <c r="EA564" s="105"/>
      <c r="EB564" s="105"/>
      <c r="EC564" s="105"/>
      <c r="ED564" s="105"/>
      <c r="EE564" s="105"/>
      <c r="EF564" s="105"/>
      <c r="EG564" s="105"/>
      <c r="EH564" s="105"/>
      <c r="EI564" s="105"/>
      <c r="EJ564" s="105"/>
      <c r="EK564" s="105"/>
      <c r="EL564" s="105"/>
      <c r="EM564" s="105"/>
      <c r="EN564" s="105"/>
      <c r="EO564" s="105"/>
      <c r="EP564" s="105"/>
      <c r="EQ564" s="105"/>
      <c r="ER564" s="105"/>
      <c r="ES564" s="105"/>
      <c r="ET564" s="105"/>
      <c r="EU564" s="105"/>
      <c r="EV564" s="105"/>
      <c r="EW564" s="105"/>
      <c r="EX564" s="105"/>
      <c r="EY564" s="105"/>
      <c r="EZ564" s="105"/>
      <c r="FA564" s="105"/>
      <c r="FB564" s="105"/>
      <c r="FC564" s="105"/>
      <c r="FD564" s="105"/>
      <c r="FE564" s="105"/>
      <c r="FF564" s="105"/>
      <c r="FG564" s="105"/>
      <c r="FH564" s="105"/>
      <c r="FI564" s="105"/>
      <c r="FJ564" s="105"/>
      <c r="FK564" s="105"/>
      <c r="FL564" s="105"/>
      <c r="FM564" s="105"/>
      <c r="FN564" s="105"/>
      <c r="FO564" s="105"/>
      <c r="FP564" s="105"/>
      <c r="FQ564" s="105"/>
      <c r="FR564" s="105"/>
      <c r="FS564" s="105"/>
      <c r="FT564" s="105"/>
      <c r="FU564" s="105"/>
      <c r="FV564" s="105"/>
      <c r="FW564" s="105"/>
      <c r="FX564" s="105"/>
      <c r="FY564" s="105"/>
      <c r="FZ564" s="105"/>
      <c r="GA564" s="105"/>
      <c r="GB564" s="105"/>
      <c r="GC564" s="105"/>
      <c r="GD564" s="105"/>
      <c r="GE564" s="105"/>
      <c r="GF564" s="105"/>
      <c r="GG564" s="105"/>
      <c r="GH564" s="105"/>
      <c r="GI564" s="105"/>
      <c r="GJ564" s="105"/>
      <c r="GK564" s="105"/>
      <c r="GL564" s="105"/>
      <c r="GM564" s="105"/>
      <c r="GN564" s="105"/>
      <c r="GO564" s="105"/>
      <c r="GP564" s="105"/>
      <c r="GQ564" s="105"/>
      <c r="GR564" s="105"/>
      <c r="GS564" s="105"/>
      <c r="GT564" s="105"/>
      <c r="GU564" s="105"/>
      <c r="GV564" s="105"/>
      <c r="GW564" s="105"/>
      <c r="GX564" s="105"/>
      <c r="GY564" s="105"/>
      <c r="GZ564" s="105"/>
      <c r="HA564" s="105"/>
      <c r="HB564" s="105"/>
      <c r="HC564" s="105"/>
      <c r="HD564" s="105"/>
      <c r="HE564" s="105"/>
      <c r="HF564" s="105"/>
      <c r="HG564" s="105"/>
      <c r="HH564" s="105"/>
      <c r="HI564" s="105"/>
      <c r="HJ564" s="105"/>
      <c r="HK564" s="105"/>
      <c r="HL564" s="105"/>
      <c r="HM564" s="105"/>
      <c r="HN564" s="105"/>
      <c r="HO564" s="105"/>
      <c r="HP564" s="105"/>
      <c r="HQ564" s="105"/>
      <c r="HR564" s="105"/>
      <c r="HS564" s="105"/>
      <c r="HT564" s="105"/>
      <c r="HU564" s="105"/>
      <c r="HV564" s="105"/>
      <c r="HW564" s="105"/>
      <c r="HX564" s="105"/>
      <c r="HY564" s="105"/>
      <c r="HZ564" s="105"/>
      <c r="IA564" s="105"/>
      <c r="IB564" s="105"/>
      <c r="IC564" s="105"/>
      <c r="ID564" s="105"/>
      <c r="IE564" s="105"/>
      <c r="IF564" s="105"/>
      <c r="IG564" s="105"/>
      <c r="IH564" s="105"/>
      <c r="II564" s="105"/>
      <c r="IJ564" s="105"/>
      <c r="IK564" s="105"/>
      <c r="IL564" s="105"/>
      <c r="IM564" s="105"/>
      <c r="IN564" s="105"/>
      <c r="IO564" s="105"/>
      <c r="IP564" s="105"/>
      <c r="IQ564" s="105"/>
      <c r="IR564" s="105"/>
      <c r="IS564" s="105"/>
    </row>
    <row r="565" spans="1:253">
      <c r="A565" s="116"/>
      <c r="B565" s="105"/>
      <c r="C565" s="116"/>
      <c r="D565" s="116"/>
      <c r="E565" s="116"/>
      <c r="F565" s="116"/>
      <c r="G565" s="116"/>
      <c r="H565" s="116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  <c r="BA565" s="105"/>
      <c r="BB565" s="105"/>
      <c r="BC565" s="105"/>
      <c r="BD565" s="105"/>
      <c r="BE565" s="105"/>
      <c r="BF565" s="105"/>
      <c r="BG565" s="105"/>
      <c r="BH565" s="105"/>
      <c r="BI565" s="105"/>
      <c r="BJ565" s="105"/>
      <c r="BK565" s="105"/>
      <c r="BL565" s="105"/>
      <c r="BM565" s="105"/>
      <c r="BN565" s="105"/>
      <c r="BO565" s="105"/>
      <c r="BP565" s="105"/>
      <c r="BQ565" s="105"/>
      <c r="BR565" s="105"/>
      <c r="BS565" s="105"/>
      <c r="BT565" s="105"/>
      <c r="BU565" s="105"/>
      <c r="BV565" s="105"/>
      <c r="BW565" s="105"/>
      <c r="BX565" s="105"/>
      <c r="BY565" s="105"/>
      <c r="BZ565" s="105"/>
      <c r="CA565" s="105"/>
      <c r="CB565" s="105"/>
      <c r="CC565" s="105"/>
      <c r="CD565" s="105"/>
      <c r="CE565" s="105"/>
      <c r="CF565" s="105"/>
      <c r="CG565" s="105"/>
      <c r="CH565" s="105"/>
      <c r="CI565" s="105"/>
      <c r="CJ565" s="105"/>
      <c r="CK565" s="105"/>
      <c r="CL565" s="105"/>
      <c r="CM565" s="105"/>
      <c r="CN565" s="105"/>
      <c r="CO565" s="105"/>
      <c r="CP565" s="105"/>
      <c r="CQ565" s="105"/>
      <c r="CR565" s="105"/>
      <c r="CS565" s="105"/>
      <c r="CT565" s="105"/>
      <c r="CU565" s="105"/>
      <c r="CV565" s="105"/>
      <c r="CW565" s="105"/>
      <c r="CX565" s="105"/>
      <c r="CY565" s="105"/>
      <c r="CZ565" s="105"/>
      <c r="DA565" s="105"/>
      <c r="DB565" s="105"/>
      <c r="DC565" s="105"/>
      <c r="DD565" s="105"/>
      <c r="DE565" s="105"/>
      <c r="DF565" s="105"/>
      <c r="DG565" s="105"/>
      <c r="DH565" s="105"/>
      <c r="DI565" s="105"/>
      <c r="DJ565" s="105"/>
      <c r="DK565" s="105"/>
      <c r="DL565" s="105"/>
      <c r="DM565" s="105"/>
      <c r="DN565" s="105"/>
      <c r="DO565" s="105"/>
      <c r="DP565" s="105"/>
      <c r="DQ565" s="105"/>
      <c r="DR565" s="105"/>
      <c r="DS565" s="105"/>
      <c r="DT565" s="105"/>
      <c r="DU565" s="105"/>
      <c r="DV565" s="105"/>
      <c r="DW565" s="105"/>
      <c r="DX565" s="105"/>
      <c r="DY565" s="105"/>
      <c r="DZ565" s="105"/>
      <c r="EA565" s="105"/>
      <c r="EB565" s="105"/>
      <c r="EC565" s="105"/>
      <c r="ED565" s="105"/>
      <c r="EE565" s="105"/>
      <c r="EF565" s="105"/>
      <c r="EG565" s="105"/>
      <c r="EH565" s="105"/>
      <c r="EI565" s="105"/>
      <c r="EJ565" s="105"/>
      <c r="EK565" s="105"/>
      <c r="EL565" s="105"/>
      <c r="EM565" s="105"/>
      <c r="EN565" s="105"/>
      <c r="EO565" s="105"/>
      <c r="EP565" s="105"/>
      <c r="EQ565" s="105"/>
      <c r="ER565" s="105"/>
      <c r="ES565" s="105"/>
      <c r="ET565" s="105"/>
      <c r="EU565" s="105"/>
      <c r="EV565" s="105"/>
      <c r="EW565" s="105"/>
      <c r="EX565" s="105"/>
      <c r="EY565" s="105"/>
      <c r="EZ565" s="105"/>
      <c r="FA565" s="105"/>
      <c r="FB565" s="105"/>
      <c r="FC565" s="105"/>
      <c r="FD565" s="105"/>
      <c r="FE565" s="105"/>
      <c r="FF565" s="105"/>
      <c r="FG565" s="105"/>
      <c r="FH565" s="105"/>
      <c r="FI565" s="105"/>
      <c r="FJ565" s="105"/>
      <c r="FK565" s="105"/>
      <c r="FL565" s="105"/>
      <c r="FM565" s="105"/>
      <c r="FN565" s="105"/>
      <c r="FO565" s="105"/>
      <c r="FP565" s="105"/>
      <c r="FQ565" s="105"/>
      <c r="FR565" s="105"/>
      <c r="FS565" s="105"/>
      <c r="FT565" s="105"/>
      <c r="FU565" s="105"/>
      <c r="FV565" s="105"/>
      <c r="FW565" s="105"/>
      <c r="FX565" s="105"/>
      <c r="FY565" s="105"/>
      <c r="FZ565" s="105"/>
      <c r="GA565" s="105"/>
      <c r="GB565" s="105"/>
      <c r="GC565" s="105"/>
      <c r="GD565" s="105"/>
      <c r="GE565" s="105"/>
      <c r="GF565" s="105"/>
      <c r="GG565" s="105"/>
      <c r="GH565" s="105"/>
      <c r="GI565" s="105"/>
      <c r="GJ565" s="105"/>
      <c r="GK565" s="105"/>
      <c r="GL565" s="105"/>
      <c r="GM565" s="105"/>
      <c r="GN565" s="105"/>
      <c r="GO565" s="105"/>
      <c r="GP565" s="105"/>
      <c r="GQ565" s="105"/>
      <c r="GR565" s="105"/>
      <c r="GS565" s="105"/>
      <c r="GT565" s="105"/>
      <c r="GU565" s="105"/>
      <c r="GV565" s="105"/>
      <c r="GW565" s="105"/>
      <c r="GX565" s="105"/>
      <c r="GY565" s="105"/>
      <c r="GZ565" s="105"/>
      <c r="HA565" s="105"/>
      <c r="HB565" s="105"/>
      <c r="HC565" s="105"/>
      <c r="HD565" s="105"/>
      <c r="HE565" s="105"/>
      <c r="HF565" s="105"/>
      <c r="HG565" s="105"/>
      <c r="HH565" s="105"/>
      <c r="HI565" s="105"/>
      <c r="HJ565" s="105"/>
      <c r="HK565" s="105"/>
      <c r="HL565" s="105"/>
      <c r="HM565" s="105"/>
      <c r="HN565" s="105"/>
      <c r="HO565" s="105"/>
      <c r="HP565" s="105"/>
      <c r="HQ565" s="105"/>
      <c r="HR565" s="105"/>
      <c r="HS565" s="105"/>
      <c r="HT565" s="105"/>
      <c r="HU565" s="105"/>
      <c r="HV565" s="105"/>
      <c r="HW565" s="105"/>
      <c r="HX565" s="105"/>
      <c r="HY565" s="105"/>
      <c r="HZ565" s="105"/>
      <c r="IA565" s="105"/>
      <c r="IB565" s="105"/>
      <c r="IC565" s="105"/>
      <c r="ID565" s="105"/>
      <c r="IE565" s="105"/>
      <c r="IF565" s="105"/>
      <c r="IG565" s="105"/>
      <c r="IH565" s="105"/>
      <c r="II565" s="105"/>
      <c r="IJ565" s="105"/>
      <c r="IK565" s="105"/>
      <c r="IL565" s="105"/>
      <c r="IM565" s="105"/>
      <c r="IN565" s="105"/>
      <c r="IO565" s="105"/>
      <c r="IP565" s="105"/>
      <c r="IQ565" s="105"/>
      <c r="IR565" s="105"/>
      <c r="IS565" s="105"/>
    </row>
    <row r="566" spans="1:253">
      <c r="A566" s="116"/>
      <c r="B566" s="105"/>
      <c r="C566" s="116"/>
      <c r="D566" s="116"/>
      <c r="E566" s="116"/>
      <c r="F566" s="116"/>
      <c r="G566" s="116"/>
      <c r="H566" s="116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05"/>
      <c r="BF566" s="105"/>
      <c r="BG566" s="105"/>
      <c r="BH566" s="105"/>
      <c r="BI566" s="105"/>
      <c r="BJ566" s="105"/>
      <c r="BK566" s="105"/>
      <c r="BL566" s="105"/>
      <c r="BM566" s="105"/>
      <c r="BN566" s="105"/>
      <c r="BO566" s="105"/>
      <c r="BP566" s="105"/>
      <c r="BQ566" s="105"/>
      <c r="BR566" s="105"/>
      <c r="BS566" s="105"/>
      <c r="BT566" s="105"/>
      <c r="BU566" s="105"/>
      <c r="BV566" s="105"/>
      <c r="BW566" s="105"/>
      <c r="BX566" s="105"/>
      <c r="BY566" s="105"/>
      <c r="BZ566" s="105"/>
      <c r="CA566" s="105"/>
      <c r="CB566" s="105"/>
      <c r="CC566" s="105"/>
      <c r="CD566" s="105"/>
      <c r="CE566" s="105"/>
      <c r="CF566" s="105"/>
      <c r="CG566" s="105"/>
      <c r="CH566" s="105"/>
      <c r="CI566" s="105"/>
      <c r="CJ566" s="105"/>
      <c r="CK566" s="105"/>
      <c r="CL566" s="105"/>
      <c r="CM566" s="105"/>
      <c r="CN566" s="105"/>
      <c r="CO566" s="105"/>
      <c r="CP566" s="105"/>
      <c r="CQ566" s="105"/>
      <c r="CR566" s="105"/>
      <c r="CS566" s="105"/>
      <c r="CT566" s="105"/>
      <c r="CU566" s="105"/>
      <c r="CV566" s="105"/>
      <c r="CW566" s="105"/>
      <c r="CX566" s="105"/>
      <c r="CY566" s="105"/>
      <c r="CZ566" s="105"/>
      <c r="DA566" s="105"/>
      <c r="DB566" s="105"/>
      <c r="DC566" s="105"/>
      <c r="DD566" s="105"/>
      <c r="DE566" s="105"/>
      <c r="DF566" s="105"/>
      <c r="DG566" s="105"/>
      <c r="DH566" s="105"/>
      <c r="DI566" s="105"/>
      <c r="DJ566" s="105"/>
      <c r="DK566" s="105"/>
      <c r="DL566" s="105"/>
      <c r="DM566" s="105"/>
      <c r="DN566" s="105"/>
      <c r="DO566" s="105"/>
      <c r="DP566" s="105"/>
      <c r="DQ566" s="105"/>
      <c r="DR566" s="105"/>
      <c r="DS566" s="105"/>
      <c r="DT566" s="105"/>
      <c r="DU566" s="105"/>
      <c r="DV566" s="105"/>
      <c r="DW566" s="105"/>
      <c r="DX566" s="105"/>
      <c r="DY566" s="105"/>
      <c r="DZ566" s="105"/>
      <c r="EA566" s="105"/>
      <c r="EB566" s="105"/>
      <c r="EC566" s="105"/>
      <c r="ED566" s="105"/>
      <c r="EE566" s="105"/>
      <c r="EF566" s="105"/>
      <c r="EG566" s="105"/>
      <c r="EH566" s="105"/>
      <c r="EI566" s="105"/>
      <c r="EJ566" s="105"/>
      <c r="EK566" s="105"/>
      <c r="EL566" s="105"/>
      <c r="EM566" s="105"/>
      <c r="EN566" s="105"/>
      <c r="EO566" s="105"/>
      <c r="EP566" s="105"/>
      <c r="EQ566" s="105"/>
      <c r="ER566" s="105"/>
      <c r="ES566" s="105"/>
      <c r="ET566" s="105"/>
      <c r="EU566" s="105"/>
      <c r="EV566" s="105"/>
      <c r="EW566" s="105"/>
      <c r="EX566" s="105"/>
      <c r="EY566" s="105"/>
      <c r="EZ566" s="105"/>
      <c r="FA566" s="105"/>
      <c r="FB566" s="105"/>
      <c r="FC566" s="105"/>
      <c r="FD566" s="105"/>
      <c r="FE566" s="105"/>
      <c r="FF566" s="105"/>
      <c r="FG566" s="105"/>
      <c r="FH566" s="105"/>
      <c r="FI566" s="105"/>
      <c r="FJ566" s="105"/>
      <c r="FK566" s="105"/>
      <c r="FL566" s="105"/>
      <c r="FM566" s="105"/>
      <c r="FN566" s="105"/>
      <c r="FO566" s="105"/>
      <c r="FP566" s="105"/>
      <c r="FQ566" s="105"/>
      <c r="FR566" s="105"/>
      <c r="FS566" s="105"/>
      <c r="FT566" s="105"/>
      <c r="FU566" s="105"/>
      <c r="FV566" s="105"/>
      <c r="FW566" s="105"/>
      <c r="FX566" s="105"/>
      <c r="FY566" s="105"/>
      <c r="FZ566" s="105"/>
      <c r="GA566" s="105"/>
      <c r="GB566" s="105"/>
      <c r="GC566" s="105"/>
      <c r="GD566" s="105"/>
      <c r="GE566" s="105"/>
      <c r="GF566" s="105"/>
      <c r="GG566" s="105"/>
      <c r="GH566" s="105"/>
      <c r="GI566" s="105"/>
      <c r="GJ566" s="105"/>
      <c r="GK566" s="105"/>
      <c r="GL566" s="105"/>
      <c r="GM566" s="105"/>
      <c r="GN566" s="105"/>
      <c r="GO566" s="105"/>
      <c r="GP566" s="105"/>
      <c r="GQ566" s="105"/>
      <c r="GR566" s="105"/>
      <c r="GS566" s="105"/>
      <c r="GT566" s="105"/>
      <c r="GU566" s="105"/>
      <c r="GV566" s="105"/>
      <c r="GW566" s="105"/>
      <c r="GX566" s="105"/>
      <c r="GY566" s="105"/>
      <c r="GZ566" s="105"/>
      <c r="HA566" s="105"/>
      <c r="HB566" s="105"/>
      <c r="HC566" s="105"/>
      <c r="HD566" s="105"/>
      <c r="HE566" s="105"/>
      <c r="HF566" s="105"/>
      <c r="HG566" s="105"/>
      <c r="HH566" s="105"/>
      <c r="HI566" s="105"/>
      <c r="HJ566" s="105"/>
      <c r="HK566" s="105"/>
      <c r="HL566" s="105"/>
      <c r="HM566" s="105"/>
      <c r="HN566" s="105"/>
      <c r="HO566" s="105"/>
      <c r="HP566" s="105"/>
      <c r="HQ566" s="105"/>
      <c r="HR566" s="105"/>
      <c r="HS566" s="105"/>
      <c r="HT566" s="105"/>
      <c r="HU566" s="105"/>
      <c r="HV566" s="105"/>
      <c r="HW566" s="105"/>
      <c r="HX566" s="105"/>
      <c r="HY566" s="105"/>
      <c r="HZ566" s="105"/>
      <c r="IA566" s="105"/>
      <c r="IB566" s="105"/>
      <c r="IC566" s="105"/>
      <c r="ID566" s="105"/>
      <c r="IE566" s="105"/>
      <c r="IF566" s="105"/>
      <c r="IG566" s="105"/>
      <c r="IH566" s="105"/>
      <c r="II566" s="105"/>
      <c r="IJ566" s="105"/>
      <c r="IK566" s="105"/>
      <c r="IL566" s="105"/>
      <c r="IM566" s="105"/>
      <c r="IN566" s="105"/>
      <c r="IO566" s="105"/>
      <c r="IP566" s="105"/>
      <c r="IQ566" s="105"/>
      <c r="IR566" s="105"/>
      <c r="IS566" s="105"/>
    </row>
    <row r="567" spans="1:253">
      <c r="A567" s="116"/>
      <c r="B567" s="105"/>
      <c r="C567" s="116"/>
      <c r="D567" s="116"/>
      <c r="E567" s="116"/>
      <c r="F567" s="116"/>
      <c r="G567" s="116"/>
      <c r="H567" s="116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  <c r="BA567" s="105"/>
      <c r="BB567" s="105"/>
      <c r="BC567" s="105"/>
      <c r="BD567" s="105"/>
      <c r="BE567" s="105"/>
      <c r="BF567" s="105"/>
      <c r="BG567" s="105"/>
      <c r="BH567" s="105"/>
      <c r="BI567" s="105"/>
      <c r="BJ567" s="105"/>
      <c r="BK567" s="105"/>
      <c r="BL567" s="105"/>
      <c r="BM567" s="105"/>
      <c r="BN567" s="105"/>
      <c r="BO567" s="105"/>
      <c r="BP567" s="105"/>
      <c r="BQ567" s="105"/>
      <c r="BR567" s="105"/>
      <c r="BS567" s="105"/>
      <c r="BT567" s="105"/>
      <c r="BU567" s="105"/>
      <c r="BV567" s="105"/>
      <c r="BW567" s="105"/>
      <c r="BX567" s="105"/>
      <c r="BY567" s="105"/>
      <c r="BZ567" s="105"/>
      <c r="CA567" s="105"/>
      <c r="CB567" s="105"/>
      <c r="CC567" s="105"/>
      <c r="CD567" s="105"/>
      <c r="CE567" s="105"/>
      <c r="CF567" s="105"/>
      <c r="CG567" s="105"/>
      <c r="CH567" s="105"/>
      <c r="CI567" s="105"/>
      <c r="CJ567" s="105"/>
      <c r="CK567" s="105"/>
      <c r="CL567" s="105"/>
      <c r="CM567" s="105"/>
      <c r="CN567" s="105"/>
      <c r="CO567" s="105"/>
      <c r="CP567" s="105"/>
      <c r="CQ567" s="105"/>
      <c r="CR567" s="105"/>
      <c r="CS567" s="105"/>
      <c r="CT567" s="105"/>
      <c r="CU567" s="105"/>
      <c r="CV567" s="105"/>
      <c r="CW567" s="105"/>
      <c r="CX567" s="105"/>
      <c r="CY567" s="105"/>
      <c r="CZ567" s="105"/>
      <c r="DA567" s="105"/>
      <c r="DB567" s="105"/>
      <c r="DC567" s="105"/>
      <c r="DD567" s="105"/>
      <c r="DE567" s="105"/>
      <c r="DF567" s="105"/>
      <c r="DG567" s="105"/>
      <c r="DH567" s="105"/>
      <c r="DI567" s="105"/>
      <c r="DJ567" s="105"/>
      <c r="DK567" s="105"/>
      <c r="DL567" s="105"/>
      <c r="DM567" s="105"/>
      <c r="DN567" s="105"/>
      <c r="DO567" s="105"/>
      <c r="DP567" s="105"/>
      <c r="DQ567" s="105"/>
      <c r="DR567" s="105"/>
      <c r="DS567" s="105"/>
      <c r="DT567" s="105"/>
      <c r="DU567" s="105"/>
      <c r="DV567" s="105"/>
      <c r="DW567" s="105"/>
      <c r="DX567" s="105"/>
      <c r="DY567" s="105"/>
      <c r="DZ567" s="105"/>
      <c r="EA567" s="105"/>
      <c r="EB567" s="105"/>
      <c r="EC567" s="105"/>
      <c r="ED567" s="105"/>
      <c r="EE567" s="105"/>
      <c r="EF567" s="105"/>
      <c r="EG567" s="105"/>
      <c r="EH567" s="105"/>
      <c r="EI567" s="105"/>
      <c r="EJ567" s="105"/>
      <c r="EK567" s="105"/>
      <c r="EL567" s="105"/>
      <c r="EM567" s="105"/>
      <c r="EN567" s="105"/>
      <c r="EO567" s="105"/>
      <c r="EP567" s="105"/>
      <c r="EQ567" s="105"/>
      <c r="ER567" s="105"/>
      <c r="ES567" s="105"/>
      <c r="ET567" s="105"/>
      <c r="EU567" s="105"/>
      <c r="EV567" s="105"/>
      <c r="EW567" s="105"/>
      <c r="EX567" s="105"/>
      <c r="EY567" s="105"/>
      <c r="EZ567" s="105"/>
      <c r="FA567" s="105"/>
      <c r="FB567" s="105"/>
      <c r="FC567" s="105"/>
      <c r="FD567" s="105"/>
      <c r="FE567" s="105"/>
      <c r="FF567" s="105"/>
      <c r="FG567" s="105"/>
      <c r="FH567" s="105"/>
      <c r="FI567" s="105"/>
      <c r="FJ567" s="105"/>
      <c r="FK567" s="105"/>
      <c r="FL567" s="105"/>
      <c r="FM567" s="105"/>
      <c r="FN567" s="105"/>
      <c r="FO567" s="105"/>
      <c r="FP567" s="105"/>
      <c r="FQ567" s="105"/>
      <c r="FR567" s="105"/>
      <c r="FS567" s="105"/>
      <c r="FT567" s="105"/>
      <c r="FU567" s="105"/>
      <c r="FV567" s="105"/>
      <c r="FW567" s="105"/>
      <c r="FX567" s="105"/>
      <c r="FY567" s="105"/>
      <c r="FZ567" s="105"/>
      <c r="GA567" s="105"/>
      <c r="GB567" s="105"/>
      <c r="GC567" s="105"/>
      <c r="GD567" s="105"/>
      <c r="GE567" s="105"/>
      <c r="GF567" s="105"/>
      <c r="GG567" s="105"/>
      <c r="GH567" s="105"/>
      <c r="GI567" s="105"/>
      <c r="GJ567" s="105"/>
      <c r="GK567" s="105"/>
      <c r="GL567" s="105"/>
      <c r="GM567" s="105"/>
      <c r="GN567" s="105"/>
      <c r="GO567" s="105"/>
      <c r="GP567" s="105"/>
      <c r="GQ567" s="105"/>
      <c r="GR567" s="105"/>
      <c r="GS567" s="105"/>
      <c r="GT567" s="105"/>
      <c r="GU567" s="105"/>
      <c r="GV567" s="105"/>
      <c r="GW567" s="105"/>
      <c r="GX567" s="105"/>
      <c r="GY567" s="105"/>
      <c r="GZ567" s="105"/>
      <c r="HA567" s="105"/>
      <c r="HB567" s="105"/>
      <c r="HC567" s="105"/>
      <c r="HD567" s="105"/>
      <c r="HE567" s="105"/>
      <c r="HF567" s="105"/>
      <c r="HG567" s="105"/>
      <c r="HH567" s="105"/>
      <c r="HI567" s="105"/>
      <c r="HJ567" s="105"/>
      <c r="HK567" s="105"/>
      <c r="HL567" s="105"/>
      <c r="HM567" s="105"/>
      <c r="HN567" s="105"/>
      <c r="HO567" s="105"/>
      <c r="HP567" s="105"/>
      <c r="HQ567" s="105"/>
      <c r="HR567" s="105"/>
      <c r="HS567" s="105"/>
      <c r="HT567" s="105"/>
      <c r="HU567" s="105"/>
      <c r="HV567" s="105"/>
      <c r="HW567" s="105"/>
      <c r="HX567" s="105"/>
      <c r="HY567" s="105"/>
      <c r="HZ567" s="105"/>
      <c r="IA567" s="105"/>
      <c r="IB567" s="105"/>
      <c r="IC567" s="105"/>
      <c r="ID567" s="105"/>
      <c r="IE567" s="105"/>
      <c r="IF567" s="105"/>
      <c r="IG567" s="105"/>
      <c r="IH567" s="105"/>
      <c r="II567" s="105"/>
      <c r="IJ567" s="105"/>
      <c r="IK567" s="105"/>
      <c r="IL567" s="105"/>
      <c r="IM567" s="105"/>
      <c r="IN567" s="105"/>
      <c r="IO567" s="105"/>
      <c r="IP567" s="105"/>
      <c r="IQ567" s="105"/>
      <c r="IR567" s="105"/>
      <c r="IS567" s="105"/>
    </row>
    <row r="568" spans="1:253">
      <c r="A568" s="116"/>
      <c r="B568" s="105"/>
      <c r="C568" s="116"/>
      <c r="D568" s="116"/>
      <c r="E568" s="116"/>
      <c r="F568" s="116"/>
      <c r="G568" s="116"/>
      <c r="H568" s="116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05"/>
      <c r="BF568" s="105"/>
      <c r="BG568" s="105"/>
      <c r="BH568" s="105"/>
      <c r="BI568" s="105"/>
      <c r="BJ568" s="105"/>
      <c r="BK568" s="105"/>
      <c r="BL568" s="105"/>
      <c r="BM568" s="105"/>
      <c r="BN568" s="105"/>
      <c r="BO568" s="105"/>
      <c r="BP568" s="105"/>
      <c r="BQ568" s="105"/>
      <c r="BR568" s="105"/>
      <c r="BS568" s="105"/>
      <c r="BT568" s="105"/>
      <c r="BU568" s="105"/>
      <c r="BV568" s="105"/>
      <c r="BW568" s="105"/>
      <c r="BX568" s="105"/>
      <c r="BY568" s="105"/>
      <c r="BZ568" s="105"/>
      <c r="CA568" s="105"/>
      <c r="CB568" s="105"/>
      <c r="CC568" s="105"/>
      <c r="CD568" s="105"/>
      <c r="CE568" s="105"/>
      <c r="CF568" s="105"/>
      <c r="CG568" s="105"/>
      <c r="CH568" s="105"/>
      <c r="CI568" s="105"/>
      <c r="CJ568" s="105"/>
      <c r="CK568" s="105"/>
      <c r="CL568" s="105"/>
      <c r="CM568" s="105"/>
      <c r="CN568" s="105"/>
      <c r="CO568" s="105"/>
      <c r="CP568" s="105"/>
      <c r="CQ568" s="105"/>
      <c r="CR568" s="105"/>
      <c r="CS568" s="105"/>
      <c r="CT568" s="105"/>
      <c r="CU568" s="105"/>
      <c r="CV568" s="105"/>
      <c r="CW568" s="105"/>
      <c r="CX568" s="105"/>
      <c r="CY568" s="105"/>
      <c r="CZ568" s="105"/>
      <c r="DA568" s="105"/>
      <c r="DB568" s="105"/>
      <c r="DC568" s="105"/>
      <c r="DD568" s="105"/>
      <c r="DE568" s="105"/>
      <c r="DF568" s="105"/>
      <c r="DG568" s="105"/>
      <c r="DH568" s="105"/>
      <c r="DI568" s="105"/>
      <c r="DJ568" s="105"/>
      <c r="DK568" s="105"/>
      <c r="DL568" s="105"/>
      <c r="DM568" s="105"/>
      <c r="DN568" s="105"/>
      <c r="DO568" s="105"/>
      <c r="DP568" s="105"/>
      <c r="DQ568" s="105"/>
      <c r="DR568" s="105"/>
      <c r="DS568" s="105"/>
      <c r="DT568" s="105"/>
      <c r="DU568" s="105"/>
      <c r="DV568" s="105"/>
      <c r="DW568" s="105"/>
      <c r="DX568" s="105"/>
      <c r="DY568" s="105"/>
      <c r="DZ568" s="105"/>
      <c r="EA568" s="105"/>
      <c r="EB568" s="105"/>
      <c r="EC568" s="105"/>
      <c r="ED568" s="105"/>
      <c r="EE568" s="105"/>
      <c r="EF568" s="105"/>
      <c r="EG568" s="105"/>
      <c r="EH568" s="105"/>
      <c r="EI568" s="105"/>
      <c r="EJ568" s="105"/>
      <c r="EK568" s="105"/>
      <c r="EL568" s="105"/>
      <c r="EM568" s="105"/>
      <c r="EN568" s="105"/>
      <c r="EO568" s="105"/>
      <c r="EP568" s="105"/>
      <c r="EQ568" s="105"/>
      <c r="ER568" s="105"/>
      <c r="ES568" s="105"/>
      <c r="ET568" s="105"/>
      <c r="EU568" s="105"/>
      <c r="EV568" s="105"/>
      <c r="EW568" s="105"/>
      <c r="EX568" s="105"/>
      <c r="EY568" s="105"/>
      <c r="EZ568" s="105"/>
      <c r="FA568" s="105"/>
      <c r="FB568" s="105"/>
      <c r="FC568" s="105"/>
      <c r="FD568" s="105"/>
      <c r="FE568" s="105"/>
      <c r="FF568" s="105"/>
      <c r="FG568" s="105"/>
      <c r="FH568" s="105"/>
      <c r="FI568" s="105"/>
      <c r="FJ568" s="105"/>
      <c r="FK568" s="105"/>
      <c r="FL568" s="105"/>
      <c r="FM568" s="105"/>
      <c r="FN568" s="105"/>
      <c r="FO568" s="105"/>
      <c r="FP568" s="105"/>
      <c r="FQ568" s="105"/>
      <c r="FR568" s="105"/>
      <c r="FS568" s="105"/>
      <c r="FT568" s="105"/>
      <c r="FU568" s="105"/>
      <c r="FV568" s="105"/>
      <c r="FW568" s="105"/>
      <c r="FX568" s="105"/>
      <c r="FY568" s="105"/>
      <c r="FZ568" s="105"/>
      <c r="GA568" s="105"/>
      <c r="GB568" s="105"/>
      <c r="GC568" s="105"/>
      <c r="GD568" s="105"/>
      <c r="GE568" s="105"/>
      <c r="GF568" s="105"/>
      <c r="GG568" s="105"/>
      <c r="GH568" s="105"/>
      <c r="GI568" s="105"/>
      <c r="GJ568" s="105"/>
      <c r="GK568" s="105"/>
      <c r="GL568" s="105"/>
      <c r="GM568" s="105"/>
      <c r="GN568" s="105"/>
      <c r="GO568" s="105"/>
      <c r="GP568" s="105"/>
      <c r="GQ568" s="105"/>
      <c r="GR568" s="105"/>
      <c r="GS568" s="105"/>
      <c r="GT568" s="105"/>
      <c r="GU568" s="105"/>
      <c r="GV568" s="105"/>
      <c r="GW568" s="105"/>
      <c r="GX568" s="105"/>
      <c r="GY568" s="105"/>
      <c r="GZ568" s="105"/>
      <c r="HA568" s="105"/>
      <c r="HB568" s="105"/>
      <c r="HC568" s="105"/>
      <c r="HD568" s="105"/>
      <c r="HE568" s="105"/>
      <c r="HF568" s="105"/>
      <c r="HG568" s="105"/>
      <c r="HH568" s="105"/>
      <c r="HI568" s="105"/>
      <c r="HJ568" s="105"/>
      <c r="HK568" s="105"/>
      <c r="HL568" s="105"/>
      <c r="HM568" s="105"/>
      <c r="HN568" s="105"/>
      <c r="HO568" s="105"/>
      <c r="HP568" s="105"/>
      <c r="HQ568" s="105"/>
      <c r="HR568" s="105"/>
      <c r="HS568" s="105"/>
      <c r="HT568" s="105"/>
      <c r="HU568" s="105"/>
      <c r="HV568" s="105"/>
      <c r="HW568" s="105"/>
      <c r="HX568" s="105"/>
      <c r="HY568" s="105"/>
      <c r="HZ568" s="105"/>
      <c r="IA568" s="105"/>
      <c r="IB568" s="105"/>
      <c r="IC568" s="105"/>
      <c r="ID568" s="105"/>
      <c r="IE568" s="105"/>
      <c r="IF568" s="105"/>
      <c r="IG568" s="105"/>
      <c r="IH568" s="105"/>
      <c r="II568" s="105"/>
      <c r="IJ568" s="105"/>
      <c r="IK568" s="105"/>
      <c r="IL568" s="105"/>
      <c r="IM568" s="105"/>
      <c r="IN568" s="105"/>
      <c r="IO568" s="105"/>
      <c r="IP568" s="105"/>
      <c r="IQ568" s="105"/>
      <c r="IR568" s="105"/>
      <c r="IS568" s="105"/>
    </row>
    <row r="569" spans="1:253">
      <c r="A569" s="116"/>
      <c r="B569" s="105"/>
      <c r="C569" s="116"/>
      <c r="D569" s="116"/>
      <c r="E569" s="116"/>
      <c r="F569" s="116"/>
      <c r="G569" s="116"/>
      <c r="H569" s="116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  <c r="AU569" s="105"/>
      <c r="AV569" s="105"/>
      <c r="AW569" s="105"/>
      <c r="AX569" s="105"/>
      <c r="AY569" s="105"/>
      <c r="AZ569" s="105"/>
      <c r="BA569" s="105"/>
      <c r="BB569" s="105"/>
      <c r="BC569" s="105"/>
      <c r="BD569" s="105"/>
      <c r="BE569" s="105"/>
      <c r="BF569" s="105"/>
      <c r="BG569" s="105"/>
      <c r="BH569" s="105"/>
      <c r="BI569" s="105"/>
      <c r="BJ569" s="105"/>
      <c r="BK569" s="105"/>
      <c r="BL569" s="105"/>
      <c r="BM569" s="105"/>
      <c r="BN569" s="105"/>
      <c r="BO569" s="105"/>
      <c r="BP569" s="105"/>
      <c r="BQ569" s="105"/>
      <c r="BR569" s="105"/>
      <c r="BS569" s="105"/>
      <c r="BT569" s="105"/>
      <c r="BU569" s="105"/>
      <c r="BV569" s="105"/>
      <c r="BW569" s="105"/>
      <c r="BX569" s="105"/>
      <c r="BY569" s="105"/>
      <c r="BZ569" s="105"/>
      <c r="CA569" s="105"/>
      <c r="CB569" s="105"/>
      <c r="CC569" s="105"/>
      <c r="CD569" s="105"/>
      <c r="CE569" s="105"/>
      <c r="CF569" s="105"/>
      <c r="CG569" s="105"/>
      <c r="CH569" s="105"/>
      <c r="CI569" s="105"/>
      <c r="CJ569" s="105"/>
      <c r="CK569" s="105"/>
      <c r="CL569" s="105"/>
      <c r="CM569" s="105"/>
      <c r="CN569" s="105"/>
      <c r="CO569" s="105"/>
      <c r="CP569" s="105"/>
      <c r="CQ569" s="105"/>
      <c r="CR569" s="105"/>
      <c r="CS569" s="105"/>
      <c r="CT569" s="105"/>
      <c r="CU569" s="105"/>
      <c r="CV569" s="105"/>
      <c r="CW569" s="105"/>
      <c r="CX569" s="105"/>
      <c r="CY569" s="105"/>
      <c r="CZ569" s="105"/>
      <c r="DA569" s="105"/>
      <c r="DB569" s="105"/>
      <c r="DC569" s="105"/>
      <c r="DD569" s="105"/>
      <c r="DE569" s="105"/>
      <c r="DF569" s="105"/>
      <c r="DG569" s="105"/>
      <c r="DH569" s="105"/>
      <c r="DI569" s="105"/>
      <c r="DJ569" s="105"/>
      <c r="DK569" s="105"/>
      <c r="DL569" s="105"/>
      <c r="DM569" s="105"/>
      <c r="DN569" s="105"/>
      <c r="DO569" s="105"/>
      <c r="DP569" s="105"/>
      <c r="DQ569" s="105"/>
      <c r="DR569" s="105"/>
      <c r="DS569" s="105"/>
      <c r="DT569" s="105"/>
      <c r="DU569" s="105"/>
      <c r="DV569" s="105"/>
      <c r="DW569" s="105"/>
      <c r="DX569" s="105"/>
      <c r="DY569" s="105"/>
      <c r="DZ569" s="105"/>
      <c r="EA569" s="105"/>
      <c r="EB569" s="105"/>
      <c r="EC569" s="105"/>
      <c r="ED569" s="105"/>
      <c r="EE569" s="105"/>
      <c r="EF569" s="105"/>
      <c r="EG569" s="105"/>
      <c r="EH569" s="105"/>
      <c r="EI569" s="105"/>
      <c r="EJ569" s="105"/>
      <c r="EK569" s="105"/>
      <c r="EL569" s="105"/>
      <c r="EM569" s="105"/>
      <c r="EN569" s="105"/>
      <c r="EO569" s="105"/>
      <c r="EP569" s="105"/>
      <c r="EQ569" s="105"/>
      <c r="ER569" s="105"/>
      <c r="ES569" s="105"/>
      <c r="ET569" s="105"/>
      <c r="EU569" s="105"/>
      <c r="EV569" s="105"/>
      <c r="EW569" s="105"/>
      <c r="EX569" s="105"/>
      <c r="EY569" s="105"/>
      <c r="EZ569" s="105"/>
      <c r="FA569" s="105"/>
      <c r="FB569" s="105"/>
      <c r="FC569" s="105"/>
      <c r="FD569" s="105"/>
      <c r="FE569" s="105"/>
      <c r="FF569" s="105"/>
      <c r="FG569" s="105"/>
      <c r="FH569" s="105"/>
      <c r="FI569" s="105"/>
      <c r="FJ569" s="105"/>
      <c r="FK569" s="105"/>
      <c r="FL569" s="105"/>
      <c r="FM569" s="105"/>
      <c r="FN569" s="105"/>
      <c r="FO569" s="105"/>
      <c r="FP569" s="105"/>
      <c r="FQ569" s="105"/>
      <c r="FR569" s="105"/>
      <c r="FS569" s="105"/>
      <c r="FT569" s="105"/>
      <c r="FU569" s="105"/>
      <c r="FV569" s="105"/>
      <c r="FW569" s="105"/>
      <c r="FX569" s="105"/>
      <c r="FY569" s="105"/>
      <c r="FZ569" s="105"/>
      <c r="GA569" s="105"/>
      <c r="GB569" s="105"/>
      <c r="GC569" s="105"/>
      <c r="GD569" s="105"/>
      <c r="GE569" s="105"/>
      <c r="GF569" s="105"/>
      <c r="GG569" s="105"/>
      <c r="GH569" s="105"/>
      <c r="GI569" s="105"/>
      <c r="GJ569" s="105"/>
      <c r="GK569" s="105"/>
      <c r="GL569" s="105"/>
      <c r="GM569" s="105"/>
      <c r="GN569" s="105"/>
      <c r="GO569" s="105"/>
      <c r="GP569" s="105"/>
      <c r="GQ569" s="105"/>
      <c r="GR569" s="105"/>
      <c r="GS569" s="105"/>
      <c r="GT569" s="105"/>
      <c r="GU569" s="105"/>
      <c r="GV569" s="105"/>
      <c r="GW569" s="105"/>
      <c r="GX569" s="105"/>
      <c r="GY569" s="105"/>
      <c r="GZ569" s="105"/>
      <c r="HA569" s="105"/>
      <c r="HB569" s="105"/>
      <c r="HC569" s="105"/>
      <c r="HD569" s="105"/>
      <c r="HE569" s="105"/>
      <c r="HF569" s="105"/>
      <c r="HG569" s="105"/>
      <c r="HH569" s="105"/>
      <c r="HI569" s="105"/>
      <c r="HJ569" s="105"/>
      <c r="HK569" s="105"/>
      <c r="HL569" s="105"/>
      <c r="HM569" s="105"/>
      <c r="HN569" s="105"/>
      <c r="HO569" s="105"/>
      <c r="HP569" s="105"/>
      <c r="HQ569" s="105"/>
      <c r="HR569" s="105"/>
      <c r="HS569" s="105"/>
      <c r="HT569" s="105"/>
      <c r="HU569" s="105"/>
      <c r="HV569" s="105"/>
      <c r="HW569" s="105"/>
      <c r="HX569" s="105"/>
      <c r="HY569" s="105"/>
      <c r="HZ569" s="105"/>
      <c r="IA569" s="105"/>
      <c r="IB569" s="105"/>
      <c r="IC569" s="105"/>
      <c r="ID569" s="105"/>
      <c r="IE569" s="105"/>
      <c r="IF569" s="105"/>
      <c r="IG569" s="105"/>
      <c r="IH569" s="105"/>
      <c r="II569" s="105"/>
      <c r="IJ569" s="105"/>
      <c r="IK569" s="105"/>
      <c r="IL569" s="105"/>
      <c r="IM569" s="105"/>
      <c r="IN569" s="105"/>
      <c r="IO569" s="105"/>
      <c r="IP569" s="105"/>
      <c r="IQ569" s="105"/>
      <c r="IR569" s="105"/>
      <c r="IS569" s="105"/>
    </row>
    <row r="570" spans="1:253">
      <c r="A570" s="116"/>
      <c r="B570" s="105"/>
      <c r="C570" s="116"/>
      <c r="D570" s="116"/>
      <c r="E570" s="116"/>
      <c r="F570" s="116"/>
      <c r="G570" s="116"/>
      <c r="H570" s="116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05"/>
      <c r="BF570" s="105"/>
      <c r="BG570" s="105"/>
      <c r="BH570" s="105"/>
      <c r="BI570" s="105"/>
      <c r="BJ570" s="105"/>
      <c r="BK570" s="105"/>
      <c r="BL570" s="105"/>
      <c r="BM570" s="105"/>
      <c r="BN570" s="105"/>
      <c r="BO570" s="105"/>
      <c r="BP570" s="105"/>
      <c r="BQ570" s="105"/>
      <c r="BR570" s="105"/>
      <c r="BS570" s="105"/>
      <c r="BT570" s="105"/>
      <c r="BU570" s="105"/>
      <c r="BV570" s="105"/>
      <c r="BW570" s="105"/>
      <c r="BX570" s="105"/>
      <c r="BY570" s="105"/>
      <c r="BZ570" s="105"/>
      <c r="CA570" s="105"/>
      <c r="CB570" s="105"/>
      <c r="CC570" s="105"/>
      <c r="CD570" s="105"/>
      <c r="CE570" s="105"/>
      <c r="CF570" s="105"/>
      <c r="CG570" s="105"/>
      <c r="CH570" s="105"/>
      <c r="CI570" s="105"/>
      <c r="CJ570" s="105"/>
      <c r="CK570" s="105"/>
      <c r="CL570" s="105"/>
      <c r="CM570" s="105"/>
      <c r="CN570" s="105"/>
      <c r="CO570" s="105"/>
      <c r="CP570" s="105"/>
      <c r="CQ570" s="105"/>
      <c r="CR570" s="105"/>
      <c r="CS570" s="105"/>
      <c r="CT570" s="105"/>
      <c r="CU570" s="105"/>
      <c r="CV570" s="105"/>
      <c r="CW570" s="105"/>
      <c r="CX570" s="105"/>
      <c r="CY570" s="105"/>
      <c r="CZ570" s="105"/>
      <c r="DA570" s="105"/>
      <c r="DB570" s="105"/>
      <c r="DC570" s="105"/>
      <c r="DD570" s="105"/>
      <c r="DE570" s="105"/>
      <c r="DF570" s="105"/>
      <c r="DG570" s="105"/>
      <c r="DH570" s="105"/>
      <c r="DI570" s="105"/>
      <c r="DJ570" s="105"/>
      <c r="DK570" s="105"/>
      <c r="DL570" s="105"/>
      <c r="DM570" s="105"/>
      <c r="DN570" s="105"/>
      <c r="DO570" s="105"/>
      <c r="DP570" s="105"/>
      <c r="DQ570" s="105"/>
      <c r="DR570" s="105"/>
      <c r="DS570" s="105"/>
      <c r="DT570" s="105"/>
      <c r="DU570" s="105"/>
      <c r="DV570" s="105"/>
      <c r="DW570" s="105"/>
      <c r="DX570" s="105"/>
      <c r="DY570" s="105"/>
      <c r="DZ570" s="105"/>
      <c r="EA570" s="105"/>
      <c r="EB570" s="105"/>
      <c r="EC570" s="105"/>
      <c r="ED570" s="105"/>
      <c r="EE570" s="105"/>
      <c r="EF570" s="105"/>
      <c r="EG570" s="105"/>
      <c r="EH570" s="105"/>
      <c r="EI570" s="105"/>
      <c r="EJ570" s="105"/>
      <c r="EK570" s="105"/>
      <c r="EL570" s="105"/>
      <c r="EM570" s="105"/>
      <c r="EN570" s="105"/>
      <c r="EO570" s="105"/>
      <c r="EP570" s="105"/>
      <c r="EQ570" s="105"/>
      <c r="ER570" s="105"/>
      <c r="ES570" s="105"/>
      <c r="ET570" s="105"/>
      <c r="EU570" s="105"/>
      <c r="EV570" s="105"/>
      <c r="EW570" s="105"/>
      <c r="EX570" s="105"/>
      <c r="EY570" s="105"/>
      <c r="EZ570" s="105"/>
      <c r="FA570" s="105"/>
      <c r="FB570" s="105"/>
      <c r="FC570" s="105"/>
      <c r="FD570" s="105"/>
      <c r="FE570" s="105"/>
      <c r="FF570" s="105"/>
      <c r="FG570" s="105"/>
      <c r="FH570" s="105"/>
      <c r="FI570" s="105"/>
      <c r="FJ570" s="105"/>
      <c r="FK570" s="105"/>
      <c r="FL570" s="105"/>
      <c r="FM570" s="105"/>
      <c r="FN570" s="105"/>
      <c r="FO570" s="105"/>
      <c r="FP570" s="105"/>
      <c r="FQ570" s="105"/>
      <c r="FR570" s="105"/>
      <c r="FS570" s="105"/>
      <c r="FT570" s="105"/>
      <c r="FU570" s="105"/>
      <c r="FV570" s="105"/>
      <c r="FW570" s="105"/>
      <c r="FX570" s="105"/>
      <c r="FY570" s="105"/>
      <c r="FZ570" s="105"/>
      <c r="GA570" s="105"/>
      <c r="GB570" s="105"/>
      <c r="GC570" s="105"/>
      <c r="GD570" s="105"/>
      <c r="GE570" s="105"/>
      <c r="GF570" s="105"/>
      <c r="GG570" s="105"/>
      <c r="GH570" s="105"/>
      <c r="GI570" s="105"/>
      <c r="GJ570" s="105"/>
      <c r="GK570" s="105"/>
      <c r="GL570" s="105"/>
      <c r="GM570" s="105"/>
      <c r="GN570" s="105"/>
      <c r="GO570" s="105"/>
      <c r="GP570" s="105"/>
      <c r="GQ570" s="105"/>
      <c r="GR570" s="105"/>
      <c r="GS570" s="105"/>
      <c r="GT570" s="105"/>
      <c r="GU570" s="105"/>
      <c r="GV570" s="105"/>
      <c r="GW570" s="105"/>
      <c r="GX570" s="105"/>
      <c r="GY570" s="105"/>
      <c r="GZ570" s="105"/>
      <c r="HA570" s="105"/>
      <c r="HB570" s="105"/>
      <c r="HC570" s="105"/>
      <c r="HD570" s="105"/>
      <c r="HE570" s="105"/>
      <c r="HF570" s="105"/>
      <c r="HG570" s="105"/>
      <c r="HH570" s="105"/>
      <c r="HI570" s="105"/>
      <c r="HJ570" s="105"/>
      <c r="HK570" s="105"/>
      <c r="HL570" s="105"/>
      <c r="HM570" s="105"/>
      <c r="HN570" s="105"/>
      <c r="HO570" s="105"/>
      <c r="HP570" s="105"/>
      <c r="HQ570" s="105"/>
      <c r="HR570" s="105"/>
      <c r="HS570" s="105"/>
      <c r="HT570" s="105"/>
      <c r="HU570" s="105"/>
      <c r="HV570" s="105"/>
      <c r="HW570" s="105"/>
      <c r="HX570" s="105"/>
      <c r="HY570" s="105"/>
      <c r="HZ570" s="105"/>
      <c r="IA570" s="105"/>
      <c r="IB570" s="105"/>
      <c r="IC570" s="105"/>
      <c r="ID570" s="105"/>
      <c r="IE570" s="105"/>
      <c r="IF570" s="105"/>
      <c r="IG570" s="105"/>
      <c r="IH570" s="105"/>
      <c r="II570" s="105"/>
      <c r="IJ570" s="105"/>
      <c r="IK570" s="105"/>
      <c r="IL570" s="105"/>
      <c r="IM570" s="105"/>
      <c r="IN570" s="105"/>
      <c r="IO570" s="105"/>
      <c r="IP570" s="105"/>
      <c r="IQ570" s="105"/>
      <c r="IR570" s="105"/>
      <c r="IS570" s="105"/>
    </row>
    <row r="571" spans="1:253">
      <c r="A571" s="116"/>
      <c r="B571" s="105"/>
      <c r="C571" s="116"/>
      <c r="D571" s="116"/>
      <c r="E571" s="116"/>
      <c r="F571" s="116"/>
      <c r="G571" s="116"/>
      <c r="H571" s="116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5"/>
      <c r="BE571" s="105"/>
      <c r="BF571" s="105"/>
      <c r="BG571" s="105"/>
      <c r="BH571" s="105"/>
      <c r="BI571" s="105"/>
      <c r="BJ571" s="105"/>
      <c r="BK571" s="105"/>
      <c r="BL571" s="105"/>
      <c r="BM571" s="105"/>
      <c r="BN571" s="105"/>
      <c r="BO571" s="105"/>
      <c r="BP571" s="105"/>
      <c r="BQ571" s="105"/>
      <c r="BR571" s="105"/>
      <c r="BS571" s="105"/>
      <c r="BT571" s="105"/>
      <c r="BU571" s="105"/>
      <c r="BV571" s="105"/>
      <c r="BW571" s="105"/>
      <c r="BX571" s="105"/>
      <c r="BY571" s="105"/>
      <c r="BZ571" s="105"/>
      <c r="CA571" s="105"/>
      <c r="CB571" s="105"/>
      <c r="CC571" s="105"/>
      <c r="CD571" s="105"/>
      <c r="CE571" s="105"/>
      <c r="CF571" s="105"/>
      <c r="CG571" s="105"/>
      <c r="CH571" s="105"/>
      <c r="CI571" s="105"/>
      <c r="CJ571" s="105"/>
      <c r="CK571" s="105"/>
      <c r="CL571" s="105"/>
      <c r="CM571" s="105"/>
      <c r="CN571" s="105"/>
      <c r="CO571" s="105"/>
      <c r="CP571" s="105"/>
      <c r="CQ571" s="105"/>
      <c r="CR571" s="105"/>
      <c r="CS571" s="105"/>
      <c r="CT571" s="105"/>
      <c r="CU571" s="105"/>
      <c r="CV571" s="105"/>
      <c r="CW571" s="105"/>
      <c r="CX571" s="105"/>
      <c r="CY571" s="105"/>
      <c r="CZ571" s="105"/>
      <c r="DA571" s="105"/>
      <c r="DB571" s="105"/>
      <c r="DC571" s="105"/>
      <c r="DD571" s="105"/>
      <c r="DE571" s="105"/>
      <c r="DF571" s="105"/>
      <c r="DG571" s="105"/>
      <c r="DH571" s="105"/>
      <c r="DI571" s="105"/>
      <c r="DJ571" s="105"/>
      <c r="DK571" s="105"/>
      <c r="DL571" s="105"/>
      <c r="DM571" s="105"/>
      <c r="DN571" s="105"/>
      <c r="DO571" s="105"/>
      <c r="DP571" s="105"/>
      <c r="DQ571" s="105"/>
      <c r="DR571" s="105"/>
      <c r="DS571" s="105"/>
      <c r="DT571" s="105"/>
      <c r="DU571" s="105"/>
      <c r="DV571" s="105"/>
      <c r="DW571" s="105"/>
      <c r="DX571" s="105"/>
      <c r="DY571" s="105"/>
      <c r="DZ571" s="105"/>
      <c r="EA571" s="105"/>
      <c r="EB571" s="105"/>
      <c r="EC571" s="105"/>
      <c r="ED571" s="105"/>
      <c r="EE571" s="105"/>
      <c r="EF571" s="105"/>
      <c r="EG571" s="105"/>
      <c r="EH571" s="105"/>
      <c r="EI571" s="105"/>
      <c r="EJ571" s="105"/>
      <c r="EK571" s="105"/>
      <c r="EL571" s="105"/>
      <c r="EM571" s="105"/>
      <c r="EN571" s="105"/>
      <c r="EO571" s="105"/>
      <c r="EP571" s="105"/>
      <c r="EQ571" s="105"/>
      <c r="ER571" s="105"/>
      <c r="ES571" s="105"/>
      <c r="ET571" s="105"/>
      <c r="EU571" s="105"/>
      <c r="EV571" s="105"/>
      <c r="EW571" s="105"/>
      <c r="EX571" s="105"/>
      <c r="EY571" s="105"/>
      <c r="EZ571" s="105"/>
      <c r="FA571" s="105"/>
      <c r="FB571" s="105"/>
      <c r="FC571" s="105"/>
      <c r="FD571" s="105"/>
      <c r="FE571" s="105"/>
      <c r="FF571" s="105"/>
      <c r="FG571" s="105"/>
      <c r="FH571" s="105"/>
      <c r="FI571" s="105"/>
      <c r="FJ571" s="105"/>
      <c r="FK571" s="105"/>
      <c r="FL571" s="105"/>
      <c r="FM571" s="105"/>
      <c r="FN571" s="105"/>
      <c r="FO571" s="105"/>
      <c r="FP571" s="105"/>
      <c r="FQ571" s="105"/>
      <c r="FR571" s="105"/>
      <c r="FS571" s="105"/>
      <c r="FT571" s="105"/>
      <c r="FU571" s="105"/>
      <c r="FV571" s="105"/>
      <c r="FW571" s="105"/>
      <c r="FX571" s="105"/>
      <c r="FY571" s="105"/>
      <c r="FZ571" s="105"/>
      <c r="GA571" s="105"/>
      <c r="GB571" s="105"/>
      <c r="GC571" s="105"/>
      <c r="GD571" s="105"/>
      <c r="GE571" s="105"/>
      <c r="GF571" s="105"/>
      <c r="GG571" s="105"/>
      <c r="GH571" s="105"/>
      <c r="GI571" s="105"/>
      <c r="GJ571" s="105"/>
      <c r="GK571" s="105"/>
      <c r="GL571" s="105"/>
      <c r="GM571" s="105"/>
      <c r="GN571" s="105"/>
      <c r="GO571" s="105"/>
      <c r="GP571" s="105"/>
      <c r="GQ571" s="105"/>
      <c r="GR571" s="105"/>
      <c r="GS571" s="105"/>
      <c r="GT571" s="105"/>
      <c r="GU571" s="105"/>
      <c r="GV571" s="105"/>
      <c r="GW571" s="105"/>
      <c r="GX571" s="105"/>
      <c r="GY571" s="105"/>
      <c r="GZ571" s="105"/>
      <c r="HA571" s="105"/>
      <c r="HB571" s="105"/>
      <c r="HC571" s="105"/>
      <c r="HD571" s="105"/>
      <c r="HE571" s="105"/>
      <c r="HF571" s="105"/>
      <c r="HG571" s="105"/>
      <c r="HH571" s="105"/>
      <c r="HI571" s="105"/>
      <c r="HJ571" s="105"/>
      <c r="HK571" s="105"/>
      <c r="HL571" s="105"/>
      <c r="HM571" s="105"/>
      <c r="HN571" s="105"/>
      <c r="HO571" s="105"/>
      <c r="HP571" s="105"/>
      <c r="HQ571" s="105"/>
      <c r="HR571" s="105"/>
      <c r="HS571" s="105"/>
      <c r="HT571" s="105"/>
      <c r="HU571" s="105"/>
      <c r="HV571" s="105"/>
      <c r="HW571" s="105"/>
      <c r="HX571" s="105"/>
      <c r="HY571" s="105"/>
      <c r="HZ571" s="105"/>
      <c r="IA571" s="105"/>
      <c r="IB571" s="105"/>
      <c r="IC571" s="105"/>
      <c r="ID571" s="105"/>
      <c r="IE571" s="105"/>
      <c r="IF571" s="105"/>
      <c r="IG571" s="105"/>
      <c r="IH571" s="105"/>
      <c r="II571" s="105"/>
      <c r="IJ571" s="105"/>
      <c r="IK571" s="105"/>
      <c r="IL571" s="105"/>
      <c r="IM571" s="105"/>
      <c r="IN571" s="105"/>
      <c r="IO571" s="105"/>
      <c r="IP571" s="105"/>
      <c r="IQ571" s="105"/>
      <c r="IR571" s="105"/>
      <c r="IS571" s="105"/>
    </row>
    <row r="572" spans="1:253">
      <c r="A572" s="116"/>
      <c r="B572" s="105"/>
      <c r="C572" s="116"/>
      <c r="D572" s="116"/>
      <c r="E572" s="116"/>
      <c r="F572" s="116"/>
      <c r="G572" s="116"/>
      <c r="H572" s="116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05"/>
      <c r="BF572" s="105"/>
      <c r="BG572" s="105"/>
      <c r="BH572" s="105"/>
      <c r="BI572" s="105"/>
      <c r="BJ572" s="105"/>
      <c r="BK572" s="105"/>
      <c r="BL572" s="105"/>
      <c r="BM572" s="105"/>
      <c r="BN572" s="105"/>
      <c r="BO572" s="105"/>
      <c r="BP572" s="105"/>
      <c r="BQ572" s="105"/>
      <c r="BR572" s="105"/>
      <c r="BS572" s="105"/>
      <c r="BT572" s="105"/>
      <c r="BU572" s="105"/>
      <c r="BV572" s="105"/>
      <c r="BW572" s="105"/>
      <c r="BX572" s="105"/>
      <c r="BY572" s="105"/>
      <c r="BZ572" s="105"/>
      <c r="CA572" s="105"/>
      <c r="CB572" s="105"/>
      <c r="CC572" s="105"/>
      <c r="CD572" s="105"/>
      <c r="CE572" s="105"/>
      <c r="CF572" s="105"/>
      <c r="CG572" s="105"/>
      <c r="CH572" s="105"/>
      <c r="CI572" s="105"/>
      <c r="CJ572" s="105"/>
      <c r="CK572" s="105"/>
      <c r="CL572" s="105"/>
      <c r="CM572" s="105"/>
      <c r="CN572" s="105"/>
      <c r="CO572" s="105"/>
      <c r="CP572" s="105"/>
      <c r="CQ572" s="105"/>
      <c r="CR572" s="105"/>
      <c r="CS572" s="105"/>
      <c r="CT572" s="105"/>
      <c r="CU572" s="105"/>
      <c r="CV572" s="105"/>
      <c r="CW572" s="105"/>
      <c r="CX572" s="105"/>
      <c r="CY572" s="105"/>
      <c r="CZ572" s="105"/>
      <c r="DA572" s="105"/>
      <c r="DB572" s="105"/>
      <c r="DC572" s="105"/>
      <c r="DD572" s="105"/>
      <c r="DE572" s="105"/>
      <c r="DF572" s="105"/>
      <c r="DG572" s="105"/>
      <c r="DH572" s="105"/>
      <c r="DI572" s="105"/>
      <c r="DJ572" s="105"/>
      <c r="DK572" s="105"/>
      <c r="DL572" s="105"/>
      <c r="DM572" s="105"/>
      <c r="DN572" s="105"/>
      <c r="DO572" s="105"/>
      <c r="DP572" s="105"/>
      <c r="DQ572" s="105"/>
      <c r="DR572" s="105"/>
      <c r="DS572" s="105"/>
      <c r="DT572" s="105"/>
      <c r="DU572" s="105"/>
      <c r="DV572" s="105"/>
      <c r="DW572" s="105"/>
      <c r="DX572" s="105"/>
      <c r="DY572" s="105"/>
      <c r="DZ572" s="105"/>
      <c r="EA572" s="105"/>
      <c r="EB572" s="105"/>
      <c r="EC572" s="105"/>
      <c r="ED572" s="105"/>
      <c r="EE572" s="105"/>
      <c r="EF572" s="105"/>
      <c r="EG572" s="105"/>
      <c r="EH572" s="105"/>
      <c r="EI572" s="105"/>
      <c r="EJ572" s="105"/>
      <c r="EK572" s="105"/>
      <c r="EL572" s="105"/>
      <c r="EM572" s="105"/>
      <c r="EN572" s="105"/>
      <c r="EO572" s="105"/>
      <c r="EP572" s="105"/>
      <c r="EQ572" s="105"/>
      <c r="ER572" s="105"/>
      <c r="ES572" s="105"/>
      <c r="ET572" s="105"/>
      <c r="EU572" s="105"/>
      <c r="EV572" s="105"/>
      <c r="EW572" s="105"/>
      <c r="EX572" s="105"/>
      <c r="EY572" s="105"/>
      <c r="EZ572" s="105"/>
      <c r="FA572" s="105"/>
      <c r="FB572" s="105"/>
      <c r="FC572" s="105"/>
      <c r="FD572" s="105"/>
      <c r="FE572" s="105"/>
      <c r="FF572" s="105"/>
      <c r="FG572" s="105"/>
      <c r="FH572" s="105"/>
      <c r="FI572" s="105"/>
      <c r="FJ572" s="105"/>
      <c r="FK572" s="105"/>
      <c r="FL572" s="105"/>
      <c r="FM572" s="105"/>
      <c r="FN572" s="105"/>
      <c r="FO572" s="105"/>
      <c r="FP572" s="105"/>
      <c r="FQ572" s="105"/>
      <c r="FR572" s="105"/>
      <c r="FS572" s="105"/>
      <c r="FT572" s="105"/>
      <c r="FU572" s="105"/>
      <c r="FV572" s="105"/>
      <c r="FW572" s="105"/>
      <c r="FX572" s="105"/>
      <c r="FY572" s="105"/>
      <c r="FZ572" s="105"/>
      <c r="GA572" s="105"/>
      <c r="GB572" s="105"/>
      <c r="GC572" s="105"/>
      <c r="GD572" s="105"/>
      <c r="GE572" s="105"/>
      <c r="GF572" s="105"/>
      <c r="GG572" s="105"/>
      <c r="GH572" s="105"/>
      <c r="GI572" s="105"/>
      <c r="GJ572" s="105"/>
      <c r="GK572" s="105"/>
      <c r="GL572" s="105"/>
      <c r="GM572" s="105"/>
      <c r="GN572" s="105"/>
      <c r="GO572" s="105"/>
      <c r="GP572" s="105"/>
      <c r="GQ572" s="105"/>
      <c r="GR572" s="105"/>
      <c r="GS572" s="105"/>
      <c r="GT572" s="105"/>
      <c r="GU572" s="105"/>
      <c r="GV572" s="105"/>
      <c r="GW572" s="105"/>
      <c r="GX572" s="105"/>
      <c r="GY572" s="105"/>
      <c r="GZ572" s="105"/>
      <c r="HA572" s="105"/>
      <c r="HB572" s="105"/>
      <c r="HC572" s="105"/>
      <c r="HD572" s="105"/>
      <c r="HE572" s="105"/>
      <c r="HF572" s="105"/>
      <c r="HG572" s="105"/>
      <c r="HH572" s="105"/>
      <c r="HI572" s="105"/>
      <c r="HJ572" s="105"/>
      <c r="HK572" s="105"/>
      <c r="HL572" s="105"/>
      <c r="HM572" s="105"/>
      <c r="HN572" s="105"/>
      <c r="HO572" s="105"/>
      <c r="HP572" s="105"/>
      <c r="HQ572" s="105"/>
      <c r="HR572" s="105"/>
      <c r="HS572" s="105"/>
      <c r="HT572" s="105"/>
      <c r="HU572" s="105"/>
      <c r="HV572" s="105"/>
      <c r="HW572" s="105"/>
      <c r="HX572" s="105"/>
      <c r="HY572" s="105"/>
      <c r="HZ572" s="105"/>
      <c r="IA572" s="105"/>
      <c r="IB572" s="105"/>
      <c r="IC572" s="105"/>
      <c r="ID572" s="105"/>
      <c r="IE572" s="105"/>
      <c r="IF572" s="105"/>
      <c r="IG572" s="105"/>
      <c r="IH572" s="105"/>
      <c r="II572" s="105"/>
      <c r="IJ572" s="105"/>
      <c r="IK572" s="105"/>
      <c r="IL572" s="105"/>
      <c r="IM572" s="105"/>
      <c r="IN572" s="105"/>
      <c r="IO572" s="105"/>
      <c r="IP572" s="105"/>
      <c r="IQ572" s="105"/>
      <c r="IR572" s="105"/>
      <c r="IS572" s="105"/>
    </row>
    <row r="573" spans="1:253">
      <c r="A573" s="116"/>
      <c r="B573" s="105"/>
      <c r="C573" s="116"/>
      <c r="D573" s="116"/>
      <c r="E573" s="116"/>
      <c r="F573" s="116"/>
      <c r="G573" s="116"/>
      <c r="H573" s="116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  <c r="AU573" s="105"/>
      <c r="AV573" s="105"/>
      <c r="AW573" s="105"/>
      <c r="AX573" s="105"/>
      <c r="AY573" s="105"/>
      <c r="AZ573" s="105"/>
      <c r="BA573" s="105"/>
      <c r="BB573" s="105"/>
      <c r="BC573" s="105"/>
      <c r="BD573" s="105"/>
      <c r="BE573" s="105"/>
      <c r="BF573" s="105"/>
      <c r="BG573" s="105"/>
      <c r="BH573" s="105"/>
      <c r="BI573" s="105"/>
      <c r="BJ573" s="105"/>
      <c r="BK573" s="105"/>
      <c r="BL573" s="105"/>
      <c r="BM573" s="105"/>
      <c r="BN573" s="105"/>
      <c r="BO573" s="105"/>
      <c r="BP573" s="105"/>
      <c r="BQ573" s="105"/>
      <c r="BR573" s="105"/>
      <c r="BS573" s="105"/>
      <c r="BT573" s="105"/>
      <c r="BU573" s="105"/>
      <c r="BV573" s="105"/>
      <c r="BW573" s="105"/>
      <c r="BX573" s="105"/>
      <c r="BY573" s="105"/>
      <c r="BZ573" s="105"/>
      <c r="CA573" s="105"/>
      <c r="CB573" s="105"/>
      <c r="CC573" s="105"/>
      <c r="CD573" s="105"/>
      <c r="CE573" s="105"/>
      <c r="CF573" s="105"/>
      <c r="CG573" s="105"/>
      <c r="CH573" s="105"/>
      <c r="CI573" s="105"/>
      <c r="CJ573" s="105"/>
      <c r="CK573" s="105"/>
      <c r="CL573" s="105"/>
      <c r="CM573" s="105"/>
      <c r="CN573" s="105"/>
      <c r="CO573" s="105"/>
      <c r="CP573" s="105"/>
      <c r="CQ573" s="105"/>
      <c r="CR573" s="105"/>
      <c r="CS573" s="105"/>
      <c r="CT573" s="105"/>
      <c r="CU573" s="105"/>
      <c r="CV573" s="105"/>
      <c r="CW573" s="105"/>
      <c r="CX573" s="105"/>
      <c r="CY573" s="105"/>
      <c r="CZ573" s="105"/>
      <c r="DA573" s="105"/>
      <c r="DB573" s="105"/>
      <c r="DC573" s="105"/>
      <c r="DD573" s="105"/>
      <c r="DE573" s="105"/>
      <c r="DF573" s="105"/>
      <c r="DG573" s="105"/>
      <c r="DH573" s="105"/>
      <c r="DI573" s="105"/>
      <c r="DJ573" s="105"/>
      <c r="DK573" s="105"/>
      <c r="DL573" s="105"/>
      <c r="DM573" s="105"/>
      <c r="DN573" s="105"/>
      <c r="DO573" s="105"/>
      <c r="DP573" s="105"/>
      <c r="DQ573" s="105"/>
      <c r="DR573" s="105"/>
      <c r="DS573" s="105"/>
      <c r="DT573" s="105"/>
      <c r="DU573" s="105"/>
      <c r="DV573" s="105"/>
      <c r="DW573" s="105"/>
      <c r="DX573" s="105"/>
      <c r="DY573" s="105"/>
      <c r="DZ573" s="105"/>
      <c r="EA573" s="105"/>
      <c r="EB573" s="105"/>
      <c r="EC573" s="105"/>
      <c r="ED573" s="105"/>
      <c r="EE573" s="105"/>
      <c r="EF573" s="105"/>
      <c r="EG573" s="105"/>
      <c r="EH573" s="105"/>
      <c r="EI573" s="105"/>
      <c r="EJ573" s="105"/>
      <c r="EK573" s="105"/>
      <c r="EL573" s="105"/>
      <c r="EM573" s="105"/>
      <c r="EN573" s="105"/>
      <c r="EO573" s="105"/>
      <c r="EP573" s="105"/>
      <c r="EQ573" s="105"/>
      <c r="ER573" s="105"/>
      <c r="ES573" s="105"/>
      <c r="ET573" s="105"/>
      <c r="EU573" s="105"/>
      <c r="EV573" s="105"/>
      <c r="EW573" s="105"/>
      <c r="EX573" s="105"/>
      <c r="EY573" s="105"/>
      <c r="EZ573" s="105"/>
      <c r="FA573" s="105"/>
      <c r="FB573" s="105"/>
      <c r="FC573" s="105"/>
      <c r="FD573" s="105"/>
      <c r="FE573" s="105"/>
      <c r="FF573" s="105"/>
      <c r="FG573" s="105"/>
      <c r="FH573" s="105"/>
      <c r="FI573" s="105"/>
      <c r="FJ573" s="105"/>
      <c r="FK573" s="105"/>
      <c r="FL573" s="105"/>
      <c r="FM573" s="105"/>
      <c r="FN573" s="105"/>
      <c r="FO573" s="105"/>
      <c r="FP573" s="105"/>
      <c r="FQ573" s="105"/>
      <c r="FR573" s="105"/>
      <c r="FS573" s="105"/>
      <c r="FT573" s="105"/>
      <c r="FU573" s="105"/>
      <c r="FV573" s="105"/>
      <c r="FW573" s="105"/>
      <c r="FX573" s="105"/>
      <c r="FY573" s="105"/>
      <c r="FZ573" s="105"/>
      <c r="GA573" s="105"/>
      <c r="GB573" s="105"/>
      <c r="GC573" s="105"/>
      <c r="GD573" s="105"/>
      <c r="GE573" s="105"/>
      <c r="GF573" s="105"/>
      <c r="GG573" s="105"/>
      <c r="GH573" s="105"/>
      <c r="GI573" s="105"/>
      <c r="GJ573" s="105"/>
      <c r="GK573" s="105"/>
      <c r="GL573" s="105"/>
      <c r="GM573" s="105"/>
      <c r="GN573" s="105"/>
      <c r="GO573" s="105"/>
      <c r="GP573" s="105"/>
      <c r="GQ573" s="105"/>
      <c r="GR573" s="105"/>
      <c r="GS573" s="105"/>
      <c r="GT573" s="105"/>
      <c r="GU573" s="105"/>
      <c r="GV573" s="105"/>
      <c r="GW573" s="105"/>
      <c r="GX573" s="105"/>
      <c r="GY573" s="105"/>
      <c r="GZ573" s="105"/>
      <c r="HA573" s="105"/>
      <c r="HB573" s="105"/>
      <c r="HC573" s="105"/>
      <c r="HD573" s="105"/>
      <c r="HE573" s="105"/>
      <c r="HF573" s="105"/>
      <c r="HG573" s="105"/>
      <c r="HH573" s="105"/>
      <c r="HI573" s="105"/>
      <c r="HJ573" s="105"/>
      <c r="HK573" s="105"/>
      <c r="HL573" s="105"/>
      <c r="HM573" s="105"/>
      <c r="HN573" s="105"/>
      <c r="HO573" s="105"/>
      <c r="HP573" s="105"/>
      <c r="HQ573" s="105"/>
      <c r="HR573" s="105"/>
      <c r="HS573" s="105"/>
      <c r="HT573" s="105"/>
      <c r="HU573" s="105"/>
      <c r="HV573" s="105"/>
      <c r="HW573" s="105"/>
      <c r="HX573" s="105"/>
      <c r="HY573" s="105"/>
      <c r="HZ573" s="105"/>
      <c r="IA573" s="105"/>
      <c r="IB573" s="105"/>
      <c r="IC573" s="105"/>
      <c r="ID573" s="105"/>
      <c r="IE573" s="105"/>
      <c r="IF573" s="105"/>
      <c r="IG573" s="105"/>
      <c r="IH573" s="105"/>
      <c r="II573" s="105"/>
      <c r="IJ573" s="105"/>
      <c r="IK573" s="105"/>
      <c r="IL573" s="105"/>
      <c r="IM573" s="105"/>
      <c r="IN573" s="105"/>
      <c r="IO573" s="105"/>
      <c r="IP573" s="105"/>
      <c r="IQ573" s="105"/>
      <c r="IR573" s="105"/>
      <c r="IS573" s="105"/>
    </row>
    <row r="574" spans="1:253">
      <c r="A574" s="116"/>
      <c r="B574" s="105"/>
      <c r="C574" s="116"/>
      <c r="D574" s="116"/>
      <c r="E574" s="116"/>
      <c r="F574" s="116"/>
      <c r="G574" s="116"/>
      <c r="H574" s="116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05"/>
      <c r="BF574" s="105"/>
      <c r="BG574" s="105"/>
      <c r="BH574" s="105"/>
      <c r="BI574" s="105"/>
      <c r="BJ574" s="105"/>
      <c r="BK574" s="105"/>
      <c r="BL574" s="105"/>
      <c r="BM574" s="105"/>
      <c r="BN574" s="105"/>
      <c r="BO574" s="105"/>
      <c r="BP574" s="105"/>
      <c r="BQ574" s="105"/>
      <c r="BR574" s="105"/>
      <c r="BS574" s="105"/>
      <c r="BT574" s="105"/>
      <c r="BU574" s="105"/>
      <c r="BV574" s="105"/>
      <c r="BW574" s="105"/>
      <c r="BX574" s="105"/>
      <c r="BY574" s="105"/>
      <c r="BZ574" s="105"/>
      <c r="CA574" s="105"/>
      <c r="CB574" s="105"/>
      <c r="CC574" s="105"/>
      <c r="CD574" s="105"/>
      <c r="CE574" s="105"/>
      <c r="CF574" s="105"/>
      <c r="CG574" s="105"/>
      <c r="CH574" s="105"/>
      <c r="CI574" s="105"/>
      <c r="CJ574" s="105"/>
      <c r="CK574" s="105"/>
      <c r="CL574" s="105"/>
      <c r="CM574" s="105"/>
      <c r="CN574" s="105"/>
      <c r="CO574" s="105"/>
      <c r="CP574" s="105"/>
      <c r="CQ574" s="105"/>
      <c r="CR574" s="105"/>
      <c r="CS574" s="105"/>
      <c r="CT574" s="105"/>
      <c r="CU574" s="105"/>
      <c r="CV574" s="105"/>
      <c r="CW574" s="105"/>
      <c r="CX574" s="105"/>
      <c r="CY574" s="105"/>
      <c r="CZ574" s="105"/>
      <c r="DA574" s="105"/>
      <c r="DB574" s="105"/>
      <c r="DC574" s="105"/>
      <c r="DD574" s="105"/>
      <c r="DE574" s="105"/>
      <c r="DF574" s="105"/>
      <c r="DG574" s="105"/>
      <c r="DH574" s="105"/>
      <c r="DI574" s="105"/>
      <c r="DJ574" s="105"/>
      <c r="DK574" s="105"/>
      <c r="DL574" s="105"/>
      <c r="DM574" s="105"/>
      <c r="DN574" s="105"/>
      <c r="DO574" s="105"/>
      <c r="DP574" s="105"/>
      <c r="DQ574" s="105"/>
      <c r="DR574" s="105"/>
      <c r="DS574" s="105"/>
      <c r="DT574" s="105"/>
      <c r="DU574" s="105"/>
      <c r="DV574" s="105"/>
      <c r="DW574" s="105"/>
      <c r="DX574" s="105"/>
      <c r="DY574" s="105"/>
      <c r="DZ574" s="105"/>
      <c r="EA574" s="105"/>
      <c r="EB574" s="105"/>
      <c r="EC574" s="105"/>
      <c r="ED574" s="105"/>
      <c r="EE574" s="105"/>
      <c r="EF574" s="105"/>
      <c r="EG574" s="105"/>
      <c r="EH574" s="105"/>
      <c r="EI574" s="105"/>
      <c r="EJ574" s="105"/>
      <c r="EK574" s="105"/>
      <c r="EL574" s="105"/>
      <c r="EM574" s="105"/>
      <c r="EN574" s="105"/>
      <c r="EO574" s="105"/>
      <c r="EP574" s="105"/>
      <c r="EQ574" s="105"/>
      <c r="ER574" s="105"/>
      <c r="ES574" s="105"/>
      <c r="ET574" s="105"/>
      <c r="EU574" s="105"/>
      <c r="EV574" s="105"/>
      <c r="EW574" s="105"/>
      <c r="EX574" s="105"/>
      <c r="EY574" s="105"/>
      <c r="EZ574" s="105"/>
      <c r="FA574" s="105"/>
      <c r="FB574" s="105"/>
      <c r="FC574" s="105"/>
      <c r="FD574" s="105"/>
      <c r="FE574" s="105"/>
      <c r="FF574" s="105"/>
      <c r="FG574" s="105"/>
      <c r="FH574" s="105"/>
      <c r="FI574" s="105"/>
      <c r="FJ574" s="105"/>
      <c r="FK574" s="105"/>
      <c r="FL574" s="105"/>
      <c r="FM574" s="105"/>
      <c r="FN574" s="105"/>
      <c r="FO574" s="105"/>
      <c r="FP574" s="105"/>
      <c r="FQ574" s="105"/>
      <c r="FR574" s="105"/>
      <c r="FS574" s="105"/>
      <c r="FT574" s="105"/>
      <c r="FU574" s="105"/>
      <c r="FV574" s="105"/>
      <c r="FW574" s="105"/>
      <c r="FX574" s="105"/>
      <c r="FY574" s="105"/>
      <c r="FZ574" s="105"/>
      <c r="GA574" s="105"/>
      <c r="GB574" s="105"/>
      <c r="GC574" s="105"/>
      <c r="GD574" s="105"/>
      <c r="GE574" s="105"/>
      <c r="GF574" s="105"/>
      <c r="GG574" s="105"/>
      <c r="GH574" s="105"/>
      <c r="GI574" s="105"/>
      <c r="GJ574" s="105"/>
      <c r="GK574" s="105"/>
      <c r="GL574" s="105"/>
      <c r="GM574" s="105"/>
      <c r="GN574" s="105"/>
      <c r="GO574" s="105"/>
      <c r="GP574" s="105"/>
      <c r="GQ574" s="105"/>
      <c r="GR574" s="105"/>
      <c r="GS574" s="105"/>
      <c r="GT574" s="105"/>
      <c r="GU574" s="105"/>
      <c r="GV574" s="105"/>
      <c r="GW574" s="105"/>
      <c r="GX574" s="105"/>
      <c r="GY574" s="105"/>
      <c r="GZ574" s="105"/>
      <c r="HA574" s="105"/>
      <c r="HB574" s="105"/>
      <c r="HC574" s="105"/>
      <c r="HD574" s="105"/>
      <c r="HE574" s="105"/>
      <c r="HF574" s="105"/>
      <c r="HG574" s="105"/>
      <c r="HH574" s="105"/>
      <c r="HI574" s="105"/>
      <c r="HJ574" s="105"/>
      <c r="HK574" s="105"/>
      <c r="HL574" s="105"/>
      <c r="HM574" s="105"/>
      <c r="HN574" s="105"/>
      <c r="HO574" s="105"/>
      <c r="HP574" s="105"/>
      <c r="HQ574" s="105"/>
      <c r="HR574" s="105"/>
      <c r="HS574" s="105"/>
      <c r="HT574" s="105"/>
      <c r="HU574" s="105"/>
      <c r="HV574" s="105"/>
      <c r="HW574" s="105"/>
      <c r="HX574" s="105"/>
      <c r="HY574" s="105"/>
      <c r="HZ574" s="105"/>
      <c r="IA574" s="105"/>
      <c r="IB574" s="105"/>
      <c r="IC574" s="105"/>
      <c r="ID574" s="105"/>
      <c r="IE574" s="105"/>
      <c r="IF574" s="105"/>
      <c r="IG574" s="105"/>
      <c r="IH574" s="105"/>
      <c r="II574" s="105"/>
      <c r="IJ574" s="105"/>
      <c r="IK574" s="105"/>
      <c r="IL574" s="105"/>
      <c r="IM574" s="105"/>
      <c r="IN574" s="105"/>
      <c r="IO574" s="105"/>
      <c r="IP574" s="105"/>
      <c r="IQ574" s="105"/>
      <c r="IR574" s="105"/>
      <c r="IS574" s="105"/>
    </row>
    <row r="575" spans="1:253">
      <c r="A575" s="116"/>
      <c r="B575" s="105"/>
      <c r="C575" s="116"/>
      <c r="D575" s="116"/>
      <c r="E575" s="116"/>
      <c r="F575" s="116"/>
      <c r="G575" s="116"/>
      <c r="H575" s="116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  <c r="AU575" s="105"/>
      <c r="AV575" s="105"/>
      <c r="AW575" s="105"/>
      <c r="AX575" s="105"/>
      <c r="AY575" s="105"/>
      <c r="AZ575" s="105"/>
      <c r="BA575" s="105"/>
      <c r="BB575" s="105"/>
      <c r="BC575" s="105"/>
      <c r="BD575" s="105"/>
      <c r="BE575" s="105"/>
      <c r="BF575" s="105"/>
      <c r="BG575" s="105"/>
      <c r="BH575" s="105"/>
      <c r="BI575" s="105"/>
      <c r="BJ575" s="105"/>
      <c r="BK575" s="105"/>
      <c r="BL575" s="105"/>
      <c r="BM575" s="105"/>
      <c r="BN575" s="105"/>
      <c r="BO575" s="105"/>
      <c r="BP575" s="105"/>
      <c r="BQ575" s="105"/>
      <c r="BR575" s="105"/>
      <c r="BS575" s="105"/>
      <c r="BT575" s="105"/>
      <c r="BU575" s="105"/>
      <c r="BV575" s="105"/>
      <c r="BW575" s="105"/>
      <c r="BX575" s="105"/>
      <c r="BY575" s="105"/>
      <c r="BZ575" s="105"/>
      <c r="CA575" s="105"/>
      <c r="CB575" s="105"/>
      <c r="CC575" s="105"/>
      <c r="CD575" s="105"/>
      <c r="CE575" s="105"/>
      <c r="CF575" s="105"/>
      <c r="CG575" s="105"/>
      <c r="CH575" s="105"/>
      <c r="CI575" s="105"/>
      <c r="CJ575" s="105"/>
      <c r="CK575" s="105"/>
      <c r="CL575" s="105"/>
      <c r="CM575" s="105"/>
      <c r="CN575" s="105"/>
      <c r="CO575" s="105"/>
      <c r="CP575" s="105"/>
      <c r="CQ575" s="105"/>
      <c r="CR575" s="105"/>
      <c r="CS575" s="105"/>
      <c r="CT575" s="105"/>
      <c r="CU575" s="105"/>
      <c r="CV575" s="105"/>
      <c r="CW575" s="105"/>
      <c r="CX575" s="105"/>
      <c r="CY575" s="105"/>
      <c r="CZ575" s="105"/>
      <c r="DA575" s="105"/>
      <c r="DB575" s="105"/>
      <c r="DC575" s="105"/>
      <c r="DD575" s="105"/>
      <c r="DE575" s="105"/>
      <c r="DF575" s="105"/>
      <c r="DG575" s="105"/>
      <c r="DH575" s="105"/>
      <c r="DI575" s="105"/>
      <c r="DJ575" s="105"/>
      <c r="DK575" s="105"/>
      <c r="DL575" s="105"/>
      <c r="DM575" s="105"/>
      <c r="DN575" s="105"/>
      <c r="DO575" s="105"/>
      <c r="DP575" s="105"/>
      <c r="DQ575" s="105"/>
      <c r="DR575" s="105"/>
      <c r="DS575" s="105"/>
      <c r="DT575" s="105"/>
      <c r="DU575" s="105"/>
      <c r="DV575" s="105"/>
      <c r="DW575" s="105"/>
      <c r="DX575" s="105"/>
      <c r="DY575" s="105"/>
      <c r="DZ575" s="105"/>
      <c r="EA575" s="105"/>
      <c r="EB575" s="105"/>
      <c r="EC575" s="105"/>
      <c r="ED575" s="105"/>
      <c r="EE575" s="105"/>
      <c r="EF575" s="105"/>
      <c r="EG575" s="105"/>
      <c r="EH575" s="105"/>
      <c r="EI575" s="105"/>
      <c r="EJ575" s="105"/>
      <c r="EK575" s="105"/>
      <c r="EL575" s="105"/>
      <c r="EM575" s="105"/>
      <c r="EN575" s="105"/>
      <c r="EO575" s="105"/>
      <c r="EP575" s="105"/>
      <c r="EQ575" s="105"/>
      <c r="ER575" s="105"/>
      <c r="ES575" s="105"/>
      <c r="ET575" s="105"/>
      <c r="EU575" s="105"/>
      <c r="EV575" s="105"/>
      <c r="EW575" s="105"/>
      <c r="EX575" s="105"/>
      <c r="EY575" s="105"/>
      <c r="EZ575" s="105"/>
      <c r="FA575" s="105"/>
      <c r="FB575" s="105"/>
      <c r="FC575" s="105"/>
      <c r="FD575" s="105"/>
      <c r="FE575" s="105"/>
      <c r="FF575" s="105"/>
      <c r="FG575" s="105"/>
      <c r="FH575" s="105"/>
      <c r="FI575" s="105"/>
      <c r="FJ575" s="105"/>
      <c r="FK575" s="105"/>
      <c r="FL575" s="105"/>
      <c r="FM575" s="105"/>
      <c r="FN575" s="105"/>
      <c r="FO575" s="105"/>
      <c r="FP575" s="105"/>
      <c r="FQ575" s="105"/>
      <c r="FR575" s="105"/>
      <c r="FS575" s="105"/>
      <c r="FT575" s="105"/>
      <c r="FU575" s="105"/>
      <c r="FV575" s="105"/>
      <c r="FW575" s="105"/>
      <c r="FX575" s="105"/>
      <c r="FY575" s="105"/>
      <c r="FZ575" s="105"/>
      <c r="GA575" s="105"/>
      <c r="GB575" s="105"/>
      <c r="GC575" s="105"/>
      <c r="GD575" s="105"/>
      <c r="GE575" s="105"/>
      <c r="GF575" s="105"/>
      <c r="GG575" s="105"/>
      <c r="GH575" s="105"/>
      <c r="GI575" s="105"/>
      <c r="GJ575" s="105"/>
      <c r="GK575" s="105"/>
      <c r="GL575" s="105"/>
      <c r="GM575" s="105"/>
      <c r="GN575" s="105"/>
      <c r="GO575" s="105"/>
      <c r="GP575" s="105"/>
      <c r="GQ575" s="105"/>
      <c r="GR575" s="105"/>
      <c r="GS575" s="105"/>
      <c r="GT575" s="105"/>
      <c r="GU575" s="105"/>
      <c r="GV575" s="105"/>
      <c r="GW575" s="105"/>
      <c r="GX575" s="105"/>
      <c r="GY575" s="105"/>
      <c r="GZ575" s="105"/>
      <c r="HA575" s="105"/>
      <c r="HB575" s="105"/>
      <c r="HC575" s="105"/>
      <c r="HD575" s="105"/>
      <c r="HE575" s="105"/>
      <c r="HF575" s="105"/>
      <c r="HG575" s="105"/>
      <c r="HH575" s="105"/>
      <c r="HI575" s="105"/>
      <c r="HJ575" s="105"/>
      <c r="HK575" s="105"/>
      <c r="HL575" s="105"/>
      <c r="HM575" s="105"/>
      <c r="HN575" s="105"/>
      <c r="HO575" s="105"/>
      <c r="HP575" s="105"/>
      <c r="HQ575" s="105"/>
      <c r="HR575" s="105"/>
      <c r="HS575" s="105"/>
      <c r="HT575" s="105"/>
      <c r="HU575" s="105"/>
      <c r="HV575" s="105"/>
      <c r="HW575" s="105"/>
      <c r="HX575" s="105"/>
      <c r="HY575" s="105"/>
      <c r="HZ575" s="105"/>
      <c r="IA575" s="105"/>
      <c r="IB575" s="105"/>
      <c r="IC575" s="105"/>
      <c r="ID575" s="105"/>
      <c r="IE575" s="105"/>
      <c r="IF575" s="105"/>
      <c r="IG575" s="105"/>
      <c r="IH575" s="105"/>
      <c r="II575" s="105"/>
      <c r="IJ575" s="105"/>
      <c r="IK575" s="105"/>
      <c r="IL575" s="105"/>
      <c r="IM575" s="105"/>
      <c r="IN575" s="105"/>
      <c r="IO575" s="105"/>
      <c r="IP575" s="105"/>
      <c r="IQ575" s="105"/>
      <c r="IR575" s="105"/>
      <c r="IS575" s="105"/>
    </row>
    <row r="576" spans="1:253">
      <c r="A576" s="116"/>
      <c r="B576" s="105"/>
      <c r="C576" s="116"/>
      <c r="D576" s="116"/>
      <c r="E576" s="116"/>
      <c r="F576" s="116"/>
      <c r="G576" s="116"/>
      <c r="H576" s="116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05"/>
      <c r="BF576" s="105"/>
      <c r="BG576" s="105"/>
      <c r="BH576" s="105"/>
      <c r="BI576" s="105"/>
      <c r="BJ576" s="105"/>
      <c r="BK576" s="105"/>
      <c r="BL576" s="105"/>
      <c r="BM576" s="105"/>
      <c r="BN576" s="105"/>
      <c r="BO576" s="105"/>
      <c r="BP576" s="105"/>
      <c r="BQ576" s="105"/>
      <c r="BR576" s="105"/>
      <c r="BS576" s="105"/>
      <c r="BT576" s="105"/>
      <c r="BU576" s="105"/>
      <c r="BV576" s="105"/>
      <c r="BW576" s="105"/>
      <c r="BX576" s="105"/>
      <c r="BY576" s="105"/>
      <c r="BZ576" s="105"/>
      <c r="CA576" s="105"/>
      <c r="CB576" s="105"/>
      <c r="CC576" s="105"/>
      <c r="CD576" s="105"/>
      <c r="CE576" s="105"/>
      <c r="CF576" s="105"/>
      <c r="CG576" s="105"/>
      <c r="CH576" s="105"/>
      <c r="CI576" s="105"/>
      <c r="CJ576" s="105"/>
      <c r="CK576" s="105"/>
      <c r="CL576" s="105"/>
      <c r="CM576" s="105"/>
      <c r="CN576" s="105"/>
      <c r="CO576" s="105"/>
      <c r="CP576" s="105"/>
      <c r="CQ576" s="105"/>
      <c r="CR576" s="105"/>
      <c r="CS576" s="105"/>
      <c r="CT576" s="105"/>
      <c r="CU576" s="105"/>
      <c r="CV576" s="105"/>
      <c r="CW576" s="105"/>
      <c r="CX576" s="105"/>
      <c r="CY576" s="105"/>
      <c r="CZ576" s="105"/>
      <c r="DA576" s="105"/>
      <c r="DB576" s="105"/>
      <c r="DC576" s="105"/>
      <c r="DD576" s="105"/>
      <c r="DE576" s="105"/>
      <c r="DF576" s="105"/>
      <c r="DG576" s="105"/>
      <c r="DH576" s="105"/>
      <c r="DI576" s="105"/>
      <c r="DJ576" s="105"/>
      <c r="DK576" s="105"/>
      <c r="DL576" s="105"/>
      <c r="DM576" s="105"/>
      <c r="DN576" s="105"/>
      <c r="DO576" s="105"/>
      <c r="DP576" s="105"/>
      <c r="DQ576" s="105"/>
      <c r="DR576" s="105"/>
      <c r="DS576" s="105"/>
      <c r="DT576" s="105"/>
      <c r="DU576" s="105"/>
      <c r="DV576" s="105"/>
      <c r="DW576" s="105"/>
      <c r="DX576" s="105"/>
      <c r="DY576" s="105"/>
      <c r="DZ576" s="105"/>
      <c r="EA576" s="105"/>
      <c r="EB576" s="105"/>
      <c r="EC576" s="105"/>
      <c r="ED576" s="105"/>
      <c r="EE576" s="105"/>
      <c r="EF576" s="105"/>
      <c r="EG576" s="105"/>
      <c r="EH576" s="105"/>
      <c r="EI576" s="105"/>
      <c r="EJ576" s="105"/>
      <c r="EK576" s="105"/>
      <c r="EL576" s="105"/>
      <c r="EM576" s="105"/>
      <c r="EN576" s="105"/>
      <c r="EO576" s="105"/>
      <c r="EP576" s="105"/>
      <c r="EQ576" s="105"/>
      <c r="ER576" s="105"/>
      <c r="ES576" s="105"/>
      <c r="ET576" s="105"/>
      <c r="EU576" s="105"/>
      <c r="EV576" s="105"/>
      <c r="EW576" s="105"/>
      <c r="EX576" s="105"/>
      <c r="EY576" s="105"/>
      <c r="EZ576" s="105"/>
      <c r="FA576" s="105"/>
      <c r="FB576" s="105"/>
      <c r="FC576" s="105"/>
      <c r="FD576" s="105"/>
      <c r="FE576" s="105"/>
      <c r="FF576" s="105"/>
      <c r="FG576" s="105"/>
      <c r="FH576" s="105"/>
      <c r="FI576" s="105"/>
      <c r="FJ576" s="105"/>
      <c r="FK576" s="105"/>
      <c r="FL576" s="105"/>
      <c r="FM576" s="105"/>
      <c r="FN576" s="105"/>
      <c r="FO576" s="105"/>
      <c r="FP576" s="105"/>
      <c r="FQ576" s="105"/>
      <c r="FR576" s="105"/>
      <c r="FS576" s="105"/>
      <c r="FT576" s="105"/>
      <c r="FU576" s="105"/>
      <c r="FV576" s="105"/>
      <c r="FW576" s="105"/>
      <c r="FX576" s="105"/>
      <c r="FY576" s="105"/>
      <c r="FZ576" s="105"/>
      <c r="GA576" s="105"/>
      <c r="GB576" s="105"/>
      <c r="GC576" s="105"/>
      <c r="GD576" s="105"/>
      <c r="GE576" s="105"/>
      <c r="GF576" s="105"/>
      <c r="GG576" s="105"/>
      <c r="GH576" s="105"/>
      <c r="GI576" s="105"/>
      <c r="GJ576" s="105"/>
      <c r="GK576" s="105"/>
      <c r="GL576" s="105"/>
      <c r="GM576" s="105"/>
      <c r="GN576" s="105"/>
      <c r="GO576" s="105"/>
      <c r="GP576" s="105"/>
      <c r="GQ576" s="105"/>
      <c r="GR576" s="105"/>
      <c r="GS576" s="105"/>
      <c r="GT576" s="105"/>
      <c r="GU576" s="105"/>
      <c r="GV576" s="105"/>
      <c r="GW576" s="105"/>
      <c r="GX576" s="105"/>
      <c r="GY576" s="105"/>
      <c r="GZ576" s="105"/>
      <c r="HA576" s="105"/>
      <c r="HB576" s="105"/>
      <c r="HC576" s="105"/>
      <c r="HD576" s="105"/>
      <c r="HE576" s="105"/>
      <c r="HF576" s="105"/>
      <c r="HG576" s="105"/>
      <c r="HH576" s="105"/>
      <c r="HI576" s="105"/>
      <c r="HJ576" s="105"/>
      <c r="HK576" s="105"/>
      <c r="HL576" s="105"/>
      <c r="HM576" s="105"/>
      <c r="HN576" s="105"/>
      <c r="HO576" s="105"/>
      <c r="HP576" s="105"/>
      <c r="HQ576" s="105"/>
      <c r="HR576" s="105"/>
      <c r="HS576" s="105"/>
      <c r="HT576" s="105"/>
      <c r="HU576" s="105"/>
      <c r="HV576" s="105"/>
      <c r="HW576" s="105"/>
      <c r="HX576" s="105"/>
      <c r="HY576" s="105"/>
      <c r="HZ576" s="105"/>
      <c r="IA576" s="105"/>
      <c r="IB576" s="105"/>
      <c r="IC576" s="105"/>
      <c r="ID576" s="105"/>
      <c r="IE576" s="105"/>
      <c r="IF576" s="105"/>
      <c r="IG576" s="105"/>
      <c r="IH576" s="105"/>
      <c r="II576" s="105"/>
      <c r="IJ576" s="105"/>
      <c r="IK576" s="105"/>
      <c r="IL576" s="105"/>
      <c r="IM576" s="105"/>
      <c r="IN576" s="105"/>
      <c r="IO576" s="105"/>
      <c r="IP576" s="105"/>
      <c r="IQ576" s="105"/>
      <c r="IR576" s="105"/>
      <c r="IS576" s="105"/>
    </row>
    <row r="577" spans="1:253">
      <c r="A577" s="116"/>
      <c r="B577" s="105"/>
      <c r="C577" s="116"/>
      <c r="D577" s="116"/>
      <c r="E577" s="116"/>
      <c r="F577" s="116"/>
      <c r="G577" s="116"/>
      <c r="H577" s="116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  <c r="BA577" s="105"/>
      <c r="BB577" s="105"/>
      <c r="BC577" s="105"/>
      <c r="BD577" s="105"/>
      <c r="BE577" s="105"/>
      <c r="BF577" s="105"/>
      <c r="BG577" s="105"/>
      <c r="BH577" s="105"/>
      <c r="BI577" s="105"/>
      <c r="BJ577" s="105"/>
      <c r="BK577" s="105"/>
      <c r="BL577" s="105"/>
      <c r="BM577" s="105"/>
      <c r="BN577" s="105"/>
      <c r="BO577" s="105"/>
      <c r="BP577" s="105"/>
      <c r="BQ577" s="105"/>
      <c r="BR577" s="105"/>
      <c r="BS577" s="105"/>
      <c r="BT577" s="105"/>
      <c r="BU577" s="105"/>
      <c r="BV577" s="105"/>
      <c r="BW577" s="105"/>
      <c r="BX577" s="105"/>
      <c r="BY577" s="105"/>
      <c r="BZ577" s="105"/>
      <c r="CA577" s="105"/>
      <c r="CB577" s="105"/>
      <c r="CC577" s="105"/>
      <c r="CD577" s="105"/>
      <c r="CE577" s="105"/>
      <c r="CF577" s="105"/>
      <c r="CG577" s="105"/>
      <c r="CH577" s="105"/>
      <c r="CI577" s="105"/>
      <c r="CJ577" s="105"/>
      <c r="CK577" s="105"/>
      <c r="CL577" s="105"/>
      <c r="CM577" s="105"/>
      <c r="CN577" s="105"/>
      <c r="CO577" s="105"/>
      <c r="CP577" s="105"/>
      <c r="CQ577" s="105"/>
      <c r="CR577" s="105"/>
      <c r="CS577" s="105"/>
      <c r="CT577" s="105"/>
      <c r="CU577" s="105"/>
      <c r="CV577" s="105"/>
      <c r="CW577" s="105"/>
      <c r="CX577" s="105"/>
      <c r="CY577" s="105"/>
      <c r="CZ577" s="105"/>
      <c r="DA577" s="105"/>
      <c r="DB577" s="105"/>
      <c r="DC577" s="105"/>
      <c r="DD577" s="105"/>
      <c r="DE577" s="105"/>
      <c r="DF577" s="105"/>
      <c r="DG577" s="105"/>
      <c r="DH577" s="105"/>
      <c r="DI577" s="105"/>
      <c r="DJ577" s="105"/>
      <c r="DK577" s="105"/>
      <c r="DL577" s="105"/>
      <c r="DM577" s="105"/>
      <c r="DN577" s="105"/>
      <c r="DO577" s="105"/>
      <c r="DP577" s="105"/>
      <c r="DQ577" s="105"/>
      <c r="DR577" s="105"/>
      <c r="DS577" s="105"/>
      <c r="DT577" s="105"/>
      <c r="DU577" s="105"/>
      <c r="DV577" s="105"/>
      <c r="DW577" s="105"/>
      <c r="DX577" s="105"/>
      <c r="DY577" s="105"/>
      <c r="DZ577" s="105"/>
      <c r="EA577" s="105"/>
      <c r="EB577" s="105"/>
      <c r="EC577" s="105"/>
      <c r="ED577" s="105"/>
      <c r="EE577" s="105"/>
      <c r="EF577" s="105"/>
      <c r="EG577" s="105"/>
      <c r="EH577" s="105"/>
      <c r="EI577" s="105"/>
      <c r="EJ577" s="105"/>
      <c r="EK577" s="105"/>
      <c r="EL577" s="105"/>
      <c r="EM577" s="105"/>
      <c r="EN577" s="105"/>
      <c r="EO577" s="105"/>
      <c r="EP577" s="105"/>
      <c r="EQ577" s="105"/>
      <c r="ER577" s="105"/>
      <c r="ES577" s="105"/>
      <c r="ET577" s="105"/>
      <c r="EU577" s="105"/>
      <c r="EV577" s="105"/>
      <c r="EW577" s="105"/>
      <c r="EX577" s="105"/>
      <c r="EY577" s="105"/>
      <c r="EZ577" s="105"/>
      <c r="FA577" s="105"/>
      <c r="FB577" s="105"/>
      <c r="FC577" s="105"/>
      <c r="FD577" s="105"/>
      <c r="FE577" s="105"/>
      <c r="FF577" s="105"/>
      <c r="FG577" s="105"/>
      <c r="FH577" s="105"/>
      <c r="FI577" s="105"/>
      <c r="FJ577" s="105"/>
      <c r="FK577" s="105"/>
      <c r="FL577" s="105"/>
      <c r="FM577" s="105"/>
      <c r="FN577" s="105"/>
      <c r="FO577" s="105"/>
      <c r="FP577" s="105"/>
      <c r="FQ577" s="105"/>
      <c r="FR577" s="105"/>
      <c r="FS577" s="105"/>
      <c r="FT577" s="105"/>
      <c r="FU577" s="105"/>
      <c r="FV577" s="105"/>
      <c r="FW577" s="105"/>
      <c r="FX577" s="105"/>
      <c r="FY577" s="105"/>
      <c r="FZ577" s="105"/>
      <c r="GA577" s="105"/>
      <c r="GB577" s="105"/>
      <c r="GC577" s="105"/>
      <c r="GD577" s="105"/>
      <c r="GE577" s="105"/>
      <c r="GF577" s="105"/>
      <c r="GG577" s="105"/>
      <c r="GH577" s="105"/>
      <c r="GI577" s="105"/>
      <c r="GJ577" s="105"/>
      <c r="GK577" s="105"/>
      <c r="GL577" s="105"/>
      <c r="GM577" s="105"/>
      <c r="GN577" s="105"/>
      <c r="GO577" s="105"/>
      <c r="GP577" s="105"/>
      <c r="GQ577" s="105"/>
      <c r="GR577" s="105"/>
      <c r="GS577" s="105"/>
      <c r="GT577" s="105"/>
      <c r="GU577" s="105"/>
      <c r="GV577" s="105"/>
      <c r="GW577" s="105"/>
      <c r="GX577" s="105"/>
      <c r="GY577" s="105"/>
      <c r="GZ577" s="105"/>
      <c r="HA577" s="105"/>
      <c r="HB577" s="105"/>
      <c r="HC577" s="105"/>
      <c r="HD577" s="105"/>
      <c r="HE577" s="105"/>
      <c r="HF577" s="105"/>
      <c r="HG577" s="105"/>
      <c r="HH577" s="105"/>
      <c r="HI577" s="105"/>
      <c r="HJ577" s="105"/>
      <c r="HK577" s="105"/>
      <c r="HL577" s="105"/>
      <c r="HM577" s="105"/>
      <c r="HN577" s="105"/>
      <c r="HO577" s="105"/>
      <c r="HP577" s="105"/>
      <c r="HQ577" s="105"/>
      <c r="HR577" s="105"/>
      <c r="HS577" s="105"/>
      <c r="HT577" s="105"/>
      <c r="HU577" s="105"/>
      <c r="HV577" s="105"/>
      <c r="HW577" s="105"/>
      <c r="HX577" s="105"/>
      <c r="HY577" s="105"/>
      <c r="HZ577" s="105"/>
      <c r="IA577" s="105"/>
      <c r="IB577" s="105"/>
      <c r="IC577" s="105"/>
      <c r="ID577" s="105"/>
      <c r="IE577" s="105"/>
      <c r="IF577" s="105"/>
      <c r="IG577" s="105"/>
      <c r="IH577" s="105"/>
      <c r="II577" s="105"/>
      <c r="IJ577" s="105"/>
      <c r="IK577" s="105"/>
      <c r="IL577" s="105"/>
      <c r="IM577" s="105"/>
      <c r="IN577" s="105"/>
      <c r="IO577" s="105"/>
      <c r="IP577" s="105"/>
      <c r="IQ577" s="105"/>
      <c r="IR577" s="105"/>
      <c r="IS577" s="105"/>
    </row>
    <row r="578" spans="1:253">
      <c r="A578" s="116"/>
      <c r="B578" s="105"/>
      <c r="C578" s="116"/>
      <c r="D578" s="116"/>
      <c r="E578" s="116"/>
      <c r="F578" s="116"/>
      <c r="G578" s="116"/>
      <c r="H578" s="116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05"/>
      <c r="BF578" s="105"/>
      <c r="BG578" s="105"/>
      <c r="BH578" s="105"/>
      <c r="BI578" s="105"/>
      <c r="BJ578" s="105"/>
      <c r="BK578" s="105"/>
      <c r="BL578" s="105"/>
      <c r="BM578" s="105"/>
      <c r="BN578" s="105"/>
      <c r="BO578" s="105"/>
      <c r="BP578" s="105"/>
      <c r="BQ578" s="105"/>
      <c r="BR578" s="105"/>
      <c r="BS578" s="105"/>
      <c r="BT578" s="105"/>
      <c r="BU578" s="105"/>
      <c r="BV578" s="105"/>
      <c r="BW578" s="105"/>
      <c r="BX578" s="105"/>
      <c r="BY578" s="105"/>
      <c r="BZ578" s="105"/>
      <c r="CA578" s="105"/>
      <c r="CB578" s="105"/>
      <c r="CC578" s="105"/>
      <c r="CD578" s="105"/>
      <c r="CE578" s="105"/>
      <c r="CF578" s="105"/>
      <c r="CG578" s="105"/>
      <c r="CH578" s="105"/>
      <c r="CI578" s="105"/>
      <c r="CJ578" s="105"/>
      <c r="CK578" s="105"/>
      <c r="CL578" s="105"/>
      <c r="CM578" s="105"/>
      <c r="CN578" s="105"/>
      <c r="CO578" s="105"/>
      <c r="CP578" s="105"/>
      <c r="CQ578" s="105"/>
      <c r="CR578" s="105"/>
      <c r="CS578" s="105"/>
      <c r="CT578" s="105"/>
      <c r="CU578" s="105"/>
      <c r="CV578" s="105"/>
      <c r="CW578" s="105"/>
      <c r="CX578" s="105"/>
      <c r="CY578" s="105"/>
      <c r="CZ578" s="105"/>
      <c r="DA578" s="105"/>
      <c r="DB578" s="105"/>
      <c r="DC578" s="105"/>
      <c r="DD578" s="105"/>
      <c r="DE578" s="105"/>
      <c r="DF578" s="105"/>
      <c r="DG578" s="105"/>
      <c r="DH578" s="105"/>
      <c r="DI578" s="105"/>
      <c r="DJ578" s="105"/>
      <c r="DK578" s="105"/>
      <c r="DL578" s="105"/>
      <c r="DM578" s="105"/>
      <c r="DN578" s="105"/>
      <c r="DO578" s="105"/>
      <c r="DP578" s="105"/>
      <c r="DQ578" s="105"/>
      <c r="DR578" s="105"/>
      <c r="DS578" s="105"/>
      <c r="DT578" s="105"/>
      <c r="DU578" s="105"/>
      <c r="DV578" s="105"/>
      <c r="DW578" s="105"/>
      <c r="DX578" s="105"/>
      <c r="DY578" s="105"/>
      <c r="DZ578" s="105"/>
      <c r="EA578" s="105"/>
      <c r="EB578" s="105"/>
      <c r="EC578" s="105"/>
      <c r="ED578" s="105"/>
      <c r="EE578" s="105"/>
      <c r="EF578" s="105"/>
      <c r="EG578" s="105"/>
      <c r="EH578" s="105"/>
      <c r="EI578" s="105"/>
      <c r="EJ578" s="105"/>
      <c r="EK578" s="105"/>
      <c r="EL578" s="105"/>
      <c r="EM578" s="105"/>
      <c r="EN578" s="105"/>
      <c r="EO578" s="105"/>
      <c r="EP578" s="105"/>
      <c r="EQ578" s="105"/>
      <c r="ER578" s="105"/>
      <c r="ES578" s="105"/>
      <c r="ET578" s="105"/>
      <c r="EU578" s="105"/>
      <c r="EV578" s="105"/>
      <c r="EW578" s="105"/>
      <c r="EX578" s="105"/>
      <c r="EY578" s="105"/>
      <c r="EZ578" s="105"/>
      <c r="FA578" s="105"/>
      <c r="FB578" s="105"/>
      <c r="FC578" s="105"/>
      <c r="FD578" s="105"/>
      <c r="FE578" s="105"/>
      <c r="FF578" s="105"/>
      <c r="FG578" s="105"/>
      <c r="FH578" s="105"/>
      <c r="FI578" s="105"/>
      <c r="FJ578" s="105"/>
      <c r="FK578" s="105"/>
      <c r="FL578" s="105"/>
      <c r="FM578" s="105"/>
      <c r="FN578" s="105"/>
      <c r="FO578" s="105"/>
      <c r="FP578" s="105"/>
      <c r="FQ578" s="105"/>
      <c r="FR578" s="105"/>
      <c r="FS578" s="105"/>
      <c r="FT578" s="105"/>
      <c r="FU578" s="105"/>
      <c r="FV578" s="105"/>
      <c r="FW578" s="105"/>
      <c r="FX578" s="105"/>
      <c r="FY578" s="105"/>
      <c r="FZ578" s="105"/>
      <c r="GA578" s="105"/>
      <c r="GB578" s="105"/>
      <c r="GC578" s="105"/>
      <c r="GD578" s="105"/>
      <c r="GE578" s="105"/>
      <c r="GF578" s="105"/>
      <c r="GG578" s="105"/>
      <c r="GH578" s="105"/>
      <c r="GI578" s="105"/>
      <c r="GJ578" s="105"/>
      <c r="GK578" s="105"/>
      <c r="GL578" s="105"/>
      <c r="GM578" s="105"/>
      <c r="GN578" s="105"/>
      <c r="GO578" s="105"/>
      <c r="GP578" s="105"/>
      <c r="GQ578" s="105"/>
      <c r="GR578" s="105"/>
      <c r="GS578" s="105"/>
      <c r="GT578" s="105"/>
      <c r="GU578" s="105"/>
      <c r="GV578" s="105"/>
      <c r="GW578" s="105"/>
      <c r="GX578" s="105"/>
      <c r="GY578" s="105"/>
      <c r="GZ578" s="105"/>
      <c r="HA578" s="105"/>
      <c r="HB578" s="105"/>
      <c r="HC578" s="105"/>
      <c r="HD578" s="105"/>
      <c r="HE578" s="105"/>
      <c r="HF578" s="105"/>
      <c r="HG578" s="105"/>
      <c r="HH578" s="105"/>
      <c r="HI578" s="105"/>
      <c r="HJ578" s="105"/>
      <c r="HK578" s="105"/>
      <c r="HL578" s="105"/>
      <c r="HM578" s="105"/>
      <c r="HN578" s="105"/>
      <c r="HO578" s="105"/>
      <c r="HP578" s="105"/>
      <c r="HQ578" s="105"/>
      <c r="HR578" s="105"/>
      <c r="HS578" s="105"/>
      <c r="HT578" s="105"/>
      <c r="HU578" s="105"/>
      <c r="HV578" s="105"/>
      <c r="HW578" s="105"/>
      <c r="HX578" s="105"/>
      <c r="HY578" s="105"/>
      <c r="HZ578" s="105"/>
      <c r="IA578" s="105"/>
      <c r="IB578" s="105"/>
      <c r="IC578" s="105"/>
      <c r="ID578" s="105"/>
      <c r="IE578" s="105"/>
      <c r="IF578" s="105"/>
      <c r="IG578" s="105"/>
      <c r="IH578" s="105"/>
      <c r="II578" s="105"/>
      <c r="IJ578" s="105"/>
      <c r="IK578" s="105"/>
      <c r="IL578" s="105"/>
      <c r="IM578" s="105"/>
      <c r="IN578" s="105"/>
      <c r="IO578" s="105"/>
      <c r="IP578" s="105"/>
      <c r="IQ578" s="105"/>
      <c r="IR578" s="105"/>
      <c r="IS578" s="105"/>
    </row>
    <row r="579" spans="1:253">
      <c r="A579" s="116"/>
      <c r="B579" s="105"/>
      <c r="C579" s="116"/>
      <c r="D579" s="116"/>
      <c r="E579" s="116"/>
      <c r="F579" s="116"/>
      <c r="G579" s="116"/>
      <c r="H579" s="116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  <c r="BF579" s="105"/>
      <c r="BG579" s="105"/>
      <c r="BH579" s="105"/>
      <c r="BI579" s="105"/>
      <c r="BJ579" s="105"/>
      <c r="BK579" s="105"/>
      <c r="BL579" s="105"/>
      <c r="BM579" s="105"/>
      <c r="BN579" s="105"/>
      <c r="BO579" s="105"/>
      <c r="BP579" s="105"/>
      <c r="BQ579" s="105"/>
      <c r="BR579" s="105"/>
      <c r="BS579" s="105"/>
      <c r="BT579" s="105"/>
      <c r="BU579" s="105"/>
      <c r="BV579" s="105"/>
      <c r="BW579" s="105"/>
      <c r="BX579" s="105"/>
      <c r="BY579" s="105"/>
      <c r="BZ579" s="105"/>
      <c r="CA579" s="105"/>
      <c r="CB579" s="105"/>
      <c r="CC579" s="105"/>
      <c r="CD579" s="105"/>
      <c r="CE579" s="105"/>
      <c r="CF579" s="105"/>
      <c r="CG579" s="105"/>
      <c r="CH579" s="105"/>
      <c r="CI579" s="105"/>
      <c r="CJ579" s="105"/>
      <c r="CK579" s="105"/>
      <c r="CL579" s="105"/>
      <c r="CM579" s="105"/>
      <c r="CN579" s="105"/>
      <c r="CO579" s="105"/>
      <c r="CP579" s="105"/>
      <c r="CQ579" s="105"/>
      <c r="CR579" s="105"/>
      <c r="CS579" s="105"/>
      <c r="CT579" s="105"/>
      <c r="CU579" s="105"/>
      <c r="CV579" s="105"/>
      <c r="CW579" s="105"/>
      <c r="CX579" s="105"/>
      <c r="CY579" s="105"/>
      <c r="CZ579" s="105"/>
      <c r="DA579" s="105"/>
      <c r="DB579" s="105"/>
      <c r="DC579" s="105"/>
      <c r="DD579" s="105"/>
      <c r="DE579" s="105"/>
      <c r="DF579" s="105"/>
      <c r="DG579" s="105"/>
      <c r="DH579" s="105"/>
      <c r="DI579" s="105"/>
      <c r="DJ579" s="105"/>
      <c r="DK579" s="105"/>
      <c r="DL579" s="105"/>
      <c r="DM579" s="105"/>
      <c r="DN579" s="105"/>
      <c r="DO579" s="105"/>
      <c r="DP579" s="105"/>
      <c r="DQ579" s="105"/>
      <c r="DR579" s="105"/>
      <c r="DS579" s="105"/>
      <c r="DT579" s="105"/>
      <c r="DU579" s="105"/>
      <c r="DV579" s="105"/>
      <c r="DW579" s="105"/>
      <c r="DX579" s="105"/>
      <c r="DY579" s="105"/>
      <c r="DZ579" s="105"/>
      <c r="EA579" s="105"/>
      <c r="EB579" s="105"/>
      <c r="EC579" s="105"/>
      <c r="ED579" s="105"/>
      <c r="EE579" s="105"/>
      <c r="EF579" s="105"/>
      <c r="EG579" s="105"/>
      <c r="EH579" s="105"/>
      <c r="EI579" s="105"/>
      <c r="EJ579" s="105"/>
      <c r="EK579" s="105"/>
      <c r="EL579" s="105"/>
      <c r="EM579" s="105"/>
      <c r="EN579" s="105"/>
      <c r="EO579" s="105"/>
      <c r="EP579" s="105"/>
      <c r="EQ579" s="105"/>
      <c r="ER579" s="105"/>
      <c r="ES579" s="105"/>
      <c r="ET579" s="105"/>
      <c r="EU579" s="105"/>
      <c r="EV579" s="105"/>
      <c r="EW579" s="105"/>
      <c r="EX579" s="105"/>
      <c r="EY579" s="105"/>
      <c r="EZ579" s="105"/>
      <c r="FA579" s="105"/>
      <c r="FB579" s="105"/>
      <c r="FC579" s="105"/>
      <c r="FD579" s="105"/>
      <c r="FE579" s="105"/>
      <c r="FF579" s="105"/>
      <c r="FG579" s="105"/>
      <c r="FH579" s="105"/>
      <c r="FI579" s="105"/>
      <c r="FJ579" s="105"/>
      <c r="FK579" s="105"/>
      <c r="FL579" s="105"/>
      <c r="FM579" s="105"/>
      <c r="FN579" s="105"/>
      <c r="FO579" s="105"/>
      <c r="FP579" s="105"/>
      <c r="FQ579" s="105"/>
      <c r="FR579" s="105"/>
      <c r="FS579" s="105"/>
      <c r="FT579" s="105"/>
      <c r="FU579" s="105"/>
      <c r="FV579" s="105"/>
      <c r="FW579" s="105"/>
      <c r="FX579" s="105"/>
      <c r="FY579" s="105"/>
      <c r="FZ579" s="105"/>
      <c r="GA579" s="105"/>
      <c r="GB579" s="105"/>
      <c r="GC579" s="105"/>
      <c r="GD579" s="105"/>
      <c r="GE579" s="105"/>
      <c r="GF579" s="105"/>
      <c r="GG579" s="105"/>
      <c r="GH579" s="105"/>
      <c r="GI579" s="105"/>
      <c r="GJ579" s="105"/>
      <c r="GK579" s="105"/>
      <c r="GL579" s="105"/>
      <c r="GM579" s="105"/>
      <c r="GN579" s="105"/>
      <c r="GO579" s="105"/>
      <c r="GP579" s="105"/>
      <c r="GQ579" s="105"/>
      <c r="GR579" s="105"/>
      <c r="GS579" s="105"/>
      <c r="GT579" s="105"/>
      <c r="GU579" s="105"/>
      <c r="GV579" s="105"/>
      <c r="GW579" s="105"/>
      <c r="GX579" s="105"/>
      <c r="GY579" s="105"/>
      <c r="GZ579" s="105"/>
      <c r="HA579" s="105"/>
      <c r="HB579" s="105"/>
      <c r="HC579" s="105"/>
      <c r="HD579" s="105"/>
      <c r="HE579" s="105"/>
      <c r="HF579" s="105"/>
      <c r="HG579" s="105"/>
      <c r="HH579" s="105"/>
      <c r="HI579" s="105"/>
      <c r="HJ579" s="105"/>
      <c r="HK579" s="105"/>
      <c r="HL579" s="105"/>
      <c r="HM579" s="105"/>
      <c r="HN579" s="105"/>
      <c r="HO579" s="105"/>
      <c r="HP579" s="105"/>
      <c r="HQ579" s="105"/>
      <c r="HR579" s="105"/>
      <c r="HS579" s="105"/>
      <c r="HT579" s="105"/>
      <c r="HU579" s="105"/>
      <c r="HV579" s="105"/>
      <c r="HW579" s="105"/>
      <c r="HX579" s="105"/>
      <c r="HY579" s="105"/>
      <c r="HZ579" s="105"/>
      <c r="IA579" s="105"/>
      <c r="IB579" s="105"/>
      <c r="IC579" s="105"/>
      <c r="ID579" s="105"/>
      <c r="IE579" s="105"/>
      <c r="IF579" s="105"/>
      <c r="IG579" s="105"/>
      <c r="IH579" s="105"/>
      <c r="II579" s="105"/>
      <c r="IJ579" s="105"/>
      <c r="IK579" s="105"/>
      <c r="IL579" s="105"/>
      <c r="IM579" s="105"/>
      <c r="IN579" s="105"/>
      <c r="IO579" s="105"/>
      <c r="IP579" s="105"/>
      <c r="IQ579" s="105"/>
      <c r="IR579" s="105"/>
      <c r="IS579" s="105"/>
    </row>
    <row r="580" spans="1:253">
      <c r="A580" s="116"/>
      <c r="B580" s="105"/>
      <c r="C580" s="116"/>
      <c r="D580" s="116"/>
      <c r="E580" s="116"/>
      <c r="F580" s="116"/>
      <c r="G580" s="116"/>
      <c r="H580" s="116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  <c r="BF580" s="105"/>
      <c r="BG580" s="105"/>
      <c r="BH580" s="105"/>
      <c r="BI580" s="105"/>
      <c r="BJ580" s="105"/>
      <c r="BK580" s="105"/>
      <c r="BL580" s="105"/>
      <c r="BM580" s="105"/>
      <c r="BN580" s="105"/>
      <c r="BO580" s="105"/>
      <c r="BP580" s="105"/>
      <c r="BQ580" s="105"/>
      <c r="BR580" s="105"/>
      <c r="BS580" s="105"/>
      <c r="BT580" s="105"/>
      <c r="BU580" s="105"/>
      <c r="BV580" s="105"/>
      <c r="BW580" s="105"/>
      <c r="BX580" s="105"/>
      <c r="BY580" s="105"/>
      <c r="BZ580" s="105"/>
      <c r="CA580" s="105"/>
      <c r="CB580" s="105"/>
      <c r="CC580" s="105"/>
      <c r="CD580" s="105"/>
      <c r="CE580" s="105"/>
      <c r="CF580" s="105"/>
      <c r="CG580" s="105"/>
      <c r="CH580" s="105"/>
      <c r="CI580" s="105"/>
      <c r="CJ580" s="105"/>
      <c r="CK580" s="105"/>
      <c r="CL580" s="105"/>
      <c r="CM580" s="105"/>
      <c r="CN580" s="105"/>
      <c r="CO580" s="105"/>
      <c r="CP580" s="105"/>
      <c r="CQ580" s="105"/>
      <c r="CR580" s="105"/>
      <c r="CS580" s="105"/>
      <c r="CT580" s="105"/>
      <c r="CU580" s="105"/>
      <c r="CV580" s="105"/>
      <c r="CW580" s="105"/>
      <c r="CX580" s="105"/>
      <c r="CY580" s="105"/>
      <c r="CZ580" s="105"/>
      <c r="DA580" s="105"/>
      <c r="DB580" s="105"/>
      <c r="DC580" s="105"/>
      <c r="DD580" s="105"/>
      <c r="DE580" s="105"/>
      <c r="DF580" s="105"/>
      <c r="DG580" s="105"/>
      <c r="DH580" s="105"/>
      <c r="DI580" s="105"/>
      <c r="DJ580" s="105"/>
      <c r="DK580" s="105"/>
      <c r="DL580" s="105"/>
      <c r="DM580" s="105"/>
      <c r="DN580" s="105"/>
      <c r="DO580" s="105"/>
      <c r="DP580" s="105"/>
      <c r="DQ580" s="105"/>
      <c r="DR580" s="105"/>
      <c r="DS580" s="105"/>
      <c r="DT580" s="105"/>
      <c r="DU580" s="105"/>
      <c r="DV580" s="105"/>
      <c r="DW580" s="105"/>
      <c r="DX580" s="105"/>
      <c r="DY580" s="105"/>
      <c r="DZ580" s="105"/>
      <c r="EA580" s="105"/>
      <c r="EB580" s="105"/>
      <c r="EC580" s="105"/>
      <c r="ED580" s="105"/>
      <c r="EE580" s="105"/>
      <c r="EF580" s="105"/>
      <c r="EG580" s="105"/>
      <c r="EH580" s="105"/>
      <c r="EI580" s="105"/>
      <c r="EJ580" s="105"/>
      <c r="EK580" s="105"/>
      <c r="EL580" s="105"/>
      <c r="EM580" s="105"/>
      <c r="EN580" s="105"/>
      <c r="EO580" s="105"/>
      <c r="EP580" s="105"/>
      <c r="EQ580" s="105"/>
      <c r="ER580" s="105"/>
      <c r="ES580" s="105"/>
      <c r="ET580" s="105"/>
      <c r="EU580" s="105"/>
      <c r="EV580" s="105"/>
      <c r="EW580" s="105"/>
      <c r="EX580" s="105"/>
      <c r="EY580" s="105"/>
      <c r="EZ580" s="105"/>
      <c r="FA580" s="105"/>
      <c r="FB580" s="105"/>
      <c r="FC580" s="105"/>
      <c r="FD580" s="105"/>
      <c r="FE580" s="105"/>
      <c r="FF580" s="105"/>
      <c r="FG580" s="105"/>
      <c r="FH580" s="105"/>
      <c r="FI580" s="105"/>
      <c r="FJ580" s="105"/>
      <c r="FK580" s="105"/>
      <c r="FL580" s="105"/>
      <c r="FM580" s="105"/>
      <c r="FN580" s="105"/>
      <c r="FO580" s="105"/>
      <c r="FP580" s="105"/>
      <c r="FQ580" s="105"/>
      <c r="FR580" s="105"/>
      <c r="FS580" s="105"/>
      <c r="FT580" s="105"/>
      <c r="FU580" s="105"/>
      <c r="FV580" s="105"/>
      <c r="FW580" s="105"/>
      <c r="FX580" s="105"/>
      <c r="FY580" s="105"/>
      <c r="FZ580" s="105"/>
      <c r="GA580" s="105"/>
      <c r="GB580" s="105"/>
      <c r="GC580" s="105"/>
      <c r="GD580" s="105"/>
      <c r="GE580" s="105"/>
      <c r="GF580" s="105"/>
      <c r="GG580" s="105"/>
      <c r="GH580" s="105"/>
      <c r="GI580" s="105"/>
      <c r="GJ580" s="105"/>
      <c r="GK580" s="105"/>
      <c r="GL580" s="105"/>
      <c r="GM580" s="105"/>
      <c r="GN580" s="105"/>
      <c r="GO580" s="105"/>
      <c r="GP580" s="105"/>
      <c r="GQ580" s="105"/>
      <c r="GR580" s="105"/>
      <c r="GS580" s="105"/>
      <c r="GT580" s="105"/>
      <c r="GU580" s="105"/>
      <c r="GV580" s="105"/>
      <c r="GW580" s="105"/>
      <c r="GX580" s="105"/>
      <c r="GY580" s="105"/>
      <c r="GZ580" s="105"/>
      <c r="HA580" s="105"/>
      <c r="HB580" s="105"/>
      <c r="HC580" s="105"/>
      <c r="HD580" s="105"/>
      <c r="HE580" s="105"/>
      <c r="HF580" s="105"/>
      <c r="HG580" s="105"/>
      <c r="HH580" s="105"/>
      <c r="HI580" s="105"/>
      <c r="HJ580" s="105"/>
      <c r="HK580" s="105"/>
      <c r="HL580" s="105"/>
      <c r="HM580" s="105"/>
      <c r="HN580" s="105"/>
      <c r="HO580" s="105"/>
      <c r="HP580" s="105"/>
      <c r="HQ580" s="105"/>
      <c r="HR580" s="105"/>
      <c r="HS580" s="105"/>
      <c r="HT580" s="105"/>
      <c r="HU580" s="105"/>
      <c r="HV580" s="105"/>
      <c r="HW580" s="105"/>
      <c r="HX580" s="105"/>
      <c r="HY580" s="105"/>
      <c r="HZ580" s="105"/>
      <c r="IA580" s="105"/>
      <c r="IB580" s="105"/>
      <c r="IC580" s="105"/>
      <c r="ID580" s="105"/>
      <c r="IE580" s="105"/>
      <c r="IF580" s="105"/>
      <c r="IG580" s="105"/>
      <c r="IH580" s="105"/>
      <c r="II580" s="105"/>
      <c r="IJ580" s="105"/>
      <c r="IK580" s="105"/>
      <c r="IL580" s="105"/>
      <c r="IM580" s="105"/>
      <c r="IN580" s="105"/>
      <c r="IO580" s="105"/>
      <c r="IP580" s="105"/>
      <c r="IQ580" s="105"/>
      <c r="IR580" s="105"/>
      <c r="IS580" s="105"/>
    </row>
    <row r="581" spans="1:253">
      <c r="A581" s="116"/>
      <c r="B581" s="105"/>
      <c r="C581" s="116"/>
      <c r="D581" s="116"/>
      <c r="E581" s="116"/>
      <c r="F581" s="116"/>
      <c r="G581" s="116"/>
      <c r="H581" s="116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  <c r="BA581" s="105"/>
      <c r="BB581" s="105"/>
      <c r="BC581" s="105"/>
      <c r="BD581" s="105"/>
      <c r="BE581" s="105"/>
      <c r="BF581" s="105"/>
      <c r="BG581" s="105"/>
      <c r="BH581" s="105"/>
      <c r="BI581" s="105"/>
      <c r="BJ581" s="105"/>
      <c r="BK581" s="105"/>
      <c r="BL581" s="105"/>
      <c r="BM581" s="105"/>
      <c r="BN581" s="105"/>
      <c r="BO581" s="105"/>
      <c r="BP581" s="105"/>
      <c r="BQ581" s="105"/>
      <c r="BR581" s="105"/>
      <c r="BS581" s="105"/>
      <c r="BT581" s="105"/>
      <c r="BU581" s="105"/>
      <c r="BV581" s="105"/>
      <c r="BW581" s="105"/>
      <c r="BX581" s="105"/>
      <c r="BY581" s="105"/>
      <c r="BZ581" s="105"/>
      <c r="CA581" s="105"/>
      <c r="CB581" s="105"/>
      <c r="CC581" s="105"/>
      <c r="CD581" s="105"/>
      <c r="CE581" s="105"/>
      <c r="CF581" s="105"/>
      <c r="CG581" s="105"/>
      <c r="CH581" s="105"/>
      <c r="CI581" s="105"/>
      <c r="CJ581" s="105"/>
      <c r="CK581" s="105"/>
      <c r="CL581" s="105"/>
      <c r="CM581" s="105"/>
      <c r="CN581" s="105"/>
      <c r="CO581" s="105"/>
      <c r="CP581" s="105"/>
      <c r="CQ581" s="105"/>
      <c r="CR581" s="105"/>
      <c r="CS581" s="105"/>
      <c r="CT581" s="105"/>
      <c r="CU581" s="105"/>
      <c r="CV581" s="105"/>
      <c r="CW581" s="105"/>
      <c r="CX581" s="105"/>
      <c r="CY581" s="105"/>
      <c r="CZ581" s="105"/>
      <c r="DA581" s="105"/>
      <c r="DB581" s="105"/>
      <c r="DC581" s="105"/>
      <c r="DD581" s="105"/>
      <c r="DE581" s="105"/>
      <c r="DF581" s="105"/>
      <c r="DG581" s="105"/>
      <c r="DH581" s="105"/>
      <c r="DI581" s="105"/>
      <c r="DJ581" s="105"/>
      <c r="DK581" s="105"/>
      <c r="DL581" s="105"/>
      <c r="DM581" s="105"/>
      <c r="DN581" s="105"/>
      <c r="DO581" s="105"/>
      <c r="DP581" s="105"/>
      <c r="DQ581" s="105"/>
      <c r="DR581" s="105"/>
      <c r="DS581" s="105"/>
      <c r="DT581" s="105"/>
      <c r="DU581" s="105"/>
      <c r="DV581" s="105"/>
      <c r="DW581" s="105"/>
      <c r="DX581" s="105"/>
      <c r="DY581" s="105"/>
      <c r="DZ581" s="105"/>
      <c r="EA581" s="105"/>
      <c r="EB581" s="105"/>
      <c r="EC581" s="105"/>
      <c r="ED581" s="105"/>
      <c r="EE581" s="105"/>
      <c r="EF581" s="105"/>
      <c r="EG581" s="105"/>
      <c r="EH581" s="105"/>
      <c r="EI581" s="105"/>
      <c r="EJ581" s="105"/>
      <c r="EK581" s="105"/>
      <c r="EL581" s="105"/>
      <c r="EM581" s="105"/>
      <c r="EN581" s="105"/>
      <c r="EO581" s="105"/>
      <c r="EP581" s="105"/>
      <c r="EQ581" s="105"/>
      <c r="ER581" s="105"/>
      <c r="ES581" s="105"/>
      <c r="ET581" s="105"/>
      <c r="EU581" s="105"/>
      <c r="EV581" s="105"/>
      <c r="EW581" s="105"/>
      <c r="EX581" s="105"/>
      <c r="EY581" s="105"/>
      <c r="EZ581" s="105"/>
      <c r="FA581" s="105"/>
      <c r="FB581" s="105"/>
      <c r="FC581" s="105"/>
      <c r="FD581" s="105"/>
      <c r="FE581" s="105"/>
      <c r="FF581" s="105"/>
      <c r="FG581" s="105"/>
      <c r="FH581" s="105"/>
      <c r="FI581" s="105"/>
      <c r="FJ581" s="105"/>
      <c r="FK581" s="105"/>
      <c r="FL581" s="105"/>
      <c r="FM581" s="105"/>
      <c r="FN581" s="105"/>
      <c r="FO581" s="105"/>
      <c r="FP581" s="105"/>
      <c r="FQ581" s="105"/>
      <c r="FR581" s="105"/>
      <c r="FS581" s="105"/>
      <c r="FT581" s="105"/>
      <c r="FU581" s="105"/>
      <c r="FV581" s="105"/>
      <c r="FW581" s="105"/>
      <c r="FX581" s="105"/>
      <c r="FY581" s="105"/>
      <c r="FZ581" s="105"/>
      <c r="GA581" s="105"/>
      <c r="GB581" s="105"/>
      <c r="GC581" s="105"/>
      <c r="GD581" s="105"/>
      <c r="GE581" s="105"/>
      <c r="GF581" s="105"/>
      <c r="GG581" s="105"/>
      <c r="GH581" s="105"/>
      <c r="GI581" s="105"/>
      <c r="GJ581" s="105"/>
      <c r="GK581" s="105"/>
      <c r="GL581" s="105"/>
      <c r="GM581" s="105"/>
      <c r="GN581" s="105"/>
      <c r="GO581" s="105"/>
      <c r="GP581" s="105"/>
      <c r="GQ581" s="105"/>
      <c r="GR581" s="105"/>
      <c r="GS581" s="105"/>
      <c r="GT581" s="105"/>
      <c r="GU581" s="105"/>
      <c r="GV581" s="105"/>
      <c r="GW581" s="105"/>
      <c r="GX581" s="105"/>
      <c r="GY581" s="105"/>
      <c r="GZ581" s="105"/>
      <c r="HA581" s="105"/>
      <c r="HB581" s="105"/>
      <c r="HC581" s="105"/>
      <c r="HD581" s="105"/>
      <c r="HE581" s="105"/>
      <c r="HF581" s="105"/>
      <c r="HG581" s="105"/>
      <c r="HH581" s="105"/>
      <c r="HI581" s="105"/>
      <c r="HJ581" s="105"/>
      <c r="HK581" s="105"/>
      <c r="HL581" s="105"/>
      <c r="HM581" s="105"/>
      <c r="HN581" s="105"/>
      <c r="HO581" s="105"/>
      <c r="HP581" s="105"/>
      <c r="HQ581" s="105"/>
      <c r="HR581" s="105"/>
      <c r="HS581" s="105"/>
      <c r="HT581" s="105"/>
      <c r="HU581" s="105"/>
      <c r="HV581" s="105"/>
      <c r="HW581" s="105"/>
      <c r="HX581" s="105"/>
      <c r="HY581" s="105"/>
      <c r="HZ581" s="105"/>
      <c r="IA581" s="105"/>
      <c r="IB581" s="105"/>
      <c r="IC581" s="105"/>
      <c r="ID581" s="105"/>
      <c r="IE581" s="105"/>
      <c r="IF581" s="105"/>
      <c r="IG581" s="105"/>
      <c r="IH581" s="105"/>
      <c r="II581" s="105"/>
      <c r="IJ581" s="105"/>
      <c r="IK581" s="105"/>
      <c r="IL581" s="105"/>
      <c r="IM581" s="105"/>
      <c r="IN581" s="105"/>
      <c r="IO581" s="105"/>
      <c r="IP581" s="105"/>
      <c r="IQ581" s="105"/>
      <c r="IR581" s="105"/>
      <c r="IS581" s="105"/>
    </row>
    <row r="582" spans="1:253">
      <c r="A582" s="116"/>
      <c r="B582" s="105"/>
      <c r="C582" s="116"/>
      <c r="D582" s="116"/>
      <c r="E582" s="116"/>
      <c r="F582" s="116"/>
      <c r="G582" s="116"/>
      <c r="H582" s="116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05"/>
      <c r="BF582" s="105"/>
      <c r="BG582" s="105"/>
      <c r="BH582" s="105"/>
      <c r="BI582" s="105"/>
      <c r="BJ582" s="105"/>
      <c r="BK582" s="105"/>
      <c r="BL582" s="105"/>
      <c r="BM582" s="105"/>
      <c r="BN582" s="105"/>
      <c r="BO582" s="105"/>
      <c r="BP582" s="105"/>
      <c r="BQ582" s="105"/>
      <c r="BR582" s="105"/>
      <c r="BS582" s="105"/>
      <c r="BT582" s="105"/>
      <c r="BU582" s="105"/>
      <c r="BV582" s="105"/>
      <c r="BW582" s="105"/>
      <c r="BX582" s="105"/>
      <c r="BY582" s="105"/>
      <c r="BZ582" s="105"/>
      <c r="CA582" s="105"/>
      <c r="CB582" s="105"/>
      <c r="CC582" s="105"/>
      <c r="CD582" s="105"/>
      <c r="CE582" s="105"/>
      <c r="CF582" s="105"/>
      <c r="CG582" s="105"/>
      <c r="CH582" s="105"/>
      <c r="CI582" s="105"/>
      <c r="CJ582" s="105"/>
      <c r="CK582" s="105"/>
      <c r="CL582" s="105"/>
      <c r="CM582" s="105"/>
      <c r="CN582" s="105"/>
      <c r="CO582" s="105"/>
      <c r="CP582" s="105"/>
      <c r="CQ582" s="105"/>
      <c r="CR582" s="105"/>
      <c r="CS582" s="105"/>
      <c r="CT582" s="105"/>
      <c r="CU582" s="105"/>
      <c r="CV582" s="105"/>
      <c r="CW582" s="105"/>
      <c r="CX582" s="105"/>
      <c r="CY582" s="105"/>
      <c r="CZ582" s="105"/>
      <c r="DA582" s="105"/>
      <c r="DB582" s="105"/>
      <c r="DC582" s="105"/>
      <c r="DD582" s="105"/>
      <c r="DE582" s="105"/>
      <c r="DF582" s="105"/>
      <c r="DG582" s="105"/>
      <c r="DH582" s="105"/>
      <c r="DI582" s="105"/>
      <c r="DJ582" s="105"/>
      <c r="DK582" s="105"/>
      <c r="DL582" s="105"/>
      <c r="DM582" s="105"/>
      <c r="DN582" s="105"/>
      <c r="DO582" s="105"/>
      <c r="DP582" s="105"/>
      <c r="DQ582" s="105"/>
      <c r="DR582" s="105"/>
      <c r="DS582" s="105"/>
      <c r="DT582" s="105"/>
      <c r="DU582" s="105"/>
      <c r="DV582" s="105"/>
      <c r="DW582" s="105"/>
      <c r="DX582" s="105"/>
      <c r="DY582" s="105"/>
      <c r="DZ582" s="105"/>
      <c r="EA582" s="105"/>
      <c r="EB582" s="105"/>
      <c r="EC582" s="105"/>
      <c r="ED582" s="105"/>
      <c r="EE582" s="105"/>
      <c r="EF582" s="105"/>
      <c r="EG582" s="105"/>
      <c r="EH582" s="105"/>
      <c r="EI582" s="105"/>
      <c r="EJ582" s="105"/>
      <c r="EK582" s="105"/>
      <c r="EL582" s="105"/>
      <c r="EM582" s="105"/>
      <c r="EN582" s="105"/>
      <c r="EO582" s="105"/>
      <c r="EP582" s="105"/>
      <c r="EQ582" s="105"/>
      <c r="ER582" s="105"/>
      <c r="ES582" s="105"/>
      <c r="ET582" s="105"/>
      <c r="EU582" s="105"/>
      <c r="EV582" s="105"/>
      <c r="EW582" s="105"/>
      <c r="EX582" s="105"/>
      <c r="EY582" s="105"/>
      <c r="EZ582" s="105"/>
      <c r="FA582" s="105"/>
      <c r="FB582" s="105"/>
      <c r="FC582" s="105"/>
      <c r="FD582" s="105"/>
      <c r="FE582" s="105"/>
      <c r="FF582" s="105"/>
      <c r="FG582" s="105"/>
      <c r="FH582" s="105"/>
      <c r="FI582" s="105"/>
      <c r="FJ582" s="105"/>
      <c r="FK582" s="105"/>
      <c r="FL582" s="105"/>
      <c r="FM582" s="105"/>
      <c r="FN582" s="105"/>
      <c r="FO582" s="105"/>
      <c r="FP582" s="105"/>
      <c r="FQ582" s="105"/>
      <c r="FR582" s="105"/>
      <c r="FS582" s="105"/>
      <c r="FT582" s="105"/>
      <c r="FU582" s="105"/>
      <c r="FV582" s="105"/>
      <c r="FW582" s="105"/>
      <c r="FX582" s="105"/>
      <c r="FY582" s="105"/>
      <c r="FZ582" s="105"/>
      <c r="GA582" s="105"/>
      <c r="GB582" s="105"/>
      <c r="GC582" s="105"/>
      <c r="GD582" s="105"/>
      <c r="GE582" s="105"/>
      <c r="GF582" s="105"/>
      <c r="GG582" s="105"/>
      <c r="GH582" s="105"/>
      <c r="GI582" s="105"/>
      <c r="GJ582" s="105"/>
      <c r="GK582" s="105"/>
      <c r="GL582" s="105"/>
      <c r="GM582" s="105"/>
      <c r="GN582" s="105"/>
      <c r="GO582" s="105"/>
      <c r="GP582" s="105"/>
      <c r="GQ582" s="105"/>
      <c r="GR582" s="105"/>
      <c r="GS582" s="105"/>
      <c r="GT582" s="105"/>
      <c r="GU582" s="105"/>
      <c r="GV582" s="105"/>
      <c r="GW582" s="105"/>
      <c r="GX582" s="105"/>
      <c r="GY582" s="105"/>
      <c r="GZ582" s="105"/>
      <c r="HA582" s="105"/>
      <c r="HB582" s="105"/>
      <c r="HC582" s="105"/>
      <c r="HD582" s="105"/>
      <c r="HE582" s="105"/>
      <c r="HF582" s="105"/>
      <c r="HG582" s="105"/>
      <c r="HH582" s="105"/>
      <c r="HI582" s="105"/>
      <c r="HJ582" s="105"/>
      <c r="HK582" s="105"/>
      <c r="HL582" s="105"/>
      <c r="HM582" s="105"/>
      <c r="HN582" s="105"/>
      <c r="HO582" s="105"/>
      <c r="HP582" s="105"/>
      <c r="HQ582" s="105"/>
      <c r="HR582" s="105"/>
      <c r="HS582" s="105"/>
      <c r="HT582" s="105"/>
      <c r="HU582" s="105"/>
      <c r="HV582" s="105"/>
      <c r="HW582" s="105"/>
      <c r="HX582" s="105"/>
      <c r="HY582" s="105"/>
      <c r="HZ582" s="105"/>
      <c r="IA582" s="105"/>
      <c r="IB582" s="105"/>
      <c r="IC582" s="105"/>
      <c r="ID582" s="105"/>
      <c r="IE582" s="105"/>
      <c r="IF582" s="105"/>
      <c r="IG582" s="105"/>
      <c r="IH582" s="105"/>
      <c r="II582" s="105"/>
      <c r="IJ582" s="105"/>
      <c r="IK582" s="105"/>
      <c r="IL582" s="105"/>
      <c r="IM582" s="105"/>
      <c r="IN582" s="105"/>
      <c r="IO582" s="105"/>
      <c r="IP582" s="105"/>
      <c r="IQ582" s="105"/>
      <c r="IR582" s="105"/>
      <c r="IS582" s="105"/>
    </row>
    <row r="583" spans="1:253">
      <c r="A583" s="116"/>
      <c r="B583" s="105"/>
      <c r="C583" s="116"/>
      <c r="D583" s="116"/>
      <c r="E583" s="116"/>
      <c r="F583" s="116"/>
      <c r="G583" s="116"/>
      <c r="H583" s="116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5"/>
      <c r="BE583" s="105"/>
      <c r="BF583" s="105"/>
      <c r="BG583" s="105"/>
      <c r="BH583" s="105"/>
      <c r="BI583" s="105"/>
      <c r="BJ583" s="105"/>
      <c r="BK583" s="105"/>
      <c r="BL583" s="105"/>
      <c r="BM583" s="105"/>
      <c r="BN583" s="105"/>
      <c r="BO583" s="105"/>
      <c r="BP583" s="105"/>
      <c r="BQ583" s="105"/>
      <c r="BR583" s="105"/>
      <c r="BS583" s="105"/>
      <c r="BT583" s="105"/>
      <c r="BU583" s="105"/>
      <c r="BV583" s="105"/>
      <c r="BW583" s="105"/>
      <c r="BX583" s="105"/>
      <c r="BY583" s="105"/>
      <c r="BZ583" s="105"/>
      <c r="CA583" s="105"/>
      <c r="CB583" s="105"/>
      <c r="CC583" s="105"/>
      <c r="CD583" s="105"/>
      <c r="CE583" s="105"/>
      <c r="CF583" s="105"/>
      <c r="CG583" s="105"/>
      <c r="CH583" s="105"/>
      <c r="CI583" s="105"/>
      <c r="CJ583" s="105"/>
      <c r="CK583" s="105"/>
      <c r="CL583" s="105"/>
      <c r="CM583" s="105"/>
      <c r="CN583" s="105"/>
      <c r="CO583" s="105"/>
      <c r="CP583" s="105"/>
      <c r="CQ583" s="105"/>
      <c r="CR583" s="105"/>
      <c r="CS583" s="105"/>
      <c r="CT583" s="105"/>
      <c r="CU583" s="105"/>
      <c r="CV583" s="105"/>
      <c r="CW583" s="105"/>
      <c r="CX583" s="105"/>
      <c r="CY583" s="105"/>
      <c r="CZ583" s="105"/>
      <c r="DA583" s="105"/>
      <c r="DB583" s="105"/>
      <c r="DC583" s="105"/>
      <c r="DD583" s="105"/>
      <c r="DE583" s="105"/>
      <c r="DF583" s="105"/>
      <c r="DG583" s="105"/>
      <c r="DH583" s="105"/>
      <c r="DI583" s="105"/>
      <c r="DJ583" s="105"/>
      <c r="DK583" s="105"/>
      <c r="DL583" s="105"/>
      <c r="DM583" s="105"/>
      <c r="DN583" s="105"/>
      <c r="DO583" s="105"/>
      <c r="DP583" s="105"/>
      <c r="DQ583" s="105"/>
      <c r="DR583" s="105"/>
      <c r="DS583" s="105"/>
      <c r="DT583" s="105"/>
      <c r="DU583" s="105"/>
      <c r="DV583" s="105"/>
      <c r="DW583" s="105"/>
      <c r="DX583" s="105"/>
      <c r="DY583" s="105"/>
      <c r="DZ583" s="105"/>
      <c r="EA583" s="105"/>
      <c r="EB583" s="105"/>
      <c r="EC583" s="105"/>
      <c r="ED583" s="105"/>
      <c r="EE583" s="105"/>
      <c r="EF583" s="105"/>
      <c r="EG583" s="105"/>
      <c r="EH583" s="105"/>
      <c r="EI583" s="105"/>
      <c r="EJ583" s="105"/>
      <c r="EK583" s="105"/>
      <c r="EL583" s="105"/>
      <c r="EM583" s="105"/>
      <c r="EN583" s="105"/>
      <c r="EO583" s="105"/>
      <c r="EP583" s="105"/>
      <c r="EQ583" s="105"/>
      <c r="ER583" s="105"/>
      <c r="ES583" s="105"/>
      <c r="ET583" s="105"/>
      <c r="EU583" s="105"/>
      <c r="EV583" s="105"/>
      <c r="EW583" s="105"/>
      <c r="EX583" s="105"/>
      <c r="EY583" s="105"/>
      <c r="EZ583" s="105"/>
      <c r="FA583" s="105"/>
      <c r="FB583" s="105"/>
      <c r="FC583" s="105"/>
      <c r="FD583" s="105"/>
      <c r="FE583" s="105"/>
      <c r="FF583" s="105"/>
      <c r="FG583" s="105"/>
      <c r="FH583" s="105"/>
      <c r="FI583" s="105"/>
      <c r="FJ583" s="105"/>
      <c r="FK583" s="105"/>
      <c r="FL583" s="105"/>
      <c r="FM583" s="105"/>
      <c r="FN583" s="105"/>
      <c r="FO583" s="105"/>
      <c r="FP583" s="105"/>
      <c r="FQ583" s="105"/>
      <c r="FR583" s="105"/>
      <c r="FS583" s="105"/>
      <c r="FT583" s="105"/>
      <c r="FU583" s="105"/>
      <c r="FV583" s="105"/>
      <c r="FW583" s="105"/>
      <c r="FX583" s="105"/>
      <c r="FY583" s="105"/>
      <c r="FZ583" s="105"/>
      <c r="GA583" s="105"/>
      <c r="GB583" s="105"/>
      <c r="GC583" s="105"/>
      <c r="GD583" s="105"/>
      <c r="GE583" s="105"/>
      <c r="GF583" s="105"/>
      <c r="GG583" s="105"/>
      <c r="GH583" s="105"/>
      <c r="GI583" s="105"/>
      <c r="GJ583" s="105"/>
      <c r="GK583" s="105"/>
      <c r="GL583" s="105"/>
      <c r="GM583" s="105"/>
      <c r="GN583" s="105"/>
      <c r="GO583" s="105"/>
      <c r="GP583" s="105"/>
      <c r="GQ583" s="105"/>
      <c r="GR583" s="105"/>
      <c r="GS583" s="105"/>
      <c r="GT583" s="105"/>
      <c r="GU583" s="105"/>
      <c r="GV583" s="105"/>
      <c r="GW583" s="105"/>
      <c r="GX583" s="105"/>
      <c r="GY583" s="105"/>
      <c r="GZ583" s="105"/>
      <c r="HA583" s="105"/>
      <c r="HB583" s="105"/>
      <c r="HC583" s="105"/>
      <c r="HD583" s="105"/>
      <c r="HE583" s="105"/>
      <c r="HF583" s="105"/>
      <c r="HG583" s="105"/>
      <c r="HH583" s="105"/>
      <c r="HI583" s="105"/>
      <c r="HJ583" s="105"/>
      <c r="HK583" s="105"/>
      <c r="HL583" s="105"/>
      <c r="HM583" s="105"/>
      <c r="HN583" s="105"/>
      <c r="HO583" s="105"/>
      <c r="HP583" s="105"/>
      <c r="HQ583" s="105"/>
      <c r="HR583" s="105"/>
      <c r="HS583" s="105"/>
      <c r="HT583" s="105"/>
      <c r="HU583" s="105"/>
      <c r="HV583" s="105"/>
      <c r="HW583" s="105"/>
      <c r="HX583" s="105"/>
      <c r="HY583" s="105"/>
      <c r="HZ583" s="105"/>
      <c r="IA583" s="105"/>
      <c r="IB583" s="105"/>
      <c r="IC583" s="105"/>
      <c r="ID583" s="105"/>
      <c r="IE583" s="105"/>
      <c r="IF583" s="105"/>
      <c r="IG583" s="105"/>
      <c r="IH583" s="105"/>
      <c r="II583" s="105"/>
      <c r="IJ583" s="105"/>
      <c r="IK583" s="105"/>
      <c r="IL583" s="105"/>
      <c r="IM583" s="105"/>
      <c r="IN583" s="105"/>
      <c r="IO583" s="105"/>
      <c r="IP583" s="105"/>
      <c r="IQ583" s="105"/>
      <c r="IR583" s="105"/>
      <c r="IS583" s="105"/>
    </row>
    <row r="584" spans="1:253">
      <c r="A584" s="116"/>
      <c r="B584" s="105"/>
      <c r="C584" s="116"/>
      <c r="D584" s="116"/>
      <c r="E584" s="116"/>
      <c r="F584" s="116"/>
      <c r="G584" s="116"/>
      <c r="H584" s="116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  <c r="BF584" s="105"/>
      <c r="BG584" s="105"/>
      <c r="BH584" s="105"/>
      <c r="BI584" s="105"/>
      <c r="BJ584" s="105"/>
      <c r="BK584" s="105"/>
      <c r="BL584" s="105"/>
      <c r="BM584" s="105"/>
      <c r="BN584" s="105"/>
      <c r="BO584" s="105"/>
      <c r="BP584" s="105"/>
      <c r="BQ584" s="105"/>
      <c r="BR584" s="105"/>
      <c r="BS584" s="105"/>
      <c r="BT584" s="105"/>
      <c r="BU584" s="105"/>
      <c r="BV584" s="105"/>
      <c r="BW584" s="105"/>
      <c r="BX584" s="105"/>
      <c r="BY584" s="105"/>
      <c r="BZ584" s="105"/>
      <c r="CA584" s="105"/>
      <c r="CB584" s="105"/>
      <c r="CC584" s="105"/>
      <c r="CD584" s="105"/>
      <c r="CE584" s="105"/>
      <c r="CF584" s="105"/>
      <c r="CG584" s="105"/>
      <c r="CH584" s="105"/>
      <c r="CI584" s="105"/>
      <c r="CJ584" s="105"/>
      <c r="CK584" s="105"/>
      <c r="CL584" s="105"/>
      <c r="CM584" s="105"/>
      <c r="CN584" s="105"/>
      <c r="CO584" s="105"/>
      <c r="CP584" s="105"/>
      <c r="CQ584" s="105"/>
      <c r="CR584" s="105"/>
      <c r="CS584" s="105"/>
      <c r="CT584" s="105"/>
      <c r="CU584" s="105"/>
      <c r="CV584" s="105"/>
      <c r="CW584" s="105"/>
      <c r="CX584" s="105"/>
      <c r="CY584" s="105"/>
      <c r="CZ584" s="105"/>
      <c r="DA584" s="105"/>
      <c r="DB584" s="105"/>
      <c r="DC584" s="105"/>
      <c r="DD584" s="105"/>
      <c r="DE584" s="105"/>
      <c r="DF584" s="105"/>
      <c r="DG584" s="105"/>
      <c r="DH584" s="105"/>
      <c r="DI584" s="105"/>
      <c r="DJ584" s="105"/>
      <c r="DK584" s="105"/>
      <c r="DL584" s="105"/>
      <c r="DM584" s="105"/>
      <c r="DN584" s="105"/>
      <c r="DO584" s="105"/>
      <c r="DP584" s="105"/>
      <c r="DQ584" s="105"/>
      <c r="DR584" s="105"/>
      <c r="DS584" s="105"/>
      <c r="DT584" s="105"/>
      <c r="DU584" s="105"/>
      <c r="DV584" s="105"/>
      <c r="DW584" s="105"/>
      <c r="DX584" s="105"/>
      <c r="DY584" s="105"/>
      <c r="DZ584" s="105"/>
      <c r="EA584" s="105"/>
      <c r="EB584" s="105"/>
      <c r="EC584" s="105"/>
      <c r="ED584" s="105"/>
      <c r="EE584" s="105"/>
      <c r="EF584" s="105"/>
      <c r="EG584" s="105"/>
      <c r="EH584" s="105"/>
      <c r="EI584" s="105"/>
      <c r="EJ584" s="105"/>
      <c r="EK584" s="105"/>
      <c r="EL584" s="105"/>
      <c r="EM584" s="105"/>
      <c r="EN584" s="105"/>
      <c r="EO584" s="105"/>
      <c r="EP584" s="105"/>
      <c r="EQ584" s="105"/>
      <c r="ER584" s="105"/>
      <c r="ES584" s="105"/>
      <c r="ET584" s="105"/>
      <c r="EU584" s="105"/>
      <c r="EV584" s="105"/>
      <c r="EW584" s="105"/>
      <c r="EX584" s="105"/>
      <c r="EY584" s="105"/>
      <c r="EZ584" s="105"/>
      <c r="FA584" s="105"/>
      <c r="FB584" s="105"/>
      <c r="FC584" s="105"/>
      <c r="FD584" s="105"/>
      <c r="FE584" s="105"/>
      <c r="FF584" s="105"/>
      <c r="FG584" s="105"/>
      <c r="FH584" s="105"/>
      <c r="FI584" s="105"/>
      <c r="FJ584" s="105"/>
      <c r="FK584" s="105"/>
      <c r="FL584" s="105"/>
      <c r="FM584" s="105"/>
      <c r="FN584" s="105"/>
      <c r="FO584" s="105"/>
      <c r="FP584" s="105"/>
      <c r="FQ584" s="105"/>
      <c r="FR584" s="105"/>
      <c r="FS584" s="105"/>
      <c r="FT584" s="105"/>
      <c r="FU584" s="105"/>
      <c r="FV584" s="105"/>
      <c r="FW584" s="105"/>
      <c r="FX584" s="105"/>
      <c r="FY584" s="105"/>
      <c r="FZ584" s="105"/>
      <c r="GA584" s="105"/>
      <c r="GB584" s="105"/>
      <c r="GC584" s="105"/>
      <c r="GD584" s="105"/>
      <c r="GE584" s="105"/>
      <c r="GF584" s="105"/>
      <c r="GG584" s="105"/>
      <c r="GH584" s="105"/>
      <c r="GI584" s="105"/>
      <c r="GJ584" s="105"/>
      <c r="GK584" s="105"/>
      <c r="GL584" s="105"/>
      <c r="GM584" s="105"/>
      <c r="GN584" s="105"/>
      <c r="GO584" s="105"/>
      <c r="GP584" s="105"/>
      <c r="GQ584" s="105"/>
      <c r="GR584" s="105"/>
      <c r="GS584" s="105"/>
      <c r="GT584" s="105"/>
      <c r="GU584" s="105"/>
      <c r="GV584" s="105"/>
      <c r="GW584" s="105"/>
      <c r="GX584" s="105"/>
      <c r="GY584" s="105"/>
      <c r="GZ584" s="105"/>
      <c r="HA584" s="105"/>
      <c r="HB584" s="105"/>
      <c r="HC584" s="105"/>
      <c r="HD584" s="105"/>
      <c r="HE584" s="105"/>
      <c r="HF584" s="105"/>
      <c r="HG584" s="105"/>
      <c r="HH584" s="105"/>
      <c r="HI584" s="105"/>
      <c r="HJ584" s="105"/>
      <c r="HK584" s="105"/>
      <c r="HL584" s="105"/>
      <c r="HM584" s="105"/>
      <c r="HN584" s="105"/>
      <c r="HO584" s="105"/>
      <c r="HP584" s="105"/>
      <c r="HQ584" s="105"/>
      <c r="HR584" s="105"/>
      <c r="HS584" s="105"/>
      <c r="HT584" s="105"/>
      <c r="HU584" s="105"/>
      <c r="HV584" s="105"/>
      <c r="HW584" s="105"/>
      <c r="HX584" s="105"/>
      <c r="HY584" s="105"/>
      <c r="HZ584" s="105"/>
      <c r="IA584" s="105"/>
      <c r="IB584" s="105"/>
      <c r="IC584" s="105"/>
      <c r="ID584" s="105"/>
      <c r="IE584" s="105"/>
      <c r="IF584" s="105"/>
      <c r="IG584" s="105"/>
      <c r="IH584" s="105"/>
      <c r="II584" s="105"/>
      <c r="IJ584" s="105"/>
      <c r="IK584" s="105"/>
      <c r="IL584" s="105"/>
      <c r="IM584" s="105"/>
      <c r="IN584" s="105"/>
      <c r="IO584" s="105"/>
      <c r="IP584" s="105"/>
      <c r="IQ584" s="105"/>
      <c r="IR584" s="105"/>
      <c r="IS584" s="105"/>
    </row>
    <row r="585" spans="1:253">
      <c r="A585" s="116"/>
      <c r="B585" s="105"/>
      <c r="C585" s="116"/>
      <c r="D585" s="116"/>
      <c r="E585" s="116"/>
      <c r="F585" s="116"/>
      <c r="G585" s="116"/>
      <c r="H585" s="116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05"/>
      <c r="BF585" s="105"/>
      <c r="BG585" s="105"/>
      <c r="BH585" s="105"/>
      <c r="BI585" s="105"/>
      <c r="BJ585" s="105"/>
      <c r="BK585" s="105"/>
      <c r="BL585" s="105"/>
      <c r="BM585" s="105"/>
      <c r="BN585" s="105"/>
      <c r="BO585" s="105"/>
      <c r="BP585" s="105"/>
      <c r="BQ585" s="105"/>
      <c r="BR585" s="105"/>
      <c r="BS585" s="105"/>
      <c r="BT585" s="105"/>
      <c r="BU585" s="105"/>
      <c r="BV585" s="105"/>
      <c r="BW585" s="105"/>
      <c r="BX585" s="105"/>
      <c r="BY585" s="105"/>
      <c r="BZ585" s="105"/>
      <c r="CA585" s="105"/>
      <c r="CB585" s="105"/>
      <c r="CC585" s="105"/>
      <c r="CD585" s="105"/>
      <c r="CE585" s="105"/>
      <c r="CF585" s="105"/>
      <c r="CG585" s="105"/>
      <c r="CH585" s="105"/>
      <c r="CI585" s="105"/>
      <c r="CJ585" s="105"/>
      <c r="CK585" s="105"/>
      <c r="CL585" s="105"/>
      <c r="CM585" s="105"/>
      <c r="CN585" s="105"/>
      <c r="CO585" s="105"/>
      <c r="CP585" s="105"/>
      <c r="CQ585" s="105"/>
      <c r="CR585" s="105"/>
      <c r="CS585" s="105"/>
      <c r="CT585" s="105"/>
      <c r="CU585" s="105"/>
      <c r="CV585" s="105"/>
      <c r="CW585" s="105"/>
      <c r="CX585" s="105"/>
      <c r="CY585" s="105"/>
      <c r="CZ585" s="105"/>
      <c r="DA585" s="105"/>
      <c r="DB585" s="105"/>
      <c r="DC585" s="105"/>
      <c r="DD585" s="105"/>
      <c r="DE585" s="105"/>
      <c r="DF585" s="105"/>
      <c r="DG585" s="105"/>
      <c r="DH585" s="105"/>
      <c r="DI585" s="105"/>
      <c r="DJ585" s="105"/>
      <c r="DK585" s="105"/>
      <c r="DL585" s="105"/>
      <c r="DM585" s="105"/>
      <c r="DN585" s="105"/>
      <c r="DO585" s="105"/>
      <c r="DP585" s="105"/>
      <c r="DQ585" s="105"/>
      <c r="DR585" s="105"/>
      <c r="DS585" s="105"/>
      <c r="DT585" s="105"/>
      <c r="DU585" s="105"/>
      <c r="DV585" s="105"/>
      <c r="DW585" s="105"/>
      <c r="DX585" s="105"/>
      <c r="DY585" s="105"/>
      <c r="DZ585" s="105"/>
      <c r="EA585" s="105"/>
      <c r="EB585" s="105"/>
      <c r="EC585" s="105"/>
      <c r="ED585" s="105"/>
      <c r="EE585" s="105"/>
      <c r="EF585" s="105"/>
      <c r="EG585" s="105"/>
      <c r="EH585" s="105"/>
      <c r="EI585" s="105"/>
      <c r="EJ585" s="105"/>
      <c r="EK585" s="105"/>
      <c r="EL585" s="105"/>
      <c r="EM585" s="105"/>
      <c r="EN585" s="105"/>
      <c r="EO585" s="105"/>
      <c r="EP585" s="105"/>
      <c r="EQ585" s="105"/>
      <c r="ER585" s="105"/>
      <c r="ES585" s="105"/>
      <c r="ET585" s="105"/>
      <c r="EU585" s="105"/>
      <c r="EV585" s="105"/>
      <c r="EW585" s="105"/>
      <c r="EX585" s="105"/>
      <c r="EY585" s="105"/>
      <c r="EZ585" s="105"/>
      <c r="FA585" s="105"/>
      <c r="FB585" s="105"/>
      <c r="FC585" s="105"/>
      <c r="FD585" s="105"/>
      <c r="FE585" s="105"/>
      <c r="FF585" s="105"/>
      <c r="FG585" s="105"/>
      <c r="FH585" s="105"/>
      <c r="FI585" s="105"/>
      <c r="FJ585" s="105"/>
      <c r="FK585" s="105"/>
      <c r="FL585" s="105"/>
      <c r="FM585" s="105"/>
      <c r="FN585" s="105"/>
      <c r="FO585" s="105"/>
      <c r="FP585" s="105"/>
      <c r="FQ585" s="105"/>
      <c r="FR585" s="105"/>
      <c r="FS585" s="105"/>
      <c r="FT585" s="105"/>
      <c r="FU585" s="105"/>
      <c r="FV585" s="105"/>
      <c r="FW585" s="105"/>
      <c r="FX585" s="105"/>
      <c r="FY585" s="105"/>
      <c r="FZ585" s="105"/>
      <c r="GA585" s="105"/>
      <c r="GB585" s="105"/>
      <c r="GC585" s="105"/>
      <c r="GD585" s="105"/>
      <c r="GE585" s="105"/>
      <c r="GF585" s="105"/>
      <c r="GG585" s="105"/>
      <c r="GH585" s="105"/>
      <c r="GI585" s="105"/>
      <c r="GJ585" s="105"/>
      <c r="GK585" s="105"/>
      <c r="GL585" s="105"/>
      <c r="GM585" s="105"/>
      <c r="GN585" s="105"/>
      <c r="GO585" s="105"/>
      <c r="GP585" s="105"/>
      <c r="GQ585" s="105"/>
      <c r="GR585" s="105"/>
      <c r="GS585" s="105"/>
      <c r="GT585" s="105"/>
      <c r="GU585" s="105"/>
      <c r="GV585" s="105"/>
      <c r="GW585" s="105"/>
      <c r="GX585" s="105"/>
      <c r="GY585" s="105"/>
      <c r="GZ585" s="105"/>
      <c r="HA585" s="105"/>
      <c r="HB585" s="105"/>
      <c r="HC585" s="105"/>
      <c r="HD585" s="105"/>
      <c r="HE585" s="105"/>
      <c r="HF585" s="105"/>
      <c r="HG585" s="105"/>
      <c r="HH585" s="105"/>
      <c r="HI585" s="105"/>
      <c r="HJ585" s="105"/>
      <c r="HK585" s="105"/>
      <c r="HL585" s="105"/>
      <c r="HM585" s="105"/>
      <c r="HN585" s="105"/>
      <c r="HO585" s="105"/>
      <c r="HP585" s="105"/>
      <c r="HQ585" s="105"/>
      <c r="HR585" s="105"/>
      <c r="HS585" s="105"/>
      <c r="HT585" s="105"/>
      <c r="HU585" s="105"/>
      <c r="HV585" s="105"/>
      <c r="HW585" s="105"/>
      <c r="HX585" s="105"/>
      <c r="HY585" s="105"/>
      <c r="HZ585" s="105"/>
      <c r="IA585" s="105"/>
      <c r="IB585" s="105"/>
      <c r="IC585" s="105"/>
      <c r="ID585" s="105"/>
      <c r="IE585" s="105"/>
      <c r="IF585" s="105"/>
      <c r="IG585" s="105"/>
      <c r="IH585" s="105"/>
      <c r="II585" s="105"/>
      <c r="IJ585" s="105"/>
      <c r="IK585" s="105"/>
      <c r="IL585" s="105"/>
      <c r="IM585" s="105"/>
      <c r="IN585" s="105"/>
      <c r="IO585" s="105"/>
      <c r="IP585" s="105"/>
      <c r="IQ585" s="105"/>
      <c r="IR585" s="105"/>
      <c r="IS585" s="105"/>
    </row>
    <row r="586" spans="1:253">
      <c r="A586" s="116"/>
      <c r="B586" s="105"/>
      <c r="C586" s="116"/>
      <c r="D586" s="116"/>
      <c r="E586" s="116"/>
      <c r="F586" s="116"/>
      <c r="G586" s="116"/>
      <c r="H586" s="116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  <c r="BF586" s="105"/>
      <c r="BG586" s="105"/>
      <c r="BH586" s="105"/>
      <c r="BI586" s="105"/>
      <c r="BJ586" s="105"/>
      <c r="BK586" s="105"/>
      <c r="BL586" s="105"/>
      <c r="BM586" s="105"/>
      <c r="BN586" s="105"/>
      <c r="BO586" s="105"/>
      <c r="BP586" s="105"/>
      <c r="BQ586" s="105"/>
      <c r="BR586" s="105"/>
      <c r="BS586" s="105"/>
      <c r="BT586" s="105"/>
      <c r="BU586" s="105"/>
      <c r="BV586" s="105"/>
      <c r="BW586" s="105"/>
      <c r="BX586" s="105"/>
      <c r="BY586" s="105"/>
      <c r="BZ586" s="105"/>
      <c r="CA586" s="105"/>
      <c r="CB586" s="105"/>
      <c r="CC586" s="105"/>
      <c r="CD586" s="105"/>
      <c r="CE586" s="105"/>
      <c r="CF586" s="105"/>
      <c r="CG586" s="105"/>
      <c r="CH586" s="105"/>
      <c r="CI586" s="105"/>
      <c r="CJ586" s="105"/>
      <c r="CK586" s="105"/>
      <c r="CL586" s="105"/>
      <c r="CM586" s="105"/>
      <c r="CN586" s="105"/>
      <c r="CO586" s="105"/>
      <c r="CP586" s="105"/>
      <c r="CQ586" s="105"/>
      <c r="CR586" s="105"/>
      <c r="CS586" s="105"/>
      <c r="CT586" s="105"/>
      <c r="CU586" s="105"/>
      <c r="CV586" s="105"/>
      <c r="CW586" s="105"/>
      <c r="CX586" s="105"/>
      <c r="CY586" s="105"/>
      <c r="CZ586" s="105"/>
      <c r="DA586" s="105"/>
      <c r="DB586" s="105"/>
      <c r="DC586" s="105"/>
      <c r="DD586" s="105"/>
      <c r="DE586" s="105"/>
      <c r="DF586" s="105"/>
      <c r="DG586" s="105"/>
      <c r="DH586" s="105"/>
      <c r="DI586" s="105"/>
      <c r="DJ586" s="105"/>
      <c r="DK586" s="105"/>
      <c r="DL586" s="105"/>
      <c r="DM586" s="105"/>
      <c r="DN586" s="105"/>
      <c r="DO586" s="105"/>
      <c r="DP586" s="105"/>
      <c r="DQ586" s="105"/>
      <c r="DR586" s="105"/>
      <c r="DS586" s="105"/>
      <c r="DT586" s="105"/>
      <c r="DU586" s="105"/>
      <c r="DV586" s="105"/>
      <c r="DW586" s="105"/>
      <c r="DX586" s="105"/>
      <c r="DY586" s="105"/>
      <c r="DZ586" s="105"/>
      <c r="EA586" s="105"/>
      <c r="EB586" s="105"/>
      <c r="EC586" s="105"/>
      <c r="ED586" s="105"/>
      <c r="EE586" s="105"/>
      <c r="EF586" s="105"/>
      <c r="EG586" s="105"/>
      <c r="EH586" s="105"/>
      <c r="EI586" s="105"/>
      <c r="EJ586" s="105"/>
      <c r="EK586" s="105"/>
      <c r="EL586" s="105"/>
      <c r="EM586" s="105"/>
      <c r="EN586" s="105"/>
      <c r="EO586" s="105"/>
      <c r="EP586" s="105"/>
      <c r="EQ586" s="105"/>
      <c r="ER586" s="105"/>
      <c r="ES586" s="105"/>
      <c r="ET586" s="105"/>
      <c r="EU586" s="105"/>
      <c r="EV586" s="105"/>
      <c r="EW586" s="105"/>
      <c r="EX586" s="105"/>
      <c r="EY586" s="105"/>
      <c r="EZ586" s="105"/>
      <c r="FA586" s="105"/>
      <c r="FB586" s="105"/>
      <c r="FC586" s="105"/>
      <c r="FD586" s="105"/>
      <c r="FE586" s="105"/>
      <c r="FF586" s="105"/>
      <c r="FG586" s="105"/>
      <c r="FH586" s="105"/>
      <c r="FI586" s="105"/>
      <c r="FJ586" s="105"/>
      <c r="FK586" s="105"/>
      <c r="FL586" s="105"/>
      <c r="FM586" s="105"/>
      <c r="FN586" s="105"/>
      <c r="FO586" s="105"/>
      <c r="FP586" s="105"/>
      <c r="FQ586" s="105"/>
      <c r="FR586" s="105"/>
      <c r="FS586" s="105"/>
      <c r="FT586" s="105"/>
      <c r="FU586" s="105"/>
      <c r="FV586" s="105"/>
      <c r="FW586" s="105"/>
      <c r="FX586" s="105"/>
      <c r="FY586" s="105"/>
      <c r="FZ586" s="105"/>
      <c r="GA586" s="105"/>
      <c r="GB586" s="105"/>
      <c r="GC586" s="105"/>
      <c r="GD586" s="105"/>
      <c r="GE586" s="105"/>
      <c r="GF586" s="105"/>
      <c r="GG586" s="105"/>
      <c r="GH586" s="105"/>
      <c r="GI586" s="105"/>
      <c r="GJ586" s="105"/>
      <c r="GK586" s="105"/>
      <c r="GL586" s="105"/>
      <c r="GM586" s="105"/>
      <c r="GN586" s="105"/>
      <c r="GO586" s="105"/>
      <c r="GP586" s="105"/>
      <c r="GQ586" s="105"/>
      <c r="GR586" s="105"/>
      <c r="GS586" s="105"/>
      <c r="GT586" s="105"/>
      <c r="GU586" s="105"/>
      <c r="GV586" s="105"/>
      <c r="GW586" s="105"/>
      <c r="GX586" s="105"/>
      <c r="GY586" s="105"/>
      <c r="GZ586" s="105"/>
      <c r="HA586" s="105"/>
      <c r="HB586" s="105"/>
      <c r="HC586" s="105"/>
      <c r="HD586" s="105"/>
      <c r="HE586" s="105"/>
      <c r="HF586" s="105"/>
      <c r="HG586" s="105"/>
      <c r="HH586" s="105"/>
      <c r="HI586" s="105"/>
      <c r="HJ586" s="105"/>
      <c r="HK586" s="105"/>
      <c r="HL586" s="105"/>
      <c r="HM586" s="105"/>
      <c r="HN586" s="105"/>
      <c r="HO586" s="105"/>
      <c r="HP586" s="105"/>
      <c r="HQ586" s="105"/>
      <c r="HR586" s="105"/>
      <c r="HS586" s="105"/>
      <c r="HT586" s="105"/>
      <c r="HU586" s="105"/>
      <c r="HV586" s="105"/>
      <c r="HW586" s="105"/>
      <c r="HX586" s="105"/>
      <c r="HY586" s="105"/>
      <c r="HZ586" s="105"/>
      <c r="IA586" s="105"/>
      <c r="IB586" s="105"/>
      <c r="IC586" s="105"/>
      <c r="ID586" s="105"/>
      <c r="IE586" s="105"/>
      <c r="IF586" s="105"/>
      <c r="IG586" s="105"/>
      <c r="IH586" s="105"/>
      <c r="II586" s="105"/>
      <c r="IJ586" s="105"/>
      <c r="IK586" s="105"/>
      <c r="IL586" s="105"/>
      <c r="IM586" s="105"/>
      <c r="IN586" s="105"/>
      <c r="IO586" s="105"/>
      <c r="IP586" s="105"/>
      <c r="IQ586" s="105"/>
      <c r="IR586" s="105"/>
      <c r="IS586" s="105"/>
    </row>
    <row r="587" spans="1:253">
      <c r="A587" s="116"/>
      <c r="B587" s="105"/>
      <c r="C587" s="116"/>
      <c r="D587" s="116"/>
      <c r="E587" s="116"/>
      <c r="F587" s="116"/>
      <c r="G587" s="116"/>
      <c r="H587" s="116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5"/>
      <c r="BE587" s="105"/>
      <c r="BF587" s="105"/>
      <c r="BG587" s="105"/>
      <c r="BH587" s="105"/>
      <c r="BI587" s="105"/>
      <c r="BJ587" s="105"/>
      <c r="BK587" s="105"/>
      <c r="BL587" s="105"/>
      <c r="BM587" s="105"/>
      <c r="BN587" s="105"/>
      <c r="BO587" s="105"/>
      <c r="BP587" s="105"/>
      <c r="BQ587" s="105"/>
      <c r="BR587" s="105"/>
      <c r="BS587" s="105"/>
      <c r="BT587" s="105"/>
      <c r="BU587" s="105"/>
      <c r="BV587" s="105"/>
      <c r="BW587" s="105"/>
      <c r="BX587" s="105"/>
      <c r="BY587" s="105"/>
      <c r="BZ587" s="105"/>
      <c r="CA587" s="105"/>
      <c r="CB587" s="105"/>
      <c r="CC587" s="105"/>
      <c r="CD587" s="105"/>
      <c r="CE587" s="105"/>
      <c r="CF587" s="105"/>
      <c r="CG587" s="105"/>
      <c r="CH587" s="105"/>
      <c r="CI587" s="105"/>
      <c r="CJ587" s="105"/>
      <c r="CK587" s="105"/>
      <c r="CL587" s="105"/>
      <c r="CM587" s="105"/>
      <c r="CN587" s="105"/>
      <c r="CO587" s="105"/>
      <c r="CP587" s="105"/>
      <c r="CQ587" s="105"/>
      <c r="CR587" s="105"/>
      <c r="CS587" s="105"/>
      <c r="CT587" s="105"/>
      <c r="CU587" s="105"/>
      <c r="CV587" s="105"/>
      <c r="CW587" s="105"/>
      <c r="CX587" s="105"/>
      <c r="CY587" s="105"/>
      <c r="CZ587" s="105"/>
      <c r="DA587" s="105"/>
      <c r="DB587" s="105"/>
      <c r="DC587" s="105"/>
      <c r="DD587" s="105"/>
      <c r="DE587" s="105"/>
      <c r="DF587" s="105"/>
      <c r="DG587" s="105"/>
      <c r="DH587" s="105"/>
      <c r="DI587" s="105"/>
      <c r="DJ587" s="105"/>
      <c r="DK587" s="105"/>
      <c r="DL587" s="105"/>
      <c r="DM587" s="105"/>
      <c r="DN587" s="105"/>
      <c r="DO587" s="105"/>
      <c r="DP587" s="105"/>
      <c r="DQ587" s="105"/>
      <c r="DR587" s="105"/>
      <c r="DS587" s="105"/>
      <c r="DT587" s="105"/>
      <c r="DU587" s="105"/>
      <c r="DV587" s="105"/>
      <c r="DW587" s="105"/>
      <c r="DX587" s="105"/>
      <c r="DY587" s="105"/>
      <c r="DZ587" s="105"/>
      <c r="EA587" s="105"/>
      <c r="EB587" s="105"/>
      <c r="EC587" s="105"/>
      <c r="ED587" s="105"/>
      <c r="EE587" s="105"/>
      <c r="EF587" s="105"/>
      <c r="EG587" s="105"/>
      <c r="EH587" s="105"/>
      <c r="EI587" s="105"/>
      <c r="EJ587" s="105"/>
      <c r="EK587" s="105"/>
      <c r="EL587" s="105"/>
      <c r="EM587" s="105"/>
      <c r="EN587" s="105"/>
      <c r="EO587" s="105"/>
      <c r="EP587" s="105"/>
      <c r="EQ587" s="105"/>
      <c r="ER587" s="105"/>
      <c r="ES587" s="105"/>
      <c r="ET587" s="105"/>
      <c r="EU587" s="105"/>
      <c r="EV587" s="105"/>
      <c r="EW587" s="105"/>
      <c r="EX587" s="105"/>
      <c r="EY587" s="105"/>
      <c r="EZ587" s="105"/>
      <c r="FA587" s="105"/>
      <c r="FB587" s="105"/>
      <c r="FC587" s="105"/>
      <c r="FD587" s="105"/>
      <c r="FE587" s="105"/>
      <c r="FF587" s="105"/>
      <c r="FG587" s="105"/>
      <c r="FH587" s="105"/>
      <c r="FI587" s="105"/>
      <c r="FJ587" s="105"/>
      <c r="FK587" s="105"/>
      <c r="FL587" s="105"/>
      <c r="FM587" s="105"/>
      <c r="FN587" s="105"/>
      <c r="FO587" s="105"/>
      <c r="FP587" s="105"/>
      <c r="FQ587" s="105"/>
      <c r="FR587" s="105"/>
      <c r="FS587" s="105"/>
      <c r="FT587" s="105"/>
      <c r="FU587" s="105"/>
      <c r="FV587" s="105"/>
      <c r="FW587" s="105"/>
      <c r="FX587" s="105"/>
      <c r="FY587" s="105"/>
      <c r="FZ587" s="105"/>
      <c r="GA587" s="105"/>
      <c r="GB587" s="105"/>
      <c r="GC587" s="105"/>
      <c r="GD587" s="105"/>
      <c r="GE587" s="105"/>
      <c r="GF587" s="105"/>
      <c r="GG587" s="105"/>
      <c r="GH587" s="105"/>
      <c r="GI587" s="105"/>
      <c r="GJ587" s="105"/>
      <c r="GK587" s="105"/>
      <c r="GL587" s="105"/>
      <c r="GM587" s="105"/>
      <c r="GN587" s="105"/>
      <c r="GO587" s="105"/>
      <c r="GP587" s="105"/>
      <c r="GQ587" s="105"/>
      <c r="GR587" s="105"/>
      <c r="GS587" s="105"/>
      <c r="GT587" s="105"/>
      <c r="GU587" s="105"/>
      <c r="GV587" s="105"/>
      <c r="GW587" s="105"/>
      <c r="GX587" s="105"/>
      <c r="GY587" s="105"/>
      <c r="GZ587" s="105"/>
      <c r="HA587" s="105"/>
      <c r="HB587" s="105"/>
      <c r="HC587" s="105"/>
      <c r="HD587" s="105"/>
      <c r="HE587" s="105"/>
      <c r="HF587" s="105"/>
      <c r="HG587" s="105"/>
      <c r="HH587" s="105"/>
      <c r="HI587" s="105"/>
      <c r="HJ587" s="105"/>
      <c r="HK587" s="105"/>
      <c r="HL587" s="105"/>
      <c r="HM587" s="105"/>
      <c r="HN587" s="105"/>
      <c r="HO587" s="105"/>
      <c r="HP587" s="105"/>
      <c r="HQ587" s="105"/>
      <c r="HR587" s="105"/>
      <c r="HS587" s="105"/>
      <c r="HT587" s="105"/>
      <c r="HU587" s="105"/>
      <c r="HV587" s="105"/>
      <c r="HW587" s="105"/>
      <c r="HX587" s="105"/>
      <c r="HY587" s="105"/>
      <c r="HZ587" s="105"/>
      <c r="IA587" s="105"/>
      <c r="IB587" s="105"/>
      <c r="IC587" s="105"/>
      <c r="ID587" s="105"/>
      <c r="IE587" s="105"/>
      <c r="IF587" s="105"/>
      <c r="IG587" s="105"/>
      <c r="IH587" s="105"/>
      <c r="II587" s="105"/>
      <c r="IJ587" s="105"/>
      <c r="IK587" s="105"/>
      <c r="IL587" s="105"/>
      <c r="IM587" s="105"/>
      <c r="IN587" s="105"/>
      <c r="IO587" s="105"/>
      <c r="IP587" s="105"/>
      <c r="IQ587" s="105"/>
      <c r="IR587" s="105"/>
      <c r="IS587" s="105"/>
    </row>
    <row r="588" spans="1:253">
      <c r="A588" s="116"/>
      <c r="B588" s="105"/>
      <c r="C588" s="116"/>
      <c r="D588" s="116"/>
      <c r="E588" s="116"/>
      <c r="F588" s="116"/>
      <c r="G588" s="116"/>
      <c r="H588" s="116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05"/>
      <c r="BF588" s="105"/>
      <c r="BG588" s="105"/>
      <c r="BH588" s="105"/>
      <c r="BI588" s="105"/>
      <c r="BJ588" s="105"/>
      <c r="BK588" s="105"/>
      <c r="BL588" s="105"/>
      <c r="BM588" s="105"/>
      <c r="BN588" s="105"/>
      <c r="BO588" s="105"/>
      <c r="BP588" s="105"/>
      <c r="BQ588" s="105"/>
      <c r="BR588" s="105"/>
      <c r="BS588" s="105"/>
      <c r="BT588" s="105"/>
      <c r="BU588" s="105"/>
      <c r="BV588" s="105"/>
      <c r="BW588" s="105"/>
      <c r="BX588" s="105"/>
      <c r="BY588" s="105"/>
      <c r="BZ588" s="105"/>
      <c r="CA588" s="105"/>
      <c r="CB588" s="105"/>
      <c r="CC588" s="105"/>
      <c r="CD588" s="105"/>
      <c r="CE588" s="105"/>
      <c r="CF588" s="105"/>
      <c r="CG588" s="105"/>
      <c r="CH588" s="105"/>
      <c r="CI588" s="105"/>
      <c r="CJ588" s="105"/>
      <c r="CK588" s="105"/>
      <c r="CL588" s="105"/>
      <c r="CM588" s="105"/>
      <c r="CN588" s="105"/>
      <c r="CO588" s="105"/>
      <c r="CP588" s="105"/>
      <c r="CQ588" s="105"/>
      <c r="CR588" s="105"/>
      <c r="CS588" s="105"/>
      <c r="CT588" s="105"/>
      <c r="CU588" s="105"/>
      <c r="CV588" s="105"/>
      <c r="CW588" s="105"/>
      <c r="CX588" s="105"/>
      <c r="CY588" s="105"/>
      <c r="CZ588" s="105"/>
      <c r="DA588" s="105"/>
      <c r="DB588" s="105"/>
      <c r="DC588" s="105"/>
      <c r="DD588" s="105"/>
      <c r="DE588" s="105"/>
      <c r="DF588" s="105"/>
      <c r="DG588" s="105"/>
      <c r="DH588" s="105"/>
      <c r="DI588" s="105"/>
      <c r="DJ588" s="105"/>
      <c r="DK588" s="105"/>
      <c r="DL588" s="105"/>
      <c r="DM588" s="105"/>
      <c r="DN588" s="105"/>
      <c r="DO588" s="105"/>
      <c r="DP588" s="105"/>
      <c r="DQ588" s="105"/>
      <c r="DR588" s="105"/>
      <c r="DS588" s="105"/>
      <c r="DT588" s="105"/>
      <c r="DU588" s="105"/>
      <c r="DV588" s="105"/>
      <c r="DW588" s="105"/>
      <c r="DX588" s="105"/>
      <c r="DY588" s="105"/>
      <c r="DZ588" s="105"/>
      <c r="EA588" s="105"/>
      <c r="EB588" s="105"/>
      <c r="EC588" s="105"/>
      <c r="ED588" s="105"/>
      <c r="EE588" s="105"/>
      <c r="EF588" s="105"/>
      <c r="EG588" s="105"/>
      <c r="EH588" s="105"/>
      <c r="EI588" s="105"/>
      <c r="EJ588" s="105"/>
      <c r="EK588" s="105"/>
      <c r="EL588" s="105"/>
      <c r="EM588" s="105"/>
      <c r="EN588" s="105"/>
      <c r="EO588" s="105"/>
      <c r="EP588" s="105"/>
      <c r="EQ588" s="105"/>
      <c r="ER588" s="105"/>
      <c r="ES588" s="105"/>
      <c r="ET588" s="105"/>
      <c r="EU588" s="105"/>
      <c r="EV588" s="105"/>
      <c r="EW588" s="105"/>
      <c r="EX588" s="105"/>
      <c r="EY588" s="105"/>
      <c r="EZ588" s="105"/>
      <c r="FA588" s="105"/>
      <c r="FB588" s="105"/>
      <c r="FC588" s="105"/>
      <c r="FD588" s="105"/>
      <c r="FE588" s="105"/>
      <c r="FF588" s="105"/>
      <c r="FG588" s="105"/>
      <c r="FH588" s="105"/>
      <c r="FI588" s="105"/>
      <c r="FJ588" s="105"/>
      <c r="FK588" s="105"/>
      <c r="FL588" s="105"/>
      <c r="FM588" s="105"/>
      <c r="FN588" s="105"/>
      <c r="FO588" s="105"/>
      <c r="FP588" s="105"/>
      <c r="FQ588" s="105"/>
      <c r="FR588" s="105"/>
      <c r="FS588" s="105"/>
      <c r="FT588" s="105"/>
      <c r="FU588" s="105"/>
      <c r="FV588" s="105"/>
      <c r="FW588" s="105"/>
      <c r="FX588" s="105"/>
      <c r="FY588" s="105"/>
      <c r="FZ588" s="105"/>
      <c r="GA588" s="105"/>
      <c r="GB588" s="105"/>
      <c r="GC588" s="105"/>
      <c r="GD588" s="105"/>
      <c r="GE588" s="105"/>
      <c r="GF588" s="105"/>
      <c r="GG588" s="105"/>
      <c r="GH588" s="105"/>
      <c r="GI588" s="105"/>
      <c r="GJ588" s="105"/>
      <c r="GK588" s="105"/>
      <c r="GL588" s="105"/>
      <c r="GM588" s="105"/>
      <c r="GN588" s="105"/>
      <c r="GO588" s="105"/>
      <c r="GP588" s="105"/>
      <c r="GQ588" s="105"/>
      <c r="GR588" s="105"/>
      <c r="GS588" s="105"/>
      <c r="GT588" s="105"/>
      <c r="GU588" s="105"/>
      <c r="GV588" s="105"/>
      <c r="GW588" s="105"/>
      <c r="GX588" s="105"/>
      <c r="GY588" s="105"/>
      <c r="GZ588" s="105"/>
      <c r="HA588" s="105"/>
      <c r="HB588" s="105"/>
      <c r="HC588" s="105"/>
      <c r="HD588" s="105"/>
      <c r="HE588" s="105"/>
      <c r="HF588" s="105"/>
      <c r="HG588" s="105"/>
      <c r="HH588" s="105"/>
      <c r="HI588" s="105"/>
      <c r="HJ588" s="105"/>
      <c r="HK588" s="105"/>
      <c r="HL588" s="105"/>
      <c r="HM588" s="105"/>
      <c r="HN588" s="105"/>
      <c r="HO588" s="105"/>
      <c r="HP588" s="105"/>
      <c r="HQ588" s="105"/>
      <c r="HR588" s="105"/>
      <c r="HS588" s="105"/>
      <c r="HT588" s="105"/>
      <c r="HU588" s="105"/>
      <c r="HV588" s="105"/>
      <c r="HW588" s="105"/>
      <c r="HX588" s="105"/>
      <c r="HY588" s="105"/>
      <c r="HZ588" s="105"/>
      <c r="IA588" s="105"/>
      <c r="IB588" s="105"/>
      <c r="IC588" s="105"/>
      <c r="ID588" s="105"/>
      <c r="IE588" s="105"/>
      <c r="IF588" s="105"/>
      <c r="IG588" s="105"/>
      <c r="IH588" s="105"/>
      <c r="II588" s="105"/>
      <c r="IJ588" s="105"/>
      <c r="IK588" s="105"/>
      <c r="IL588" s="105"/>
      <c r="IM588" s="105"/>
      <c r="IN588" s="105"/>
      <c r="IO588" s="105"/>
      <c r="IP588" s="105"/>
      <c r="IQ588" s="105"/>
      <c r="IR588" s="105"/>
      <c r="IS588" s="105"/>
    </row>
    <row r="589" spans="1:253">
      <c r="A589" s="116"/>
      <c r="B589" s="105"/>
      <c r="C589" s="116"/>
      <c r="D589" s="116"/>
      <c r="E589" s="116"/>
      <c r="F589" s="116"/>
      <c r="G589" s="116"/>
      <c r="H589" s="116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5"/>
      <c r="BE589" s="105"/>
      <c r="BF589" s="105"/>
      <c r="BG589" s="105"/>
      <c r="BH589" s="105"/>
      <c r="BI589" s="105"/>
      <c r="BJ589" s="105"/>
      <c r="BK589" s="105"/>
      <c r="BL589" s="105"/>
      <c r="BM589" s="105"/>
      <c r="BN589" s="105"/>
      <c r="BO589" s="105"/>
      <c r="BP589" s="105"/>
      <c r="BQ589" s="105"/>
      <c r="BR589" s="105"/>
      <c r="BS589" s="105"/>
      <c r="BT589" s="105"/>
      <c r="BU589" s="105"/>
      <c r="BV589" s="105"/>
      <c r="BW589" s="105"/>
      <c r="BX589" s="105"/>
      <c r="BY589" s="105"/>
      <c r="BZ589" s="105"/>
      <c r="CA589" s="105"/>
      <c r="CB589" s="105"/>
      <c r="CC589" s="105"/>
      <c r="CD589" s="105"/>
      <c r="CE589" s="105"/>
      <c r="CF589" s="105"/>
      <c r="CG589" s="105"/>
      <c r="CH589" s="105"/>
      <c r="CI589" s="105"/>
      <c r="CJ589" s="105"/>
      <c r="CK589" s="105"/>
      <c r="CL589" s="105"/>
      <c r="CM589" s="105"/>
      <c r="CN589" s="105"/>
      <c r="CO589" s="105"/>
      <c r="CP589" s="105"/>
      <c r="CQ589" s="105"/>
      <c r="CR589" s="105"/>
      <c r="CS589" s="105"/>
      <c r="CT589" s="105"/>
      <c r="CU589" s="105"/>
      <c r="CV589" s="105"/>
      <c r="CW589" s="105"/>
      <c r="CX589" s="105"/>
      <c r="CY589" s="105"/>
      <c r="CZ589" s="105"/>
      <c r="DA589" s="105"/>
      <c r="DB589" s="105"/>
      <c r="DC589" s="105"/>
      <c r="DD589" s="105"/>
      <c r="DE589" s="105"/>
      <c r="DF589" s="105"/>
      <c r="DG589" s="105"/>
      <c r="DH589" s="105"/>
      <c r="DI589" s="105"/>
      <c r="DJ589" s="105"/>
      <c r="DK589" s="105"/>
      <c r="DL589" s="105"/>
      <c r="DM589" s="105"/>
      <c r="DN589" s="105"/>
      <c r="DO589" s="105"/>
      <c r="DP589" s="105"/>
      <c r="DQ589" s="105"/>
      <c r="DR589" s="105"/>
      <c r="DS589" s="105"/>
      <c r="DT589" s="105"/>
      <c r="DU589" s="105"/>
      <c r="DV589" s="105"/>
      <c r="DW589" s="105"/>
      <c r="DX589" s="105"/>
      <c r="DY589" s="105"/>
      <c r="DZ589" s="105"/>
      <c r="EA589" s="105"/>
      <c r="EB589" s="105"/>
      <c r="EC589" s="105"/>
      <c r="ED589" s="105"/>
      <c r="EE589" s="105"/>
      <c r="EF589" s="105"/>
      <c r="EG589" s="105"/>
      <c r="EH589" s="105"/>
      <c r="EI589" s="105"/>
      <c r="EJ589" s="105"/>
      <c r="EK589" s="105"/>
      <c r="EL589" s="105"/>
      <c r="EM589" s="105"/>
      <c r="EN589" s="105"/>
      <c r="EO589" s="105"/>
      <c r="EP589" s="105"/>
      <c r="EQ589" s="105"/>
      <c r="ER589" s="105"/>
      <c r="ES589" s="105"/>
      <c r="ET589" s="105"/>
      <c r="EU589" s="105"/>
      <c r="EV589" s="105"/>
      <c r="EW589" s="105"/>
      <c r="EX589" s="105"/>
      <c r="EY589" s="105"/>
      <c r="EZ589" s="105"/>
      <c r="FA589" s="105"/>
      <c r="FB589" s="105"/>
      <c r="FC589" s="105"/>
      <c r="FD589" s="105"/>
      <c r="FE589" s="105"/>
      <c r="FF589" s="105"/>
      <c r="FG589" s="105"/>
      <c r="FH589" s="105"/>
      <c r="FI589" s="105"/>
      <c r="FJ589" s="105"/>
      <c r="FK589" s="105"/>
      <c r="FL589" s="105"/>
      <c r="FM589" s="105"/>
      <c r="FN589" s="105"/>
      <c r="FO589" s="105"/>
      <c r="FP589" s="105"/>
      <c r="FQ589" s="105"/>
      <c r="FR589" s="105"/>
      <c r="FS589" s="105"/>
      <c r="FT589" s="105"/>
      <c r="FU589" s="105"/>
      <c r="FV589" s="105"/>
      <c r="FW589" s="105"/>
      <c r="FX589" s="105"/>
      <c r="FY589" s="105"/>
      <c r="FZ589" s="105"/>
      <c r="GA589" s="105"/>
      <c r="GB589" s="105"/>
      <c r="GC589" s="105"/>
      <c r="GD589" s="105"/>
      <c r="GE589" s="105"/>
      <c r="GF589" s="105"/>
      <c r="GG589" s="105"/>
      <c r="GH589" s="105"/>
      <c r="GI589" s="105"/>
      <c r="GJ589" s="105"/>
      <c r="GK589" s="105"/>
      <c r="GL589" s="105"/>
      <c r="GM589" s="105"/>
      <c r="GN589" s="105"/>
      <c r="GO589" s="105"/>
      <c r="GP589" s="105"/>
      <c r="GQ589" s="105"/>
      <c r="GR589" s="105"/>
      <c r="GS589" s="105"/>
      <c r="GT589" s="105"/>
      <c r="GU589" s="105"/>
      <c r="GV589" s="105"/>
      <c r="GW589" s="105"/>
      <c r="GX589" s="105"/>
      <c r="GY589" s="105"/>
      <c r="GZ589" s="105"/>
      <c r="HA589" s="105"/>
      <c r="HB589" s="105"/>
      <c r="HC589" s="105"/>
      <c r="HD589" s="105"/>
      <c r="HE589" s="105"/>
      <c r="HF589" s="105"/>
      <c r="HG589" s="105"/>
      <c r="HH589" s="105"/>
      <c r="HI589" s="105"/>
      <c r="HJ589" s="105"/>
      <c r="HK589" s="105"/>
      <c r="HL589" s="105"/>
      <c r="HM589" s="105"/>
      <c r="HN589" s="105"/>
      <c r="HO589" s="105"/>
      <c r="HP589" s="105"/>
      <c r="HQ589" s="105"/>
      <c r="HR589" s="105"/>
      <c r="HS589" s="105"/>
      <c r="HT589" s="105"/>
      <c r="HU589" s="105"/>
      <c r="HV589" s="105"/>
      <c r="HW589" s="105"/>
      <c r="HX589" s="105"/>
      <c r="HY589" s="105"/>
      <c r="HZ589" s="105"/>
      <c r="IA589" s="105"/>
      <c r="IB589" s="105"/>
      <c r="IC589" s="105"/>
      <c r="ID589" s="105"/>
      <c r="IE589" s="105"/>
      <c r="IF589" s="105"/>
      <c r="IG589" s="105"/>
      <c r="IH589" s="105"/>
      <c r="II589" s="105"/>
      <c r="IJ589" s="105"/>
      <c r="IK589" s="105"/>
      <c r="IL589" s="105"/>
      <c r="IM589" s="105"/>
      <c r="IN589" s="105"/>
      <c r="IO589" s="105"/>
      <c r="IP589" s="105"/>
      <c r="IQ589" s="105"/>
      <c r="IR589" s="105"/>
      <c r="IS589" s="105"/>
    </row>
    <row r="590" spans="1:253">
      <c r="A590" s="116"/>
      <c r="B590" s="105"/>
      <c r="C590" s="116"/>
      <c r="D590" s="116"/>
      <c r="E590" s="116"/>
      <c r="F590" s="116"/>
      <c r="G590" s="116"/>
      <c r="H590" s="116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05"/>
      <c r="BF590" s="105"/>
      <c r="BG590" s="105"/>
      <c r="BH590" s="105"/>
      <c r="BI590" s="105"/>
      <c r="BJ590" s="105"/>
      <c r="BK590" s="105"/>
      <c r="BL590" s="105"/>
      <c r="BM590" s="105"/>
      <c r="BN590" s="105"/>
      <c r="BO590" s="105"/>
      <c r="BP590" s="105"/>
      <c r="BQ590" s="105"/>
      <c r="BR590" s="105"/>
      <c r="BS590" s="105"/>
      <c r="BT590" s="105"/>
      <c r="BU590" s="105"/>
      <c r="BV590" s="105"/>
      <c r="BW590" s="105"/>
      <c r="BX590" s="105"/>
      <c r="BY590" s="105"/>
      <c r="BZ590" s="105"/>
      <c r="CA590" s="105"/>
      <c r="CB590" s="105"/>
      <c r="CC590" s="105"/>
      <c r="CD590" s="105"/>
      <c r="CE590" s="105"/>
      <c r="CF590" s="105"/>
      <c r="CG590" s="105"/>
      <c r="CH590" s="105"/>
      <c r="CI590" s="105"/>
      <c r="CJ590" s="105"/>
      <c r="CK590" s="105"/>
      <c r="CL590" s="105"/>
      <c r="CM590" s="105"/>
      <c r="CN590" s="105"/>
      <c r="CO590" s="105"/>
      <c r="CP590" s="105"/>
      <c r="CQ590" s="105"/>
      <c r="CR590" s="105"/>
      <c r="CS590" s="105"/>
      <c r="CT590" s="105"/>
      <c r="CU590" s="105"/>
      <c r="CV590" s="105"/>
      <c r="CW590" s="105"/>
      <c r="CX590" s="105"/>
      <c r="CY590" s="105"/>
      <c r="CZ590" s="105"/>
      <c r="DA590" s="105"/>
      <c r="DB590" s="105"/>
      <c r="DC590" s="105"/>
      <c r="DD590" s="105"/>
      <c r="DE590" s="105"/>
      <c r="DF590" s="105"/>
      <c r="DG590" s="105"/>
      <c r="DH590" s="105"/>
      <c r="DI590" s="105"/>
      <c r="DJ590" s="105"/>
      <c r="DK590" s="105"/>
      <c r="DL590" s="105"/>
      <c r="DM590" s="105"/>
      <c r="DN590" s="105"/>
      <c r="DO590" s="105"/>
      <c r="DP590" s="105"/>
      <c r="DQ590" s="105"/>
      <c r="DR590" s="105"/>
      <c r="DS590" s="105"/>
      <c r="DT590" s="105"/>
      <c r="DU590" s="105"/>
      <c r="DV590" s="105"/>
      <c r="DW590" s="105"/>
      <c r="DX590" s="105"/>
      <c r="DY590" s="105"/>
      <c r="DZ590" s="105"/>
      <c r="EA590" s="105"/>
      <c r="EB590" s="105"/>
      <c r="EC590" s="105"/>
      <c r="ED590" s="105"/>
      <c r="EE590" s="105"/>
      <c r="EF590" s="105"/>
      <c r="EG590" s="105"/>
      <c r="EH590" s="105"/>
      <c r="EI590" s="105"/>
      <c r="EJ590" s="105"/>
      <c r="EK590" s="105"/>
      <c r="EL590" s="105"/>
      <c r="EM590" s="105"/>
      <c r="EN590" s="105"/>
      <c r="EO590" s="105"/>
      <c r="EP590" s="105"/>
      <c r="EQ590" s="105"/>
      <c r="ER590" s="105"/>
      <c r="ES590" s="105"/>
      <c r="ET590" s="105"/>
      <c r="EU590" s="105"/>
      <c r="EV590" s="105"/>
      <c r="EW590" s="105"/>
      <c r="EX590" s="105"/>
      <c r="EY590" s="105"/>
      <c r="EZ590" s="105"/>
      <c r="FA590" s="105"/>
      <c r="FB590" s="105"/>
      <c r="FC590" s="105"/>
      <c r="FD590" s="105"/>
      <c r="FE590" s="105"/>
      <c r="FF590" s="105"/>
      <c r="FG590" s="105"/>
      <c r="FH590" s="105"/>
      <c r="FI590" s="105"/>
      <c r="FJ590" s="105"/>
      <c r="FK590" s="105"/>
      <c r="FL590" s="105"/>
      <c r="FM590" s="105"/>
      <c r="FN590" s="105"/>
      <c r="FO590" s="105"/>
      <c r="FP590" s="105"/>
      <c r="FQ590" s="105"/>
      <c r="FR590" s="105"/>
      <c r="FS590" s="105"/>
      <c r="FT590" s="105"/>
      <c r="FU590" s="105"/>
      <c r="FV590" s="105"/>
      <c r="FW590" s="105"/>
      <c r="FX590" s="105"/>
      <c r="FY590" s="105"/>
      <c r="FZ590" s="105"/>
      <c r="GA590" s="105"/>
      <c r="GB590" s="105"/>
      <c r="GC590" s="105"/>
      <c r="GD590" s="105"/>
      <c r="GE590" s="105"/>
      <c r="GF590" s="105"/>
      <c r="GG590" s="105"/>
      <c r="GH590" s="105"/>
      <c r="GI590" s="105"/>
      <c r="GJ590" s="105"/>
      <c r="GK590" s="105"/>
      <c r="GL590" s="105"/>
      <c r="GM590" s="105"/>
      <c r="GN590" s="105"/>
      <c r="GO590" s="105"/>
      <c r="GP590" s="105"/>
      <c r="GQ590" s="105"/>
      <c r="GR590" s="105"/>
      <c r="GS590" s="105"/>
      <c r="GT590" s="105"/>
      <c r="GU590" s="105"/>
      <c r="GV590" s="105"/>
      <c r="GW590" s="105"/>
      <c r="GX590" s="105"/>
      <c r="GY590" s="105"/>
      <c r="GZ590" s="105"/>
      <c r="HA590" s="105"/>
      <c r="HB590" s="105"/>
      <c r="HC590" s="105"/>
      <c r="HD590" s="105"/>
      <c r="HE590" s="105"/>
      <c r="HF590" s="105"/>
      <c r="HG590" s="105"/>
      <c r="HH590" s="105"/>
      <c r="HI590" s="105"/>
      <c r="HJ590" s="105"/>
      <c r="HK590" s="105"/>
      <c r="HL590" s="105"/>
      <c r="HM590" s="105"/>
      <c r="HN590" s="105"/>
      <c r="HO590" s="105"/>
      <c r="HP590" s="105"/>
      <c r="HQ590" s="105"/>
      <c r="HR590" s="105"/>
      <c r="HS590" s="105"/>
      <c r="HT590" s="105"/>
      <c r="HU590" s="105"/>
      <c r="HV590" s="105"/>
      <c r="HW590" s="105"/>
      <c r="HX590" s="105"/>
      <c r="HY590" s="105"/>
      <c r="HZ590" s="105"/>
      <c r="IA590" s="105"/>
      <c r="IB590" s="105"/>
      <c r="IC590" s="105"/>
      <c r="ID590" s="105"/>
      <c r="IE590" s="105"/>
      <c r="IF590" s="105"/>
      <c r="IG590" s="105"/>
      <c r="IH590" s="105"/>
      <c r="II590" s="105"/>
      <c r="IJ590" s="105"/>
      <c r="IK590" s="105"/>
      <c r="IL590" s="105"/>
      <c r="IM590" s="105"/>
      <c r="IN590" s="105"/>
      <c r="IO590" s="105"/>
      <c r="IP590" s="105"/>
      <c r="IQ590" s="105"/>
      <c r="IR590" s="105"/>
      <c r="IS590" s="105"/>
    </row>
    <row r="591" spans="1:253">
      <c r="A591" s="116"/>
      <c r="B591" s="105"/>
      <c r="C591" s="116"/>
      <c r="D591" s="116"/>
      <c r="E591" s="116"/>
      <c r="F591" s="116"/>
      <c r="G591" s="116"/>
      <c r="H591" s="116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  <c r="AU591" s="105"/>
      <c r="AV591" s="105"/>
      <c r="AW591" s="105"/>
      <c r="AX591" s="105"/>
      <c r="AY591" s="105"/>
      <c r="AZ591" s="105"/>
      <c r="BA591" s="105"/>
      <c r="BB591" s="105"/>
      <c r="BC591" s="105"/>
      <c r="BD591" s="105"/>
      <c r="BE591" s="105"/>
      <c r="BF591" s="105"/>
      <c r="BG591" s="105"/>
      <c r="BH591" s="105"/>
      <c r="BI591" s="105"/>
      <c r="BJ591" s="105"/>
      <c r="BK591" s="105"/>
      <c r="BL591" s="105"/>
      <c r="BM591" s="105"/>
      <c r="BN591" s="105"/>
      <c r="BO591" s="105"/>
      <c r="BP591" s="105"/>
      <c r="BQ591" s="105"/>
      <c r="BR591" s="105"/>
      <c r="BS591" s="105"/>
      <c r="BT591" s="105"/>
      <c r="BU591" s="105"/>
      <c r="BV591" s="105"/>
      <c r="BW591" s="105"/>
      <c r="BX591" s="105"/>
      <c r="BY591" s="105"/>
      <c r="BZ591" s="105"/>
      <c r="CA591" s="105"/>
      <c r="CB591" s="105"/>
      <c r="CC591" s="105"/>
      <c r="CD591" s="105"/>
      <c r="CE591" s="105"/>
      <c r="CF591" s="105"/>
      <c r="CG591" s="105"/>
      <c r="CH591" s="105"/>
      <c r="CI591" s="105"/>
      <c r="CJ591" s="105"/>
      <c r="CK591" s="105"/>
      <c r="CL591" s="105"/>
      <c r="CM591" s="105"/>
      <c r="CN591" s="105"/>
      <c r="CO591" s="105"/>
      <c r="CP591" s="105"/>
      <c r="CQ591" s="105"/>
      <c r="CR591" s="105"/>
      <c r="CS591" s="105"/>
      <c r="CT591" s="105"/>
      <c r="CU591" s="105"/>
      <c r="CV591" s="105"/>
      <c r="CW591" s="105"/>
      <c r="CX591" s="105"/>
      <c r="CY591" s="105"/>
      <c r="CZ591" s="105"/>
      <c r="DA591" s="105"/>
      <c r="DB591" s="105"/>
      <c r="DC591" s="105"/>
      <c r="DD591" s="105"/>
      <c r="DE591" s="105"/>
      <c r="DF591" s="105"/>
      <c r="DG591" s="105"/>
      <c r="DH591" s="105"/>
      <c r="DI591" s="105"/>
      <c r="DJ591" s="105"/>
      <c r="DK591" s="105"/>
      <c r="DL591" s="105"/>
      <c r="DM591" s="105"/>
      <c r="DN591" s="105"/>
      <c r="DO591" s="105"/>
      <c r="DP591" s="105"/>
      <c r="DQ591" s="105"/>
      <c r="DR591" s="105"/>
      <c r="DS591" s="105"/>
      <c r="DT591" s="105"/>
      <c r="DU591" s="105"/>
      <c r="DV591" s="105"/>
      <c r="DW591" s="105"/>
      <c r="DX591" s="105"/>
      <c r="DY591" s="105"/>
      <c r="DZ591" s="105"/>
      <c r="EA591" s="105"/>
      <c r="EB591" s="105"/>
      <c r="EC591" s="105"/>
      <c r="ED591" s="105"/>
      <c r="EE591" s="105"/>
      <c r="EF591" s="105"/>
      <c r="EG591" s="105"/>
      <c r="EH591" s="105"/>
      <c r="EI591" s="105"/>
      <c r="EJ591" s="105"/>
      <c r="EK591" s="105"/>
      <c r="EL591" s="105"/>
      <c r="EM591" s="105"/>
      <c r="EN591" s="105"/>
      <c r="EO591" s="105"/>
      <c r="EP591" s="105"/>
      <c r="EQ591" s="105"/>
      <c r="ER591" s="105"/>
      <c r="ES591" s="105"/>
      <c r="ET591" s="105"/>
      <c r="EU591" s="105"/>
      <c r="EV591" s="105"/>
      <c r="EW591" s="105"/>
      <c r="EX591" s="105"/>
      <c r="EY591" s="105"/>
      <c r="EZ591" s="105"/>
      <c r="FA591" s="105"/>
      <c r="FB591" s="105"/>
      <c r="FC591" s="105"/>
      <c r="FD591" s="105"/>
      <c r="FE591" s="105"/>
      <c r="FF591" s="105"/>
      <c r="FG591" s="105"/>
      <c r="FH591" s="105"/>
      <c r="FI591" s="105"/>
      <c r="FJ591" s="105"/>
      <c r="FK591" s="105"/>
      <c r="FL591" s="105"/>
      <c r="FM591" s="105"/>
      <c r="FN591" s="105"/>
      <c r="FO591" s="105"/>
      <c r="FP591" s="105"/>
      <c r="FQ591" s="105"/>
      <c r="FR591" s="105"/>
      <c r="FS591" s="105"/>
      <c r="FT591" s="105"/>
      <c r="FU591" s="105"/>
      <c r="FV591" s="105"/>
      <c r="FW591" s="105"/>
      <c r="FX591" s="105"/>
      <c r="FY591" s="105"/>
      <c r="FZ591" s="105"/>
      <c r="GA591" s="105"/>
      <c r="GB591" s="105"/>
      <c r="GC591" s="105"/>
      <c r="GD591" s="105"/>
      <c r="GE591" s="105"/>
      <c r="GF591" s="105"/>
      <c r="GG591" s="105"/>
      <c r="GH591" s="105"/>
      <c r="GI591" s="105"/>
      <c r="GJ591" s="105"/>
      <c r="GK591" s="105"/>
      <c r="GL591" s="105"/>
      <c r="GM591" s="105"/>
      <c r="GN591" s="105"/>
      <c r="GO591" s="105"/>
      <c r="GP591" s="105"/>
      <c r="GQ591" s="105"/>
      <c r="GR591" s="105"/>
      <c r="GS591" s="105"/>
      <c r="GT591" s="105"/>
      <c r="GU591" s="105"/>
      <c r="GV591" s="105"/>
      <c r="GW591" s="105"/>
      <c r="GX591" s="105"/>
      <c r="GY591" s="105"/>
      <c r="GZ591" s="105"/>
      <c r="HA591" s="105"/>
      <c r="HB591" s="105"/>
      <c r="HC591" s="105"/>
      <c r="HD591" s="105"/>
      <c r="HE591" s="105"/>
      <c r="HF591" s="105"/>
      <c r="HG591" s="105"/>
      <c r="HH591" s="105"/>
      <c r="HI591" s="105"/>
      <c r="HJ591" s="105"/>
      <c r="HK591" s="105"/>
      <c r="HL591" s="105"/>
      <c r="HM591" s="105"/>
      <c r="HN591" s="105"/>
      <c r="HO591" s="105"/>
      <c r="HP591" s="105"/>
      <c r="HQ591" s="105"/>
      <c r="HR591" s="105"/>
      <c r="HS591" s="105"/>
      <c r="HT591" s="105"/>
      <c r="HU591" s="105"/>
      <c r="HV591" s="105"/>
      <c r="HW591" s="105"/>
      <c r="HX591" s="105"/>
      <c r="HY591" s="105"/>
      <c r="HZ591" s="105"/>
      <c r="IA591" s="105"/>
      <c r="IB591" s="105"/>
      <c r="IC591" s="105"/>
      <c r="ID591" s="105"/>
      <c r="IE591" s="105"/>
      <c r="IF591" s="105"/>
      <c r="IG591" s="105"/>
      <c r="IH591" s="105"/>
      <c r="II591" s="105"/>
      <c r="IJ591" s="105"/>
      <c r="IK591" s="105"/>
      <c r="IL591" s="105"/>
      <c r="IM591" s="105"/>
      <c r="IN591" s="105"/>
      <c r="IO591" s="105"/>
      <c r="IP591" s="105"/>
      <c r="IQ591" s="105"/>
      <c r="IR591" s="105"/>
      <c r="IS591" s="105"/>
    </row>
    <row r="592" spans="1:253">
      <c r="A592" s="116"/>
      <c r="B592" s="105"/>
      <c r="C592" s="116"/>
      <c r="D592" s="116"/>
      <c r="E592" s="116"/>
      <c r="F592" s="116"/>
      <c r="G592" s="116"/>
      <c r="H592" s="116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05"/>
      <c r="BF592" s="105"/>
      <c r="BG592" s="105"/>
      <c r="BH592" s="105"/>
      <c r="BI592" s="105"/>
      <c r="BJ592" s="105"/>
      <c r="BK592" s="105"/>
      <c r="BL592" s="105"/>
      <c r="BM592" s="105"/>
      <c r="BN592" s="105"/>
      <c r="BO592" s="105"/>
      <c r="BP592" s="105"/>
      <c r="BQ592" s="105"/>
      <c r="BR592" s="105"/>
      <c r="BS592" s="105"/>
      <c r="BT592" s="105"/>
      <c r="BU592" s="105"/>
      <c r="BV592" s="105"/>
      <c r="BW592" s="105"/>
      <c r="BX592" s="105"/>
      <c r="BY592" s="105"/>
      <c r="BZ592" s="105"/>
      <c r="CA592" s="105"/>
      <c r="CB592" s="105"/>
      <c r="CC592" s="105"/>
      <c r="CD592" s="105"/>
      <c r="CE592" s="105"/>
      <c r="CF592" s="105"/>
      <c r="CG592" s="105"/>
      <c r="CH592" s="105"/>
      <c r="CI592" s="105"/>
      <c r="CJ592" s="105"/>
      <c r="CK592" s="105"/>
      <c r="CL592" s="105"/>
      <c r="CM592" s="105"/>
      <c r="CN592" s="105"/>
      <c r="CO592" s="105"/>
      <c r="CP592" s="105"/>
      <c r="CQ592" s="105"/>
      <c r="CR592" s="105"/>
      <c r="CS592" s="105"/>
      <c r="CT592" s="105"/>
      <c r="CU592" s="105"/>
      <c r="CV592" s="105"/>
      <c r="CW592" s="105"/>
      <c r="CX592" s="105"/>
      <c r="CY592" s="105"/>
      <c r="CZ592" s="105"/>
      <c r="DA592" s="105"/>
      <c r="DB592" s="105"/>
      <c r="DC592" s="105"/>
      <c r="DD592" s="105"/>
      <c r="DE592" s="105"/>
      <c r="DF592" s="105"/>
      <c r="DG592" s="105"/>
      <c r="DH592" s="105"/>
      <c r="DI592" s="105"/>
      <c r="DJ592" s="105"/>
      <c r="DK592" s="105"/>
      <c r="DL592" s="105"/>
      <c r="DM592" s="105"/>
      <c r="DN592" s="105"/>
      <c r="DO592" s="105"/>
      <c r="DP592" s="105"/>
      <c r="DQ592" s="105"/>
      <c r="DR592" s="105"/>
      <c r="DS592" s="105"/>
      <c r="DT592" s="105"/>
      <c r="DU592" s="105"/>
      <c r="DV592" s="105"/>
      <c r="DW592" s="105"/>
      <c r="DX592" s="105"/>
      <c r="DY592" s="105"/>
      <c r="DZ592" s="105"/>
      <c r="EA592" s="105"/>
      <c r="EB592" s="105"/>
      <c r="EC592" s="105"/>
      <c r="ED592" s="105"/>
      <c r="EE592" s="105"/>
      <c r="EF592" s="105"/>
      <c r="EG592" s="105"/>
      <c r="EH592" s="105"/>
      <c r="EI592" s="105"/>
      <c r="EJ592" s="105"/>
      <c r="EK592" s="105"/>
      <c r="EL592" s="105"/>
      <c r="EM592" s="105"/>
      <c r="EN592" s="105"/>
      <c r="EO592" s="105"/>
      <c r="EP592" s="105"/>
      <c r="EQ592" s="105"/>
      <c r="ER592" s="105"/>
      <c r="ES592" s="105"/>
      <c r="ET592" s="105"/>
      <c r="EU592" s="105"/>
      <c r="EV592" s="105"/>
      <c r="EW592" s="105"/>
      <c r="EX592" s="105"/>
      <c r="EY592" s="105"/>
      <c r="EZ592" s="105"/>
      <c r="FA592" s="105"/>
      <c r="FB592" s="105"/>
      <c r="FC592" s="105"/>
      <c r="FD592" s="105"/>
      <c r="FE592" s="105"/>
      <c r="FF592" s="105"/>
      <c r="FG592" s="105"/>
      <c r="FH592" s="105"/>
      <c r="FI592" s="105"/>
      <c r="FJ592" s="105"/>
      <c r="FK592" s="105"/>
      <c r="FL592" s="105"/>
      <c r="FM592" s="105"/>
      <c r="FN592" s="105"/>
      <c r="FO592" s="105"/>
      <c r="FP592" s="105"/>
      <c r="FQ592" s="105"/>
      <c r="FR592" s="105"/>
      <c r="FS592" s="105"/>
      <c r="FT592" s="105"/>
      <c r="FU592" s="105"/>
      <c r="FV592" s="105"/>
      <c r="FW592" s="105"/>
      <c r="FX592" s="105"/>
      <c r="FY592" s="105"/>
      <c r="FZ592" s="105"/>
      <c r="GA592" s="105"/>
      <c r="GB592" s="105"/>
      <c r="GC592" s="105"/>
      <c r="GD592" s="105"/>
      <c r="GE592" s="105"/>
      <c r="GF592" s="105"/>
      <c r="GG592" s="105"/>
      <c r="GH592" s="105"/>
      <c r="GI592" s="105"/>
      <c r="GJ592" s="105"/>
      <c r="GK592" s="105"/>
      <c r="GL592" s="105"/>
      <c r="GM592" s="105"/>
      <c r="GN592" s="105"/>
      <c r="GO592" s="105"/>
      <c r="GP592" s="105"/>
      <c r="GQ592" s="105"/>
      <c r="GR592" s="105"/>
      <c r="GS592" s="105"/>
      <c r="GT592" s="105"/>
      <c r="GU592" s="105"/>
      <c r="GV592" s="105"/>
      <c r="GW592" s="105"/>
      <c r="GX592" s="105"/>
      <c r="GY592" s="105"/>
      <c r="GZ592" s="105"/>
      <c r="HA592" s="105"/>
      <c r="HB592" s="105"/>
      <c r="HC592" s="105"/>
      <c r="HD592" s="105"/>
      <c r="HE592" s="105"/>
      <c r="HF592" s="105"/>
      <c r="HG592" s="105"/>
      <c r="HH592" s="105"/>
      <c r="HI592" s="105"/>
      <c r="HJ592" s="105"/>
      <c r="HK592" s="105"/>
      <c r="HL592" s="105"/>
      <c r="HM592" s="105"/>
      <c r="HN592" s="105"/>
      <c r="HO592" s="105"/>
      <c r="HP592" s="105"/>
      <c r="HQ592" s="105"/>
      <c r="HR592" s="105"/>
      <c r="HS592" s="105"/>
      <c r="HT592" s="105"/>
      <c r="HU592" s="105"/>
      <c r="HV592" s="105"/>
      <c r="HW592" s="105"/>
      <c r="HX592" s="105"/>
      <c r="HY592" s="105"/>
      <c r="HZ592" s="105"/>
      <c r="IA592" s="105"/>
      <c r="IB592" s="105"/>
      <c r="IC592" s="105"/>
      <c r="ID592" s="105"/>
      <c r="IE592" s="105"/>
      <c r="IF592" s="105"/>
      <c r="IG592" s="105"/>
      <c r="IH592" s="105"/>
      <c r="II592" s="105"/>
      <c r="IJ592" s="105"/>
      <c r="IK592" s="105"/>
      <c r="IL592" s="105"/>
      <c r="IM592" s="105"/>
      <c r="IN592" s="105"/>
      <c r="IO592" s="105"/>
      <c r="IP592" s="105"/>
      <c r="IQ592" s="105"/>
      <c r="IR592" s="105"/>
      <c r="IS592" s="105"/>
    </row>
    <row r="593" spans="1:253">
      <c r="A593" s="116"/>
      <c r="B593" s="105"/>
      <c r="C593" s="116"/>
      <c r="D593" s="116"/>
      <c r="E593" s="116"/>
      <c r="F593" s="116"/>
      <c r="G593" s="116"/>
      <c r="H593" s="116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5"/>
      <c r="BE593" s="105"/>
      <c r="BF593" s="105"/>
      <c r="BG593" s="105"/>
      <c r="BH593" s="105"/>
      <c r="BI593" s="105"/>
      <c r="BJ593" s="105"/>
      <c r="BK593" s="105"/>
      <c r="BL593" s="105"/>
      <c r="BM593" s="105"/>
      <c r="BN593" s="105"/>
      <c r="BO593" s="105"/>
      <c r="BP593" s="105"/>
      <c r="BQ593" s="105"/>
      <c r="BR593" s="105"/>
      <c r="BS593" s="105"/>
      <c r="BT593" s="105"/>
      <c r="BU593" s="105"/>
      <c r="BV593" s="105"/>
      <c r="BW593" s="105"/>
      <c r="BX593" s="105"/>
      <c r="BY593" s="105"/>
      <c r="BZ593" s="105"/>
      <c r="CA593" s="105"/>
      <c r="CB593" s="105"/>
      <c r="CC593" s="105"/>
      <c r="CD593" s="105"/>
      <c r="CE593" s="105"/>
      <c r="CF593" s="105"/>
      <c r="CG593" s="105"/>
      <c r="CH593" s="105"/>
      <c r="CI593" s="105"/>
      <c r="CJ593" s="105"/>
      <c r="CK593" s="105"/>
      <c r="CL593" s="105"/>
      <c r="CM593" s="105"/>
      <c r="CN593" s="105"/>
      <c r="CO593" s="105"/>
      <c r="CP593" s="105"/>
      <c r="CQ593" s="105"/>
      <c r="CR593" s="105"/>
      <c r="CS593" s="105"/>
      <c r="CT593" s="105"/>
      <c r="CU593" s="105"/>
      <c r="CV593" s="105"/>
      <c r="CW593" s="105"/>
      <c r="CX593" s="105"/>
      <c r="CY593" s="105"/>
      <c r="CZ593" s="105"/>
      <c r="DA593" s="105"/>
      <c r="DB593" s="105"/>
      <c r="DC593" s="105"/>
      <c r="DD593" s="105"/>
      <c r="DE593" s="105"/>
      <c r="DF593" s="105"/>
      <c r="DG593" s="105"/>
      <c r="DH593" s="105"/>
      <c r="DI593" s="105"/>
      <c r="DJ593" s="105"/>
      <c r="DK593" s="105"/>
      <c r="DL593" s="105"/>
      <c r="DM593" s="105"/>
      <c r="DN593" s="105"/>
      <c r="DO593" s="105"/>
      <c r="DP593" s="105"/>
      <c r="DQ593" s="105"/>
      <c r="DR593" s="105"/>
      <c r="DS593" s="105"/>
      <c r="DT593" s="105"/>
      <c r="DU593" s="105"/>
      <c r="DV593" s="105"/>
      <c r="DW593" s="105"/>
      <c r="DX593" s="105"/>
      <c r="DY593" s="105"/>
      <c r="DZ593" s="105"/>
      <c r="EA593" s="105"/>
      <c r="EB593" s="105"/>
      <c r="EC593" s="105"/>
      <c r="ED593" s="105"/>
      <c r="EE593" s="105"/>
      <c r="EF593" s="105"/>
      <c r="EG593" s="105"/>
      <c r="EH593" s="105"/>
      <c r="EI593" s="105"/>
      <c r="EJ593" s="105"/>
      <c r="EK593" s="105"/>
      <c r="EL593" s="105"/>
      <c r="EM593" s="105"/>
      <c r="EN593" s="105"/>
      <c r="EO593" s="105"/>
      <c r="EP593" s="105"/>
      <c r="EQ593" s="105"/>
      <c r="ER593" s="105"/>
      <c r="ES593" s="105"/>
      <c r="ET593" s="105"/>
      <c r="EU593" s="105"/>
      <c r="EV593" s="105"/>
      <c r="EW593" s="105"/>
      <c r="EX593" s="105"/>
      <c r="EY593" s="105"/>
      <c r="EZ593" s="105"/>
      <c r="FA593" s="105"/>
      <c r="FB593" s="105"/>
      <c r="FC593" s="105"/>
      <c r="FD593" s="105"/>
      <c r="FE593" s="105"/>
      <c r="FF593" s="105"/>
      <c r="FG593" s="105"/>
      <c r="FH593" s="105"/>
      <c r="FI593" s="105"/>
      <c r="FJ593" s="105"/>
      <c r="FK593" s="105"/>
      <c r="FL593" s="105"/>
      <c r="FM593" s="105"/>
      <c r="FN593" s="105"/>
      <c r="FO593" s="105"/>
      <c r="FP593" s="105"/>
      <c r="FQ593" s="105"/>
      <c r="FR593" s="105"/>
      <c r="FS593" s="105"/>
      <c r="FT593" s="105"/>
      <c r="FU593" s="105"/>
      <c r="FV593" s="105"/>
      <c r="FW593" s="105"/>
      <c r="FX593" s="105"/>
      <c r="FY593" s="105"/>
      <c r="FZ593" s="105"/>
      <c r="GA593" s="105"/>
      <c r="GB593" s="105"/>
      <c r="GC593" s="105"/>
      <c r="GD593" s="105"/>
      <c r="GE593" s="105"/>
      <c r="GF593" s="105"/>
      <c r="GG593" s="105"/>
      <c r="GH593" s="105"/>
      <c r="GI593" s="105"/>
      <c r="GJ593" s="105"/>
      <c r="GK593" s="105"/>
      <c r="GL593" s="105"/>
      <c r="GM593" s="105"/>
      <c r="GN593" s="105"/>
      <c r="GO593" s="105"/>
      <c r="GP593" s="105"/>
      <c r="GQ593" s="105"/>
      <c r="GR593" s="105"/>
      <c r="GS593" s="105"/>
      <c r="GT593" s="105"/>
      <c r="GU593" s="105"/>
      <c r="GV593" s="105"/>
      <c r="GW593" s="105"/>
      <c r="GX593" s="105"/>
      <c r="GY593" s="105"/>
      <c r="GZ593" s="105"/>
      <c r="HA593" s="105"/>
      <c r="HB593" s="105"/>
      <c r="HC593" s="105"/>
      <c r="HD593" s="105"/>
      <c r="HE593" s="105"/>
      <c r="HF593" s="105"/>
      <c r="HG593" s="105"/>
      <c r="HH593" s="105"/>
      <c r="HI593" s="105"/>
      <c r="HJ593" s="105"/>
      <c r="HK593" s="105"/>
      <c r="HL593" s="105"/>
      <c r="HM593" s="105"/>
      <c r="HN593" s="105"/>
      <c r="HO593" s="105"/>
      <c r="HP593" s="105"/>
      <c r="HQ593" s="105"/>
      <c r="HR593" s="105"/>
      <c r="HS593" s="105"/>
      <c r="HT593" s="105"/>
      <c r="HU593" s="105"/>
      <c r="HV593" s="105"/>
      <c r="HW593" s="105"/>
      <c r="HX593" s="105"/>
      <c r="HY593" s="105"/>
      <c r="HZ593" s="105"/>
      <c r="IA593" s="105"/>
      <c r="IB593" s="105"/>
      <c r="IC593" s="105"/>
      <c r="ID593" s="105"/>
      <c r="IE593" s="105"/>
      <c r="IF593" s="105"/>
      <c r="IG593" s="105"/>
      <c r="IH593" s="105"/>
      <c r="II593" s="105"/>
      <c r="IJ593" s="105"/>
      <c r="IK593" s="105"/>
      <c r="IL593" s="105"/>
      <c r="IM593" s="105"/>
      <c r="IN593" s="105"/>
      <c r="IO593" s="105"/>
      <c r="IP593" s="105"/>
      <c r="IQ593" s="105"/>
      <c r="IR593" s="105"/>
      <c r="IS593" s="105"/>
    </row>
    <row r="594" spans="1:253">
      <c r="A594" s="116"/>
      <c r="B594" s="105"/>
      <c r="C594" s="116"/>
      <c r="D594" s="116"/>
      <c r="E594" s="116"/>
      <c r="F594" s="116"/>
      <c r="G594" s="116"/>
      <c r="H594" s="116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05"/>
      <c r="BF594" s="105"/>
      <c r="BG594" s="105"/>
      <c r="BH594" s="105"/>
      <c r="BI594" s="105"/>
      <c r="BJ594" s="105"/>
      <c r="BK594" s="105"/>
      <c r="BL594" s="105"/>
      <c r="BM594" s="105"/>
      <c r="BN594" s="105"/>
      <c r="BO594" s="105"/>
      <c r="BP594" s="105"/>
      <c r="BQ594" s="105"/>
      <c r="BR594" s="105"/>
      <c r="BS594" s="105"/>
      <c r="BT594" s="105"/>
      <c r="BU594" s="105"/>
      <c r="BV594" s="105"/>
      <c r="BW594" s="105"/>
      <c r="BX594" s="105"/>
      <c r="BY594" s="105"/>
      <c r="BZ594" s="105"/>
      <c r="CA594" s="105"/>
      <c r="CB594" s="105"/>
      <c r="CC594" s="105"/>
      <c r="CD594" s="105"/>
      <c r="CE594" s="105"/>
      <c r="CF594" s="105"/>
      <c r="CG594" s="105"/>
      <c r="CH594" s="105"/>
      <c r="CI594" s="105"/>
      <c r="CJ594" s="105"/>
      <c r="CK594" s="105"/>
      <c r="CL594" s="105"/>
      <c r="CM594" s="105"/>
      <c r="CN594" s="105"/>
      <c r="CO594" s="105"/>
      <c r="CP594" s="105"/>
      <c r="CQ594" s="105"/>
      <c r="CR594" s="105"/>
      <c r="CS594" s="105"/>
      <c r="CT594" s="105"/>
      <c r="CU594" s="105"/>
      <c r="CV594" s="105"/>
      <c r="CW594" s="105"/>
      <c r="CX594" s="105"/>
      <c r="CY594" s="105"/>
      <c r="CZ594" s="105"/>
      <c r="DA594" s="105"/>
      <c r="DB594" s="105"/>
      <c r="DC594" s="105"/>
      <c r="DD594" s="105"/>
      <c r="DE594" s="105"/>
      <c r="DF594" s="105"/>
      <c r="DG594" s="105"/>
      <c r="DH594" s="105"/>
      <c r="DI594" s="105"/>
      <c r="DJ594" s="105"/>
      <c r="DK594" s="105"/>
      <c r="DL594" s="105"/>
      <c r="DM594" s="105"/>
      <c r="DN594" s="105"/>
      <c r="DO594" s="105"/>
      <c r="DP594" s="105"/>
      <c r="DQ594" s="105"/>
      <c r="DR594" s="105"/>
      <c r="DS594" s="105"/>
      <c r="DT594" s="105"/>
      <c r="DU594" s="105"/>
      <c r="DV594" s="105"/>
      <c r="DW594" s="105"/>
      <c r="DX594" s="105"/>
      <c r="DY594" s="105"/>
      <c r="DZ594" s="105"/>
      <c r="EA594" s="105"/>
      <c r="EB594" s="105"/>
      <c r="EC594" s="105"/>
      <c r="ED594" s="105"/>
      <c r="EE594" s="105"/>
      <c r="EF594" s="105"/>
      <c r="EG594" s="105"/>
      <c r="EH594" s="105"/>
      <c r="EI594" s="105"/>
      <c r="EJ594" s="105"/>
      <c r="EK594" s="105"/>
      <c r="EL594" s="105"/>
      <c r="EM594" s="105"/>
      <c r="EN594" s="105"/>
      <c r="EO594" s="105"/>
      <c r="EP594" s="105"/>
      <c r="EQ594" s="105"/>
      <c r="ER594" s="105"/>
      <c r="ES594" s="105"/>
      <c r="ET594" s="105"/>
      <c r="EU594" s="105"/>
      <c r="EV594" s="105"/>
      <c r="EW594" s="105"/>
      <c r="EX594" s="105"/>
      <c r="EY594" s="105"/>
      <c r="EZ594" s="105"/>
      <c r="FA594" s="105"/>
      <c r="FB594" s="105"/>
      <c r="FC594" s="105"/>
      <c r="FD594" s="105"/>
      <c r="FE594" s="105"/>
      <c r="FF594" s="105"/>
      <c r="FG594" s="105"/>
      <c r="FH594" s="105"/>
      <c r="FI594" s="105"/>
      <c r="FJ594" s="105"/>
      <c r="FK594" s="105"/>
      <c r="FL594" s="105"/>
      <c r="FM594" s="105"/>
      <c r="FN594" s="105"/>
      <c r="FO594" s="105"/>
      <c r="FP594" s="105"/>
      <c r="FQ594" s="105"/>
      <c r="FR594" s="105"/>
      <c r="FS594" s="105"/>
      <c r="FT594" s="105"/>
      <c r="FU594" s="105"/>
      <c r="FV594" s="105"/>
      <c r="FW594" s="105"/>
      <c r="FX594" s="105"/>
      <c r="FY594" s="105"/>
      <c r="FZ594" s="105"/>
      <c r="GA594" s="105"/>
      <c r="GB594" s="105"/>
      <c r="GC594" s="105"/>
      <c r="GD594" s="105"/>
      <c r="GE594" s="105"/>
      <c r="GF594" s="105"/>
      <c r="GG594" s="105"/>
      <c r="GH594" s="105"/>
      <c r="GI594" s="105"/>
      <c r="GJ594" s="105"/>
      <c r="GK594" s="105"/>
      <c r="GL594" s="105"/>
      <c r="GM594" s="105"/>
      <c r="GN594" s="105"/>
      <c r="GO594" s="105"/>
      <c r="GP594" s="105"/>
      <c r="GQ594" s="105"/>
      <c r="GR594" s="105"/>
      <c r="GS594" s="105"/>
      <c r="GT594" s="105"/>
      <c r="GU594" s="105"/>
      <c r="GV594" s="105"/>
      <c r="GW594" s="105"/>
      <c r="GX594" s="105"/>
      <c r="GY594" s="105"/>
      <c r="GZ594" s="105"/>
      <c r="HA594" s="105"/>
      <c r="HB594" s="105"/>
      <c r="HC594" s="105"/>
      <c r="HD594" s="105"/>
      <c r="HE594" s="105"/>
      <c r="HF594" s="105"/>
      <c r="HG594" s="105"/>
      <c r="HH594" s="105"/>
      <c r="HI594" s="105"/>
      <c r="HJ594" s="105"/>
      <c r="HK594" s="105"/>
      <c r="HL594" s="105"/>
      <c r="HM594" s="105"/>
      <c r="HN594" s="105"/>
      <c r="HO594" s="105"/>
      <c r="HP594" s="105"/>
      <c r="HQ594" s="105"/>
      <c r="HR594" s="105"/>
      <c r="HS594" s="105"/>
      <c r="HT594" s="105"/>
      <c r="HU594" s="105"/>
      <c r="HV594" s="105"/>
      <c r="HW594" s="105"/>
      <c r="HX594" s="105"/>
      <c r="HY594" s="105"/>
      <c r="HZ594" s="105"/>
      <c r="IA594" s="105"/>
      <c r="IB594" s="105"/>
      <c r="IC594" s="105"/>
      <c r="ID594" s="105"/>
      <c r="IE594" s="105"/>
      <c r="IF594" s="105"/>
      <c r="IG594" s="105"/>
      <c r="IH594" s="105"/>
      <c r="II594" s="105"/>
      <c r="IJ594" s="105"/>
      <c r="IK594" s="105"/>
      <c r="IL594" s="105"/>
      <c r="IM594" s="105"/>
      <c r="IN594" s="105"/>
      <c r="IO594" s="105"/>
      <c r="IP594" s="105"/>
      <c r="IQ594" s="105"/>
      <c r="IR594" s="105"/>
      <c r="IS594" s="105"/>
    </row>
    <row r="595" spans="1:253">
      <c r="A595" s="116"/>
      <c r="B595" s="105"/>
      <c r="C595" s="116"/>
      <c r="D595" s="116"/>
      <c r="E595" s="116"/>
      <c r="F595" s="116"/>
      <c r="G595" s="116"/>
      <c r="H595" s="116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5"/>
      <c r="BE595" s="105"/>
      <c r="BF595" s="105"/>
      <c r="BG595" s="105"/>
      <c r="BH595" s="105"/>
      <c r="BI595" s="105"/>
      <c r="BJ595" s="105"/>
      <c r="BK595" s="105"/>
      <c r="BL595" s="105"/>
      <c r="BM595" s="105"/>
      <c r="BN595" s="105"/>
      <c r="BO595" s="105"/>
      <c r="BP595" s="105"/>
      <c r="BQ595" s="105"/>
      <c r="BR595" s="105"/>
      <c r="BS595" s="105"/>
      <c r="BT595" s="105"/>
      <c r="BU595" s="105"/>
      <c r="BV595" s="105"/>
      <c r="BW595" s="105"/>
      <c r="BX595" s="105"/>
      <c r="BY595" s="105"/>
      <c r="BZ595" s="105"/>
      <c r="CA595" s="105"/>
      <c r="CB595" s="105"/>
      <c r="CC595" s="105"/>
      <c r="CD595" s="105"/>
      <c r="CE595" s="105"/>
      <c r="CF595" s="105"/>
      <c r="CG595" s="105"/>
      <c r="CH595" s="105"/>
      <c r="CI595" s="105"/>
      <c r="CJ595" s="105"/>
      <c r="CK595" s="105"/>
      <c r="CL595" s="105"/>
      <c r="CM595" s="105"/>
      <c r="CN595" s="105"/>
      <c r="CO595" s="105"/>
      <c r="CP595" s="105"/>
      <c r="CQ595" s="105"/>
      <c r="CR595" s="105"/>
      <c r="CS595" s="105"/>
      <c r="CT595" s="105"/>
      <c r="CU595" s="105"/>
      <c r="CV595" s="105"/>
      <c r="CW595" s="105"/>
      <c r="CX595" s="105"/>
      <c r="CY595" s="105"/>
      <c r="CZ595" s="105"/>
      <c r="DA595" s="105"/>
      <c r="DB595" s="105"/>
      <c r="DC595" s="105"/>
      <c r="DD595" s="105"/>
      <c r="DE595" s="105"/>
      <c r="DF595" s="105"/>
      <c r="DG595" s="105"/>
      <c r="DH595" s="105"/>
      <c r="DI595" s="105"/>
      <c r="DJ595" s="105"/>
      <c r="DK595" s="105"/>
      <c r="DL595" s="105"/>
      <c r="DM595" s="105"/>
      <c r="DN595" s="105"/>
      <c r="DO595" s="105"/>
      <c r="DP595" s="105"/>
      <c r="DQ595" s="105"/>
      <c r="DR595" s="105"/>
      <c r="DS595" s="105"/>
      <c r="DT595" s="105"/>
      <c r="DU595" s="105"/>
      <c r="DV595" s="105"/>
      <c r="DW595" s="105"/>
      <c r="DX595" s="105"/>
      <c r="DY595" s="105"/>
      <c r="DZ595" s="105"/>
      <c r="EA595" s="105"/>
      <c r="EB595" s="105"/>
      <c r="EC595" s="105"/>
      <c r="ED595" s="105"/>
      <c r="EE595" s="105"/>
      <c r="EF595" s="105"/>
      <c r="EG595" s="105"/>
      <c r="EH595" s="105"/>
      <c r="EI595" s="105"/>
      <c r="EJ595" s="105"/>
      <c r="EK595" s="105"/>
      <c r="EL595" s="105"/>
      <c r="EM595" s="105"/>
      <c r="EN595" s="105"/>
      <c r="EO595" s="105"/>
      <c r="EP595" s="105"/>
      <c r="EQ595" s="105"/>
      <c r="ER595" s="105"/>
      <c r="ES595" s="105"/>
      <c r="ET595" s="105"/>
      <c r="EU595" s="105"/>
      <c r="EV595" s="105"/>
      <c r="EW595" s="105"/>
      <c r="EX595" s="105"/>
      <c r="EY595" s="105"/>
      <c r="EZ595" s="105"/>
      <c r="FA595" s="105"/>
      <c r="FB595" s="105"/>
      <c r="FC595" s="105"/>
      <c r="FD595" s="105"/>
      <c r="FE595" s="105"/>
      <c r="FF595" s="105"/>
      <c r="FG595" s="105"/>
      <c r="FH595" s="105"/>
      <c r="FI595" s="105"/>
      <c r="FJ595" s="105"/>
      <c r="FK595" s="105"/>
      <c r="FL595" s="105"/>
      <c r="FM595" s="105"/>
      <c r="FN595" s="105"/>
      <c r="FO595" s="105"/>
      <c r="FP595" s="105"/>
      <c r="FQ595" s="105"/>
      <c r="FR595" s="105"/>
      <c r="FS595" s="105"/>
      <c r="FT595" s="105"/>
      <c r="FU595" s="105"/>
      <c r="FV595" s="105"/>
      <c r="FW595" s="105"/>
      <c r="FX595" s="105"/>
      <c r="FY595" s="105"/>
      <c r="FZ595" s="105"/>
      <c r="GA595" s="105"/>
      <c r="GB595" s="105"/>
      <c r="GC595" s="105"/>
      <c r="GD595" s="105"/>
      <c r="GE595" s="105"/>
      <c r="GF595" s="105"/>
      <c r="GG595" s="105"/>
      <c r="GH595" s="105"/>
      <c r="GI595" s="105"/>
      <c r="GJ595" s="105"/>
      <c r="GK595" s="105"/>
      <c r="GL595" s="105"/>
      <c r="GM595" s="105"/>
      <c r="GN595" s="105"/>
      <c r="GO595" s="105"/>
      <c r="GP595" s="105"/>
      <c r="GQ595" s="105"/>
      <c r="GR595" s="105"/>
      <c r="GS595" s="105"/>
      <c r="GT595" s="105"/>
      <c r="GU595" s="105"/>
      <c r="GV595" s="105"/>
      <c r="GW595" s="105"/>
      <c r="GX595" s="105"/>
      <c r="GY595" s="105"/>
      <c r="GZ595" s="105"/>
      <c r="HA595" s="105"/>
      <c r="HB595" s="105"/>
      <c r="HC595" s="105"/>
      <c r="HD595" s="105"/>
      <c r="HE595" s="105"/>
      <c r="HF595" s="105"/>
      <c r="HG595" s="105"/>
      <c r="HH595" s="105"/>
      <c r="HI595" s="105"/>
      <c r="HJ595" s="105"/>
      <c r="HK595" s="105"/>
      <c r="HL595" s="105"/>
      <c r="HM595" s="105"/>
      <c r="HN595" s="105"/>
      <c r="HO595" s="105"/>
      <c r="HP595" s="105"/>
      <c r="HQ595" s="105"/>
      <c r="HR595" s="105"/>
      <c r="HS595" s="105"/>
      <c r="HT595" s="105"/>
      <c r="HU595" s="105"/>
      <c r="HV595" s="105"/>
      <c r="HW595" s="105"/>
      <c r="HX595" s="105"/>
      <c r="HY595" s="105"/>
      <c r="HZ595" s="105"/>
      <c r="IA595" s="105"/>
      <c r="IB595" s="105"/>
      <c r="IC595" s="105"/>
      <c r="ID595" s="105"/>
      <c r="IE595" s="105"/>
      <c r="IF595" s="105"/>
      <c r="IG595" s="105"/>
      <c r="IH595" s="105"/>
      <c r="II595" s="105"/>
      <c r="IJ595" s="105"/>
      <c r="IK595" s="105"/>
      <c r="IL595" s="105"/>
      <c r="IM595" s="105"/>
      <c r="IN595" s="105"/>
      <c r="IO595" s="105"/>
      <c r="IP595" s="105"/>
      <c r="IQ595" s="105"/>
      <c r="IR595" s="105"/>
      <c r="IS595" s="105"/>
    </row>
    <row r="596" spans="1:253">
      <c r="A596" s="116"/>
      <c r="B596" s="105"/>
      <c r="C596" s="116"/>
      <c r="D596" s="116"/>
      <c r="E596" s="116"/>
      <c r="F596" s="116"/>
      <c r="G596" s="116"/>
      <c r="H596" s="116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05"/>
      <c r="BF596" s="105"/>
      <c r="BG596" s="105"/>
      <c r="BH596" s="105"/>
      <c r="BI596" s="105"/>
      <c r="BJ596" s="105"/>
      <c r="BK596" s="105"/>
      <c r="BL596" s="105"/>
      <c r="BM596" s="105"/>
      <c r="BN596" s="105"/>
      <c r="BO596" s="105"/>
      <c r="BP596" s="105"/>
      <c r="BQ596" s="105"/>
      <c r="BR596" s="105"/>
      <c r="BS596" s="105"/>
      <c r="BT596" s="105"/>
      <c r="BU596" s="105"/>
      <c r="BV596" s="105"/>
      <c r="BW596" s="105"/>
      <c r="BX596" s="105"/>
      <c r="BY596" s="105"/>
      <c r="BZ596" s="105"/>
      <c r="CA596" s="105"/>
      <c r="CB596" s="105"/>
      <c r="CC596" s="105"/>
      <c r="CD596" s="105"/>
      <c r="CE596" s="105"/>
      <c r="CF596" s="105"/>
      <c r="CG596" s="105"/>
      <c r="CH596" s="105"/>
      <c r="CI596" s="105"/>
      <c r="CJ596" s="105"/>
      <c r="CK596" s="105"/>
      <c r="CL596" s="105"/>
      <c r="CM596" s="105"/>
      <c r="CN596" s="105"/>
      <c r="CO596" s="105"/>
      <c r="CP596" s="105"/>
      <c r="CQ596" s="105"/>
      <c r="CR596" s="105"/>
      <c r="CS596" s="105"/>
      <c r="CT596" s="105"/>
      <c r="CU596" s="105"/>
      <c r="CV596" s="105"/>
      <c r="CW596" s="105"/>
      <c r="CX596" s="105"/>
      <c r="CY596" s="105"/>
      <c r="CZ596" s="105"/>
      <c r="DA596" s="105"/>
      <c r="DB596" s="105"/>
      <c r="DC596" s="105"/>
      <c r="DD596" s="105"/>
      <c r="DE596" s="105"/>
      <c r="DF596" s="105"/>
      <c r="DG596" s="105"/>
      <c r="DH596" s="105"/>
      <c r="DI596" s="105"/>
      <c r="DJ596" s="105"/>
      <c r="DK596" s="105"/>
      <c r="DL596" s="105"/>
      <c r="DM596" s="105"/>
      <c r="DN596" s="105"/>
      <c r="DO596" s="105"/>
      <c r="DP596" s="105"/>
      <c r="DQ596" s="105"/>
      <c r="DR596" s="105"/>
      <c r="DS596" s="105"/>
      <c r="DT596" s="105"/>
      <c r="DU596" s="105"/>
      <c r="DV596" s="105"/>
      <c r="DW596" s="105"/>
      <c r="DX596" s="105"/>
      <c r="DY596" s="105"/>
      <c r="DZ596" s="105"/>
      <c r="EA596" s="105"/>
      <c r="EB596" s="105"/>
      <c r="EC596" s="105"/>
      <c r="ED596" s="105"/>
      <c r="EE596" s="105"/>
      <c r="EF596" s="105"/>
      <c r="EG596" s="105"/>
      <c r="EH596" s="105"/>
      <c r="EI596" s="105"/>
      <c r="EJ596" s="105"/>
      <c r="EK596" s="105"/>
      <c r="EL596" s="105"/>
      <c r="EM596" s="105"/>
      <c r="EN596" s="105"/>
      <c r="EO596" s="105"/>
      <c r="EP596" s="105"/>
      <c r="EQ596" s="105"/>
      <c r="ER596" s="105"/>
      <c r="ES596" s="105"/>
      <c r="ET596" s="105"/>
      <c r="EU596" s="105"/>
      <c r="EV596" s="105"/>
      <c r="EW596" s="105"/>
      <c r="EX596" s="105"/>
      <c r="EY596" s="105"/>
      <c r="EZ596" s="105"/>
      <c r="FA596" s="105"/>
      <c r="FB596" s="105"/>
      <c r="FC596" s="105"/>
      <c r="FD596" s="105"/>
      <c r="FE596" s="105"/>
      <c r="FF596" s="105"/>
      <c r="FG596" s="105"/>
      <c r="FH596" s="105"/>
      <c r="FI596" s="105"/>
      <c r="FJ596" s="105"/>
      <c r="FK596" s="105"/>
      <c r="FL596" s="105"/>
      <c r="FM596" s="105"/>
      <c r="FN596" s="105"/>
      <c r="FO596" s="105"/>
      <c r="FP596" s="105"/>
      <c r="FQ596" s="105"/>
      <c r="FR596" s="105"/>
      <c r="FS596" s="105"/>
      <c r="FT596" s="105"/>
      <c r="FU596" s="105"/>
      <c r="FV596" s="105"/>
      <c r="FW596" s="105"/>
      <c r="FX596" s="105"/>
      <c r="FY596" s="105"/>
      <c r="FZ596" s="105"/>
      <c r="GA596" s="105"/>
      <c r="GB596" s="105"/>
      <c r="GC596" s="105"/>
      <c r="GD596" s="105"/>
      <c r="GE596" s="105"/>
      <c r="GF596" s="105"/>
      <c r="GG596" s="105"/>
      <c r="GH596" s="105"/>
      <c r="GI596" s="105"/>
      <c r="GJ596" s="105"/>
      <c r="GK596" s="105"/>
      <c r="GL596" s="105"/>
      <c r="GM596" s="105"/>
      <c r="GN596" s="105"/>
      <c r="GO596" s="105"/>
      <c r="GP596" s="105"/>
      <c r="GQ596" s="105"/>
      <c r="GR596" s="105"/>
      <c r="GS596" s="105"/>
      <c r="GT596" s="105"/>
      <c r="GU596" s="105"/>
      <c r="GV596" s="105"/>
      <c r="GW596" s="105"/>
      <c r="GX596" s="105"/>
      <c r="GY596" s="105"/>
      <c r="GZ596" s="105"/>
      <c r="HA596" s="105"/>
      <c r="HB596" s="105"/>
      <c r="HC596" s="105"/>
      <c r="HD596" s="105"/>
      <c r="HE596" s="105"/>
      <c r="HF596" s="105"/>
      <c r="HG596" s="105"/>
      <c r="HH596" s="105"/>
      <c r="HI596" s="105"/>
      <c r="HJ596" s="105"/>
      <c r="HK596" s="105"/>
      <c r="HL596" s="105"/>
      <c r="HM596" s="105"/>
      <c r="HN596" s="105"/>
      <c r="HO596" s="105"/>
      <c r="HP596" s="105"/>
      <c r="HQ596" s="105"/>
      <c r="HR596" s="105"/>
      <c r="HS596" s="105"/>
      <c r="HT596" s="105"/>
      <c r="HU596" s="105"/>
      <c r="HV596" s="105"/>
      <c r="HW596" s="105"/>
      <c r="HX596" s="105"/>
      <c r="HY596" s="105"/>
      <c r="HZ596" s="105"/>
      <c r="IA596" s="105"/>
      <c r="IB596" s="105"/>
      <c r="IC596" s="105"/>
      <c r="ID596" s="105"/>
      <c r="IE596" s="105"/>
      <c r="IF596" s="105"/>
      <c r="IG596" s="105"/>
      <c r="IH596" s="105"/>
      <c r="II596" s="105"/>
      <c r="IJ596" s="105"/>
      <c r="IK596" s="105"/>
      <c r="IL596" s="105"/>
      <c r="IM596" s="105"/>
      <c r="IN596" s="105"/>
      <c r="IO596" s="105"/>
      <c r="IP596" s="105"/>
      <c r="IQ596" s="105"/>
      <c r="IR596" s="105"/>
      <c r="IS596" s="105"/>
    </row>
    <row r="597" spans="1:253">
      <c r="A597" s="116"/>
      <c r="B597" s="105"/>
      <c r="C597" s="116"/>
      <c r="D597" s="116"/>
      <c r="E597" s="116"/>
      <c r="F597" s="116"/>
      <c r="G597" s="116"/>
      <c r="H597" s="116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105"/>
      <c r="BA597" s="105"/>
      <c r="BB597" s="105"/>
      <c r="BC597" s="105"/>
      <c r="BD597" s="105"/>
      <c r="BE597" s="105"/>
      <c r="BF597" s="105"/>
      <c r="BG597" s="105"/>
      <c r="BH597" s="105"/>
      <c r="BI597" s="105"/>
      <c r="BJ597" s="105"/>
      <c r="BK597" s="105"/>
      <c r="BL597" s="105"/>
      <c r="BM597" s="105"/>
      <c r="BN597" s="105"/>
      <c r="BO597" s="105"/>
      <c r="BP597" s="105"/>
      <c r="BQ597" s="105"/>
      <c r="BR597" s="105"/>
      <c r="BS597" s="105"/>
      <c r="BT597" s="105"/>
      <c r="BU597" s="105"/>
      <c r="BV597" s="105"/>
      <c r="BW597" s="105"/>
      <c r="BX597" s="105"/>
      <c r="BY597" s="105"/>
      <c r="BZ597" s="105"/>
      <c r="CA597" s="105"/>
      <c r="CB597" s="105"/>
      <c r="CC597" s="105"/>
      <c r="CD597" s="105"/>
      <c r="CE597" s="105"/>
      <c r="CF597" s="105"/>
      <c r="CG597" s="105"/>
      <c r="CH597" s="105"/>
      <c r="CI597" s="105"/>
      <c r="CJ597" s="105"/>
      <c r="CK597" s="105"/>
      <c r="CL597" s="105"/>
      <c r="CM597" s="105"/>
      <c r="CN597" s="105"/>
      <c r="CO597" s="105"/>
      <c r="CP597" s="105"/>
      <c r="CQ597" s="105"/>
      <c r="CR597" s="105"/>
      <c r="CS597" s="105"/>
      <c r="CT597" s="105"/>
      <c r="CU597" s="105"/>
      <c r="CV597" s="105"/>
      <c r="CW597" s="105"/>
      <c r="CX597" s="105"/>
      <c r="CY597" s="105"/>
      <c r="CZ597" s="105"/>
      <c r="DA597" s="105"/>
      <c r="DB597" s="105"/>
      <c r="DC597" s="105"/>
      <c r="DD597" s="105"/>
      <c r="DE597" s="105"/>
      <c r="DF597" s="105"/>
      <c r="DG597" s="105"/>
      <c r="DH597" s="105"/>
      <c r="DI597" s="105"/>
      <c r="DJ597" s="105"/>
      <c r="DK597" s="105"/>
      <c r="DL597" s="105"/>
      <c r="DM597" s="105"/>
      <c r="DN597" s="105"/>
      <c r="DO597" s="105"/>
      <c r="DP597" s="105"/>
      <c r="DQ597" s="105"/>
      <c r="DR597" s="105"/>
      <c r="DS597" s="105"/>
      <c r="DT597" s="105"/>
      <c r="DU597" s="105"/>
      <c r="DV597" s="105"/>
      <c r="DW597" s="105"/>
      <c r="DX597" s="105"/>
      <c r="DY597" s="105"/>
      <c r="DZ597" s="105"/>
      <c r="EA597" s="105"/>
      <c r="EB597" s="105"/>
      <c r="EC597" s="105"/>
      <c r="ED597" s="105"/>
      <c r="EE597" s="105"/>
      <c r="EF597" s="105"/>
      <c r="EG597" s="105"/>
      <c r="EH597" s="105"/>
      <c r="EI597" s="105"/>
      <c r="EJ597" s="105"/>
      <c r="EK597" s="105"/>
      <c r="EL597" s="105"/>
      <c r="EM597" s="105"/>
      <c r="EN597" s="105"/>
      <c r="EO597" s="105"/>
      <c r="EP597" s="105"/>
      <c r="EQ597" s="105"/>
      <c r="ER597" s="105"/>
      <c r="ES597" s="105"/>
      <c r="ET597" s="105"/>
      <c r="EU597" s="105"/>
      <c r="EV597" s="105"/>
      <c r="EW597" s="105"/>
      <c r="EX597" s="105"/>
      <c r="EY597" s="105"/>
      <c r="EZ597" s="105"/>
      <c r="FA597" s="105"/>
      <c r="FB597" s="105"/>
      <c r="FC597" s="105"/>
      <c r="FD597" s="105"/>
      <c r="FE597" s="105"/>
      <c r="FF597" s="105"/>
      <c r="FG597" s="105"/>
      <c r="FH597" s="105"/>
      <c r="FI597" s="105"/>
      <c r="FJ597" s="105"/>
      <c r="FK597" s="105"/>
      <c r="FL597" s="105"/>
      <c r="FM597" s="105"/>
      <c r="FN597" s="105"/>
      <c r="FO597" s="105"/>
      <c r="FP597" s="105"/>
      <c r="FQ597" s="105"/>
      <c r="FR597" s="105"/>
      <c r="FS597" s="105"/>
      <c r="FT597" s="105"/>
      <c r="FU597" s="105"/>
      <c r="FV597" s="105"/>
      <c r="FW597" s="105"/>
      <c r="FX597" s="105"/>
      <c r="FY597" s="105"/>
      <c r="FZ597" s="105"/>
      <c r="GA597" s="105"/>
      <c r="GB597" s="105"/>
      <c r="GC597" s="105"/>
      <c r="GD597" s="105"/>
      <c r="GE597" s="105"/>
      <c r="GF597" s="105"/>
      <c r="GG597" s="105"/>
      <c r="GH597" s="105"/>
      <c r="GI597" s="105"/>
      <c r="GJ597" s="105"/>
      <c r="GK597" s="105"/>
      <c r="GL597" s="105"/>
      <c r="GM597" s="105"/>
      <c r="GN597" s="105"/>
      <c r="GO597" s="105"/>
      <c r="GP597" s="105"/>
      <c r="GQ597" s="105"/>
      <c r="GR597" s="105"/>
      <c r="GS597" s="105"/>
      <c r="GT597" s="105"/>
      <c r="GU597" s="105"/>
      <c r="GV597" s="105"/>
      <c r="GW597" s="105"/>
      <c r="GX597" s="105"/>
      <c r="GY597" s="105"/>
      <c r="GZ597" s="105"/>
      <c r="HA597" s="105"/>
      <c r="HB597" s="105"/>
      <c r="HC597" s="105"/>
      <c r="HD597" s="105"/>
      <c r="HE597" s="105"/>
      <c r="HF597" s="105"/>
      <c r="HG597" s="105"/>
      <c r="HH597" s="105"/>
      <c r="HI597" s="105"/>
      <c r="HJ597" s="105"/>
      <c r="HK597" s="105"/>
      <c r="HL597" s="105"/>
      <c r="HM597" s="105"/>
      <c r="HN597" s="105"/>
      <c r="HO597" s="105"/>
      <c r="HP597" s="105"/>
      <c r="HQ597" s="105"/>
      <c r="HR597" s="105"/>
      <c r="HS597" s="105"/>
      <c r="HT597" s="105"/>
      <c r="HU597" s="105"/>
      <c r="HV597" s="105"/>
      <c r="HW597" s="105"/>
      <c r="HX597" s="105"/>
      <c r="HY597" s="105"/>
      <c r="HZ597" s="105"/>
      <c r="IA597" s="105"/>
      <c r="IB597" s="105"/>
      <c r="IC597" s="105"/>
      <c r="ID597" s="105"/>
      <c r="IE597" s="105"/>
      <c r="IF597" s="105"/>
      <c r="IG597" s="105"/>
      <c r="IH597" s="105"/>
      <c r="II597" s="105"/>
      <c r="IJ597" s="105"/>
      <c r="IK597" s="105"/>
      <c r="IL597" s="105"/>
      <c r="IM597" s="105"/>
      <c r="IN597" s="105"/>
      <c r="IO597" s="105"/>
      <c r="IP597" s="105"/>
      <c r="IQ597" s="105"/>
      <c r="IR597" s="105"/>
      <c r="IS597" s="105"/>
    </row>
    <row r="598" spans="1:253">
      <c r="A598" s="116"/>
      <c r="B598" s="105"/>
      <c r="C598" s="116"/>
      <c r="D598" s="116"/>
      <c r="E598" s="116"/>
      <c r="F598" s="116"/>
      <c r="G598" s="116"/>
      <c r="H598" s="116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05"/>
      <c r="BF598" s="105"/>
      <c r="BG598" s="105"/>
      <c r="BH598" s="105"/>
      <c r="BI598" s="105"/>
      <c r="BJ598" s="105"/>
      <c r="BK598" s="105"/>
      <c r="BL598" s="105"/>
      <c r="BM598" s="105"/>
      <c r="BN598" s="105"/>
      <c r="BO598" s="105"/>
      <c r="BP598" s="105"/>
      <c r="BQ598" s="105"/>
      <c r="BR598" s="105"/>
      <c r="BS598" s="105"/>
      <c r="BT598" s="105"/>
      <c r="BU598" s="105"/>
      <c r="BV598" s="105"/>
      <c r="BW598" s="105"/>
      <c r="BX598" s="105"/>
      <c r="BY598" s="105"/>
      <c r="BZ598" s="105"/>
      <c r="CA598" s="105"/>
      <c r="CB598" s="105"/>
      <c r="CC598" s="105"/>
      <c r="CD598" s="105"/>
      <c r="CE598" s="105"/>
      <c r="CF598" s="105"/>
      <c r="CG598" s="105"/>
      <c r="CH598" s="105"/>
      <c r="CI598" s="105"/>
      <c r="CJ598" s="105"/>
      <c r="CK598" s="105"/>
      <c r="CL598" s="105"/>
      <c r="CM598" s="105"/>
      <c r="CN598" s="105"/>
      <c r="CO598" s="105"/>
      <c r="CP598" s="105"/>
      <c r="CQ598" s="105"/>
      <c r="CR598" s="105"/>
      <c r="CS598" s="105"/>
      <c r="CT598" s="105"/>
      <c r="CU598" s="105"/>
      <c r="CV598" s="105"/>
      <c r="CW598" s="105"/>
      <c r="CX598" s="105"/>
      <c r="CY598" s="105"/>
      <c r="CZ598" s="105"/>
      <c r="DA598" s="105"/>
      <c r="DB598" s="105"/>
      <c r="DC598" s="105"/>
      <c r="DD598" s="105"/>
      <c r="DE598" s="105"/>
      <c r="DF598" s="105"/>
      <c r="DG598" s="105"/>
      <c r="DH598" s="105"/>
      <c r="DI598" s="105"/>
      <c r="DJ598" s="105"/>
      <c r="DK598" s="105"/>
      <c r="DL598" s="105"/>
      <c r="DM598" s="105"/>
      <c r="DN598" s="105"/>
      <c r="DO598" s="105"/>
      <c r="DP598" s="105"/>
      <c r="DQ598" s="105"/>
      <c r="DR598" s="105"/>
      <c r="DS598" s="105"/>
      <c r="DT598" s="105"/>
      <c r="DU598" s="105"/>
      <c r="DV598" s="105"/>
      <c r="DW598" s="105"/>
      <c r="DX598" s="105"/>
      <c r="DY598" s="105"/>
      <c r="DZ598" s="105"/>
      <c r="EA598" s="105"/>
      <c r="EB598" s="105"/>
      <c r="EC598" s="105"/>
      <c r="ED598" s="105"/>
      <c r="EE598" s="105"/>
      <c r="EF598" s="105"/>
      <c r="EG598" s="105"/>
      <c r="EH598" s="105"/>
      <c r="EI598" s="105"/>
      <c r="EJ598" s="105"/>
      <c r="EK598" s="105"/>
      <c r="EL598" s="105"/>
      <c r="EM598" s="105"/>
      <c r="EN598" s="105"/>
      <c r="EO598" s="105"/>
      <c r="EP598" s="105"/>
      <c r="EQ598" s="105"/>
      <c r="ER598" s="105"/>
      <c r="ES598" s="105"/>
      <c r="ET598" s="105"/>
      <c r="EU598" s="105"/>
      <c r="EV598" s="105"/>
      <c r="EW598" s="105"/>
      <c r="EX598" s="105"/>
      <c r="EY598" s="105"/>
      <c r="EZ598" s="105"/>
      <c r="FA598" s="105"/>
      <c r="FB598" s="105"/>
      <c r="FC598" s="105"/>
      <c r="FD598" s="105"/>
      <c r="FE598" s="105"/>
      <c r="FF598" s="105"/>
      <c r="FG598" s="105"/>
      <c r="FH598" s="105"/>
      <c r="FI598" s="105"/>
      <c r="FJ598" s="105"/>
      <c r="FK598" s="105"/>
      <c r="FL598" s="105"/>
      <c r="FM598" s="105"/>
      <c r="FN598" s="105"/>
      <c r="FO598" s="105"/>
      <c r="FP598" s="105"/>
      <c r="FQ598" s="105"/>
      <c r="FR598" s="105"/>
      <c r="FS598" s="105"/>
      <c r="FT598" s="105"/>
      <c r="FU598" s="105"/>
      <c r="FV598" s="105"/>
      <c r="FW598" s="105"/>
      <c r="FX598" s="105"/>
      <c r="FY598" s="105"/>
      <c r="FZ598" s="105"/>
      <c r="GA598" s="105"/>
      <c r="GB598" s="105"/>
      <c r="GC598" s="105"/>
      <c r="GD598" s="105"/>
      <c r="GE598" s="105"/>
      <c r="GF598" s="105"/>
      <c r="GG598" s="105"/>
      <c r="GH598" s="105"/>
      <c r="GI598" s="105"/>
      <c r="GJ598" s="105"/>
      <c r="GK598" s="105"/>
      <c r="GL598" s="105"/>
      <c r="GM598" s="105"/>
      <c r="GN598" s="105"/>
      <c r="GO598" s="105"/>
      <c r="GP598" s="105"/>
      <c r="GQ598" s="105"/>
      <c r="GR598" s="105"/>
      <c r="GS598" s="105"/>
      <c r="GT598" s="105"/>
      <c r="GU598" s="105"/>
      <c r="GV598" s="105"/>
      <c r="GW598" s="105"/>
      <c r="GX598" s="105"/>
      <c r="GY598" s="105"/>
      <c r="GZ598" s="105"/>
      <c r="HA598" s="105"/>
      <c r="HB598" s="105"/>
      <c r="HC598" s="105"/>
      <c r="HD598" s="105"/>
      <c r="HE598" s="105"/>
      <c r="HF598" s="105"/>
      <c r="HG598" s="105"/>
      <c r="HH598" s="105"/>
      <c r="HI598" s="105"/>
      <c r="HJ598" s="105"/>
      <c r="HK598" s="105"/>
      <c r="HL598" s="105"/>
      <c r="HM598" s="105"/>
      <c r="HN598" s="105"/>
      <c r="HO598" s="105"/>
      <c r="HP598" s="105"/>
      <c r="HQ598" s="105"/>
      <c r="HR598" s="105"/>
      <c r="HS598" s="105"/>
      <c r="HT598" s="105"/>
      <c r="HU598" s="105"/>
      <c r="HV598" s="105"/>
      <c r="HW598" s="105"/>
      <c r="HX598" s="105"/>
      <c r="HY598" s="105"/>
      <c r="HZ598" s="105"/>
      <c r="IA598" s="105"/>
      <c r="IB598" s="105"/>
      <c r="IC598" s="105"/>
      <c r="ID598" s="105"/>
      <c r="IE598" s="105"/>
      <c r="IF598" s="105"/>
      <c r="IG598" s="105"/>
      <c r="IH598" s="105"/>
      <c r="II598" s="105"/>
      <c r="IJ598" s="105"/>
      <c r="IK598" s="105"/>
      <c r="IL598" s="105"/>
      <c r="IM598" s="105"/>
      <c r="IN598" s="105"/>
      <c r="IO598" s="105"/>
      <c r="IP598" s="105"/>
      <c r="IQ598" s="105"/>
      <c r="IR598" s="105"/>
      <c r="IS598" s="105"/>
    </row>
    <row r="599" spans="1:253">
      <c r="A599" s="116"/>
      <c r="B599" s="105"/>
      <c r="C599" s="116"/>
      <c r="D599" s="116"/>
      <c r="E599" s="116"/>
      <c r="F599" s="116"/>
      <c r="G599" s="116"/>
      <c r="H599" s="116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105"/>
      <c r="BA599" s="105"/>
      <c r="BB599" s="105"/>
      <c r="BC599" s="105"/>
      <c r="BD599" s="105"/>
      <c r="BE599" s="105"/>
      <c r="BF599" s="105"/>
      <c r="BG599" s="105"/>
      <c r="BH599" s="105"/>
      <c r="BI599" s="105"/>
      <c r="BJ599" s="105"/>
      <c r="BK599" s="105"/>
      <c r="BL599" s="105"/>
      <c r="BM599" s="105"/>
      <c r="BN599" s="105"/>
      <c r="BO599" s="105"/>
      <c r="BP599" s="105"/>
      <c r="BQ599" s="105"/>
      <c r="BR599" s="105"/>
      <c r="BS599" s="105"/>
      <c r="BT599" s="105"/>
      <c r="BU599" s="105"/>
      <c r="BV599" s="105"/>
      <c r="BW599" s="105"/>
      <c r="BX599" s="105"/>
      <c r="BY599" s="105"/>
      <c r="BZ599" s="105"/>
      <c r="CA599" s="105"/>
      <c r="CB599" s="105"/>
      <c r="CC599" s="105"/>
      <c r="CD599" s="105"/>
      <c r="CE599" s="105"/>
      <c r="CF599" s="105"/>
      <c r="CG599" s="105"/>
      <c r="CH599" s="105"/>
      <c r="CI599" s="105"/>
      <c r="CJ599" s="105"/>
      <c r="CK599" s="105"/>
      <c r="CL599" s="105"/>
      <c r="CM599" s="105"/>
      <c r="CN599" s="105"/>
      <c r="CO599" s="105"/>
      <c r="CP599" s="105"/>
      <c r="CQ599" s="105"/>
      <c r="CR599" s="105"/>
      <c r="CS599" s="105"/>
      <c r="CT599" s="105"/>
      <c r="CU599" s="105"/>
      <c r="CV599" s="105"/>
      <c r="CW599" s="105"/>
      <c r="CX599" s="105"/>
      <c r="CY599" s="105"/>
      <c r="CZ599" s="105"/>
      <c r="DA599" s="105"/>
      <c r="DB599" s="105"/>
      <c r="DC599" s="105"/>
      <c r="DD599" s="105"/>
      <c r="DE599" s="105"/>
      <c r="DF599" s="105"/>
      <c r="DG599" s="105"/>
      <c r="DH599" s="105"/>
      <c r="DI599" s="105"/>
      <c r="DJ599" s="105"/>
      <c r="DK599" s="105"/>
      <c r="DL599" s="105"/>
      <c r="DM599" s="105"/>
      <c r="DN599" s="105"/>
      <c r="DO599" s="105"/>
      <c r="DP599" s="105"/>
      <c r="DQ599" s="105"/>
      <c r="DR599" s="105"/>
      <c r="DS599" s="105"/>
      <c r="DT599" s="105"/>
      <c r="DU599" s="105"/>
      <c r="DV599" s="105"/>
      <c r="DW599" s="105"/>
      <c r="DX599" s="105"/>
      <c r="DY599" s="105"/>
      <c r="DZ599" s="105"/>
      <c r="EA599" s="105"/>
      <c r="EB599" s="105"/>
      <c r="EC599" s="105"/>
      <c r="ED599" s="105"/>
      <c r="EE599" s="105"/>
      <c r="EF599" s="105"/>
      <c r="EG599" s="105"/>
      <c r="EH599" s="105"/>
      <c r="EI599" s="105"/>
      <c r="EJ599" s="105"/>
      <c r="EK599" s="105"/>
      <c r="EL599" s="105"/>
      <c r="EM599" s="105"/>
      <c r="EN599" s="105"/>
      <c r="EO599" s="105"/>
      <c r="EP599" s="105"/>
      <c r="EQ599" s="105"/>
      <c r="ER599" s="105"/>
      <c r="ES599" s="105"/>
      <c r="ET599" s="105"/>
      <c r="EU599" s="105"/>
      <c r="EV599" s="105"/>
      <c r="EW599" s="105"/>
      <c r="EX599" s="105"/>
      <c r="EY599" s="105"/>
      <c r="EZ599" s="105"/>
      <c r="FA599" s="105"/>
      <c r="FB599" s="105"/>
      <c r="FC599" s="105"/>
      <c r="FD599" s="105"/>
      <c r="FE599" s="105"/>
      <c r="FF599" s="105"/>
      <c r="FG599" s="105"/>
      <c r="FH599" s="105"/>
      <c r="FI599" s="105"/>
      <c r="FJ599" s="105"/>
      <c r="FK599" s="105"/>
      <c r="FL599" s="105"/>
      <c r="FM599" s="105"/>
      <c r="FN599" s="105"/>
      <c r="FO599" s="105"/>
      <c r="FP599" s="105"/>
      <c r="FQ599" s="105"/>
      <c r="FR599" s="105"/>
      <c r="FS599" s="105"/>
      <c r="FT599" s="105"/>
      <c r="FU599" s="105"/>
      <c r="FV599" s="105"/>
      <c r="FW599" s="105"/>
      <c r="FX599" s="105"/>
      <c r="FY599" s="105"/>
      <c r="FZ599" s="105"/>
      <c r="GA599" s="105"/>
      <c r="GB599" s="105"/>
      <c r="GC599" s="105"/>
      <c r="GD599" s="105"/>
      <c r="GE599" s="105"/>
      <c r="GF599" s="105"/>
      <c r="GG599" s="105"/>
      <c r="GH599" s="105"/>
      <c r="GI599" s="105"/>
      <c r="GJ599" s="105"/>
      <c r="GK599" s="105"/>
      <c r="GL599" s="105"/>
      <c r="GM599" s="105"/>
      <c r="GN599" s="105"/>
      <c r="GO599" s="105"/>
      <c r="GP599" s="105"/>
      <c r="GQ599" s="105"/>
      <c r="GR599" s="105"/>
      <c r="GS599" s="105"/>
      <c r="GT599" s="105"/>
      <c r="GU599" s="105"/>
      <c r="GV599" s="105"/>
      <c r="GW599" s="105"/>
      <c r="GX599" s="105"/>
      <c r="GY599" s="105"/>
      <c r="GZ599" s="105"/>
      <c r="HA599" s="105"/>
      <c r="HB599" s="105"/>
      <c r="HC599" s="105"/>
      <c r="HD599" s="105"/>
      <c r="HE599" s="105"/>
      <c r="HF599" s="105"/>
      <c r="HG599" s="105"/>
      <c r="HH599" s="105"/>
      <c r="HI599" s="105"/>
      <c r="HJ599" s="105"/>
      <c r="HK599" s="105"/>
      <c r="HL599" s="105"/>
      <c r="HM599" s="105"/>
      <c r="HN599" s="105"/>
      <c r="HO599" s="105"/>
      <c r="HP599" s="105"/>
      <c r="HQ599" s="105"/>
      <c r="HR599" s="105"/>
      <c r="HS599" s="105"/>
      <c r="HT599" s="105"/>
      <c r="HU599" s="105"/>
      <c r="HV599" s="105"/>
      <c r="HW599" s="105"/>
      <c r="HX599" s="105"/>
      <c r="HY599" s="105"/>
      <c r="HZ599" s="105"/>
      <c r="IA599" s="105"/>
      <c r="IB599" s="105"/>
      <c r="IC599" s="105"/>
      <c r="ID599" s="105"/>
      <c r="IE599" s="105"/>
      <c r="IF599" s="105"/>
      <c r="IG599" s="105"/>
      <c r="IH599" s="105"/>
      <c r="II599" s="105"/>
      <c r="IJ599" s="105"/>
      <c r="IK599" s="105"/>
      <c r="IL599" s="105"/>
      <c r="IM599" s="105"/>
      <c r="IN599" s="105"/>
      <c r="IO599" s="105"/>
      <c r="IP599" s="105"/>
      <c r="IQ599" s="105"/>
      <c r="IR599" s="105"/>
      <c r="IS599" s="105"/>
    </row>
    <row r="600" spans="1:253">
      <c r="A600" s="116"/>
      <c r="B600" s="105"/>
      <c r="C600" s="116"/>
      <c r="D600" s="116"/>
      <c r="E600" s="116"/>
      <c r="F600" s="116"/>
      <c r="G600" s="116"/>
      <c r="H600" s="116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05"/>
      <c r="BF600" s="105"/>
      <c r="BG600" s="105"/>
      <c r="BH600" s="105"/>
      <c r="BI600" s="105"/>
      <c r="BJ600" s="105"/>
      <c r="BK600" s="105"/>
      <c r="BL600" s="105"/>
      <c r="BM600" s="105"/>
      <c r="BN600" s="105"/>
      <c r="BO600" s="105"/>
      <c r="BP600" s="105"/>
      <c r="BQ600" s="105"/>
      <c r="BR600" s="105"/>
      <c r="BS600" s="105"/>
      <c r="BT600" s="105"/>
      <c r="BU600" s="105"/>
      <c r="BV600" s="105"/>
      <c r="BW600" s="105"/>
      <c r="BX600" s="105"/>
      <c r="BY600" s="105"/>
      <c r="BZ600" s="105"/>
      <c r="CA600" s="105"/>
      <c r="CB600" s="105"/>
      <c r="CC600" s="105"/>
      <c r="CD600" s="105"/>
      <c r="CE600" s="105"/>
      <c r="CF600" s="105"/>
      <c r="CG600" s="105"/>
      <c r="CH600" s="105"/>
      <c r="CI600" s="105"/>
      <c r="CJ600" s="105"/>
      <c r="CK600" s="105"/>
      <c r="CL600" s="105"/>
      <c r="CM600" s="105"/>
      <c r="CN600" s="105"/>
      <c r="CO600" s="105"/>
      <c r="CP600" s="105"/>
      <c r="CQ600" s="105"/>
      <c r="CR600" s="105"/>
      <c r="CS600" s="105"/>
      <c r="CT600" s="105"/>
      <c r="CU600" s="105"/>
      <c r="CV600" s="105"/>
      <c r="CW600" s="105"/>
      <c r="CX600" s="105"/>
      <c r="CY600" s="105"/>
      <c r="CZ600" s="105"/>
      <c r="DA600" s="105"/>
      <c r="DB600" s="105"/>
      <c r="DC600" s="105"/>
      <c r="DD600" s="105"/>
      <c r="DE600" s="105"/>
      <c r="DF600" s="105"/>
      <c r="DG600" s="105"/>
      <c r="DH600" s="105"/>
      <c r="DI600" s="105"/>
      <c r="DJ600" s="105"/>
      <c r="DK600" s="105"/>
      <c r="DL600" s="105"/>
      <c r="DM600" s="105"/>
      <c r="DN600" s="105"/>
      <c r="DO600" s="105"/>
      <c r="DP600" s="105"/>
      <c r="DQ600" s="105"/>
      <c r="DR600" s="105"/>
      <c r="DS600" s="105"/>
      <c r="DT600" s="105"/>
      <c r="DU600" s="105"/>
      <c r="DV600" s="105"/>
      <c r="DW600" s="105"/>
      <c r="DX600" s="105"/>
      <c r="DY600" s="105"/>
      <c r="DZ600" s="105"/>
      <c r="EA600" s="105"/>
      <c r="EB600" s="105"/>
      <c r="EC600" s="105"/>
      <c r="ED600" s="105"/>
      <c r="EE600" s="105"/>
      <c r="EF600" s="105"/>
      <c r="EG600" s="105"/>
      <c r="EH600" s="105"/>
      <c r="EI600" s="105"/>
      <c r="EJ600" s="105"/>
      <c r="EK600" s="105"/>
      <c r="EL600" s="105"/>
      <c r="EM600" s="105"/>
      <c r="EN600" s="105"/>
      <c r="EO600" s="105"/>
      <c r="EP600" s="105"/>
      <c r="EQ600" s="105"/>
      <c r="ER600" s="105"/>
      <c r="ES600" s="105"/>
      <c r="ET600" s="105"/>
      <c r="EU600" s="105"/>
      <c r="EV600" s="105"/>
      <c r="EW600" s="105"/>
      <c r="EX600" s="105"/>
      <c r="EY600" s="105"/>
      <c r="EZ600" s="105"/>
      <c r="FA600" s="105"/>
      <c r="FB600" s="105"/>
      <c r="FC600" s="105"/>
      <c r="FD600" s="105"/>
      <c r="FE600" s="105"/>
      <c r="FF600" s="105"/>
      <c r="FG600" s="105"/>
      <c r="FH600" s="105"/>
      <c r="FI600" s="105"/>
      <c r="FJ600" s="105"/>
      <c r="FK600" s="105"/>
      <c r="FL600" s="105"/>
      <c r="FM600" s="105"/>
      <c r="FN600" s="105"/>
      <c r="FO600" s="105"/>
      <c r="FP600" s="105"/>
      <c r="FQ600" s="105"/>
      <c r="FR600" s="105"/>
      <c r="FS600" s="105"/>
      <c r="FT600" s="105"/>
      <c r="FU600" s="105"/>
      <c r="FV600" s="105"/>
      <c r="FW600" s="105"/>
      <c r="FX600" s="105"/>
      <c r="FY600" s="105"/>
      <c r="FZ600" s="105"/>
      <c r="GA600" s="105"/>
      <c r="GB600" s="105"/>
      <c r="GC600" s="105"/>
      <c r="GD600" s="105"/>
      <c r="GE600" s="105"/>
      <c r="GF600" s="105"/>
      <c r="GG600" s="105"/>
      <c r="GH600" s="105"/>
      <c r="GI600" s="105"/>
      <c r="GJ600" s="105"/>
      <c r="GK600" s="105"/>
      <c r="GL600" s="105"/>
      <c r="GM600" s="105"/>
      <c r="GN600" s="105"/>
      <c r="GO600" s="105"/>
      <c r="GP600" s="105"/>
      <c r="GQ600" s="105"/>
      <c r="GR600" s="105"/>
      <c r="GS600" s="105"/>
      <c r="GT600" s="105"/>
      <c r="GU600" s="105"/>
      <c r="GV600" s="105"/>
      <c r="GW600" s="105"/>
      <c r="GX600" s="105"/>
      <c r="GY600" s="105"/>
      <c r="GZ600" s="105"/>
      <c r="HA600" s="105"/>
      <c r="HB600" s="105"/>
      <c r="HC600" s="105"/>
      <c r="HD600" s="105"/>
      <c r="HE600" s="105"/>
      <c r="HF600" s="105"/>
      <c r="HG600" s="105"/>
      <c r="HH600" s="105"/>
      <c r="HI600" s="105"/>
      <c r="HJ600" s="105"/>
      <c r="HK600" s="105"/>
      <c r="HL600" s="105"/>
      <c r="HM600" s="105"/>
      <c r="HN600" s="105"/>
      <c r="HO600" s="105"/>
      <c r="HP600" s="105"/>
      <c r="HQ600" s="105"/>
      <c r="HR600" s="105"/>
      <c r="HS600" s="105"/>
      <c r="HT600" s="105"/>
      <c r="HU600" s="105"/>
      <c r="HV600" s="105"/>
      <c r="HW600" s="105"/>
      <c r="HX600" s="105"/>
      <c r="HY600" s="105"/>
      <c r="HZ600" s="105"/>
      <c r="IA600" s="105"/>
      <c r="IB600" s="105"/>
      <c r="IC600" s="105"/>
      <c r="ID600" s="105"/>
      <c r="IE600" s="105"/>
      <c r="IF600" s="105"/>
      <c r="IG600" s="105"/>
      <c r="IH600" s="105"/>
      <c r="II600" s="105"/>
      <c r="IJ600" s="105"/>
      <c r="IK600" s="105"/>
      <c r="IL600" s="105"/>
      <c r="IM600" s="105"/>
      <c r="IN600" s="105"/>
      <c r="IO600" s="105"/>
      <c r="IP600" s="105"/>
      <c r="IQ600" s="105"/>
      <c r="IR600" s="105"/>
      <c r="IS600" s="105"/>
    </row>
    <row r="601" spans="1:253">
      <c r="A601" s="116"/>
      <c r="B601" s="105"/>
      <c r="C601" s="116"/>
      <c r="D601" s="116"/>
      <c r="E601" s="116"/>
      <c r="F601" s="116"/>
      <c r="G601" s="116"/>
      <c r="H601" s="116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  <c r="AU601" s="105"/>
      <c r="AV601" s="105"/>
      <c r="AW601" s="105"/>
      <c r="AX601" s="105"/>
      <c r="AY601" s="105"/>
      <c r="AZ601" s="105"/>
      <c r="BA601" s="105"/>
      <c r="BB601" s="105"/>
      <c r="BC601" s="105"/>
      <c r="BD601" s="105"/>
      <c r="BE601" s="105"/>
      <c r="BF601" s="105"/>
      <c r="BG601" s="105"/>
      <c r="BH601" s="105"/>
      <c r="BI601" s="105"/>
      <c r="BJ601" s="105"/>
      <c r="BK601" s="105"/>
      <c r="BL601" s="105"/>
      <c r="BM601" s="105"/>
      <c r="BN601" s="105"/>
      <c r="BO601" s="105"/>
      <c r="BP601" s="105"/>
      <c r="BQ601" s="105"/>
      <c r="BR601" s="105"/>
      <c r="BS601" s="105"/>
      <c r="BT601" s="105"/>
      <c r="BU601" s="105"/>
      <c r="BV601" s="105"/>
      <c r="BW601" s="105"/>
      <c r="BX601" s="105"/>
      <c r="BY601" s="105"/>
      <c r="BZ601" s="105"/>
      <c r="CA601" s="105"/>
      <c r="CB601" s="105"/>
      <c r="CC601" s="105"/>
      <c r="CD601" s="105"/>
      <c r="CE601" s="105"/>
      <c r="CF601" s="105"/>
      <c r="CG601" s="105"/>
      <c r="CH601" s="105"/>
      <c r="CI601" s="105"/>
      <c r="CJ601" s="105"/>
      <c r="CK601" s="105"/>
      <c r="CL601" s="105"/>
      <c r="CM601" s="105"/>
      <c r="CN601" s="105"/>
      <c r="CO601" s="105"/>
      <c r="CP601" s="105"/>
      <c r="CQ601" s="105"/>
      <c r="CR601" s="105"/>
      <c r="CS601" s="105"/>
      <c r="CT601" s="105"/>
      <c r="CU601" s="105"/>
      <c r="CV601" s="105"/>
      <c r="CW601" s="105"/>
      <c r="CX601" s="105"/>
      <c r="CY601" s="105"/>
      <c r="CZ601" s="105"/>
      <c r="DA601" s="105"/>
      <c r="DB601" s="105"/>
      <c r="DC601" s="105"/>
      <c r="DD601" s="105"/>
      <c r="DE601" s="105"/>
      <c r="DF601" s="105"/>
      <c r="DG601" s="105"/>
      <c r="DH601" s="105"/>
      <c r="DI601" s="105"/>
      <c r="DJ601" s="105"/>
      <c r="DK601" s="105"/>
      <c r="DL601" s="105"/>
      <c r="DM601" s="105"/>
      <c r="DN601" s="105"/>
      <c r="DO601" s="105"/>
      <c r="DP601" s="105"/>
      <c r="DQ601" s="105"/>
      <c r="DR601" s="105"/>
      <c r="DS601" s="105"/>
      <c r="DT601" s="105"/>
      <c r="DU601" s="105"/>
      <c r="DV601" s="105"/>
      <c r="DW601" s="105"/>
      <c r="DX601" s="105"/>
      <c r="DY601" s="105"/>
      <c r="DZ601" s="105"/>
      <c r="EA601" s="105"/>
      <c r="EB601" s="105"/>
      <c r="EC601" s="105"/>
      <c r="ED601" s="105"/>
      <c r="EE601" s="105"/>
      <c r="EF601" s="105"/>
      <c r="EG601" s="105"/>
      <c r="EH601" s="105"/>
      <c r="EI601" s="105"/>
      <c r="EJ601" s="105"/>
      <c r="EK601" s="105"/>
      <c r="EL601" s="105"/>
      <c r="EM601" s="105"/>
      <c r="EN601" s="105"/>
      <c r="EO601" s="105"/>
      <c r="EP601" s="105"/>
      <c r="EQ601" s="105"/>
      <c r="ER601" s="105"/>
      <c r="ES601" s="105"/>
      <c r="ET601" s="105"/>
      <c r="EU601" s="105"/>
      <c r="EV601" s="105"/>
      <c r="EW601" s="105"/>
      <c r="EX601" s="105"/>
      <c r="EY601" s="105"/>
      <c r="EZ601" s="105"/>
      <c r="FA601" s="105"/>
      <c r="FB601" s="105"/>
      <c r="FC601" s="105"/>
      <c r="FD601" s="105"/>
      <c r="FE601" s="105"/>
      <c r="FF601" s="105"/>
      <c r="FG601" s="105"/>
      <c r="FH601" s="105"/>
      <c r="FI601" s="105"/>
      <c r="FJ601" s="105"/>
      <c r="FK601" s="105"/>
      <c r="FL601" s="105"/>
      <c r="FM601" s="105"/>
      <c r="FN601" s="105"/>
      <c r="FO601" s="105"/>
      <c r="FP601" s="105"/>
      <c r="FQ601" s="105"/>
      <c r="FR601" s="105"/>
      <c r="FS601" s="105"/>
      <c r="FT601" s="105"/>
      <c r="FU601" s="105"/>
      <c r="FV601" s="105"/>
      <c r="FW601" s="105"/>
      <c r="FX601" s="105"/>
      <c r="FY601" s="105"/>
      <c r="FZ601" s="105"/>
      <c r="GA601" s="105"/>
      <c r="GB601" s="105"/>
      <c r="GC601" s="105"/>
      <c r="GD601" s="105"/>
      <c r="GE601" s="105"/>
      <c r="GF601" s="105"/>
      <c r="GG601" s="105"/>
      <c r="GH601" s="105"/>
      <c r="GI601" s="105"/>
      <c r="GJ601" s="105"/>
      <c r="GK601" s="105"/>
      <c r="GL601" s="105"/>
      <c r="GM601" s="105"/>
      <c r="GN601" s="105"/>
      <c r="GO601" s="105"/>
      <c r="GP601" s="105"/>
      <c r="GQ601" s="105"/>
      <c r="GR601" s="105"/>
      <c r="GS601" s="105"/>
      <c r="GT601" s="105"/>
      <c r="GU601" s="105"/>
      <c r="GV601" s="105"/>
      <c r="GW601" s="105"/>
      <c r="GX601" s="105"/>
      <c r="GY601" s="105"/>
      <c r="GZ601" s="105"/>
      <c r="HA601" s="105"/>
      <c r="HB601" s="105"/>
      <c r="HC601" s="105"/>
      <c r="HD601" s="105"/>
      <c r="HE601" s="105"/>
      <c r="HF601" s="105"/>
      <c r="HG601" s="105"/>
      <c r="HH601" s="105"/>
      <c r="HI601" s="105"/>
      <c r="HJ601" s="105"/>
      <c r="HK601" s="105"/>
      <c r="HL601" s="105"/>
      <c r="HM601" s="105"/>
      <c r="HN601" s="105"/>
      <c r="HO601" s="105"/>
      <c r="HP601" s="105"/>
      <c r="HQ601" s="105"/>
      <c r="HR601" s="105"/>
      <c r="HS601" s="105"/>
      <c r="HT601" s="105"/>
      <c r="HU601" s="105"/>
      <c r="HV601" s="105"/>
      <c r="HW601" s="105"/>
      <c r="HX601" s="105"/>
      <c r="HY601" s="105"/>
      <c r="HZ601" s="105"/>
      <c r="IA601" s="105"/>
      <c r="IB601" s="105"/>
      <c r="IC601" s="105"/>
      <c r="ID601" s="105"/>
      <c r="IE601" s="105"/>
      <c r="IF601" s="105"/>
      <c r="IG601" s="105"/>
      <c r="IH601" s="105"/>
      <c r="II601" s="105"/>
      <c r="IJ601" s="105"/>
      <c r="IK601" s="105"/>
      <c r="IL601" s="105"/>
      <c r="IM601" s="105"/>
      <c r="IN601" s="105"/>
      <c r="IO601" s="105"/>
      <c r="IP601" s="105"/>
      <c r="IQ601" s="105"/>
      <c r="IR601" s="105"/>
      <c r="IS601" s="105"/>
    </row>
    <row r="602" spans="1:253">
      <c r="A602" s="116"/>
      <c r="B602" s="105"/>
      <c r="C602" s="116"/>
      <c r="D602" s="116"/>
      <c r="E602" s="116"/>
      <c r="F602" s="116"/>
      <c r="G602" s="116"/>
      <c r="H602" s="116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05"/>
      <c r="BF602" s="105"/>
      <c r="BG602" s="105"/>
      <c r="BH602" s="105"/>
      <c r="BI602" s="105"/>
      <c r="BJ602" s="105"/>
      <c r="BK602" s="105"/>
      <c r="BL602" s="105"/>
      <c r="BM602" s="105"/>
      <c r="BN602" s="105"/>
      <c r="BO602" s="105"/>
      <c r="BP602" s="105"/>
      <c r="BQ602" s="105"/>
      <c r="BR602" s="105"/>
      <c r="BS602" s="105"/>
      <c r="BT602" s="105"/>
      <c r="BU602" s="105"/>
      <c r="BV602" s="105"/>
      <c r="BW602" s="105"/>
      <c r="BX602" s="105"/>
      <c r="BY602" s="105"/>
      <c r="BZ602" s="105"/>
      <c r="CA602" s="105"/>
      <c r="CB602" s="105"/>
      <c r="CC602" s="105"/>
      <c r="CD602" s="105"/>
      <c r="CE602" s="105"/>
      <c r="CF602" s="105"/>
      <c r="CG602" s="105"/>
      <c r="CH602" s="105"/>
      <c r="CI602" s="105"/>
      <c r="CJ602" s="105"/>
      <c r="CK602" s="105"/>
      <c r="CL602" s="105"/>
      <c r="CM602" s="105"/>
      <c r="CN602" s="105"/>
      <c r="CO602" s="105"/>
      <c r="CP602" s="105"/>
      <c r="CQ602" s="105"/>
      <c r="CR602" s="105"/>
      <c r="CS602" s="105"/>
      <c r="CT602" s="105"/>
      <c r="CU602" s="105"/>
      <c r="CV602" s="105"/>
      <c r="CW602" s="105"/>
      <c r="CX602" s="105"/>
      <c r="CY602" s="105"/>
      <c r="CZ602" s="105"/>
      <c r="DA602" s="105"/>
      <c r="DB602" s="105"/>
      <c r="DC602" s="105"/>
      <c r="DD602" s="105"/>
      <c r="DE602" s="105"/>
      <c r="DF602" s="105"/>
      <c r="DG602" s="105"/>
      <c r="DH602" s="105"/>
      <c r="DI602" s="105"/>
      <c r="DJ602" s="105"/>
      <c r="DK602" s="105"/>
      <c r="DL602" s="105"/>
      <c r="DM602" s="105"/>
      <c r="DN602" s="105"/>
      <c r="DO602" s="105"/>
      <c r="DP602" s="105"/>
      <c r="DQ602" s="105"/>
      <c r="DR602" s="105"/>
      <c r="DS602" s="105"/>
      <c r="DT602" s="105"/>
      <c r="DU602" s="105"/>
      <c r="DV602" s="105"/>
      <c r="DW602" s="105"/>
      <c r="DX602" s="105"/>
      <c r="DY602" s="105"/>
      <c r="DZ602" s="105"/>
      <c r="EA602" s="105"/>
      <c r="EB602" s="105"/>
      <c r="EC602" s="105"/>
      <c r="ED602" s="105"/>
      <c r="EE602" s="105"/>
      <c r="EF602" s="105"/>
      <c r="EG602" s="105"/>
      <c r="EH602" s="105"/>
      <c r="EI602" s="105"/>
      <c r="EJ602" s="105"/>
      <c r="EK602" s="105"/>
      <c r="EL602" s="105"/>
      <c r="EM602" s="105"/>
      <c r="EN602" s="105"/>
      <c r="EO602" s="105"/>
      <c r="EP602" s="105"/>
      <c r="EQ602" s="105"/>
      <c r="ER602" s="105"/>
      <c r="ES602" s="105"/>
      <c r="ET602" s="105"/>
      <c r="EU602" s="105"/>
      <c r="EV602" s="105"/>
      <c r="EW602" s="105"/>
      <c r="EX602" s="105"/>
      <c r="EY602" s="105"/>
      <c r="EZ602" s="105"/>
      <c r="FA602" s="105"/>
      <c r="FB602" s="105"/>
      <c r="FC602" s="105"/>
      <c r="FD602" s="105"/>
      <c r="FE602" s="105"/>
      <c r="FF602" s="105"/>
      <c r="FG602" s="105"/>
      <c r="FH602" s="105"/>
      <c r="FI602" s="105"/>
      <c r="FJ602" s="105"/>
      <c r="FK602" s="105"/>
      <c r="FL602" s="105"/>
      <c r="FM602" s="105"/>
      <c r="FN602" s="105"/>
      <c r="FO602" s="105"/>
      <c r="FP602" s="105"/>
      <c r="FQ602" s="105"/>
      <c r="FR602" s="105"/>
      <c r="FS602" s="105"/>
      <c r="FT602" s="105"/>
      <c r="FU602" s="105"/>
      <c r="FV602" s="105"/>
      <c r="FW602" s="105"/>
      <c r="FX602" s="105"/>
      <c r="FY602" s="105"/>
      <c r="FZ602" s="105"/>
      <c r="GA602" s="105"/>
      <c r="GB602" s="105"/>
      <c r="GC602" s="105"/>
      <c r="GD602" s="105"/>
      <c r="GE602" s="105"/>
      <c r="GF602" s="105"/>
      <c r="GG602" s="105"/>
      <c r="GH602" s="105"/>
      <c r="GI602" s="105"/>
      <c r="GJ602" s="105"/>
      <c r="GK602" s="105"/>
      <c r="GL602" s="105"/>
      <c r="GM602" s="105"/>
      <c r="GN602" s="105"/>
      <c r="GO602" s="105"/>
      <c r="GP602" s="105"/>
      <c r="GQ602" s="105"/>
      <c r="GR602" s="105"/>
      <c r="GS602" s="105"/>
      <c r="GT602" s="105"/>
      <c r="GU602" s="105"/>
      <c r="GV602" s="105"/>
      <c r="GW602" s="105"/>
      <c r="GX602" s="105"/>
      <c r="GY602" s="105"/>
      <c r="GZ602" s="105"/>
      <c r="HA602" s="105"/>
      <c r="HB602" s="105"/>
      <c r="HC602" s="105"/>
      <c r="HD602" s="105"/>
      <c r="HE602" s="105"/>
      <c r="HF602" s="105"/>
      <c r="HG602" s="105"/>
      <c r="HH602" s="105"/>
      <c r="HI602" s="105"/>
      <c r="HJ602" s="105"/>
      <c r="HK602" s="105"/>
      <c r="HL602" s="105"/>
      <c r="HM602" s="105"/>
      <c r="HN602" s="105"/>
      <c r="HO602" s="105"/>
      <c r="HP602" s="105"/>
      <c r="HQ602" s="105"/>
      <c r="HR602" s="105"/>
      <c r="HS602" s="105"/>
      <c r="HT602" s="105"/>
      <c r="HU602" s="105"/>
      <c r="HV602" s="105"/>
      <c r="HW602" s="105"/>
      <c r="HX602" s="105"/>
      <c r="HY602" s="105"/>
      <c r="HZ602" s="105"/>
      <c r="IA602" s="105"/>
      <c r="IB602" s="105"/>
      <c r="IC602" s="105"/>
      <c r="ID602" s="105"/>
      <c r="IE602" s="105"/>
      <c r="IF602" s="105"/>
      <c r="IG602" s="105"/>
      <c r="IH602" s="105"/>
      <c r="II602" s="105"/>
      <c r="IJ602" s="105"/>
      <c r="IK602" s="105"/>
      <c r="IL602" s="105"/>
      <c r="IM602" s="105"/>
      <c r="IN602" s="105"/>
      <c r="IO602" s="105"/>
      <c r="IP602" s="105"/>
      <c r="IQ602" s="105"/>
      <c r="IR602" s="105"/>
      <c r="IS602" s="105"/>
    </row>
    <row r="603" spans="1:253">
      <c r="A603" s="116"/>
      <c r="B603" s="105"/>
      <c r="C603" s="116"/>
      <c r="D603" s="116"/>
      <c r="E603" s="116"/>
      <c r="F603" s="116"/>
      <c r="G603" s="116"/>
      <c r="H603" s="116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05"/>
      <c r="BF603" s="105"/>
      <c r="BG603" s="105"/>
      <c r="BH603" s="105"/>
      <c r="BI603" s="105"/>
      <c r="BJ603" s="105"/>
      <c r="BK603" s="105"/>
      <c r="BL603" s="105"/>
      <c r="BM603" s="105"/>
      <c r="BN603" s="105"/>
      <c r="BO603" s="105"/>
      <c r="BP603" s="105"/>
      <c r="BQ603" s="105"/>
      <c r="BR603" s="105"/>
      <c r="BS603" s="105"/>
      <c r="BT603" s="105"/>
      <c r="BU603" s="105"/>
      <c r="BV603" s="105"/>
      <c r="BW603" s="105"/>
      <c r="BX603" s="105"/>
      <c r="BY603" s="105"/>
      <c r="BZ603" s="105"/>
      <c r="CA603" s="105"/>
      <c r="CB603" s="105"/>
      <c r="CC603" s="105"/>
      <c r="CD603" s="105"/>
      <c r="CE603" s="105"/>
      <c r="CF603" s="105"/>
      <c r="CG603" s="105"/>
      <c r="CH603" s="105"/>
      <c r="CI603" s="105"/>
      <c r="CJ603" s="105"/>
      <c r="CK603" s="105"/>
      <c r="CL603" s="105"/>
      <c r="CM603" s="105"/>
      <c r="CN603" s="105"/>
      <c r="CO603" s="105"/>
      <c r="CP603" s="105"/>
      <c r="CQ603" s="105"/>
      <c r="CR603" s="105"/>
      <c r="CS603" s="105"/>
      <c r="CT603" s="105"/>
      <c r="CU603" s="105"/>
      <c r="CV603" s="105"/>
      <c r="CW603" s="105"/>
      <c r="CX603" s="105"/>
      <c r="CY603" s="105"/>
      <c r="CZ603" s="105"/>
      <c r="DA603" s="105"/>
      <c r="DB603" s="105"/>
      <c r="DC603" s="105"/>
      <c r="DD603" s="105"/>
      <c r="DE603" s="105"/>
      <c r="DF603" s="105"/>
      <c r="DG603" s="105"/>
      <c r="DH603" s="105"/>
      <c r="DI603" s="105"/>
      <c r="DJ603" s="105"/>
      <c r="DK603" s="105"/>
      <c r="DL603" s="105"/>
      <c r="DM603" s="105"/>
      <c r="DN603" s="105"/>
      <c r="DO603" s="105"/>
      <c r="DP603" s="105"/>
      <c r="DQ603" s="105"/>
      <c r="DR603" s="105"/>
      <c r="DS603" s="105"/>
      <c r="DT603" s="105"/>
      <c r="DU603" s="105"/>
      <c r="DV603" s="105"/>
      <c r="DW603" s="105"/>
      <c r="DX603" s="105"/>
      <c r="DY603" s="105"/>
      <c r="DZ603" s="105"/>
      <c r="EA603" s="105"/>
      <c r="EB603" s="105"/>
      <c r="EC603" s="105"/>
      <c r="ED603" s="105"/>
      <c r="EE603" s="105"/>
      <c r="EF603" s="105"/>
      <c r="EG603" s="105"/>
      <c r="EH603" s="105"/>
      <c r="EI603" s="105"/>
      <c r="EJ603" s="105"/>
      <c r="EK603" s="105"/>
      <c r="EL603" s="105"/>
      <c r="EM603" s="105"/>
      <c r="EN603" s="105"/>
      <c r="EO603" s="105"/>
      <c r="EP603" s="105"/>
      <c r="EQ603" s="105"/>
      <c r="ER603" s="105"/>
      <c r="ES603" s="105"/>
      <c r="ET603" s="105"/>
      <c r="EU603" s="105"/>
      <c r="EV603" s="105"/>
      <c r="EW603" s="105"/>
      <c r="EX603" s="105"/>
      <c r="EY603" s="105"/>
      <c r="EZ603" s="105"/>
      <c r="FA603" s="105"/>
      <c r="FB603" s="105"/>
      <c r="FC603" s="105"/>
      <c r="FD603" s="105"/>
      <c r="FE603" s="105"/>
      <c r="FF603" s="105"/>
      <c r="FG603" s="105"/>
      <c r="FH603" s="105"/>
      <c r="FI603" s="105"/>
      <c r="FJ603" s="105"/>
      <c r="FK603" s="105"/>
      <c r="FL603" s="105"/>
      <c r="FM603" s="105"/>
      <c r="FN603" s="105"/>
      <c r="FO603" s="105"/>
      <c r="FP603" s="105"/>
      <c r="FQ603" s="105"/>
      <c r="FR603" s="105"/>
      <c r="FS603" s="105"/>
      <c r="FT603" s="105"/>
      <c r="FU603" s="105"/>
      <c r="FV603" s="105"/>
      <c r="FW603" s="105"/>
      <c r="FX603" s="105"/>
      <c r="FY603" s="105"/>
      <c r="FZ603" s="105"/>
      <c r="GA603" s="105"/>
      <c r="GB603" s="105"/>
      <c r="GC603" s="105"/>
      <c r="GD603" s="105"/>
      <c r="GE603" s="105"/>
      <c r="GF603" s="105"/>
      <c r="GG603" s="105"/>
      <c r="GH603" s="105"/>
      <c r="GI603" s="105"/>
      <c r="GJ603" s="105"/>
      <c r="GK603" s="105"/>
      <c r="GL603" s="105"/>
      <c r="GM603" s="105"/>
      <c r="GN603" s="105"/>
      <c r="GO603" s="105"/>
      <c r="GP603" s="105"/>
      <c r="GQ603" s="105"/>
      <c r="GR603" s="105"/>
      <c r="GS603" s="105"/>
      <c r="GT603" s="105"/>
      <c r="GU603" s="105"/>
      <c r="GV603" s="105"/>
      <c r="GW603" s="105"/>
      <c r="GX603" s="105"/>
      <c r="GY603" s="105"/>
      <c r="GZ603" s="105"/>
      <c r="HA603" s="105"/>
      <c r="HB603" s="105"/>
      <c r="HC603" s="105"/>
      <c r="HD603" s="105"/>
      <c r="HE603" s="105"/>
      <c r="HF603" s="105"/>
      <c r="HG603" s="105"/>
      <c r="HH603" s="105"/>
      <c r="HI603" s="105"/>
      <c r="HJ603" s="105"/>
      <c r="HK603" s="105"/>
      <c r="HL603" s="105"/>
      <c r="HM603" s="105"/>
      <c r="HN603" s="105"/>
      <c r="HO603" s="105"/>
      <c r="HP603" s="105"/>
      <c r="HQ603" s="105"/>
      <c r="HR603" s="105"/>
      <c r="HS603" s="105"/>
      <c r="HT603" s="105"/>
      <c r="HU603" s="105"/>
      <c r="HV603" s="105"/>
      <c r="HW603" s="105"/>
      <c r="HX603" s="105"/>
      <c r="HY603" s="105"/>
      <c r="HZ603" s="105"/>
      <c r="IA603" s="105"/>
      <c r="IB603" s="105"/>
      <c r="IC603" s="105"/>
      <c r="ID603" s="105"/>
      <c r="IE603" s="105"/>
      <c r="IF603" s="105"/>
      <c r="IG603" s="105"/>
      <c r="IH603" s="105"/>
      <c r="II603" s="105"/>
      <c r="IJ603" s="105"/>
      <c r="IK603" s="105"/>
      <c r="IL603" s="105"/>
      <c r="IM603" s="105"/>
      <c r="IN603" s="105"/>
      <c r="IO603" s="105"/>
      <c r="IP603" s="105"/>
      <c r="IQ603" s="105"/>
      <c r="IR603" s="105"/>
      <c r="IS603" s="105"/>
    </row>
    <row r="604" spans="1:253">
      <c r="A604" s="116"/>
      <c r="B604" s="105"/>
      <c r="C604" s="116"/>
      <c r="D604" s="116"/>
      <c r="E604" s="116"/>
      <c r="F604" s="116"/>
      <c r="G604" s="116"/>
      <c r="H604" s="116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05"/>
      <c r="BF604" s="105"/>
      <c r="BG604" s="105"/>
      <c r="BH604" s="105"/>
      <c r="BI604" s="105"/>
      <c r="BJ604" s="105"/>
      <c r="BK604" s="105"/>
      <c r="BL604" s="105"/>
      <c r="BM604" s="105"/>
      <c r="BN604" s="105"/>
      <c r="BO604" s="105"/>
      <c r="BP604" s="105"/>
      <c r="BQ604" s="105"/>
      <c r="BR604" s="105"/>
      <c r="BS604" s="105"/>
      <c r="BT604" s="105"/>
      <c r="BU604" s="105"/>
      <c r="BV604" s="105"/>
      <c r="BW604" s="105"/>
      <c r="BX604" s="105"/>
      <c r="BY604" s="105"/>
      <c r="BZ604" s="105"/>
      <c r="CA604" s="105"/>
      <c r="CB604" s="105"/>
      <c r="CC604" s="105"/>
      <c r="CD604" s="105"/>
      <c r="CE604" s="105"/>
      <c r="CF604" s="105"/>
      <c r="CG604" s="105"/>
      <c r="CH604" s="105"/>
      <c r="CI604" s="105"/>
      <c r="CJ604" s="105"/>
      <c r="CK604" s="105"/>
      <c r="CL604" s="105"/>
      <c r="CM604" s="105"/>
      <c r="CN604" s="105"/>
      <c r="CO604" s="105"/>
      <c r="CP604" s="105"/>
      <c r="CQ604" s="105"/>
      <c r="CR604" s="105"/>
      <c r="CS604" s="105"/>
      <c r="CT604" s="105"/>
      <c r="CU604" s="105"/>
      <c r="CV604" s="105"/>
      <c r="CW604" s="105"/>
      <c r="CX604" s="105"/>
      <c r="CY604" s="105"/>
      <c r="CZ604" s="105"/>
      <c r="DA604" s="105"/>
      <c r="DB604" s="105"/>
      <c r="DC604" s="105"/>
      <c r="DD604" s="105"/>
      <c r="DE604" s="105"/>
      <c r="DF604" s="105"/>
      <c r="DG604" s="105"/>
      <c r="DH604" s="105"/>
      <c r="DI604" s="105"/>
      <c r="DJ604" s="105"/>
      <c r="DK604" s="105"/>
      <c r="DL604" s="105"/>
      <c r="DM604" s="105"/>
      <c r="DN604" s="105"/>
      <c r="DO604" s="105"/>
      <c r="DP604" s="105"/>
      <c r="DQ604" s="105"/>
      <c r="DR604" s="105"/>
      <c r="DS604" s="105"/>
      <c r="DT604" s="105"/>
      <c r="DU604" s="105"/>
      <c r="DV604" s="105"/>
      <c r="DW604" s="105"/>
      <c r="DX604" s="105"/>
      <c r="DY604" s="105"/>
      <c r="DZ604" s="105"/>
      <c r="EA604" s="105"/>
      <c r="EB604" s="105"/>
      <c r="EC604" s="105"/>
      <c r="ED604" s="105"/>
      <c r="EE604" s="105"/>
      <c r="EF604" s="105"/>
      <c r="EG604" s="105"/>
      <c r="EH604" s="105"/>
      <c r="EI604" s="105"/>
      <c r="EJ604" s="105"/>
      <c r="EK604" s="105"/>
      <c r="EL604" s="105"/>
      <c r="EM604" s="105"/>
      <c r="EN604" s="105"/>
      <c r="EO604" s="105"/>
      <c r="EP604" s="105"/>
      <c r="EQ604" s="105"/>
      <c r="ER604" s="105"/>
      <c r="ES604" s="105"/>
      <c r="ET604" s="105"/>
      <c r="EU604" s="105"/>
      <c r="EV604" s="105"/>
      <c r="EW604" s="105"/>
      <c r="EX604" s="105"/>
      <c r="EY604" s="105"/>
      <c r="EZ604" s="105"/>
      <c r="FA604" s="105"/>
      <c r="FB604" s="105"/>
      <c r="FC604" s="105"/>
      <c r="FD604" s="105"/>
      <c r="FE604" s="105"/>
      <c r="FF604" s="105"/>
      <c r="FG604" s="105"/>
      <c r="FH604" s="105"/>
      <c r="FI604" s="105"/>
      <c r="FJ604" s="105"/>
      <c r="FK604" s="105"/>
      <c r="FL604" s="105"/>
      <c r="FM604" s="105"/>
      <c r="FN604" s="105"/>
      <c r="FO604" s="105"/>
      <c r="FP604" s="105"/>
      <c r="FQ604" s="105"/>
      <c r="FR604" s="105"/>
      <c r="FS604" s="105"/>
      <c r="FT604" s="105"/>
      <c r="FU604" s="105"/>
      <c r="FV604" s="105"/>
      <c r="FW604" s="105"/>
      <c r="FX604" s="105"/>
      <c r="FY604" s="105"/>
      <c r="FZ604" s="105"/>
      <c r="GA604" s="105"/>
      <c r="GB604" s="105"/>
      <c r="GC604" s="105"/>
      <c r="GD604" s="105"/>
      <c r="GE604" s="105"/>
      <c r="GF604" s="105"/>
      <c r="GG604" s="105"/>
      <c r="GH604" s="105"/>
      <c r="GI604" s="105"/>
      <c r="GJ604" s="105"/>
      <c r="GK604" s="105"/>
      <c r="GL604" s="105"/>
      <c r="GM604" s="105"/>
      <c r="GN604" s="105"/>
      <c r="GO604" s="105"/>
      <c r="GP604" s="105"/>
      <c r="GQ604" s="105"/>
      <c r="GR604" s="105"/>
      <c r="GS604" s="105"/>
      <c r="GT604" s="105"/>
      <c r="GU604" s="105"/>
      <c r="GV604" s="105"/>
      <c r="GW604" s="105"/>
      <c r="GX604" s="105"/>
      <c r="GY604" s="105"/>
      <c r="GZ604" s="105"/>
      <c r="HA604" s="105"/>
      <c r="HB604" s="105"/>
      <c r="HC604" s="105"/>
      <c r="HD604" s="105"/>
      <c r="HE604" s="105"/>
      <c r="HF604" s="105"/>
      <c r="HG604" s="105"/>
      <c r="HH604" s="105"/>
      <c r="HI604" s="105"/>
      <c r="HJ604" s="105"/>
      <c r="HK604" s="105"/>
      <c r="HL604" s="105"/>
      <c r="HM604" s="105"/>
      <c r="HN604" s="105"/>
      <c r="HO604" s="105"/>
      <c r="HP604" s="105"/>
      <c r="HQ604" s="105"/>
      <c r="HR604" s="105"/>
      <c r="HS604" s="105"/>
      <c r="HT604" s="105"/>
      <c r="HU604" s="105"/>
      <c r="HV604" s="105"/>
      <c r="HW604" s="105"/>
      <c r="HX604" s="105"/>
      <c r="HY604" s="105"/>
      <c r="HZ604" s="105"/>
      <c r="IA604" s="105"/>
      <c r="IB604" s="105"/>
      <c r="IC604" s="105"/>
      <c r="ID604" s="105"/>
      <c r="IE604" s="105"/>
      <c r="IF604" s="105"/>
      <c r="IG604" s="105"/>
      <c r="IH604" s="105"/>
      <c r="II604" s="105"/>
      <c r="IJ604" s="105"/>
      <c r="IK604" s="105"/>
      <c r="IL604" s="105"/>
      <c r="IM604" s="105"/>
      <c r="IN604" s="105"/>
      <c r="IO604" s="105"/>
      <c r="IP604" s="105"/>
      <c r="IQ604" s="105"/>
      <c r="IR604" s="105"/>
      <c r="IS604" s="105"/>
    </row>
    <row r="605" spans="1:253">
      <c r="A605" s="116"/>
      <c r="B605" s="105"/>
      <c r="C605" s="116"/>
      <c r="D605" s="116"/>
      <c r="E605" s="116"/>
      <c r="F605" s="116"/>
      <c r="G605" s="116"/>
      <c r="H605" s="116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  <c r="BA605" s="105"/>
      <c r="BB605" s="105"/>
      <c r="BC605" s="105"/>
      <c r="BD605" s="105"/>
      <c r="BE605" s="105"/>
      <c r="BF605" s="105"/>
      <c r="BG605" s="105"/>
      <c r="BH605" s="105"/>
      <c r="BI605" s="105"/>
      <c r="BJ605" s="105"/>
      <c r="BK605" s="105"/>
      <c r="BL605" s="105"/>
      <c r="BM605" s="105"/>
      <c r="BN605" s="105"/>
      <c r="BO605" s="105"/>
      <c r="BP605" s="105"/>
      <c r="BQ605" s="105"/>
      <c r="BR605" s="105"/>
      <c r="BS605" s="105"/>
      <c r="BT605" s="105"/>
      <c r="BU605" s="105"/>
      <c r="BV605" s="105"/>
      <c r="BW605" s="105"/>
      <c r="BX605" s="105"/>
      <c r="BY605" s="105"/>
      <c r="BZ605" s="105"/>
      <c r="CA605" s="105"/>
      <c r="CB605" s="105"/>
      <c r="CC605" s="105"/>
      <c r="CD605" s="105"/>
      <c r="CE605" s="105"/>
      <c r="CF605" s="105"/>
      <c r="CG605" s="105"/>
      <c r="CH605" s="105"/>
      <c r="CI605" s="105"/>
      <c r="CJ605" s="105"/>
      <c r="CK605" s="105"/>
      <c r="CL605" s="105"/>
      <c r="CM605" s="105"/>
      <c r="CN605" s="105"/>
      <c r="CO605" s="105"/>
      <c r="CP605" s="105"/>
      <c r="CQ605" s="105"/>
      <c r="CR605" s="105"/>
      <c r="CS605" s="105"/>
      <c r="CT605" s="105"/>
      <c r="CU605" s="105"/>
      <c r="CV605" s="105"/>
      <c r="CW605" s="105"/>
      <c r="CX605" s="105"/>
      <c r="CY605" s="105"/>
      <c r="CZ605" s="105"/>
      <c r="DA605" s="105"/>
      <c r="DB605" s="105"/>
      <c r="DC605" s="105"/>
      <c r="DD605" s="105"/>
      <c r="DE605" s="105"/>
      <c r="DF605" s="105"/>
      <c r="DG605" s="105"/>
      <c r="DH605" s="105"/>
      <c r="DI605" s="105"/>
      <c r="DJ605" s="105"/>
      <c r="DK605" s="105"/>
      <c r="DL605" s="105"/>
      <c r="DM605" s="105"/>
      <c r="DN605" s="105"/>
      <c r="DO605" s="105"/>
      <c r="DP605" s="105"/>
      <c r="DQ605" s="105"/>
      <c r="DR605" s="105"/>
      <c r="DS605" s="105"/>
      <c r="DT605" s="105"/>
      <c r="DU605" s="105"/>
      <c r="DV605" s="105"/>
      <c r="DW605" s="105"/>
      <c r="DX605" s="105"/>
      <c r="DY605" s="105"/>
      <c r="DZ605" s="105"/>
      <c r="EA605" s="105"/>
      <c r="EB605" s="105"/>
      <c r="EC605" s="105"/>
      <c r="ED605" s="105"/>
      <c r="EE605" s="105"/>
      <c r="EF605" s="105"/>
      <c r="EG605" s="105"/>
      <c r="EH605" s="105"/>
      <c r="EI605" s="105"/>
      <c r="EJ605" s="105"/>
      <c r="EK605" s="105"/>
      <c r="EL605" s="105"/>
      <c r="EM605" s="105"/>
      <c r="EN605" s="105"/>
      <c r="EO605" s="105"/>
      <c r="EP605" s="105"/>
      <c r="EQ605" s="105"/>
      <c r="ER605" s="105"/>
      <c r="ES605" s="105"/>
      <c r="ET605" s="105"/>
      <c r="EU605" s="105"/>
      <c r="EV605" s="105"/>
      <c r="EW605" s="105"/>
      <c r="EX605" s="105"/>
      <c r="EY605" s="105"/>
      <c r="EZ605" s="105"/>
      <c r="FA605" s="105"/>
      <c r="FB605" s="105"/>
      <c r="FC605" s="105"/>
      <c r="FD605" s="105"/>
      <c r="FE605" s="105"/>
      <c r="FF605" s="105"/>
      <c r="FG605" s="105"/>
      <c r="FH605" s="105"/>
      <c r="FI605" s="105"/>
      <c r="FJ605" s="105"/>
      <c r="FK605" s="105"/>
      <c r="FL605" s="105"/>
      <c r="FM605" s="105"/>
      <c r="FN605" s="105"/>
      <c r="FO605" s="105"/>
      <c r="FP605" s="105"/>
      <c r="FQ605" s="105"/>
      <c r="FR605" s="105"/>
      <c r="FS605" s="105"/>
      <c r="FT605" s="105"/>
      <c r="FU605" s="105"/>
      <c r="FV605" s="105"/>
      <c r="FW605" s="105"/>
      <c r="FX605" s="105"/>
      <c r="FY605" s="105"/>
      <c r="FZ605" s="105"/>
      <c r="GA605" s="105"/>
      <c r="GB605" s="105"/>
      <c r="GC605" s="105"/>
      <c r="GD605" s="105"/>
      <c r="GE605" s="105"/>
      <c r="GF605" s="105"/>
      <c r="GG605" s="105"/>
      <c r="GH605" s="105"/>
      <c r="GI605" s="105"/>
      <c r="GJ605" s="105"/>
      <c r="GK605" s="105"/>
      <c r="GL605" s="105"/>
      <c r="GM605" s="105"/>
      <c r="GN605" s="105"/>
      <c r="GO605" s="105"/>
      <c r="GP605" s="105"/>
      <c r="GQ605" s="105"/>
      <c r="GR605" s="105"/>
      <c r="GS605" s="105"/>
      <c r="GT605" s="105"/>
      <c r="GU605" s="105"/>
      <c r="GV605" s="105"/>
      <c r="GW605" s="105"/>
      <c r="GX605" s="105"/>
      <c r="GY605" s="105"/>
      <c r="GZ605" s="105"/>
      <c r="HA605" s="105"/>
      <c r="HB605" s="105"/>
      <c r="HC605" s="105"/>
      <c r="HD605" s="105"/>
      <c r="HE605" s="105"/>
      <c r="HF605" s="105"/>
      <c r="HG605" s="105"/>
      <c r="HH605" s="105"/>
      <c r="HI605" s="105"/>
      <c r="HJ605" s="105"/>
      <c r="HK605" s="105"/>
      <c r="HL605" s="105"/>
      <c r="HM605" s="105"/>
      <c r="HN605" s="105"/>
      <c r="HO605" s="105"/>
      <c r="HP605" s="105"/>
      <c r="HQ605" s="105"/>
      <c r="HR605" s="105"/>
      <c r="HS605" s="105"/>
      <c r="HT605" s="105"/>
      <c r="HU605" s="105"/>
      <c r="HV605" s="105"/>
      <c r="HW605" s="105"/>
      <c r="HX605" s="105"/>
      <c r="HY605" s="105"/>
      <c r="HZ605" s="105"/>
      <c r="IA605" s="105"/>
      <c r="IB605" s="105"/>
      <c r="IC605" s="105"/>
      <c r="ID605" s="105"/>
      <c r="IE605" s="105"/>
      <c r="IF605" s="105"/>
      <c r="IG605" s="105"/>
      <c r="IH605" s="105"/>
      <c r="II605" s="105"/>
      <c r="IJ605" s="105"/>
      <c r="IK605" s="105"/>
      <c r="IL605" s="105"/>
      <c r="IM605" s="105"/>
      <c r="IN605" s="105"/>
      <c r="IO605" s="105"/>
      <c r="IP605" s="105"/>
      <c r="IQ605" s="105"/>
      <c r="IR605" s="105"/>
      <c r="IS605" s="105"/>
    </row>
    <row r="606" spans="1:253">
      <c r="A606" s="116"/>
      <c r="B606" s="105"/>
      <c r="C606" s="116"/>
      <c r="D606" s="116"/>
      <c r="E606" s="116"/>
      <c r="F606" s="116"/>
      <c r="G606" s="116"/>
      <c r="H606" s="116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05"/>
      <c r="BF606" s="105"/>
      <c r="BG606" s="105"/>
      <c r="BH606" s="105"/>
      <c r="BI606" s="105"/>
      <c r="BJ606" s="105"/>
      <c r="BK606" s="105"/>
      <c r="BL606" s="105"/>
      <c r="BM606" s="105"/>
      <c r="BN606" s="105"/>
      <c r="BO606" s="105"/>
      <c r="BP606" s="105"/>
      <c r="BQ606" s="105"/>
      <c r="BR606" s="105"/>
      <c r="BS606" s="105"/>
      <c r="BT606" s="105"/>
      <c r="BU606" s="105"/>
      <c r="BV606" s="105"/>
      <c r="BW606" s="105"/>
      <c r="BX606" s="105"/>
      <c r="BY606" s="105"/>
      <c r="BZ606" s="105"/>
      <c r="CA606" s="105"/>
      <c r="CB606" s="105"/>
      <c r="CC606" s="105"/>
      <c r="CD606" s="105"/>
      <c r="CE606" s="105"/>
      <c r="CF606" s="105"/>
      <c r="CG606" s="105"/>
      <c r="CH606" s="105"/>
      <c r="CI606" s="105"/>
      <c r="CJ606" s="105"/>
      <c r="CK606" s="105"/>
      <c r="CL606" s="105"/>
      <c r="CM606" s="105"/>
      <c r="CN606" s="105"/>
      <c r="CO606" s="105"/>
      <c r="CP606" s="105"/>
      <c r="CQ606" s="105"/>
      <c r="CR606" s="105"/>
      <c r="CS606" s="105"/>
      <c r="CT606" s="105"/>
      <c r="CU606" s="105"/>
      <c r="CV606" s="105"/>
      <c r="CW606" s="105"/>
      <c r="CX606" s="105"/>
      <c r="CY606" s="105"/>
      <c r="CZ606" s="105"/>
      <c r="DA606" s="105"/>
      <c r="DB606" s="105"/>
      <c r="DC606" s="105"/>
      <c r="DD606" s="105"/>
      <c r="DE606" s="105"/>
      <c r="DF606" s="105"/>
      <c r="DG606" s="105"/>
      <c r="DH606" s="105"/>
      <c r="DI606" s="105"/>
      <c r="DJ606" s="105"/>
      <c r="DK606" s="105"/>
      <c r="DL606" s="105"/>
      <c r="DM606" s="105"/>
      <c r="DN606" s="105"/>
      <c r="DO606" s="105"/>
      <c r="DP606" s="105"/>
      <c r="DQ606" s="105"/>
      <c r="DR606" s="105"/>
      <c r="DS606" s="105"/>
      <c r="DT606" s="105"/>
      <c r="DU606" s="105"/>
      <c r="DV606" s="105"/>
      <c r="DW606" s="105"/>
      <c r="DX606" s="105"/>
      <c r="DY606" s="105"/>
      <c r="DZ606" s="105"/>
      <c r="EA606" s="105"/>
      <c r="EB606" s="105"/>
      <c r="EC606" s="105"/>
      <c r="ED606" s="105"/>
      <c r="EE606" s="105"/>
      <c r="EF606" s="105"/>
      <c r="EG606" s="105"/>
      <c r="EH606" s="105"/>
      <c r="EI606" s="105"/>
      <c r="EJ606" s="105"/>
      <c r="EK606" s="105"/>
      <c r="EL606" s="105"/>
      <c r="EM606" s="105"/>
      <c r="EN606" s="105"/>
      <c r="EO606" s="105"/>
      <c r="EP606" s="105"/>
      <c r="EQ606" s="105"/>
      <c r="ER606" s="105"/>
      <c r="ES606" s="105"/>
      <c r="ET606" s="105"/>
      <c r="EU606" s="105"/>
      <c r="EV606" s="105"/>
      <c r="EW606" s="105"/>
      <c r="EX606" s="105"/>
      <c r="EY606" s="105"/>
      <c r="EZ606" s="105"/>
      <c r="FA606" s="105"/>
      <c r="FB606" s="105"/>
      <c r="FC606" s="105"/>
      <c r="FD606" s="105"/>
      <c r="FE606" s="105"/>
      <c r="FF606" s="105"/>
      <c r="FG606" s="105"/>
      <c r="FH606" s="105"/>
      <c r="FI606" s="105"/>
      <c r="FJ606" s="105"/>
      <c r="FK606" s="105"/>
      <c r="FL606" s="105"/>
      <c r="FM606" s="105"/>
      <c r="FN606" s="105"/>
      <c r="FO606" s="105"/>
      <c r="FP606" s="105"/>
      <c r="FQ606" s="105"/>
      <c r="FR606" s="105"/>
      <c r="FS606" s="105"/>
      <c r="FT606" s="105"/>
      <c r="FU606" s="105"/>
      <c r="FV606" s="105"/>
      <c r="FW606" s="105"/>
      <c r="FX606" s="105"/>
      <c r="FY606" s="105"/>
      <c r="FZ606" s="105"/>
      <c r="GA606" s="105"/>
      <c r="GB606" s="105"/>
      <c r="GC606" s="105"/>
      <c r="GD606" s="105"/>
      <c r="GE606" s="105"/>
      <c r="GF606" s="105"/>
      <c r="GG606" s="105"/>
      <c r="GH606" s="105"/>
      <c r="GI606" s="105"/>
      <c r="GJ606" s="105"/>
      <c r="GK606" s="105"/>
      <c r="GL606" s="105"/>
      <c r="GM606" s="105"/>
      <c r="GN606" s="105"/>
      <c r="GO606" s="105"/>
      <c r="GP606" s="105"/>
      <c r="GQ606" s="105"/>
      <c r="GR606" s="105"/>
      <c r="GS606" s="105"/>
      <c r="GT606" s="105"/>
      <c r="GU606" s="105"/>
      <c r="GV606" s="105"/>
      <c r="GW606" s="105"/>
      <c r="GX606" s="105"/>
      <c r="GY606" s="105"/>
      <c r="GZ606" s="105"/>
      <c r="HA606" s="105"/>
      <c r="HB606" s="105"/>
      <c r="HC606" s="105"/>
      <c r="HD606" s="105"/>
      <c r="HE606" s="105"/>
      <c r="HF606" s="105"/>
      <c r="HG606" s="105"/>
      <c r="HH606" s="105"/>
      <c r="HI606" s="105"/>
      <c r="HJ606" s="105"/>
      <c r="HK606" s="105"/>
      <c r="HL606" s="105"/>
      <c r="HM606" s="105"/>
      <c r="HN606" s="105"/>
      <c r="HO606" s="105"/>
      <c r="HP606" s="105"/>
      <c r="HQ606" s="105"/>
      <c r="HR606" s="105"/>
      <c r="HS606" s="105"/>
      <c r="HT606" s="105"/>
      <c r="HU606" s="105"/>
      <c r="HV606" s="105"/>
      <c r="HW606" s="105"/>
      <c r="HX606" s="105"/>
      <c r="HY606" s="105"/>
      <c r="HZ606" s="105"/>
      <c r="IA606" s="105"/>
      <c r="IB606" s="105"/>
      <c r="IC606" s="105"/>
      <c r="ID606" s="105"/>
      <c r="IE606" s="105"/>
      <c r="IF606" s="105"/>
      <c r="IG606" s="105"/>
      <c r="IH606" s="105"/>
      <c r="II606" s="105"/>
      <c r="IJ606" s="105"/>
      <c r="IK606" s="105"/>
      <c r="IL606" s="105"/>
      <c r="IM606" s="105"/>
      <c r="IN606" s="105"/>
      <c r="IO606" s="105"/>
      <c r="IP606" s="105"/>
      <c r="IQ606" s="105"/>
      <c r="IR606" s="105"/>
      <c r="IS606" s="105"/>
    </row>
    <row r="607" spans="1:253">
      <c r="A607" s="116"/>
      <c r="B607" s="105"/>
      <c r="C607" s="116"/>
      <c r="D607" s="116"/>
      <c r="E607" s="116"/>
      <c r="F607" s="116"/>
      <c r="G607" s="116"/>
      <c r="H607" s="116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  <c r="BA607" s="105"/>
      <c r="BB607" s="105"/>
      <c r="BC607" s="105"/>
      <c r="BD607" s="105"/>
      <c r="BE607" s="105"/>
      <c r="BF607" s="105"/>
      <c r="BG607" s="105"/>
      <c r="BH607" s="105"/>
      <c r="BI607" s="105"/>
      <c r="BJ607" s="105"/>
      <c r="BK607" s="105"/>
      <c r="BL607" s="105"/>
      <c r="BM607" s="105"/>
      <c r="BN607" s="105"/>
      <c r="BO607" s="105"/>
      <c r="BP607" s="105"/>
      <c r="BQ607" s="105"/>
      <c r="BR607" s="105"/>
      <c r="BS607" s="105"/>
      <c r="BT607" s="105"/>
      <c r="BU607" s="105"/>
      <c r="BV607" s="105"/>
      <c r="BW607" s="105"/>
      <c r="BX607" s="105"/>
      <c r="BY607" s="105"/>
      <c r="BZ607" s="105"/>
      <c r="CA607" s="105"/>
      <c r="CB607" s="105"/>
      <c r="CC607" s="105"/>
      <c r="CD607" s="105"/>
      <c r="CE607" s="105"/>
      <c r="CF607" s="105"/>
      <c r="CG607" s="105"/>
      <c r="CH607" s="105"/>
      <c r="CI607" s="105"/>
      <c r="CJ607" s="105"/>
      <c r="CK607" s="105"/>
      <c r="CL607" s="105"/>
      <c r="CM607" s="105"/>
      <c r="CN607" s="105"/>
      <c r="CO607" s="105"/>
      <c r="CP607" s="105"/>
      <c r="CQ607" s="105"/>
      <c r="CR607" s="105"/>
      <c r="CS607" s="105"/>
      <c r="CT607" s="105"/>
      <c r="CU607" s="105"/>
      <c r="CV607" s="105"/>
      <c r="CW607" s="105"/>
      <c r="CX607" s="105"/>
      <c r="CY607" s="105"/>
      <c r="CZ607" s="105"/>
      <c r="DA607" s="105"/>
      <c r="DB607" s="105"/>
      <c r="DC607" s="105"/>
      <c r="DD607" s="105"/>
      <c r="DE607" s="105"/>
      <c r="DF607" s="105"/>
      <c r="DG607" s="105"/>
      <c r="DH607" s="105"/>
      <c r="DI607" s="105"/>
      <c r="DJ607" s="105"/>
      <c r="DK607" s="105"/>
      <c r="DL607" s="105"/>
      <c r="DM607" s="105"/>
      <c r="DN607" s="105"/>
      <c r="DO607" s="105"/>
      <c r="DP607" s="105"/>
      <c r="DQ607" s="105"/>
      <c r="DR607" s="105"/>
      <c r="DS607" s="105"/>
      <c r="DT607" s="105"/>
      <c r="DU607" s="105"/>
      <c r="DV607" s="105"/>
      <c r="DW607" s="105"/>
      <c r="DX607" s="105"/>
      <c r="DY607" s="105"/>
      <c r="DZ607" s="105"/>
      <c r="EA607" s="105"/>
      <c r="EB607" s="105"/>
      <c r="EC607" s="105"/>
      <c r="ED607" s="105"/>
      <c r="EE607" s="105"/>
      <c r="EF607" s="105"/>
      <c r="EG607" s="105"/>
      <c r="EH607" s="105"/>
      <c r="EI607" s="105"/>
      <c r="EJ607" s="105"/>
      <c r="EK607" s="105"/>
      <c r="EL607" s="105"/>
      <c r="EM607" s="105"/>
      <c r="EN607" s="105"/>
      <c r="EO607" s="105"/>
      <c r="EP607" s="105"/>
      <c r="EQ607" s="105"/>
      <c r="ER607" s="105"/>
      <c r="ES607" s="105"/>
      <c r="ET607" s="105"/>
      <c r="EU607" s="105"/>
      <c r="EV607" s="105"/>
      <c r="EW607" s="105"/>
      <c r="EX607" s="105"/>
      <c r="EY607" s="105"/>
      <c r="EZ607" s="105"/>
      <c r="FA607" s="105"/>
      <c r="FB607" s="105"/>
      <c r="FC607" s="105"/>
      <c r="FD607" s="105"/>
      <c r="FE607" s="105"/>
      <c r="FF607" s="105"/>
      <c r="FG607" s="105"/>
      <c r="FH607" s="105"/>
      <c r="FI607" s="105"/>
      <c r="FJ607" s="105"/>
      <c r="FK607" s="105"/>
      <c r="FL607" s="105"/>
      <c r="FM607" s="105"/>
      <c r="FN607" s="105"/>
      <c r="FO607" s="105"/>
      <c r="FP607" s="105"/>
      <c r="FQ607" s="105"/>
      <c r="FR607" s="105"/>
      <c r="FS607" s="105"/>
      <c r="FT607" s="105"/>
      <c r="FU607" s="105"/>
      <c r="FV607" s="105"/>
      <c r="FW607" s="105"/>
      <c r="FX607" s="105"/>
      <c r="FY607" s="105"/>
      <c r="FZ607" s="105"/>
      <c r="GA607" s="105"/>
      <c r="GB607" s="105"/>
      <c r="GC607" s="105"/>
      <c r="GD607" s="105"/>
      <c r="GE607" s="105"/>
      <c r="GF607" s="105"/>
      <c r="GG607" s="105"/>
      <c r="GH607" s="105"/>
      <c r="GI607" s="105"/>
      <c r="GJ607" s="105"/>
      <c r="GK607" s="105"/>
      <c r="GL607" s="105"/>
      <c r="GM607" s="105"/>
      <c r="GN607" s="105"/>
      <c r="GO607" s="105"/>
      <c r="GP607" s="105"/>
      <c r="GQ607" s="105"/>
      <c r="GR607" s="105"/>
      <c r="GS607" s="105"/>
      <c r="GT607" s="105"/>
      <c r="GU607" s="105"/>
      <c r="GV607" s="105"/>
      <c r="GW607" s="105"/>
      <c r="GX607" s="105"/>
      <c r="GY607" s="105"/>
      <c r="GZ607" s="105"/>
      <c r="HA607" s="105"/>
      <c r="HB607" s="105"/>
      <c r="HC607" s="105"/>
      <c r="HD607" s="105"/>
      <c r="HE607" s="105"/>
      <c r="HF607" s="105"/>
      <c r="HG607" s="105"/>
      <c r="HH607" s="105"/>
      <c r="HI607" s="105"/>
      <c r="HJ607" s="105"/>
      <c r="HK607" s="105"/>
      <c r="HL607" s="105"/>
      <c r="HM607" s="105"/>
      <c r="HN607" s="105"/>
      <c r="HO607" s="105"/>
      <c r="HP607" s="105"/>
      <c r="HQ607" s="105"/>
      <c r="HR607" s="105"/>
      <c r="HS607" s="105"/>
      <c r="HT607" s="105"/>
      <c r="HU607" s="105"/>
      <c r="HV607" s="105"/>
      <c r="HW607" s="105"/>
      <c r="HX607" s="105"/>
      <c r="HY607" s="105"/>
      <c r="HZ607" s="105"/>
      <c r="IA607" s="105"/>
      <c r="IB607" s="105"/>
      <c r="IC607" s="105"/>
      <c r="ID607" s="105"/>
      <c r="IE607" s="105"/>
      <c r="IF607" s="105"/>
      <c r="IG607" s="105"/>
      <c r="IH607" s="105"/>
      <c r="II607" s="105"/>
      <c r="IJ607" s="105"/>
      <c r="IK607" s="105"/>
      <c r="IL607" s="105"/>
      <c r="IM607" s="105"/>
      <c r="IN607" s="105"/>
      <c r="IO607" s="105"/>
      <c r="IP607" s="105"/>
      <c r="IQ607" s="105"/>
      <c r="IR607" s="105"/>
      <c r="IS607" s="105"/>
    </row>
    <row r="608" spans="1:253">
      <c r="A608" s="116"/>
      <c r="B608" s="105"/>
      <c r="C608" s="116"/>
      <c r="D608" s="116"/>
      <c r="E608" s="116"/>
      <c r="F608" s="116"/>
      <c r="G608" s="116"/>
      <c r="H608" s="116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05"/>
      <c r="BF608" s="105"/>
      <c r="BG608" s="105"/>
      <c r="BH608" s="105"/>
      <c r="BI608" s="105"/>
      <c r="BJ608" s="105"/>
      <c r="BK608" s="105"/>
      <c r="BL608" s="105"/>
      <c r="BM608" s="105"/>
      <c r="BN608" s="105"/>
      <c r="BO608" s="105"/>
      <c r="BP608" s="105"/>
      <c r="BQ608" s="105"/>
      <c r="BR608" s="105"/>
      <c r="BS608" s="105"/>
      <c r="BT608" s="105"/>
      <c r="BU608" s="105"/>
      <c r="BV608" s="105"/>
      <c r="BW608" s="105"/>
      <c r="BX608" s="105"/>
      <c r="BY608" s="105"/>
      <c r="BZ608" s="105"/>
      <c r="CA608" s="105"/>
      <c r="CB608" s="105"/>
      <c r="CC608" s="105"/>
      <c r="CD608" s="105"/>
      <c r="CE608" s="105"/>
      <c r="CF608" s="105"/>
      <c r="CG608" s="105"/>
      <c r="CH608" s="105"/>
      <c r="CI608" s="105"/>
      <c r="CJ608" s="105"/>
      <c r="CK608" s="105"/>
      <c r="CL608" s="105"/>
      <c r="CM608" s="105"/>
      <c r="CN608" s="105"/>
      <c r="CO608" s="105"/>
      <c r="CP608" s="105"/>
      <c r="CQ608" s="105"/>
      <c r="CR608" s="105"/>
      <c r="CS608" s="105"/>
      <c r="CT608" s="105"/>
      <c r="CU608" s="105"/>
      <c r="CV608" s="105"/>
      <c r="CW608" s="105"/>
      <c r="CX608" s="105"/>
      <c r="CY608" s="105"/>
      <c r="CZ608" s="105"/>
      <c r="DA608" s="105"/>
      <c r="DB608" s="105"/>
      <c r="DC608" s="105"/>
      <c r="DD608" s="105"/>
      <c r="DE608" s="105"/>
      <c r="DF608" s="105"/>
      <c r="DG608" s="105"/>
      <c r="DH608" s="105"/>
      <c r="DI608" s="105"/>
      <c r="DJ608" s="105"/>
      <c r="DK608" s="105"/>
      <c r="DL608" s="105"/>
      <c r="DM608" s="105"/>
      <c r="DN608" s="105"/>
      <c r="DO608" s="105"/>
      <c r="DP608" s="105"/>
      <c r="DQ608" s="105"/>
      <c r="DR608" s="105"/>
      <c r="DS608" s="105"/>
      <c r="DT608" s="105"/>
      <c r="DU608" s="105"/>
      <c r="DV608" s="105"/>
      <c r="DW608" s="105"/>
      <c r="DX608" s="105"/>
      <c r="DY608" s="105"/>
      <c r="DZ608" s="105"/>
      <c r="EA608" s="105"/>
      <c r="EB608" s="105"/>
      <c r="EC608" s="105"/>
      <c r="ED608" s="105"/>
      <c r="EE608" s="105"/>
      <c r="EF608" s="105"/>
      <c r="EG608" s="105"/>
      <c r="EH608" s="105"/>
      <c r="EI608" s="105"/>
      <c r="EJ608" s="105"/>
      <c r="EK608" s="105"/>
      <c r="EL608" s="105"/>
      <c r="EM608" s="105"/>
      <c r="EN608" s="105"/>
      <c r="EO608" s="105"/>
      <c r="EP608" s="105"/>
      <c r="EQ608" s="105"/>
      <c r="ER608" s="105"/>
      <c r="ES608" s="105"/>
      <c r="ET608" s="105"/>
      <c r="EU608" s="105"/>
      <c r="EV608" s="105"/>
      <c r="EW608" s="105"/>
      <c r="EX608" s="105"/>
      <c r="EY608" s="105"/>
      <c r="EZ608" s="105"/>
      <c r="FA608" s="105"/>
      <c r="FB608" s="105"/>
      <c r="FC608" s="105"/>
      <c r="FD608" s="105"/>
      <c r="FE608" s="105"/>
      <c r="FF608" s="105"/>
      <c r="FG608" s="105"/>
      <c r="FH608" s="105"/>
      <c r="FI608" s="105"/>
      <c r="FJ608" s="105"/>
      <c r="FK608" s="105"/>
      <c r="FL608" s="105"/>
      <c r="FM608" s="105"/>
      <c r="FN608" s="105"/>
      <c r="FO608" s="105"/>
      <c r="FP608" s="105"/>
      <c r="FQ608" s="105"/>
      <c r="FR608" s="105"/>
      <c r="FS608" s="105"/>
      <c r="FT608" s="105"/>
      <c r="FU608" s="105"/>
      <c r="FV608" s="105"/>
      <c r="FW608" s="105"/>
      <c r="FX608" s="105"/>
      <c r="FY608" s="105"/>
      <c r="FZ608" s="105"/>
      <c r="GA608" s="105"/>
      <c r="GB608" s="105"/>
      <c r="GC608" s="105"/>
      <c r="GD608" s="105"/>
      <c r="GE608" s="105"/>
      <c r="GF608" s="105"/>
      <c r="GG608" s="105"/>
      <c r="GH608" s="105"/>
      <c r="GI608" s="105"/>
      <c r="GJ608" s="105"/>
      <c r="GK608" s="105"/>
      <c r="GL608" s="105"/>
      <c r="GM608" s="105"/>
      <c r="GN608" s="105"/>
      <c r="GO608" s="105"/>
      <c r="GP608" s="105"/>
      <c r="GQ608" s="105"/>
      <c r="GR608" s="105"/>
      <c r="GS608" s="105"/>
      <c r="GT608" s="105"/>
      <c r="GU608" s="105"/>
      <c r="GV608" s="105"/>
      <c r="GW608" s="105"/>
      <c r="GX608" s="105"/>
      <c r="GY608" s="105"/>
      <c r="GZ608" s="105"/>
      <c r="HA608" s="105"/>
      <c r="HB608" s="105"/>
      <c r="HC608" s="105"/>
      <c r="HD608" s="105"/>
      <c r="HE608" s="105"/>
      <c r="HF608" s="105"/>
      <c r="HG608" s="105"/>
      <c r="HH608" s="105"/>
      <c r="HI608" s="105"/>
      <c r="HJ608" s="105"/>
      <c r="HK608" s="105"/>
      <c r="HL608" s="105"/>
      <c r="HM608" s="105"/>
      <c r="HN608" s="105"/>
      <c r="HO608" s="105"/>
      <c r="HP608" s="105"/>
      <c r="HQ608" s="105"/>
      <c r="HR608" s="105"/>
      <c r="HS608" s="105"/>
      <c r="HT608" s="105"/>
      <c r="HU608" s="105"/>
      <c r="HV608" s="105"/>
      <c r="HW608" s="105"/>
      <c r="HX608" s="105"/>
      <c r="HY608" s="105"/>
      <c r="HZ608" s="105"/>
      <c r="IA608" s="105"/>
      <c r="IB608" s="105"/>
      <c r="IC608" s="105"/>
      <c r="ID608" s="105"/>
      <c r="IE608" s="105"/>
      <c r="IF608" s="105"/>
      <c r="IG608" s="105"/>
      <c r="IH608" s="105"/>
      <c r="II608" s="105"/>
      <c r="IJ608" s="105"/>
      <c r="IK608" s="105"/>
      <c r="IL608" s="105"/>
      <c r="IM608" s="105"/>
      <c r="IN608" s="105"/>
      <c r="IO608" s="105"/>
      <c r="IP608" s="105"/>
      <c r="IQ608" s="105"/>
      <c r="IR608" s="105"/>
      <c r="IS608" s="105"/>
    </row>
    <row r="609" spans="1:253">
      <c r="A609" s="116"/>
      <c r="B609" s="105"/>
      <c r="C609" s="116"/>
      <c r="D609" s="116"/>
      <c r="E609" s="116"/>
      <c r="F609" s="116"/>
      <c r="G609" s="116"/>
      <c r="H609" s="116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5"/>
      <c r="BE609" s="105"/>
      <c r="BF609" s="105"/>
      <c r="BG609" s="105"/>
      <c r="BH609" s="105"/>
      <c r="BI609" s="105"/>
      <c r="BJ609" s="105"/>
      <c r="BK609" s="105"/>
      <c r="BL609" s="105"/>
      <c r="BM609" s="105"/>
      <c r="BN609" s="105"/>
      <c r="BO609" s="105"/>
      <c r="BP609" s="105"/>
      <c r="BQ609" s="105"/>
      <c r="BR609" s="105"/>
      <c r="BS609" s="105"/>
      <c r="BT609" s="105"/>
      <c r="BU609" s="105"/>
      <c r="BV609" s="105"/>
      <c r="BW609" s="105"/>
      <c r="BX609" s="105"/>
      <c r="BY609" s="105"/>
      <c r="BZ609" s="105"/>
      <c r="CA609" s="105"/>
      <c r="CB609" s="105"/>
      <c r="CC609" s="105"/>
      <c r="CD609" s="105"/>
      <c r="CE609" s="105"/>
      <c r="CF609" s="105"/>
      <c r="CG609" s="105"/>
      <c r="CH609" s="105"/>
      <c r="CI609" s="105"/>
      <c r="CJ609" s="105"/>
      <c r="CK609" s="105"/>
      <c r="CL609" s="105"/>
      <c r="CM609" s="105"/>
      <c r="CN609" s="105"/>
      <c r="CO609" s="105"/>
      <c r="CP609" s="105"/>
      <c r="CQ609" s="105"/>
      <c r="CR609" s="105"/>
      <c r="CS609" s="105"/>
      <c r="CT609" s="105"/>
      <c r="CU609" s="105"/>
      <c r="CV609" s="105"/>
      <c r="CW609" s="105"/>
      <c r="CX609" s="105"/>
      <c r="CY609" s="105"/>
      <c r="CZ609" s="105"/>
      <c r="DA609" s="105"/>
      <c r="DB609" s="105"/>
      <c r="DC609" s="105"/>
      <c r="DD609" s="105"/>
      <c r="DE609" s="105"/>
      <c r="DF609" s="105"/>
      <c r="DG609" s="105"/>
      <c r="DH609" s="105"/>
      <c r="DI609" s="105"/>
      <c r="DJ609" s="105"/>
      <c r="DK609" s="105"/>
      <c r="DL609" s="105"/>
      <c r="DM609" s="105"/>
      <c r="DN609" s="105"/>
      <c r="DO609" s="105"/>
      <c r="DP609" s="105"/>
      <c r="DQ609" s="105"/>
      <c r="DR609" s="105"/>
      <c r="DS609" s="105"/>
      <c r="DT609" s="105"/>
      <c r="DU609" s="105"/>
      <c r="DV609" s="105"/>
      <c r="DW609" s="105"/>
      <c r="DX609" s="105"/>
      <c r="DY609" s="105"/>
      <c r="DZ609" s="105"/>
      <c r="EA609" s="105"/>
      <c r="EB609" s="105"/>
      <c r="EC609" s="105"/>
      <c r="ED609" s="105"/>
      <c r="EE609" s="105"/>
      <c r="EF609" s="105"/>
      <c r="EG609" s="105"/>
      <c r="EH609" s="105"/>
      <c r="EI609" s="105"/>
      <c r="EJ609" s="105"/>
      <c r="EK609" s="105"/>
      <c r="EL609" s="105"/>
      <c r="EM609" s="105"/>
      <c r="EN609" s="105"/>
      <c r="EO609" s="105"/>
      <c r="EP609" s="105"/>
      <c r="EQ609" s="105"/>
      <c r="ER609" s="105"/>
      <c r="ES609" s="105"/>
      <c r="ET609" s="105"/>
      <c r="EU609" s="105"/>
      <c r="EV609" s="105"/>
      <c r="EW609" s="105"/>
      <c r="EX609" s="105"/>
      <c r="EY609" s="105"/>
      <c r="EZ609" s="105"/>
      <c r="FA609" s="105"/>
      <c r="FB609" s="105"/>
      <c r="FC609" s="105"/>
      <c r="FD609" s="105"/>
      <c r="FE609" s="105"/>
      <c r="FF609" s="105"/>
      <c r="FG609" s="105"/>
      <c r="FH609" s="105"/>
      <c r="FI609" s="105"/>
      <c r="FJ609" s="105"/>
      <c r="FK609" s="105"/>
      <c r="FL609" s="105"/>
      <c r="FM609" s="105"/>
      <c r="FN609" s="105"/>
      <c r="FO609" s="105"/>
      <c r="FP609" s="105"/>
      <c r="FQ609" s="105"/>
      <c r="FR609" s="105"/>
      <c r="FS609" s="105"/>
      <c r="FT609" s="105"/>
      <c r="FU609" s="105"/>
      <c r="FV609" s="105"/>
      <c r="FW609" s="105"/>
      <c r="FX609" s="105"/>
      <c r="FY609" s="105"/>
      <c r="FZ609" s="105"/>
      <c r="GA609" s="105"/>
      <c r="GB609" s="105"/>
      <c r="GC609" s="105"/>
      <c r="GD609" s="105"/>
      <c r="GE609" s="105"/>
      <c r="GF609" s="105"/>
      <c r="GG609" s="105"/>
      <c r="GH609" s="105"/>
      <c r="GI609" s="105"/>
      <c r="GJ609" s="105"/>
      <c r="GK609" s="105"/>
      <c r="GL609" s="105"/>
      <c r="GM609" s="105"/>
      <c r="GN609" s="105"/>
      <c r="GO609" s="105"/>
      <c r="GP609" s="105"/>
      <c r="GQ609" s="105"/>
      <c r="GR609" s="105"/>
      <c r="GS609" s="105"/>
      <c r="GT609" s="105"/>
      <c r="GU609" s="105"/>
      <c r="GV609" s="105"/>
      <c r="GW609" s="105"/>
      <c r="GX609" s="105"/>
      <c r="GY609" s="105"/>
      <c r="GZ609" s="105"/>
      <c r="HA609" s="105"/>
      <c r="HB609" s="105"/>
      <c r="HC609" s="105"/>
      <c r="HD609" s="105"/>
      <c r="HE609" s="105"/>
      <c r="HF609" s="105"/>
      <c r="HG609" s="105"/>
      <c r="HH609" s="105"/>
      <c r="HI609" s="105"/>
      <c r="HJ609" s="105"/>
      <c r="HK609" s="105"/>
      <c r="HL609" s="105"/>
      <c r="HM609" s="105"/>
      <c r="HN609" s="105"/>
      <c r="HO609" s="105"/>
      <c r="HP609" s="105"/>
      <c r="HQ609" s="105"/>
      <c r="HR609" s="105"/>
      <c r="HS609" s="105"/>
      <c r="HT609" s="105"/>
      <c r="HU609" s="105"/>
      <c r="HV609" s="105"/>
      <c r="HW609" s="105"/>
      <c r="HX609" s="105"/>
      <c r="HY609" s="105"/>
      <c r="HZ609" s="105"/>
      <c r="IA609" s="105"/>
      <c r="IB609" s="105"/>
      <c r="IC609" s="105"/>
      <c r="ID609" s="105"/>
      <c r="IE609" s="105"/>
      <c r="IF609" s="105"/>
      <c r="IG609" s="105"/>
      <c r="IH609" s="105"/>
      <c r="II609" s="105"/>
      <c r="IJ609" s="105"/>
      <c r="IK609" s="105"/>
      <c r="IL609" s="105"/>
      <c r="IM609" s="105"/>
      <c r="IN609" s="105"/>
      <c r="IO609" s="105"/>
      <c r="IP609" s="105"/>
      <c r="IQ609" s="105"/>
      <c r="IR609" s="105"/>
      <c r="IS609" s="105"/>
    </row>
    <row r="610" spans="1:253">
      <c r="A610" s="116"/>
      <c r="B610" s="105"/>
      <c r="C610" s="116"/>
      <c r="D610" s="116"/>
      <c r="E610" s="116"/>
      <c r="F610" s="116"/>
      <c r="G610" s="116"/>
      <c r="H610" s="116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05"/>
      <c r="BF610" s="105"/>
      <c r="BG610" s="105"/>
      <c r="BH610" s="105"/>
      <c r="BI610" s="105"/>
      <c r="BJ610" s="105"/>
      <c r="BK610" s="105"/>
      <c r="BL610" s="105"/>
      <c r="BM610" s="105"/>
      <c r="BN610" s="105"/>
      <c r="BO610" s="105"/>
      <c r="BP610" s="105"/>
      <c r="BQ610" s="105"/>
      <c r="BR610" s="105"/>
      <c r="BS610" s="105"/>
      <c r="BT610" s="105"/>
      <c r="BU610" s="105"/>
      <c r="BV610" s="105"/>
      <c r="BW610" s="105"/>
      <c r="BX610" s="105"/>
      <c r="BY610" s="105"/>
      <c r="BZ610" s="105"/>
      <c r="CA610" s="105"/>
      <c r="CB610" s="105"/>
      <c r="CC610" s="105"/>
      <c r="CD610" s="105"/>
      <c r="CE610" s="105"/>
      <c r="CF610" s="105"/>
      <c r="CG610" s="105"/>
      <c r="CH610" s="105"/>
      <c r="CI610" s="105"/>
      <c r="CJ610" s="105"/>
      <c r="CK610" s="105"/>
      <c r="CL610" s="105"/>
      <c r="CM610" s="105"/>
      <c r="CN610" s="105"/>
      <c r="CO610" s="105"/>
      <c r="CP610" s="105"/>
      <c r="CQ610" s="105"/>
      <c r="CR610" s="105"/>
      <c r="CS610" s="105"/>
      <c r="CT610" s="105"/>
      <c r="CU610" s="105"/>
      <c r="CV610" s="105"/>
      <c r="CW610" s="105"/>
      <c r="CX610" s="105"/>
      <c r="CY610" s="105"/>
      <c r="CZ610" s="105"/>
      <c r="DA610" s="105"/>
      <c r="DB610" s="105"/>
      <c r="DC610" s="105"/>
      <c r="DD610" s="105"/>
      <c r="DE610" s="105"/>
      <c r="DF610" s="105"/>
      <c r="DG610" s="105"/>
      <c r="DH610" s="105"/>
      <c r="DI610" s="105"/>
      <c r="DJ610" s="105"/>
      <c r="DK610" s="105"/>
      <c r="DL610" s="105"/>
      <c r="DM610" s="105"/>
      <c r="DN610" s="105"/>
      <c r="DO610" s="105"/>
      <c r="DP610" s="105"/>
      <c r="DQ610" s="105"/>
      <c r="DR610" s="105"/>
      <c r="DS610" s="105"/>
      <c r="DT610" s="105"/>
      <c r="DU610" s="105"/>
      <c r="DV610" s="105"/>
      <c r="DW610" s="105"/>
      <c r="DX610" s="105"/>
      <c r="DY610" s="105"/>
      <c r="DZ610" s="105"/>
      <c r="EA610" s="105"/>
      <c r="EB610" s="105"/>
      <c r="EC610" s="105"/>
      <c r="ED610" s="105"/>
      <c r="EE610" s="105"/>
      <c r="EF610" s="105"/>
      <c r="EG610" s="105"/>
      <c r="EH610" s="105"/>
      <c r="EI610" s="105"/>
      <c r="EJ610" s="105"/>
      <c r="EK610" s="105"/>
      <c r="EL610" s="105"/>
      <c r="EM610" s="105"/>
      <c r="EN610" s="105"/>
      <c r="EO610" s="105"/>
      <c r="EP610" s="105"/>
      <c r="EQ610" s="105"/>
      <c r="ER610" s="105"/>
      <c r="ES610" s="105"/>
      <c r="ET610" s="105"/>
      <c r="EU610" s="105"/>
      <c r="EV610" s="105"/>
      <c r="EW610" s="105"/>
      <c r="EX610" s="105"/>
      <c r="EY610" s="105"/>
      <c r="EZ610" s="105"/>
      <c r="FA610" s="105"/>
      <c r="FB610" s="105"/>
      <c r="FC610" s="105"/>
      <c r="FD610" s="105"/>
      <c r="FE610" s="105"/>
      <c r="FF610" s="105"/>
      <c r="FG610" s="105"/>
      <c r="FH610" s="105"/>
      <c r="FI610" s="105"/>
      <c r="FJ610" s="105"/>
      <c r="FK610" s="105"/>
      <c r="FL610" s="105"/>
      <c r="FM610" s="105"/>
      <c r="FN610" s="105"/>
      <c r="FO610" s="105"/>
      <c r="FP610" s="105"/>
      <c r="FQ610" s="105"/>
      <c r="FR610" s="105"/>
      <c r="FS610" s="105"/>
      <c r="FT610" s="105"/>
      <c r="FU610" s="105"/>
      <c r="FV610" s="105"/>
      <c r="FW610" s="105"/>
      <c r="FX610" s="105"/>
      <c r="FY610" s="105"/>
      <c r="FZ610" s="105"/>
      <c r="GA610" s="105"/>
      <c r="GB610" s="105"/>
      <c r="GC610" s="105"/>
      <c r="GD610" s="105"/>
      <c r="GE610" s="105"/>
      <c r="GF610" s="105"/>
      <c r="GG610" s="105"/>
      <c r="GH610" s="105"/>
      <c r="GI610" s="105"/>
      <c r="GJ610" s="105"/>
      <c r="GK610" s="105"/>
      <c r="GL610" s="105"/>
      <c r="GM610" s="105"/>
      <c r="GN610" s="105"/>
      <c r="GO610" s="105"/>
      <c r="GP610" s="105"/>
      <c r="GQ610" s="105"/>
      <c r="GR610" s="105"/>
      <c r="GS610" s="105"/>
      <c r="GT610" s="105"/>
      <c r="GU610" s="105"/>
      <c r="GV610" s="105"/>
      <c r="GW610" s="105"/>
      <c r="GX610" s="105"/>
      <c r="GY610" s="105"/>
      <c r="GZ610" s="105"/>
      <c r="HA610" s="105"/>
      <c r="HB610" s="105"/>
      <c r="HC610" s="105"/>
      <c r="HD610" s="105"/>
      <c r="HE610" s="105"/>
      <c r="HF610" s="105"/>
      <c r="HG610" s="105"/>
      <c r="HH610" s="105"/>
      <c r="HI610" s="105"/>
      <c r="HJ610" s="105"/>
      <c r="HK610" s="105"/>
      <c r="HL610" s="105"/>
      <c r="HM610" s="105"/>
      <c r="HN610" s="105"/>
      <c r="HO610" s="105"/>
      <c r="HP610" s="105"/>
      <c r="HQ610" s="105"/>
      <c r="HR610" s="105"/>
      <c r="HS610" s="105"/>
      <c r="HT610" s="105"/>
      <c r="HU610" s="105"/>
      <c r="HV610" s="105"/>
      <c r="HW610" s="105"/>
      <c r="HX610" s="105"/>
      <c r="HY610" s="105"/>
      <c r="HZ610" s="105"/>
      <c r="IA610" s="105"/>
      <c r="IB610" s="105"/>
      <c r="IC610" s="105"/>
      <c r="ID610" s="105"/>
      <c r="IE610" s="105"/>
      <c r="IF610" s="105"/>
      <c r="IG610" s="105"/>
      <c r="IH610" s="105"/>
      <c r="II610" s="105"/>
      <c r="IJ610" s="105"/>
      <c r="IK610" s="105"/>
      <c r="IL610" s="105"/>
      <c r="IM610" s="105"/>
      <c r="IN610" s="105"/>
      <c r="IO610" s="105"/>
      <c r="IP610" s="105"/>
      <c r="IQ610" s="105"/>
      <c r="IR610" s="105"/>
      <c r="IS610" s="105"/>
    </row>
    <row r="611" spans="1:253">
      <c r="A611" s="116"/>
      <c r="B611" s="105"/>
      <c r="C611" s="116"/>
      <c r="D611" s="116"/>
      <c r="E611" s="116"/>
      <c r="F611" s="116"/>
      <c r="G611" s="116"/>
      <c r="H611" s="116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5"/>
      <c r="BE611" s="105"/>
      <c r="BF611" s="105"/>
      <c r="BG611" s="105"/>
      <c r="BH611" s="105"/>
      <c r="BI611" s="105"/>
      <c r="BJ611" s="105"/>
      <c r="BK611" s="105"/>
      <c r="BL611" s="105"/>
      <c r="BM611" s="105"/>
      <c r="BN611" s="105"/>
      <c r="BO611" s="105"/>
      <c r="BP611" s="105"/>
      <c r="BQ611" s="105"/>
      <c r="BR611" s="105"/>
      <c r="BS611" s="105"/>
      <c r="BT611" s="105"/>
      <c r="BU611" s="105"/>
      <c r="BV611" s="105"/>
      <c r="BW611" s="105"/>
      <c r="BX611" s="105"/>
      <c r="BY611" s="105"/>
      <c r="BZ611" s="105"/>
      <c r="CA611" s="105"/>
      <c r="CB611" s="105"/>
      <c r="CC611" s="105"/>
      <c r="CD611" s="105"/>
      <c r="CE611" s="105"/>
      <c r="CF611" s="105"/>
      <c r="CG611" s="105"/>
      <c r="CH611" s="105"/>
      <c r="CI611" s="105"/>
      <c r="CJ611" s="105"/>
      <c r="CK611" s="105"/>
      <c r="CL611" s="105"/>
      <c r="CM611" s="105"/>
      <c r="CN611" s="105"/>
      <c r="CO611" s="105"/>
      <c r="CP611" s="105"/>
      <c r="CQ611" s="105"/>
      <c r="CR611" s="105"/>
      <c r="CS611" s="105"/>
      <c r="CT611" s="105"/>
      <c r="CU611" s="105"/>
      <c r="CV611" s="105"/>
      <c r="CW611" s="105"/>
      <c r="CX611" s="105"/>
      <c r="CY611" s="105"/>
      <c r="CZ611" s="105"/>
      <c r="DA611" s="105"/>
      <c r="DB611" s="105"/>
      <c r="DC611" s="105"/>
      <c r="DD611" s="105"/>
      <c r="DE611" s="105"/>
      <c r="DF611" s="105"/>
      <c r="DG611" s="105"/>
      <c r="DH611" s="105"/>
      <c r="DI611" s="105"/>
      <c r="DJ611" s="105"/>
      <c r="DK611" s="105"/>
      <c r="DL611" s="105"/>
      <c r="DM611" s="105"/>
      <c r="DN611" s="105"/>
      <c r="DO611" s="105"/>
      <c r="DP611" s="105"/>
      <c r="DQ611" s="105"/>
      <c r="DR611" s="105"/>
      <c r="DS611" s="105"/>
      <c r="DT611" s="105"/>
      <c r="DU611" s="105"/>
      <c r="DV611" s="105"/>
      <c r="DW611" s="105"/>
      <c r="DX611" s="105"/>
      <c r="DY611" s="105"/>
      <c r="DZ611" s="105"/>
      <c r="EA611" s="105"/>
      <c r="EB611" s="105"/>
      <c r="EC611" s="105"/>
      <c r="ED611" s="105"/>
      <c r="EE611" s="105"/>
      <c r="EF611" s="105"/>
      <c r="EG611" s="105"/>
      <c r="EH611" s="105"/>
      <c r="EI611" s="105"/>
      <c r="EJ611" s="105"/>
      <c r="EK611" s="105"/>
      <c r="EL611" s="105"/>
      <c r="EM611" s="105"/>
      <c r="EN611" s="105"/>
      <c r="EO611" s="105"/>
      <c r="EP611" s="105"/>
      <c r="EQ611" s="105"/>
      <c r="ER611" s="105"/>
      <c r="ES611" s="105"/>
      <c r="ET611" s="105"/>
      <c r="EU611" s="105"/>
      <c r="EV611" s="105"/>
      <c r="EW611" s="105"/>
      <c r="EX611" s="105"/>
      <c r="EY611" s="105"/>
      <c r="EZ611" s="105"/>
      <c r="FA611" s="105"/>
      <c r="FB611" s="105"/>
      <c r="FC611" s="105"/>
      <c r="FD611" s="105"/>
      <c r="FE611" s="105"/>
      <c r="FF611" s="105"/>
      <c r="FG611" s="105"/>
      <c r="FH611" s="105"/>
      <c r="FI611" s="105"/>
      <c r="FJ611" s="105"/>
      <c r="FK611" s="105"/>
      <c r="FL611" s="105"/>
      <c r="FM611" s="105"/>
      <c r="FN611" s="105"/>
      <c r="FO611" s="105"/>
      <c r="FP611" s="105"/>
      <c r="FQ611" s="105"/>
      <c r="FR611" s="105"/>
      <c r="FS611" s="105"/>
      <c r="FT611" s="105"/>
      <c r="FU611" s="105"/>
      <c r="FV611" s="105"/>
      <c r="FW611" s="105"/>
      <c r="FX611" s="105"/>
      <c r="FY611" s="105"/>
      <c r="FZ611" s="105"/>
      <c r="GA611" s="105"/>
      <c r="GB611" s="105"/>
      <c r="GC611" s="105"/>
      <c r="GD611" s="105"/>
      <c r="GE611" s="105"/>
      <c r="GF611" s="105"/>
      <c r="GG611" s="105"/>
      <c r="GH611" s="105"/>
      <c r="GI611" s="105"/>
      <c r="GJ611" s="105"/>
      <c r="GK611" s="105"/>
      <c r="GL611" s="105"/>
      <c r="GM611" s="105"/>
      <c r="GN611" s="105"/>
      <c r="GO611" s="105"/>
      <c r="GP611" s="105"/>
      <c r="GQ611" s="105"/>
      <c r="GR611" s="105"/>
      <c r="GS611" s="105"/>
      <c r="GT611" s="105"/>
      <c r="GU611" s="105"/>
      <c r="GV611" s="105"/>
      <c r="GW611" s="105"/>
      <c r="GX611" s="105"/>
      <c r="GY611" s="105"/>
      <c r="GZ611" s="105"/>
      <c r="HA611" s="105"/>
      <c r="HB611" s="105"/>
      <c r="HC611" s="105"/>
      <c r="HD611" s="105"/>
      <c r="HE611" s="105"/>
      <c r="HF611" s="105"/>
      <c r="HG611" s="105"/>
      <c r="HH611" s="105"/>
      <c r="HI611" s="105"/>
      <c r="HJ611" s="105"/>
      <c r="HK611" s="105"/>
      <c r="HL611" s="105"/>
      <c r="HM611" s="105"/>
      <c r="HN611" s="105"/>
      <c r="HO611" s="105"/>
      <c r="HP611" s="105"/>
      <c r="HQ611" s="105"/>
      <c r="HR611" s="105"/>
      <c r="HS611" s="105"/>
      <c r="HT611" s="105"/>
      <c r="HU611" s="105"/>
      <c r="HV611" s="105"/>
      <c r="HW611" s="105"/>
      <c r="HX611" s="105"/>
      <c r="HY611" s="105"/>
      <c r="HZ611" s="105"/>
      <c r="IA611" s="105"/>
      <c r="IB611" s="105"/>
      <c r="IC611" s="105"/>
      <c r="ID611" s="105"/>
      <c r="IE611" s="105"/>
      <c r="IF611" s="105"/>
      <c r="IG611" s="105"/>
      <c r="IH611" s="105"/>
      <c r="II611" s="105"/>
      <c r="IJ611" s="105"/>
      <c r="IK611" s="105"/>
      <c r="IL611" s="105"/>
      <c r="IM611" s="105"/>
      <c r="IN611" s="105"/>
      <c r="IO611" s="105"/>
      <c r="IP611" s="105"/>
      <c r="IQ611" s="105"/>
      <c r="IR611" s="105"/>
      <c r="IS611" s="105"/>
    </row>
    <row r="612" spans="1:253">
      <c r="A612" s="116"/>
      <c r="B612" s="105"/>
      <c r="C612" s="116"/>
      <c r="D612" s="116"/>
      <c r="E612" s="116"/>
      <c r="F612" s="116"/>
      <c r="G612" s="116"/>
      <c r="H612" s="116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05"/>
      <c r="BF612" s="105"/>
      <c r="BG612" s="105"/>
      <c r="BH612" s="105"/>
      <c r="BI612" s="105"/>
      <c r="BJ612" s="105"/>
      <c r="BK612" s="105"/>
      <c r="BL612" s="105"/>
      <c r="BM612" s="105"/>
      <c r="BN612" s="105"/>
      <c r="BO612" s="105"/>
      <c r="BP612" s="105"/>
      <c r="BQ612" s="105"/>
      <c r="BR612" s="105"/>
      <c r="BS612" s="105"/>
      <c r="BT612" s="105"/>
      <c r="BU612" s="105"/>
      <c r="BV612" s="105"/>
      <c r="BW612" s="105"/>
      <c r="BX612" s="105"/>
      <c r="BY612" s="105"/>
      <c r="BZ612" s="105"/>
      <c r="CA612" s="105"/>
      <c r="CB612" s="105"/>
      <c r="CC612" s="105"/>
      <c r="CD612" s="105"/>
      <c r="CE612" s="105"/>
      <c r="CF612" s="105"/>
      <c r="CG612" s="105"/>
      <c r="CH612" s="105"/>
      <c r="CI612" s="105"/>
      <c r="CJ612" s="105"/>
      <c r="CK612" s="105"/>
      <c r="CL612" s="105"/>
      <c r="CM612" s="105"/>
      <c r="CN612" s="105"/>
      <c r="CO612" s="105"/>
      <c r="CP612" s="105"/>
      <c r="CQ612" s="105"/>
      <c r="CR612" s="105"/>
      <c r="CS612" s="105"/>
      <c r="CT612" s="105"/>
      <c r="CU612" s="105"/>
      <c r="CV612" s="105"/>
      <c r="CW612" s="105"/>
      <c r="CX612" s="105"/>
      <c r="CY612" s="105"/>
      <c r="CZ612" s="105"/>
      <c r="DA612" s="105"/>
      <c r="DB612" s="105"/>
      <c r="DC612" s="105"/>
      <c r="DD612" s="105"/>
      <c r="DE612" s="105"/>
      <c r="DF612" s="105"/>
      <c r="DG612" s="105"/>
      <c r="DH612" s="105"/>
      <c r="DI612" s="105"/>
      <c r="DJ612" s="105"/>
      <c r="DK612" s="105"/>
      <c r="DL612" s="105"/>
      <c r="DM612" s="105"/>
      <c r="DN612" s="105"/>
      <c r="DO612" s="105"/>
      <c r="DP612" s="105"/>
      <c r="DQ612" s="105"/>
      <c r="DR612" s="105"/>
      <c r="DS612" s="105"/>
      <c r="DT612" s="105"/>
      <c r="DU612" s="105"/>
      <c r="DV612" s="105"/>
      <c r="DW612" s="105"/>
      <c r="DX612" s="105"/>
      <c r="DY612" s="105"/>
      <c r="DZ612" s="105"/>
      <c r="EA612" s="105"/>
      <c r="EB612" s="105"/>
      <c r="EC612" s="105"/>
      <c r="ED612" s="105"/>
      <c r="EE612" s="105"/>
      <c r="EF612" s="105"/>
      <c r="EG612" s="105"/>
      <c r="EH612" s="105"/>
      <c r="EI612" s="105"/>
      <c r="EJ612" s="105"/>
      <c r="EK612" s="105"/>
      <c r="EL612" s="105"/>
      <c r="EM612" s="105"/>
      <c r="EN612" s="105"/>
      <c r="EO612" s="105"/>
      <c r="EP612" s="105"/>
      <c r="EQ612" s="105"/>
      <c r="ER612" s="105"/>
      <c r="ES612" s="105"/>
      <c r="ET612" s="105"/>
      <c r="EU612" s="105"/>
      <c r="EV612" s="105"/>
      <c r="EW612" s="105"/>
      <c r="EX612" s="105"/>
      <c r="EY612" s="105"/>
      <c r="EZ612" s="105"/>
      <c r="FA612" s="105"/>
      <c r="FB612" s="105"/>
      <c r="FC612" s="105"/>
      <c r="FD612" s="105"/>
      <c r="FE612" s="105"/>
      <c r="FF612" s="105"/>
      <c r="FG612" s="105"/>
      <c r="FH612" s="105"/>
      <c r="FI612" s="105"/>
      <c r="FJ612" s="105"/>
      <c r="FK612" s="105"/>
      <c r="FL612" s="105"/>
      <c r="FM612" s="105"/>
      <c r="FN612" s="105"/>
      <c r="FO612" s="105"/>
      <c r="FP612" s="105"/>
      <c r="FQ612" s="105"/>
      <c r="FR612" s="105"/>
      <c r="FS612" s="105"/>
      <c r="FT612" s="105"/>
      <c r="FU612" s="105"/>
      <c r="FV612" s="105"/>
      <c r="FW612" s="105"/>
      <c r="FX612" s="105"/>
      <c r="FY612" s="105"/>
      <c r="FZ612" s="105"/>
      <c r="GA612" s="105"/>
      <c r="GB612" s="105"/>
      <c r="GC612" s="105"/>
      <c r="GD612" s="105"/>
      <c r="GE612" s="105"/>
      <c r="GF612" s="105"/>
      <c r="GG612" s="105"/>
      <c r="GH612" s="105"/>
      <c r="GI612" s="105"/>
      <c r="GJ612" s="105"/>
      <c r="GK612" s="105"/>
      <c r="GL612" s="105"/>
      <c r="GM612" s="105"/>
      <c r="GN612" s="105"/>
      <c r="GO612" s="105"/>
      <c r="GP612" s="105"/>
      <c r="GQ612" s="105"/>
      <c r="GR612" s="105"/>
      <c r="GS612" s="105"/>
      <c r="GT612" s="105"/>
      <c r="GU612" s="105"/>
      <c r="GV612" s="105"/>
      <c r="GW612" s="105"/>
      <c r="GX612" s="105"/>
      <c r="GY612" s="105"/>
      <c r="GZ612" s="105"/>
      <c r="HA612" s="105"/>
      <c r="HB612" s="105"/>
      <c r="HC612" s="105"/>
      <c r="HD612" s="105"/>
      <c r="HE612" s="105"/>
      <c r="HF612" s="105"/>
      <c r="HG612" s="105"/>
      <c r="HH612" s="105"/>
      <c r="HI612" s="105"/>
      <c r="HJ612" s="105"/>
      <c r="HK612" s="105"/>
      <c r="HL612" s="105"/>
      <c r="HM612" s="105"/>
      <c r="HN612" s="105"/>
      <c r="HO612" s="105"/>
      <c r="HP612" s="105"/>
      <c r="HQ612" s="105"/>
      <c r="HR612" s="105"/>
      <c r="HS612" s="105"/>
      <c r="HT612" s="105"/>
      <c r="HU612" s="105"/>
      <c r="HV612" s="105"/>
      <c r="HW612" s="105"/>
      <c r="HX612" s="105"/>
      <c r="HY612" s="105"/>
      <c r="HZ612" s="105"/>
      <c r="IA612" s="105"/>
      <c r="IB612" s="105"/>
      <c r="IC612" s="105"/>
      <c r="ID612" s="105"/>
      <c r="IE612" s="105"/>
      <c r="IF612" s="105"/>
      <c r="IG612" s="105"/>
      <c r="IH612" s="105"/>
      <c r="II612" s="105"/>
      <c r="IJ612" s="105"/>
      <c r="IK612" s="105"/>
      <c r="IL612" s="105"/>
      <c r="IM612" s="105"/>
      <c r="IN612" s="105"/>
      <c r="IO612" s="105"/>
      <c r="IP612" s="105"/>
      <c r="IQ612" s="105"/>
      <c r="IR612" s="105"/>
      <c r="IS612" s="105"/>
    </row>
    <row r="613" spans="1:253">
      <c r="A613" s="116"/>
      <c r="B613" s="105"/>
      <c r="C613" s="116"/>
      <c r="D613" s="116"/>
      <c r="E613" s="116"/>
      <c r="F613" s="116"/>
      <c r="G613" s="116"/>
      <c r="H613" s="116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  <c r="AU613" s="105"/>
      <c r="AV613" s="105"/>
      <c r="AW613" s="105"/>
      <c r="AX613" s="105"/>
      <c r="AY613" s="105"/>
      <c r="AZ613" s="105"/>
      <c r="BA613" s="105"/>
      <c r="BB613" s="105"/>
      <c r="BC613" s="105"/>
      <c r="BD613" s="105"/>
      <c r="BE613" s="105"/>
      <c r="BF613" s="105"/>
      <c r="BG613" s="105"/>
      <c r="BH613" s="105"/>
      <c r="BI613" s="105"/>
      <c r="BJ613" s="105"/>
      <c r="BK613" s="105"/>
      <c r="BL613" s="105"/>
      <c r="BM613" s="105"/>
      <c r="BN613" s="105"/>
      <c r="BO613" s="105"/>
      <c r="BP613" s="105"/>
      <c r="BQ613" s="105"/>
      <c r="BR613" s="105"/>
      <c r="BS613" s="105"/>
      <c r="BT613" s="105"/>
      <c r="BU613" s="105"/>
      <c r="BV613" s="105"/>
      <c r="BW613" s="105"/>
      <c r="BX613" s="105"/>
      <c r="BY613" s="105"/>
      <c r="BZ613" s="105"/>
      <c r="CA613" s="105"/>
      <c r="CB613" s="105"/>
      <c r="CC613" s="105"/>
      <c r="CD613" s="105"/>
      <c r="CE613" s="105"/>
      <c r="CF613" s="105"/>
      <c r="CG613" s="105"/>
      <c r="CH613" s="105"/>
      <c r="CI613" s="105"/>
      <c r="CJ613" s="105"/>
      <c r="CK613" s="105"/>
      <c r="CL613" s="105"/>
      <c r="CM613" s="105"/>
      <c r="CN613" s="105"/>
      <c r="CO613" s="105"/>
      <c r="CP613" s="105"/>
      <c r="CQ613" s="105"/>
      <c r="CR613" s="105"/>
      <c r="CS613" s="105"/>
      <c r="CT613" s="105"/>
      <c r="CU613" s="105"/>
      <c r="CV613" s="105"/>
      <c r="CW613" s="105"/>
      <c r="CX613" s="105"/>
      <c r="CY613" s="105"/>
      <c r="CZ613" s="105"/>
      <c r="DA613" s="105"/>
      <c r="DB613" s="105"/>
      <c r="DC613" s="105"/>
      <c r="DD613" s="105"/>
      <c r="DE613" s="105"/>
      <c r="DF613" s="105"/>
      <c r="DG613" s="105"/>
      <c r="DH613" s="105"/>
      <c r="DI613" s="105"/>
      <c r="DJ613" s="105"/>
      <c r="DK613" s="105"/>
      <c r="DL613" s="105"/>
      <c r="DM613" s="105"/>
      <c r="DN613" s="105"/>
      <c r="DO613" s="105"/>
      <c r="DP613" s="105"/>
      <c r="DQ613" s="105"/>
      <c r="DR613" s="105"/>
      <c r="DS613" s="105"/>
      <c r="DT613" s="105"/>
      <c r="DU613" s="105"/>
      <c r="DV613" s="105"/>
      <c r="DW613" s="105"/>
      <c r="DX613" s="105"/>
      <c r="DY613" s="105"/>
      <c r="DZ613" s="105"/>
      <c r="EA613" s="105"/>
      <c r="EB613" s="105"/>
      <c r="EC613" s="105"/>
      <c r="ED613" s="105"/>
      <c r="EE613" s="105"/>
      <c r="EF613" s="105"/>
      <c r="EG613" s="105"/>
      <c r="EH613" s="105"/>
      <c r="EI613" s="105"/>
      <c r="EJ613" s="105"/>
      <c r="EK613" s="105"/>
      <c r="EL613" s="105"/>
      <c r="EM613" s="105"/>
      <c r="EN613" s="105"/>
      <c r="EO613" s="105"/>
      <c r="EP613" s="105"/>
      <c r="EQ613" s="105"/>
      <c r="ER613" s="105"/>
      <c r="ES613" s="105"/>
      <c r="ET613" s="105"/>
      <c r="EU613" s="105"/>
      <c r="EV613" s="105"/>
      <c r="EW613" s="105"/>
      <c r="EX613" s="105"/>
      <c r="EY613" s="105"/>
      <c r="EZ613" s="105"/>
      <c r="FA613" s="105"/>
      <c r="FB613" s="105"/>
      <c r="FC613" s="105"/>
      <c r="FD613" s="105"/>
      <c r="FE613" s="105"/>
      <c r="FF613" s="105"/>
      <c r="FG613" s="105"/>
      <c r="FH613" s="105"/>
      <c r="FI613" s="105"/>
      <c r="FJ613" s="105"/>
      <c r="FK613" s="105"/>
      <c r="FL613" s="105"/>
      <c r="FM613" s="105"/>
      <c r="FN613" s="105"/>
      <c r="FO613" s="105"/>
      <c r="FP613" s="105"/>
      <c r="FQ613" s="105"/>
      <c r="FR613" s="105"/>
      <c r="FS613" s="105"/>
      <c r="FT613" s="105"/>
      <c r="FU613" s="105"/>
      <c r="FV613" s="105"/>
      <c r="FW613" s="105"/>
      <c r="FX613" s="105"/>
      <c r="FY613" s="105"/>
      <c r="FZ613" s="105"/>
      <c r="GA613" s="105"/>
      <c r="GB613" s="105"/>
      <c r="GC613" s="105"/>
      <c r="GD613" s="105"/>
      <c r="GE613" s="105"/>
      <c r="GF613" s="105"/>
      <c r="GG613" s="105"/>
      <c r="GH613" s="105"/>
      <c r="GI613" s="105"/>
      <c r="GJ613" s="105"/>
      <c r="GK613" s="105"/>
      <c r="GL613" s="105"/>
      <c r="GM613" s="105"/>
      <c r="GN613" s="105"/>
      <c r="GO613" s="105"/>
      <c r="GP613" s="105"/>
      <c r="GQ613" s="105"/>
      <c r="GR613" s="105"/>
      <c r="GS613" s="105"/>
      <c r="GT613" s="105"/>
      <c r="GU613" s="105"/>
      <c r="GV613" s="105"/>
      <c r="GW613" s="105"/>
      <c r="GX613" s="105"/>
      <c r="GY613" s="105"/>
      <c r="GZ613" s="105"/>
      <c r="HA613" s="105"/>
      <c r="HB613" s="105"/>
      <c r="HC613" s="105"/>
      <c r="HD613" s="105"/>
      <c r="HE613" s="105"/>
      <c r="HF613" s="105"/>
      <c r="HG613" s="105"/>
      <c r="HH613" s="105"/>
      <c r="HI613" s="105"/>
      <c r="HJ613" s="105"/>
      <c r="HK613" s="105"/>
      <c r="HL613" s="105"/>
      <c r="HM613" s="105"/>
      <c r="HN613" s="105"/>
      <c r="HO613" s="105"/>
      <c r="HP613" s="105"/>
      <c r="HQ613" s="105"/>
      <c r="HR613" s="105"/>
      <c r="HS613" s="105"/>
      <c r="HT613" s="105"/>
      <c r="HU613" s="105"/>
      <c r="HV613" s="105"/>
      <c r="HW613" s="105"/>
      <c r="HX613" s="105"/>
      <c r="HY613" s="105"/>
      <c r="HZ613" s="105"/>
      <c r="IA613" s="105"/>
      <c r="IB613" s="105"/>
      <c r="IC613" s="105"/>
      <c r="ID613" s="105"/>
      <c r="IE613" s="105"/>
      <c r="IF613" s="105"/>
      <c r="IG613" s="105"/>
      <c r="IH613" s="105"/>
      <c r="II613" s="105"/>
      <c r="IJ613" s="105"/>
      <c r="IK613" s="105"/>
      <c r="IL613" s="105"/>
      <c r="IM613" s="105"/>
      <c r="IN613" s="105"/>
      <c r="IO613" s="105"/>
      <c r="IP613" s="105"/>
      <c r="IQ613" s="105"/>
      <c r="IR613" s="105"/>
      <c r="IS613" s="105"/>
    </row>
    <row r="614" spans="1:253">
      <c r="A614" s="116"/>
      <c r="B614" s="105"/>
      <c r="C614" s="116"/>
      <c r="D614" s="116"/>
      <c r="E614" s="116"/>
      <c r="F614" s="116"/>
      <c r="G614" s="116"/>
      <c r="H614" s="116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05"/>
      <c r="BF614" s="105"/>
      <c r="BG614" s="105"/>
      <c r="BH614" s="105"/>
      <c r="BI614" s="105"/>
      <c r="BJ614" s="105"/>
      <c r="BK614" s="105"/>
      <c r="BL614" s="105"/>
      <c r="BM614" s="105"/>
      <c r="BN614" s="105"/>
      <c r="BO614" s="105"/>
      <c r="BP614" s="105"/>
      <c r="BQ614" s="105"/>
      <c r="BR614" s="105"/>
      <c r="BS614" s="105"/>
      <c r="BT614" s="105"/>
      <c r="BU614" s="105"/>
      <c r="BV614" s="105"/>
      <c r="BW614" s="105"/>
      <c r="BX614" s="105"/>
      <c r="BY614" s="105"/>
      <c r="BZ614" s="105"/>
      <c r="CA614" s="105"/>
      <c r="CB614" s="105"/>
      <c r="CC614" s="105"/>
      <c r="CD614" s="105"/>
      <c r="CE614" s="105"/>
      <c r="CF614" s="105"/>
      <c r="CG614" s="105"/>
      <c r="CH614" s="105"/>
      <c r="CI614" s="105"/>
      <c r="CJ614" s="105"/>
      <c r="CK614" s="105"/>
      <c r="CL614" s="105"/>
      <c r="CM614" s="105"/>
      <c r="CN614" s="105"/>
      <c r="CO614" s="105"/>
      <c r="CP614" s="105"/>
      <c r="CQ614" s="105"/>
      <c r="CR614" s="105"/>
      <c r="CS614" s="105"/>
      <c r="CT614" s="105"/>
      <c r="CU614" s="105"/>
      <c r="CV614" s="105"/>
      <c r="CW614" s="105"/>
      <c r="CX614" s="105"/>
      <c r="CY614" s="105"/>
      <c r="CZ614" s="105"/>
      <c r="DA614" s="105"/>
      <c r="DB614" s="105"/>
      <c r="DC614" s="105"/>
      <c r="DD614" s="105"/>
      <c r="DE614" s="105"/>
      <c r="DF614" s="105"/>
      <c r="DG614" s="105"/>
      <c r="DH614" s="105"/>
      <c r="DI614" s="105"/>
      <c r="DJ614" s="105"/>
      <c r="DK614" s="105"/>
      <c r="DL614" s="105"/>
      <c r="DM614" s="105"/>
      <c r="DN614" s="105"/>
      <c r="DO614" s="105"/>
      <c r="DP614" s="105"/>
      <c r="DQ614" s="105"/>
      <c r="DR614" s="105"/>
      <c r="DS614" s="105"/>
      <c r="DT614" s="105"/>
      <c r="DU614" s="105"/>
      <c r="DV614" s="105"/>
      <c r="DW614" s="105"/>
      <c r="DX614" s="105"/>
      <c r="DY614" s="105"/>
      <c r="DZ614" s="105"/>
      <c r="EA614" s="105"/>
      <c r="EB614" s="105"/>
      <c r="EC614" s="105"/>
      <c r="ED614" s="105"/>
      <c r="EE614" s="105"/>
      <c r="EF614" s="105"/>
      <c r="EG614" s="105"/>
      <c r="EH614" s="105"/>
      <c r="EI614" s="105"/>
      <c r="EJ614" s="105"/>
      <c r="EK614" s="105"/>
      <c r="EL614" s="105"/>
      <c r="EM614" s="105"/>
      <c r="EN614" s="105"/>
      <c r="EO614" s="105"/>
      <c r="EP614" s="105"/>
      <c r="EQ614" s="105"/>
      <c r="ER614" s="105"/>
      <c r="ES614" s="105"/>
      <c r="ET614" s="105"/>
      <c r="EU614" s="105"/>
      <c r="EV614" s="105"/>
      <c r="EW614" s="105"/>
      <c r="EX614" s="105"/>
      <c r="EY614" s="105"/>
      <c r="EZ614" s="105"/>
      <c r="FA614" s="105"/>
      <c r="FB614" s="105"/>
      <c r="FC614" s="105"/>
      <c r="FD614" s="105"/>
      <c r="FE614" s="105"/>
      <c r="FF614" s="105"/>
      <c r="FG614" s="105"/>
      <c r="FH614" s="105"/>
      <c r="FI614" s="105"/>
      <c r="FJ614" s="105"/>
      <c r="FK614" s="105"/>
      <c r="FL614" s="105"/>
      <c r="FM614" s="105"/>
      <c r="FN614" s="105"/>
      <c r="FO614" s="105"/>
      <c r="FP614" s="105"/>
      <c r="FQ614" s="105"/>
      <c r="FR614" s="105"/>
      <c r="FS614" s="105"/>
      <c r="FT614" s="105"/>
      <c r="FU614" s="105"/>
      <c r="FV614" s="105"/>
      <c r="FW614" s="105"/>
      <c r="FX614" s="105"/>
      <c r="FY614" s="105"/>
      <c r="FZ614" s="105"/>
      <c r="GA614" s="105"/>
      <c r="GB614" s="105"/>
      <c r="GC614" s="105"/>
      <c r="GD614" s="105"/>
      <c r="GE614" s="105"/>
      <c r="GF614" s="105"/>
      <c r="GG614" s="105"/>
      <c r="GH614" s="105"/>
      <c r="GI614" s="105"/>
      <c r="GJ614" s="105"/>
      <c r="GK614" s="105"/>
      <c r="GL614" s="105"/>
      <c r="GM614" s="105"/>
      <c r="GN614" s="105"/>
      <c r="GO614" s="105"/>
      <c r="GP614" s="105"/>
      <c r="GQ614" s="105"/>
      <c r="GR614" s="105"/>
      <c r="GS614" s="105"/>
      <c r="GT614" s="105"/>
      <c r="GU614" s="105"/>
      <c r="GV614" s="105"/>
      <c r="GW614" s="105"/>
      <c r="GX614" s="105"/>
      <c r="GY614" s="105"/>
      <c r="GZ614" s="105"/>
      <c r="HA614" s="105"/>
      <c r="HB614" s="105"/>
      <c r="HC614" s="105"/>
      <c r="HD614" s="105"/>
      <c r="HE614" s="105"/>
      <c r="HF614" s="105"/>
      <c r="HG614" s="105"/>
      <c r="HH614" s="105"/>
      <c r="HI614" s="105"/>
      <c r="HJ614" s="105"/>
      <c r="HK614" s="105"/>
      <c r="HL614" s="105"/>
      <c r="HM614" s="105"/>
      <c r="HN614" s="105"/>
      <c r="HO614" s="105"/>
      <c r="HP614" s="105"/>
      <c r="HQ614" s="105"/>
      <c r="HR614" s="105"/>
      <c r="HS614" s="105"/>
      <c r="HT614" s="105"/>
      <c r="HU614" s="105"/>
      <c r="HV614" s="105"/>
      <c r="HW614" s="105"/>
      <c r="HX614" s="105"/>
      <c r="HY614" s="105"/>
      <c r="HZ614" s="105"/>
      <c r="IA614" s="105"/>
      <c r="IB614" s="105"/>
      <c r="IC614" s="105"/>
      <c r="ID614" s="105"/>
      <c r="IE614" s="105"/>
      <c r="IF614" s="105"/>
      <c r="IG614" s="105"/>
      <c r="IH614" s="105"/>
      <c r="II614" s="105"/>
      <c r="IJ614" s="105"/>
      <c r="IK614" s="105"/>
      <c r="IL614" s="105"/>
      <c r="IM614" s="105"/>
      <c r="IN614" s="105"/>
      <c r="IO614" s="105"/>
      <c r="IP614" s="105"/>
      <c r="IQ614" s="105"/>
      <c r="IR614" s="105"/>
      <c r="IS614" s="105"/>
    </row>
    <row r="615" spans="1:253">
      <c r="A615" s="116"/>
      <c r="B615" s="105"/>
      <c r="C615" s="116"/>
      <c r="D615" s="116"/>
      <c r="E615" s="116"/>
      <c r="F615" s="116"/>
      <c r="G615" s="116"/>
      <c r="H615" s="116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  <c r="AU615" s="105"/>
      <c r="AV615" s="105"/>
      <c r="AW615" s="105"/>
      <c r="AX615" s="105"/>
      <c r="AY615" s="105"/>
      <c r="AZ615" s="105"/>
      <c r="BA615" s="105"/>
      <c r="BB615" s="105"/>
      <c r="BC615" s="105"/>
      <c r="BD615" s="105"/>
      <c r="BE615" s="105"/>
      <c r="BF615" s="105"/>
      <c r="BG615" s="105"/>
      <c r="BH615" s="105"/>
      <c r="BI615" s="105"/>
      <c r="BJ615" s="105"/>
      <c r="BK615" s="105"/>
      <c r="BL615" s="105"/>
      <c r="BM615" s="105"/>
      <c r="BN615" s="105"/>
      <c r="BO615" s="105"/>
      <c r="BP615" s="105"/>
      <c r="BQ615" s="105"/>
      <c r="BR615" s="105"/>
      <c r="BS615" s="105"/>
      <c r="BT615" s="105"/>
      <c r="BU615" s="105"/>
      <c r="BV615" s="105"/>
      <c r="BW615" s="105"/>
      <c r="BX615" s="105"/>
      <c r="BY615" s="105"/>
      <c r="BZ615" s="105"/>
      <c r="CA615" s="105"/>
      <c r="CB615" s="105"/>
      <c r="CC615" s="105"/>
      <c r="CD615" s="105"/>
      <c r="CE615" s="105"/>
      <c r="CF615" s="105"/>
      <c r="CG615" s="105"/>
      <c r="CH615" s="105"/>
      <c r="CI615" s="105"/>
      <c r="CJ615" s="105"/>
      <c r="CK615" s="105"/>
      <c r="CL615" s="105"/>
      <c r="CM615" s="105"/>
      <c r="CN615" s="105"/>
      <c r="CO615" s="105"/>
      <c r="CP615" s="105"/>
      <c r="CQ615" s="105"/>
      <c r="CR615" s="105"/>
      <c r="CS615" s="105"/>
      <c r="CT615" s="105"/>
      <c r="CU615" s="105"/>
      <c r="CV615" s="105"/>
      <c r="CW615" s="105"/>
      <c r="CX615" s="105"/>
      <c r="CY615" s="105"/>
      <c r="CZ615" s="105"/>
      <c r="DA615" s="105"/>
      <c r="DB615" s="105"/>
      <c r="DC615" s="105"/>
      <c r="DD615" s="105"/>
      <c r="DE615" s="105"/>
      <c r="DF615" s="105"/>
      <c r="DG615" s="105"/>
      <c r="DH615" s="105"/>
      <c r="DI615" s="105"/>
      <c r="DJ615" s="105"/>
      <c r="DK615" s="105"/>
      <c r="DL615" s="105"/>
      <c r="DM615" s="105"/>
      <c r="DN615" s="105"/>
      <c r="DO615" s="105"/>
      <c r="DP615" s="105"/>
      <c r="DQ615" s="105"/>
      <c r="DR615" s="105"/>
      <c r="DS615" s="105"/>
      <c r="DT615" s="105"/>
      <c r="DU615" s="105"/>
      <c r="DV615" s="105"/>
      <c r="DW615" s="105"/>
      <c r="DX615" s="105"/>
      <c r="DY615" s="105"/>
      <c r="DZ615" s="105"/>
      <c r="EA615" s="105"/>
      <c r="EB615" s="105"/>
      <c r="EC615" s="105"/>
      <c r="ED615" s="105"/>
      <c r="EE615" s="105"/>
      <c r="EF615" s="105"/>
      <c r="EG615" s="105"/>
      <c r="EH615" s="105"/>
      <c r="EI615" s="105"/>
      <c r="EJ615" s="105"/>
      <c r="EK615" s="105"/>
      <c r="EL615" s="105"/>
      <c r="EM615" s="105"/>
      <c r="EN615" s="105"/>
      <c r="EO615" s="105"/>
      <c r="EP615" s="105"/>
      <c r="EQ615" s="105"/>
      <c r="ER615" s="105"/>
      <c r="ES615" s="105"/>
      <c r="ET615" s="105"/>
      <c r="EU615" s="105"/>
      <c r="EV615" s="105"/>
      <c r="EW615" s="105"/>
      <c r="EX615" s="105"/>
      <c r="EY615" s="105"/>
      <c r="EZ615" s="105"/>
      <c r="FA615" s="105"/>
      <c r="FB615" s="105"/>
      <c r="FC615" s="105"/>
      <c r="FD615" s="105"/>
      <c r="FE615" s="105"/>
      <c r="FF615" s="105"/>
      <c r="FG615" s="105"/>
      <c r="FH615" s="105"/>
      <c r="FI615" s="105"/>
      <c r="FJ615" s="105"/>
      <c r="FK615" s="105"/>
      <c r="FL615" s="105"/>
      <c r="FM615" s="105"/>
      <c r="FN615" s="105"/>
      <c r="FO615" s="105"/>
      <c r="FP615" s="105"/>
      <c r="FQ615" s="105"/>
      <c r="FR615" s="105"/>
      <c r="FS615" s="105"/>
      <c r="FT615" s="105"/>
      <c r="FU615" s="105"/>
      <c r="FV615" s="105"/>
      <c r="FW615" s="105"/>
      <c r="FX615" s="105"/>
      <c r="FY615" s="105"/>
      <c r="FZ615" s="105"/>
      <c r="GA615" s="105"/>
      <c r="GB615" s="105"/>
      <c r="GC615" s="105"/>
      <c r="GD615" s="105"/>
      <c r="GE615" s="105"/>
      <c r="GF615" s="105"/>
      <c r="GG615" s="105"/>
      <c r="GH615" s="105"/>
      <c r="GI615" s="105"/>
      <c r="GJ615" s="105"/>
      <c r="GK615" s="105"/>
      <c r="GL615" s="105"/>
      <c r="GM615" s="105"/>
      <c r="GN615" s="105"/>
      <c r="GO615" s="105"/>
      <c r="GP615" s="105"/>
      <c r="GQ615" s="105"/>
      <c r="GR615" s="105"/>
      <c r="GS615" s="105"/>
      <c r="GT615" s="105"/>
      <c r="GU615" s="105"/>
      <c r="GV615" s="105"/>
      <c r="GW615" s="105"/>
      <c r="GX615" s="105"/>
      <c r="GY615" s="105"/>
      <c r="GZ615" s="105"/>
      <c r="HA615" s="105"/>
      <c r="HB615" s="105"/>
      <c r="HC615" s="105"/>
      <c r="HD615" s="105"/>
      <c r="HE615" s="105"/>
      <c r="HF615" s="105"/>
      <c r="HG615" s="105"/>
      <c r="HH615" s="105"/>
      <c r="HI615" s="105"/>
      <c r="HJ615" s="105"/>
      <c r="HK615" s="105"/>
      <c r="HL615" s="105"/>
      <c r="HM615" s="105"/>
      <c r="HN615" s="105"/>
      <c r="HO615" s="105"/>
      <c r="HP615" s="105"/>
      <c r="HQ615" s="105"/>
      <c r="HR615" s="105"/>
      <c r="HS615" s="105"/>
      <c r="HT615" s="105"/>
      <c r="HU615" s="105"/>
      <c r="HV615" s="105"/>
      <c r="HW615" s="105"/>
      <c r="HX615" s="105"/>
      <c r="HY615" s="105"/>
      <c r="HZ615" s="105"/>
      <c r="IA615" s="105"/>
      <c r="IB615" s="105"/>
      <c r="IC615" s="105"/>
      <c r="ID615" s="105"/>
      <c r="IE615" s="105"/>
      <c r="IF615" s="105"/>
      <c r="IG615" s="105"/>
      <c r="IH615" s="105"/>
      <c r="II615" s="105"/>
      <c r="IJ615" s="105"/>
      <c r="IK615" s="105"/>
      <c r="IL615" s="105"/>
      <c r="IM615" s="105"/>
      <c r="IN615" s="105"/>
      <c r="IO615" s="105"/>
      <c r="IP615" s="105"/>
      <c r="IQ615" s="105"/>
      <c r="IR615" s="105"/>
      <c r="IS615" s="105"/>
    </row>
    <row r="616" spans="1:253">
      <c r="A616" s="116"/>
      <c r="B616" s="105"/>
      <c r="C616" s="116"/>
      <c r="D616" s="116"/>
      <c r="E616" s="116"/>
      <c r="F616" s="116"/>
      <c r="G616" s="116"/>
      <c r="H616" s="116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05"/>
      <c r="BF616" s="105"/>
      <c r="BG616" s="105"/>
      <c r="BH616" s="105"/>
      <c r="BI616" s="105"/>
      <c r="BJ616" s="105"/>
      <c r="BK616" s="105"/>
      <c r="BL616" s="105"/>
      <c r="BM616" s="105"/>
      <c r="BN616" s="105"/>
      <c r="BO616" s="105"/>
      <c r="BP616" s="105"/>
      <c r="BQ616" s="105"/>
      <c r="BR616" s="105"/>
      <c r="BS616" s="105"/>
      <c r="BT616" s="105"/>
      <c r="BU616" s="105"/>
      <c r="BV616" s="105"/>
      <c r="BW616" s="105"/>
      <c r="BX616" s="105"/>
      <c r="BY616" s="105"/>
      <c r="BZ616" s="105"/>
      <c r="CA616" s="105"/>
      <c r="CB616" s="105"/>
      <c r="CC616" s="105"/>
      <c r="CD616" s="105"/>
      <c r="CE616" s="105"/>
      <c r="CF616" s="105"/>
      <c r="CG616" s="105"/>
      <c r="CH616" s="105"/>
      <c r="CI616" s="105"/>
      <c r="CJ616" s="105"/>
      <c r="CK616" s="105"/>
      <c r="CL616" s="105"/>
      <c r="CM616" s="105"/>
      <c r="CN616" s="105"/>
      <c r="CO616" s="105"/>
      <c r="CP616" s="105"/>
      <c r="CQ616" s="105"/>
      <c r="CR616" s="105"/>
      <c r="CS616" s="105"/>
      <c r="CT616" s="105"/>
      <c r="CU616" s="105"/>
      <c r="CV616" s="105"/>
      <c r="CW616" s="105"/>
      <c r="CX616" s="105"/>
      <c r="CY616" s="105"/>
      <c r="CZ616" s="105"/>
      <c r="DA616" s="105"/>
      <c r="DB616" s="105"/>
      <c r="DC616" s="105"/>
      <c r="DD616" s="105"/>
      <c r="DE616" s="105"/>
      <c r="DF616" s="105"/>
      <c r="DG616" s="105"/>
      <c r="DH616" s="105"/>
      <c r="DI616" s="105"/>
      <c r="DJ616" s="105"/>
      <c r="DK616" s="105"/>
      <c r="DL616" s="105"/>
      <c r="DM616" s="105"/>
      <c r="DN616" s="105"/>
      <c r="DO616" s="105"/>
      <c r="DP616" s="105"/>
      <c r="DQ616" s="105"/>
      <c r="DR616" s="105"/>
      <c r="DS616" s="105"/>
      <c r="DT616" s="105"/>
      <c r="DU616" s="105"/>
      <c r="DV616" s="105"/>
      <c r="DW616" s="105"/>
      <c r="DX616" s="105"/>
      <c r="DY616" s="105"/>
      <c r="DZ616" s="105"/>
      <c r="EA616" s="105"/>
      <c r="EB616" s="105"/>
      <c r="EC616" s="105"/>
      <c r="ED616" s="105"/>
      <c r="EE616" s="105"/>
      <c r="EF616" s="105"/>
      <c r="EG616" s="105"/>
      <c r="EH616" s="105"/>
      <c r="EI616" s="105"/>
      <c r="EJ616" s="105"/>
      <c r="EK616" s="105"/>
      <c r="EL616" s="105"/>
      <c r="EM616" s="105"/>
      <c r="EN616" s="105"/>
      <c r="EO616" s="105"/>
      <c r="EP616" s="105"/>
      <c r="EQ616" s="105"/>
      <c r="ER616" s="105"/>
      <c r="ES616" s="105"/>
      <c r="ET616" s="105"/>
      <c r="EU616" s="105"/>
      <c r="EV616" s="105"/>
      <c r="EW616" s="105"/>
      <c r="EX616" s="105"/>
      <c r="EY616" s="105"/>
      <c r="EZ616" s="105"/>
      <c r="FA616" s="105"/>
      <c r="FB616" s="105"/>
      <c r="FC616" s="105"/>
      <c r="FD616" s="105"/>
      <c r="FE616" s="105"/>
      <c r="FF616" s="105"/>
      <c r="FG616" s="105"/>
      <c r="FH616" s="105"/>
      <c r="FI616" s="105"/>
      <c r="FJ616" s="105"/>
      <c r="FK616" s="105"/>
      <c r="FL616" s="105"/>
      <c r="FM616" s="105"/>
      <c r="FN616" s="105"/>
      <c r="FO616" s="105"/>
      <c r="FP616" s="105"/>
      <c r="FQ616" s="105"/>
      <c r="FR616" s="105"/>
      <c r="FS616" s="105"/>
      <c r="FT616" s="105"/>
      <c r="FU616" s="105"/>
      <c r="FV616" s="105"/>
      <c r="FW616" s="105"/>
      <c r="FX616" s="105"/>
      <c r="FY616" s="105"/>
      <c r="FZ616" s="105"/>
      <c r="GA616" s="105"/>
      <c r="GB616" s="105"/>
      <c r="GC616" s="105"/>
      <c r="GD616" s="105"/>
      <c r="GE616" s="105"/>
      <c r="GF616" s="105"/>
      <c r="GG616" s="105"/>
      <c r="GH616" s="105"/>
      <c r="GI616" s="105"/>
      <c r="GJ616" s="105"/>
      <c r="GK616" s="105"/>
      <c r="GL616" s="105"/>
      <c r="GM616" s="105"/>
      <c r="GN616" s="105"/>
      <c r="GO616" s="105"/>
      <c r="GP616" s="105"/>
      <c r="GQ616" s="105"/>
      <c r="GR616" s="105"/>
      <c r="GS616" s="105"/>
      <c r="GT616" s="105"/>
      <c r="GU616" s="105"/>
      <c r="GV616" s="105"/>
      <c r="GW616" s="105"/>
      <c r="GX616" s="105"/>
      <c r="GY616" s="105"/>
      <c r="GZ616" s="105"/>
      <c r="HA616" s="105"/>
      <c r="HB616" s="105"/>
      <c r="HC616" s="105"/>
      <c r="HD616" s="105"/>
      <c r="HE616" s="105"/>
      <c r="HF616" s="105"/>
      <c r="HG616" s="105"/>
      <c r="HH616" s="105"/>
      <c r="HI616" s="105"/>
      <c r="HJ616" s="105"/>
      <c r="HK616" s="105"/>
      <c r="HL616" s="105"/>
      <c r="HM616" s="105"/>
      <c r="HN616" s="105"/>
      <c r="HO616" s="105"/>
      <c r="HP616" s="105"/>
      <c r="HQ616" s="105"/>
      <c r="HR616" s="105"/>
      <c r="HS616" s="105"/>
      <c r="HT616" s="105"/>
      <c r="HU616" s="105"/>
      <c r="HV616" s="105"/>
      <c r="HW616" s="105"/>
      <c r="HX616" s="105"/>
      <c r="HY616" s="105"/>
      <c r="HZ616" s="105"/>
      <c r="IA616" s="105"/>
      <c r="IB616" s="105"/>
      <c r="IC616" s="105"/>
      <c r="ID616" s="105"/>
      <c r="IE616" s="105"/>
      <c r="IF616" s="105"/>
      <c r="IG616" s="105"/>
      <c r="IH616" s="105"/>
      <c r="II616" s="105"/>
      <c r="IJ616" s="105"/>
      <c r="IK616" s="105"/>
      <c r="IL616" s="105"/>
      <c r="IM616" s="105"/>
      <c r="IN616" s="105"/>
      <c r="IO616" s="105"/>
      <c r="IP616" s="105"/>
      <c r="IQ616" s="105"/>
      <c r="IR616" s="105"/>
      <c r="IS616" s="105"/>
    </row>
    <row r="617" spans="1:253">
      <c r="A617" s="116"/>
      <c r="B617" s="105"/>
      <c r="C617" s="116"/>
      <c r="D617" s="116"/>
      <c r="E617" s="116"/>
      <c r="F617" s="116"/>
      <c r="G617" s="116"/>
      <c r="H617" s="116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  <c r="AU617" s="105"/>
      <c r="AV617" s="105"/>
      <c r="AW617" s="105"/>
      <c r="AX617" s="105"/>
      <c r="AY617" s="105"/>
      <c r="AZ617" s="105"/>
      <c r="BA617" s="105"/>
      <c r="BB617" s="105"/>
      <c r="BC617" s="105"/>
      <c r="BD617" s="105"/>
      <c r="BE617" s="105"/>
      <c r="BF617" s="105"/>
      <c r="BG617" s="105"/>
      <c r="BH617" s="105"/>
      <c r="BI617" s="105"/>
      <c r="BJ617" s="105"/>
      <c r="BK617" s="105"/>
      <c r="BL617" s="105"/>
      <c r="BM617" s="105"/>
      <c r="BN617" s="105"/>
      <c r="BO617" s="105"/>
      <c r="BP617" s="105"/>
      <c r="BQ617" s="105"/>
      <c r="BR617" s="105"/>
      <c r="BS617" s="105"/>
      <c r="BT617" s="105"/>
      <c r="BU617" s="105"/>
      <c r="BV617" s="105"/>
      <c r="BW617" s="105"/>
      <c r="BX617" s="105"/>
      <c r="BY617" s="105"/>
      <c r="BZ617" s="105"/>
      <c r="CA617" s="105"/>
      <c r="CB617" s="105"/>
      <c r="CC617" s="105"/>
      <c r="CD617" s="105"/>
      <c r="CE617" s="105"/>
      <c r="CF617" s="105"/>
      <c r="CG617" s="105"/>
      <c r="CH617" s="105"/>
      <c r="CI617" s="105"/>
      <c r="CJ617" s="105"/>
      <c r="CK617" s="105"/>
      <c r="CL617" s="105"/>
      <c r="CM617" s="105"/>
      <c r="CN617" s="105"/>
      <c r="CO617" s="105"/>
      <c r="CP617" s="105"/>
      <c r="CQ617" s="105"/>
      <c r="CR617" s="105"/>
      <c r="CS617" s="105"/>
      <c r="CT617" s="105"/>
      <c r="CU617" s="105"/>
      <c r="CV617" s="105"/>
      <c r="CW617" s="105"/>
      <c r="CX617" s="105"/>
      <c r="CY617" s="105"/>
      <c r="CZ617" s="105"/>
      <c r="DA617" s="105"/>
      <c r="DB617" s="105"/>
      <c r="DC617" s="105"/>
      <c r="DD617" s="105"/>
      <c r="DE617" s="105"/>
      <c r="DF617" s="105"/>
      <c r="DG617" s="105"/>
      <c r="DH617" s="105"/>
      <c r="DI617" s="105"/>
      <c r="DJ617" s="105"/>
      <c r="DK617" s="105"/>
      <c r="DL617" s="105"/>
      <c r="DM617" s="105"/>
      <c r="DN617" s="105"/>
      <c r="DO617" s="105"/>
      <c r="DP617" s="105"/>
      <c r="DQ617" s="105"/>
      <c r="DR617" s="105"/>
      <c r="DS617" s="105"/>
      <c r="DT617" s="105"/>
      <c r="DU617" s="105"/>
      <c r="DV617" s="105"/>
      <c r="DW617" s="105"/>
      <c r="DX617" s="105"/>
      <c r="DY617" s="105"/>
      <c r="DZ617" s="105"/>
      <c r="EA617" s="105"/>
      <c r="EB617" s="105"/>
      <c r="EC617" s="105"/>
      <c r="ED617" s="105"/>
      <c r="EE617" s="105"/>
      <c r="EF617" s="105"/>
      <c r="EG617" s="105"/>
      <c r="EH617" s="105"/>
      <c r="EI617" s="105"/>
      <c r="EJ617" s="105"/>
      <c r="EK617" s="105"/>
      <c r="EL617" s="105"/>
      <c r="EM617" s="105"/>
      <c r="EN617" s="105"/>
      <c r="EO617" s="105"/>
      <c r="EP617" s="105"/>
      <c r="EQ617" s="105"/>
      <c r="ER617" s="105"/>
      <c r="ES617" s="105"/>
      <c r="ET617" s="105"/>
      <c r="EU617" s="105"/>
      <c r="EV617" s="105"/>
      <c r="EW617" s="105"/>
      <c r="EX617" s="105"/>
      <c r="EY617" s="105"/>
      <c r="EZ617" s="105"/>
      <c r="FA617" s="105"/>
      <c r="FB617" s="105"/>
      <c r="FC617" s="105"/>
      <c r="FD617" s="105"/>
      <c r="FE617" s="105"/>
      <c r="FF617" s="105"/>
      <c r="FG617" s="105"/>
      <c r="FH617" s="105"/>
      <c r="FI617" s="105"/>
      <c r="FJ617" s="105"/>
      <c r="FK617" s="105"/>
      <c r="FL617" s="105"/>
      <c r="FM617" s="105"/>
      <c r="FN617" s="105"/>
      <c r="FO617" s="105"/>
      <c r="FP617" s="105"/>
      <c r="FQ617" s="105"/>
      <c r="FR617" s="105"/>
      <c r="FS617" s="105"/>
      <c r="FT617" s="105"/>
      <c r="FU617" s="105"/>
      <c r="FV617" s="105"/>
      <c r="FW617" s="105"/>
      <c r="FX617" s="105"/>
      <c r="FY617" s="105"/>
      <c r="FZ617" s="105"/>
      <c r="GA617" s="105"/>
      <c r="GB617" s="105"/>
      <c r="GC617" s="105"/>
      <c r="GD617" s="105"/>
      <c r="GE617" s="105"/>
      <c r="GF617" s="105"/>
      <c r="GG617" s="105"/>
      <c r="GH617" s="105"/>
      <c r="GI617" s="105"/>
      <c r="GJ617" s="105"/>
      <c r="GK617" s="105"/>
      <c r="GL617" s="105"/>
      <c r="GM617" s="105"/>
      <c r="GN617" s="105"/>
      <c r="GO617" s="105"/>
      <c r="GP617" s="105"/>
      <c r="GQ617" s="105"/>
      <c r="GR617" s="105"/>
      <c r="GS617" s="105"/>
      <c r="GT617" s="105"/>
      <c r="GU617" s="105"/>
      <c r="GV617" s="105"/>
      <c r="GW617" s="105"/>
      <c r="GX617" s="105"/>
      <c r="GY617" s="105"/>
      <c r="GZ617" s="105"/>
      <c r="HA617" s="105"/>
      <c r="HB617" s="105"/>
      <c r="HC617" s="105"/>
      <c r="HD617" s="105"/>
      <c r="HE617" s="105"/>
      <c r="HF617" s="105"/>
      <c r="HG617" s="105"/>
      <c r="HH617" s="105"/>
      <c r="HI617" s="105"/>
      <c r="HJ617" s="105"/>
      <c r="HK617" s="105"/>
      <c r="HL617" s="105"/>
      <c r="HM617" s="105"/>
      <c r="HN617" s="105"/>
      <c r="HO617" s="105"/>
      <c r="HP617" s="105"/>
      <c r="HQ617" s="105"/>
      <c r="HR617" s="105"/>
      <c r="HS617" s="105"/>
      <c r="HT617" s="105"/>
      <c r="HU617" s="105"/>
      <c r="HV617" s="105"/>
      <c r="HW617" s="105"/>
      <c r="HX617" s="105"/>
      <c r="HY617" s="105"/>
      <c r="HZ617" s="105"/>
      <c r="IA617" s="105"/>
      <c r="IB617" s="105"/>
      <c r="IC617" s="105"/>
      <c r="ID617" s="105"/>
      <c r="IE617" s="105"/>
      <c r="IF617" s="105"/>
      <c r="IG617" s="105"/>
      <c r="IH617" s="105"/>
      <c r="II617" s="105"/>
      <c r="IJ617" s="105"/>
      <c r="IK617" s="105"/>
      <c r="IL617" s="105"/>
      <c r="IM617" s="105"/>
      <c r="IN617" s="105"/>
      <c r="IO617" s="105"/>
      <c r="IP617" s="105"/>
      <c r="IQ617" s="105"/>
      <c r="IR617" s="105"/>
      <c r="IS617" s="105"/>
    </row>
    <row r="618" spans="1:253">
      <c r="A618" s="116"/>
      <c r="B618" s="105"/>
      <c r="C618" s="116"/>
      <c r="D618" s="116"/>
      <c r="E618" s="116"/>
      <c r="F618" s="116"/>
      <c r="G618" s="116"/>
      <c r="H618" s="116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05"/>
      <c r="BF618" s="105"/>
      <c r="BG618" s="105"/>
      <c r="BH618" s="105"/>
      <c r="BI618" s="105"/>
      <c r="BJ618" s="105"/>
      <c r="BK618" s="105"/>
      <c r="BL618" s="105"/>
      <c r="BM618" s="105"/>
      <c r="BN618" s="105"/>
      <c r="BO618" s="105"/>
      <c r="BP618" s="105"/>
      <c r="BQ618" s="105"/>
      <c r="BR618" s="105"/>
      <c r="BS618" s="105"/>
      <c r="BT618" s="105"/>
      <c r="BU618" s="105"/>
      <c r="BV618" s="105"/>
      <c r="BW618" s="105"/>
      <c r="BX618" s="105"/>
      <c r="BY618" s="105"/>
      <c r="BZ618" s="105"/>
      <c r="CA618" s="105"/>
      <c r="CB618" s="105"/>
      <c r="CC618" s="105"/>
      <c r="CD618" s="105"/>
      <c r="CE618" s="105"/>
      <c r="CF618" s="105"/>
      <c r="CG618" s="105"/>
      <c r="CH618" s="105"/>
      <c r="CI618" s="105"/>
      <c r="CJ618" s="105"/>
      <c r="CK618" s="105"/>
      <c r="CL618" s="105"/>
      <c r="CM618" s="105"/>
      <c r="CN618" s="105"/>
      <c r="CO618" s="105"/>
      <c r="CP618" s="105"/>
      <c r="CQ618" s="105"/>
      <c r="CR618" s="105"/>
      <c r="CS618" s="105"/>
      <c r="CT618" s="105"/>
      <c r="CU618" s="105"/>
      <c r="CV618" s="105"/>
      <c r="CW618" s="105"/>
      <c r="CX618" s="105"/>
      <c r="CY618" s="105"/>
      <c r="CZ618" s="105"/>
      <c r="DA618" s="105"/>
      <c r="DB618" s="105"/>
      <c r="DC618" s="105"/>
      <c r="DD618" s="105"/>
      <c r="DE618" s="105"/>
      <c r="DF618" s="105"/>
      <c r="DG618" s="105"/>
      <c r="DH618" s="105"/>
      <c r="DI618" s="105"/>
      <c r="DJ618" s="105"/>
      <c r="DK618" s="105"/>
      <c r="DL618" s="105"/>
      <c r="DM618" s="105"/>
      <c r="DN618" s="105"/>
      <c r="DO618" s="105"/>
      <c r="DP618" s="105"/>
      <c r="DQ618" s="105"/>
      <c r="DR618" s="105"/>
      <c r="DS618" s="105"/>
      <c r="DT618" s="105"/>
      <c r="DU618" s="105"/>
      <c r="DV618" s="105"/>
      <c r="DW618" s="105"/>
      <c r="DX618" s="105"/>
      <c r="DY618" s="105"/>
      <c r="DZ618" s="105"/>
      <c r="EA618" s="105"/>
      <c r="EB618" s="105"/>
      <c r="EC618" s="105"/>
      <c r="ED618" s="105"/>
      <c r="EE618" s="105"/>
      <c r="EF618" s="105"/>
      <c r="EG618" s="105"/>
      <c r="EH618" s="105"/>
      <c r="EI618" s="105"/>
      <c r="EJ618" s="105"/>
      <c r="EK618" s="105"/>
      <c r="EL618" s="105"/>
      <c r="EM618" s="105"/>
      <c r="EN618" s="105"/>
      <c r="EO618" s="105"/>
      <c r="EP618" s="105"/>
      <c r="EQ618" s="105"/>
      <c r="ER618" s="105"/>
      <c r="ES618" s="105"/>
      <c r="ET618" s="105"/>
      <c r="EU618" s="105"/>
      <c r="EV618" s="105"/>
      <c r="EW618" s="105"/>
      <c r="EX618" s="105"/>
      <c r="EY618" s="105"/>
      <c r="EZ618" s="105"/>
      <c r="FA618" s="105"/>
      <c r="FB618" s="105"/>
      <c r="FC618" s="105"/>
      <c r="FD618" s="105"/>
      <c r="FE618" s="105"/>
      <c r="FF618" s="105"/>
      <c r="FG618" s="105"/>
      <c r="FH618" s="105"/>
      <c r="FI618" s="105"/>
      <c r="FJ618" s="105"/>
      <c r="FK618" s="105"/>
      <c r="FL618" s="105"/>
      <c r="FM618" s="105"/>
      <c r="FN618" s="105"/>
      <c r="FO618" s="105"/>
      <c r="FP618" s="105"/>
      <c r="FQ618" s="105"/>
      <c r="FR618" s="105"/>
      <c r="FS618" s="105"/>
      <c r="FT618" s="105"/>
      <c r="FU618" s="105"/>
      <c r="FV618" s="105"/>
      <c r="FW618" s="105"/>
      <c r="FX618" s="105"/>
      <c r="FY618" s="105"/>
      <c r="FZ618" s="105"/>
      <c r="GA618" s="105"/>
      <c r="GB618" s="105"/>
      <c r="GC618" s="105"/>
      <c r="GD618" s="105"/>
      <c r="GE618" s="105"/>
      <c r="GF618" s="105"/>
      <c r="GG618" s="105"/>
      <c r="GH618" s="105"/>
      <c r="GI618" s="105"/>
      <c r="GJ618" s="105"/>
      <c r="GK618" s="105"/>
      <c r="GL618" s="105"/>
      <c r="GM618" s="105"/>
      <c r="GN618" s="105"/>
      <c r="GO618" s="105"/>
      <c r="GP618" s="105"/>
      <c r="GQ618" s="105"/>
      <c r="GR618" s="105"/>
      <c r="GS618" s="105"/>
      <c r="GT618" s="105"/>
      <c r="GU618" s="105"/>
      <c r="GV618" s="105"/>
      <c r="GW618" s="105"/>
      <c r="GX618" s="105"/>
      <c r="GY618" s="105"/>
      <c r="GZ618" s="105"/>
      <c r="HA618" s="105"/>
      <c r="HB618" s="105"/>
      <c r="HC618" s="105"/>
      <c r="HD618" s="105"/>
      <c r="HE618" s="105"/>
      <c r="HF618" s="105"/>
      <c r="HG618" s="105"/>
      <c r="HH618" s="105"/>
      <c r="HI618" s="105"/>
      <c r="HJ618" s="105"/>
      <c r="HK618" s="105"/>
      <c r="HL618" s="105"/>
      <c r="HM618" s="105"/>
      <c r="HN618" s="105"/>
      <c r="HO618" s="105"/>
      <c r="HP618" s="105"/>
      <c r="HQ618" s="105"/>
      <c r="HR618" s="105"/>
      <c r="HS618" s="105"/>
      <c r="HT618" s="105"/>
      <c r="HU618" s="105"/>
      <c r="HV618" s="105"/>
      <c r="HW618" s="105"/>
      <c r="HX618" s="105"/>
      <c r="HY618" s="105"/>
      <c r="HZ618" s="105"/>
      <c r="IA618" s="105"/>
      <c r="IB618" s="105"/>
      <c r="IC618" s="105"/>
      <c r="ID618" s="105"/>
      <c r="IE618" s="105"/>
      <c r="IF618" s="105"/>
      <c r="IG618" s="105"/>
      <c r="IH618" s="105"/>
      <c r="II618" s="105"/>
      <c r="IJ618" s="105"/>
      <c r="IK618" s="105"/>
      <c r="IL618" s="105"/>
      <c r="IM618" s="105"/>
      <c r="IN618" s="105"/>
      <c r="IO618" s="105"/>
      <c r="IP618" s="105"/>
      <c r="IQ618" s="105"/>
      <c r="IR618" s="105"/>
      <c r="IS618" s="105"/>
    </row>
    <row r="619" spans="1:253">
      <c r="A619" s="116"/>
      <c r="B619" s="105"/>
      <c r="C619" s="116"/>
      <c r="D619" s="116"/>
      <c r="E619" s="116"/>
      <c r="F619" s="116"/>
      <c r="G619" s="116"/>
      <c r="H619" s="116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5"/>
      <c r="BE619" s="105"/>
      <c r="BF619" s="105"/>
      <c r="BG619" s="105"/>
      <c r="BH619" s="105"/>
      <c r="BI619" s="105"/>
      <c r="BJ619" s="105"/>
      <c r="BK619" s="105"/>
      <c r="BL619" s="105"/>
      <c r="BM619" s="105"/>
      <c r="BN619" s="105"/>
      <c r="BO619" s="105"/>
      <c r="BP619" s="105"/>
      <c r="BQ619" s="105"/>
      <c r="BR619" s="105"/>
      <c r="BS619" s="105"/>
      <c r="BT619" s="105"/>
      <c r="BU619" s="105"/>
      <c r="BV619" s="105"/>
      <c r="BW619" s="105"/>
      <c r="BX619" s="105"/>
      <c r="BY619" s="105"/>
      <c r="BZ619" s="105"/>
      <c r="CA619" s="105"/>
      <c r="CB619" s="105"/>
      <c r="CC619" s="105"/>
      <c r="CD619" s="105"/>
      <c r="CE619" s="105"/>
      <c r="CF619" s="105"/>
      <c r="CG619" s="105"/>
      <c r="CH619" s="105"/>
      <c r="CI619" s="105"/>
      <c r="CJ619" s="105"/>
      <c r="CK619" s="105"/>
      <c r="CL619" s="105"/>
      <c r="CM619" s="105"/>
      <c r="CN619" s="105"/>
      <c r="CO619" s="105"/>
      <c r="CP619" s="105"/>
      <c r="CQ619" s="105"/>
      <c r="CR619" s="105"/>
      <c r="CS619" s="105"/>
      <c r="CT619" s="105"/>
      <c r="CU619" s="105"/>
      <c r="CV619" s="105"/>
      <c r="CW619" s="105"/>
      <c r="CX619" s="105"/>
      <c r="CY619" s="105"/>
      <c r="CZ619" s="105"/>
      <c r="DA619" s="105"/>
      <c r="DB619" s="105"/>
      <c r="DC619" s="105"/>
      <c r="DD619" s="105"/>
      <c r="DE619" s="105"/>
      <c r="DF619" s="105"/>
      <c r="DG619" s="105"/>
      <c r="DH619" s="105"/>
      <c r="DI619" s="105"/>
      <c r="DJ619" s="105"/>
      <c r="DK619" s="105"/>
      <c r="DL619" s="105"/>
      <c r="DM619" s="105"/>
      <c r="DN619" s="105"/>
      <c r="DO619" s="105"/>
      <c r="DP619" s="105"/>
      <c r="DQ619" s="105"/>
      <c r="DR619" s="105"/>
      <c r="DS619" s="105"/>
      <c r="DT619" s="105"/>
      <c r="DU619" s="105"/>
      <c r="DV619" s="105"/>
      <c r="DW619" s="105"/>
      <c r="DX619" s="105"/>
      <c r="DY619" s="105"/>
      <c r="DZ619" s="105"/>
      <c r="EA619" s="105"/>
      <c r="EB619" s="105"/>
      <c r="EC619" s="105"/>
      <c r="ED619" s="105"/>
      <c r="EE619" s="105"/>
      <c r="EF619" s="105"/>
      <c r="EG619" s="105"/>
      <c r="EH619" s="105"/>
      <c r="EI619" s="105"/>
      <c r="EJ619" s="105"/>
      <c r="EK619" s="105"/>
      <c r="EL619" s="105"/>
      <c r="EM619" s="105"/>
      <c r="EN619" s="105"/>
      <c r="EO619" s="105"/>
      <c r="EP619" s="105"/>
      <c r="EQ619" s="105"/>
      <c r="ER619" s="105"/>
      <c r="ES619" s="105"/>
      <c r="ET619" s="105"/>
      <c r="EU619" s="105"/>
      <c r="EV619" s="105"/>
      <c r="EW619" s="105"/>
      <c r="EX619" s="105"/>
      <c r="EY619" s="105"/>
      <c r="EZ619" s="105"/>
      <c r="FA619" s="105"/>
      <c r="FB619" s="105"/>
      <c r="FC619" s="105"/>
      <c r="FD619" s="105"/>
      <c r="FE619" s="105"/>
      <c r="FF619" s="105"/>
      <c r="FG619" s="105"/>
      <c r="FH619" s="105"/>
      <c r="FI619" s="105"/>
      <c r="FJ619" s="105"/>
      <c r="FK619" s="105"/>
      <c r="FL619" s="105"/>
      <c r="FM619" s="105"/>
      <c r="FN619" s="105"/>
      <c r="FO619" s="105"/>
      <c r="FP619" s="105"/>
      <c r="FQ619" s="105"/>
      <c r="FR619" s="105"/>
      <c r="FS619" s="105"/>
      <c r="FT619" s="105"/>
      <c r="FU619" s="105"/>
      <c r="FV619" s="105"/>
      <c r="FW619" s="105"/>
      <c r="FX619" s="105"/>
      <c r="FY619" s="105"/>
      <c r="FZ619" s="105"/>
      <c r="GA619" s="105"/>
      <c r="GB619" s="105"/>
      <c r="GC619" s="105"/>
      <c r="GD619" s="105"/>
      <c r="GE619" s="105"/>
      <c r="GF619" s="105"/>
      <c r="GG619" s="105"/>
      <c r="GH619" s="105"/>
      <c r="GI619" s="105"/>
      <c r="GJ619" s="105"/>
      <c r="GK619" s="105"/>
      <c r="GL619" s="105"/>
      <c r="GM619" s="105"/>
      <c r="GN619" s="105"/>
      <c r="GO619" s="105"/>
      <c r="GP619" s="105"/>
      <c r="GQ619" s="105"/>
      <c r="GR619" s="105"/>
      <c r="GS619" s="105"/>
      <c r="GT619" s="105"/>
      <c r="GU619" s="105"/>
      <c r="GV619" s="105"/>
      <c r="GW619" s="105"/>
      <c r="GX619" s="105"/>
      <c r="GY619" s="105"/>
      <c r="GZ619" s="105"/>
      <c r="HA619" s="105"/>
      <c r="HB619" s="105"/>
      <c r="HC619" s="105"/>
      <c r="HD619" s="105"/>
      <c r="HE619" s="105"/>
      <c r="HF619" s="105"/>
      <c r="HG619" s="105"/>
      <c r="HH619" s="105"/>
      <c r="HI619" s="105"/>
      <c r="HJ619" s="105"/>
      <c r="HK619" s="105"/>
      <c r="HL619" s="105"/>
      <c r="HM619" s="105"/>
      <c r="HN619" s="105"/>
      <c r="HO619" s="105"/>
      <c r="HP619" s="105"/>
      <c r="HQ619" s="105"/>
      <c r="HR619" s="105"/>
      <c r="HS619" s="105"/>
      <c r="HT619" s="105"/>
      <c r="HU619" s="105"/>
      <c r="HV619" s="105"/>
      <c r="HW619" s="105"/>
      <c r="HX619" s="105"/>
      <c r="HY619" s="105"/>
      <c r="HZ619" s="105"/>
      <c r="IA619" s="105"/>
      <c r="IB619" s="105"/>
      <c r="IC619" s="105"/>
      <c r="ID619" s="105"/>
      <c r="IE619" s="105"/>
      <c r="IF619" s="105"/>
      <c r="IG619" s="105"/>
      <c r="IH619" s="105"/>
      <c r="II619" s="105"/>
      <c r="IJ619" s="105"/>
      <c r="IK619" s="105"/>
      <c r="IL619" s="105"/>
      <c r="IM619" s="105"/>
      <c r="IN619" s="105"/>
      <c r="IO619" s="105"/>
      <c r="IP619" s="105"/>
      <c r="IQ619" s="105"/>
      <c r="IR619" s="105"/>
      <c r="IS619" s="105"/>
    </row>
    <row r="620" spans="1:253">
      <c r="A620" s="116"/>
      <c r="B620" s="105"/>
      <c r="C620" s="116"/>
      <c r="D620" s="116"/>
      <c r="E620" s="116"/>
      <c r="F620" s="116"/>
      <c r="G620" s="116"/>
      <c r="H620" s="116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05"/>
      <c r="BF620" s="105"/>
      <c r="BG620" s="105"/>
      <c r="BH620" s="105"/>
      <c r="BI620" s="105"/>
      <c r="BJ620" s="105"/>
      <c r="BK620" s="105"/>
      <c r="BL620" s="105"/>
      <c r="BM620" s="105"/>
      <c r="BN620" s="105"/>
      <c r="BO620" s="105"/>
      <c r="BP620" s="105"/>
      <c r="BQ620" s="105"/>
      <c r="BR620" s="105"/>
      <c r="BS620" s="105"/>
      <c r="BT620" s="105"/>
      <c r="BU620" s="105"/>
      <c r="BV620" s="105"/>
      <c r="BW620" s="105"/>
      <c r="BX620" s="105"/>
      <c r="BY620" s="105"/>
      <c r="BZ620" s="105"/>
      <c r="CA620" s="105"/>
      <c r="CB620" s="105"/>
      <c r="CC620" s="105"/>
      <c r="CD620" s="105"/>
      <c r="CE620" s="105"/>
      <c r="CF620" s="105"/>
      <c r="CG620" s="105"/>
      <c r="CH620" s="105"/>
      <c r="CI620" s="105"/>
      <c r="CJ620" s="105"/>
      <c r="CK620" s="105"/>
      <c r="CL620" s="105"/>
      <c r="CM620" s="105"/>
      <c r="CN620" s="105"/>
      <c r="CO620" s="105"/>
      <c r="CP620" s="105"/>
      <c r="CQ620" s="105"/>
      <c r="CR620" s="105"/>
      <c r="CS620" s="105"/>
      <c r="CT620" s="105"/>
      <c r="CU620" s="105"/>
      <c r="CV620" s="105"/>
      <c r="CW620" s="105"/>
      <c r="CX620" s="105"/>
      <c r="CY620" s="105"/>
      <c r="CZ620" s="105"/>
      <c r="DA620" s="105"/>
      <c r="DB620" s="105"/>
      <c r="DC620" s="105"/>
      <c r="DD620" s="105"/>
      <c r="DE620" s="105"/>
      <c r="DF620" s="105"/>
      <c r="DG620" s="105"/>
      <c r="DH620" s="105"/>
      <c r="DI620" s="105"/>
      <c r="DJ620" s="105"/>
      <c r="DK620" s="105"/>
      <c r="DL620" s="105"/>
      <c r="DM620" s="105"/>
      <c r="DN620" s="105"/>
      <c r="DO620" s="105"/>
      <c r="DP620" s="105"/>
      <c r="DQ620" s="105"/>
      <c r="DR620" s="105"/>
      <c r="DS620" s="105"/>
      <c r="DT620" s="105"/>
      <c r="DU620" s="105"/>
      <c r="DV620" s="105"/>
      <c r="DW620" s="105"/>
      <c r="DX620" s="105"/>
      <c r="DY620" s="105"/>
      <c r="DZ620" s="105"/>
      <c r="EA620" s="105"/>
      <c r="EB620" s="105"/>
      <c r="EC620" s="105"/>
      <c r="ED620" s="105"/>
      <c r="EE620" s="105"/>
      <c r="EF620" s="105"/>
      <c r="EG620" s="105"/>
      <c r="EH620" s="105"/>
      <c r="EI620" s="105"/>
      <c r="EJ620" s="105"/>
      <c r="EK620" s="105"/>
      <c r="EL620" s="105"/>
      <c r="EM620" s="105"/>
      <c r="EN620" s="105"/>
      <c r="EO620" s="105"/>
      <c r="EP620" s="105"/>
      <c r="EQ620" s="105"/>
      <c r="ER620" s="105"/>
      <c r="ES620" s="105"/>
      <c r="ET620" s="105"/>
      <c r="EU620" s="105"/>
      <c r="EV620" s="105"/>
      <c r="EW620" s="105"/>
      <c r="EX620" s="105"/>
      <c r="EY620" s="105"/>
      <c r="EZ620" s="105"/>
      <c r="FA620" s="105"/>
      <c r="FB620" s="105"/>
      <c r="FC620" s="105"/>
      <c r="FD620" s="105"/>
      <c r="FE620" s="105"/>
      <c r="FF620" s="105"/>
      <c r="FG620" s="105"/>
      <c r="FH620" s="105"/>
      <c r="FI620" s="105"/>
      <c r="FJ620" s="105"/>
      <c r="FK620" s="105"/>
      <c r="FL620" s="105"/>
      <c r="FM620" s="105"/>
      <c r="FN620" s="105"/>
      <c r="FO620" s="105"/>
      <c r="FP620" s="105"/>
      <c r="FQ620" s="105"/>
      <c r="FR620" s="105"/>
      <c r="FS620" s="105"/>
      <c r="FT620" s="105"/>
      <c r="FU620" s="105"/>
      <c r="FV620" s="105"/>
      <c r="FW620" s="105"/>
      <c r="FX620" s="105"/>
      <c r="FY620" s="105"/>
      <c r="FZ620" s="105"/>
      <c r="GA620" s="105"/>
      <c r="GB620" s="105"/>
      <c r="GC620" s="105"/>
      <c r="GD620" s="105"/>
      <c r="GE620" s="105"/>
      <c r="GF620" s="105"/>
      <c r="GG620" s="105"/>
      <c r="GH620" s="105"/>
      <c r="GI620" s="105"/>
      <c r="GJ620" s="105"/>
      <c r="GK620" s="105"/>
      <c r="GL620" s="105"/>
      <c r="GM620" s="105"/>
      <c r="GN620" s="105"/>
      <c r="GO620" s="105"/>
      <c r="GP620" s="105"/>
      <c r="GQ620" s="105"/>
      <c r="GR620" s="105"/>
      <c r="GS620" s="105"/>
      <c r="GT620" s="105"/>
      <c r="GU620" s="105"/>
      <c r="GV620" s="105"/>
      <c r="GW620" s="105"/>
      <c r="GX620" s="105"/>
      <c r="GY620" s="105"/>
      <c r="GZ620" s="105"/>
      <c r="HA620" s="105"/>
      <c r="HB620" s="105"/>
      <c r="HC620" s="105"/>
      <c r="HD620" s="105"/>
      <c r="HE620" s="105"/>
      <c r="HF620" s="105"/>
      <c r="HG620" s="105"/>
      <c r="HH620" s="105"/>
      <c r="HI620" s="105"/>
      <c r="HJ620" s="105"/>
      <c r="HK620" s="105"/>
      <c r="HL620" s="105"/>
      <c r="HM620" s="105"/>
      <c r="HN620" s="105"/>
      <c r="HO620" s="105"/>
      <c r="HP620" s="105"/>
      <c r="HQ620" s="105"/>
      <c r="HR620" s="105"/>
      <c r="HS620" s="105"/>
      <c r="HT620" s="105"/>
      <c r="HU620" s="105"/>
      <c r="HV620" s="105"/>
      <c r="HW620" s="105"/>
      <c r="HX620" s="105"/>
      <c r="HY620" s="105"/>
      <c r="HZ620" s="105"/>
      <c r="IA620" s="105"/>
      <c r="IB620" s="105"/>
      <c r="IC620" s="105"/>
      <c r="ID620" s="105"/>
      <c r="IE620" s="105"/>
      <c r="IF620" s="105"/>
      <c r="IG620" s="105"/>
      <c r="IH620" s="105"/>
      <c r="II620" s="105"/>
      <c r="IJ620" s="105"/>
      <c r="IK620" s="105"/>
      <c r="IL620" s="105"/>
      <c r="IM620" s="105"/>
      <c r="IN620" s="105"/>
      <c r="IO620" s="105"/>
      <c r="IP620" s="105"/>
      <c r="IQ620" s="105"/>
      <c r="IR620" s="105"/>
      <c r="IS620" s="105"/>
    </row>
    <row r="621" spans="1:253">
      <c r="A621" s="116"/>
      <c r="B621" s="105"/>
      <c r="C621" s="116"/>
      <c r="D621" s="116"/>
      <c r="E621" s="116"/>
      <c r="F621" s="116"/>
      <c r="G621" s="116"/>
      <c r="H621" s="116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  <c r="BA621" s="105"/>
      <c r="BB621" s="105"/>
      <c r="BC621" s="105"/>
      <c r="BD621" s="105"/>
      <c r="BE621" s="105"/>
      <c r="BF621" s="105"/>
      <c r="BG621" s="105"/>
      <c r="BH621" s="105"/>
      <c r="BI621" s="105"/>
      <c r="BJ621" s="105"/>
      <c r="BK621" s="105"/>
      <c r="BL621" s="105"/>
      <c r="BM621" s="105"/>
      <c r="BN621" s="105"/>
      <c r="BO621" s="105"/>
      <c r="BP621" s="105"/>
      <c r="BQ621" s="105"/>
      <c r="BR621" s="105"/>
      <c r="BS621" s="105"/>
      <c r="BT621" s="105"/>
      <c r="BU621" s="105"/>
      <c r="BV621" s="105"/>
      <c r="BW621" s="105"/>
      <c r="BX621" s="105"/>
      <c r="BY621" s="105"/>
      <c r="BZ621" s="105"/>
      <c r="CA621" s="105"/>
      <c r="CB621" s="105"/>
      <c r="CC621" s="105"/>
      <c r="CD621" s="105"/>
      <c r="CE621" s="105"/>
      <c r="CF621" s="105"/>
      <c r="CG621" s="105"/>
      <c r="CH621" s="105"/>
      <c r="CI621" s="105"/>
      <c r="CJ621" s="105"/>
      <c r="CK621" s="105"/>
      <c r="CL621" s="105"/>
      <c r="CM621" s="105"/>
      <c r="CN621" s="105"/>
      <c r="CO621" s="105"/>
      <c r="CP621" s="105"/>
      <c r="CQ621" s="105"/>
      <c r="CR621" s="105"/>
      <c r="CS621" s="105"/>
      <c r="CT621" s="105"/>
      <c r="CU621" s="105"/>
      <c r="CV621" s="105"/>
      <c r="CW621" s="105"/>
      <c r="CX621" s="105"/>
      <c r="CY621" s="105"/>
      <c r="CZ621" s="105"/>
      <c r="DA621" s="105"/>
      <c r="DB621" s="105"/>
      <c r="DC621" s="105"/>
      <c r="DD621" s="105"/>
      <c r="DE621" s="105"/>
      <c r="DF621" s="105"/>
      <c r="DG621" s="105"/>
      <c r="DH621" s="105"/>
      <c r="DI621" s="105"/>
      <c r="DJ621" s="105"/>
      <c r="DK621" s="105"/>
      <c r="DL621" s="105"/>
      <c r="DM621" s="105"/>
      <c r="DN621" s="105"/>
      <c r="DO621" s="105"/>
      <c r="DP621" s="105"/>
      <c r="DQ621" s="105"/>
      <c r="DR621" s="105"/>
      <c r="DS621" s="105"/>
      <c r="DT621" s="105"/>
      <c r="DU621" s="105"/>
      <c r="DV621" s="105"/>
      <c r="DW621" s="105"/>
      <c r="DX621" s="105"/>
      <c r="DY621" s="105"/>
      <c r="DZ621" s="105"/>
      <c r="EA621" s="105"/>
      <c r="EB621" s="105"/>
      <c r="EC621" s="105"/>
      <c r="ED621" s="105"/>
      <c r="EE621" s="105"/>
      <c r="EF621" s="105"/>
      <c r="EG621" s="105"/>
      <c r="EH621" s="105"/>
      <c r="EI621" s="105"/>
      <c r="EJ621" s="105"/>
      <c r="EK621" s="105"/>
      <c r="EL621" s="105"/>
      <c r="EM621" s="105"/>
      <c r="EN621" s="105"/>
      <c r="EO621" s="105"/>
      <c r="EP621" s="105"/>
      <c r="EQ621" s="105"/>
      <c r="ER621" s="105"/>
      <c r="ES621" s="105"/>
      <c r="ET621" s="105"/>
      <c r="EU621" s="105"/>
      <c r="EV621" s="105"/>
      <c r="EW621" s="105"/>
      <c r="EX621" s="105"/>
      <c r="EY621" s="105"/>
      <c r="EZ621" s="105"/>
      <c r="FA621" s="105"/>
      <c r="FB621" s="105"/>
      <c r="FC621" s="105"/>
      <c r="FD621" s="105"/>
      <c r="FE621" s="105"/>
      <c r="FF621" s="105"/>
      <c r="FG621" s="105"/>
      <c r="FH621" s="105"/>
      <c r="FI621" s="105"/>
      <c r="FJ621" s="105"/>
      <c r="FK621" s="105"/>
      <c r="FL621" s="105"/>
      <c r="FM621" s="105"/>
      <c r="FN621" s="105"/>
      <c r="FO621" s="105"/>
      <c r="FP621" s="105"/>
      <c r="FQ621" s="105"/>
      <c r="FR621" s="105"/>
      <c r="FS621" s="105"/>
      <c r="FT621" s="105"/>
      <c r="FU621" s="105"/>
      <c r="FV621" s="105"/>
      <c r="FW621" s="105"/>
      <c r="FX621" s="105"/>
      <c r="FY621" s="105"/>
      <c r="FZ621" s="105"/>
      <c r="GA621" s="105"/>
      <c r="GB621" s="105"/>
      <c r="GC621" s="105"/>
      <c r="GD621" s="105"/>
      <c r="GE621" s="105"/>
      <c r="GF621" s="105"/>
      <c r="GG621" s="105"/>
      <c r="GH621" s="105"/>
      <c r="GI621" s="105"/>
      <c r="GJ621" s="105"/>
      <c r="GK621" s="105"/>
      <c r="GL621" s="105"/>
      <c r="GM621" s="105"/>
      <c r="GN621" s="105"/>
      <c r="GO621" s="105"/>
      <c r="GP621" s="105"/>
      <c r="GQ621" s="105"/>
      <c r="GR621" s="105"/>
      <c r="GS621" s="105"/>
      <c r="GT621" s="105"/>
      <c r="GU621" s="105"/>
      <c r="GV621" s="105"/>
      <c r="GW621" s="105"/>
      <c r="GX621" s="105"/>
      <c r="GY621" s="105"/>
      <c r="GZ621" s="105"/>
      <c r="HA621" s="105"/>
      <c r="HB621" s="105"/>
      <c r="HC621" s="105"/>
      <c r="HD621" s="105"/>
      <c r="HE621" s="105"/>
      <c r="HF621" s="105"/>
      <c r="HG621" s="105"/>
      <c r="HH621" s="105"/>
      <c r="HI621" s="105"/>
      <c r="HJ621" s="105"/>
      <c r="HK621" s="105"/>
      <c r="HL621" s="105"/>
      <c r="HM621" s="105"/>
      <c r="HN621" s="105"/>
      <c r="HO621" s="105"/>
      <c r="HP621" s="105"/>
      <c r="HQ621" s="105"/>
      <c r="HR621" s="105"/>
      <c r="HS621" s="105"/>
      <c r="HT621" s="105"/>
      <c r="HU621" s="105"/>
      <c r="HV621" s="105"/>
      <c r="HW621" s="105"/>
      <c r="HX621" s="105"/>
      <c r="HY621" s="105"/>
      <c r="HZ621" s="105"/>
      <c r="IA621" s="105"/>
      <c r="IB621" s="105"/>
      <c r="IC621" s="105"/>
      <c r="ID621" s="105"/>
      <c r="IE621" s="105"/>
      <c r="IF621" s="105"/>
      <c r="IG621" s="105"/>
      <c r="IH621" s="105"/>
      <c r="II621" s="105"/>
      <c r="IJ621" s="105"/>
      <c r="IK621" s="105"/>
      <c r="IL621" s="105"/>
      <c r="IM621" s="105"/>
      <c r="IN621" s="105"/>
      <c r="IO621" s="105"/>
      <c r="IP621" s="105"/>
      <c r="IQ621" s="105"/>
      <c r="IR621" s="105"/>
      <c r="IS621" s="105"/>
    </row>
    <row r="622" spans="1:253">
      <c r="A622" s="116"/>
      <c r="B622" s="105"/>
      <c r="C622" s="116"/>
      <c r="D622" s="116"/>
      <c r="E622" s="116"/>
      <c r="F622" s="116"/>
      <c r="G622" s="116"/>
      <c r="H622" s="116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05"/>
      <c r="BF622" s="105"/>
      <c r="BG622" s="105"/>
      <c r="BH622" s="105"/>
      <c r="BI622" s="105"/>
      <c r="BJ622" s="105"/>
      <c r="BK622" s="105"/>
      <c r="BL622" s="105"/>
      <c r="BM622" s="105"/>
      <c r="BN622" s="105"/>
      <c r="BO622" s="105"/>
      <c r="BP622" s="105"/>
      <c r="BQ622" s="105"/>
      <c r="BR622" s="105"/>
      <c r="BS622" s="105"/>
      <c r="BT622" s="105"/>
      <c r="BU622" s="105"/>
      <c r="BV622" s="105"/>
      <c r="BW622" s="105"/>
      <c r="BX622" s="105"/>
      <c r="BY622" s="105"/>
      <c r="BZ622" s="105"/>
      <c r="CA622" s="105"/>
      <c r="CB622" s="105"/>
      <c r="CC622" s="105"/>
      <c r="CD622" s="105"/>
      <c r="CE622" s="105"/>
      <c r="CF622" s="105"/>
      <c r="CG622" s="105"/>
      <c r="CH622" s="105"/>
      <c r="CI622" s="105"/>
      <c r="CJ622" s="105"/>
      <c r="CK622" s="105"/>
      <c r="CL622" s="105"/>
      <c r="CM622" s="105"/>
      <c r="CN622" s="105"/>
      <c r="CO622" s="105"/>
      <c r="CP622" s="105"/>
      <c r="CQ622" s="105"/>
      <c r="CR622" s="105"/>
      <c r="CS622" s="105"/>
      <c r="CT622" s="105"/>
      <c r="CU622" s="105"/>
      <c r="CV622" s="105"/>
      <c r="CW622" s="105"/>
      <c r="CX622" s="105"/>
      <c r="CY622" s="105"/>
      <c r="CZ622" s="105"/>
      <c r="DA622" s="105"/>
      <c r="DB622" s="105"/>
      <c r="DC622" s="105"/>
      <c r="DD622" s="105"/>
      <c r="DE622" s="105"/>
      <c r="DF622" s="105"/>
      <c r="DG622" s="105"/>
      <c r="DH622" s="105"/>
      <c r="DI622" s="105"/>
      <c r="DJ622" s="105"/>
      <c r="DK622" s="105"/>
      <c r="DL622" s="105"/>
      <c r="DM622" s="105"/>
      <c r="DN622" s="105"/>
      <c r="DO622" s="105"/>
      <c r="DP622" s="105"/>
      <c r="DQ622" s="105"/>
      <c r="DR622" s="105"/>
      <c r="DS622" s="105"/>
      <c r="DT622" s="105"/>
      <c r="DU622" s="105"/>
      <c r="DV622" s="105"/>
      <c r="DW622" s="105"/>
      <c r="DX622" s="105"/>
      <c r="DY622" s="105"/>
      <c r="DZ622" s="105"/>
      <c r="EA622" s="105"/>
      <c r="EB622" s="105"/>
      <c r="EC622" s="105"/>
      <c r="ED622" s="105"/>
      <c r="EE622" s="105"/>
      <c r="EF622" s="105"/>
      <c r="EG622" s="105"/>
      <c r="EH622" s="105"/>
      <c r="EI622" s="105"/>
      <c r="EJ622" s="105"/>
      <c r="EK622" s="105"/>
      <c r="EL622" s="105"/>
      <c r="EM622" s="105"/>
      <c r="EN622" s="105"/>
      <c r="EO622" s="105"/>
      <c r="EP622" s="105"/>
      <c r="EQ622" s="105"/>
      <c r="ER622" s="105"/>
      <c r="ES622" s="105"/>
      <c r="ET622" s="105"/>
      <c r="EU622" s="105"/>
      <c r="EV622" s="105"/>
      <c r="EW622" s="105"/>
      <c r="EX622" s="105"/>
      <c r="EY622" s="105"/>
      <c r="EZ622" s="105"/>
      <c r="FA622" s="105"/>
      <c r="FB622" s="105"/>
      <c r="FC622" s="105"/>
      <c r="FD622" s="105"/>
      <c r="FE622" s="105"/>
      <c r="FF622" s="105"/>
      <c r="FG622" s="105"/>
      <c r="FH622" s="105"/>
      <c r="FI622" s="105"/>
      <c r="FJ622" s="105"/>
      <c r="FK622" s="105"/>
      <c r="FL622" s="105"/>
      <c r="FM622" s="105"/>
      <c r="FN622" s="105"/>
      <c r="FO622" s="105"/>
      <c r="FP622" s="105"/>
      <c r="FQ622" s="105"/>
      <c r="FR622" s="105"/>
      <c r="FS622" s="105"/>
      <c r="FT622" s="105"/>
      <c r="FU622" s="105"/>
      <c r="FV622" s="105"/>
      <c r="FW622" s="105"/>
      <c r="FX622" s="105"/>
      <c r="FY622" s="105"/>
      <c r="FZ622" s="105"/>
      <c r="GA622" s="105"/>
      <c r="GB622" s="105"/>
      <c r="GC622" s="105"/>
      <c r="GD622" s="105"/>
      <c r="GE622" s="105"/>
      <c r="GF622" s="105"/>
      <c r="GG622" s="105"/>
      <c r="GH622" s="105"/>
      <c r="GI622" s="105"/>
      <c r="GJ622" s="105"/>
      <c r="GK622" s="105"/>
      <c r="GL622" s="105"/>
      <c r="GM622" s="105"/>
      <c r="GN622" s="105"/>
      <c r="GO622" s="105"/>
      <c r="GP622" s="105"/>
      <c r="GQ622" s="105"/>
      <c r="GR622" s="105"/>
      <c r="GS622" s="105"/>
      <c r="GT622" s="105"/>
      <c r="GU622" s="105"/>
      <c r="GV622" s="105"/>
      <c r="GW622" s="105"/>
      <c r="GX622" s="105"/>
      <c r="GY622" s="105"/>
      <c r="GZ622" s="105"/>
      <c r="HA622" s="105"/>
      <c r="HB622" s="105"/>
      <c r="HC622" s="105"/>
      <c r="HD622" s="105"/>
      <c r="HE622" s="105"/>
      <c r="HF622" s="105"/>
      <c r="HG622" s="105"/>
      <c r="HH622" s="105"/>
      <c r="HI622" s="105"/>
      <c r="HJ622" s="105"/>
      <c r="HK622" s="105"/>
      <c r="HL622" s="105"/>
      <c r="HM622" s="105"/>
      <c r="HN622" s="105"/>
      <c r="HO622" s="105"/>
      <c r="HP622" s="105"/>
      <c r="HQ622" s="105"/>
      <c r="HR622" s="105"/>
      <c r="HS622" s="105"/>
      <c r="HT622" s="105"/>
      <c r="HU622" s="105"/>
      <c r="HV622" s="105"/>
      <c r="HW622" s="105"/>
      <c r="HX622" s="105"/>
      <c r="HY622" s="105"/>
      <c r="HZ622" s="105"/>
      <c r="IA622" s="105"/>
      <c r="IB622" s="105"/>
      <c r="IC622" s="105"/>
      <c r="ID622" s="105"/>
      <c r="IE622" s="105"/>
      <c r="IF622" s="105"/>
      <c r="IG622" s="105"/>
      <c r="IH622" s="105"/>
      <c r="II622" s="105"/>
      <c r="IJ622" s="105"/>
      <c r="IK622" s="105"/>
      <c r="IL622" s="105"/>
      <c r="IM622" s="105"/>
      <c r="IN622" s="105"/>
      <c r="IO622" s="105"/>
      <c r="IP622" s="105"/>
      <c r="IQ622" s="105"/>
      <c r="IR622" s="105"/>
      <c r="IS622" s="105"/>
    </row>
    <row r="623" spans="1:253">
      <c r="A623" s="116"/>
      <c r="B623" s="105"/>
      <c r="C623" s="116"/>
      <c r="D623" s="116"/>
      <c r="E623" s="116"/>
      <c r="F623" s="116"/>
      <c r="G623" s="116"/>
      <c r="H623" s="116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105"/>
      <c r="BB623" s="105"/>
      <c r="BC623" s="105"/>
      <c r="BD623" s="105"/>
      <c r="BE623" s="105"/>
      <c r="BF623" s="105"/>
      <c r="BG623" s="105"/>
      <c r="BH623" s="105"/>
      <c r="BI623" s="105"/>
      <c r="BJ623" s="105"/>
      <c r="BK623" s="105"/>
      <c r="BL623" s="105"/>
      <c r="BM623" s="105"/>
      <c r="BN623" s="105"/>
      <c r="BO623" s="105"/>
      <c r="BP623" s="105"/>
      <c r="BQ623" s="105"/>
      <c r="BR623" s="105"/>
      <c r="BS623" s="105"/>
      <c r="BT623" s="105"/>
      <c r="BU623" s="105"/>
      <c r="BV623" s="105"/>
      <c r="BW623" s="105"/>
      <c r="BX623" s="105"/>
      <c r="BY623" s="105"/>
      <c r="BZ623" s="105"/>
      <c r="CA623" s="105"/>
      <c r="CB623" s="105"/>
      <c r="CC623" s="105"/>
      <c r="CD623" s="105"/>
      <c r="CE623" s="105"/>
      <c r="CF623" s="105"/>
      <c r="CG623" s="105"/>
      <c r="CH623" s="105"/>
      <c r="CI623" s="105"/>
      <c r="CJ623" s="105"/>
      <c r="CK623" s="105"/>
      <c r="CL623" s="105"/>
      <c r="CM623" s="105"/>
      <c r="CN623" s="105"/>
      <c r="CO623" s="105"/>
      <c r="CP623" s="105"/>
      <c r="CQ623" s="105"/>
      <c r="CR623" s="105"/>
      <c r="CS623" s="105"/>
      <c r="CT623" s="105"/>
      <c r="CU623" s="105"/>
      <c r="CV623" s="105"/>
      <c r="CW623" s="105"/>
      <c r="CX623" s="105"/>
      <c r="CY623" s="105"/>
      <c r="CZ623" s="105"/>
      <c r="DA623" s="105"/>
      <c r="DB623" s="105"/>
      <c r="DC623" s="105"/>
      <c r="DD623" s="105"/>
      <c r="DE623" s="105"/>
      <c r="DF623" s="105"/>
      <c r="DG623" s="105"/>
      <c r="DH623" s="105"/>
      <c r="DI623" s="105"/>
      <c r="DJ623" s="105"/>
      <c r="DK623" s="105"/>
      <c r="DL623" s="105"/>
      <c r="DM623" s="105"/>
      <c r="DN623" s="105"/>
      <c r="DO623" s="105"/>
      <c r="DP623" s="105"/>
      <c r="DQ623" s="105"/>
      <c r="DR623" s="105"/>
      <c r="DS623" s="105"/>
      <c r="DT623" s="105"/>
      <c r="DU623" s="105"/>
      <c r="DV623" s="105"/>
      <c r="DW623" s="105"/>
      <c r="DX623" s="105"/>
      <c r="DY623" s="105"/>
      <c r="DZ623" s="105"/>
      <c r="EA623" s="105"/>
      <c r="EB623" s="105"/>
      <c r="EC623" s="105"/>
      <c r="ED623" s="105"/>
      <c r="EE623" s="105"/>
      <c r="EF623" s="105"/>
      <c r="EG623" s="105"/>
      <c r="EH623" s="105"/>
      <c r="EI623" s="105"/>
      <c r="EJ623" s="105"/>
      <c r="EK623" s="105"/>
      <c r="EL623" s="105"/>
      <c r="EM623" s="105"/>
      <c r="EN623" s="105"/>
      <c r="EO623" s="105"/>
      <c r="EP623" s="105"/>
      <c r="EQ623" s="105"/>
      <c r="ER623" s="105"/>
      <c r="ES623" s="105"/>
      <c r="ET623" s="105"/>
      <c r="EU623" s="105"/>
      <c r="EV623" s="105"/>
      <c r="EW623" s="105"/>
      <c r="EX623" s="105"/>
      <c r="EY623" s="105"/>
      <c r="EZ623" s="105"/>
      <c r="FA623" s="105"/>
      <c r="FB623" s="105"/>
      <c r="FC623" s="105"/>
      <c r="FD623" s="105"/>
      <c r="FE623" s="105"/>
      <c r="FF623" s="105"/>
      <c r="FG623" s="105"/>
      <c r="FH623" s="105"/>
      <c r="FI623" s="105"/>
      <c r="FJ623" s="105"/>
      <c r="FK623" s="105"/>
      <c r="FL623" s="105"/>
      <c r="FM623" s="105"/>
      <c r="FN623" s="105"/>
      <c r="FO623" s="105"/>
      <c r="FP623" s="105"/>
      <c r="FQ623" s="105"/>
      <c r="FR623" s="105"/>
      <c r="FS623" s="105"/>
      <c r="FT623" s="105"/>
      <c r="FU623" s="105"/>
      <c r="FV623" s="105"/>
      <c r="FW623" s="105"/>
      <c r="FX623" s="105"/>
      <c r="FY623" s="105"/>
      <c r="FZ623" s="105"/>
      <c r="GA623" s="105"/>
      <c r="GB623" s="105"/>
      <c r="GC623" s="105"/>
      <c r="GD623" s="105"/>
      <c r="GE623" s="105"/>
      <c r="GF623" s="105"/>
      <c r="GG623" s="105"/>
      <c r="GH623" s="105"/>
      <c r="GI623" s="105"/>
      <c r="GJ623" s="105"/>
      <c r="GK623" s="105"/>
      <c r="GL623" s="105"/>
      <c r="GM623" s="105"/>
      <c r="GN623" s="105"/>
      <c r="GO623" s="105"/>
      <c r="GP623" s="105"/>
      <c r="GQ623" s="105"/>
      <c r="GR623" s="105"/>
      <c r="GS623" s="105"/>
      <c r="GT623" s="105"/>
      <c r="GU623" s="105"/>
      <c r="GV623" s="105"/>
      <c r="GW623" s="105"/>
      <c r="GX623" s="105"/>
      <c r="GY623" s="105"/>
      <c r="GZ623" s="105"/>
      <c r="HA623" s="105"/>
      <c r="HB623" s="105"/>
      <c r="HC623" s="105"/>
      <c r="HD623" s="105"/>
      <c r="HE623" s="105"/>
      <c r="HF623" s="105"/>
      <c r="HG623" s="105"/>
      <c r="HH623" s="105"/>
      <c r="HI623" s="105"/>
      <c r="HJ623" s="105"/>
      <c r="HK623" s="105"/>
      <c r="HL623" s="105"/>
      <c r="HM623" s="105"/>
      <c r="HN623" s="105"/>
      <c r="HO623" s="105"/>
      <c r="HP623" s="105"/>
      <c r="HQ623" s="105"/>
      <c r="HR623" s="105"/>
      <c r="HS623" s="105"/>
      <c r="HT623" s="105"/>
      <c r="HU623" s="105"/>
      <c r="HV623" s="105"/>
      <c r="HW623" s="105"/>
      <c r="HX623" s="105"/>
      <c r="HY623" s="105"/>
      <c r="HZ623" s="105"/>
      <c r="IA623" s="105"/>
      <c r="IB623" s="105"/>
      <c r="IC623" s="105"/>
      <c r="ID623" s="105"/>
      <c r="IE623" s="105"/>
      <c r="IF623" s="105"/>
      <c r="IG623" s="105"/>
      <c r="IH623" s="105"/>
      <c r="II623" s="105"/>
      <c r="IJ623" s="105"/>
      <c r="IK623" s="105"/>
      <c r="IL623" s="105"/>
      <c r="IM623" s="105"/>
      <c r="IN623" s="105"/>
      <c r="IO623" s="105"/>
      <c r="IP623" s="105"/>
      <c r="IQ623" s="105"/>
      <c r="IR623" s="105"/>
      <c r="IS623" s="105"/>
    </row>
    <row r="624" spans="1:253">
      <c r="A624" s="116"/>
      <c r="B624" s="105"/>
      <c r="C624" s="116"/>
      <c r="D624" s="116"/>
      <c r="E624" s="116"/>
      <c r="F624" s="116"/>
      <c r="G624" s="116"/>
      <c r="H624" s="116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05"/>
      <c r="BF624" s="105"/>
      <c r="BG624" s="105"/>
      <c r="BH624" s="105"/>
      <c r="BI624" s="105"/>
      <c r="BJ624" s="105"/>
      <c r="BK624" s="105"/>
      <c r="BL624" s="105"/>
      <c r="BM624" s="105"/>
      <c r="BN624" s="105"/>
      <c r="BO624" s="105"/>
      <c r="BP624" s="105"/>
      <c r="BQ624" s="105"/>
      <c r="BR624" s="105"/>
      <c r="BS624" s="105"/>
      <c r="BT624" s="105"/>
      <c r="BU624" s="105"/>
      <c r="BV624" s="105"/>
      <c r="BW624" s="105"/>
      <c r="BX624" s="105"/>
      <c r="BY624" s="105"/>
      <c r="BZ624" s="105"/>
      <c r="CA624" s="105"/>
      <c r="CB624" s="105"/>
      <c r="CC624" s="105"/>
      <c r="CD624" s="105"/>
      <c r="CE624" s="105"/>
      <c r="CF624" s="105"/>
      <c r="CG624" s="105"/>
      <c r="CH624" s="105"/>
      <c r="CI624" s="105"/>
      <c r="CJ624" s="105"/>
      <c r="CK624" s="105"/>
      <c r="CL624" s="105"/>
      <c r="CM624" s="105"/>
      <c r="CN624" s="105"/>
      <c r="CO624" s="105"/>
      <c r="CP624" s="105"/>
      <c r="CQ624" s="105"/>
      <c r="CR624" s="105"/>
      <c r="CS624" s="105"/>
      <c r="CT624" s="105"/>
      <c r="CU624" s="105"/>
      <c r="CV624" s="105"/>
      <c r="CW624" s="105"/>
      <c r="CX624" s="105"/>
      <c r="CY624" s="105"/>
      <c r="CZ624" s="105"/>
      <c r="DA624" s="105"/>
      <c r="DB624" s="105"/>
      <c r="DC624" s="105"/>
      <c r="DD624" s="105"/>
      <c r="DE624" s="105"/>
      <c r="DF624" s="105"/>
      <c r="DG624" s="105"/>
      <c r="DH624" s="105"/>
      <c r="DI624" s="105"/>
      <c r="DJ624" s="105"/>
      <c r="DK624" s="105"/>
      <c r="DL624" s="105"/>
      <c r="DM624" s="105"/>
      <c r="DN624" s="105"/>
      <c r="DO624" s="105"/>
      <c r="DP624" s="105"/>
      <c r="DQ624" s="105"/>
      <c r="DR624" s="105"/>
      <c r="DS624" s="105"/>
      <c r="DT624" s="105"/>
      <c r="DU624" s="105"/>
      <c r="DV624" s="105"/>
      <c r="DW624" s="105"/>
      <c r="DX624" s="105"/>
      <c r="DY624" s="105"/>
      <c r="DZ624" s="105"/>
      <c r="EA624" s="105"/>
      <c r="EB624" s="105"/>
      <c r="EC624" s="105"/>
      <c r="ED624" s="105"/>
      <c r="EE624" s="105"/>
      <c r="EF624" s="105"/>
      <c r="EG624" s="105"/>
      <c r="EH624" s="105"/>
      <c r="EI624" s="105"/>
      <c r="EJ624" s="105"/>
      <c r="EK624" s="105"/>
      <c r="EL624" s="105"/>
      <c r="EM624" s="105"/>
      <c r="EN624" s="105"/>
      <c r="EO624" s="105"/>
      <c r="EP624" s="105"/>
      <c r="EQ624" s="105"/>
      <c r="ER624" s="105"/>
      <c r="ES624" s="105"/>
      <c r="ET624" s="105"/>
      <c r="EU624" s="105"/>
      <c r="EV624" s="105"/>
      <c r="EW624" s="105"/>
      <c r="EX624" s="105"/>
      <c r="EY624" s="105"/>
      <c r="EZ624" s="105"/>
      <c r="FA624" s="105"/>
      <c r="FB624" s="105"/>
      <c r="FC624" s="105"/>
      <c r="FD624" s="105"/>
      <c r="FE624" s="105"/>
      <c r="FF624" s="105"/>
      <c r="FG624" s="105"/>
      <c r="FH624" s="105"/>
      <c r="FI624" s="105"/>
      <c r="FJ624" s="105"/>
      <c r="FK624" s="105"/>
      <c r="FL624" s="105"/>
      <c r="FM624" s="105"/>
      <c r="FN624" s="105"/>
      <c r="FO624" s="105"/>
      <c r="FP624" s="105"/>
      <c r="FQ624" s="105"/>
      <c r="FR624" s="105"/>
      <c r="FS624" s="105"/>
      <c r="FT624" s="105"/>
      <c r="FU624" s="105"/>
      <c r="FV624" s="105"/>
      <c r="FW624" s="105"/>
      <c r="FX624" s="105"/>
      <c r="FY624" s="105"/>
      <c r="FZ624" s="105"/>
      <c r="GA624" s="105"/>
      <c r="GB624" s="105"/>
      <c r="GC624" s="105"/>
      <c r="GD624" s="105"/>
      <c r="GE624" s="105"/>
      <c r="GF624" s="105"/>
      <c r="GG624" s="105"/>
      <c r="GH624" s="105"/>
      <c r="GI624" s="105"/>
      <c r="GJ624" s="105"/>
      <c r="GK624" s="105"/>
      <c r="GL624" s="105"/>
      <c r="GM624" s="105"/>
      <c r="GN624" s="105"/>
      <c r="GO624" s="105"/>
      <c r="GP624" s="105"/>
      <c r="GQ624" s="105"/>
      <c r="GR624" s="105"/>
      <c r="GS624" s="105"/>
      <c r="GT624" s="105"/>
      <c r="GU624" s="105"/>
      <c r="GV624" s="105"/>
      <c r="GW624" s="105"/>
      <c r="GX624" s="105"/>
      <c r="GY624" s="105"/>
      <c r="GZ624" s="105"/>
      <c r="HA624" s="105"/>
      <c r="HB624" s="105"/>
      <c r="HC624" s="105"/>
      <c r="HD624" s="105"/>
      <c r="HE624" s="105"/>
      <c r="HF624" s="105"/>
      <c r="HG624" s="105"/>
      <c r="HH624" s="105"/>
      <c r="HI624" s="105"/>
      <c r="HJ624" s="105"/>
      <c r="HK624" s="105"/>
      <c r="HL624" s="105"/>
      <c r="HM624" s="105"/>
      <c r="HN624" s="105"/>
      <c r="HO624" s="105"/>
      <c r="HP624" s="105"/>
      <c r="HQ624" s="105"/>
      <c r="HR624" s="105"/>
      <c r="HS624" s="105"/>
      <c r="HT624" s="105"/>
      <c r="HU624" s="105"/>
      <c r="HV624" s="105"/>
      <c r="HW624" s="105"/>
      <c r="HX624" s="105"/>
      <c r="HY624" s="105"/>
      <c r="HZ624" s="105"/>
      <c r="IA624" s="105"/>
      <c r="IB624" s="105"/>
      <c r="IC624" s="105"/>
      <c r="ID624" s="105"/>
      <c r="IE624" s="105"/>
      <c r="IF624" s="105"/>
      <c r="IG624" s="105"/>
      <c r="IH624" s="105"/>
      <c r="II624" s="105"/>
      <c r="IJ624" s="105"/>
      <c r="IK624" s="105"/>
      <c r="IL624" s="105"/>
      <c r="IM624" s="105"/>
      <c r="IN624" s="105"/>
      <c r="IO624" s="105"/>
      <c r="IP624" s="105"/>
      <c r="IQ624" s="105"/>
      <c r="IR624" s="105"/>
      <c r="IS624" s="105"/>
    </row>
    <row r="625" spans="1:253">
      <c r="A625" s="116"/>
      <c r="B625" s="105"/>
      <c r="C625" s="116"/>
      <c r="D625" s="116"/>
      <c r="E625" s="116"/>
      <c r="F625" s="116"/>
      <c r="G625" s="116"/>
      <c r="H625" s="116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105"/>
      <c r="BA625" s="105"/>
      <c r="BB625" s="105"/>
      <c r="BC625" s="105"/>
      <c r="BD625" s="105"/>
      <c r="BE625" s="105"/>
      <c r="BF625" s="105"/>
      <c r="BG625" s="105"/>
      <c r="BH625" s="105"/>
      <c r="BI625" s="105"/>
      <c r="BJ625" s="105"/>
      <c r="BK625" s="105"/>
      <c r="BL625" s="105"/>
      <c r="BM625" s="105"/>
      <c r="BN625" s="105"/>
      <c r="BO625" s="105"/>
      <c r="BP625" s="105"/>
      <c r="BQ625" s="105"/>
      <c r="BR625" s="105"/>
      <c r="BS625" s="105"/>
      <c r="BT625" s="105"/>
      <c r="BU625" s="105"/>
      <c r="BV625" s="105"/>
      <c r="BW625" s="105"/>
      <c r="BX625" s="105"/>
      <c r="BY625" s="105"/>
      <c r="BZ625" s="105"/>
      <c r="CA625" s="105"/>
      <c r="CB625" s="105"/>
      <c r="CC625" s="105"/>
      <c r="CD625" s="105"/>
      <c r="CE625" s="105"/>
      <c r="CF625" s="105"/>
      <c r="CG625" s="105"/>
      <c r="CH625" s="105"/>
      <c r="CI625" s="105"/>
      <c r="CJ625" s="105"/>
      <c r="CK625" s="105"/>
      <c r="CL625" s="105"/>
      <c r="CM625" s="105"/>
      <c r="CN625" s="105"/>
      <c r="CO625" s="105"/>
      <c r="CP625" s="105"/>
      <c r="CQ625" s="105"/>
      <c r="CR625" s="105"/>
      <c r="CS625" s="105"/>
      <c r="CT625" s="105"/>
      <c r="CU625" s="105"/>
      <c r="CV625" s="105"/>
      <c r="CW625" s="105"/>
      <c r="CX625" s="105"/>
      <c r="CY625" s="105"/>
      <c r="CZ625" s="105"/>
      <c r="DA625" s="105"/>
      <c r="DB625" s="105"/>
      <c r="DC625" s="105"/>
      <c r="DD625" s="105"/>
      <c r="DE625" s="105"/>
      <c r="DF625" s="105"/>
      <c r="DG625" s="105"/>
      <c r="DH625" s="105"/>
      <c r="DI625" s="105"/>
      <c r="DJ625" s="105"/>
      <c r="DK625" s="105"/>
      <c r="DL625" s="105"/>
      <c r="DM625" s="105"/>
      <c r="DN625" s="105"/>
      <c r="DO625" s="105"/>
      <c r="DP625" s="105"/>
      <c r="DQ625" s="105"/>
      <c r="DR625" s="105"/>
      <c r="DS625" s="105"/>
      <c r="DT625" s="105"/>
      <c r="DU625" s="105"/>
      <c r="DV625" s="105"/>
      <c r="DW625" s="105"/>
      <c r="DX625" s="105"/>
      <c r="DY625" s="105"/>
      <c r="DZ625" s="105"/>
      <c r="EA625" s="105"/>
      <c r="EB625" s="105"/>
      <c r="EC625" s="105"/>
      <c r="ED625" s="105"/>
      <c r="EE625" s="105"/>
      <c r="EF625" s="105"/>
      <c r="EG625" s="105"/>
      <c r="EH625" s="105"/>
      <c r="EI625" s="105"/>
      <c r="EJ625" s="105"/>
      <c r="EK625" s="105"/>
      <c r="EL625" s="105"/>
      <c r="EM625" s="105"/>
      <c r="EN625" s="105"/>
      <c r="EO625" s="105"/>
      <c r="EP625" s="105"/>
      <c r="EQ625" s="105"/>
      <c r="ER625" s="105"/>
      <c r="ES625" s="105"/>
      <c r="ET625" s="105"/>
      <c r="EU625" s="105"/>
      <c r="EV625" s="105"/>
      <c r="EW625" s="105"/>
      <c r="EX625" s="105"/>
      <c r="EY625" s="105"/>
      <c r="EZ625" s="105"/>
      <c r="FA625" s="105"/>
      <c r="FB625" s="105"/>
      <c r="FC625" s="105"/>
      <c r="FD625" s="105"/>
      <c r="FE625" s="105"/>
      <c r="FF625" s="105"/>
      <c r="FG625" s="105"/>
      <c r="FH625" s="105"/>
      <c r="FI625" s="105"/>
      <c r="FJ625" s="105"/>
      <c r="FK625" s="105"/>
      <c r="FL625" s="105"/>
      <c r="FM625" s="105"/>
      <c r="FN625" s="105"/>
      <c r="FO625" s="105"/>
      <c r="FP625" s="105"/>
      <c r="FQ625" s="105"/>
      <c r="FR625" s="105"/>
      <c r="FS625" s="105"/>
      <c r="FT625" s="105"/>
      <c r="FU625" s="105"/>
      <c r="FV625" s="105"/>
      <c r="FW625" s="105"/>
      <c r="FX625" s="105"/>
      <c r="FY625" s="105"/>
      <c r="FZ625" s="105"/>
      <c r="GA625" s="105"/>
      <c r="GB625" s="105"/>
      <c r="GC625" s="105"/>
      <c r="GD625" s="105"/>
      <c r="GE625" s="105"/>
      <c r="GF625" s="105"/>
      <c r="GG625" s="105"/>
      <c r="GH625" s="105"/>
      <c r="GI625" s="105"/>
      <c r="GJ625" s="105"/>
      <c r="GK625" s="105"/>
      <c r="GL625" s="105"/>
      <c r="GM625" s="105"/>
      <c r="GN625" s="105"/>
      <c r="GO625" s="105"/>
      <c r="GP625" s="105"/>
      <c r="GQ625" s="105"/>
      <c r="GR625" s="105"/>
      <c r="GS625" s="105"/>
      <c r="GT625" s="105"/>
      <c r="GU625" s="105"/>
      <c r="GV625" s="105"/>
      <c r="GW625" s="105"/>
      <c r="GX625" s="105"/>
      <c r="GY625" s="105"/>
      <c r="GZ625" s="105"/>
      <c r="HA625" s="105"/>
      <c r="HB625" s="105"/>
      <c r="HC625" s="105"/>
      <c r="HD625" s="105"/>
      <c r="HE625" s="105"/>
      <c r="HF625" s="105"/>
      <c r="HG625" s="105"/>
      <c r="HH625" s="105"/>
      <c r="HI625" s="105"/>
      <c r="HJ625" s="105"/>
      <c r="HK625" s="105"/>
      <c r="HL625" s="105"/>
      <c r="HM625" s="105"/>
      <c r="HN625" s="105"/>
      <c r="HO625" s="105"/>
      <c r="HP625" s="105"/>
      <c r="HQ625" s="105"/>
      <c r="HR625" s="105"/>
      <c r="HS625" s="105"/>
      <c r="HT625" s="105"/>
      <c r="HU625" s="105"/>
      <c r="HV625" s="105"/>
      <c r="HW625" s="105"/>
      <c r="HX625" s="105"/>
      <c r="HY625" s="105"/>
      <c r="HZ625" s="105"/>
      <c r="IA625" s="105"/>
      <c r="IB625" s="105"/>
      <c r="IC625" s="105"/>
      <c r="ID625" s="105"/>
      <c r="IE625" s="105"/>
      <c r="IF625" s="105"/>
      <c r="IG625" s="105"/>
      <c r="IH625" s="105"/>
      <c r="II625" s="105"/>
      <c r="IJ625" s="105"/>
      <c r="IK625" s="105"/>
      <c r="IL625" s="105"/>
      <c r="IM625" s="105"/>
      <c r="IN625" s="105"/>
      <c r="IO625" s="105"/>
      <c r="IP625" s="105"/>
      <c r="IQ625" s="105"/>
      <c r="IR625" s="105"/>
      <c r="IS625" s="105"/>
    </row>
    <row r="626" spans="1:253">
      <c r="A626" s="116"/>
      <c r="B626" s="105"/>
      <c r="C626" s="116"/>
      <c r="D626" s="116"/>
      <c r="E626" s="116"/>
      <c r="F626" s="116"/>
      <c r="G626" s="116"/>
      <c r="H626" s="116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05"/>
      <c r="BF626" s="105"/>
      <c r="BG626" s="105"/>
      <c r="BH626" s="105"/>
      <c r="BI626" s="105"/>
      <c r="BJ626" s="105"/>
      <c r="BK626" s="105"/>
      <c r="BL626" s="105"/>
      <c r="BM626" s="105"/>
      <c r="BN626" s="105"/>
      <c r="BO626" s="105"/>
      <c r="BP626" s="105"/>
      <c r="BQ626" s="105"/>
      <c r="BR626" s="105"/>
      <c r="BS626" s="105"/>
      <c r="BT626" s="105"/>
      <c r="BU626" s="105"/>
      <c r="BV626" s="105"/>
      <c r="BW626" s="105"/>
      <c r="BX626" s="105"/>
      <c r="BY626" s="105"/>
      <c r="BZ626" s="105"/>
      <c r="CA626" s="105"/>
      <c r="CB626" s="105"/>
      <c r="CC626" s="105"/>
      <c r="CD626" s="105"/>
      <c r="CE626" s="105"/>
      <c r="CF626" s="105"/>
      <c r="CG626" s="105"/>
      <c r="CH626" s="105"/>
      <c r="CI626" s="105"/>
      <c r="CJ626" s="105"/>
      <c r="CK626" s="105"/>
      <c r="CL626" s="105"/>
      <c r="CM626" s="105"/>
      <c r="CN626" s="105"/>
      <c r="CO626" s="105"/>
      <c r="CP626" s="105"/>
      <c r="CQ626" s="105"/>
      <c r="CR626" s="105"/>
      <c r="CS626" s="105"/>
      <c r="CT626" s="105"/>
      <c r="CU626" s="105"/>
      <c r="CV626" s="105"/>
      <c r="CW626" s="105"/>
      <c r="CX626" s="105"/>
      <c r="CY626" s="105"/>
      <c r="CZ626" s="105"/>
      <c r="DA626" s="105"/>
      <c r="DB626" s="105"/>
      <c r="DC626" s="105"/>
      <c r="DD626" s="105"/>
      <c r="DE626" s="105"/>
      <c r="DF626" s="105"/>
      <c r="DG626" s="105"/>
      <c r="DH626" s="105"/>
      <c r="DI626" s="105"/>
      <c r="DJ626" s="105"/>
      <c r="DK626" s="105"/>
      <c r="DL626" s="105"/>
      <c r="DM626" s="105"/>
      <c r="DN626" s="105"/>
      <c r="DO626" s="105"/>
      <c r="DP626" s="105"/>
      <c r="DQ626" s="105"/>
      <c r="DR626" s="105"/>
      <c r="DS626" s="105"/>
      <c r="DT626" s="105"/>
      <c r="DU626" s="105"/>
      <c r="DV626" s="105"/>
      <c r="DW626" s="105"/>
      <c r="DX626" s="105"/>
      <c r="DY626" s="105"/>
      <c r="DZ626" s="105"/>
      <c r="EA626" s="105"/>
      <c r="EB626" s="105"/>
      <c r="EC626" s="105"/>
      <c r="ED626" s="105"/>
      <c r="EE626" s="105"/>
      <c r="EF626" s="105"/>
      <c r="EG626" s="105"/>
      <c r="EH626" s="105"/>
      <c r="EI626" s="105"/>
      <c r="EJ626" s="105"/>
      <c r="EK626" s="105"/>
      <c r="EL626" s="105"/>
      <c r="EM626" s="105"/>
      <c r="EN626" s="105"/>
      <c r="EO626" s="105"/>
      <c r="EP626" s="105"/>
      <c r="EQ626" s="105"/>
      <c r="ER626" s="105"/>
      <c r="ES626" s="105"/>
      <c r="ET626" s="105"/>
      <c r="EU626" s="105"/>
      <c r="EV626" s="105"/>
      <c r="EW626" s="105"/>
      <c r="EX626" s="105"/>
      <c r="EY626" s="105"/>
      <c r="EZ626" s="105"/>
      <c r="FA626" s="105"/>
      <c r="FB626" s="105"/>
      <c r="FC626" s="105"/>
      <c r="FD626" s="105"/>
      <c r="FE626" s="105"/>
      <c r="FF626" s="105"/>
      <c r="FG626" s="105"/>
      <c r="FH626" s="105"/>
      <c r="FI626" s="105"/>
      <c r="FJ626" s="105"/>
      <c r="FK626" s="105"/>
      <c r="FL626" s="105"/>
      <c r="FM626" s="105"/>
      <c r="FN626" s="105"/>
      <c r="FO626" s="105"/>
      <c r="FP626" s="105"/>
      <c r="FQ626" s="105"/>
      <c r="FR626" s="105"/>
      <c r="FS626" s="105"/>
      <c r="FT626" s="105"/>
      <c r="FU626" s="105"/>
      <c r="FV626" s="105"/>
      <c r="FW626" s="105"/>
      <c r="FX626" s="105"/>
      <c r="FY626" s="105"/>
      <c r="FZ626" s="105"/>
      <c r="GA626" s="105"/>
      <c r="GB626" s="105"/>
      <c r="GC626" s="105"/>
      <c r="GD626" s="105"/>
      <c r="GE626" s="105"/>
      <c r="GF626" s="105"/>
      <c r="GG626" s="105"/>
      <c r="GH626" s="105"/>
      <c r="GI626" s="105"/>
      <c r="GJ626" s="105"/>
      <c r="GK626" s="105"/>
      <c r="GL626" s="105"/>
      <c r="GM626" s="105"/>
      <c r="GN626" s="105"/>
      <c r="GO626" s="105"/>
      <c r="GP626" s="105"/>
      <c r="GQ626" s="105"/>
      <c r="GR626" s="105"/>
      <c r="GS626" s="105"/>
      <c r="GT626" s="105"/>
      <c r="GU626" s="105"/>
      <c r="GV626" s="105"/>
      <c r="GW626" s="105"/>
      <c r="GX626" s="105"/>
      <c r="GY626" s="105"/>
      <c r="GZ626" s="105"/>
      <c r="HA626" s="105"/>
      <c r="HB626" s="105"/>
      <c r="HC626" s="105"/>
      <c r="HD626" s="105"/>
      <c r="HE626" s="105"/>
      <c r="HF626" s="105"/>
      <c r="HG626" s="105"/>
      <c r="HH626" s="105"/>
      <c r="HI626" s="105"/>
      <c r="HJ626" s="105"/>
      <c r="HK626" s="105"/>
      <c r="HL626" s="105"/>
      <c r="HM626" s="105"/>
      <c r="HN626" s="105"/>
      <c r="HO626" s="105"/>
      <c r="HP626" s="105"/>
      <c r="HQ626" s="105"/>
      <c r="HR626" s="105"/>
      <c r="HS626" s="105"/>
      <c r="HT626" s="105"/>
      <c r="HU626" s="105"/>
      <c r="HV626" s="105"/>
      <c r="HW626" s="105"/>
      <c r="HX626" s="105"/>
      <c r="HY626" s="105"/>
      <c r="HZ626" s="105"/>
      <c r="IA626" s="105"/>
      <c r="IB626" s="105"/>
      <c r="IC626" s="105"/>
      <c r="ID626" s="105"/>
      <c r="IE626" s="105"/>
      <c r="IF626" s="105"/>
      <c r="IG626" s="105"/>
      <c r="IH626" s="105"/>
      <c r="II626" s="105"/>
      <c r="IJ626" s="105"/>
      <c r="IK626" s="105"/>
      <c r="IL626" s="105"/>
      <c r="IM626" s="105"/>
      <c r="IN626" s="105"/>
      <c r="IO626" s="105"/>
      <c r="IP626" s="105"/>
      <c r="IQ626" s="105"/>
      <c r="IR626" s="105"/>
      <c r="IS626" s="105"/>
    </row>
    <row r="627" spans="1:253">
      <c r="A627" s="116"/>
      <c r="B627" s="105"/>
      <c r="C627" s="116"/>
      <c r="D627" s="116"/>
      <c r="E627" s="116"/>
      <c r="F627" s="116"/>
      <c r="G627" s="116"/>
      <c r="H627" s="116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5"/>
      <c r="BE627" s="105"/>
      <c r="BF627" s="105"/>
      <c r="BG627" s="105"/>
      <c r="BH627" s="105"/>
      <c r="BI627" s="105"/>
      <c r="BJ627" s="105"/>
      <c r="BK627" s="105"/>
      <c r="BL627" s="105"/>
      <c r="BM627" s="105"/>
      <c r="BN627" s="105"/>
      <c r="BO627" s="105"/>
      <c r="BP627" s="105"/>
      <c r="BQ627" s="105"/>
      <c r="BR627" s="105"/>
      <c r="BS627" s="105"/>
      <c r="BT627" s="105"/>
      <c r="BU627" s="105"/>
      <c r="BV627" s="105"/>
      <c r="BW627" s="105"/>
      <c r="BX627" s="105"/>
      <c r="BY627" s="105"/>
      <c r="BZ627" s="105"/>
      <c r="CA627" s="105"/>
      <c r="CB627" s="105"/>
      <c r="CC627" s="105"/>
      <c r="CD627" s="105"/>
      <c r="CE627" s="105"/>
      <c r="CF627" s="105"/>
      <c r="CG627" s="105"/>
      <c r="CH627" s="105"/>
      <c r="CI627" s="105"/>
      <c r="CJ627" s="105"/>
      <c r="CK627" s="105"/>
      <c r="CL627" s="105"/>
      <c r="CM627" s="105"/>
      <c r="CN627" s="105"/>
      <c r="CO627" s="105"/>
      <c r="CP627" s="105"/>
      <c r="CQ627" s="105"/>
      <c r="CR627" s="105"/>
      <c r="CS627" s="105"/>
      <c r="CT627" s="105"/>
      <c r="CU627" s="105"/>
      <c r="CV627" s="105"/>
      <c r="CW627" s="105"/>
      <c r="CX627" s="105"/>
      <c r="CY627" s="105"/>
      <c r="CZ627" s="105"/>
      <c r="DA627" s="105"/>
      <c r="DB627" s="105"/>
      <c r="DC627" s="105"/>
      <c r="DD627" s="105"/>
      <c r="DE627" s="105"/>
      <c r="DF627" s="105"/>
      <c r="DG627" s="105"/>
      <c r="DH627" s="105"/>
      <c r="DI627" s="105"/>
      <c r="DJ627" s="105"/>
      <c r="DK627" s="105"/>
      <c r="DL627" s="105"/>
      <c r="DM627" s="105"/>
      <c r="DN627" s="105"/>
      <c r="DO627" s="105"/>
      <c r="DP627" s="105"/>
      <c r="DQ627" s="105"/>
      <c r="DR627" s="105"/>
      <c r="DS627" s="105"/>
      <c r="DT627" s="105"/>
      <c r="DU627" s="105"/>
      <c r="DV627" s="105"/>
      <c r="DW627" s="105"/>
      <c r="DX627" s="105"/>
      <c r="DY627" s="105"/>
      <c r="DZ627" s="105"/>
      <c r="EA627" s="105"/>
      <c r="EB627" s="105"/>
      <c r="EC627" s="105"/>
      <c r="ED627" s="105"/>
      <c r="EE627" s="105"/>
      <c r="EF627" s="105"/>
      <c r="EG627" s="105"/>
      <c r="EH627" s="105"/>
      <c r="EI627" s="105"/>
      <c r="EJ627" s="105"/>
      <c r="EK627" s="105"/>
      <c r="EL627" s="105"/>
      <c r="EM627" s="105"/>
      <c r="EN627" s="105"/>
      <c r="EO627" s="105"/>
      <c r="EP627" s="105"/>
      <c r="EQ627" s="105"/>
      <c r="ER627" s="105"/>
      <c r="ES627" s="105"/>
      <c r="ET627" s="105"/>
      <c r="EU627" s="105"/>
      <c r="EV627" s="105"/>
      <c r="EW627" s="105"/>
      <c r="EX627" s="105"/>
      <c r="EY627" s="105"/>
      <c r="EZ627" s="105"/>
      <c r="FA627" s="105"/>
      <c r="FB627" s="105"/>
      <c r="FC627" s="105"/>
      <c r="FD627" s="105"/>
      <c r="FE627" s="105"/>
      <c r="FF627" s="105"/>
      <c r="FG627" s="105"/>
      <c r="FH627" s="105"/>
      <c r="FI627" s="105"/>
      <c r="FJ627" s="105"/>
      <c r="FK627" s="105"/>
      <c r="FL627" s="105"/>
      <c r="FM627" s="105"/>
      <c r="FN627" s="105"/>
      <c r="FO627" s="105"/>
      <c r="FP627" s="105"/>
      <c r="FQ627" s="105"/>
      <c r="FR627" s="105"/>
      <c r="FS627" s="105"/>
      <c r="FT627" s="105"/>
      <c r="FU627" s="105"/>
      <c r="FV627" s="105"/>
      <c r="FW627" s="105"/>
      <c r="FX627" s="105"/>
      <c r="FY627" s="105"/>
      <c r="FZ627" s="105"/>
      <c r="GA627" s="105"/>
      <c r="GB627" s="105"/>
      <c r="GC627" s="105"/>
      <c r="GD627" s="105"/>
      <c r="GE627" s="105"/>
      <c r="GF627" s="105"/>
      <c r="GG627" s="105"/>
      <c r="GH627" s="105"/>
      <c r="GI627" s="105"/>
      <c r="GJ627" s="105"/>
      <c r="GK627" s="105"/>
      <c r="GL627" s="105"/>
      <c r="GM627" s="105"/>
      <c r="GN627" s="105"/>
      <c r="GO627" s="105"/>
      <c r="GP627" s="105"/>
      <c r="GQ627" s="105"/>
      <c r="GR627" s="105"/>
      <c r="GS627" s="105"/>
      <c r="GT627" s="105"/>
      <c r="GU627" s="105"/>
      <c r="GV627" s="105"/>
      <c r="GW627" s="105"/>
      <c r="GX627" s="105"/>
      <c r="GY627" s="105"/>
      <c r="GZ627" s="105"/>
      <c r="HA627" s="105"/>
      <c r="HB627" s="105"/>
      <c r="HC627" s="105"/>
      <c r="HD627" s="105"/>
      <c r="HE627" s="105"/>
      <c r="HF627" s="105"/>
      <c r="HG627" s="105"/>
      <c r="HH627" s="105"/>
      <c r="HI627" s="105"/>
      <c r="HJ627" s="105"/>
      <c r="HK627" s="105"/>
      <c r="HL627" s="105"/>
      <c r="HM627" s="105"/>
      <c r="HN627" s="105"/>
      <c r="HO627" s="105"/>
      <c r="HP627" s="105"/>
      <c r="HQ627" s="105"/>
      <c r="HR627" s="105"/>
      <c r="HS627" s="105"/>
      <c r="HT627" s="105"/>
      <c r="HU627" s="105"/>
      <c r="HV627" s="105"/>
      <c r="HW627" s="105"/>
      <c r="HX627" s="105"/>
      <c r="HY627" s="105"/>
      <c r="HZ627" s="105"/>
      <c r="IA627" s="105"/>
      <c r="IB627" s="105"/>
      <c r="IC627" s="105"/>
      <c r="ID627" s="105"/>
      <c r="IE627" s="105"/>
      <c r="IF627" s="105"/>
      <c r="IG627" s="105"/>
      <c r="IH627" s="105"/>
      <c r="II627" s="105"/>
      <c r="IJ627" s="105"/>
      <c r="IK627" s="105"/>
      <c r="IL627" s="105"/>
      <c r="IM627" s="105"/>
      <c r="IN627" s="105"/>
      <c r="IO627" s="105"/>
      <c r="IP627" s="105"/>
      <c r="IQ627" s="105"/>
      <c r="IR627" s="105"/>
      <c r="IS627" s="105"/>
    </row>
    <row r="628" spans="1:253">
      <c r="A628" s="116"/>
      <c r="B628" s="105"/>
      <c r="C628" s="116"/>
      <c r="D628" s="116"/>
      <c r="E628" s="116"/>
      <c r="F628" s="116"/>
      <c r="G628" s="116"/>
      <c r="H628" s="116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05"/>
      <c r="BF628" s="105"/>
      <c r="BG628" s="105"/>
      <c r="BH628" s="105"/>
      <c r="BI628" s="105"/>
      <c r="BJ628" s="105"/>
      <c r="BK628" s="105"/>
      <c r="BL628" s="105"/>
      <c r="BM628" s="105"/>
      <c r="BN628" s="105"/>
      <c r="BO628" s="105"/>
      <c r="BP628" s="105"/>
      <c r="BQ628" s="105"/>
      <c r="BR628" s="105"/>
      <c r="BS628" s="105"/>
      <c r="BT628" s="105"/>
      <c r="BU628" s="105"/>
      <c r="BV628" s="105"/>
      <c r="BW628" s="105"/>
      <c r="BX628" s="105"/>
      <c r="BY628" s="105"/>
      <c r="BZ628" s="105"/>
      <c r="CA628" s="105"/>
      <c r="CB628" s="105"/>
      <c r="CC628" s="105"/>
      <c r="CD628" s="105"/>
      <c r="CE628" s="105"/>
      <c r="CF628" s="105"/>
      <c r="CG628" s="105"/>
      <c r="CH628" s="105"/>
      <c r="CI628" s="105"/>
      <c r="CJ628" s="105"/>
      <c r="CK628" s="105"/>
      <c r="CL628" s="105"/>
      <c r="CM628" s="105"/>
      <c r="CN628" s="105"/>
      <c r="CO628" s="105"/>
      <c r="CP628" s="105"/>
      <c r="CQ628" s="105"/>
      <c r="CR628" s="105"/>
      <c r="CS628" s="105"/>
      <c r="CT628" s="105"/>
      <c r="CU628" s="105"/>
      <c r="CV628" s="105"/>
      <c r="CW628" s="105"/>
      <c r="CX628" s="105"/>
      <c r="CY628" s="105"/>
      <c r="CZ628" s="105"/>
      <c r="DA628" s="105"/>
      <c r="DB628" s="105"/>
      <c r="DC628" s="105"/>
      <c r="DD628" s="105"/>
      <c r="DE628" s="105"/>
      <c r="DF628" s="105"/>
      <c r="DG628" s="105"/>
      <c r="DH628" s="105"/>
      <c r="DI628" s="105"/>
      <c r="DJ628" s="105"/>
      <c r="DK628" s="105"/>
      <c r="DL628" s="105"/>
      <c r="DM628" s="105"/>
      <c r="DN628" s="105"/>
      <c r="DO628" s="105"/>
      <c r="DP628" s="105"/>
      <c r="DQ628" s="105"/>
      <c r="DR628" s="105"/>
      <c r="DS628" s="105"/>
      <c r="DT628" s="105"/>
      <c r="DU628" s="105"/>
      <c r="DV628" s="105"/>
      <c r="DW628" s="105"/>
      <c r="DX628" s="105"/>
      <c r="DY628" s="105"/>
      <c r="DZ628" s="105"/>
      <c r="EA628" s="105"/>
      <c r="EB628" s="105"/>
      <c r="EC628" s="105"/>
      <c r="ED628" s="105"/>
      <c r="EE628" s="105"/>
      <c r="EF628" s="105"/>
      <c r="EG628" s="105"/>
      <c r="EH628" s="105"/>
      <c r="EI628" s="105"/>
      <c r="EJ628" s="105"/>
      <c r="EK628" s="105"/>
      <c r="EL628" s="105"/>
      <c r="EM628" s="105"/>
      <c r="EN628" s="105"/>
      <c r="EO628" s="105"/>
      <c r="EP628" s="105"/>
      <c r="EQ628" s="105"/>
      <c r="ER628" s="105"/>
      <c r="ES628" s="105"/>
      <c r="ET628" s="105"/>
      <c r="EU628" s="105"/>
      <c r="EV628" s="105"/>
      <c r="EW628" s="105"/>
      <c r="EX628" s="105"/>
      <c r="EY628" s="105"/>
      <c r="EZ628" s="105"/>
      <c r="FA628" s="105"/>
      <c r="FB628" s="105"/>
      <c r="FC628" s="105"/>
      <c r="FD628" s="105"/>
      <c r="FE628" s="105"/>
      <c r="FF628" s="105"/>
      <c r="FG628" s="105"/>
      <c r="FH628" s="105"/>
      <c r="FI628" s="105"/>
      <c r="FJ628" s="105"/>
      <c r="FK628" s="105"/>
      <c r="FL628" s="105"/>
      <c r="FM628" s="105"/>
      <c r="FN628" s="105"/>
      <c r="FO628" s="105"/>
      <c r="FP628" s="105"/>
      <c r="FQ628" s="105"/>
      <c r="FR628" s="105"/>
      <c r="FS628" s="105"/>
      <c r="FT628" s="105"/>
      <c r="FU628" s="105"/>
      <c r="FV628" s="105"/>
      <c r="FW628" s="105"/>
      <c r="FX628" s="105"/>
      <c r="FY628" s="105"/>
      <c r="FZ628" s="105"/>
      <c r="GA628" s="105"/>
      <c r="GB628" s="105"/>
      <c r="GC628" s="105"/>
      <c r="GD628" s="105"/>
      <c r="GE628" s="105"/>
      <c r="GF628" s="105"/>
      <c r="GG628" s="105"/>
      <c r="GH628" s="105"/>
      <c r="GI628" s="105"/>
      <c r="GJ628" s="105"/>
      <c r="GK628" s="105"/>
      <c r="GL628" s="105"/>
      <c r="GM628" s="105"/>
      <c r="GN628" s="105"/>
      <c r="GO628" s="105"/>
      <c r="GP628" s="105"/>
      <c r="GQ628" s="105"/>
      <c r="GR628" s="105"/>
      <c r="GS628" s="105"/>
      <c r="GT628" s="105"/>
      <c r="GU628" s="105"/>
      <c r="GV628" s="105"/>
      <c r="GW628" s="105"/>
      <c r="GX628" s="105"/>
      <c r="GY628" s="105"/>
      <c r="GZ628" s="105"/>
      <c r="HA628" s="105"/>
      <c r="HB628" s="105"/>
      <c r="HC628" s="105"/>
      <c r="HD628" s="105"/>
      <c r="HE628" s="105"/>
      <c r="HF628" s="105"/>
      <c r="HG628" s="105"/>
      <c r="HH628" s="105"/>
      <c r="HI628" s="105"/>
      <c r="HJ628" s="105"/>
      <c r="HK628" s="105"/>
      <c r="HL628" s="105"/>
      <c r="HM628" s="105"/>
      <c r="HN628" s="105"/>
      <c r="HO628" s="105"/>
      <c r="HP628" s="105"/>
      <c r="HQ628" s="105"/>
      <c r="HR628" s="105"/>
      <c r="HS628" s="105"/>
      <c r="HT628" s="105"/>
      <c r="HU628" s="105"/>
      <c r="HV628" s="105"/>
      <c r="HW628" s="105"/>
      <c r="HX628" s="105"/>
      <c r="HY628" s="105"/>
      <c r="HZ628" s="105"/>
      <c r="IA628" s="105"/>
      <c r="IB628" s="105"/>
      <c r="IC628" s="105"/>
      <c r="ID628" s="105"/>
      <c r="IE628" s="105"/>
      <c r="IF628" s="105"/>
      <c r="IG628" s="105"/>
      <c r="IH628" s="105"/>
      <c r="II628" s="105"/>
      <c r="IJ628" s="105"/>
      <c r="IK628" s="105"/>
      <c r="IL628" s="105"/>
      <c r="IM628" s="105"/>
      <c r="IN628" s="105"/>
      <c r="IO628" s="105"/>
      <c r="IP628" s="105"/>
      <c r="IQ628" s="105"/>
      <c r="IR628" s="105"/>
      <c r="IS628" s="105"/>
    </row>
    <row r="629" spans="1:253">
      <c r="A629" s="116"/>
      <c r="B629" s="105"/>
      <c r="C629" s="116"/>
      <c r="D629" s="116"/>
      <c r="E629" s="116"/>
      <c r="F629" s="116"/>
      <c r="G629" s="116"/>
      <c r="H629" s="116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105"/>
      <c r="BA629" s="105"/>
      <c r="BB629" s="105"/>
      <c r="BC629" s="105"/>
      <c r="BD629" s="105"/>
      <c r="BE629" s="105"/>
      <c r="BF629" s="105"/>
      <c r="BG629" s="105"/>
      <c r="BH629" s="105"/>
      <c r="BI629" s="105"/>
      <c r="BJ629" s="105"/>
      <c r="BK629" s="105"/>
      <c r="BL629" s="105"/>
      <c r="BM629" s="105"/>
      <c r="BN629" s="105"/>
      <c r="BO629" s="105"/>
      <c r="BP629" s="105"/>
      <c r="BQ629" s="105"/>
      <c r="BR629" s="105"/>
      <c r="BS629" s="105"/>
      <c r="BT629" s="105"/>
      <c r="BU629" s="105"/>
      <c r="BV629" s="105"/>
      <c r="BW629" s="105"/>
      <c r="BX629" s="105"/>
      <c r="BY629" s="105"/>
      <c r="BZ629" s="105"/>
      <c r="CA629" s="105"/>
      <c r="CB629" s="105"/>
      <c r="CC629" s="105"/>
      <c r="CD629" s="105"/>
      <c r="CE629" s="105"/>
      <c r="CF629" s="105"/>
      <c r="CG629" s="105"/>
      <c r="CH629" s="105"/>
      <c r="CI629" s="105"/>
      <c r="CJ629" s="105"/>
      <c r="CK629" s="105"/>
      <c r="CL629" s="105"/>
      <c r="CM629" s="105"/>
      <c r="CN629" s="105"/>
      <c r="CO629" s="105"/>
      <c r="CP629" s="105"/>
      <c r="CQ629" s="105"/>
      <c r="CR629" s="105"/>
      <c r="CS629" s="105"/>
      <c r="CT629" s="105"/>
      <c r="CU629" s="105"/>
      <c r="CV629" s="105"/>
      <c r="CW629" s="105"/>
      <c r="CX629" s="105"/>
      <c r="CY629" s="105"/>
      <c r="CZ629" s="105"/>
      <c r="DA629" s="105"/>
      <c r="DB629" s="105"/>
      <c r="DC629" s="105"/>
      <c r="DD629" s="105"/>
      <c r="DE629" s="105"/>
      <c r="DF629" s="105"/>
      <c r="DG629" s="105"/>
      <c r="DH629" s="105"/>
      <c r="DI629" s="105"/>
      <c r="DJ629" s="105"/>
      <c r="DK629" s="105"/>
      <c r="DL629" s="105"/>
      <c r="DM629" s="105"/>
      <c r="DN629" s="105"/>
      <c r="DO629" s="105"/>
      <c r="DP629" s="105"/>
      <c r="DQ629" s="105"/>
      <c r="DR629" s="105"/>
      <c r="DS629" s="105"/>
      <c r="DT629" s="105"/>
      <c r="DU629" s="105"/>
      <c r="DV629" s="105"/>
      <c r="DW629" s="105"/>
      <c r="DX629" s="105"/>
      <c r="DY629" s="105"/>
      <c r="DZ629" s="105"/>
      <c r="EA629" s="105"/>
      <c r="EB629" s="105"/>
      <c r="EC629" s="105"/>
      <c r="ED629" s="105"/>
      <c r="EE629" s="105"/>
      <c r="EF629" s="105"/>
      <c r="EG629" s="105"/>
      <c r="EH629" s="105"/>
      <c r="EI629" s="105"/>
      <c r="EJ629" s="105"/>
      <c r="EK629" s="105"/>
      <c r="EL629" s="105"/>
      <c r="EM629" s="105"/>
      <c r="EN629" s="105"/>
      <c r="EO629" s="105"/>
      <c r="EP629" s="105"/>
      <c r="EQ629" s="105"/>
      <c r="ER629" s="105"/>
      <c r="ES629" s="105"/>
      <c r="ET629" s="105"/>
      <c r="EU629" s="105"/>
      <c r="EV629" s="105"/>
      <c r="EW629" s="105"/>
      <c r="EX629" s="105"/>
      <c r="EY629" s="105"/>
      <c r="EZ629" s="105"/>
      <c r="FA629" s="105"/>
      <c r="FB629" s="105"/>
      <c r="FC629" s="105"/>
      <c r="FD629" s="105"/>
      <c r="FE629" s="105"/>
      <c r="FF629" s="105"/>
      <c r="FG629" s="105"/>
      <c r="FH629" s="105"/>
      <c r="FI629" s="105"/>
      <c r="FJ629" s="105"/>
      <c r="FK629" s="105"/>
      <c r="FL629" s="105"/>
      <c r="FM629" s="105"/>
      <c r="FN629" s="105"/>
      <c r="FO629" s="105"/>
      <c r="FP629" s="105"/>
      <c r="FQ629" s="105"/>
      <c r="FR629" s="105"/>
      <c r="FS629" s="105"/>
      <c r="FT629" s="105"/>
      <c r="FU629" s="105"/>
      <c r="FV629" s="105"/>
      <c r="FW629" s="105"/>
      <c r="FX629" s="105"/>
      <c r="FY629" s="105"/>
      <c r="FZ629" s="105"/>
      <c r="GA629" s="105"/>
      <c r="GB629" s="105"/>
      <c r="GC629" s="105"/>
      <c r="GD629" s="105"/>
      <c r="GE629" s="105"/>
      <c r="GF629" s="105"/>
      <c r="GG629" s="105"/>
      <c r="GH629" s="105"/>
      <c r="GI629" s="105"/>
      <c r="GJ629" s="105"/>
      <c r="GK629" s="105"/>
      <c r="GL629" s="105"/>
      <c r="GM629" s="105"/>
      <c r="GN629" s="105"/>
      <c r="GO629" s="105"/>
      <c r="GP629" s="105"/>
      <c r="GQ629" s="105"/>
      <c r="GR629" s="105"/>
      <c r="GS629" s="105"/>
      <c r="GT629" s="105"/>
      <c r="GU629" s="105"/>
      <c r="GV629" s="105"/>
      <c r="GW629" s="105"/>
      <c r="GX629" s="105"/>
      <c r="GY629" s="105"/>
      <c r="GZ629" s="105"/>
      <c r="HA629" s="105"/>
      <c r="HB629" s="105"/>
      <c r="HC629" s="105"/>
      <c r="HD629" s="105"/>
      <c r="HE629" s="105"/>
      <c r="HF629" s="105"/>
      <c r="HG629" s="105"/>
      <c r="HH629" s="105"/>
      <c r="HI629" s="105"/>
      <c r="HJ629" s="105"/>
      <c r="HK629" s="105"/>
      <c r="HL629" s="105"/>
      <c r="HM629" s="105"/>
      <c r="HN629" s="105"/>
      <c r="HO629" s="105"/>
      <c r="HP629" s="105"/>
      <c r="HQ629" s="105"/>
      <c r="HR629" s="105"/>
      <c r="HS629" s="105"/>
      <c r="HT629" s="105"/>
      <c r="HU629" s="105"/>
      <c r="HV629" s="105"/>
      <c r="HW629" s="105"/>
      <c r="HX629" s="105"/>
      <c r="HY629" s="105"/>
      <c r="HZ629" s="105"/>
      <c r="IA629" s="105"/>
      <c r="IB629" s="105"/>
      <c r="IC629" s="105"/>
      <c r="ID629" s="105"/>
      <c r="IE629" s="105"/>
      <c r="IF629" s="105"/>
      <c r="IG629" s="105"/>
      <c r="IH629" s="105"/>
      <c r="II629" s="105"/>
      <c r="IJ629" s="105"/>
      <c r="IK629" s="105"/>
      <c r="IL629" s="105"/>
      <c r="IM629" s="105"/>
      <c r="IN629" s="105"/>
      <c r="IO629" s="105"/>
      <c r="IP629" s="105"/>
      <c r="IQ629" s="105"/>
      <c r="IR629" s="105"/>
      <c r="IS629" s="105"/>
    </row>
    <row r="630" spans="1:253">
      <c r="A630" s="116"/>
      <c r="B630" s="105"/>
      <c r="C630" s="116"/>
      <c r="D630" s="116"/>
      <c r="E630" s="116"/>
      <c r="F630" s="116"/>
      <c r="G630" s="116"/>
      <c r="H630" s="116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05"/>
      <c r="BF630" s="105"/>
      <c r="BG630" s="105"/>
      <c r="BH630" s="105"/>
      <c r="BI630" s="105"/>
      <c r="BJ630" s="105"/>
      <c r="BK630" s="105"/>
      <c r="BL630" s="105"/>
      <c r="BM630" s="105"/>
      <c r="BN630" s="105"/>
      <c r="BO630" s="105"/>
      <c r="BP630" s="105"/>
      <c r="BQ630" s="105"/>
      <c r="BR630" s="105"/>
      <c r="BS630" s="105"/>
      <c r="BT630" s="105"/>
      <c r="BU630" s="105"/>
      <c r="BV630" s="105"/>
      <c r="BW630" s="105"/>
      <c r="BX630" s="105"/>
      <c r="BY630" s="105"/>
      <c r="BZ630" s="105"/>
      <c r="CA630" s="105"/>
      <c r="CB630" s="105"/>
      <c r="CC630" s="105"/>
      <c r="CD630" s="105"/>
      <c r="CE630" s="105"/>
      <c r="CF630" s="105"/>
      <c r="CG630" s="105"/>
      <c r="CH630" s="105"/>
      <c r="CI630" s="105"/>
      <c r="CJ630" s="105"/>
      <c r="CK630" s="105"/>
      <c r="CL630" s="105"/>
      <c r="CM630" s="105"/>
      <c r="CN630" s="105"/>
      <c r="CO630" s="105"/>
      <c r="CP630" s="105"/>
      <c r="CQ630" s="105"/>
      <c r="CR630" s="105"/>
      <c r="CS630" s="105"/>
      <c r="CT630" s="105"/>
      <c r="CU630" s="105"/>
      <c r="CV630" s="105"/>
      <c r="CW630" s="105"/>
      <c r="CX630" s="105"/>
      <c r="CY630" s="105"/>
      <c r="CZ630" s="105"/>
      <c r="DA630" s="105"/>
      <c r="DB630" s="105"/>
      <c r="DC630" s="105"/>
      <c r="DD630" s="105"/>
      <c r="DE630" s="105"/>
      <c r="DF630" s="105"/>
      <c r="DG630" s="105"/>
      <c r="DH630" s="105"/>
      <c r="DI630" s="105"/>
      <c r="DJ630" s="105"/>
      <c r="DK630" s="105"/>
      <c r="DL630" s="105"/>
      <c r="DM630" s="105"/>
      <c r="DN630" s="105"/>
      <c r="DO630" s="105"/>
      <c r="DP630" s="105"/>
      <c r="DQ630" s="105"/>
      <c r="DR630" s="105"/>
      <c r="DS630" s="105"/>
      <c r="DT630" s="105"/>
      <c r="DU630" s="105"/>
      <c r="DV630" s="105"/>
      <c r="DW630" s="105"/>
      <c r="DX630" s="105"/>
      <c r="DY630" s="105"/>
      <c r="DZ630" s="105"/>
      <c r="EA630" s="105"/>
      <c r="EB630" s="105"/>
      <c r="EC630" s="105"/>
      <c r="ED630" s="105"/>
      <c r="EE630" s="105"/>
      <c r="EF630" s="105"/>
      <c r="EG630" s="105"/>
      <c r="EH630" s="105"/>
      <c r="EI630" s="105"/>
      <c r="EJ630" s="105"/>
      <c r="EK630" s="105"/>
      <c r="EL630" s="105"/>
      <c r="EM630" s="105"/>
      <c r="EN630" s="105"/>
      <c r="EO630" s="105"/>
      <c r="EP630" s="105"/>
      <c r="EQ630" s="105"/>
      <c r="ER630" s="105"/>
      <c r="ES630" s="105"/>
      <c r="ET630" s="105"/>
      <c r="EU630" s="105"/>
      <c r="EV630" s="105"/>
      <c r="EW630" s="105"/>
      <c r="EX630" s="105"/>
      <c r="EY630" s="105"/>
      <c r="EZ630" s="105"/>
      <c r="FA630" s="105"/>
      <c r="FB630" s="105"/>
      <c r="FC630" s="105"/>
      <c r="FD630" s="105"/>
      <c r="FE630" s="105"/>
      <c r="FF630" s="105"/>
      <c r="FG630" s="105"/>
      <c r="FH630" s="105"/>
      <c r="FI630" s="105"/>
      <c r="FJ630" s="105"/>
      <c r="FK630" s="105"/>
      <c r="FL630" s="105"/>
      <c r="FM630" s="105"/>
      <c r="FN630" s="105"/>
      <c r="FO630" s="105"/>
      <c r="FP630" s="105"/>
      <c r="FQ630" s="105"/>
      <c r="FR630" s="105"/>
      <c r="FS630" s="105"/>
      <c r="FT630" s="105"/>
      <c r="FU630" s="105"/>
      <c r="FV630" s="105"/>
      <c r="FW630" s="105"/>
      <c r="FX630" s="105"/>
      <c r="FY630" s="105"/>
      <c r="FZ630" s="105"/>
      <c r="GA630" s="105"/>
      <c r="GB630" s="105"/>
      <c r="GC630" s="105"/>
      <c r="GD630" s="105"/>
      <c r="GE630" s="105"/>
      <c r="GF630" s="105"/>
      <c r="GG630" s="105"/>
      <c r="GH630" s="105"/>
      <c r="GI630" s="105"/>
      <c r="GJ630" s="105"/>
      <c r="GK630" s="105"/>
      <c r="GL630" s="105"/>
      <c r="GM630" s="105"/>
      <c r="GN630" s="105"/>
      <c r="GO630" s="105"/>
      <c r="GP630" s="105"/>
      <c r="GQ630" s="105"/>
      <c r="GR630" s="105"/>
      <c r="GS630" s="105"/>
      <c r="GT630" s="105"/>
      <c r="GU630" s="105"/>
      <c r="GV630" s="105"/>
      <c r="GW630" s="105"/>
      <c r="GX630" s="105"/>
      <c r="GY630" s="105"/>
      <c r="GZ630" s="105"/>
      <c r="HA630" s="105"/>
      <c r="HB630" s="105"/>
      <c r="HC630" s="105"/>
      <c r="HD630" s="105"/>
      <c r="HE630" s="105"/>
      <c r="HF630" s="105"/>
      <c r="HG630" s="105"/>
      <c r="HH630" s="105"/>
      <c r="HI630" s="105"/>
      <c r="HJ630" s="105"/>
      <c r="HK630" s="105"/>
      <c r="HL630" s="105"/>
      <c r="HM630" s="105"/>
      <c r="HN630" s="105"/>
      <c r="HO630" s="105"/>
      <c r="HP630" s="105"/>
      <c r="HQ630" s="105"/>
      <c r="HR630" s="105"/>
      <c r="HS630" s="105"/>
      <c r="HT630" s="105"/>
      <c r="HU630" s="105"/>
      <c r="HV630" s="105"/>
      <c r="HW630" s="105"/>
      <c r="HX630" s="105"/>
      <c r="HY630" s="105"/>
      <c r="HZ630" s="105"/>
      <c r="IA630" s="105"/>
      <c r="IB630" s="105"/>
      <c r="IC630" s="105"/>
      <c r="ID630" s="105"/>
      <c r="IE630" s="105"/>
      <c r="IF630" s="105"/>
      <c r="IG630" s="105"/>
      <c r="IH630" s="105"/>
      <c r="II630" s="105"/>
      <c r="IJ630" s="105"/>
      <c r="IK630" s="105"/>
      <c r="IL630" s="105"/>
      <c r="IM630" s="105"/>
      <c r="IN630" s="105"/>
      <c r="IO630" s="105"/>
      <c r="IP630" s="105"/>
      <c r="IQ630" s="105"/>
      <c r="IR630" s="105"/>
      <c r="IS630" s="105"/>
    </row>
    <row r="631" spans="1:253">
      <c r="A631" s="116"/>
      <c r="B631" s="105"/>
      <c r="C631" s="116"/>
      <c r="D631" s="116"/>
      <c r="E631" s="116"/>
      <c r="F631" s="116"/>
      <c r="G631" s="116"/>
      <c r="H631" s="116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105"/>
      <c r="BA631" s="105"/>
      <c r="BB631" s="105"/>
      <c r="BC631" s="105"/>
      <c r="BD631" s="105"/>
      <c r="BE631" s="105"/>
      <c r="BF631" s="105"/>
      <c r="BG631" s="105"/>
      <c r="BH631" s="105"/>
      <c r="BI631" s="105"/>
      <c r="BJ631" s="105"/>
      <c r="BK631" s="105"/>
      <c r="BL631" s="105"/>
      <c r="BM631" s="105"/>
      <c r="BN631" s="105"/>
      <c r="BO631" s="105"/>
      <c r="BP631" s="105"/>
      <c r="BQ631" s="105"/>
      <c r="BR631" s="105"/>
      <c r="BS631" s="105"/>
      <c r="BT631" s="105"/>
      <c r="BU631" s="105"/>
      <c r="BV631" s="105"/>
      <c r="BW631" s="105"/>
      <c r="BX631" s="105"/>
      <c r="BY631" s="105"/>
      <c r="BZ631" s="105"/>
      <c r="CA631" s="105"/>
      <c r="CB631" s="105"/>
      <c r="CC631" s="105"/>
      <c r="CD631" s="105"/>
      <c r="CE631" s="105"/>
      <c r="CF631" s="105"/>
      <c r="CG631" s="105"/>
      <c r="CH631" s="105"/>
      <c r="CI631" s="105"/>
      <c r="CJ631" s="105"/>
      <c r="CK631" s="105"/>
      <c r="CL631" s="105"/>
      <c r="CM631" s="105"/>
      <c r="CN631" s="105"/>
      <c r="CO631" s="105"/>
      <c r="CP631" s="105"/>
      <c r="CQ631" s="105"/>
      <c r="CR631" s="105"/>
      <c r="CS631" s="105"/>
      <c r="CT631" s="105"/>
      <c r="CU631" s="105"/>
      <c r="CV631" s="105"/>
      <c r="CW631" s="105"/>
      <c r="CX631" s="105"/>
      <c r="CY631" s="105"/>
      <c r="CZ631" s="105"/>
      <c r="DA631" s="105"/>
      <c r="DB631" s="105"/>
      <c r="DC631" s="105"/>
      <c r="DD631" s="105"/>
      <c r="DE631" s="105"/>
      <c r="DF631" s="105"/>
      <c r="DG631" s="105"/>
      <c r="DH631" s="105"/>
      <c r="DI631" s="105"/>
      <c r="DJ631" s="105"/>
      <c r="DK631" s="105"/>
      <c r="DL631" s="105"/>
      <c r="DM631" s="105"/>
      <c r="DN631" s="105"/>
      <c r="DO631" s="105"/>
      <c r="DP631" s="105"/>
      <c r="DQ631" s="105"/>
      <c r="DR631" s="105"/>
      <c r="DS631" s="105"/>
      <c r="DT631" s="105"/>
      <c r="DU631" s="105"/>
      <c r="DV631" s="105"/>
      <c r="DW631" s="105"/>
      <c r="DX631" s="105"/>
      <c r="DY631" s="105"/>
      <c r="DZ631" s="105"/>
      <c r="EA631" s="105"/>
      <c r="EB631" s="105"/>
      <c r="EC631" s="105"/>
      <c r="ED631" s="105"/>
      <c r="EE631" s="105"/>
      <c r="EF631" s="105"/>
      <c r="EG631" s="105"/>
      <c r="EH631" s="105"/>
      <c r="EI631" s="105"/>
      <c r="EJ631" s="105"/>
      <c r="EK631" s="105"/>
      <c r="EL631" s="105"/>
      <c r="EM631" s="105"/>
      <c r="EN631" s="105"/>
      <c r="EO631" s="105"/>
      <c r="EP631" s="105"/>
      <c r="EQ631" s="105"/>
      <c r="ER631" s="105"/>
      <c r="ES631" s="105"/>
      <c r="ET631" s="105"/>
      <c r="EU631" s="105"/>
      <c r="EV631" s="105"/>
      <c r="EW631" s="105"/>
      <c r="EX631" s="105"/>
      <c r="EY631" s="105"/>
      <c r="EZ631" s="105"/>
      <c r="FA631" s="105"/>
      <c r="FB631" s="105"/>
      <c r="FC631" s="105"/>
      <c r="FD631" s="105"/>
      <c r="FE631" s="105"/>
      <c r="FF631" s="105"/>
      <c r="FG631" s="105"/>
      <c r="FH631" s="105"/>
      <c r="FI631" s="105"/>
      <c r="FJ631" s="105"/>
      <c r="FK631" s="105"/>
      <c r="FL631" s="105"/>
      <c r="FM631" s="105"/>
      <c r="FN631" s="105"/>
      <c r="FO631" s="105"/>
      <c r="FP631" s="105"/>
      <c r="FQ631" s="105"/>
      <c r="FR631" s="105"/>
      <c r="FS631" s="105"/>
      <c r="FT631" s="105"/>
      <c r="FU631" s="105"/>
      <c r="FV631" s="105"/>
      <c r="FW631" s="105"/>
      <c r="FX631" s="105"/>
      <c r="FY631" s="105"/>
      <c r="FZ631" s="105"/>
      <c r="GA631" s="105"/>
      <c r="GB631" s="105"/>
      <c r="GC631" s="105"/>
      <c r="GD631" s="105"/>
      <c r="GE631" s="105"/>
      <c r="GF631" s="105"/>
      <c r="GG631" s="105"/>
      <c r="GH631" s="105"/>
      <c r="GI631" s="105"/>
      <c r="GJ631" s="105"/>
      <c r="GK631" s="105"/>
      <c r="GL631" s="105"/>
      <c r="GM631" s="105"/>
      <c r="GN631" s="105"/>
      <c r="GO631" s="105"/>
      <c r="GP631" s="105"/>
      <c r="GQ631" s="105"/>
      <c r="GR631" s="105"/>
      <c r="GS631" s="105"/>
      <c r="GT631" s="105"/>
      <c r="GU631" s="105"/>
      <c r="GV631" s="105"/>
      <c r="GW631" s="105"/>
      <c r="GX631" s="105"/>
      <c r="GY631" s="105"/>
      <c r="GZ631" s="105"/>
      <c r="HA631" s="105"/>
      <c r="HB631" s="105"/>
      <c r="HC631" s="105"/>
      <c r="HD631" s="105"/>
      <c r="HE631" s="105"/>
      <c r="HF631" s="105"/>
      <c r="HG631" s="105"/>
      <c r="HH631" s="105"/>
      <c r="HI631" s="105"/>
      <c r="HJ631" s="105"/>
      <c r="HK631" s="105"/>
      <c r="HL631" s="105"/>
      <c r="HM631" s="105"/>
      <c r="HN631" s="105"/>
      <c r="HO631" s="105"/>
      <c r="HP631" s="105"/>
      <c r="HQ631" s="105"/>
      <c r="HR631" s="105"/>
      <c r="HS631" s="105"/>
      <c r="HT631" s="105"/>
      <c r="HU631" s="105"/>
      <c r="HV631" s="105"/>
      <c r="HW631" s="105"/>
      <c r="HX631" s="105"/>
      <c r="HY631" s="105"/>
      <c r="HZ631" s="105"/>
      <c r="IA631" s="105"/>
      <c r="IB631" s="105"/>
      <c r="IC631" s="105"/>
      <c r="ID631" s="105"/>
      <c r="IE631" s="105"/>
      <c r="IF631" s="105"/>
      <c r="IG631" s="105"/>
      <c r="IH631" s="105"/>
      <c r="II631" s="105"/>
      <c r="IJ631" s="105"/>
      <c r="IK631" s="105"/>
      <c r="IL631" s="105"/>
      <c r="IM631" s="105"/>
      <c r="IN631" s="105"/>
      <c r="IO631" s="105"/>
      <c r="IP631" s="105"/>
      <c r="IQ631" s="105"/>
      <c r="IR631" s="105"/>
      <c r="IS631" s="105"/>
    </row>
    <row r="632" spans="1:253">
      <c r="A632" s="116"/>
      <c r="B632" s="105"/>
      <c r="C632" s="116"/>
      <c r="D632" s="116"/>
      <c r="E632" s="116"/>
      <c r="F632" s="116"/>
      <c r="G632" s="116"/>
      <c r="H632" s="116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05"/>
      <c r="BF632" s="105"/>
      <c r="BG632" s="105"/>
      <c r="BH632" s="105"/>
      <c r="BI632" s="105"/>
      <c r="BJ632" s="105"/>
      <c r="BK632" s="105"/>
      <c r="BL632" s="105"/>
      <c r="BM632" s="105"/>
      <c r="BN632" s="105"/>
      <c r="BO632" s="105"/>
      <c r="BP632" s="105"/>
      <c r="BQ632" s="105"/>
      <c r="BR632" s="105"/>
      <c r="BS632" s="105"/>
      <c r="BT632" s="105"/>
      <c r="BU632" s="105"/>
      <c r="BV632" s="105"/>
      <c r="BW632" s="105"/>
      <c r="BX632" s="105"/>
      <c r="BY632" s="105"/>
      <c r="BZ632" s="105"/>
      <c r="CA632" s="105"/>
      <c r="CB632" s="105"/>
      <c r="CC632" s="105"/>
      <c r="CD632" s="105"/>
      <c r="CE632" s="105"/>
      <c r="CF632" s="105"/>
      <c r="CG632" s="105"/>
      <c r="CH632" s="105"/>
      <c r="CI632" s="105"/>
      <c r="CJ632" s="105"/>
      <c r="CK632" s="105"/>
      <c r="CL632" s="105"/>
      <c r="CM632" s="105"/>
      <c r="CN632" s="105"/>
      <c r="CO632" s="105"/>
      <c r="CP632" s="105"/>
      <c r="CQ632" s="105"/>
      <c r="CR632" s="105"/>
      <c r="CS632" s="105"/>
      <c r="CT632" s="105"/>
      <c r="CU632" s="105"/>
      <c r="CV632" s="105"/>
      <c r="CW632" s="105"/>
      <c r="CX632" s="105"/>
      <c r="CY632" s="105"/>
      <c r="CZ632" s="105"/>
      <c r="DA632" s="105"/>
      <c r="DB632" s="105"/>
      <c r="DC632" s="105"/>
      <c r="DD632" s="105"/>
      <c r="DE632" s="105"/>
      <c r="DF632" s="105"/>
      <c r="DG632" s="105"/>
      <c r="DH632" s="105"/>
      <c r="DI632" s="105"/>
      <c r="DJ632" s="105"/>
      <c r="DK632" s="105"/>
      <c r="DL632" s="105"/>
      <c r="DM632" s="105"/>
      <c r="DN632" s="105"/>
      <c r="DO632" s="105"/>
      <c r="DP632" s="105"/>
      <c r="DQ632" s="105"/>
      <c r="DR632" s="105"/>
      <c r="DS632" s="105"/>
      <c r="DT632" s="105"/>
      <c r="DU632" s="105"/>
      <c r="DV632" s="105"/>
      <c r="DW632" s="105"/>
      <c r="DX632" s="105"/>
      <c r="DY632" s="105"/>
      <c r="DZ632" s="105"/>
      <c r="EA632" s="105"/>
      <c r="EB632" s="105"/>
      <c r="EC632" s="105"/>
      <c r="ED632" s="105"/>
      <c r="EE632" s="105"/>
      <c r="EF632" s="105"/>
      <c r="EG632" s="105"/>
      <c r="EH632" s="105"/>
      <c r="EI632" s="105"/>
      <c r="EJ632" s="105"/>
      <c r="EK632" s="105"/>
      <c r="EL632" s="105"/>
      <c r="EM632" s="105"/>
      <c r="EN632" s="105"/>
      <c r="EO632" s="105"/>
      <c r="EP632" s="105"/>
      <c r="EQ632" s="105"/>
      <c r="ER632" s="105"/>
      <c r="ES632" s="105"/>
      <c r="ET632" s="105"/>
      <c r="EU632" s="105"/>
      <c r="EV632" s="105"/>
      <c r="EW632" s="105"/>
      <c r="EX632" s="105"/>
      <c r="EY632" s="105"/>
      <c r="EZ632" s="105"/>
      <c r="FA632" s="105"/>
      <c r="FB632" s="105"/>
      <c r="FC632" s="105"/>
      <c r="FD632" s="105"/>
      <c r="FE632" s="105"/>
      <c r="FF632" s="105"/>
      <c r="FG632" s="105"/>
      <c r="FH632" s="105"/>
      <c r="FI632" s="105"/>
      <c r="FJ632" s="105"/>
      <c r="FK632" s="105"/>
      <c r="FL632" s="105"/>
      <c r="FM632" s="105"/>
      <c r="FN632" s="105"/>
      <c r="FO632" s="105"/>
      <c r="FP632" s="105"/>
      <c r="FQ632" s="105"/>
      <c r="FR632" s="105"/>
      <c r="FS632" s="105"/>
      <c r="FT632" s="105"/>
      <c r="FU632" s="105"/>
      <c r="FV632" s="105"/>
      <c r="FW632" s="105"/>
      <c r="FX632" s="105"/>
      <c r="FY632" s="105"/>
      <c r="FZ632" s="105"/>
      <c r="GA632" s="105"/>
      <c r="GB632" s="105"/>
      <c r="GC632" s="105"/>
      <c r="GD632" s="105"/>
      <c r="GE632" s="105"/>
      <c r="GF632" s="105"/>
      <c r="GG632" s="105"/>
      <c r="GH632" s="105"/>
      <c r="GI632" s="105"/>
      <c r="GJ632" s="105"/>
      <c r="GK632" s="105"/>
      <c r="GL632" s="105"/>
      <c r="GM632" s="105"/>
      <c r="GN632" s="105"/>
      <c r="GO632" s="105"/>
      <c r="GP632" s="105"/>
      <c r="GQ632" s="105"/>
      <c r="GR632" s="105"/>
      <c r="GS632" s="105"/>
      <c r="GT632" s="105"/>
      <c r="GU632" s="105"/>
      <c r="GV632" s="105"/>
      <c r="GW632" s="105"/>
      <c r="GX632" s="105"/>
      <c r="GY632" s="105"/>
      <c r="GZ632" s="105"/>
      <c r="HA632" s="105"/>
      <c r="HB632" s="105"/>
      <c r="HC632" s="105"/>
      <c r="HD632" s="105"/>
      <c r="HE632" s="105"/>
      <c r="HF632" s="105"/>
      <c r="HG632" s="105"/>
      <c r="HH632" s="105"/>
      <c r="HI632" s="105"/>
      <c r="HJ632" s="105"/>
      <c r="HK632" s="105"/>
      <c r="HL632" s="105"/>
      <c r="HM632" s="105"/>
      <c r="HN632" s="105"/>
      <c r="HO632" s="105"/>
      <c r="HP632" s="105"/>
      <c r="HQ632" s="105"/>
      <c r="HR632" s="105"/>
      <c r="HS632" s="105"/>
      <c r="HT632" s="105"/>
      <c r="HU632" s="105"/>
      <c r="HV632" s="105"/>
      <c r="HW632" s="105"/>
      <c r="HX632" s="105"/>
      <c r="HY632" s="105"/>
      <c r="HZ632" s="105"/>
      <c r="IA632" s="105"/>
      <c r="IB632" s="105"/>
      <c r="IC632" s="105"/>
      <c r="ID632" s="105"/>
      <c r="IE632" s="105"/>
      <c r="IF632" s="105"/>
      <c r="IG632" s="105"/>
      <c r="IH632" s="105"/>
      <c r="II632" s="105"/>
      <c r="IJ632" s="105"/>
      <c r="IK632" s="105"/>
      <c r="IL632" s="105"/>
      <c r="IM632" s="105"/>
      <c r="IN632" s="105"/>
      <c r="IO632" s="105"/>
      <c r="IP632" s="105"/>
      <c r="IQ632" s="105"/>
      <c r="IR632" s="105"/>
      <c r="IS632" s="105"/>
    </row>
    <row r="633" spans="1:253">
      <c r="A633" s="116"/>
      <c r="B633" s="105"/>
      <c r="C633" s="116"/>
      <c r="D633" s="116"/>
      <c r="E633" s="116"/>
      <c r="F633" s="116"/>
      <c r="G633" s="116"/>
      <c r="H633" s="116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105"/>
      <c r="BA633" s="105"/>
      <c r="BB633" s="105"/>
      <c r="BC633" s="105"/>
      <c r="BD633" s="105"/>
      <c r="BE633" s="105"/>
      <c r="BF633" s="105"/>
      <c r="BG633" s="105"/>
      <c r="BH633" s="105"/>
      <c r="BI633" s="105"/>
      <c r="BJ633" s="105"/>
      <c r="BK633" s="105"/>
      <c r="BL633" s="105"/>
      <c r="BM633" s="105"/>
      <c r="BN633" s="105"/>
      <c r="BO633" s="105"/>
      <c r="BP633" s="105"/>
      <c r="BQ633" s="105"/>
      <c r="BR633" s="105"/>
      <c r="BS633" s="105"/>
      <c r="BT633" s="105"/>
      <c r="BU633" s="105"/>
      <c r="BV633" s="105"/>
      <c r="BW633" s="105"/>
      <c r="BX633" s="105"/>
      <c r="BY633" s="105"/>
      <c r="BZ633" s="105"/>
      <c r="CA633" s="105"/>
      <c r="CB633" s="105"/>
      <c r="CC633" s="105"/>
      <c r="CD633" s="105"/>
      <c r="CE633" s="105"/>
      <c r="CF633" s="105"/>
      <c r="CG633" s="105"/>
      <c r="CH633" s="105"/>
      <c r="CI633" s="105"/>
      <c r="CJ633" s="105"/>
      <c r="CK633" s="105"/>
      <c r="CL633" s="105"/>
      <c r="CM633" s="105"/>
      <c r="CN633" s="105"/>
      <c r="CO633" s="105"/>
      <c r="CP633" s="105"/>
      <c r="CQ633" s="105"/>
      <c r="CR633" s="105"/>
      <c r="CS633" s="105"/>
      <c r="CT633" s="105"/>
      <c r="CU633" s="105"/>
      <c r="CV633" s="105"/>
      <c r="CW633" s="105"/>
      <c r="CX633" s="105"/>
      <c r="CY633" s="105"/>
      <c r="CZ633" s="105"/>
      <c r="DA633" s="105"/>
      <c r="DB633" s="105"/>
      <c r="DC633" s="105"/>
      <c r="DD633" s="105"/>
      <c r="DE633" s="105"/>
      <c r="DF633" s="105"/>
      <c r="DG633" s="105"/>
      <c r="DH633" s="105"/>
      <c r="DI633" s="105"/>
      <c r="DJ633" s="105"/>
      <c r="DK633" s="105"/>
      <c r="DL633" s="105"/>
      <c r="DM633" s="105"/>
      <c r="DN633" s="105"/>
      <c r="DO633" s="105"/>
      <c r="DP633" s="105"/>
      <c r="DQ633" s="105"/>
      <c r="DR633" s="105"/>
      <c r="DS633" s="105"/>
      <c r="DT633" s="105"/>
      <c r="DU633" s="105"/>
      <c r="DV633" s="105"/>
      <c r="DW633" s="105"/>
      <c r="DX633" s="105"/>
      <c r="DY633" s="105"/>
      <c r="DZ633" s="105"/>
      <c r="EA633" s="105"/>
      <c r="EB633" s="105"/>
      <c r="EC633" s="105"/>
      <c r="ED633" s="105"/>
      <c r="EE633" s="105"/>
      <c r="EF633" s="105"/>
      <c r="EG633" s="105"/>
      <c r="EH633" s="105"/>
      <c r="EI633" s="105"/>
      <c r="EJ633" s="105"/>
      <c r="EK633" s="105"/>
      <c r="EL633" s="105"/>
      <c r="EM633" s="105"/>
      <c r="EN633" s="105"/>
      <c r="EO633" s="105"/>
      <c r="EP633" s="105"/>
      <c r="EQ633" s="105"/>
      <c r="ER633" s="105"/>
      <c r="ES633" s="105"/>
      <c r="ET633" s="105"/>
      <c r="EU633" s="105"/>
      <c r="EV633" s="105"/>
      <c r="EW633" s="105"/>
      <c r="EX633" s="105"/>
      <c r="EY633" s="105"/>
      <c r="EZ633" s="105"/>
      <c r="FA633" s="105"/>
      <c r="FB633" s="105"/>
      <c r="FC633" s="105"/>
      <c r="FD633" s="105"/>
      <c r="FE633" s="105"/>
      <c r="FF633" s="105"/>
      <c r="FG633" s="105"/>
      <c r="FH633" s="105"/>
      <c r="FI633" s="105"/>
      <c r="FJ633" s="105"/>
      <c r="FK633" s="105"/>
      <c r="FL633" s="105"/>
      <c r="FM633" s="105"/>
      <c r="FN633" s="105"/>
      <c r="FO633" s="105"/>
      <c r="FP633" s="105"/>
      <c r="FQ633" s="105"/>
      <c r="FR633" s="105"/>
      <c r="FS633" s="105"/>
      <c r="FT633" s="105"/>
      <c r="FU633" s="105"/>
      <c r="FV633" s="105"/>
      <c r="FW633" s="105"/>
      <c r="FX633" s="105"/>
      <c r="FY633" s="105"/>
      <c r="FZ633" s="105"/>
      <c r="GA633" s="105"/>
      <c r="GB633" s="105"/>
      <c r="GC633" s="105"/>
      <c r="GD633" s="105"/>
      <c r="GE633" s="105"/>
      <c r="GF633" s="105"/>
      <c r="GG633" s="105"/>
      <c r="GH633" s="105"/>
      <c r="GI633" s="105"/>
      <c r="GJ633" s="105"/>
      <c r="GK633" s="105"/>
      <c r="GL633" s="105"/>
      <c r="GM633" s="105"/>
      <c r="GN633" s="105"/>
      <c r="GO633" s="105"/>
      <c r="GP633" s="105"/>
      <c r="GQ633" s="105"/>
      <c r="GR633" s="105"/>
      <c r="GS633" s="105"/>
      <c r="GT633" s="105"/>
      <c r="GU633" s="105"/>
      <c r="GV633" s="105"/>
      <c r="GW633" s="105"/>
      <c r="GX633" s="105"/>
      <c r="GY633" s="105"/>
      <c r="GZ633" s="105"/>
      <c r="HA633" s="105"/>
      <c r="HB633" s="105"/>
      <c r="HC633" s="105"/>
      <c r="HD633" s="105"/>
      <c r="HE633" s="105"/>
      <c r="HF633" s="105"/>
      <c r="HG633" s="105"/>
      <c r="HH633" s="105"/>
      <c r="HI633" s="105"/>
      <c r="HJ633" s="105"/>
      <c r="HK633" s="105"/>
      <c r="HL633" s="105"/>
      <c r="HM633" s="105"/>
      <c r="HN633" s="105"/>
      <c r="HO633" s="105"/>
      <c r="HP633" s="105"/>
      <c r="HQ633" s="105"/>
      <c r="HR633" s="105"/>
      <c r="HS633" s="105"/>
      <c r="HT633" s="105"/>
      <c r="HU633" s="105"/>
      <c r="HV633" s="105"/>
      <c r="HW633" s="105"/>
      <c r="HX633" s="105"/>
      <c r="HY633" s="105"/>
      <c r="HZ633" s="105"/>
      <c r="IA633" s="105"/>
      <c r="IB633" s="105"/>
      <c r="IC633" s="105"/>
      <c r="ID633" s="105"/>
      <c r="IE633" s="105"/>
      <c r="IF633" s="105"/>
      <c r="IG633" s="105"/>
      <c r="IH633" s="105"/>
      <c r="II633" s="105"/>
      <c r="IJ633" s="105"/>
      <c r="IK633" s="105"/>
      <c r="IL633" s="105"/>
      <c r="IM633" s="105"/>
      <c r="IN633" s="105"/>
      <c r="IO633" s="105"/>
      <c r="IP633" s="105"/>
      <c r="IQ633" s="105"/>
      <c r="IR633" s="105"/>
      <c r="IS633" s="105"/>
    </row>
    <row r="634" spans="1:253">
      <c r="A634" s="116"/>
      <c r="B634" s="105"/>
      <c r="C634" s="116"/>
      <c r="D634" s="116"/>
      <c r="E634" s="116"/>
      <c r="F634" s="116"/>
      <c r="G634" s="116"/>
      <c r="H634" s="116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05"/>
      <c r="BF634" s="105"/>
      <c r="BG634" s="105"/>
      <c r="BH634" s="105"/>
      <c r="BI634" s="105"/>
      <c r="BJ634" s="105"/>
      <c r="BK634" s="105"/>
      <c r="BL634" s="105"/>
      <c r="BM634" s="105"/>
      <c r="BN634" s="105"/>
      <c r="BO634" s="105"/>
      <c r="BP634" s="105"/>
      <c r="BQ634" s="105"/>
      <c r="BR634" s="105"/>
      <c r="BS634" s="105"/>
      <c r="BT634" s="105"/>
      <c r="BU634" s="105"/>
      <c r="BV634" s="105"/>
      <c r="BW634" s="105"/>
      <c r="BX634" s="105"/>
      <c r="BY634" s="105"/>
      <c r="BZ634" s="105"/>
      <c r="CA634" s="105"/>
      <c r="CB634" s="105"/>
      <c r="CC634" s="105"/>
      <c r="CD634" s="105"/>
      <c r="CE634" s="105"/>
      <c r="CF634" s="105"/>
      <c r="CG634" s="105"/>
      <c r="CH634" s="105"/>
      <c r="CI634" s="105"/>
      <c r="CJ634" s="105"/>
      <c r="CK634" s="105"/>
      <c r="CL634" s="105"/>
      <c r="CM634" s="105"/>
      <c r="CN634" s="105"/>
      <c r="CO634" s="105"/>
      <c r="CP634" s="105"/>
      <c r="CQ634" s="105"/>
      <c r="CR634" s="105"/>
      <c r="CS634" s="105"/>
      <c r="CT634" s="105"/>
      <c r="CU634" s="105"/>
      <c r="CV634" s="105"/>
      <c r="CW634" s="105"/>
      <c r="CX634" s="105"/>
      <c r="CY634" s="105"/>
      <c r="CZ634" s="105"/>
      <c r="DA634" s="105"/>
      <c r="DB634" s="105"/>
      <c r="DC634" s="105"/>
      <c r="DD634" s="105"/>
      <c r="DE634" s="105"/>
      <c r="DF634" s="105"/>
      <c r="DG634" s="105"/>
      <c r="DH634" s="105"/>
      <c r="DI634" s="105"/>
      <c r="DJ634" s="105"/>
      <c r="DK634" s="105"/>
      <c r="DL634" s="105"/>
      <c r="DM634" s="105"/>
      <c r="DN634" s="105"/>
      <c r="DO634" s="105"/>
      <c r="DP634" s="105"/>
      <c r="DQ634" s="105"/>
      <c r="DR634" s="105"/>
      <c r="DS634" s="105"/>
      <c r="DT634" s="105"/>
      <c r="DU634" s="105"/>
      <c r="DV634" s="105"/>
      <c r="DW634" s="105"/>
      <c r="DX634" s="105"/>
      <c r="DY634" s="105"/>
      <c r="DZ634" s="105"/>
      <c r="EA634" s="105"/>
      <c r="EB634" s="105"/>
      <c r="EC634" s="105"/>
      <c r="ED634" s="105"/>
      <c r="EE634" s="105"/>
      <c r="EF634" s="105"/>
      <c r="EG634" s="105"/>
      <c r="EH634" s="105"/>
      <c r="EI634" s="105"/>
      <c r="EJ634" s="105"/>
      <c r="EK634" s="105"/>
      <c r="EL634" s="105"/>
      <c r="EM634" s="105"/>
      <c r="EN634" s="105"/>
      <c r="EO634" s="105"/>
      <c r="EP634" s="105"/>
      <c r="EQ634" s="105"/>
      <c r="ER634" s="105"/>
      <c r="ES634" s="105"/>
      <c r="ET634" s="105"/>
      <c r="EU634" s="105"/>
      <c r="EV634" s="105"/>
      <c r="EW634" s="105"/>
      <c r="EX634" s="105"/>
      <c r="EY634" s="105"/>
      <c r="EZ634" s="105"/>
      <c r="FA634" s="105"/>
      <c r="FB634" s="105"/>
      <c r="FC634" s="105"/>
      <c r="FD634" s="105"/>
      <c r="FE634" s="105"/>
      <c r="FF634" s="105"/>
      <c r="FG634" s="105"/>
      <c r="FH634" s="105"/>
      <c r="FI634" s="105"/>
      <c r="FJ634" s="105"/>
      <c r="FK634" s="105"/>
      <c r="FL634" s="105"/>
      <c r="FM634" s="105"/>
      <c r="FN634" s="105"/>
      <c r="FO634" s="105"/>
      <c r="FP634" s="105"/>
      <c r="FQ634" s="105"/>
      <c r="FR634" s="105"/>
      <c r="FS634" s="105"/>
      <c r="FT634" s="105"/>
      <c r="FU634" s="105"/>
      <c r="FV634" s="105"/>
      <c r="FW634" s="105"/>
      <c r="FX634" s="105"/>
      <c r="FY634" s="105"/>
      <c r="FZ634" s="105"/>
      <c r="GA634" s="105"/>
      <c r="GB634" s="105"/>
      <c r="GC634" s="105"/>
      <c r="GD634" s="105"/>
      <c r="GE634" s="105"/>
      <c r="GF634" s="105"/>
      <c r="GG634" s="105"/>
      <c r="GH634" s="105"/>
      <c r="GI634" s="105"/>
      <c r="GJ634" s="105"/>
      <c r="GK634" s="105"/>
      <c r="GL634" s="105"/>
      <c r="GM634" s="105"/>
      <c r="GN634" s="105"/>
      <c r="GO634" s="105"/>
      <c r="GP634" s="105"/>
      <c r="GQ634" s="105"/>
      <c r="GR634" s="105"/>
      <c r="GS634" s="105"/>
      <c r="GT634" s="105"/>
      <c r="GU634" s="105"/>
      <c r="GV634" s="105"/>
      <c r="GW634" s="105"/>
      <c r="GX634" s="105"/>
      <c r="GY634" s="105"/>
      <c r="GZ634" s="105"/>
      <c r="HA634" s="105"/>
      <c r="HB634" s="105"/>
      <c r="HC634" s="105"/>
      <c r="HD634" s="105"/>
      <c r="HE634" s="105"/>
      <c r="HF634" s="105"/>
      <c r="HG634" s="105"/>
      <c r="HH634" s="105"/>
      <c r="HI634" s="105"/>
      <c r="HJ634" s="105"/>
      <c r="HK634" s="105"/>
      <c r="HL634" s="105"/>
      <c r="HM634" s="105"/>
      <c r="HN634" s="105"/>
      <c r="HO634" s="105"/>
      <c r="HP634" s="105"/>
      <c r="HQ634" s="105"/>
      <c r="HR634" s="105"/>
      <c r="HS634" s="105"/>
      <c r="HT634" s="105"/>
      <c r="HU634" s="105"/>
      <c r="HV634" s="105"/>
      <c r="HW634" s="105"/>
      <c r="HX634" s="105"/>
      <c r="HY634" s="105"/>
      <c r="HZ634" s="105"/>
      <c r="IA634" s="105"/>
      <c r="IB634" s="105"/>
      <c r="IC634" s="105"/>
      <c r="ID634" s="105"/>
      <c r="IE634" s="105"/>
      <c r="IF634" s="105"/>
      <c r="IG634" s="105"/>
      <c r="IH634" s="105"/>
      <c r="II634" s="105"/>
      <c r="IJ634" s="105"/>
      <c r="IK634" s="105"/>
      <c r="IL634" s="105"/>
      <c r="IM634" s="105"/>
      <c r="IN634" s="105"/>
      <c r="IO634" s="105"/>
      <c r="IP634" s="105"/>
      <c r="IQ634" s="105"/>
      <c r="IR634" s="105"/>
      <c r="IS634" s="105"/>
    </row>
    <row r="635" spans="1:253">
      <c r="A635" s="116"/>
      <c r="B635" s="105"/>
      <c r="C635" s="116"/>
      <c r="D635" s="116"/>
      <c r="E635" s="116"/>
      <c r="F635" s="116"/>
      <c r="G635" s="116"/>
      <c r="H635" s="116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5"/>
      <c r="BE635" s="105"/>
      <c r="BF635" s="105"/>
      <c r="BG635" s="105"/>
      <c r="BH635" s="105"/>
      <c r="BI635" s="105"/>
      <c r="BJ635" s="105"/>
      <c r="BK635" s="105"/>
      <c r="BL635" s="105"/>
      <c r="BM635" s="105"/>
      <c r="BN635" s="105"/>
      <c r="BO635" s="105"/>
      <c r="BP635" s="105"/>
      <c r="BQ635" s="105"/>
      <c r="BR635" s="105"/>
      <c r="BS635" s="105"/>
      <c r="BT635" s="105"/>
      <c r="BU635" s="105"/>
      <c r="BV635" s="105"/>
      <c r="BW635" s="105"/>
      <c r="BX635" s="105"/>
      <c r="BY635" s="105"/>
      <c r="BZ635" s="105"/>
      <c r="CA635" s="105"/>
      <c r="CB635" s="105"/>
      <c r="CC635" s="105"/>
      <c r="CD635" s="105"/>
      <c r="CE635" s="105"/>
      <c r="CF635" s="105"/>
      <c r="CG635" s="105"/>
      <c r="CH635" s="105"/>
      <c r="CI635" s="105"/>
      <c r="CJ635" s="105"/>
      <c r="CK635" s="105"/>
      <c r="CL635" s="105"/>
      <c r="CM635" s="105"/>
      <c r="CN635" s="105"/>
      <c r="CO635" s="105"/>
      <c r="CP635" s="105"/>
      <c r="CQ635" s="105"/>
      <c r="CR635" s="105"/>
      <c r="CS635" s="105"/>
      <c r="CT635" s="105"/>
      <c r="CU635" s="105"/>
      <c r="CV635" s="105"/>
      <c r="CW635" s="105"/>
      <c r="CX635" s="105"/>
      <c r="CY635" s="105"/>
      <c r="CZ635" s="105"/>
      <c r="DA635" s="105"/>
      <c r="DB635" s="105"/>
      <c r="DC635" s="105"/>
      <c r="DD635" s="105"/>
      <c r="DE635" s="105"/>
      <c r="DF635" s="105"/>
      <c r="DG635" s="105"/>
      <c r="DH635" s="105"/>
      <c r="DI635" s="105"/>
      <c r="DJ635" s="105"/>
      <c r="DK635" s="105"/>
      <c r="DL635" s="105"/>
      <c r="DM635" s="105"/>
      <c r="DN635" s="105"/>
      <c r="DO635" s="105"/>
      <c r="DP635" s="105"/>
      <c r="DQ635" s="105"/>
      <c r="DR635" s="105"/>
      <c r="DS635" s="105"/>
      <c r="DT635" s="105"/>
      <c r="DU635" s="105"/>
      <c r="DV635" s="105"/>
      <c r="DW635" s="105"/>
      <c r="DX635" s="105"/>
      <c r="DY635" s="105"/>
      <c r="DZ635" s="105"/>
      <c r="EA635" s="105"/>
      <c r="EB635" s="105"/>
      <c r="EC635" s="105"/>
      <c r="ED635" s="105"/>
      <c r="EE635" s="105"/>
      <c r="EF635" s="105"/>
      <c r="EG635" s="105"/>
      <c r="EH635" s="105"/>
      <c r="EI635" s="105"/>
      <c r="EJ635" s="105"/>
      <c r="EK635" s="105"/>
      <c r="EL635" s="105"/>
      <c r="EM635" s="105"/>
      <c r="EN635" s="105"/>
      <c r="EO635" s="105"/>
      <c r="EP635" s="105"/>
      <c r="EQ635" s="105"/>
      <c r="ER635" s="105"/>
      <c r="ES635" s="105"/>
      <c r="ET635" s="105"/>
      <c r="EU635" s="105"/>
      <c r="EV635" s="105"/>
      <c r="EW635" s="105"/>
      <c r="EX635" s="105"/>
      <c r="EY635" s="105"/>
      <c r="EZ635" s="105"/>
      <c r="FA635" s="105"/>
      <c r="FB635" s="105"/>
      <c r="FC635" s="105"/>
      <c r="FD635" s="105"/>
      <c r="FE635" s="105"/>
      <c r="FF635" s="105"/>
      <c r="FG635" s="105"/>
      <c r="FH635" s="105"/>
      <c r="FI635" s="105"/>
      <c r="FJ635" s="105"/>
      <c r="FK635" s="105"/>
      <c r="FL635" s="105"/>
      <c r="FM635" s="105"/>
      <c r="FN635" s="105"/>
      <c r="FO635" s="105"/>
      <c r="FP635" s="105"/>
      <c r="FQ635" s="105"/>
      <c r="FR635" s="105"/>
      <c r="FS635" s="105"/>
      <c r="FT635" s="105"/>
      <c r="FU635" s="105"/>
      <c r="FV635" s="105"/>
      <c r="FW635" s="105"/>
      <c r="FX635" s="105"/>
      <c r="FY635" s="105"/>
      <c r="FZ635" s="105"/>
      <c r="GA635" s="105"/>
      <c r="GB635" s="105"/>
      <c r="GC635" s="105"/>
      <c r="GD635" s="105"/>
      <c r="GE635" s="105"/>
      <c r="GF635" s="105"/>
      <c r="GG635" s="105"/>
      <c r="GH635" s="105"/>
      <c r="GI635" s="105"/>
      <c r="GJ635" s="105"/>
      <c r="GK635" s="105"/>
      <c r="GL635" s="105"/>
      <c r="GM635" s="105"/>
      <c r="GN635" s="105"/>
      <c r="GO635" s="105"/>
      <c r="GP635" s="105"/>
      <c r="GQ635" s="105"/>
      <c r="GR635" s="105"/>
      <c r="GS635" s="105"/>
      <c r="GT635" s="105"/>
      <c r="GU635" s="105"/>
      <c r="GV635" s="105"/>
      <c r="GW635" s="105"/>
      <c r="GX635" s="105"/>
      <c r="GY635" s="105"/>
      <c r="GZ635" s="105"/>
      <c r="HA635" s="105"/>
      <c r="HB635" s="105"/>
      <c r="HC635" s="105"/>
      <c r="HD635" s="105"/>
      <c r="HE635" s="105"/>
      <c r="HF635" s="105"/>
      <c r="HG635" s="105"/>
      <c r="HH635" s="105"/>
      <c r="HI635" s="105"/>
      <c r="HJ635" s="105"/>
      <c r="HK635" s="105"/>
      <c r="HL635" s="105"/>
      <c r="HM635" s="105"/>
      <c r="HN635" s="105"/>
      <c r="HO635" s="105"/>
      <c r="HP635" s="105"/>
      <c r="HQ635" s="105"/>
      <c r="HR635" s="105"/>
      <c r="HS635" s="105"/>
      <c r="HT635" s="105"/>
      <c r="HU635" s="105"/>
      <c r="HV635" s="105"/>
      <c r="HW635" s="105"/>
      <c r="HX635" s="105"/>
      <c r="HY635" s="105"/>
      <c r="HZ635" s="105"/>
      <c r="IA635" s="105"/>
      <c r="IB635" s="105"/>
      <c r="IC635" s="105"/>
      <c r="ID635" s="105"/>
      <c r="IE635" s="105"/>
      <c r="IF635" s="105"/>
      <c r="IG635" s="105"/>
      <c r="IH635" s="105"/>
      <c r="II635" s="105"/>
      <c r="IJ635" s="105"/>
      <c r="IK635" s="105"/>
      <c r="IL635" s="105"/>
      <c r="IM635" s="105"/>
      <c r="IN635" s="105"/>
      <c r="IO635" s="105"/>
      <c r="IP635" s="105"/>
      <c r="IQ635" s="105"/>
      <c r="IR635" s="105"/>
      <c r="IS635" s="105"/>
    </row>
    <row r="636" spans="1:253">
      <c r="A636" s="116"/>
      <c r="B636" s="105"/>
      <c r="C636" s="116"/>
      <c r="D636" s="116"/>
      <c r="E636" s="116"/>
      <c r="F636" s="116"/>
      <c r="G636" s="116"/>
      <c r="H636" s="116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05"/>
      <c r="BF636" s="105"/>
      <c r="BG636" s="105"/>
      <c r="BH636" s="105"/>
      <c r="BI636" s="105"/>
      <c r="BJ636" s="105"/>
      <c r="BK636" s="105"/>
      <c r="BL636" s="105"/>
      <c r="BM636" s="105"/>
      <c r="BN636" s="105"/>
      <c r="BO636" s="105"/>
      <c r="BP636" s="105"/>
      <c r="BQ636" s="105"/>
      <c r="BR636" s="105"/>
      <c r="BS636" s="105"/>
      <c r="BT636" s="105"/>
      <c r="BU636" s="105"/>
      <c r="BV636" s="105"/>
      <c r="BW636" s="105"/>
      <c r="BX636" s="105"/>
      <c r="BY636" s="105"/>
      <c r="BZ636" s="105"/>
      <c r="CA636" s="105"/>
      <c r="CB636" s="105"/>
      <c r="CC636" s="105"/>
      <c r="CD636" s="105"/>
      <c r="CE636" s="105"/>
      <c r="CF636" s="105"/>
      <c r="CG636" s="105"/>
      <c r="CH636" s="105"/>
      <c r="CI636" s="105"/>
      <c r="CJ636" s="105"/>
      <c r="CK636" s="105"/>
      <c r="CL636" s="105"/>
      <c r="CM636" s="105"/>
      <c r="CN636" s="105"/>
      <c r="CO636" s="105"/>
      <c r="CP636" s="105"/>
      <c r="CQ636" s="105"/>
      <c r="CR636" s="105"/>
      <c r="CS636" s="105"/>
      <c r="CT636" s="105"/>
      <c r="CU636" s="105"/>
      <c r="CV636" s="105"/>
      <c r="CW636" s="105"/>
      <c r="CX636" s="105"/>
      <c r="CY636" s="105"/>
      <c r="CZ636" s="105"/>
      <c r="DA636" s="105"/>
      <c r="DB636" s="105"/>
      <c r="DC636" s="105"/>
      <c r="DD636" s="105"/>
      <c r="DE636" s="105"/>
      <c r="DF636" s="105"/>
      <c r="DG636" s="105"/>
      <c r="DH636" s="105"/>
      <c r="DI636" s="105"/>
      <c r="DJ636" s="105"/>
      <c r="DK636" s="105"/>
      <c r="DL636" s="105"/>
      <c r="DM636" s="105"/>
      <c r="DN636" s="105"/>
      <c r="DO636" s="105"/>
      <c r="DP636" s="105"/>
      <c r="DQ636" s="105"/>
      <c r="DR636" s="105"/>
      <c r="DS636" s="105"/>
      <c r="DT636" s="105"/>
      <c r="DU636" s="105"/>
      <c r="DV636" s="105"/>
      <c r="DW636" s="105"/>
      <c r="DX636" s="105"/>
      <c r="DY636" s="105"/>
      <c r="DZ636" s="105"/>
      <c r="EA636" s="105"/>
      <c r="EB636" s="105"/>
      <c r="EC636" s="105"/>
      <c r="ED636" s="105"/>
      <c r="EE636" s="105"/>
      <c r="EF636" s="105"/>
      <c r="EG636" s="105"/>
      <c r="EH636" s="105"/>
      <c r="EI636" s="105"/>
      <c r="EJ636" s="105"/>
      <c r="EK636" s="105"/>
      <c r="EL636" s="105"/>
      <c r="EM636" s="105"/>
      <c r="EN636" s="105"/>
      <c r="EO636" s="105"/>
      <c r="EP636" s="105"/>
      <c r="EQ636" s="105"/>
      <c r="ER636" s="105"/>
      <c r="ES636" s="105"/>
      <c r="ET636" s="105"/>
      <c r="EU636" s="105"/>
      <c r="EV636" s="105"/>
      <c r="EW636" s="105"/>
      <c r="EX636" s="105"/>
      <c r="EY636" s="105"/>
      <c r="EZ636" s="105"/>
      <c r="FA636" s="105"/>
      <c r="FB636" s="105"/>
      <c r="FC636" s="105"/>
      <c r="FD636" s="105"/>
      <c r="FE636" s="105"/>
      <c r="FF636" s="105"/>
      <c r="FG636" s="105"/>
      <c r="FH636" s="105"/>
      <c r="FI636" s="105"/>
      <c r="FJ636" s="105"/>
      <c r="FK636" s="105"/>
      <c r="FL636" s="105"/>
      <c r="FM636" s="105"/>
      <c r="FN636" s="105"/>
      <c r="FO636" s="105"/>
      <c r="FP636" s="105"/>
      <c r="FQ636" s="105"/>
      <c r="FR636" s="105"/>
      <c r="FS636" s="105"/>
      <c r="FT636" s="105"/>
      <c r="FU636" s="105"/>
      <c r="FV636" s="105"/>
      <c r="FW636" s="105"/>
      <c r="FX636" s="105"/>
      <c r="FY636" s="105"/>
      <c r="FZ636" s="105"/>
      <c r="GA636" s="105"/>
      <c r="GB636" s="105"/>
      <c r="GC636" s="105"/>
      <c r="GD636" s="105"/>
      <c r="GE636" s="105"/>
      <c r="GF636" s="105"/>
      <c r="GG636" s="105"/>
      <c r="GH636" s="105"/>
      <c r="GI636" s="105"/>
      <c r="GJ636" s="105"/>
      <c r="GK636" s="105"/>
      <c r="GL636" s="105"/>
      <c r="GM636" s="105"/>
      <c r="GN636" s="105"/>
      <c r="GO636" s="105"/>
      <c r="GP636" s="105"/>
      <c r="GQ636" s="105"/>
      <c r="GR636" s="105"/>
      <c r="GS636" s="105"/>
      <c r="GT636" s="105"/>
      <c r="GU636" s="105"/>
      <c r="GV636" s="105"/>
      <c r="GW636" s="105"/>
      <c r="GX636" s="105"/>
      <c r="GY636" s="105"/>
      <c r="GZ636" s="105"/>
      <c r="HA636" s="105"/>
      <c r="HB636" s="105"/>
      <c r="HC636" s="105"/>
      <c r="HD636" s="105"/>
      <c r="HE636" s="105"/>
      <c r="HF636" s="105"/>
      <c r="HG636" s="105"/>
      <c r="HH636" s="105"/>
      <c r="HI636" s="105"/>
      <c r="HJ636" s="105"/>
      <c r="HK636" s="105"/>
      <c r="HL636" s="105"/>
      <c r="HM636" s="105"/>
      <c r="HN636" s="105"/>
      <c r="HO636" s="105"/>
      <c r="HP636" s="105"/>
      <c r="HQ636" s="105"/>
      <c r="HR636" s="105"/>
      <c r="HS636" s="105"/>
      <c r="HT636" s="105"/>
      <c r="HU636" s="105"/>
      <c r="HV636" s="105"/>
      <c r="HW636" s="105"/>
      <c r="HX636" s="105"/>
      <c r="HY636" s="105"/>
      <c r="HZ636" s="105"/>
      <c r="IA636" s="105"/>
      <c r="IB636" s="105"/>
      <c r="IC636" s="105"/>
      <c r="ID636" s="105"/>
      <c r="IE636" s="105"/>
      <c r="IF636" s="105"/>
      <c r="IG636" s="105"/>
      <c r="IH636" s="105"/>
      <c r="II636" s="105"/>
      <c r="IJ636" s="105"/>
      <c r="IK636" s="105"/>
      <c r="IL636" s="105"/>
      <c r="IM636" s="105"/>
      <c r="IN636" s="105"/>
      <c r="IO636" s="105"/>
      <c r="IP636" s="105"/>
      <c r="IQ636" s="105"/>
      <c r="IR636" s="105"/>
      <c r="IS636" s="105"/>
    </row>
    <row r="637" spans="1:253">
      <c r="A637" s="116"/>
      <c r="B637" s="105"/>
      <c r="C637" s="116"/>
      <c r="D637" s="116"/>
      <c r="E637" s="116"/>
      <c r="F637" s="116"/>
      <c r="G637" s="116"/>
      <c r="H637" s="116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5"/>
      <c r="BE637" s="105"/>
      <c r="BF637" s="105"/>
      <c r="BG637" s="105"/>
      <c r="BH637" s="105"/>
      <c r="BI637" s="105"/>
      <c r="BJ637" s="105"/>
      <c r="BK637" s="105"/>
      <c r="BL637" s="105"/>
      <c r="BM637" s="105"/>
      <c r="BN637" s="105"/>
      <c r="BO637" s="105"/>
      <c r="BP637" s="105"/>
      <c r="BQ637" s="105"/>
      <c r="BR637" s="105"/>
      <c r="BS637" s="105"/>
      <c r="BT637" s="105"/>
      <c r="BU637" s="105"/>
      <c r="BV637" s="105"/>
      <c r="BW637" s="105"/>
      <c r="BX637" s="105"/>
      <c r="BY637" s="105"/>
      <c r="BZ637" s="105"/>
      <c r="CA637" s="105"/>
      <c r="CB637" s="105"/>
      <c r="CC637" s="105"/>
      <c r="CD637" s="105"/>
      <c r="CE637" s="105"/>
      <c r="CF637" s="105"/>
      <c r="CG637" s="105"/>
      <c r="CH637" s="105"/>
      <c r="CI637" s="105"/>
      <c r="CJ637" s="105"/>
      <c r="CK637" s="105"/>
      <c r="CL637" s="105"/>
      <c r="CM637" s="105"/>
      <c r="CN637" s="105"/>
      <c r="CO637" s="105"/>
      <c r="CP637" s="105"/>
      <c r="CQ637" s="105"/>
      <c r="CR637" s="105"/>
      <c r="CS637" s="105"/>
      <c r="CT637" s="105"/>
      <c r="CU637" s="105"/>
      <c r="CV637" s="105"/>
      <c r="CW637" s="105"/>
      <c r="CX637" s="105"/>
      <c r="CY637" s="105"/>
      <c r="CZ637" s="105"/>
      <c r="DA637" s="105"/>
      <c r="DB637" s="105"/>
      <c r="DC637" s="105"/>
      <c r="DD637" s="105"/>
      <c r="DE637" s="105"/>
      <c r="DF637" s="105"/>
      <c r="DG637" s="105"/>
      <c r="DH637" s="105"/>
      <c r="DI637" s="105"/>
      <c r="DJ637" s="105"/>
      <c r="DK637" s="105"/>
      <c r="DL637" s="105"/>
      <c r="DM637" s="105"/>
      <c r="DN637" s="105"/>
      <c r="DO637" s="105"/>
      <c r="DP637" s="105"/>
      <c r="DQ637" s="105"/>
      <c r="DR637" s="105"/>
      <c r="DS637" s="105"/>
      <c r="DT637" s="105"/>
      <c r="DU637" s="105"/>
      <c r="DV637" s="105"/>
      <c r="DW637" s="105"/>
      <c r="DX637" s="105"/>
      <c r="DY637" s="105"/>
      <c r="DZ637" s="105"/>
      <c r="EA637" s="105"/>
      <c r="EB637" s="105"/>
      <c r="EC637" s="105"/>
      <c r="ED637" s="105"/>
      <c r="EE637" s="105"/>
      <c r="EF637" s="105"/>
      <c r="EG637" s="105"/>
      <c r="EH637" s="105"/>
      <c r="EI637" s="105"/>
      <c r="EJ637" s="105"/>
      <c r="EK637" s="105"/>
      <c r="EL637" s="105"/>
      <c r="EM637" s="105"/>
      <c r="EN637" s="105"/>
      <c r="EO637" s="105"/>
      <c r="EP637" s="105"/>
      <c r="EQ637" s="105"/>
      <c r="ER637" s="105"/>
      <c r="ES637" s="105"/>
      <c r="ET637" s="105"/>
      <c r="EU637" s="105"/>
      <c r="EV637" s="105"/>
      <c r="EW637" s="105"/>
      <c r="EX637" s="105"/>
      <c r="EY637" s="105"/>
      <c r="EZ637" s="105"/>
      <c r="FA637" s="105"/>
      <c r="FB637" s="105"/>
      <c r="FC637" s="105"/>
      <c r="FD637" s="105"/>
      <c r="FE637" s="105"/>
      <c r="FF637" s="105"/>
      <c r="FG637" s="105"/>
      <c r="FH637" s="105"/>
      <c r="FI637" s="105"/>
      <c r="FJ637" s="105"/>
      <c r="FK637" s="105"/>
      <c r="FL637" s="105"/>
      <c r="FM637" s="105"/>
      <c r="FN637" s="105"/>
      <c r="FO637" s="105"/>
      <c r="FP637" s="105"/>
      <c r="FQ637" s="105"/>
      <c r="FR637" s="105"/>
      <c r="FS637" s="105"/>
      <c r="FT637" s="105"/>
      <c r="FU637" s="105"/>
      <c r="FV637" s="105"/>
      <c r="FW637" s="105"/>
      <c r="FX637" s="105"/>
      <c r="FY637" s="105"/>
      <c r="FZ637" s="105"/>
      <c r="GA637" s="105"/>
      <c r="GB637" s="105"/>
      <c r="GC637" s="105"/>
      <c r="GD637" s="105"/>
      <c r="GE637" s="105"/>
      <c r="GF637" s="105"/>
      <c r="GG637" s="105"/>
      <c r="GH637" s="105"/>
      <c r="GI637" s="105"/>
      <c r="GJ637" s="105"/>
      <c r="GK637" s="105"/>
      <c r="GL637" s="105"/>
      <c r="GM637" s="105"/>
      <c r="GN637" s="105"/>
      <c r="GO637" s="105"/>
      <c r="GP637" s="105"/>
      <c r="GQ637" s="105"/>
      <c r="GR637" s="105"/>
      <c r="GS637" s="105"/>
      <c r="GT637" s="105"/>
      <c r="GU637" s="105"/>
      <c r="GV637" s="105"/>
      <c r="GW637" s="105"/>
      <c r="GX637" s="105"/>
      <c r="GY637" s="105"/>
      <c r="GZ637" s="105"/>
      <c r="HA637" s="105"/>
      <c r="HB637" s="105"/>
      <c r="HC637" s="105"/>
      <c r="HD637" s="105"/>
      <c r="HE637" s="105"/>
      <c r="HF637" s="105"/>
      <c r="HG637" s="105"/>
      <c r="HH637" s="105"/>
      <c r="HI637" s="105"/>
      <c r="HJ637" s="105"/>
      <c r="HK637" s="105"/>
      <c r="HL637" s="105"/>
      <c r="HM637" s="105"/>
      <c r="HN637" s="105"/>
      <c r="HO637" s="105"/>
      <c r="HP637" s="105"/>
      <c r="HQ637" s="105"/>
      <c r="HR637" s="105"/>
      <c r="HS637" s="105"/>
      <c r="HT637" s="105"/>
      <c r="HU637" s="105"/>
      <c r="HV637" s="105"/>
      <c r="HW637" s="105"/>
      <c r="HX637" s="105"/>
      <c r="HY637" s="105"/>
      <c r="HZ637" s="105"/>
      <c r="IA637" s="105"/>
      <c r="IB637" s="105"/>
      <c r="IC637" s="105"/>
      <c r="ID637" s="105"/>
      <c r="IE637" s="105"/>
      <c r="IF637" s="105"/>
      <c r="IG637" s="105"/>
      <c r="IH637" s="105"/>
      <c r="II637" s="105"/>
      <c r="IJ637" s="105"/>
      <c r="IK637" s="105"/>
      <c r="IL637" s="105"/>
      <c r="IM637" s="105"/>
      <c r="IN637" s="105"/>
      <c r="IO637" s="105"/>
      <c r="IP637" s="105"/>
      <c r="IQ637" s="105"/>
      <c r="IR637" s="105"/>
      <c r="IS637" s="105"/>
    </row>
    <row r="638" spans="1:253">
      <c r="A638" s="116"/>
      <c r="B638" s="105"/>
      <c r="C638" s="116"/>
      <c r="D638" s="116"/>
      <c r="E638" s="116"/>
      <c r="F638" s="116"/>
      <c r="G638" s="116"/>
      <c r="H638" s="116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05"/>
      <c r="BF638" s="105"/>
      <c r="BG638" s="105"/>
      <c r="BH638" s="105"/>
      <c r="BI638" s="105"/>
      <c r="BJ638" s="105"/>
      <c r="BK638" s="105"/>
      <c r="BL638" s="105"/>
      <c r="BM638" s="105"/>
      <c r="BN638" s="105"/>
      <c r="BO638" s="105"/>
      <c r="BP638" s="105"/>
      <c r="BQ638" s="105"/>
      <c r="BR638" s="105"/>
      <c r="BS638" s="105"/>
      <c r="BT638" s="105"/>
      <c r="BU638" s="105"/>
      <c r="BV638" s="105"/>
      <c r="BW638" s="105"/>
      <c r="BX638" s="105"/>
      <c r="BY638" s="105"/>
      <c r="BZ638" s="105"/>
      <c r="CA638" s="105"/>
      <c r="CB638" s="105"/>
      <c r="CC638" s="105"/>
      <c r="CD638" s="105"/>
      <c r="CE638" s="105"/>
      <c r="CF638" s="105"/>
      <c r="CG638" s="105"/>
      <c r="CH638" s="105"/>
      <c r="CI638" s="105"/>
      <c r="CJ638" s="105"/>
      <c r="CK638" s="105"/>
      <c r="CL638" s="105"/>
      <c r="CM638" s="105"/>
      <c r="CN638" s="105"/>
      <c r="CO638" s="105"/>
      <c r="CP638" s="105"/>
      <c r="CQ638" s="105"/>
      <c r="CR638" s="105"/>
      <c r="CS638" s="105"/>
      <c r="CT638" s="105"/>
      <c r="CU638" s="105"/>
      <c r="CV638" s="105"/>
      <c r="CW638" s="105"/>
      <c r="CX638" s="105"/>
      <c r="CY638" s="105"/>
      <c r="CZ638" s="105"/>
      <c r="DA638" s="105"/>
      <c r="DB638" s="105"/>
      <c r="DC638" s="105"/>
      <c r="DD638" s="105"/>
      <c r="DE638" s="105"/>
      <c r="DF638" s="105"/>
      <c r="DG638" s="105"/>
      <c r="DH638" s="105"/>
      <c r="DI638" s="105"/>
      <c r="DJ638" s="105"/>
      <c r="DK638" s="105"/>
      <c r="DL638" s="105"/>
      <c r="DM638" s="105"/>
      <c r="DN638" s="105"/>
      <c r="DO638" s="105"/>
      <c r="DP638" s="105"/>
      <c r="DQ638" s="105"/>
      <c r="DR638" s="105"/>
      <c r="DS638" s="105"/>
      <c r="DT638" s="105"/>
      <c r="DU638" s="105"/>
      <c r="DV638" s="105"/>
      <c r="DW638" s="105"/>
      <c r="DX638" s="105"/>
      <c r="DY638" s="105"/>
      <c r="DZ638" s="105"/>
      <c r="EA638" s="105"/>
      <c r="EB638" s="105"/>
      <c r="EC638" s="105"/>
      <c r="ED638" s="105"/>
      <c r="EE638" s="105"/>
      <c r="EF638" s="105"/>
      <c r="EG638" s="105"/>
      <c r="EH638" s="105"/>
      <c r="EI638" s="105"/>
      <c r="EJ638" s="105"/>
      <c r="EK638" s="105"/>
      <c r="EL638" s="105"/>
      <c r="EM638" s="105"/>
      <c r="EN638" s="105"/>
      <c r="EO638" s="105"/>
      <c r="EP638" s="105"/>
      <c r="EQ638" s="105"/>
      <c r="ER638" s="105"/>
      <c r="ES638" s="105"/>
      <c r="ET638" s="105"/>
      <c r="EU638" s="105"/>
      <c r="EV638" s="105"/>
      <c r="EW638" s="105"/>
      <c r="EX638" s="105"/>
      <c r="EY638" s="105"/>
      <c r="EZ638" s="105"/>
      <c r="FA638" s="105"/>
      <c r="FB638" s="105"/>
      <c r="FC638" s="105"/>
      <c r="FD638" s="105"/>
      <c r="FE638" s="105"/>
      <c r="FF638" s="105"/>
      <c r="FG638" s="105"/>
      <c r="FH638" s="105"/>
      <c r="FI638" s="105"/>
      <c r="FJ638" s="105"/>
      <c r="FK638" s="105"/>
      <c r="FL638" s="105"/>
      <c r="FM638" s="105"/>
      <c r="FN638" s="105"/>
      <c r="FO638" s="105"/>
      <c r="FP638" s="105"/>
      <c r="FQ638" s="105"/>
      <c r="FR638" s="105"/>
      <c r="FS638" s="105"/>
      <c r="FT638" s="105"/>
      <c r="FU638" s="105"/>
      <c r="FV638" s="105"/>
      <c r="FW638" s="105"/>
      <c r="FX638" s="105"/>
      <c r="FY638" s="105"/>
      <c r="FZ638" s="105"/>
      <c r="GA638" s="105"/>
      <c r="GB638" s="105"/>
      <c r="GC638" s="105"/>
      <c r="GD638" s="105"/>
      <c r="GE638" s="105"/>
      <c r="GF638" s="105"/>
      <c r="GG638" s="105"/>
      <c r="GH638" s="105"/>
      <c r="GI638" s="105"/>
      <c r="GJ638" s="105"/>
      <c r="GK638" s="105"/>
      <c r="GL638" s="105"/>
      <c r="GM638" s="105"/>
      <c r="GN638" s="105"/>
      <c r="GO638" s="105"/>
      <c r="GP638" s="105"/>
      <c r="GQ638" s="105"/>
      <c r="GR638" s="105"/>
      <c r="GS638" s="105"/>
      <c r="GT638" s="105"/>
      <c r="GU638" s="105"/>
      <c r="GV638" s="105"/>
      <c r="GW638" s="105"/>
      <c r="GX638" s="105"/>
      <c r="GY638" s="105"/>
      <c r="GZ638" s="105"/>
      <c r="HA638" s="105"/>
      <c r="HB638" s="105"/>
      <c r="HC638" s="105"/>
      <c r="HD638" s="105"/>
      <c r="HE638" s="105"/>
      <c r="HF638" s="105"/>
      <c r="HG638" s="105"/>
      <c r="HH638" s="105"/>
      <c r="HI638" s="105"/>
      <c r="HJ638" s="105"/>
      <c r="HK638" s="105"/>
      <c r="HL638" s="105"/>
      <c r="HM638" s="105"/>
      <c r="HN638" s="105"/>
      <c r="HO638" s="105"/>
      <c r="HP638" s="105"/>
      <c r="HQ638" s="105"/>
      <c r="HR638" s="105"/>
      <c r="HS638" s="105"/>
      <c r="HT638" s="105"/>
      <c r="HU638" s="105"/>
      <c r="HV638" s="105"/>
      <c r="HW638" s="105"/>
      <c r="HX638" s="105"/>
      <c r="HY638" s="105"/>
      <c r="HZ638" s="105"/>
      <c r="IA638" s="105"/>
      <c r="IB638" s="105"/>
      <c r="IC638" s="105"/>
      <c r="ID638" s="105"/>
      <c r="IE638" s="105"/>
      <c r="IF638" s="105"/>
      <c r="IG638" s="105"/>
      <c r="IH638" s="105"/>
      <c r="II638" s="105"/>
      <c r="IJ638" s="105"/>
      <c r="IK638" s="105"/>
      <c r="IL638" s="105"/>
      <c r="IM638" s="105"/>
      <c r="IN638" s="105"/>
      <c r="IO638" s="105"/>
      <c r="IP638" s="105"/>
      <c r="IQ638" s="105"/>
      <c r="IR638" s="105"/>
      <c r="IS638" s="105"/>
    </row>
    <row r="639" spans="1:253">
      <c r="A639" s="116"/>
      <c r="B639" s="105"/>
      <c r="C639" s="116"/>
      <c r="D639" s="116"/>
      <c r="E639" s="116"/>
      <c r="F639" s="116"/>
      <c r="G639" s="116"/>
      <c r="H639" s="116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05"/>
      <c r="BF639" s="105"/>
      <c r="BG639" s="105"/>
      <c r="BH639" s="105"/>
      <c r="BI639" s="105"/>
      <c r="BJ639" s="105"/>
      <c r="BK639" s="105"/>
      <c r="BL639" s="105"/>
      <c r="BM639" s="105"/>
      <c r="BN639" s="105"/>
      <c r="BO639" s="105"/>
      <c r="BP639" s="105"/>
      <c r="BQ639" s="105"/>
      <c r="BR639" s="105"/>
      <c r="BS639" s="105"/>
      <c r="BT639" s="105"/>
      <c r="BU639" s="105"/>
      <c r="BV639" s="105"/>
      <c r="BW639" s="105"/>
      <c r="BX639" s="105"/>
      <c r="BY639" s="105"/>
      <c r="BZ639" s="105"/>
      <c r="CA639" s="105"/>
      <c r="CB639" s="105"/>
      <c r="CC639" s="105"/>
      <c r="CD639" s="105"/>
      <c r="CE639" s="105"/>
      <c r="CF639" s="105"/>
      <c r="CG639" s="105"/>
      <c r="CH639" s="105"/>
      <c r="CI639" s="105"/>
      <c r="CJ639" s="105"/>
      <c r="CK639" s="105"/>
      <c r="CL639" s="105"/>
      <c r="CM639" s="105"/>
      <c r="CN639" s="105"/>
      <c r="CO639" s="105"/>
      <c r="CP639" s="105"/>
      <c r="CQ639" s="105"/>
      <c r="CR639" s="105"/>
      <c r="CS639" s="105"/>
      <c r="CT639" s="105"/>
      <c r="CU639" s="105"/>
      <c r="CV639" s="105"/>
      <c r="CW639" s="105"/>
      <c r="CX639" s="105"/>
      <c r="CY639" s="105"/>
      <c r="CZ639" s="105"/>
      <c r="DA639" s="105"/>
      <c r="DB639" s="105"/>
      <c r="DC639" s="105"/>
      <c r="DD639" s="105"/>
      <c r="DE639" s="105"/>
      <c r="DF639" s="105"/>
      <c r="DG639" s="105"/>
      <c r="DH639" s="105"/>
      <c r="DI639" s="105"/>
      <c r="DJ639" s="105"/>
      <c r="DK639" s="105"/>
      <c r="DL639" s="105"/>
      <c r="DM639" s="105"/>
      <c r="DN639" s="105"/>
      <c r="DO639" s="105"/>
      <c r="DP639" s="105"/>
      <c r="DQ639" s="105"/>
      <c r="DR639" s="105"/>
      <c r="DS639" s="105"/>
      <c r="DT639" s="105"/>
      <c r="DU639" s="105"/>
      <c r="DV639" s="105"/>
      <c r="DW639" s="105"/>
      <c r="DX639" s="105"/>
      <c r="DY639" s="105"/>
      <c r="DZ639" s="105"/>
      <c r="EA639" s="105"/>
      <c r="EB639" s="105"/>
      <c r="EC639" s="105"/>
      <c r="ED639" s="105"/>
      <c r="EE639" s="105"/>
      <c r="EF639" s="105"/>
      <c r="EG639" s="105"/>
      <c r="EH639" s="105"/>
      <c r="EI639" s="105"/>
      <c r="EJ639" s="105"/>
      <c r="EK639" s="105"/>
      <c r="EL639" s="105"/>
      <c r="EM639" s="105"/>
      <c r="EN639" s="105"/>
      <c r="EO639" s="105"/>
      <c r="EP639" s="105"/>
      <c r="EQ639" s="105"/>
      <c r="ER639" s="105"/>
      <c r="ES639" s="105"/>
      <c r="ET639" s="105"/>
      <c r="EU639" s="105"/>
      <c r="EV639" s="105"/>
      <c r="EW639" s="105"/>
      <c r="EX639" s="105"/>
      <c r="EY639" s="105"/>
      <c r="EZ639" s="105"/>
      <c r="FA639" s="105"/>
      <c r="FB639" s="105"/>
      <c r="FC639" s="105"/>
      <c r="FD639" s="105"/>
      <c r="FE639" s="105"/>
      <c r="FF639" s="105"/>
      <c r="FG639" s="105"/>
      <c r="FH639" s="105"/>
      <c r="FI639" s="105"/>
      <c r="FJ639" s="105"/>
      <c r="FK639" s="105"/>
      <c r="FL639" s="105"/>
      <c r="FM639" s="105"/>
      <c r="FN639" s="105"/>
      <c r="FO639" s="105"/>
      <c r="FP639" s="105"/>
      <c r="FQ639" s="105"/>
      <c r="FR639" s="105"/>
      <c r="FS639" s="105"/>
      <c r="FT639" s="105"/>
      <c r="FU639" s="105"/>
      <c r="FV639" s="105"/>
      <c r="FW639" s="105"/>
      <c r="FX639" s="105"/>
      <c r="FY639" s="105"/>
      <c r="FZ639" s="105"/>
      <c r="GA639" s="105"/>
      <c r="GB639" s="105"/>
      <c r="GC639" s="105"/>
      <c r="GD639" s="105"/>
      <c r="GE639" s="105"/>
      <c r="GF639" s="105"/>
      <c r="GG639" s="105"/>
      <c r="GH639" s="105"/>
      <c r="GI639" s="105"/>
      <c r="GJ639" s="105"/>
      <c r="GK639" s="105"/>
      <c r="GL639" s="105"/>
      <c r="GM639" s="105"/>
      <c r="GN639" s="105"/>
      <c r="GO639" s="105"/>
      <c r="GP639" s="105"/>
      <c r="GQ639" s="105"/>
      <c r="GR639" s="105"/>
      <c r="GS639" s="105"/>
      <c r="GT639" s="105"/>
      <c r="GU639" s="105"/>
      <c r="GV639" s="105"/>
      <c r="GW639" s="105"/>
      <c r="GX639" s="105"/>
      <c r="GY639" s="105"/>
      <c r="GZ639" s="105"/>
      <c r="HA639" s="105"/>
      <c r="HB639" s="105"/>
      <c r="HC639" s="105"/>
      <c r="HD639" s="105"/>
      <c r="HE639" s="105"/>
      <c r="HF639" s="105"/>
      <c r="HG639" s="105"/>
      <c r="HH639" s="105"/>
      <c r="HI639" s="105"/>
      <c r="HJ639" s="105"/>
      <c r="HK639" s="105"/>
      <c r="HL639" s="105"/>
      <c r="HM639" s="105"/>
      <c r="HN639" s="105"/>
      <c r="HO639" s="105"/>
      <c r="HP639" s="105"/>
      <c r="HQ639" s="105"/>
      <c r="HR639" s="105"/>
      <c r="HS639" s="105"/>
      <c r="HT639" s="105"/>
      <c r="HU639" s="105"/>
      <c r="HV639" s="105"/>
      <c r="HW639" s="105"/>
      <c r="HX639" s="105"/>
      <c r="HY639" s="105"/>
      <c r="HZ639" s="105"/>
      <c r="IA639" s="105"/>
      <c r="IB639" s="105"/>
      <c r="IC639" s="105"/>
      <c r="ID639" s="105"/>
      <c r="IE639" s="105"/>
      <c r="IF639" s="105"/>
      <c r="IG639" s="105"/>
      <c r="IH639" s="105"/>
      <c r="II639" s="105"/>
      <c r="IJ639" s="105"/>
      <c r="IK639" s="105"/>
      <c r="IL639" s="105"/>
      <c r="IM639" s="105"/>
      <c r="IN639" s="105"/>
      <c r="IO639" s="105"/>
      <c r="IP639" s="105"/>
      <c r="IQ639" s="105"/>
      <c r="IR639" s="105"/>
      <c r="IS639" s="105"/>
    </row>
    <row r="640" spans="1:253">
      <c r="A640" s="116"/>
      <c r="B640" s="105"/>
      <c r="C640" s="116"/>
      <c r="D640" s="116"/>
      <c r="E640" s="116"/>
      <c r="F640" s="116"/>
      <c r="G640" s="116"/>
      <c r="H640" s="116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  <c r="BF640" s="105"/>
      <c r="BG640" s="105"/>
      <c r="BH640" s="105"/>
      <c r="BI640" s="105"/>
      <c r="BJ640" s="105"/>
      <c r="BK640" s="105"/>
      <c r="BL640" s="105"/>
      <c r="BM640" s="105"/>
      <c r="BN640" s="105"/>
      <c r="BO640" s="105"/>
      <c r="BP640" s="105"/>
      <c r="BQ640" s="105"/>
      <c r="BR640" s="105"/>
      <c r="BS640" s="105"/>
      <c r="BT640" s="105"/>
      <c r="BU640" s="105"/>
      <c r="BV640" s="105"/>
      <c r="BW640" s="105"/>
      <c r="BX640" s="105"/>
      <c r="BY640" s="105"/>
      <c r="BZ640" s="105"/>
      <c r="CA640" s="105"/>
      <c r="CB640" s="105"/>
      <c r="CC640" s="105"/>
      <c r="CD640" s="105"/>
      <c r="CE640" s="105"/>
      <c r="CF640" s="105"/>
      <c r="CG640" s="105"/>
      <c r="CH640" s="105"/>
      <c r="CI640" s="105"/>
      <c r="CJ640" s="105"/>
      <c r="CK640" s="105"/>
      <c r="CL640" s="105"/>
      <c r="CM640" s="105"/>
      <c r="CN640" s="105"/>
      <c r="CO640" s="105"/>
      <c r="CP640" s="105"/>
      <c r="CQ640" s="105"/>
      <c r="CR640" s="105"/>
      <c r="CS640" s="105"/>
      <c r="CT640" s="105"/>
      <c r="CU640" s="105"/>
      <c r="CV640" s="105"/>
      <c r="CW640" s="105"/>
      <c r="CX640" s="105"/>
      <c r="CY640" s="105"/>
      <c r="CZ640" s="105"/>
      <c r="DA640" s="105"/>
      <c r="DB640" s="105"/>
      <c r="DC640" s="105"/>
      <c r="DD640" s="105"/>
      <c r="DE640" s="105"/>
      <c r="DF640" s="105"/>
      <c r="DG640" s="105"/>
      <c r="DH640" s="105"/>
      <c r="DI640" s="105"/>
      <c r="DJ640" s="105"/>
      <c r="DK640" s="105"/>
      <c r="DL640" s="105"/>
      <c r="DM640" s="105"/>
      <c r="DN640" s="105"/>
      <c r="DO640" s="105"/>
      <c r="DP640" s="105"/>
      <c r="DQ640" s="105"/>
      <c r="DR640" s="105"/>
      <c r="DS640" s="105"/>
      <c r="DT640" s="105"/>
      <c r="DU640" s="105"/>
      <c r="DV640" s="105"/>
      <c r="DW640" s="105"/>
      <c r="DX640" s="105"/>
      <c r="DY640" s="105"/>
      <c r="DZ640" s="105"/>
      <c r="EA640" s="105"/>
      <c r="EB640" s="105"/>
      <c r="EC640" s="105"/>
      <c r="ED640" s="105"/>
      <c r="EE640" s="105"/>
      <c r="EF640" s="105"/>
      <c r="EG640" s="105"/>
      <c r="EH640" s="105"/>
      <c r="EI640" s="105"/>
      <c r="EJ640" s="105"/>
      <c r="EK640" s="105"/>
      <c r="EL640" s="105"/>
      <c r="EM640" s="105"/>
      <c r="EN640" s="105"/>
      <c r="EO640" s="105"/>
      <c r="EP640" s="105"/>
      <c r="EQ640" s="105"/>
      <c r="ER640" s="105"/>
      <c r="ES640" s="105"/>
      <c r="ET640" s="105"/>
      <c r="EU640" s="105"/>
      <c r="EV640" s="105"/>
      <c r="EW640" s="105"/>
      <c r="EX640" s="105"/>
      <c r="EY640" s="105"/>
      <c r="EZ640" s="105"/>
      <c r="FA640" s="105"/>
      <c r="FB640" s="105"/>
      <c r="FC640" s="105"/>
      <c r="FD640" s="105"/>
      <c r="FE640" s="105"/>
      <c r="FF640" s="105"/>
      <c r="FG640" s="105"/>
      <c r="FH640" s="105"/>
      <c r="FI640" s="105"/>
      <c r="FJ640" s="105"/>
      <c r="FK640" s="105"/>
      <c r="FL640" s="105"/>
      <c r="FM640" s="105"/>
      <c r="FN640" s="105"/>
      <c r="FO640" s="105"/>
      <c r="FP640" s="105"/>
      <c r="FQ640" s="105"/>
      <c r="FR640" s="105"/>
      <c r="FS640" s="105"/>
      <c r="FT640" s="105"/>
      <c r="FU640" s="105"/>
      <c r="FV640" s="105"/>
      <c r="FW640" s="105"/>
      <c r="FX640" s="105"/>
      <c r="FY640" s="105"/>
      <c r="FZ640" s="105"/>
      <c r="GA640" s="105"/>
      <c r="GB640" s="105"/>
      <c r="GC640" s="105"/>
      <c r="GD640" s="105"/>
      <c r="GE640" s="105"/>
      <c r="GF640" s="105"/>
      <c r="GG640" s="105"/>
      <c r="GH640" s="105"/>
      <c r="GI640" s="105"/>
      <c r="GJ640" s="105"/>
      <c r="GK640" s="105"/>
      <c r="GL640" s="105"/>
      <c r="GM640" s="105"/>
      <c r="GN640" s="105"/>
      <c r="GO640" s="105"/>
      <c r="GP640" s="105"/>
      <c r="GQ640" s="105"/>
      <c r="GR640" s="105"/>
      <c r="GS640" s="105"/>
      <c r="GT640" s="105"/>
      <c r="GU640" s="105"/>
      <c r="GV640" s="105"/>
      <c r="GW640" s="105"/>
      <c r="GX640" s="105"/>
      <c r="GY640" s="105"/>
      <c r="GZ640" s="105"/>
      <c r="HA640" s="105"/>
      <c r="HB640" s="105"/>
      <c r="HC640" s="105"/>
      <c r="HD640" s="105"/>
      <c r="HE640" s="105"/>
      <c r="HF640" s="105"/>
      <c r="HG640" s="105"/>
      <c r="HH640" s="105"/>
      <c r="HI640" s="105"/>
      <c r="HJ640" s="105"/>
      <c r="HK640" s="105"/>
      <c r="HL640" s="105"/>
      <c r="HM640" s="105"/>
      <c r="HN640" s="105"/>
      <c r="HO640" s="105"/>
      <c r="HP640" s="105"/>
      <c r="HQ640" s="105"/>
      <c r="HR640" s="105"/>
      <c r="HS640" s="105"/>
      <c r="HT640" s="105"/>
      <c r="HU640" s="105"/>
      <c r="HV640" s="105"/>
      <c r="HW640" s="105"/>
      <c r="HX640" s="105"/>
      <c r="HY640" s="105"/>
      <c r="HZ640" s="105"/>
      <c r="IA640" s="105"/>
      <c r="IB640" s="105"/>
      <c r="IC640" s="105"/>
      <c r="ID640" s="105"/>
      <c r="IE640" s="105"/>
      <c r="IF640" s="105"/>
      <c r="IG640" s="105"/>
      <c r="IH640" s="105"/>
      <c r="II640" s="105"/>
      <c r="IJ640" s="105"/>
      <c r="IK640" s="105"/>
      <c r="IL640" s="105"/>
      <c r="IM640" s="105"/>
      <c r="IN640" s="105"/>
      <c r="IO640" s="105"/>
      <c r="IP640" s="105"/>
      <c r="IQ640" s="105"/>
      <c r="IR640" s="105"/>
      <c r="IS640" s="105"/>
    </row>
    <row r="641" spans="1:253">
      <c r="A641" s="116"/>
      <c r="B641" s="105"/>
      <c r="C641" s="116"/>
      <c r="D641" s="116"/>
      <c r="E641" s="116"/>
      <c r="F641" s="116"/>
      <c r="G641" s="116"/>
      <c r="H641" s="116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5"/>
      <c r="BE641" s="105"/>
      <c r="BF641" s="105"/>
      <c r="BG641" s="105"/>
      <c r="BH641" s="105"/>
      <c r="BI641" s="105"/>
      <c r="BJ641" s="105"/>
      <c r="BK641" s="105"/>
      <c r="BL641" s="105"/>
      <c r="BM641" s="105"/>
      <c r="BN641" s="105"/>
      <c r="BO641" s="105"/>
      <c r="BP641" s="105"/>
      <c r="BQ641" s="105"/>
      <c r="BR641" s="105"/>
      <c r="BS641" s="105"/>
      <c r="BT641" s="105"/>
      <c r="BU641" s="105"/>
      <c r="BV641" s="105"/>
      <c r="BW641" s="105"/>
      <c r="BX641" s="105"/>
      <c r="BY641" s="105"/>
      <c r="BZ641" s="105"/>
      <c r="CA641" s="105"/>
      <c r="CB641" s="105"/>
      <c r="CC641" s="105"/>
      <c r="CD641" s="105"/>
      <c r="CE641" s="105"/>
      <c r="CF641" s="105"/>
      <c r="CG641" s="105"/>
      <c r="CH641" s="105"/>
      <c r="CI641" s="105"/>
      <c r="CJ641" s="105"/>
      <c r="CK641" s="105"/>
      <c r="CL641" s="105"/>
      <c r="CM641" s="105"/>
      <c r="CN641" s="105"/>
      <c r="CO641" s="105"/>
      <c r="CP641" s="105"/>
      <c r="CQ641" s="105"/>
      <c r="CR641" s="105"/>
      <c r="CS641" s="105"/>
      <c r="CT641" s="105"/>
      <c r="CU641" s="105"/>
      <c r="CV641" s="105"/>
      <c r="CW641" s="105"/>
      <c r="CX641" s="105"/>
      <c r="CY641" s="105"/>
      <c r="CZ641" s="105"/>
      <c r="DA641" s="105"/>
      <c r="DB641" s="105"/>
      <c r="DC641" s="105"/>
      <c r="DD641" s="105"/>
      <c r="DE641" s="105"/>
      <c r="DF641" s="105"/>
      <c r="DG641" s="105"/>
      <c r="DH641" s="105"/>
      <c r="DI641" s="105"/>
      <c r="DJ641" s="105"/>
      <c r="DK641" s="105"/>
      <c r="DL641" s="105"/>
      <c r="DM641" s="105"/>
      <c r="DN641" s="105"/>
      <c r="DO641" s="105"/>
      <c r="DP641" s="105"/>
      <c r="DQ641" s="105"/>
      <c r="DR641" s="105"/>
      <c r="DS641" s="105"/>
      <c r="DT641" s="105"/>
      <c r="DU641" s="105"/>
      <c r="DV641" s="105"/>
      <c r="DW641" s="105"/>
      <c r="DX641" s="105"/>
      <c r="DY641" s="105"/>
      <c r="DZ641" s="105"/>
      <c r="EA641" s="105"/>
      <c r="EB641" s="105"/>
      <c r="EC641" s="105"/>
      <c r="ED641" s="105"/>
      <c r="EE641" s="105"/>
      <c r="EF641" s="105"/>
      <c r="EG641" s="105"/>
      <c r="EH641" s="105"/>
      <c r="EI641" s="105"/>
      <c r="EJ641" s="105"/>
      <c r="EK641" s="105"/>
      <c r="EL641" s="105"/>
      <c r="EM641" s="105"/>
      <c r="EN641" s="105"/>
      <c r="EO641" s="105"/>
      <c r="EP641" s="105"/>
      <c r="EQ641" s="105"/>
      <c r="ER641" s="105"/>
      <c r="ES641" s="105"/>
      <c r="ET641" s="105"/>
      <c r="EU641" s="105"/>
      <c r="EV641" s="105"/>
      <c r="EW641" s="105"/>
      <c r="EX641" s="105"/>
      <c r="EY641" s="105"/>
      <c r="EZ641" s="105"/>
      <c r="FA641" s="105"/>
      <c r="FB641" s="105"/>
      <c r="FC641" s="105"/>
      <c r="FD641" s="105"/>
      <c r="FE641" s="105"/>
      <c r="FF641" s="105"/>
      <c r="FG641" s="105"/>
      <c r="FH641" s="105"/>
      <c r="FI641" s="105"/>
      <c r="FJ641" s="105"/>
      <c r="FK641" s="105"/>
      <c r="FL641" s="105"/>
      <c r="FM641" s="105"/>
      <c r="FN641" s="105"/>
      <c r="FO641" s="105"/>
      <c r="FP641" s="105"/>
      <c r="FQ641" s="105"/>
      <c r="FR641" s="105"/>
      <c r="FS641" s="105"/>
      <c r="FT641" s="105"/>
      <c r="FU641" s="105"/>
      <c r="FV641" s="105"/>
      <c r="FW641" s="105"/>
      <c r="FX641" s="105"/>
      <c r="FY641" s="105"/>
      <c r="FZ641" s="105"/>
      <c r="GA641" s="105"/>
      <c r="GB641" s="105"/>
      <c r="GC641" s="105"/>
      <c r="GD641" s="105"/>
      <c r="GE641" s="105"/>
      <c r="GF641" s="105"/>
      <c r="GG641" s="105"/>
      <c r="GH641" s="105"/>
      <c r="GI641" s="105"/>
      <c r="GJ641" s="105"/>
      <c r="GK641" s="105"/>
      <c r="GL641" s="105"/>
      <c r="GM641" s="105"/>
      <c r="GN641" s="105"/>
      <c r="GO641" s="105"/>
      <c r="GP641" s="105"/>
      <c r="GQ641" s="105"/>
      <c r="GR641" s="105"/>
      <c r="GS641" s="105"/>
      <c r="GT641" s="105"/>
      <c r="GU641" s="105"/>
      <c r="GV641" s="105"/>
      <c r="GW641" s="105"/>
      <c r="GX641" s="105"/>
      <c r="GY641" s="105"/>
      <c r="GZ641" s="105"/>
      <c r="HA641" s="105"/>
      <c r="HB641" s="105"/>
      <c r="HC641" s="105"/>
      <c r="HD641" s="105"/>
      <c r="HE641" s="105"/>
      <c r="HF641" s="105"/>
      <c r="HG641" s="105"/>
      <c r="HH641" s="105"/>
      <c r="HI641" s="105"/>
      <c r="HJ641" s="105"/>
      <c r="HK641" s="105"/>
      <c r="HL641" s="105"/>
      <c r="HM641" s="105"/>
      <c r="HN641" s="105"/>
      <c r="HO641" s="105"/>
      <c r="HP641" s="105"/>
      <c r="HQ641" s="105"/>
      <c r="HR641" s="105"/>
      <c r="HS641" s="105"/>
      <c r="HT641" s="105"/>
      <c r="HU641" s="105"/>
      <c r="HV641" s="105"/>
      <c r="HW641" s="105"/>
      <c r="HX641" s="105"/>
      <c r="HY641" s="105"/>
      <c r="HZ641" s="105"/>
      <c r="IA641" s="105"/>
      <c r="IB641" s="105"/>
      <c r="IC641" s="105"/>
      <c r="ID641" s="105"/>
      <c r="IE641" s="105"/>
      <c r="IF641" s="105"/>
      <c r="IG641" s="105"/>
      <c r="IH641" s="105"/>
      <c r="II641" s="105"/>
      <c r="IJ641" s="105"/>
      <c r="IK641" s="105"/>
      <c r="IL641" s="105"/>
      <c r="IM641" s="105"/>
      <c r="IN641" s="105"/>
      <c r="IO641" s="105"/>
      <c r="IP641" s="105"/>
      <c r="IQ641" s="105"/>
      <c r="IR641" s="105"/>
      <c r="IS641" s="105"/>
    </row>
    <row r="642" spans="1:253">
      <c r="A642" s="116"/>
      <c r="B642" s="105"/>
      <c r="C642" s="116"/>
      <c r="D642" s="116"/>
      <c r="E642" s="116"/>
      <c r="F642" s="116"/>
      <c r="G642" s="116"/>
      <c r="H642" s="116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05"/>
      <c r="BF642" s="105"/>
      <c r="BG642" s="105"/>
      <c r="BH642" s="105"/>
      <c r="BI642" s="105"/>
      <c r="BJ642" s="105"/>
      <c r="BK642" s="105"/>
      <c r="BL642" s="105"/>
      <c r="BM642" s="105"/>
      <c r="BN642" s="105"/>
      <c r="BO642" s="105"/>
      <c r="BP642" s="105"/>
      <c r="BQ642" s="105"/>
      <c r="BR642" s="105"/>
      <c r="BS642" s="105"/>
      <c r="BT642" s="105"/>
      <c r="BU642" s="105"/>
      <c r="BV642" s="105"/>
      <c r="BW642" s="105"/>
      <c r="BX642" s="105"/>
      <c r="BY642" s="105"/>
      <c r="BZ642" s="105"/>
      <c r="CA642" s="105"/>
      <c r="CB642" s="105"/>
      <c r="CC642" s="105"/>
      <c r="CD642" s="105"/>
      <c r="CE642" s="105"/>
      <c r="CF642" s="105"/>
      <c r="CG642" s="105"/>
      <c r="CH642" s="105"/>
      <c r="CI642" s="105"/>
      <c r="CJ642" s="105"/>
      <c r="CK642" s="105"/>
      <c r="CL642" s="105"/>
      <c r="CM642" s="105"/>
      <c r="CN642" s="105"/>
      <c r="CO642" s="105"/>
      <c r="CP642" s="105"/>
      <c r="CQ642" s="105"/>
      <c r="CR642" s="105"/>
      <c r="CS642" s="105"/>
      <c r="CT642" s="105"/>
      <c r="CU642" s="105"/>
      <c r="CV642" s="105"/>
      <c r="CW642" s="105"/>
      <c r="CX642" s="105"/>
      <c r="CY642" s="105"/>
      <c r="CZ642" s="105"/>
      <c r="DA642" s="105"/>
      <c r="DB642" s="105"/>
      <c r="DC642" s="105"/>
      <c r="DD642" s="105"/>
      <c r="DE642" s="105"/>
      <c r="DF642" s="105"/>
      <c r="DG642" s="105"/>
      <c r="DH642" s="105"/>
      <c r="DI642" s="105"/>
      <c r="DJ642" s="105"/>
      <c r="DK642" s="105"/>
      <c r="DL642" s="105"/>
      <c r="DM642" s="105"/>
      <c r="DN642" s="105"/>
      <c r="DO642" s="105"/>
      <c r="DP642" s="105"/>
      <c r="DQ642" s="105"/>
      <c r="DR642" s="105"/>
      <c r="DS642" s="105"/>
      <c r="DT642" s="105"/>
      <c r="DU642" s="105"/>
      <c r="DV642" s="105"/>
      <c r="DW642" s="105"/>
      <c r="DX642" s="105"/>
      <c r="DY642" s="105"/>
      <c r="DZ642" s="105"/>
      <c r="EA642" s="105"/>
      <c r="EB642" s="105"/>
      <c r="EC642" s="105"/>
      <c r="ED642" s="105"/>
      <c r="EE642" s="105"/>
      <c r="EF642" s="105"/>
      <c r="EG642" s="105"/>
      <c r="EH642" s="105"/>
      <c r="EI642" s="105"/>
      <c r="EJ642" s="105"/>
      <c r="EK642" s="105"/>
      <c r="EL642" s="105"/>
      <c r="EM642" s="105"/>
      <c r="EN642" s="105"/>
      <c r="EO642" s="105"/>
      <c r="EP642" s="105"/>
      <c r="EQ642" s="105"/>
      <c r="ER642" s="105"/>
      <c r="ES642" s="105"/>
      <c r="ET642" s="105"/>
      <c r="EU642" s="105"/>
      <c r="EV642" s="105"/>
      <c r="EW642" s="105"/>
      <c r="EX642" s="105"/>
      <c r="EY642" s="105"/>
      <c r="EZ642" s="105"/>
      <c r="FA642" s="105"/>
      <c r="FB642" s="105"/>
      <c r="FC642" s="105"/>
      <c r="FD642" s="105"/>
      <c r="FE642" s="105"/>
      <c r="FF642" s="105"/>
      <c r="FG642" s="105"/>
      <c r="FH642" s="105"/>
      <c r="FI642" s="105"/>
      <c r="FJ642" s="105"/>
      <c r="FK642" s="105"/>
      <c r="FL642" s="105"/>
      <c r="FM642" s="105"/>
      <c r="FN642" s="105"/>
      <c r="FO642" s="105"/>
      <c r="FP642" s="105"/>
      <c r="FQ642" s="105"/>
      <c r="FR642" s="105"/>
      <c r="FS642" s="105"/>
      <c r="FT642" s="105"/>
      <c r="FU642" s="105"/>
      <c r="FV642" s="105"/>
      <c r="FW642" s="105"/>
      <c r="FX642" s="105"/>
      <c r="FY642" s="105"/>
      <c r="FZ642" s="105"/>
      <c r="GA642" s="105"/>
      <c r="GB642" s="105"/>
      <c r="GC642" s="105"/>
      <c r="GD642" s="105"/>
      <c r="GE642" s="105"/>
      <c r="GF642" s="105"/>
      <c r="GG642" s="105"/>
      <c r="GH642" s="105"/>
      <c r="GI642" s="105"/>
      <c r="GJ642" s="105"/>
      <c r="GK642" s="105"/>
      <c r="GL642" s="105"/>
      <c r="GM642" s="105"/>
      <c r="GN642" s="105"/>
      <c r="GO642" s="105"/>
      <c r="GP642" s="105"/>
      <c r="GQ642" s="105"/>
      <c r="GR642" s="105"/>
      <c r="GS642" s="105"/>
      <c r="GT642" s="105"/>
      <c r="GU642" s="105"/>
      <c r="GV642" s="105"/>
      <c r="GW642" s="105"/>
      <c r="GX642" s="105"/>
      <c r="GY642" s="105"/>
      <c r="GZ642" s="105"/>
      <c r="HA642" s="105"/>
      <c r="HB642" s="105"/>
      <c r="HC642" s="105"/>
      <c r="HD642" s="105"/>
      <c r="HE642" s="105"/>
      <c r="HF642" s="105"/>
      <c r="HG642" s="105"/>
      <c r="HH642" s="105"/>
      <c r="HI642" s="105"/>
      <c r="HJ642" s="105"/>
      <c r="HK642" s="105"/>
      <c r="HL642" s="105"/>
      <c r="HM642" s="105"/>
      <c r="HN642" s="105"/>
      <c r="HO642" s="105"/>
      <c r="HP642" s="105"/>
      <c r="HQ642" s="105"/>
      <c r="HR642" s="105"/>
      <c r="HS642" s="105"/>
      <c r="HT642" s="105"/>
      <c r="HU642" s="105"/>
      <c r="HV642" s="105"/>
      <c r="HW642" s="105"/>
      <c r="HX642" s="105"/>
      <c r="HY642" s="105"/>
      <c r="HZ642" s="105"/>
      <c r="IA642" s="105"/>
      <c r="IB642" s="105"/>
      <c r="IC642" s="105"/>
      <c r="ID642" s="105"/>
      <c r="IE642" s="105"/>
      <c r="IF642" s="105"/>
      <c r="IG642" s="105"/>
      <c r="IH642" s="105"/>
      <c r="II642" s="105"/>
      <c r="IJ642" s="105"/>
      <c r="IK642" s="105"/>
      <c r="IL642" s="105"/>
      <c r="IM642" s="105"/>
      <c r="IN642" s="105"/>
      <c r="IO642" s="105"/>
      <c r="IP642" s="105"/>
      <c r="IQ642" s="105"/>
      <c r="IR642" s="105"/>
      <c r="IS642" s="105"/>
    </row>
    <row r="643" spans="1:253">
      <c r="A643" s="116"/>
      <c r="B643" s="105"/>
      <c r="C643" s="116"/>
      <c r="D643" s="116"/>
      <c r="E643" s="116"/>
      <c r="F643" s="116"/>
      <c r="G643" s="116"/>
      <c r="H643" s="116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05"/>
      <c r="BF643" s="105"/>
      <c r="BG643" s="105"/>
      <c r="BH643" s="105"/>
      <c r="BI643" s="105"/>
      <c r="BJ643" s="105"/>
      <c r="BK643" s="105"/>
      <c r="BL643" s="105"/>
      <c r="BM643" s="105"/>
      <c r="BN643" s="105"/>
      <c r="BO643" s="105"/>
      <c r="BP643" s="105"/>
      <c r="BQ643" s="105"/>
      <c r="BR643" s="105"/>
      <c r="BS643" s="105"/>
      <c r="BT643" s="105"/>
      <c r="BU643" s="105"/>
      <c r="BV643" s="105"/>
      <c r="BW643" s="105"/>
      <c r="BX643" s="105"/>
      <c r="BY643" s="105"/>
      <c r="BZ643" s="105"/>
      <c r="CA643" s="105"/>
      <c r="CB643" s="105"/>
      <c r="CC643" s="105"/>
      <c r="CD643" s="105"/>
      <c r="CE643" s="105"/>
      <c r="CF643" s="105"/>
      <c r="CG643" s="105"/>
      <c r="CH643" s="105"/>
      <c r="CI643" s="105"/>
      <c r="CJ643" s="105"/>
      <c r="CK643" s="105"/>
      <c r="CL643" s="105"/>
      <c r="CM643" s="105"/>
      <c r="CN643" s="105"/>
      <c r="CO643" s="105"/>
      <c r="CP643" s="105"/>
      <c r="CQ643" s="105"/>
      <c r="CR643" s="105"/>
      <c r="CS643" s="105"/>
      <c r="CT643" s="105"/>
      <c r="CU643" s="105"/>
      <c r="CV643" s="105"/>
      <c r="CW643" s="105"/>
      <c r="CX643" s="105"/>
      <c r="CY643" s="105"/>
      <c r="CZ643" s="105"/>
      <c r="DA643" s="105"/>
      <c r="DB643" s="105"/>
      <c r="DC643" s="105"/>
      <c r="DD643" s="105"/>
      <c r="DE643" s="105"/>
      <c r="DF643" s="105"/>
      <c r="DG643" s="105"/>
      <c r="DH643" s="105"/>
      <c r="DI643" s="105"/>
      <c r="DJ643" s="105"/>
      <c r="DK643" s="105"/>
      <c r="DL643" s="105"/>
      <c r="DM643" s="105"/>
      <c r="DN643" s="105"/>
      <c r="DO643" s="105"/>
      <c r="DP643" s="105"/>
      <c r="DQ643" s="105"/>
      <c r="DR643" s="105"/>
      <c r="DS643" s="105"/>
      <c r="DT643" s="105"/>
      <c r="DU643" s="105"/>
      <c r="DV643" s="105"/>
      <c r="DW643" s="105"/>
      <c r="DX643" s="105"/>
      <c r="DY643" s="105"/>
      <c r="DZ643" s="105"/>
      <c r="EA643" s="105"/>
      <c r="EB643" s="105"/>
      <c r="EC643" s="105"/>
      <c r="ED643" s="105"/>
      <c r="EE643" s="105"/>
      <c r="EF643" s="105"/>
      <c r="EG643" s="105"/>
      <c r="EH643" s="105"/>
      <c r="EI643" s="105"/>
      <c r="EJ643" s="105"/>
      <c r="EK643" s="105"/>
      <c r="EL643" s="105"/>
      <c r="EM643" s="105"/>
      <c r="EN643" s="105"/>
      <c r="EO643" s="105"/>
      <c r="EP643" s="105"/>
      <c r="EQ643" s="105"/>
      <c r="ER643" s="105"/>
      <c r="ES643" s="105"/>
      <c r="ET643" s="105"/>
      <c r="EU643" s="105"/>
      <c r="EV643" s="105"/>
      <c r="EW643" s="105"/>
      <c r="EX643" s="105"/>
      <c r="EY643" s="105"/>
      <c r="EZ643" s="105"/>
      <c r="FA643" s="105"/>
      <c r="FB643" s="105"/>
      <c r="FC643" s="105"/>
      <c r="FD643" s="105"/>
      <c r="FE643" s="105"/>
      <c r="FF643" s="105"/>
      <c r="FG643" s="105"/>
      <c r="FH643" s="105"/>
      <c r="FI643" s="105"/>
      <c r="FJ643" s="105"/>
      <c r="FK643" s="105"/>
      <c r="FL643" s="105"/>
      <c r="FM643" s="105"/>
      <c r="FN643" s="105"/>
      <c r="FO643" s="105"/>
      <c r="FP643" s="105"/>
      <c r="FQ643" s="105"/>
      <c r="FR643" s="105"/>
      <c r="FS643" s="105"/>
      <c r="FT643" s="105"/>
      <c r="FU643" s="105"/>
      <c r="FV643" s="105"/>
      <c r="FW643" s="105"/>
      <c r="FX643" s="105"/>
      <c r="FY643" s="105"/>
      <c r="FZ643" s="105"/>
      <c r="GA643" s="105"/>
      <c r="GB643" s="105"/>
      <c r="GC643" s="105"/>
      <c r="GD643" s="105"/>
      <c r="GE643" s="105"/>
      <c r="GF643" s="105"/>
      <c r="GG643" s="105"/>
      <c r="GH643" s="105"/>
      <c r="GI643" s="105"/>
      <c r="GJ643" s="105"/>
      <c r="GK643" s="105"/>
      <c r="GL643" s="105"/>
      <c r="GM643" s="105"/>
      <c r="GN643" s="105"/>
      <c r="GO643" s="105"/>
      <c r="GP643" s="105"/>
      <c r="GQ643" s="105"/>
      <c r="GR643" s="105"/>
      <c r="GS643" s="105"/>
      <c r="GT643" s="105"/>
      <c r="GU643" s="105"/>
      <c r="GV643" s="105"/>
      <c r="GW643" s="105"/>
      <c r="GX643" s="105"/>
      <c r="GY643" s="105"/>
      <c r="GZ643" s="105"/>
      <c r="HA643" s="105"/>
      <c r="HB643" s="105"/>
      <c r="HC643" s="105"/>
      <c r="HD643" s="105"/>
      <c r="HE643" s="105"/>
      <c r="HF643" s="105"/>
      <c r="HG643" s="105"/>
      <c r="HH643" s="105"/>
      <c r="HI643" s="105"/>
      <c r="HJ643" s="105"/>
      <c r="HK643" s="105"/>
      <c r="HL643" s="105"/>
      <c r="HM643" s="105"/>
      <c r="HN643" s="105"/>
      <c r="HO643" s="105"/>
      <c r="HP643" s="105"/>
      <c r="HQ643" s="105"/>
      <c r="HR643" s="105"/>
      <c r="HS643" s="105"/>
      <c r="HT643" s="105"/>
      <c r="HU643" s="105"/>
      <c r="HV643" s="105"/>
      <c r="HW643" s="105"/>
      <c r="HX643" s="105"/>
      <c r="HY643" s="105"/>
      <c r="HZ643" s="105"/>
      <c r="IA643" s="105"/>
      <c r="IB643" s="105"/>
      <c r="IC643" s="105"/>
      <c r="ID643" s="105"/>
      <c r="IE643" s="105"/>
      <c r="IF643" s="105"/>
      <c r="IG643" s="105"/>
      <c r="IH643" s="105"/>
      <c r="II643" s="105"/>
      <c r="IJ643" s="105"/>
      <c r="IK643" s="105"/>
      <c r="IL643" s="105"/>
      <c r="IM643" s="105"/>
      <c r="IN643" s="105"/>
      <c r="IO643" s="105"/>
      <c r="IP643" s="105"/>
      <c r="IQ643" s="105"/>
      <c r="IR643" s="105"/>
      <c r="IS643" s="105"/>
    </row>
    <row r="644" spans="1:253">
      <c r="A644" s="116"/>
      <c r="B644" s="105"/>
      <c r="C644" s="116"/>
      <c r="D644" s="116"/>
      <c r="E644" s="116"/>
      <c r="F644" s="116"/>
      <c r="G644" s="116"/>
      <c r="H644" s="116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05"/>
      <c r="BF644" s="105"/>
      <c r="BG644" s="105"/>
      <c r="BH644" s="105"/>
      <c r="BI644" s="105"/>
      <c r="BJ644" s="105"/>
      <c r="BK644" s="105"/>
      <c r="BL644" s="105"/>
      <c r="BM644" s="105"/>
      <c r="BN644" s="105"/>
      <c r="BO644" s="105"/>
      <c r="BP644" s="105"/>
      <c r="BQ644" s="105"/>
      <c r="BR644" s="105"/>
      <c r="BS644" s="105"/>
      <c r="BT644" s="105"/>
      <c r="BU644" s="105"/>
      <c r="BV644" s="105"/>
      <c r="BW644" s="105"/>
      <c r="BX644" s="105"/>
      <c r="BY644" s="105"/>
      <c r="BZ644" s="105"/>
      <c r="CA644" s="105"/>
      <c r="CB644" s="105"/>
      <c r="CC644" s="105"/>
      <c r="CD644" s="105"/>
      <c r="CE644" s="105"/>
      <c r="CF644" s="105"/>
      <c r="CG644" s="105"/>
      <c r="CH644" s="105"/>
      <c r="CI644" s="105"/>
      <c r="CJ644" s="105"/>
      <c r="CK644" s="105"/>
      <c r="CL644" s="105"/>
      <c r="CM644" s="105"/>
      <c r="CN644" s="105"/>
      <c r="CO644" s="105"/>
      <c r="CP644" s="105"/>
      <c r="CQ644" s="105"/>
      <c r="CR644" s="105"/>
      <c r="CS644" s="105"/>
      <c r="CT644" s="105"/>
      <c r="CU644" s="105"/>
      <c r="CV644" s="105"/>
      <c r="CW644" s="105"/>
      <c r="CX644" s="105"/>
      <c r="CY644" s="105"/>
      <c r="CZ644" s="105"/>
      <c r="DA644" s="105"/>
      <c r="DB644" s="105"/>
      <c r="DC644" s="105"/>
      <c r="DD644" s="105"/>
      <c r="DE644" s="105"/>
      <c r="DF644" s="105"/>
      <c r="DG644" s="105"/>
      <c r="DH644" s="105"/>
      <c r="DI644" s="105"/>
      <c r="DJ644" s="105"/>
      <c r="DK644" s="105"/>
      <c r="DL644" s="105"/>
      <c r="DM644" s="105"/>
      <c r="DN644" s="105"/>
      <c r="DO644" s="105"/>
      <c r="DP644" s="105"/>
      <c r="DQ644" s="105"/>
      <c r="DR644" s="105"/>
      <c r="DS644" s="105"/>
      <c r="DT644" s="105"/>
      <c r="DU644" s="105"/>
      <c r="DV644" s="105"/>
      <c r="DW644" s="105"/>
      <c r="DX644" s="105"/>
      <c r="DY644" s="105"/>
      <c r="DZ644" s="105"/>
      <c r="EA644" s="105"/>
      <c r="EB644" s="105"/>
      <c r="EC644" s="105"/>
      <c r="ED644" s="105"/>
      <c r="EE644" s="105"/>
      <c r="EF644" s="105"/>
      <c r="EG644" s="105"/>
      <c r="EH644" s="105"/>
      <c r="EI644" s="105"/>
      <c r="EJ644" s="105"/>
      <c r="EK644" s="105"/>
      <c r="EL644" s="105"/>
      <c r="EM644" s="105"/>
      <c r="EN644" s="105"/>
      <c r="EO644" s="105"/>
      <c r="EP644" s="105"/>
      <c r="EQ644" s="105"/>
      <c r="ER644" s="105"/>
      <c r="ES644" s="105"/>
      <c r="ET644" s="105"/>
      <c r="EU644" s="105"/>
      <c r="EV644" s="105"/>
      <c r="EW644" s="105"/>
      <c r="EX644" s="105"/>
      <c r="EY644" s="105"/>
      <c r="EZ644" s="105"/>
      <c r="FA644" s="105"/>
      <c r="FB644" s="105"/>
      <c r="FC644" s="105"/>
      <c r="FD644" s="105"/>
      <c r="FE644" s="105"/>
      <c r="FF644" s="105"/>
      <c r="FG644" s="105"/>
      <c r="FH644" s="105"/>
      <c r="FI644" s="105"/>
      <c r="FJ644" s="105"/>
      <c r="FK644" s="105"/>
      <c r="FL644" s="105"/>
      <c r="FM644" s="105"/>
      <c r="FN644" s="105"/>
      <c r="FO644" s="105"/>
      <c r="FP644" s="105"/>
      <c r="FQ644" s="105"/>
      <c r="FR644" s="105"/>
      <c r="FS644" s="105"/>
      <c r="FT644" s="105"/>
      <c r="FU644" s="105"/>
      <c r="FV644" s="105"/>
      <c r="FW644" s="105"/>
      <c r="FX644" s="105"/>
      <c r="FY644" s="105"/>
      <c r="FZ644" s="105"/>
      <c r="GA644" s="105"/>
      <c r="GB644" s="105"/>
      <c r="GC644" s="105"/>
      <c r="GD644" s="105"/>
      <c r="GE644" s="105"/>
      <c r="GF644" s="105"/>
      <c r="GG644" s="105"/>
      <c r="GH644" s="105"/>
      <c r="GI644" s="105"/>
      <c r="GJ644" s="105"/>
      <c r="GK644" s="105"/>
      <c r="GL644" s="105"/>
      <c r="GM644" s="105"/>
      <c r="GN644" s="105"/>
      <c r="GO644" s="105"/>
      <c r="GP644" s="105"/>
      <c r="GQ644" s="105"/>
      <c r="GR644" s="105"/>
      <c r="GS644" s="105"/>
      <c r="GT644" s="105"/>
      <c r="GU644" s="105"/>
      <c r="GV644" s="105"/>
      <c r="GW644" s="105"/>
      <c r="GX644" s="105"/>
      <c r="GY644" s="105"/>
      <c r="GZ644" s="105"/>
      <c r="HA644" s="105"/>
      <c r="HB644" s="105"/>
      <c r="HC644" s="105"/>
      <c r="HD644" s="105"/>
      <c r="HE644" s="105"/>
      <c r="HF644" s="105"/>
      <c r="HG644" s="105"/>
      <c r="HH644" s="105"/>
      <c r="HI644" s="105"/>
      <c r="HJ644" s="105"/>
      <c r="HK644" s="105"/>
      <c r="HL644" s="105"/>
      <c r="HM644" s="105"/>
      <c r="HN644" s="105"/>
      <c r="HO644" s="105"/>
      <c r="HP644" s="105"/>
      <c r="HQ644" s="105"/>
      <c r="HR644" s="105"/>
      <c r="HS644" s="105"/>
      <c r="HT644" s="105"/>
      <c r="HU644" s="105"/>
      <c r="HV644" s="105"/>
      <c r="HW644" s="105"/>
      <c r="HX644" s="105"/>
      <c r="HY644" s="105"/>
      <c r="HZ644" s="105"/>
      <c r="IA644" s="105"/>
      <c r="IB644" s="105"/>
      <c r="IC644" s="105"/>
      <c r="ID644" s="105"/>
      <c r="IE644" s="105"/>
      <c r="IF644" s="105"/>
      <c r="IG644" s="105"/>
      <c r="IH644" s="105"/>
      <c r="II644" s="105"/>
      <c r="IJ644" s="105"/>
      <c r="IK644" s="105"/>
      <c r="IL644" s="105"/>
      <c r="IM644" s="105"/>
      <c r="IN644" s="105"/>
      <c r="IO644" s="105"/>
      <c r="IP644" s="105"/>
      <c r="IQ644" s="105"/>
      <c r="IR644" s="105"/>
      <c r="IS644" s="105"/>
    </row>
    <row r="645" spans="1:253">
      <c r="A645" s="116"/>
      <c r="B645" s="105"/>
      <c r="C645" s="116"/>
      <c r="D645" s="116"/>
      <c r="E645" s="116"/>
      <c r="F645" s="116"/>
      <c r="G645" s="116"/>
      <c r="H645" s="116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5"/>
      <c r="BE645" s="105"/>
      <c r="BF645" s="105"/>
      <c r="BG645" s="105"/>
      <c r="BH645" s="105"/>
      <c r="BI645" s="105"/>
      <c r="BJ645" s="105"/>
      <c r="BK645" s="105"/>
      <c r="BL645" s="105"/>
      <c r="BM645" s="105"/>
      <c r="BN645" s="105"/>
      <c r="BO645" s="105"/>
      <c r="BP645" s="105"/>
      <c r="BQ645" s="105"/>
      <c r="BR645" s="105"/>
      <c r="BS645" s="105"/>
      <c r="BT645" s="105"/>
      <c r="BU645" s="105"/>
      <c r="BV645" s="105"/>
      <c r="BW645" s="105"/>
      <c r="BX645" s="105"/>
      <c r="BY645" s="105"/>
      <c r="BZ645" s="105"/>
      <c r="CA645" s="105"/>
      <c r="CB645" s="105"/>
      <c r="CC645" s="105"/>
      <c r="CD645" s="105"/>
      <c r="CE645" s="105"/>
      <c r="CF645" s="105"/>
      <c r="CG645" s="105"/>
      <c r="CH645" s="105"/>
      <c r="CI645" s="105"/>
      <c r="CJ645" s="105"/>
      <c r="CK645" s="105"/>
      <c r="CL645" s="105"/>
      <c r="CM645" s="105"/>
      <c r="CN645" s="105"/>
      <c r="CO645" s="105"/>
      <c r="CP645" s="105"/>
      <c r="CQ645" s="105"/>
      <c r="CR645" s="105"/>
      <c r="CS645" s="105"/>
      <c r="CT645" s="105"/>
      <c r="CU645" s="105"/>
      <c r="CV645" s="105"/>
      <c r="CW645" s="105"/>
      <c r="CX645" s="105"/>
      <c r="CY645" s="105"/>
      <c r="CZ645" s="105"/>
      <c r="DA645" s="105"/>
      <c r="DB645" s="105"/>
      <c r="DC645" s="105"/>
      <c r="DD645" s="105"/>
      <c r="DE645" s="105"/>
      <c r="DF645" s="105"/>
      <c r="DG645" s="105"/>
      <c r="DH645" s="105"/>
      <c r="DI645" s="105"/>
      <c r="DJ645" s="105"/>
      <c r="DK645" s="105"/>
      <c r="DL645" s="105"/>
      <c r="DM645" s="105"/>
      <c r="DN645" s="105"/>
      <c r="DO645" s="105"/>
      <c r="DP645" s="105"/>
      <c r="DQ645" s="105"/>
      <c r="DR645" s="105"/>
      <c r="DS645" s="105"/>
      <c r="DT645" s="105"/>
      <c r="DU645" s="105"/>
      <c r="DV645" s="105"/>
      <c r="DW645" s="105"/>
      <c r="DX645" s="105"/>
      <c r="DY645" s="105"/>
      <c r="DZ645" s="105"/>
      <c r="EA645" s="105"/>
      <c r="EB645" s="105"/>
      <c r="EC645" s="105"/>
      <c r="ED645" s="105"/>
      <c r="EE645" s="105"/>
      <c r="EF645" s="105"/>
      <c r="EG645" s="105"/>
      <c r="EH645" s="105"/>
      <c r="EI645" s="105"/>
      <c r="EJ645" s="105"/>
      <c r="EK645" s="105"/>
      <c r="EL645" s="105"/>
      <c r="EM645" s="105"/>
      <c r="EN645" s="105"/>
      <c r="EO645" s="105"/>
      <c r="EP645" s="105"/>
      <c r="EQ645" s="105"/>
      <c r="ER645" s="105"/>
      <c r="ES645" s="105"/>
      <c r="ET645" s="105"/>
      <c r="EU645" s="105"/>
      <c r="EV645" s="105"/>
      <c r="EW645" s="105"/>
      <c r="EX645" s="105"/>
      <c r="EY645" s="105"/>
      <c r="EZ645" s="105"/>
      <c r="FA645" s="105"/>
      <c r="FB645" s="105"/>
      <c r="FC645" s="105"/>
      <c r="FD645" s="105"/>
      <c r="FE645" s="105"/>
      <c r="FF645" s="105"/>
      <c r="FG645" s="105"/>
      <c r="FH645" s="105"/>
      <c r="FI645" s="105"/>
      <c r="FJ645" s="105"/>
      <c r="FK645" s="105"/>
      <c r="FL645" s="105"/>
      <c r="FM645" s="105"/>
      <c r="FN645" s="105"/>
      <c r="FO645" s="105"/>
      <c r="FP645" s="105"/>
      <c r="FQ645" s="105"/>
      <c r="FR645" s="105"/>
      <c r="FS645" s="105"/>
      <c r="FT645" s="105"/>
      <c r="FU645" s="105"/>
      <c r="FV645" s="105"/>
      <c r="FW645" s="105"/>
      <c r="FX645" s="105"/>
      <c r="FY645" s="105"/>
      <c r="FZ645" s="105"/>
      <c r="GA645" s="105"/>
      <c r="GB645" s="105"/>
      <c r="GC645" s="105"/>
      <c r="GD645" s="105"/>
      <c r="GE645" s="105"/>
      <c r="GF645" s="105"/>
      <c r="GG645" s="105"/>
      <c r="GH645" s="105"/>
      <c r="GI645" s="105"/>
      <c r="GJ645" s="105"/>
      <c r="GK645" s="105"/>
      <c r="GL645" s="105"/>
      <c r="GM645" s="105"/>
      <c r="GN645" s="105"/>
      <c r="GO645" s="105"/>
      <c r="GP645" s="105"/>
      <c r="GQ645" s="105"/>
      <c r="GR645" s="105"/>
      <c r="GS645" s="105"/>
      <c r="GT645" s="105"/>
      <c r="GU645" s="105"/>
      <c r="GV645" s="105"/>
      <c r="GW645" s="105"/>
      <c r="GX645" s="105"/>
      <c r="GY645" s="105"/>
      <c r="GZ645" s="105"/>
      <c r="HA645" s="105"/>
      <c r="HB645" s="105"/>
      <c r="HC645" s="105"/>
      <c r="HD645" s="105"/>
      <c r="HE645" s="105"/>
      <c r="HF645" s="105"/>
      <c r="HG645" s="105"/>
      <c r="HH645" s="105"/>
      <c r="HI645" s="105"/>
      <c r="HJ645" s="105"/>
      <c r="HK645" s="105"/>
      <c r="HL645" s="105"/>
      <c r="HM645" s="105"/>
      <c r="HN645" s="105"/>
      <c r="HO645" s="105"/>
      <c r="HP645" s="105"/>
      <c r="HQ645" s="105"/>
      <c r="HR645" s="105"/>
      <c r="HS645" s="105"/>
      <c r="HT645" s="105"/>
      <c r="HU645" s="105"/>
      <c r="HV645" s="105"/>
      <c r="HW645" s="105"/>
      <c r="HX645" s="105"/>
      <c r="HY645" s="105"/>
      <c r="HZ645" s="105"/>
      <c r="IA645" s="105"/>
      <c r="IB645" s="105"/>
      <c r="IC645" s="105"/>
      <c r="ID645" s="105"/>
      <c r="IE645" s="105"/>
      <c r="IF645" s="105"/>
      <c r="IG645" s="105"/>
      <c r="IH645" s="105"/>
      <c r="II645" s="105"/>
      <c r="IJ645" s="105"/>
      <c r="IK645" s="105"/>
      <c r="IL645" s="105"/>
      <c r="IM645" s="105"/>
      <c r="IN645" s="105"/>
      <c r="IO645" s="105"/>
      <c r="IP645" s="105"/>
      <c r="IQ645" s="105"/>
      <c r="IR645" s="105"/>
      <c r="IS645" s="105"/>
    </row>
    <row r="646" spans="1:253">
      <c r="A646" s="116"/>
      <c r="B646" s="105"/>
      <c r="C646" s="116"/>
      <c r="D646" s="116"/>
      <c r="E646" s="116"/>
      <c r="F646" s="116"/>
      <c r="G646" s="116"/>
      <c r="H646" s="116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05"/>
      <c r="BF646" s="105"/>
      <c r="BG646" s="105"/>
      <c r="BH646" s="105"/>
      <c r="BI646" s="105"/>
      <c r="BJ646" s="105"/>
      <c r="BK646" s="105"/>
      <c r="BL646" s="105"/>
      <c r="BM646" s="105"/>
      <c r="BN646" s="105"/>
      <c r="BO646" s="105"/>
      <c r="BP646" s="105"/>
      <c r="BQ646" s="105"/>
      <c r="BR646" s="105"/>
      <c r="BS646" s="105"/>
      <c r="BT646" s="105"/>
      <c r="BU646" s="105"/>
      <c r="BV646" s="105"/>
      <c r="BW646" s="105"/>
      <c r="BX646" s="105"/>
      <c r="BY646" s="105"/>
      <c r="BZ646" s="105"/>
      <c r="CA646" s="105"/>
      <c r="CB646" s="105"/>
      <c r="CC646" s="105"/>
      <c r="CD646" s="105"/>
      <c r="CE646" s="105"/>
      <c r="CF646" s="105"/>
      <c r="CG646" s="105"/>
      <c r="CH646" s="105"/>
      <c r="CI646" s="105"/>
      <c r="CJ646" s="105"/>
      <c r="CK646" s="105"/>
      <c r="CL646" s="105"/>
      <c r="CM646" s="105"/>
      <c r="CN646" s="105"/>
      <c r="CO646" s="105"/>
      <c r="CP646" s="105"/>
      <c r="CQ646" s="105"/>
      <c r="CR646" s="105"/>
      <c r="CS646" s="105"/>
      <c r="CT646" s="105"/>
      <c r="CU646" s="105"/>
      <c r="CV646" s="105"/>
      <c r="CW646" s="105"/>
      <c r="CX646" s="105"/>
      <c r="CY646" s="105"/>
      <c r="CZ646" s="105"/>
      <c r="DA646" s="105"/>
      <c r="DB646" s="105"/>
      <c r="DC646" s="105"/>
      <c r="DD646" s="105"/>
      <c r="DE646" s="105"/>
      <c r="DF646" s="105"/>
      <c r="DG646" s="105"/>
      <c r="DH646" s="105"/>
      <c r="DI646" s="105"/>
      <c r="DJ646" s="105"/>
      <c r="DK646" s="105"/>
      <c r="DL646" s="105"/>
      <c r="DM646" s="105"/>
      <c r="DN646" s="105"/>
      <c r="DO646" s="105"/>
      <c r="DP646" s="105"/>
      <c r="DQ646" s="105"/>
      <c r="DR646" s="105"/>
      <c r="DS646" s="105"/>
      <c r="DT646" s="105"/>
      <c r="DU646" s="105"/>
      <c r="DV646" s="105"/>
      <c r="DW646" s="105"/>
      <c r="DX646" s="105"/>
      <c r="DY646" s="105"/>
      <c r="DZ646" s="105"/>
      <c r="EA646" s="105"/>
      <c r="EB646" s="105"/>
      <c r="EC646" s="105"/>
      <c r="ED646" s="105"/>
      <c r="EE646" s="105"/>
      <c r="EF646" s="105"/>
      <c r="EG646" s="105"/>
      <c r="EH646" s="105"/>
      <c r="EI646" s="105"/>
      <c r="EJ646" s="105"/>
      <c r="EK646" s="105"/>
      <c r="EL646" s="105"/>
      <c r="EM646" s="105"/>
      <c r="EN646" s="105"/>
      <c r="EO646" s="105"/>
      <c r="EP646" s="105"/>
      <c r="EQ646" s="105"/>
      <c r="ER646" s="105"/>
      <c r="ES646" s="105"/>
      <c r="ET646" s="105"/>
      <c r="EU646" s="105"/>
      <c r="EV646" s="105"/>
      <c r="EW646" s="105"/>
      <c r="EX646" s="105"/>
      <c r="EY646" s="105"/>
      <c r="EZ646" s="105"/>
      <c r="FA646" s="105"/>
      <c r="FB646" s="105"/>
      <c r="FC646" s="105"/>
      <c r="FD646" s="105"/>
      <c r="FE646" s="105"/>
      <c r="FF646" s="105"/>
      <c r="FG646" s="105"/>
      <c r="FH646" s="105"/>
      <c r="FI646" s="105"/>
      <c r="FJ646" s="105"/>
      <c r="FK646" s="105"/>
      <c r="FL646" s="105"/>
      <c r="FM646" s="105"/>
      <c r="FN646" s="105"/>
      <c r="FO646" s="105"/>
      <c r="FP646" s="105"/>
      <c r="FQ646" s="105"/>
      <c r="FR646" s="105"/>
      <c r="FS646" s="105"/>
      <c r="FT646" s="105"/>
      <c r="FU646" s="105"/>
      <c r="FV646" s="105"/>
      <c r="FW646" s="105"/>
      <c r="FX646" s="105"/>
      <c r="FY646" s="105"/>
      <c r="FZ646" s="105"/>
      <c r="GA646" s="105"/>
      <c r="GB646" s="105"/>
      <c r="GC646" s="105"/>
      <c r="GD646" s="105"/>
      <c r="GE646" s="105"/>
      <c r="GF646" s="105"/>
      <c r="GG646" s="105"/>
      <c r="GH646" s="105"/>
      <c r="GI646" s="105"/>
      <c r="GJ646" s="105"/>
      <c r="GK646" s="105"/>
      <c r="GL646" s="105"/>
      <c r="GM646" s="105"/>
      <c r="GN646" s="105"/>
      <c r="GO646" s="105"/>
      <c r="GP646" s="105"/>
      <c r="GQ646" s="105"/>
      <c r="GR646" s="105"/>
      <c r="GS646" s="105"/>
      <c r="GT646" s="105"/>
      <c r="GU646" s="105"/>
      <c r="GV646" s="105"/>
      <c r="GW646" s="105"/>
      <c r="GX646" s="105"/>
      <c r="GY646" s="105"/>
      <c r="GZ646" s="105"/>
      <c r="HA646" s="105"/>
      <c r="HB646" s="105"/>
      <c r="HC646" s="105"/>
      <c r="HD646" s="105"/>
      <c r="HE646" s="105"/>
      <c r="HF646" s="105"/>
      <c r="HG646" s="105"/>
      <c r="HH646" s="105"/>
      <c r="HI646" s="105"/>
      <c r="HJ646" s="105"/>
      <c r="HK646" s="105"/>
      <c r="HL646" s="105"/>
      <c r="HM646" s="105"/>
      <c r="HN646" s="105"/>
      <c r="HO646" s="105"/>
      <c r="HP646" s="105"/>
      <c r="HQ646" s="105"/>
      <c r="HR646" s="105"/>
      <c r="HS646" s="105"/>
      <c r="HT646" s="105"/>
      <c r="HU646" s="105"/>
      <c r="HV646" s="105"/>
      <c r="HW646" s="105"/>
      <c r="HX646" s="105"/>
      <c r="HY646" s="105"/>
      <c r="HZ646" s="105"/>
      <c r="IA646" s="105"/>
      <c r="IB646" s="105"/>
      <c r="IC646" s="105"/>
      <c r="ID646" s="105"/>
      <c r="IE646" s="105"/>
      <c r="IF646" s="105"/>
      <c r="IG646" s="105"/>
      <c r="IH646" s="105"/>
      <c r="II646" s="105"/>
      <c r="IJ646" s="105"/>
      <c r="IK646" s="105"/>
      <c r="IL646" s="105"/>
      <c r="IM646" s="105"/>
      <c r="IN646" s="105"/>
      <c r="IO646" s="105"/>
      <c r="IP646" s="105"/>
      <c r="IQ646" s="105"/>
      <c r="IR646" s="105"/>
      <c r="IS646" s="105"/>
    </row>
    <row r="647" spans="1:253">
      <c r="A647" s="116"/>
      <c r="B647" s="105"/>
      <c r="C647" s="116"/>
      <c r="D647" s="116"/>
      <c r="E647" s="116"/>
      <c r="F647" s="116"/>
      <c r="G647" s="116"/>
      <c r="H647" s="116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5"/>
      <c r="BE647" s="105"/>
      <c r="BF647" s="105"/>
      <c r="BG647" s="105"/>
      <c r="BH647" s="105"/>
      <c r="BI647" s="105"/>
      <c r="BJ647" s="105"/>
      <c r="BK647" s="105"/>
      <c r="BL647" s="105"/>
      <c r="BM647" s="105"/>
      <c r="BN647" s="105"/>
      <c r="BO647" s="105"/>
      <c r="BP647" s="105"/>
      <c r="BQ647" s="105"/>
      <c r="BR647" s="105"/>
      <c r="BS647" s="105"/>
      <c r="BT647" s="105"/>
      <c r="BU647" s="105"/>
      <c r="BV647" s="105"/>
      <c r="BW647" s="105"/>
      <c r="BX647" s="105"/>
      <c r="BY647" s="105"/>
      <c r="BZ647" s="105"/>
      <c r="CA647" s="105"/>
      <c r="CB647" s="105"/>
      <c r="CC647" s="105"/>
      <c r="CD647" s="105"/>
      <c r="CE647" s="105"/>
      <c r="CF647" s="105"/>
      <c r="CG647" s="105"/>
      <c r="CH647" s="105"/>
      <c r="CI647" s="105"/>
      <c r="CJ647" s="105"/>
      <c r="CK647" s="105"/>
      <c r="CL647" s="105"/>
      <c r="CM647" s="105"/>
      <c r="CN647" s="105"/>
      <c r="CO647" s="105"/>
      <c r="CP647" s="105"/>
      <c r="CQ647" s="105"/>
      <c r="CR647" s="105"/>
      <c r="CS647" s="105"/>
      <c r="CT647" s="105"/>
      <c r="CU647" s="105"/>
      <c r="CV647" s="105"/>
      <c r="CW647" s="105"/>
      <c r="CX647" s="105"/>
      <c r="CY647" s="105"/>
      <c r="CZ647" s="105"/>
      <c r="DA647" s="105"/>
      <c r="DB647" s="105"/>
      <c r="DC647" s="105"/>
      <c r="DD647" s="105"/>
      <c r="DE647" s="105"/>
      <c r="DF647" s="105"/>
      <c r="DG647" s="105"/>
      <c r="DH647" s="105"/>
      <c r="DI647" s="105"/>
      <c r="DJ647" s="105"/>
      <c r="DK647" s="105"/>
      <c r="DL647" s="105"/>
      <c r="DM647" s="105"/>
      <c r="DN647" s="105"/>
      <c r="DO647" s="105"/>
      <c r="DP647" s="105"/>
      <c r="DQ647" s="105"/>
      <c r="DR647" s="105"/>
      <c r="DS647" s="105"/>
      <c r="DT647" s="105"/>
      <c r="DU647" s="105"/>
      <c r="DV647" s="105"/>
      <c r="DW647" s="105"/>
      <c r="DX647" s="105"/>
      <c r="DY647" s="105"/>
      <c r="DZ647" s="105"/>
      <c r="EA647" s="105"/>
      <c r="EB647" s="105"/>
      <c r="EC647" s="105"/>
      <c r="ED647" s="105"/>
      <c r="EE647" s="105"/>
      <c r="EF647" s="105"/>
      <c r="EG647" s="105"/>
      <c r="EH647" s="105"/>
      <c r="EI647" s="105"/>
      <c r="EJ647" s="105"/>
      <c r="EK647" s="105"/>
      <c r="EL647" s="105"/>
      <c r="EM647" s="105"/>
      <c r="EN647" s="105"/>
      <c r="EO647" s="105"/>
      <c r="EP647" s="105"/>
      <c r="EQ647" s="105"/>
      <c r="ER647" s="105"/>
      <c r="ES647" s="105"/>
      <c r="ET647" s="105"/>
      <c r="EU647" s="105"/>
      <c r="EV647" s="105"/>
      <c r="EW647" s="105"/>
      <c r="EX647" s="105"/>
      <c r="EY647" s="105"/>
      <c r="EZ647" s="105"/>
      <c r="FA647" s="105"/>
      <c r="FB647" s="105"/>
      <c r="FC647" s="105"/>
      <c r="FD647" s="105"/>
      <c r="FE647" s="105"/>
      <c r="FF647" s="105"/>
      <c r="FG647" s="105"/>
      <c r="FH647" s="105"/>
      <c r="FI647" s="105"/>
      <c r="FJ647" s="105"/>
      <c r="FK647" s="105"/>
      <c r="FL647" s="105"/>
      <c r="FM647" s="105"/>
      <c r="FN647" s="105"/>
      <c r="FO647" s="105"/>
      <c r="FP647" s="105"/>
      <c r="FQ647" s="105"/>
      <c r="FR647" s="105"/>
      <c r="FS647" s="105"/>
      <c r="FT647" s="105"/>
      <c r="FU647" s="105"/>
      <c r="FV647" s="105"/>
      <c r="FW647" s="105"/>
      <c r="FX647" s="105"/>
      <c r="FY647" s="105"/>
      <c r="FZ647" s="105"/>
      <c r="GA647" s="105"/>
      <c r="GB647" s="105"/>
      <c r="GC647" s="105"/>
      <c r="GD647" s="105"/>
      <c r="GE647" s="105"/>
      <c r="GF647" s="105"/>
      <c r="GG647" s="105"/>
      <c r="GH647" s="105"/>
      <c r="GI647" s="105"/>
      <c r="GJ647" s="105"/>
      <c r="GK647" s="105"/>
      <c r="GL647" s="105"/>
      <c r="GM647" s="105"/>
      <c r="GN647" s="105"/>
      <c r="GO647" s="105"/>
      <c r="GP647" s="105"/>
      <c r="GQ647" s="105"/>
      <c r="GR647" s="105"/>
      <c r="GS647" s="105"/>
      <c r="GT647" s="105"/>
      <c r="GU647" s="105"/>
      <c r="GV647" s="105"/>
      <c r="GW647" s="105"/>
      <c r="GX647" s="105"/>
      <c r="GY647" s="105"/>
      <c r="GZ647" s="105"/>
      <c r="HA647" s="105"/>
      <c r="HB647" s="105"/>
      <c r="HC647" s="105"/>
      <c r="HD647" s="105"/>
      <c r="HE647" s="105"/>
      <c r="HF647" s="105"/>
      <c r="HG647" s="105"/>
      <c r="HH647" s="105"/>
      <c r="HI647" s="105"/>
      <c r="HJ647" s="105"/>
      <c r="HK647" s="105"/>
      <c r="HL647" s="105"/>
      <c r="HM647" s="105"/>
      <c r="HN647" s="105"/>
      <c r="HO647" s="105"/>
      <c r="HP647" s="105"/>
      <c r="HQ647" s="105"/>
      <c r="HR647" s="105"/>
      <c r="HS647" s="105"/>
      <c r="HT647" s="105"/>
      <c r="HU647" s="105"/>
      <c r="HV647" s="105"/>
      <c r="HW647" s="105"/>
      <c r="HX647" s="105"/>
      <c r="HY647" s="105"/>
      <c r="HZ647" s="105"/>
      <c r="IA647" s="105"/>
      <c r="IB647" s="105"/>
      <c r="IC647" s="105"/>
      <c r="ID647" s="105"/>
      <c r="IE647" s="105"/>
      <c r="IF647" s="105"/>
      <c r="IG647" s="105"/>
      <c r="IH647" s="105"/>
      <c r="II647" s="105"/>
      <c r="IJ647" s="105"/>
      <c r="IK647" s="105"/>
      <c r="IL647" s="105"/>
      <c r="IM647" s="105"/>
      <c r="IN647" s="105"/>
      <c r="IO647" s="105"/>
      <c r="IP647" s="105"/>
      <c r="IQ647" s="105"/>
      <c r="IR647" s="105"/>
      <c r="IS647" s="105"/>
    </row>
    <row r="648" spans="1:253">
      <c r="A648" s="116"/>
      <c r="B648" s="105"/>
      <c r="C648" s="116"/>
      <c r="D648" s="116"/>
      <c r="E648" s="116"/>
      <c r="F648" s="116"/>
      <c r="G648" s="116"/>
      <c r="H648" s="116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05"/>
      <c r="BF648" s="105"/>
      <c r="BG648" s="105"/>
      <c r="BH648" s="105"/>
      <c r="BI648" s="105"/>
      <c r="BJ648" s="105"/>
      <c r="BK648" s="105"/>
      <c r="BL648" s="105"/>
      <c r="BM648" s="105"/>
      <c r="BN648" s="105"/>
      <c r="BO648" s="105"/>
      <c r="BP648" s="105"/>
      <c r="BQ648" s="105"/>
      <c r="BR648" s="105"/>
      <c r="BS648" s="105"/>
      <c r="BT648" s="105"/>
      <c r="BU648" s="105"/>
      <c r="BV648" s="105"/>
      <c r="BW648" s="105"/>
      <c r="BX648" s="105"/>
      <c r="BY648" s="105"/>
      <c r="BZ648" s="105"/>
      <c r="CA648" s="105"/>
      <c r="CB648" s="105"/>
      <c r="CC648" s="105"/>
      <c r="CD648" s="105"/>
      <c r="CE648" s="105"/>
      <c r="CF648" s="105"/>
      <c r="CG648" s="105"/>
      <c r="CH648" s="105"/>
      <c r="CI648" s="105"/>
      <c r="CJ648" s="105"/>
      <c r="CK648" s="105"/>
      <c r="CL648" s="105"/>
      <c r="CM648" s="105"/>
      <c r="CN648" s="105"/>
      <c r="CO648" s="105"/>
      <c r="CP648" s="105"/>
      <c r="CQ648" s="105"/>
      <c r="CR648" s="105"/>
      <c r="CS648" s="105"/>
      <c r="CT648" s="105"/>
      <c r="CU648" s="105"/>
      <c r="CV648" s="105"/>
      <c r="CW648" s="105"/>
      <c r="CX648" s="105"/>
      <c r="CY648" s="105"/>
      <c r="CZ648" s="105"/>
      <c r="DA648" s="105"/>
      <c r="DB648" s="105"/>
      <c r="DC648" s="105"/>
      <c r="DD648" s="105"/>
      <c r="DE648" s="105"/>
      <c r="DF648" s="105"/>
      <c r="DG648" s="105"/>
      <c r="DH648" s="105"/>
      <c r="DI648" s="105"/>
      <c r="DJ648" s="105"/>
      <c r="DK648" s="105"/>
      <c r="DL648" s="105"/>
      <c r="DM648" s="105"/>
      <c r="DN648" s="105"/>
      <c r="DO648" s="105"/>
      <c r="DP648" s="105"/>
      <c r="DQ648" s="105"/>
      <c r="DR648" s="105"/>
      <c r="DS648" s="105"/>
      <c r="DT648" s="105"/>
      <c r="DU648" s="105"/>
      <c r="DV648" s="105"/>
      <c r="DW648" s="105"/>
      <c r="DX648" s="105"/>
      <c r="DY648" s="105"/>
      <c r="DZ648" s="105"/>
      <c r="EA648" s="105"/>
      <c r="EB648" s="105"/>
      <c r="EC648" s="105"/>
      <c r="ED648" s="105"/>
      <c r="EE648" s="105"/>
      <c r="EF648" s="105"/>
      <c r="EG648" s="105"/>
      <c r="EH648" s="105"/>
      <c r="EI648" s="105"/>
      <c r="EJ648" s="105"/>
      <c r="EK648" s="105"/>
      <c r="EL648" s="105"/>
      <c r="EM648" s="105"/>
      <c r="EN648" s="105"/>
      <c r="EO648" s="105"/>
      <c r="EP648" s="105"/>
      <c r="EQ648" s="105"/>
      <c r="ER648" s="105"/>
      <c r="ES648" s="105"/>
      <c r="ET648" s="105"/>
      <c r="EU648" s="105"/>
      <c r="EV648" s="105"/>
      <c r="EW648" s="105"/>
      <c r="EX648" s="105"/>
      <c r="EY648" s="105"/>
      <c r="EZ648" s="105"/>
      <c r="FA648" s="105"/>
      <c r="FB648" s="105"/>
      <c r="FC648" s="105"/>
      <c r="FD648" s="105"/>
      <c r="FE648" s="105"/>
      <c r="FF648" s="105"/>
      <c r="FG648" s="105"/>
      <c r="FH648" s="105"/>
      <c r="FI648" s="105"/>
      <c r="FJ648" s="105"/>
      <c r="FK648" s="105"/>
      <c r="FL648" s="105"/>
      <c r="FM648" s="105"/>
      <c r="FN648" s="105"/>
      <c r="FO648" s="105"/>
      <c r="FP648" s="105"/>
      <c r="FQ648" s="105"/>
      <c r="FR648" s="105"/>
      <c r="FS648" s="105"/>
      <c r="FT648" s="105"/>
      <c r="FU648" s="105"/>
      <c r="FV648" s="105"/>
      <c r="FW648" s="105"/>
      <c r="FX648" s="105"/>
      <c r="FY648" s="105"/>
      <c r="FZ648" s="105"/>
      <c r="GA648" s="105"/>
      <c r="GB648" s="105"/>
      <c r="GC648" s="105"/>
      <c r="GD648" s="105"/>
      <c r="GE648" s="105"/>
      <c r="GF648" s="105"/>
      <c r="GG648" s="105"/>
      <c r="GH648" s="105"/>
      <c r="GI648" s="105"/>
      <c r="GJ648" s="105"/>
      <c r="GK648" s="105"/>
      <c r="GL648" s="105"/>
      <c r="GM648" s="105"/>
      <c r="GN648" s="105"/>
      <c r="GO648" s="105"/>
      <c r="GP648" s="105"/>
      <c r="GQ648" s="105"/>
      <c r="GR648" s="105"/>
      <c r="GS648" s="105"/>
      <c r="GT648" s="105"/>
      <c r="GU648" s="105"/>
      <c r="GV648" s="105"/>
      <c r="GW648" s="105"/>
      <c r="GX648" s="105"/>
      <c r="GY648" s="105"/>
      <c r="GZ648" s="105"/>
      <c r="HA648" s="105"/>
      <c r="HB648" s="105"/>
      <c r="HC648" s="105"/>
      <c r="HD648" s="105"/>
      <c r="HE648" s="105"/>
      <c r="HF648" s="105"/>
      <c r="HG648" s="105"/>
      <c r="HH648" s="105"/>
      <c r="HI648" s="105"/>
      <c r="HJ648" s="105"/>
      <c r="HK648" s="105"/>
      <c r="HL648" s="105"/>
      <c r="HM648" s="105"/>
      <c r="HN648" s="105"/>
      <c r="HO648" s="105"/>
      <c r="HP648" s="105"/>
      <c r="HQ648" s="105"/>
      <c r="HR648" s="105"/>
      <c r="HS648" s="105"/>
      <c r="HT648" s="105"/>
      <c r="HU648" s="105"/>
      <c r="HV648" s="105"/>
      <c r="HW648" s="105"/>
      <c r="HX648" s="105"/>
      <c r="HY648" s="105"/>
      <c r="HZ648" s="105"/>
      <c r="IA648" s="105"/>
      <c r="IB648" s="105"/>
      <c r="IC648" s="105"/>
      <c r="ID648" s="105"/>
      <c r="IE648" s="105"/>
      <c r="IF648" s="105"/>
      <c r="IG648" s="105"/>
      <c r="IH648" s="105"/>
      <c r="II648" s="105"/>
      <c r="IJ648" s="105"/>
      <c r="IK648" s="105"/>
      <c r="IL648" s="105"/>
      <c r="IM648" s="105"/>
      <c r="IN648" s="105"/>
      <c r="IO648" s="105"/>
      <c r="IP648" s="105"/>
      <c r="IQ648" s="105"/>
      <c r="IR648" s="105"/>
      <c r="IS648" s="105"/>
    </row>
    <row r="649" spans="1:253">
      <c r="A649" s="116"/>
      <c r="B649" s="105"/>
      <c r="C649" s="116"/>
      <c r="D649" s="116"/>
      <c r="E649" s="116"/>
      <c r="F649" s="116"/>
      <c r="G649" s="116"/>
      <c r="H649" s="116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5"/>
      <c r="BE649" s="105"/>
      <c r="BF649" s="105"/>
      <c r="BG649" s="105"/>
      <c r="BH649" s="105"/>
      <c r="BI649" s="105"/>
      <c r="BJ649" s="105"/>
      <c r="BK649" s="105"/>
      <c r="BL649" s="105"/>
      <c r="BM649" s="105"/>
      <c r="BN649" s="105"/>
      <c r="BO649" s="105"/>
      <c r="BP649" s="105"/>
      <c r="BQ649" s="105"/>
      <c r="BR649" s="105"/>
      <c r="BS649" s="105"/>
      <c r="BT649" s="105"/>
      <c r="BU649" s="105"/>
      <c r="BV649" s="105"/>
      <c r="BW649" s="105"/>
      <c r="BX649" s="105"/>
      <c r="BY649" s="105"/>
      <c r="BZ649" s="105"/>
      <c r="CA649" s="105"/>
      <c r="CB649" s="105"/>
      <c r="CC649" s="105"/>
      <c r="CD649" s="105"/>
      <c r="CE649" s="105"/>
      <c r="CF649" s="105"/>
      <c r="CG649" s="105"/>
      <c r="CH649" s="105"/>
      <c r="CI649" s="105"/>
      <c r="CJ649" s="105"/>
      <c r="CK649" s="105"/>
      <c r="CL649" s="105"/>
      <c r="CM649" s="105"/>
      <c r="CN649" s="105"/>
      <c r="CO649" s="105"/>
      <c r="CP649" s="105"/>
      <c r="CQ649" s="105"/>
      <c r="CR649" s="105"/>
      <c r="CS649" s="105"/>
      <c r="CT649" s="105"/>
      <c r="CU649" s="105"/>
      <c r="CV649" s="105"/>
      <c r="CW649" s="105"/>
      <c r="CX649" s="105"/>
      <c r="CY649" s="105"/>
      <c r="CZ649" s="105"/>
      <c r="DA649" s="105"/>
      <c r="DB649" s="105"/>
      <c r="DC649" s="105"/>
      <c r="DD649" s="105"/>
      <c r="DE649" s="105"/>
      <c r="DF649" s="105"/>
      <c r="DG649" s="105"/>
      <c r="DH649" s="105"/>
      <c r="DI649" s="105"/>
      <c r="DJ649" s="105"/>
      <c r="DK649" s="105"/>
      <c r="DL649" s="105"/>
      <c r="DM649" s="105"/>
      <c r="DN649" s="105"/>
      <c r="DO649" s="105"/>
      <c r="DP649" s="105"/>
      <c r="DQ649" s="105"/>
      <c r="DR649" s="105"/>
      <c r="DS649" s="105"/>
      <c r="DT649" s="105"/>
      <c r="DU649" s="105"/>
      <c r="DV649" s="105"/>
      <c r="DW649" s="105"/>
      <c r="DX649" s="105"/>
      <c r="DY649" s="105"/>
      <c r="DZ649" s="105"/>
      <c r="EA649" s="105"/>
      <c r="EB649" s="105"/>
      <c r="EC649" s="105"/>
      <c r="ED649" s="105"/>
      <c r="EE649" s="105"/>
      <c r="EF649" s="105"/>
      <c r="EG649" s="105"/>
      <c r="EH649" s="105"/>
      <c r="EI649" s="105"/>
      <c r="EJ649" s="105"/>
      <c r="EK649" s="105"/>
      <c r="EL649" s="105"/>
      <c r="EM649" s="105"/>
      <c r="EN649" s="105"/>
      <c r="EO649" s="105"/>
      <c r="EP649" s="105"/>
      <c r="EQ649" s="105"/>
      <c r="ER649" s="105"/>
      <c r="ES649" s="105"/>
      <c r="ET649" s="105"/>
      <c r="EU649" s="105"/>
      <c r="EV649" s="105"/>
      <c r="EW649" s="105"/>
      <c r="EX649" s="105"/>
      <c r="EY649" s="105"/>
      <c r="EZ649" s="105"/>
      <c r="FA649" s="105"/>
      <c r="FB649" s="105"/>
      <c r="FC649" s="105"/>
      <c r="FD649" s="105"/>
      <c r="FE649" s="105"/>
      <c r="FF649" s="105"/>
      <c r="FG649" s="105"/>
      <c r="FH649" s="105"/>
      <c r="FI649" s="105"/>
      <c r="FJ649" s="105"/>
      <c r="FK649" s="105"/>
      <c r="FL649" s="105"/>
      <c r="FM649" s="105"/>
      <c r="FN649" s="105"/>
      <c r="FO649" s="105"/>
      <c r="FP649" s="105"/>
      <c r="FQ649" s="105"/>
      <c r="FR649" s="105"/>
      <c r="FS649" s="105"/>
      <c r="FT649" s="105"/>
      <c r="FU649" s="105"/>
      <c r="FV649" s="105"/>
      <c r="FW649" s="105"/>
      <c r="FX649" s="105"/>
      <c r="FY649" s="105"/>
      <c r="FZ649" s="105"/>
      <c r="GA649" s="105"/>
      <c r="GB649" s="105"/>
      <c r="GC649" s="105"/>
      <c r="GD649" s="105"/>
      <c r="GE649" s="105"/>
      <c r="GF649" s="105"/>
      <c r="GG649" s="105"/>
      <c r="GH649" s="105"/>
      <c r="GI649" s="105"/>
      <c r="GJ649" s="105"/>
      <c r="GK649" s="105"/>
      <c r="GL649" s="105"/>
      <c r="GM649" s="105"/>
      <c r="GN649" s="105"/>
      <c r="GO649" s="105"/>
      <c r="GP649" s="105"/>
      <c r="GQ649" s="105"/>
      <c r="GR649" s="105"/>
      <c r="GS649" s="105"/>
      <c r="GT649" s="105"/>
      <c r="GU649" s="105"/>
      <c r="GV649" s="105"/>
      <c r="GW649" s="105"/>
      <c r="GX649" s="105"/>
      <c r="GY649" s="105"/>
      <c r="GZ649" s="105"/>
      <c r="HA649" s="105"/>
      <c r="HB649" s="105"/>
      <c r="HC649" s="105"/>
      <c r="HD649" s="105"/>
      <c r="HE649" s="105"/>
      <c r="HF649" s="105"/>
      <c r="HG649" s="105"/>
      <c r="HH649" s="105"/>
      <c r="HI649" s="105"/>
      <c r="HJ649" s="105"/>
      <c r="HK649" s="105"/>
      <c r="HL649" s="105"/>
      <c r="HM649" s="105"/>
      <c r="HN649" s="105"/>
      <c r="HO649" s="105"/>
      <c r="HP649" s="105"/>
      <c r="HQ649" s="105"/>
      <c r="HR649" s="105"/>
      <c r="HS649" s="105"/>
      <c r="HT649" s="105"/>
      <c r="HU649" s="105"/>
      <c r="HV649" s="105"/>
      <c r="HW649" s="105"/>
      <c r="HX649" s="105"/>
      <c r="HY649" s="105"/>
      <c r="HZ649" s="105"/>
      <c r="IA649" s="105"/>
      <c r="IB649" s="105"/>
      <c r="IC649" s="105"/>
      <c r="ID649" s="105"/>
      <c r="IE649" s="105"/>
      <c r="IF649" s="105"/>
      <c r="IG649" s="105"/>
      <c r="IH649" s="105"/>
      <c r="II649" s="105"/>
      <c r="IJ649" s="105"/>
      <c r="IK649" s="105"/>
      <c r="IL649" s="105"/>
      <c r="IM649" s="105"/>
      <c r="IN649" s="105"/>
      <c r="IO649" s="105"/>
      <c r="IP649" s="105"/>
      <c r="IQ649" s="105"/>
      <c r="IR649" s="105"/>
      <c r="IS649" s="105"/>
    </row>
    <row r="650" spans="1:253">
      <c r="A650" s="116"/>
      <c r="B650" s="105"/>
      <c r="C650" s="116"/>
      <c r="D650" s="116"/>
      <c r="E650" s="116"/>
      <c r="F650" s="116"/>
      <c r="G650" s="116"/>
      <c r="H650" s="116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05"/>
      <c r="BF650" s="105"/>
      <c r="BG650" s="105"/>
      <c r="BH650" s="105"/>
      <c r="BI650" s="105"/>
      <c r="BJ650" s="105"/>
      <c r="BK650" s="105"/>
      <c r="BL650" s="105"/>
      <c r="BM650" s="105"/>
      <c r="BN650" s="105"/>
      <c r="BO650" s="105"/>
      <c r="BP650" s="105"/>
      <c r="BQ650" s="105"/>
      <c r="BR650" s="105"/>
      <c r="BS650" s="105"/>
      <c r="BT650" s="105"/>
      <c r="BU650" s="105"/>
      <c r="BV650" s="105"/>
      <c r="BW650" s="105"/>
      <c r="BX650" s="105"/>
      <c r="BY650" s="105"/>
      <c r="BZ650" s="105"/>
      <c r="CA650" s="105"/>
      <c r="CB650" s="105"/>
      <c r="CC650" s="105"/>
      <c r="CD650" s="105"/>
      <c r="CE650" s="105"/>
      <c r="CF650" s="105"/>
      <c r="CG650" s="105"/>
      <c r="CH650" s="105"/>
      <c r="CI650" s="105"/>
      <c r="CJ650" s="105"/>
      <c r="CK650" s="105"/>
      <c r="CL650" s="105"/>
      <c r="CM650" s="105"/>
      <c r="CN650" s="105"/>
      <c r="CO650" s="105"/>
      <c r="CP650" s="105"/>
      <c r="CQ650" s="105"/>
      <c r="CR650" s="105"/>
      <c r="CS650" s="105"/>
      <c r="CT650" s="105"/>
      <c r="CU650" s="105"/>
      <c r="CV650" s="105"/>
      <c r="CW650" s="105"/>
      <c r="CX650" s="105"/>
      <c r="CY650" s="105"/>
      <c r="CZ650" s="105"/>
      <c r="DA650" s="105"/>
      <c r="DB650" s="105"/>
      <c r="DC650" s="105"/>
      <c r="DD650" s="105"/>
      <c r="DE650" s="105"/>
      <c r="DF650" s="105"/>
      <c r="DG650" s="105"/>
      <c r="DH650" s="105"/>
      <c r="DI650" s="105"/>
      <c r="DJ650" s="105"/>
      <c r="DK650" s="105"/>
      <c r="DL650" s="105"/>
      <c r="DM650" s="105"/>
      <c r="DN650" s="105"/>
      <c r="DO650" s="105"/>
      <c r="DP650" s="105"/>
      <c r="DQ650" s="105"/>
      <c r="DR650" s="105"/>
      <c r="DS650" s="105"/>
      <c r="DT650" s="105"/>
      <c r="DU650" s="105"/>
      <c r="DV650" s="105"/>
      <c r="DW650" s="105"/>
      <c r="DX650" s="105"/>
      <c r="DY650" s="105"/>
      <c r="DZ650" s="105"/>
      <c r="EA650" s="105"/>
      <c r="EB650" s="105"/>
      <c r="EC650" s="105"/>
      <c r="ED650" s="105"/>
      <c r="EE650" s="105"/>
      <c r="EF650" s="105"/>
      <c r="EG650" s="105"/>
      <c r="EH650" s="105"/>
      <c r="EI650" s="105"/>
      <c r="EJ650" s="105"/>
      <c r="EK650" s="105"/>
      <c r="EL650" s="105"/>
      <c r="EM650" s="105"/>
      <c r="EN650" s="105"/>
      <c r="EO650" s="105"/>
      <c r="EP650" s="105"/>
      <c r="EQ650" s="105"/>
      <c r="ER650" s="105"/>
      <c r="ES650" s="105"/>
      <c r="ET650" s="105"/>
      <c r="EU650" s="105"/>
      <c r="EV650" s="105"/>
      <c r="EW650" s="105"/>
      <c r="EX650" s="105"/>
      <c r="EY650" s="105"/>
      <c r="EZ650" s="105"/>
      <c r="FA650" s="105"/>
      <c r="FB650" s="105"/>
      <c r="FC650" s="105"/>
      <c r="FD650" s="105"/>
      <c r="FE650" s="105"/>
      <c r="FF650" s="105"/>
      <c r="FG650" s="105"/>
      <c r="FH650" s="105"/>
      <c r="FI650" s="105"/>
      <c r="FJ650" s="105"/>
      <c r="FK650" s="105"/>
      <c r="FL650" s="105"/>
      <c r="FM650" s="105"/>
      <c r="FN650" s="105"/>
      <c r="FO650" s="105"/>
      <c r="FP650" s="105"/>
      <c r="FQ650" s="105"/>
      <c r="FR650" s="105"/>
      <c r="FS650" s="105"/>
      <c r="FT650" s="105"/>
      <c r="FU650" s="105"/>
      <c r="FV650" s="105"/>
      <c r="FW650" s="105"/>
      <c r="FX650" s="105"/>
      <c r="FY650" s="105"/>
      <c r="FZ650" s="105"/>
      <c r="GA650" s="105"/>
      <c r="GB650" s="105"/>
      <c r="GC650" s="105"/>
      <c r="GD650" s="105"/>
      <c r="GE650" s="105"/>
      <c r="GF650" s="105"/>
      <c r="GG650" s="105"/>
      <c r="GH650" s="105"/>
      <c r="GI650" s="105"/>
      <c r="GJ650" s="105"/>
      <c r="GK650" s="105"/>
      <c r="GL650" s="105"/>
      <c r="GM650" s="105"/>
      <c r="GN650" s="105"/>
      <c r="GO650" s="105"/>
      <c r="GP650" s="105"/>
      <c r="GQ650" s="105"/>
      <c r="GR650" s="105"/>
      <c r="GS650" s="105"/>
      <c r="GT650" s="105"/>
      <c r="GU650" s="105"/>
      <c r="GV650" s="105"/>
      <c r="GW650" s="105"/>
      <c r="GX650" s="105"/>
      <c r="GY650" s="105"/>
      <c r="GZ650" s="105"/>
      <c r="HA650" s="105"/>
      <c r="HB650" s="105"/>
      <c r="HC650" s="105"/>
      <c r="HD650" s="105"/>
      <c r="HE650" s="105"/>
      <c r="HF650" s="105"/>
      <c r="HG650" s="105"/>
      <c r="HH650" s="105"/>
      <c r="HI650" s="105"/>
      <c r="HJ650" s="105"/>
      <c r="HK650" s="105"/>
      <c r="HL650" s="105"/>
      <c r="HM650" s="105"/>
      <c r="HN650" s="105"/>
      <c r="HO650" s="105"/>
      <c r="HP650" s="105"/>
      <c r="HQ650" s="105"/>
      <c r="HR650" s="105"/>
      <c r="HS650" s="105"/>
      <c r="HT650" s="105"/>
      <c r="HU650" s="105"/>
      <c r="HV650" s="105"/>
      <c r="HW650" s="105"/>
      <c r="HX650" s="105"/>
      <c r="HY650" s="105"/>
      <c r="HZ650" s="105"/>
      <c r="IA650" s="105"/>
      <c r="IB650" s="105"/>
      <c r="IC650" s="105"/>
      <c r="ID650" s="105"/>
      <c r="IE650" s="105"/>
      <c r="IF650" s="105"/>
      <c r="IG650" s="105"/>
      <c r="IH650" s="105"/>
      <c r="II650" s="105"/>
      <c r="IJ650" s="105"/>
      <c r="IK650" s="105"/>
      <c r="IL650" s="105"/>
      <c r="IM650" s="105"/>
      <c r="IN650" s="105"/>
      <c r="IO650" s="105"/>
      <c r="IP650" s="105"/>
      <c r="IQ650" s="105"/>
      <c r="IR650" s="105"/>
      <c r="IS650" s="105"/>
    </row>
    <row r="651" spans="1:253">
      <c r="A651" s="116"/>
      <c r="B651" s="105"/>
      <c r="C651" s="116"/>
      <c r="D651" s="116"/>
      <c r="E651" s="116"/>
      <c r="F651" s="116"/>
      <c r="G651" s="116"/>
      <c r="H651" s="116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05"/>
      <c r="BF651" s="105"/>
      <c r="BG651" s="105"/>
      <c r="BH651" s="105"/>
      <c r="BI651" s="105"/>
      <c r="BJ651" s="105"/>
      <c r="BK651" s="105"/>
      <c r="BL651" s="105"/>
      <c r="BM651" s="105"/>
      <c r="BN651" s="105"/>
      <c r="BO651" s="105"/>
      <c r="BP651" s="105"/>
      <c r="BQ651" s="105"/>
      <c r="BR651" s="105"/>
      <c r="BS651" s="105"/>
      <c r="BT651" s="105"/>
      <c r="BU651" s="105"/>
      <c r="BV651" s="105"/>
      <c r="BW651" s="105"/>
      <c r="BX651" s="105"/>
      <c r="BY651" s="105"/>
      <c r="BZ651" s="105"/>
      <c r="CA651" s="105"/>
      <c r="CB651" s="105"/>
      <c r="CC651" s="105"/>
      <c r="CD651" s="105"/>
      <c r="CE651" s="105"/>
      <c r="CF651" s="105"/>
      <c r="CG651" s="105"/>
      <c r="CH651" s="105"/>
      <c r="CI651" s="105"/>
      <c r="CJ651" s="105"/>
      <c r="CK651" s="105"/>
      <c r="CL651" s="105"/>
      <c r="CM651" s="105"/>
      <c r="CN651" s="105"/>
      <c r="CO651" s="105"/>
      <c r="CP651" s="105"/>
      <c r="CQ651" s="105"/>
      <c r="CR651" s="105"/>
      <c r="CS651" s="105"/>
      <c r="CT651" s="105"/>
      <c r="CU651" s="105"/>
      <c r="CV651" s="105"/>
      <c r="CW651" s="105"/>
      <c r="CX651" s="105"/>
      <c r="CY651" s="105"/>
      <c r="CZ651" s="105"/>
      <c r="DA651" s="105"/>
      <c r="DB651" s="105"/>
      <c r="DC651" s="105"/>
      <c r="DD651" s="105"/>
      <c r="DE651" s="105"/>
      <c r="DF651" s="105"/>
      <c r="DG651" s="105"/>
      <c r="DH651" s="105"/>
      <c r="DI651" s="105"/>
      <c r="DJ651" s="105"/>
      <c r="DK651" s="105"/>
      <c r="DL651" s="105"/>
      <c r="DM651" s="105"/>
      <c r="DN651" s="105"/>
      <c r="DO651" s="105"/>
      <c r="DP651" s="105"/>
      <c r="DQ651" s="105"/>
      <c r="DR651" s="105"/>
      <c r="DS651" s="105"/>
      <c r="DT651" s="105"/>
      <c r="DU651" s="105"/>
      <c r="DV651" s="105"/>
      <c r="DW651" s="105"/>
      <c r="DX651" s="105"/>
      <c r="DY651" s="105"/>
      <c r="DZ651" s="105"/>
      <c r="EA651" s="105"/>
      <c r="EB651" s="105"/>
      <c r="EC651" s="105"/>
      <c r="ED651" s="105"/>
      <c r="EE651" s="105"/>
      <c r="EF651" s="105"/>
      <c r="EG651" s="105"/>
      <c r="EH651" s="105"/>
      <c r="EI651" s="105"/>
      <c r="EJ651" s="105"/>
      <c r="EK651" s="105"/>
      <c r="EL651" s="105"/>
      <c r="EM651" s="105"/>
      <c r="EN651" s="105"/>
      <c r="EO651" s="105"/>
      <c r="EP651" s="105"/>
      <c r="EQ651" s="105"/>
      <c r="ER651" s="105"/>
      <c r="ES651" s="105"/>
      <c r="ET651" s="105"/>
      <c r="EU651" s="105"/>
      <c r="EV651" s="105"/>
      <c r="EW651" s="105"/>
      <c r="EX651" s="105"/>
      <c r="EY651" s="105"/>
      <c r="EZ651" s="105"/>
      <c r="FA651" s="105"/>
      <c r="FB651" s="105"/>
      <c r="FC651" s="105"/>
      <c r="FD651" s="105"/>
      <c r="FE651" s="105"/>
      <c r="FF651" s="105"/>
      <c r="FG651" s="105"/>
      <c r="FH651" s="105"/>
      <c r="FI651" s="105"/>
      <c r="FJ651" s="105"/>
      <c r="FK651" s="105"/>
      <c r="FL651" s="105"/>
      <c r="FM651" s="105"/>
      <c r="FN651" s="105"/>
      <c r="FO651" s="105"/>
      <c r="FP651" s="105"/>
      <c r="FQ651" s="105"/>
      <c r="FR651" s="105"/>
      <c r="FS651" s="105"/>
      <c r="FT651" s="105"/>
      <c r="FU651" s="105"/>
      <c r="FV651" s="105"/>
      <c r="FW651" s="105"/>
      <c r="FX651" s="105"/>
      <c r="FY651" s="105"/>
      <c r="FZ651" s="105"/>
      <c r="GA651" s="105"/>
      <c r="GB651" s="105"/>
      <c r="GC651" s="105"/>
      <c r="GD651" s="105"/>
      <c r="GE651" s="105"/>
      <c r="GF651" s="105"/>
      <c r="GG651" s="105"/>
      <c r="GH651" s="105"/>
      <c r="GI651" s="105"/>
      <c r="GJ651" s="105"/>
      <c r="GK651" s="105"/>
      <c r="GL651" s="105"/>
      <c r="GM651" s="105"/>
      <c r="GN651" s="105"/>
      <c r="GO651" s="105"/>
      <c r="GP651" s="105"/>
      <c r="GQ651" s="105"/>
      <c r="GR651" s="105"/>
      <c r="GS651" s="105"/>
      <c r="GT651" s="105"/>
      <c r="GU651" s="105"/>
      <c r="GV651" s="105"/>
      <c r="GW651" s="105"/>
      <c r="GX651" s="105"/>
      <c r="GY651" s="105"/>
      <c r="GZ651" s="105"/>
      <c r="HA651" s="105"/>
      <c r="HB651" s="105"/>
      <c r="HC651" s="105"/>
      <c r="HD651" s="105"/>
      <c r="HE651" s="105"/>
      <c r="HF651" s="105"/>
      <c r="HG651" s="105"/>
      <c r="HH651" s="105"/>
      <c r="HI651" s="105"/>
      <c r="HJ651" s="105"/>
      <c r="HK651" s="105"/>
      <c r="HL651" s="105"/>
      <c r="HM651" s="105"/>
      <c r="HN651" s="105"/>
      <c r="HO651" s="105"/>
      <c r="HP651" s="105"/>
      <c r="HQ651" s="105"/>
      <c r="HR651" s="105"/>
      <c r="HS651" s="105"/>
      <c r="HT651" s="105"/>
      <c r="HU651" s="105"/>
      <c r="HV651" s="105"/>
      <c r="HW651" s="105"/>
      <c r="HX651" s="105"/>
      <c r="HY651" s="105"/>
      <c r="HZ651" s="105"/>
      <c r="IA651" s="105"/>
      <c r="IB651" s="105"/>
      <c r="IC651" s="105"/>
      <c r="ID651" s="105"/>
      <c r="IE651" s="105"/>
      <c r="IF651" s="105"/>
      <c r="IG651" s="105"/>
      <c r="IH651" s="105"/>
      <c r="II651" s="105"/>
      <c r="IJ651" s="105"/>
      <c r="IK651" s="105"/>
      <c r="IL651" s="105"/>
      <c r="IM651" s="105"/>
      <c r="IN651" s="105"/>
      <c r="IO651" s="105"/>
      <c r="IP651" s="105"/>
      <c r="IQ651" s="105"/>
      <c r="IR651" s="105"/>
      <c r="IS651" s="105"/>
    </row>
    <row r="652" spans="1:253">
      <c r="A652" s="116"/>
      <c r="B652" s="105"/>
      <c r="C652" s="116"/>
      <c r="D652" s="116"/>
      <c r="E652" s="116"/>
      <c r="F652" s="116"/>
      <c r="G652" s="116"/>
      <c r="H652" s="116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05"/>
      <c r="BF652" s="105"/>
      <c r="BG652" s="105"/>
      <c r="BH652" s="105"/>
      <c r="BI652" s="105"/>
      <c r="BJ652" s="105"/>
      <c r="BK652" s="105"/>
      <c r="BL652" s="105"/>
      <c r="BM652" s="105"/>
      <c r="BN652" s="105"/>
      <c r="BO652" s="105"/>
      <c r="BP652" s="105"/>
      <c r="BQ652" s="105"/>
      <c r="BR652" s="105"/>
      <c r="BS652" s="105"/>
      <c r="BT652" s="105"/>
      <c r="BU652" s="105"/>
      <c r="BV652" s="105"/>
      <c r="BW652" s="105"/>
      <c r="BX652" s="105"/>
      <c r="BY652" s="105"/>
      <c r="BZ652" s="105"/>
      <c r="CA652" s="105"/>
      <c r="CB652" s="105"/>
      <c r="CC652" s="105"/>
      <c r="CD652" s="105"/>
      <c r="CE652" s="105"/>
      <c r="CF652" s="105"/>
      <c r="CG652" s="105"/>
      <c r="CH652" s="105"/>
      <c r="CI652" s="105"/>
      <c r="CJ652" s="105"/>
      <c r="CK652" s="105"/>
      <c r="CL652" s="105"/>
      <c r="CM652" s="105"/>
      <c r="CN652" s="105"/>
      <c r="CO652" s="105"/>
      <c r="CP652" s="105"/>
      <c r="CQ652" s="105"/>
      <c r="CR652" s="105"/>
      <c r="CS652" s="105"/>
      <c r="CT652" s="105"/>
      <c r="CU652" s="105"/>
      <c r="CV652" s="105"/>
      <c r="CW652" s="105"/>
      <c r="CX652" s="105"/>
      <c r="CY652" s="105"/>
      <c r="CZ652" s="105"/>
      <c r="DA652" s="105"/>
      <c r="DB652" s="105"/>
      <c r="DC652" s="105"/>
      <c r="DD652" s="105"/>
      <c r="DE652" s="105"/>
      <c r="DF652" s="105"/>
      <c r="DG652" s="105"/>
      <c r="DH652" s="105"/>
      <c r="DI652" s="105"/>
      <c r="DJ652" s="105"/>
      <c r="DK652" s="105"/>
      <c r="DL652" s="105"/>
      <c r="DM652" s="105"/>
      <c r="DN652" s="105"/>
      <c r="DO652" s="105"/>
      <c r="DP652" s="105"/>
      <c r="DQ652" s="105"/>
      <c r="DR652" s="105"/>
      <c r="DS652" s="105"/>
      <c r="DT652" s="105"/>
      <c r="DU652" s="105"/>
      <c r="DV652" s="105"/>
      <c r="DW652" s="105"/>
      <c r="DX652" s="105"/>
      <c r="DY652" s="105"/>
      <c r="DZ652" s="105"/>
      <c r="EA652" s="105"/>
      <c r="EB652" s="105"/>
      <c r="EC652" s="105"/>
      <c r="ED652" s="105"/>
      <c r="EE652" s="105"/>
      <c r="EF652" s="105"/>
      <c r="EG652" s="105"/>
      <c r="EH652" s="105"/>
      <c r="EI652" s="105"/>
      <c r="EJ652" s="105"/>
      <c r="EK652" s="105"/>
      <c r="EL652" s="105"/>
      <c r="EM652" s="105"/>
      <c r="EN652" s="105"/>
      <c r="EO652" s="105"/>
      <c r="EP652" s="105"/>
      <c r="EQ652" s="105"/>
      <c r="ER652" s="105"/>
      <c r="ES652" s="105"/>
      <c r="ET652" s="105"/>
      <c r="EU652" s="105"/>
      <c r="EV652" s="105"/>
      <c r="EW652" s="105"/>
      <c r="EX652" s="105"/>
      <c r="EY652" s="105"/>
      <c r="EZ652" s="105"/>
      <c r="FA652" s="105"/>
      <c r="FB652" s="105"/>
      <c r="FC652" s="105"/>
      <c r="FD652" s="105"/>
      <c r="FE652" s="105"/>
      <c r="FF652" s="105"/>
      <c r="FG652" s="105"/>
      <c r="FH652" s="105"/>
      <c r="FI652" s="105"/>
      <c r="FJ652" s="105"/>
      <c r="FK652" s="105"/>
      <c r="FL652" s="105"/>
      <c r="FM652" s="105"/>
      <c r="FN652" s="105"/>
      <c r="FO652" s="105"/>
      <c r="FP652" s="105"/>
      <c r="FQ652" s="105"/>
      <c r="FR652" s="105"/>
      <c r="FS652" s="105"/>
      <c r="FT652" s="105"/>
      <c r="FU652" s="105"/>
      <c r="FV652" s="105"/>
      <c r="FW652" s="105"/>
      <c r="FX652" s="105"/>
      <c r="FY652" s="105"/>
      <c r="FZ652" s="105"/>
      <c r="GA652" s="105"/>
      <c r="GB652" s="105"/>
      <c r="GC652" s="105"/>
      <c r="GD652" s="105"/>
      <c r="GE652" s="105"/>
      <c r="GF652" s="105"/>
      <c r="GG652" s="105"/>
      <c r="GH652" s="105"/>
      <c r="GI652" s="105"/>
      <c r="GJ652" s="105"/>
      <c r="GK652" s="105"/>
      <c r="GL652" s="105"/>
      <c r="GM652" s="105"/>
      <c r="GN652" s="105"/>
      <c r="GO652" s="105"/>
      <c r="GP652" s="105"/>
      <c r="GQ652" s="105"/>
      <c r="GR652" s="105"/>
      <c r="GS652" s="105"/>
      <c r="GT652" s="105"/>
      <c r="GU652" s="105"/>
      <c r="GV652" s="105"/>
      <c r="GW652" s="105"/>
      <c r="GX652" s="105"/>
      <c r="GY652" s="105"/>
      <c r="GZ652" s="105"/>
      <c r="HA652" s="105"/>
      <c r="HB652" s="105"/>
      <c r="HC652" s="105"/>
      <c r="HD652" s="105"/>
      <c r="HE652" s="105"/>
      <c r="HF652" s="105"/>
      <c r="HG652" s="105"/>
      <c r="HH652" s="105"/>
      <c r="HI652" s="105"/>
      <c r="HJ652" s="105"/>
      <c r="HK652" s="105"/>
      <c r="HL652" s="105"/>
      <c r="HM652" s="105"/>
      <c r="HN652" s="105"/>
      <c r="HO652" s="105"/>
      <c r="HP652" s="105"/>
      <c r="HQ652" s="105"/>
      <c r="HR652" s="105"/>
      <c r="HS652" s="105"/>
      <c r="HT652" s="105"/>
      <c r="HU652" s="105"/>
      <c r="HV652" s="105"/>
      <c r="HW652" s="105"/>
      <c r="HX652" s="105"/>
      <c r="HY652" s="105"/>
      <c r="HZ652" s="105"/>
      <c r="IA652" s="105"/>
      <c r="IB652" s="105"/>
      <c r="IC652" s="105"/>
      <c r="ID652" s="105"/>
      <c r="IE652" s="105"/>
      <c r="IF652" s="105"/>
      <c r="IG652" s="105"/>
      <c r="IH652" s="105"/>
      <c r="II652" s="105"/>
      <c r="IJ652" s="105"/>
      <c r="IK652" s="105"/>
      <c r="IL652" s="105"/>
      <c r="IM652" s="105"/>
      <c r="IN652" s="105"/>
      <c r="IO652" s="105"/>
      <c r="IP652" s="105"/>
      <c r="IQ652" s="105"/>
      <c r="IR652" s="105"/>
      <c r="IS652" s="105"/>
    </row>
    <row r="653" spans="1:253">
      <c r="A653" s="116"/>
      <c r="B653" s="105"/>
      <c r="C653" s="116"/>
      <c r="D653" s="116"/>
      <c r="E653" s="116"/>
      <c r="F653" s="116"/>
      <c r="G653" s="116"/>
      <c r="H653" s="116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5"/>
      <c r="BE653" s="105"/>
      <c r="BF653" s="105"/>
      <c r="BG653" s="105"/>
      <c r="BH653" s="105"/>
      <c r="BI653" s="105"/>
      <c r="BJ653" s="105"/>
      <c r="BK653" s="105"/>
      <c r="BL653" s="105"/>
      <c r="BM653" s="105"/>
      <c r="BN653" s="105"/>
      <c r="BO653" s="105"/>
      <c r="BP653" s="105"/>
      <c r="BQ653" s="105"/>
      <c r="BR653" s="105"/>
      <c r="BS653" s="105"/>
      <c r="BT653" s="105"/>
      <c r="BU653" s="105"/>
      <c r="BV653" s="105"/>
      <c r="BW653" s="105"/>
      <c r="BX653" s="105"/>
      <c r="BY653" s="105"/>
      <c r="BZ653" s="105"/>
      <c r="CA653" s="105"/>
      <c r="CB653" s="105"/>
      <c r="CC653" s="105"/>
      <c r="CD653" s="105"/>
      <c r="CE653" s="105"/>
      <c r="CF653" s="105"/>
      <c r="CG653" s="105"/>
      <c r="CH653" s="105"/>
      <c r="CI653" s="105"/>
      <c r="CJ653" s="105"/>
      <c r="CK653" s="105"/>
      <c r="CL653" s="105"/>
      <c r="CM653" s="105"/>
      <c r="CN653" s="105"/>
      <c r="CO653" s="105"/>
      <c r="CP653" s="105"/>
      <c r="CQ653" s="105"/>
      <c r="CR653" s="105"/>
      <c r="CS653" s="105"/>
      <c r="CT653" s="105"/>
      <c r="CU653" s="105"/>
      <c r="CV653" s="105"/>
      <c r="CW653" s="105"/>
      <c r="CX653" s="105"/>
      <c r="CY653" s="105"/>
      <c r="CZ653" s="105"/>
      <c r="DA653" s="105"/>
      <c r="DB653" s="105"/>
      <c r="DC653" s="105"/>
      <c r="DD653" s="105"/>
      <c r="DE653" s="105"/>
      <c r="DF653" s="105"/>
      <c r="DG653" s="105"/>
      <c r="DH653" s="105"/>
      <c r="DI653" s="105"/>
      <c r="DJ653" s="105"/>
      <c r="DK653" s="105"/>
      <c r="DL653" s="105"/>
      <c r="DM653" s="105"/>
      <c r="DN653" s="105"/>
      <c r="DO653" s="105"/>
      <c r="DP653" s="105"/>
      <c r="DQ653" s="105"/>
      <c r="DR653" s="105"/>
      <c r="DS653" s="105"/>
      <c r="DT653" s="105"/>
      <c r="DU653" s="105"/>
      <c r="DV653" s="105"/>
      <c r="DW653" s="105"/>
      <c r="DX653" s="105"/>
      <c r="DY653" s="105"/>
      <c r="DZ653" s="105"/>
      <c r="EA653" s="105"/>
      <c r="EB653" s="105"/>
      <c r="EC653" s="105"/>
      <c r="ED653" s="105"/>
      <c r="EE653" s="105"/>
      <c r="EF653" s="105"/>
      <c r="EG653" s="105"/>
      <c r="EH653" s="105"/>
      <c r="EI653" s="105"/>
      <c r="EJ653" s="105"/>
      <c r="EK653" s="105"/>
      <c r="EL653" s="105"/>
      <c r="EM653" s="105"/>
      <c r="EN653" s="105"/>
      <c r="EO653" s="105"/>
      <c r="EP653" s="105"/>
      <c r="EQ653" s="105"/>
      <c r="ER653" s="105"/>
      <c r="ES653" s="105"/>
      <c r="ET653" s="105"/>
      <c r="EU653" s="105"/>
      <c r="EV653" s="105"/>
      <c r="EW653" s="105"/>
      <c r="EX653" s="105"/>
      <c r="EY653" s="105"/>
      <c r="EZ653" s="105"/>
      <c r="FA653" s="105"/>
      <c r="FB653" s="105"/>
      <c r="FC653" s="105"/>
      <c r="FD653" s="105"/>
      <c r="FE653" s="105"/>
      <c r="FF653" s="105"/>
      <c r="FG653" s="105"/>
      <c r="FH653" s="105"/>
      <c r="FI653" s="105"/>
      <c r="FJ653" s="105"/>
      <c r="FK653" s="105"/>
      <c r="FL653" s="105"/>
      <c r="FM653" s="105"/>
      <c r="FN653" s="105"/>
      <c r="FO653" s="105"/>
      <c r="FP653" s="105"/>
      <c r="FQ653" s="105"/>
      <c r="FR653" s="105"/>
      <c r="FS653" s="105"/>
      <c r="FT653" s="105"/>
      <c r="FU653" s="105"/>
      <c r="FV653" s="105"/>
      <c r="FW653" s="105"/>
      <c r="FX653" s="105"/>
      <c r="FY653" s="105"/>
      <c r="FZ653" s="105"/>
      <c r="GA653" s="105"/>
      <c r="GB653" s="105"/>
      <c r="GC653" s="105"/>
      <c r="GD653" s="105"/>
      <c r="GE653" s="105"/>
      <c r="GF653" s="105"/>
      <c r="GG653" s="105"/>
      <c r="GH653" s="105"/>
      <c r="GI653" s="105"/>
      <c r="GJ653" s="105"/>
      <c r="GK653" s="105"/>
      <c r="GL653" s="105"/>
      <c r="GM653" s="105"/>
      <c r="GN653" s="105"/>
      <c r="GO653" s="105"/>
      <c r="GP653" s="105"/>
      <c r="GQ653" s="105"/>
      <c r="GR653" s="105"/>
      <c r="GS653" s="105"/>
      <c r="GT653" s="105"/>
      <c r="GU653" s="105"/>
      <c r="GV653" s="105"/>
      <c r="GW653" s="105"/>
      <c r="GX653" s="105"/>
      <c r="GY653" s="105"/>
      <c r="GZ653" s="105"/>
      <c r="HA653" s="105"/>
      <c r="HB653" s="105"/>
      <c r="HC653" s="105"/>
      <c r="HD653" s="105"/>
      <c r="HE653" s="105"/>
      <c r="HF653" s="105"/>
      <c r="HG653" s="105"/>
      <c r="HH653" s="105"/>
      <c r="HI653" s="105"/>
      <c r="HJ653" s="105"/>
      <c r="HK653" s="105"/>
      <c r="HL653" s="105"/>
      <c r="HM653" s="105"/>
      <c r="HN653" s="105"/>
      <c r="HO653" s="105"/>
      <c r="HP653" s="105"/>
      <c r="HQ653" s="105"/>
      <c r="HR653" s="105"/>
      <c r="HS653" s="105"/>
      <c r="HT653" s="105"/>
      <c r="HU653" s="105"/>
      <c r="HV653" s="105"/>
      <c r="HW653" s="105"/>
      <c r="HX653" s="105"/>
      <c r="HY653" s="105"/>
      <c r="HZ653" s="105"/>
      <c r="IA653" s="105"/>
      <c r="IB653" s="105"/>
      <c r="IC653" s="105"/>
      <c r="ID653" s="105"/>
      <c r="IE653" s="105"/>
      <c r="IF653" s="105"/>
      <c r="IG653" s="105"/>
      <c r="IH653" s="105"/>
      <c r="II653" s="105"/>
      <c r="IJ653" s="105"/>
      <c r="IK653" s="105"/>
      <c r="IL653" s="105"/>
      <c r="IM653" s="105"/>
      <c r="IN653" s="105"/>
      <c r="IO653" s="105"/>
      <c r="IP653" s="105"/>
      <c r="IQ653" s="105"/>
      <c r="IR653" s="105"/>
      <c r="IS653" s="105"/>
    </row>
    <row r="654" spans="1:253">
      <c r="A654" s="116"/>
      <c r="B654" s="105"/>
      <c r="C654" s="116"/>
      <c r="D654" s="116"/>
      <c r="E654" s="116"/>
      <c r="F654" s="116"/>
      <c r="G654" s="116"/>
      <c r="H654" s="116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  <c r="BF654" s="105"/>
      <c r="BG654" s="105"/>
      <c r="BH654" s="105"/>
      <c r="BI654" s="105"/>
      <c r="BJ654" s="105"/>
      <c r="BK654" s="105"/>
      <c r="BL654" s="105"/>
      <c r="BM654" s="105"/>
      <c r="BN654" s="105"/>
      <c r="BO654" s="105"/>
      <c r="BP654" s="105"/>
      <c r="BQ654" s="105"/>
      <c r="BR654" s="105"/>
      <c r="BS654" s="105"/>
      <c r="BT654" s="105"/>
      <c r="BU654" s="105"/>
      <c r="BV654" s="105"/>
      <c r="BW654" s="105"/>
      <c r="BX654" s="105"/>
      <c r="BY654" s="105"/>
      <c r="BZ654" s="105"/>
      <c r="CA654" s="105"/>
      <c r="CB654" s="105"/>
      <c r="CC654" s="105"/>
      <c r="CD654" s="105"/>
      <c r="CE654" s="105"/>
      <c r="CF654" s="105"/>
      <c r="CG654" s="105"/>
      <c r="CH654" s="105"/>
      <c r="CI654" s="105"/>
      <c r="CJ654" s="105"/>
      <c r="CK654" s="105"/>
      <c r="CL654" s="105"/>
      <c r="CM654" s="105"/>
      <c r="CN654" s="105"/>
      <c r="CO654" s="105"/>
      <c r="CP654" s="105"/>
      <c r="CQ654" s="105"/>
      <c r="CR654" s="105"/>
      <c r="CS654" s="105"/>
      <c r="CT654" s="105"/>
      <c r="CU654" s="105"/>
      <c r="CV654" s="105"/>
      <c r="CW654" s="105"/>
      <c r="CX654" s="105"/>
      <c r="CY654" s="105"/>
      <c r="CZ654" s="105"/>
      <c r="DA654" s="105"/>
      <c r="DB654" s="105"/>
      <c r="DC654" s="105"/>
      <c r="DD654" s="105"/>
      <c r="DE654" s="105"/>
      <c r="DF654" s="105"/>
      <c r="DG654" s="105"/>
      <c r="DH654" s="105"/>
      <c r="DI654" s="105"/>
      <c r="DJ654" s="105"/>
      <c r="DK654" s="105"/>
      <c r="DL654" s="105"/>
      <c r="DM654" s="105"/>
      <c r="DN654" s="105"/>
      <c r="DO654" s="105"/>
      <c r="DP654" s="105"/>
      <c r="DQ654" s="105"/>
      <c r="DR654" s="105"/>
      <c r="DS654" s="105"/>
      <c r="DT654" s="105"/>
      <c r="DU654" s="105"/>
      <c r="DV654" s="105"/>
      <c r="DW654" s="105"/>
      <c r="DX654" s="105"/>
      <c r="DY654" s="105"/>
      <c r="DZ654" s="105"/>
      <c r="EA654" s="105"/>
      <c r="EB654" s="105"/>
      <c r="EC654" s="105"/>
      <c r="ED654" s="105"/>
      <c r="EE654" s="105"/>
      <c r="EF654" s="105"/>
      <c r="EG654" s="105"/>
      <c r="EH654" s="105"/>
      <c r="EI654" s="105"/>
      <c r="EJ654" s="105"/>
      <c r="EK654" s="105"/>
      <c r="EL654" s="105"/>
      <c r="EM654" s="105"/>
      <c r="EN654" s="105"/>
      <c r="EO654" s="105"/>
      <c r="EP654" s="105"/>
      <c r="EQ654" s="105"/>
      <c r="ER654" s="105"/>
      <c r="ES654" s="105"/>
      <c r="ET654" s="105"/>
      <c r="EU654" s="105"/>
      <c r="EV654" s="105"/>
      <c r="EW654" s="105"/>
      <c r="EX654" s="105"/>
      <c r="EY654" s="105"/>
      <c r="EZ654" s="105"/>
      <c r="FA654" s="105"/>
      <c r="FB654" s="105"/>
      <c r="FC654" s="105"/>
      <c r="FD654" s="105"/>
      <c r="FE654" s="105"/>
      <c r="FF654" s="105"/>
      <c r="FG654" s="105"/>
      <c r="FH654" s="105"/>
      <c r="FI654" s="105"/>
      <c r="FJ654" s="105"/>
      <c r="FK654" s="105"/>
      <c r="FL654" s="105"/>
      <c r="FM654" s="105"/>
      <c r="FN654" s="105"/>
      <c r="FO654" s="105"/>
      <c r="FP654" s="105"/>
      <c r="FQ654" s="105"/>
      <c r="FR654" s="105"/>
      <c r="FS654" s="105"/>
      <c r="FT654" s="105"/>
      <c r="FU654" s="105"/>
      <c r="FV654" s="105"/>
      <c r="FW654" s="105"/>
      <c r="FX654" s="105"/>
      <c r="FY654" s="105"/>
      <c r="FZ654" s="105"/>
      <c r="GA654" s="105"/>
      <c r="GB654" s="105"/>
      <c r="GC654" s="105"/>
      <c r="GD654" s="105"/>
      <c r="GE654" s="105"/>
      <c r="GF654" s="105"/>
      <c r="GG654" s="105"/>
      <c r="GH654" s="105"/>
      <c r="GI654" s="105"/>
      <c r="GJ654" s="105"/>
      <c r="GK654" s="105"/>
      <c r="GL654" s="105"/>
      <c r="GM654" s="105"/>
      <c r="GN654" s="105"/>
      <c r="GO654" s="105"/>
      <c r="GP654" s="105"/>
      <c r="GQ654" s="105"/>
      <c r="GR654" s="105"/>
      <c r="GS654" s="105"/>
      <c r="GT654" s="105"/>
      <c r="GU654" s="105"/>
      <c r="GV654" s="105"/>
      <c r="GW654" s="105"/>
      <c r="GX654" s="105"/>
      <c r="GY654" s="105"/>
      <c r="GZ654" s="105"/>
      <c r="HA654" s="105"/>
      <c r="HB654" s="105"/>
      <c r="HC654" s="105"/>
      <c r="HD654" s="105"/>
      <c r="HE654" s="105"/>
      <c r="HF654" s="105"/>
      <c r="HG654" s="105"/>
      <c r="HH654" s="105"/>
      <c r="HI654" s="105"/>
      <c r="HJ654" s="105"/>
      <c r="HK654" s="105"/>
      <c r="HL654" s="105"/>
      <c r="HM654" s="105"/>
      <c r="HN654" s="105"/>
      <c r="HO654" s="105"/>
      <c r="HP654" s="105"/>
      <c r="HQ654" s="105"/>
      <c r="HR654" s="105"/>
      <c r="HS654" s="105"/>
      <c r="HT654" s="105"/>
      <c r="HU654" s="105"/>
      <c r="HV654" s="105"/>
      <c r="HW654" s="105"/>
      <c r="HX654" s="105"/>
      <c r="HY654" s="105"/>
      <c r="HZ654" s="105"/>
      <c r="IA654" s="105"/>
      <c r="IB654" s="105"/>
      <c r="IC654" s="105"/>
      <c r="ID654" s="105"/>
      <c r="IE654" s="105"/>
      <c r="IF654" s="105"/>
      <c r="IG654" s="105"/>
      <c r="IH654" s="105"/>
      <c r="II654" s="105"/>
      <c r="IJ654" s="105"/>
      <c r="IK654" s="105"/>
      <c r="IL654" s="105"/>
      <c r="IM654" s="105"/>
      <c r="IN654" s="105"/>
      <c r="IO654" s="105"/>
      <c r="IP654" s="105"/>
      <c r="IQ654" s="105"/>
      <c r="IR654" s="105"/>
      <c r="IS654" s="105"/>
    </row>
    <row r="655" spans="1:253">
      <c r="A655" s="116"/>
      <c r="B655" s="105"/>
      <c r="C655" s="116"/>
      <c r="D655" s="116"/>
      <c r="E655" s="116"/>
      <c r="F655" s="116"/>
      <c r="G655" s="116"/>
      <c r="H655" s="116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5"/>
      <c r="BE655" s="105"/>
      <c r="BF655" s="105"/>
      <c r="BG655" s="105"/>
      <c r="BH655" s="105"/>
      <c r="BI655" s="105"/>
      <c r="BJ655" s="105"/>
      <c r="BK655" s="105"/>
      <c r="BL655" s="105"/>
      <c r="BM655" s="105"/>
      <c r="BN655" s="105"/>
      <c r="BO655" s="105"/>
      <c r="BP655" s="105"/>
      <c r="BQ655" s="105"/>
      <c r="BR655" s="105"/>
      <c r="BS655" s="105"/>
      <c r="BT655" s="105"/>
      <c r="BU655" s="105"/>
      <c r="BV655" s="105"/>
      <c r="BW655" s="105"/>
      <c r="BX655" s="105"/>
      <c r="BY655" s="105"/>
      <c r="BZ655" s="105"/>
      <c r="CA655" s="105"/>
      <c r="CB655" s="105"/>
      <c r="CC655" s="105"/>
      <c r="CD655" s="105"/>
      <c r="CE655" s="105"/>
      <c r="CF655" s="105"/>
      <c r="CG655" s="105"/>
      <c r="CH655" s="105"/>
      <c r="CI655" s="105"/>
      <c r="CJ655" s="105"/>
      <c r="CK655" s="105"/>
      <c r="CL655" s="105"/>
      <c r="CM655" s="105"/>
      <c r="CN655" s="105"/>
      <c r="CO655" s="105"/>
      <c r="CP655" s="105"/>
      <c r="CQ655" s="105"/>
      <c r="CR655" s="105"/>
      <c r="CS655" s="105"/>
      <c r="CT655" s="105"/>
      <c r="CU655" s="105"/>
      <c r="CV655" s="105"/>
      <c r="CW655" s="105"/>
      <c r="CX655" s="105"/>
      <c r="CY655" s="105"/>
      <c r="CZ655" s="105"/>
      <c r="DA655" s="105"/>
      <c r="DB655" s="105"/>
      <c r="DC655" s="105"/>
      <c r="DD655" s="105"/>
      <c r="DE655" s="105"/>
      <c r="DF655" s="105"/>
      <c r="DG655" s="105"/>
      <c r="DH655" s="105"/>
      <c r="DI655" s="105"/>
      <c r="DJ655" s="105"/>
      <c r="DK655" s="105"/>
      <c r="DL655" s="105"/>
      <c r="DM655" s="105"/>
      <c r="DN655" s="105"/>
      <c r="DO655" s="105"/>
      <c r="DP655" s="105"/>
      <c r="DQ655" s="105"/>
      <c r="DR655" s="105"/>
      <c r="DS655" s="105"/>
      <c r="DT655" s="105"/>
      <c r="DU655" s="105"/>
      <c r="DV655" s="105"/>
      <c r="DW655" s="105"/>
      <c r="DX655" s="105"/>
      <c r="DY655" s="105"/>
      <c r="DZ655" s="105"/>
      <c r="EA655" s="105"/>
      <c r="EB655" s="105"/>
      <c r="EC655" s="105"/>
      <c r="ED655" s="105"/>
      <c r="EE655" s="105"/>
      <c r="EF655" s="105"/>
      <c r="EG655" s="105"/>
      <c r="EH655" s="105"/>
      <c r="EI655" s="105"/>
      <c r="EJ655" s="105"/>
      <c r="EK655" s="105"/>
      <c r="EL655" s="105"/>
      <c r="EM655" s="105"/>
      <c r="EN655" s="105"/>
      <c r="EO655" s="105"/>
      <c r="EP655" s="105"/>
      <c r="EQ655" s="105"/>
      <c r="ER655" s="105"/>
      <c r="ES655" s="105"/>
      <c r="ET655" s="105"/>
      <c r="EU655" s="105"/>
      <c r="EV655" s="105"/>
      <c r="EW655" s="105"/>
      <c r="EX655" s="105"/>
      <c r="EY655" s="105"/>
      <c r="EZ655" s="105"/>
      <c r="FA655" s="105"/>
      <c r="FB655" s="105"/>
      <c r="FC655" s="105"/>
      <c r="FD655" s="105"/>
      <c r="FE655" s="105"/>
      <c r="FF655" s="105"/>
      <c r="FG655" s="105"/>
      <c r="FH655" s="105"/>
      <c r="FI655" s="105"/>
      <c r="FJ655" s="105"/>
      <c r="FK655" s="105"/>
      <c r="FL655" s="105"/>
      <c r="FM655" s="105"/>
      <c r="FN655" s="105"/>
      <c r="FO655" s="105"/>
      <c r="FP655" s="105"/>
      <c r="FQ655" s="105"/>
      <c r="FR655" s="105"/>
      <c r="FS655" s="105"/>
      <c r="FT655" s="105"/>
      <c r="FU655" s="105"/>
      <c r="FV655" s="105"/>
      <c r="FW655" s="105"/>
      <c r="FX655" s="105"/>
      <c r="FY655" s="105"/>
      <c r="FZ655" s="105"/>
      <c r="GA655" s="105"/>
      <c r="GB655" s="105"/>
      <c r="GC655" s="105"/>
      <c r="GD655" s="105"/>
      <c r="GE655" s="105"/>
      <c r="GF655" s="105"/>
      <c r="GG655" s="105"/>
      <c r="GH655" s="105"/>
      <c r="GI655" s="105"/>
      <c r="GJ655" s="105"/>
      <c r="GK655" s="105"/>
      <c r="GL655" s="105"/>
      <c r="GM655" s="105"/>
      <c r="GN655" s="105"/>
      <c r="GO655" s="105"/>
      <c r="GP655" s="105"/>
      <c r="GQ655" s="105"/>
      <c r="GR655" s="105"/>
      <c r="GS655" s="105"/>
      <c r="GT655" s="105"/>
      <c r="GU655" s="105"/>
      <c r="GV655" s="105"/>
      <c r="GW655" s="105"/>
      <c r="GX655" s="105"/>
      <c r="GY655" s="105"/>
      <c r="GZ655" s="105"/>
      <c r="HA655" s="105"/>
      <c r="HB655" s="105"/>
      <c r="HC655" s="105"/>
      <c r="HD655" s="105"/>
      <c r="HE655" s="105"/>
      <c r="HF655" s="105"/>
      <c r="HG655" s="105"/>
      <c r="HH655" s="105"/>
      <c r="HI655" s="105"/>
      <c r="HJ655" s="105"/>
      <c r="HK655" s="105"/>
      <c r="HL655" s="105"/>
      <c r="HM655" s="105"/>
      <c r="HN655" s="105"/>
      <c r="HO655" s="105"/>
      <c r="HP655" s="105"/>
      <c r="HQ655" s="105"/>
      <c r="HR655" s="105"/>
      <c r="HS655" s="105"/>
      <c r="HT655" s="105"/>
      <c r="HU655" s="105"/>
      <c r="HV655" s="105"/>
      <c r="HW655" s="105"/>
      <c r="HX655" s="105"/>
      <c r="HY655" s="105"/>
      <c r="HZ655" s="105"/>
      <c r="IA655" s="105"/>
      <c r="IB655" s="105"/>
      <c r="IC655" s="105"/>
      <c r="ID655" s="105"/>
      <c r="IE655" s="105"/>
      <c r="IF655" s="105"/>
      <c r="IG655" s="105"/>
      <c r="IH655" s="105"/>
      <c r="II655" s="105"/>
      <c r="IJ655" s="105"/>
      <c r="IK655" s="105"/>
      <c r="IL655" s="105"/>
      <c r="IM655" s="105"/>
      <c r="IN655" s="105"/>
      <c r="IO655" s="105"/>
      <c r="IP655" s="105"/>
      <c r="IQ655" s="105"/>
      <c r="IR655" s="105"/>
      <c r="IS655" s="105"/>
    </row>
    <row r="656" spans="1:253">
      <c r="A656" s="116"/>
      <c r="B656" s="105"/>
      <c r="C656" s="116"/>
      <c r="D656" s="116"/>
      <c r="E656" s="116"/>
      <c r="F656" s="116"/>
      <c r="G656" s="116"/>
      <c r="H656" s="116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05"/>
      <c r="BF656" s="105"/>
      <c r="BG656" s="105"/>
      <c r="BH656" s="105"/>
      <c r="BI656" s="105"/>
      <c r="BJ656" s="105"/>
      <c r="BK656" s="105"/>
      <c r="BL656" s="105"/>
      <c r="BM656" s="105"/>
      <c r="BN656" s="105"/>
      <c r="BO656" s="105"/>
      <c r="BP656" s="105"/>
      <c r="BQ656" s="105"/>
      <c r="BR656" s="105"/>
      <c r="BS656" s="105"/>
      <c r="BT656" s="105"/>
      <c r="BU656" s="105"/>
      <c r="BV656" s="105"/>
      <c r="BW656" s="105"/>
      <c r="BX656" s="105"/>
      <c r="BY656" s="105"/>
      <c r="BZ656" s="105"/>
      <c r="CA656" s="105"/>
      <c r="CB656" s="105"/>
      <c r="CC656" s="105"/>
      <c r="CD656" s="105"/>
      <c r="CE656" s="105"/>
      <c r="CF656" s="105"/>
      <c r="CG656" s="105"/>
      <c r="CH656" s="105"/>
      <c r="CI656" s="105"/>
      <c r="CJ656" s="105"/>
      <c r="CK656" s="105"/>
      <c r="CL656" s="105"/>
      <c r="CM656" s="105"/>
      <c r="CN656" s="105"/>
      <c r="CO656" s="105"/>
      <c r="CP656" s="105"/>
      <c r="CQ656" s="105"/>
      <c r="CR656" s="105"/>
      <c r="CS656" s="105"/>
      <c r="CT656" s="105"/>
      <c r="CU656" s="105"/>
      <c r="CV656" s="105"/>
      <c r="CW656" s="105"/>
      <c r="CX656" s="105"/>
      <c r="CY656" s="105"/>
      <c r="CZ656" s="105"/>
      <c r="DA656" s="105"/>
      <c r="DB656" s="105"/>
      <c r="DC656" s="105"/>
      <c r="DD656" s="105"/>
      <c r="DE656" s="105"/>
      <c r="DF656" s="105"/>
      <c r="DG656" s="105"/>
      <c r="DH656" s="105"/>
      <c r="DI656" s="105"/>
      <c r="DJ656" s="105"/>
      <c r="DK656" s="105"/>
      <c r="DL656" s="105"/>
      <c r="DM656" s="105"/>
      <c r="DN656" s="105"/>
      <c r="DO656" s="105"/>
      <c r="DP656" s="105"/>
      <c r="DQ656" s="105"/>
      <c r="DR656" s="105"/>
      <c r="DS656" s="105"/>
      <c r="DT656" s="105"/>
      <c r="DU656" s="105"/>
      <c r="DV656" s="105"/>
      <c r="DW656" s="105"/>
      <c r="DX656" s="105"/>
      <c r="DY656" s="105"/>
      <c r="DZ656" s="105"/>
      <c r="EA656" s="105"/>
      <c r="EB656" s="105"/>
      <c r="EC656" s="105"/>
      <c r="ED656" s="105"/>
      <c r="EE656" s="105"/>
      <c r="EF656" s="105"/>
      <c r="EG656" s="105"/>
      <c r="EH656" s="105"/>
      <c r="EI656" s="105"/>
      <c r="EJ656" s="105"/>
      <c r="EK656" s="105"/>
      <c r="EL656" s="105"/>
      <c r="EM656" s="105"/>
      <c r="EN656" s="105"/>
      <c r="EO656" s="105"/>
      <c r="EP656" s="105"/>
      <c r="EQ656" s="105"/>
      <c r="ER656" s="105"/>
      <c r="ES656" s="105"/>
      <c r="ET656" s="105"/>
      <c r="EU656" s="105"/>
      <c r="EV656" s="105"/>
      <c r="EW656" s="105"/>
      <c r="EX656" s="105"/>
      <c r="EY656" s="105"/>
      <c r="EZ656" s="105"/>
      <c r="FA656" s="105"/>
      <c r="FB656" s="105"/>
      <c r="FC656" s="105"/>
      <c r="FD656" s="105"/>
      <c r="FE656" s="105"/>
      <c r="FF656" s="105"/>
      <c r="FG656" s="105"/>
      <c r="FH656" s="105"/>
      <c r="FI656" s="105"/>
      <c r="FJ656" s="105"/>
      <c r="FK656" s="105"/>
      <c r="FL656" s="105"/>
      <c r="FM656" s="105"/>
      <c r="FN656" s="105"/>
      <c r="FO656" s="105"/>
      <c r="FP656" s="105"/>
      <c r="FQ656" s="105"/>
      <c r="FR656" s="105"/>
      <c r="FS656" s="105"/>
      <c r="FT656" s="105"/>
      <c r="FU656" s="105"/>
      <c r="FV656" s="105"/>
      <c r="FW656" s="105"/>
      <c r="FX656" s="105"/>
      <c r="FY656" s="105"/>
      <c r="FZ656" s="105"/>
      <c r="GA656" s="105"/>
      <c r="GB656" s="105"/>
      <c r="GC656" s="105"/>
      <c r="GD656" s="105"/>
      <c r="GE656" s="105"/>
      <c r="GF656" s="105"/>
      <c r="GG656" s="105"/>
      <c r="GH656" s="105"/>
      <c r="GI656" s="105"/>
      <c r="GJ656" s="105"/>
      <c r="GK656" s="105"/>
      <c r="GL656" s="105"/>
      <c r="GM656" s="105"/>
      <c r="GN656" s="105"/>
      <c r="GO656" s="105"/>
      <c r="GP656" s="105"/>
      <c r="GQ656" s="105"/>
      <c r="GR656" s="105"/>
      <c r="GS656" s="105"/>
      <c r="GT656" s="105"/>
      <c r="GU656" s="105"/>
      <c r="GV656" s="105"/>
      <c r="GW656" s="105"/>
      <c r="GX656" s="105"/>
      <c r="GY656" s="105"/>
      <c r="GZ656" s="105"/>
      <c r="HA656" s="105"/>
      <c r="HB656" s="105"/>
      <c r="HC656" s="105"/>
      <c r="HD656" s="105"/>
      <c r="HE656" s="105"/>
      <c r="HF656" s="105"/>
      <c r="HG656" s="105"/>
      <c r="HH656" s="105"/>
      <c r="HI656" s="105"/>
      <c r="HJ656" s="105"/>
      <c r="HK656" s="105"/>
      <c r="HL656" s="105"/>
      <c r="HM656" s="105"/>
      <c r="HN656" s="105"/>
      <c r="HO656" s="105"/>
      <c r="HP656" s="105"/>
      <c r="HQ656" s="105"/>
      <c r="HR656" s="105"/>
      <c r="HS656" s="105"/>
      <c r="HT656" s="105"/>
      <c r="HU656" s="105"/>
      <c r="HV656" s="105"/>
      <c r="HW656" s="105"/>
      <c r="HX656" s="105"/>
      <c r="HY656" s="105"/>
      <c r="HZ656" s="105"/>
      <c r="IA656" s="105"/>
      <c r="IB656" s="105"/>
      <c r="IC656" s="105"/>
      <c r="ID656" s="105"/>
      <c r="IE656" s="105"/>
      <c r="IF656" s="105"/>
      <c r="IG656" s="105"/>
      <c r="IH656" s="105"/>
      <c r="II656" s="105"/>
      <c r="IJ656" s="105"/>
      <c r="IK656" s="105"/>
      <c r="IL656" s="105"/>
      <c r="IM656" s="105"/>
      <c r="IN656" s="105"/>
      <c r="IO656" s="105"/>
      <c r="IP656" s="105"/>
      <c r="IQ656" s="105"/>
      <c r="IR656" s="105"/>
      <c r="IS656" s="105"/>
    </row>
    <row r="657" spans="1:253">
      <c r="A657" s="116"/>
      <c r="B657" s="105"/>
      <c r="C657" s="116"/>
      <c r="D657" s="116"/>
      <c r="E657" s="116"/>
      <c r="F657" s="116"/>
      <c r="G657" s="116"/>
      <c r="H657" s="116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05"/>
      <c r="BF657" s="105"/>
      <c r="BG657" s="105"/>
      <c r="BH657" s="105"/>
      <c r="BI657" s="105"/>
      <c r="BJ657" s="105"/>
      <c r="BK657" s="105"/>
      <c r="BL657" s="105"/>
      <c r="BM657" s="105"/>
      <c r="BN657" s="105"/>
      <c r="BO657" s="105"/>
      <c r="BP657" s="105"/>
      <c r="BQ657" s="105"/>
      <c r="BR657" s="105"/>
      <c r="BS657" s="105"/>
      <c r="BT657" s="105"/>
      <c r="BU657" s="105"/>
      <c r="BV657" s="105"/>
      <c r="BW657" s="105"/>
      <c r="BX657" s="105"/>
      <c r="BY657" s="105"/>
      <c r="BZ657" s="105"/>
      <c r="CA657" s="105"/>
      <c r="CB657" s="105"/>
      <c r="CC657" s="105"/>
      <c r="CD657" s="105"/>
      <c r="CE657" s="105"/>
      <c r="CF657" s="105"/>
      <c r="CG657" s="105"/>
      <c r="CH657" s="105"/>
      <c r="CI657" s="105"/>
      <c r="CJ657" s="105"/>
      <c r="CK657" s="105"/>
      <c r="CL657" s="105"/>
      <c r="CM657" s="105"/>
      <c r="CN657" s="105"/>
      <c r="CO657" s="105"/>
      <c r="CP657" s="105"/>
      <c r="CQ657" s="105"/>
      <c r="CR657" s="105"/>
      <c r="CS657" s="105"/>
      <c r="CT657" s="105"/>
      <c r="CU657" s="105"/>
      <c r="CV657" s="105"/>
      <c r="CW657" s="105"/>
      <c r="CX657" s="105"/>
      <c r="CY657" s="105"/>
      <c r="CZ657" s="105"/>
      <c r="DA657" s="105"/>
      <c r="DB657" s="105"/>
      <c r="DC657" s="105"/>
      <c r="DD657" s="105"/>
      <c r="DE657" s="105"/>
      <c r="DF657" s="105"/>
      <c r="DG657" s="105"/>
      <c r="DH657" s="105"/>
      <c r="DI657" s="105"/>
      <c r="DJ657" s="105"/>
      <c r="DK657" s="105"/>
      <c r="DL657" s="105"/>
      <c r="DM657" s="105"/>
      <c r="DN657" s="105"/>
      <c r="DO657" s="105"/>
      <c r="DP657" s="105"/>
      <c r="DQ657" s="105"/>
      <c r="DR657" s="105"/>
      <c r="DS657" s="105"/>
      <c r="DT657" s="105"/>
      <c r="DU657" s="105"/>
      <c r="DV657" s="105"/>
      <c r="DW657" s="105"/>
      <c r="DX657" s="105"/>
      <c r="DY657" s="105"/>
      <c r="DZ657" s="105"/>
      <c r="EA657" s="105"/>
      <c r="EB657" s="105"/>
      <c r="EC657" s="105"/>
      <c r="ED657" s="105"/>
      <c r="EE657" s="105"/>
      <c r="EF657" s="105"/>
      <c r="EG657" s="105"/>
      <c r="EH657" s="105"/>
      <c r="EI657" s="105"/>
      <c r="EJ657" s="105"/>
      <c r="EK657" s="105"/>
      <c r="EL657" s="105"/>
      <c r="EM657" s="105"/>
      <c r="EN657" s="105"/>
      <c r="EO657" s="105"/>
      <c r="EP657" s="105"/>
      <c r="EQ657" s="105"/>
      <c r="ER657" s="105"/>
      <c r="ES657" s="105"/>
      <c r="ET657" s="105"/>
      <c r="EU657" s="105"/>
      <c r="EV657" s="105"/>
      <c r="EW657" s="105"/>
      <c r="EX657" s="105"/>
      <c r="EY657" s="105"/>
      <c r="EZ657" s="105"/>
      <c r="FA657" s="105"/>
      <c r="FB657" s="105"/>
      <c r="FC657" s="105"/>
      <c r="FD657" s="105"/>
      <c r="FE657" s="105"/>
      <c r="FF657" s="105"/>
      <c r="FG657" s="105"/>
      <c r="FH657" s="105"/>
      <c r="FI657" s="105"/>
      <c r="FJ657" s="105"/>
      <c r="FK657" s="105"/>
      <c r="FL657" s="105"/>
      <c r="FM657" s="105"/>
      <c r="FN657" s="105"/>
      <c r="FO657" s="105"/>
      <c r="FP657" s="105"/>
      <c r="FQ657" s="105"/>
      <c r="FR657" s="105"/>
      <c r="FS657" s="105"/>
      <c r="FT657" s="105"/>
      <c r="FU657" s="105"/>
      <c r="FV657" s="105"/>
      <c r="FW657" s="105"/>
      <c r="FX657" s="105"/>
      <c r="FY657" s="105"/>
      <c r="FZ657" s="105"/>
      <c r="GA657" s="105"/>
      <c r="GB657" s="105"/>
      <c r="GC657" s="105"/>
      <c r="GD657" s="105"/>
      <c r="GE657" s="105"/>
      <c r="GF657" s="105"/>
      <c r="GG657" s="105"/>
      <c r="GH657" s="105"/>
      <c r="GI657" s="105"/>
      <c r="GJ657" s="105"/>
      <c r="GK657" s="105"/>
      <c r="GL657" s="105"/>
      <c r="GM657" s="105"/>
      <c r="GN657" s="105"/>
      <c r="GO657" s="105"/>
      <c r="GP657" s="105"/>
      <c r="GQ657" s="105"/>
      <c r="GR657" s="105"/>
      <c r="GS657" s="105"/>
      <c r="GT657" s="105"/>
      <c r="GU657" s="105"/>
      <c r="GV657" s="105"/>
      <c r="GW657" s="105"/>
      <c r="GX657" s="105"/>
      <c r="GY657" s="105"/>
      <c r="GZ657" s="105"/>
      <c r="HA657" s="105"/>
      <c r="HB657" s="105"/>
      <c r="HC657" s="105"/>
      <c r="HD657" s="105"/>
      <c r="HE657" s="105"/>
      <c r="HF657" s="105"/>
      <c r="HG657" s="105"/>
      <c r="HH657" s="105"/>
      <c r="HI657" s="105"/>
      <c r="HJ657" s="105"/>
      <c r="HK657" s="105"/>
      <c r="HL657" s="105"/>
      <c r="HM657" s="105"/>
      <c r="HN657" s="105"/>
      <c r="HO657" s="105"/>
      <c r="HP657" s="105"/>
      <c r="HQ657" s="105"/>
      <c r="HR657" s="105"/>
      <c r="HS657" s="105"/>
      <c r="HT657" s="105"/>
      <c r="HU657" s="105"/>
      <c r="HV657" s="105"/>
      <c r="HW657" s="105"/>
      <c r="HX657" s="105"/>
      <c r="HY657" s="105"/>
      <c r="HZ657" s="105"/>
      <c r="IA657" s="105"/>
      <c r="IB657" s="105"/>
      <c r="IC657" s="105"/>
      <c r="ID657" s="105"/>
      <c r="IE657" s="105"/>
      <c r="IF657" s="105"/>
      <c r="IG657" s="105"/>
      <c r="IH657" s="105"/>
      <c r="II657" s="105"/>
      <c r="IJ657" s="105"/>
      <c r="IK657" s="105"/>
      <c r="IL657" s="105"/>
      <c r="IM657" s="105"/>
      <c r="IN657" s="105"/>
      <c r="IO657" s="105"/>
      <c r="IP657" s="105"/>
      <c r="IQ657" s="105"/>
      <c r="IR657" s="105"/>
      <c r="IS657" s="105"/>
    </row>
    <row r="658" spans="1:253">
      <c r="A658" s="116"/>
      <c r="B658" s="105"/>
      <c r="C658" s="116"/>
      <c r="D658" s="116"/>
      <c r="E658" s="116"/>
      <c r="F658" s="116"/>
      <c r="G658" s="116"/>
      <c r="H658" s="116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  <c r="BF658" s="105"/>
      <c r="BG658" s="105"/>
      <c r="BH658" s="105"/>
      <c r="BI658" s="105"/>
      <c r="BJ658" s="105"/>
      <c r="BK658" s="105"/>
      <c r="BL658" s="105"/>
      <c r="BM658" s="105"/>
      <c r="BN658" s="105"/>
      <c r="BO658" s="105"/>
      <c r="BP658" s="105"/>
      <c r="BQ658" s="105"/>
      <c r="BR658" s="105"/>
      <c r="BS658" s="105"/>
      <c r="BT658" s="105"/>
      <c r="BU658" s="105"/>
      <c r="BV658" s="105"/>
      <c r="BW658" s="105"/>
      <c r="BX658" s="105"/>
      <c r="BY658" s="105"/>
      <c r="BZ658" s="105"/>
      <c r="CA658" s="105"/>
      <c r="CB658" s="105"/>
      <c r="CC658" s="105"/>
      <c r="CD658" s="105"/>
      <c r="CE658" s="105"/>
      <c r="CF658" s="105"/>
      <c r="CG658" s="105"/>
      <c r="CH658" s="105"/>
      <c r="CI658" s="105"/>
      <c r="CJ658" s="105"/>
      <c r="CK658" s="105"/>
      <c r="CL658" s="105"/>
      <c r="CM658" s="105"/>
      <c r="CN658" s="105"/>
      <c r="CO658" s="105"/>
      <c r="CP658" s="105"/>
      <c r="CQ658" s="105"/>
      <c r="CR658" s="105"/>
      <c r="CS658" s="105"/>
      <c r="CT658" s="105"/>
      <c r="CU658" s="105"/>
      <c r="CV658" s="105"/>
      <c r="CW658" s="105"/>
      <c r="CX658" s="105"/>
      <c r="CY658" s="105"/>
      <c r="CZ658" s="105"/>
      <c r="DA658" s="105"/>
      <c r="DB658" s="105"/>
      <c r="DC658" s="105"/>
      <c r="DD658" s="105"/>
      <c r="DE658" s="105"/>
      <c r="DF658" s="105"/>
      <c r="DG658" s="105"/>
      <c r="DH658" s="105"/>
      <c r="DI658" s="105"/>
      <c r="DJ658" s="105"/>
      <c r="DK658" s="105"/>
      <c r="DL658" s="105"/>
      <c r="DM658" s="105"/>
      <c r="DN658" s="105"/>
      <c r="DO658" s="105"/>
      <c r="DP658" s="105"/>
      <c r="DQ658" s="105"/>
      <c r="DR658" s="105"/>
      <c r="DS658" s="105"/>
      <c r="DT658" s="105"/>
      <c r="DU658" s="105"/>
      <c r="DV658" s="105"/>
      <c r="DW658" s="105"/>
      <c r="DX658" s="105"/>
      <c r="DY658" s="105"/>
      <c r="DZ658" s="105"/>
      <c r="EA658" s="105"/>
      <c r="EB658" s="105"/>
      <c r="EC658" s="105"/>
      <c r="ED658" s="105"/>
      <c r="EE658" s="105"/>
      <c r="EF658" s="105"/>
      <c r="EG658" s="105"/>
      <c r="EH658" s="105"/>
      <c r="EI658" s="105"/>
      <c r="EJ658" s="105"/>
      <c r="EK658" s="105"/>
      <c r="EL658" s="105"/>
      <c r="EM658" s="105"/>
      <c r="EN658" s="105"/>
      <c r="EO658" s="105"/>
      <c r="EP658" s="105"/>
      <c r="EQ658" s="105"/>
      <c r="ER658" s="105"/>
      <c r="ES658" s="105"/>
      <c r="ET658" s="105"/>
      <c r="EU658" s="105"/>
      <c r="EV658" s="105"/>
      <c r="EW658" s="105"/>
      <c r="EX658" s="105"/>
      <c r="EY658" s="105"/>
      <c r="EZ658" s="105"/>
      <c r="FA658" s="105"/>
      <c r="FB658" s="105"/>
      <c r="FC658" s="105"/>
      <c r="FD658" s="105"/>
      <c r="FE658" s="105"/>
      <c r="FF658" s="105"/>
      <c r="FG658" s="105"/>
      <c r="FH658" s="105"/>
      <c r="FI658" s="105"/>
      <c r="FJ658" s="105"/>
      <c r="FK658" s="105"/>
      <c r="FL658" s="105"/>
      <c r="FM658" s="105"/>
      <c r="FN658" s="105"/>
      <c r="FO658" s="105"/>
      <c r="FP658" s="105"/>
      <c r="FQ658" s="105"/>
      <c r="FR658" s="105"/>
      <c r="FS658" s="105"/>
      <c r="FT658" s="105"/>
      <c r="FU658" s="105"/>
      <c r="FV658" s="105"/>
      <c r="FW658" s="105"/>
      <c r="FX658" s="105"/>
      <c r="FY658" s="105"/>
      <c r="FZ658" s="105"/>
      <c r="GA658" s="105"/>
      <c r="GB658" s="105"/>
      <c r="GC658" s="105"/>
      <c r="GD658" s="105"/>
      <c r="GE658" s="105"/>
      <c r="GF658" s="105"/>
      <c r="GG658" s="105"/>
      <c r="GH658" s="105"/>
      <c r="GI658" s="105"/>
      <c r="GJ658" s="105"/>
      <c r="GK658" s="105"/>
      <c r="GL658" s="105"/>
      <c r="GM658" s="105"/>
      <c r="GN658" s="105"/>
      <c r="GO658" s="105"/>
      <c r="GP658" s="105"/>
      <c r="GQ658" s="105"/>
      <c r="GR658" s="105"/>
      <c r="GS658" s="105"/>
      <c r="GT658" s="105"/>
      <c r="GU658" s="105"/>
      <c r="GV658" s="105"/>
      <c r="GW658" s="105"/>
      <c r="GX658" s="105"/>
      <c r="GY658" s="105"/>
      <c r="GZ658" s="105"/>
      <c r="HA658" s="105"/>
      <c r="HB658" s="105"/>
      <c r="HC658" s="105"/>
      <c r="HD658" s="105"/>
      <c r="HE658" s="105"/>
      <c r="HF658" s="105"/>
      <c r="HG658" s="105"/>
      <c r="HH658" s="105"/>
      <c r="HI658" s="105"/>
      <c r="HJ658" s="105"/>
      <c r="HK658" s="105"/>
      <c r="HL658" s="105"/>
      <c r="HM658" s="105"/>
      <c r="HN658" s="105"/>
      <c r="HO658" s="105"/>
      <c r="HP658" s="105"/>
      <c r="HQ658" s="105"/>
      <c r="HR658" s="105"/>
      <c r="HS658" s="105"/>
      <c r="HT658" s="105"/>
      <c r="HU658" s="105"/>
      <c r="HV658" s="105"/>
      <c r="HW658" s="105"/>
      <c r="HX658" s="105"/>
      <c r="HY658" s="105"/>
      <c r="HZ658" s="105"/>
      <c r="IA658" s="105"/>
      <c r="IB658" s="105"/>
      <c r="IC658" s="105"/>
      <c r="ID658" s="105"/>
      <c r="IE658" s="105"/>
      <c r="IF658" s="105"/>
      <c r="IG658" s="105"/>
      <c r="IH658" s="105"/>
      <c r="II658" s="105"/>
      <c r="IJ658" s="105"/>
      <c r="IK658" s="105"/>
      <c r="IL658" s="105"/>
      <c r="IM658" s="105"/>
      <c r="IN658" s="105"/>
      <c r="IO658" s="105"/>
      <c r="IP658" s="105"/>
      <c r="IQ658" s="105"/>
      <c r="IR658" s="105"/>
      <c r="IS658" s="105"/>
    </row>
    <row r="659" spans="1:253">
      <c r="A659" s="116"/>
      <c r="B659" s="105"/>
      <c r="C659" s="116"/>
      <c r="D659" s="116"/>
      <c r="E659" s="116"/>
      <c r="F659" s="116"/>
      <c r="G659" s="116"/>
      <c r="H659" s="116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  <c r="BF659" s="105"/>
      <c r="BG659" s="105"/>
      <c r="BH659" s="105"/>
      <c r="BI659" s="105"/>
      <c r="BJ659" s="105"/>
      <c r="BK659" s="105"/>
      <c r="BL659" s="105"/>
      <c r="BM659" s="105"/>
      <c r="BN659" s="105"/>
      <c r="BO659" s="105"/>
      <c r="BP659" s="105"/>
      <c r="BQ659" s="105"/>
      <c r="BR659" s="105"/>
      <c r="BS659" s="105"/>
      <c r="BT659" s="105"/>
      <c r="BU659" s="105"/>
      <c r="BV659" s="105"/>
      <c r="BW659" s="105"/>
      <c r="BX659" s="105"/>
      <c r="BY659" s="105"/>
      <c r="BZ659" s="105"/>
      <c r="CA659" s="105"/>
      <c r="CB659" s="105"/>
      <c r="CC659" s="105"/>
      <c r="CD659" s="105"/>
      <c r="CE659" s="105"/>
      <c r="CF659" s="105"/>
      <c r="CG659" s="105"/>
      <c r="CH659" s="105"/>
      <c r="CI659" s="105"/>
      <c r="CJ659" s="105"/>
      <c r="CK659" s="105"/>
      <c r="CL659" s="105"/>
      <c r="CM659" s="105"/>
      <c r="CN659" s="105"/>
      <c r="CO659" s="105"/>
      <c r="CP659" s="105"/>
      <c r="CQ659" s="105"/>
      <c r="CR659" s="105"/>
      <c r="CS659" s="105"/>
      <c r="CT659" s="105"/>
      <c r="CU659" s="105"/>
      <c r="CV659" s="105"/>
      <c r="CW659" s="105"/>
      <c r="CX659" s="105"/>
      <c r="CY659" s="105"/>
      <c r="CZ659" s="105"/>
      <c r="DA659" s="105"/>
      <c r="DB659" s="105"/>
      <c r="DC659" s="105"/>
      <c r="DD659" s="105"/>
      <c r="DE659" s="105"/>
      <c r="DF659" s="105"/>
      <c r="DG659" s="105"/>
      <c r="DH659" s="105"/>
      <c r="DI659" s="105"/>
      <c r="DJ659" s="105"/>
      <c r="DK659" s="105"/>
      <c r="DL659" s="105"/>
      <c r="DM659" s="105"/>
      <c r="DN659" s="105"/>
      <c r="DO659" s="105"/>
      <c r="DP659" s="105"/>
      <c r="DQ659" s="105"/>
      <c r="DR659" s="105"/>
      <c r="DS659" s="105"/>
      <c r="DT659" s="105"/>
      <c r="DU659" s="105"/>
      <c r="DV659" s="105"/>
      <c r="DW659" s="105"/>
      <c r="DX659" s="105"/>
      <c r="DY659" s="105"/>
      <c r="DZ659" s="105"/>
      <c r="EA659" s="105"/>
      <c r="EB659" s="105"/>
      <c r="EC659" s="105"/>
      <c r="ED659" s="105"/>
      <c r="EE659" s="105"/>
      <c r="EF659" s="105"/>
      <c r="EG659" s="105"/>
      <c r="EH659" s="105"/>
      <c r="EI659" s="105"/>
      <c r="EJ659" s="105"/>
      <c r="EK659" s="105"/>
      <c r="EL659" s="105"/>
      <c r="EM659" s="105"/>
      <c r="EN659" s="105"/>
      <c r="EO659" s="105"/>
      <c r="EP659" s="105"/>
      <c r="EQ659" s="105"/>
      <c r="ER659" s="105"/>
      <c r="ES659" s="105"/>
      <c r="ET659" s="105"/>
      <c r="EU659" s="105"/>
      <c r="EV659" s="105"/>
      <c r="EW659" s="105"/>
      <c r="EX659" s="105"/>
      <c r="EY659" s="105"/>
      <c r="EZ659" s="105"/>
      <c r="FA659" s="105"/>
      <c r="FB659" s="105"/>
      <c r="FC659" s="105"/>
      <c r="FD659" s="105"/>
      <c r="FE659" s="105"/>
      <c r="FF659" s="105"/>
      <c r="FG659" s="105"/>
      <c r="FH659" s="105"/>
      <c r="FI659" s="105"/>
      <c r="FJ659" s="105"/>
      <c r="FK659" s="105"/>
      <c r="FL659" s="105"/>
      <c r="FM659" s="105"/>
      <c r="FN659" s="105"/>
      <c r="FO659" s="105"/>
      <c r="FP659" s="105"/>
      <c r="FQ659" s="105"/>
      <c r="FR659" s="105"/>
      <c r="FS659" s="105"/>
      <c r="FT659" s="105"/>
      <c r="FU659" s="105"/>
      <c r="FV659" s="105"/>
      <c r="FW659" s="105"/>
      <c r="FX659" s="105"/>
      <c r="FY659" s="105"/>
      <c r="FZ659" s="105"/>
      <c r="GA659" s="105"/>
      <c r="GB659" s="105"/>
      <c r="GC659" s="105"/>
      <c r="GD659" s="105"/>
      <c r="GE659" s="105"/>
      <c r="GF659" s="105"/>
      <c r="GG659" s="105"/>
      <c r="GH659" s="105"/>
      <c r="GI659" s="105"/>
      <c r="GJ659" s="105"/>
      <c r="GK659" s="105"/>
      <c r="GL659" s="105"/>
      <c r="GM659" s="105"/>
      <c r="GN659" s="105"/>
      <c r="GO659" s="105"/>
      <c r="GP659" s="105"/>
      <c r="GQ659" s="105"/>
      <c r="GR659" s="105"/>
      <c r="GS659" s="105"/>
      <c r="GT659" s="105"/>
      <c r="GU659" s="105"/>
      <c r="GV659" s="105"/>
      <c r="GW659" s="105"/>
      <c r="GX659" s="105"/>
      <c r="GY659" s="105"/>
      <c r="GZ659" s="105"/>
      <c r="HA659" s="105"/>
      <c r="HB659" s="105"/>
      <c r="HC659" s="105"/>
      <c r="HD659" s="105"/>
      <c r="HE659" s="105"/>
      <c r="HF659" s="105"/>
      <c r="HG659" s="105"/>
      <c r="HH659" s="105"/>
      <c r="HI659" s="105"/>
      <c r="HJ659" s="105"/>
      <c r="HK659" s="105"/>
      <c r="HL659" s="105"/>
      <c r="HM659" s="105"/>
      <c r="HN659" s="105"/>
      <c r="HO659" s="105"/>
      <c r="HP659" s="105"/>
      <c r="HQ659" s="105"/>
      <c r="HR659" s="105"/>
      <c r="HS659" s="105"/>
      <c r="HT659" s="105"/>
      <c r="HU659" s="105"/>
      <c r="HV659" s="105"/>
      <c r="HW659" s="105"/>
      <c r="HX659" s="105"/>
      <c r="HY659" s="105"/>
      <c r="HZ659" s="105"/>
      <c r="IA659" s="105"/>
      <c r="IB659" s="105"/>
      <c r="IC659" s="105"/>
      <c r="ID659" s="105"/>
      <c r="IE659" s="105"/>
      <c r="IF659" s="105"/>
      <c r="IG659" s="105"/>
      <c r="IH659" s="105"/>
      <c r="II659" s="105"/>
      <c r="IJ659" s="105"/>
      <c r="IK659" s="105"/>
      <c r="IL659" s="105"/>
      <c r="IM659" s="105"/>
      <c r="IN659" s="105"/>
      <c r="IO659" s="105"/>
      <c r="IP659" s="105"/>
      <c r="IQ659" s="105"/>
      <c r="IR659" s="105"/>
      <c r="IS659" s="105"/>
    </row>
    <row r="660" spans="1:253">
      <c r="A660" s="116"/>
      <c r="B660" s="105"/>
      <c r="C660" s="116"/>
      <c r="D660" s="116"/>
      <c r="E660" s="116"/>
      <c r="F660" s="116"/>
      <c r="G660" s="116"/>
      <c r="H660" s="116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05"/>
      <c r="BF660" s="105"/>
      <c r="BG660" s="105"/>
      <c r="BH660" s="105"/>
      <c r="BI660" s="105"/>
      <c r="BJ660" s="105"/>
      <c r="BK660" s="105"/>
      <c r="BL660" s="105"/>
      <c r="BM660" s="105"/>
      <c r="BN660" s="105"/>
      <c r="BO660" s="105"/>
      <c r="BP660" s="105"/>
      <c r="BQ660" s="105"/>
      <c r="BR660" s="105"/>
      <c r="BS660" s="105"/>
      <c r="BT660" s="105"/>
      <c r="BU660" s="105"/>
      <c r="BV660" s="105"/>
      <c r="BW660" s="105"/>
      <c r="BX660" s="105"/>
      <c r="BY660" s="105"/>
      <c r="BZ660" s="105"/>
      <c r="CA660" s="105"/>
      <c r="CB660" s="105"/>
      <c r="CC660" s="105"/>
      <c r="CD660" s="105"/>
      <c r="CE660" s="105"/>
      <c r="CF660" s="105"/>
      <c r="CG660" s="105"/>
      <c r="CH660" s="105"/>
      <c r="CI660" s="105"/>
      <c r="CJ660" s="105"/>
      <c r="CK660" s="105"/>
      <c r="CL660" s="105"/>
      <c r="CM660" s="105"/>
      <c r="CN660" s="105"/>
      <c r="CO660" s="105"/>
      <c r="CP660" s="105"/>
      <c r="CQ660" s="105"/>
      <c r="CR660" s="105"/>
      <c r="CS660" s="105"/>
      <c r="CT660" s="105"/>
      <c r="CU660" s="105"/>
      <c r="CV660" s="105"/>
      <c r="CW660" s="105"/>
      <c r="CX660" s="105"/>
      <c r="CY660" s="105"/>
      <c r="CZ660" s="105"/>
      <c r="DA660" s="105"/>
      <c r="DB660" s="105"/>
      <c r="DC660" s="105"/>
      <c r="DD660" s="105"/>
      <c r="DE660" s="105"/>
      <c r="DF660" s="105"/>
      <c r="DG660" s="105"/>
      <c r="DH660" s="105"/>
      <c r="DI660" s="105"/>
      <c r="DJ660" s="105"/>
      <c r="DK660" s="105"/>
      <c r="DL660" s="105"/>
      <c r="DM660" s="105"/>
      <c r="DN660" s="105"/>
      <c r="DO660" s="105"/>
      <c r="DP660" s="105"/>
      <c r="DQ660" s="105"/>
      <c r="DR660" s="105"/>
      <c r="DS660" s="105"/>
      <c r="DT660" s="105"/>
      <c r="DU660" s="105"/>
      <c r="DV660" s="105"/>
      <c r="DW660" s="105"/>
      <c r="DX660" s="105"/>
      <c r="DY660" s="105"/>
      <c r="DZ660" s="105"/>
      <c r="EA660" s="105"/>
      <c r="EB660" s="105"/>
      <c r="EC660" s="105"/>
      <c r="ED660" s="105"/>
      <c r="EE660" s="105"/>
      <c r="EF660" s="105"/>
      <c r="EG660" s="105"/>
      <c r="EH660" s="105"/>
      <c r="EI660" s="105"/>
      <c r="EJ660" s="105"/>
      <c r="EK660" s="105"/>
      <c r="EL660" s="105"/>
      <c r="EM660" s="105"/>
      <c r="EN660" s="105"/>
      <c r="EO660" s="105"/>
      <c r="EP660" s="105"/>
      <c r="EQ660" s="105"/>
      <c r="ER660" s="105"/>
      <c r="ES660" s="105"/>
      <c r="ET660" s="105"/>
      <c r="EU660" s="105"/>
      <c r="EV660" s="105"/>
      <c r="EW660" s="105"/>
      <c r="EX660" s="105"/>
      <c r="EY660" s="105"/>
      <c r="EZ660" s="105"/>
      <c r="FA660" s="105"/>
      <c r="FB660" s="105"/>
      <c r="FC660" s="105"/>
      <c r="FD660" s="105"/>
      <c r="FE660" s="105"/>
      <c r="FF660" s="105"/>
      <c r="FG660" s="105"/>
      <c r="FH660" s="105"/>
      <c r="FI660" s="105"/>
      <c r="FJ660" s="105"/>
      <c r="FK660" s="105"/>
      <c r="FL660" s="105"/>
      <c r="FM660" s="105"/>
      <c r="FN660" s="105"/>
      <c r="FO660" s="105"/>
      <c r="FP660" s="105"/>
      <c r="FQ660" s="105"/>
      <c r="FR660" s="105"/>
      <c r="FS660" s="105"/>
      <c r="FT660" s="105"/>
      <c r="FU660" s="105"/>
      <c r="FV660" s="105"/>
      <c r="FW660" s="105"/>
      <c r="FX660" s="105"/>
      <c r="FY660" s="105"/>
      <c r="FZ660" s="105"/>
      <c r="GA660" s="105"/>
      <c r="GB660" s="105"/>
      <c r="GC660" s="105"/>
      <c r="GD660" s="105"/>
      <c r="GE660" s="105"/>
      <c r="GF660" s="105"/>
      <c r="GG660" s="105"/>
      <c r="GH660" s="105"/>
      <c r="GI660" s="105"/>
      <c r="GJ660" s="105"/>
      <c r="GK660" s="105"/>
      <c r="GL660" s="105"/>
      <c r="GM660" s="105"/>
      <c r="GN660" s="105"/>
      <c r="GO660" s="105"/>
      <c r="GP660" s="105"/>
      <c r="GQ660" s="105"/>
      <c r="GR660" s="105"/>
      <c r="GS660" s="105"/>
      <c r="GT660" s="105"/>
      <c r="GU660" s="105"/>
      <c r="GV660" s="105"/>
      <c r="GW660" s="105"/>
      <c r="GX660" s="105"/>
      <c r="GY660" s="105"/>
      <c r="GZ660" s="105"/>
      <c r="HA660" s="105"/>
      <c r="HB660" s="105"/>
      <c r="HC660" s="105"/>
      <c r="HD660" s="105"/>
      <c r="HE660" s="105"/>
      <c r="HF660" s="105"/>
      <c r="HG660" s="105"/>
      <c r="HH660" s="105"/>
      <c r="HI660" s="105"/>
      <c r="HJ660" s="105"/>
      <c r="HK660" s="105"/>
      <c r="HL660" s="105"/>
      <c r="HM660" s="105"/>
      <c r="HN660" s="105"/>
      <c r="HO660" s="105"/>
      <c r="HP660" s="105"/>
      <c r="HQ660" s="105"/>
      <c r="HR660" s="105"/>
      <c r="HS660" s="105"/>
      <c r="HT660" s="105"/>
      <c r="HU660" s="105"/>
      <c r="HV660" s="105"/>
      <c r="HW660" s="105"/>
      <c r="HX660" s="105"/>
      <c r="HY660" s="105"/>
      <c r="HZ660" s="105"/>
      <c r="IA660" s="105"/>
      <c r="IB660" s="105"/>
      <c r="IC660" s="105"/>
      <c r="ID660" s="105"/>
      <c r="IE660" s="105"/>
      <c r="IF660" s="105"/>
      <c r="IG660" s="105"/>
      <c r="IH660" s="105"/>
      <c r="II660" s="105"/>
      <c r="IJ660" s="105"/>
      <c r="IK660" s="105"/>
      <c r="IL660" s="105"/>
      <c r="IM660" s="105"/>
      <c r="IN660" s="105"/>
      <c r="IO660" s="105"/>
      <c r="IP660" s="105"/>
      <c r="IQ660" s="105"/>
      <c r="IR660" s="105"/>
      <c r="IS660" s="105"/>
    </row>
    <row r="661" spans="1:253">
      <c r="A661" s="116"/>
      <c r="B661" s="105"/>
      <c r="C661" s="116"/>
      <c r="D661" s="116"/>
      <c r="E661" s="116"/>
      <c r="F661" s="116"/>
      <c r="G661" s="116"/>
      <c r="H661" s="116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5"/>
      <c r="BE661" s="105"/>
      <c r="BF661" s="105"/>
      <c r="BG661" s="105"/>
      <c r="BH661" s="105"/>
      <c r="BI661" s="105"/>
      <c r="BJ661" s="105"/>
      <c r="BK661" s="105"/>
      <c r="BL661" s="105"/>
      <c r="BM661" s="105"/>
      <c r="BN661" s="105"/>
      <c r="BO661" s="105"/>
      <c r="BP661" s="105"/>
      <c r="BQ661" s="105"/>
      <c r="BR661" s="105"/>
      <c r="BS661" s="105"/>
      <c r="BT661" s="105"/>
      <c r="BU661" s="105"/>
      <c r="BV661" s="105"/>
      <c r="BW661" s="105"/>
      <c r="BX661" s="105"/>
      <c r="BY661" s="105"/>
      <c r="BZ661" s="105"/>
      <c r="CA661" s="105"/>
      <c r="CB661" s="105"/>
      <c r="CC661" s="105"/>
      <c r="CD661" s="105"/>
      <c r="CE661" s="105"/>
      <c r="CF661" s="105"/>
      <c r="CG661" s="105"/>
      <c r="CH661" s="105"/>
      <c r="CI661" s="105"/>
      <c r="CJ661" s="105"/>
      <c r="CK661" s="105"/>
      <c r="CL661" s="105"/>
      <c r="CM661" s="105"/>
      <c r="CN661" s="105"/>
      <c r="CO661" s="105"/>
      <c r="CP661" s="105"/>
      <c r="CQ661" s="105"/>
      <c r="CR661" s="105"/>
      <c r="CS661" s="105"/>
      <c r="CT661" s="105"/>
      <c r="CU661" s="105"/>
      <c r="CV661" s="105"/>
      <c r="CW661" s="105"/>
      <c r="CX661" s="105"/>
      <c r="CY661" s="105"/>
      <c r="CZ661" s="105"/>
      <c r="DA661" s="105"/>
      <c r="DB661" s="105"/>
      <c r="DC661" s="105"/>
      <c r="DD661" s="105"/>
      <c r="DE661" s="105"/>
      <c r="DF661" s="105"/>
      <c r="DG661" s="105"/>
      <c r="DH661" s="105"/>
      <c r="DI661" s="105"/>
      <c r="DJ661" s="105"/>
      <c r="DK661" s="105"/>
      <c r="DL661" s="105"/>
      <c r="DM661" s="105"/>
      <c r="DN661" s="105"/>
      <c r="DO661" s="105"/>
      <c r="DP661" s="105"/>
      <c r="DQ661" s="105"/>
      <c r="DR661" s="105"/>
      <c r="DS661" s="105"/>
      <c r="DT661" s="105"/>
      <c r="DU661" s="105"/>
      <c r="DV661" s="105"/>
      <c r="DW661" s="105"/>
      <c r="DX661" s="105"/>
      <c r="DY661" s="105"/>
      <c r="DZ661" s="105"/>
      <c r="EA661" s="105"/>
      <c r="EB661" s="105"/>
      <c r="EC661" s="105"/>
      <c r="ED661" s="105"/>
      <c r="EE661" s="105"/>
      <c r="EF661" s="105"/>
      <c r="EG661" s="105"/>
      <c r="EH661" s="105"/>
      <c r="EI661" s="105"/>
      <c r="EJ661" s="105"/>
      <c r="EK661" s="105"/>
      <c r="EL661" s="105"/>
      <c r="EM661" s="105"/>
      <c r="EN661" s="105"/>
      <c r="EO661" s="105"/>
      <c r="EP661" s="105"/>
      <c r="EQ661" s="105"/>
      <c r="ER661" s="105"/>
      <c r="ES661" s="105"/>
      <c r="ET661" s="105"/>
      <c r="EU661" s="105"/>
      <c r="EV661" s="105"/>
      <c r="EW661" s="105"/>
      <c r="EX661" s="105"/>
      <c r="EY661" s="105"/>
      <c r="EZ661" s="105"/>
      <c r="FA661" s="105"/>
      <c r="FB661" s="105"/>
      <c r="FC661" s="105"/>
      <c r="FD661" s="105"/>
      <c r="FE661" s="105"/>
      <c r="FF661" s="105"/>
      <c r="FG661" s="105"/>
      <c r="FH661" s="105"/>
      <c r="FI661" s="105"/>
      <c r="FJ661" s="105"/>
      <c r="FK661" s="105"/>
      <c r="FL661" s="105"/>
      <c r="FM661" s="105"/>
      <c r="FN661" s="105"/>
      <c r="FO661" s="105"/>
      <c r="FP661" s="105"/>
      <c r="FQ661" s="105"/>
      <c r="FR661" s="105"/>
      <c r="FS661" s="105"/>
      <c r="FT661" s="105"/>
      <c r="FU661" s="105"/>
      <c r="FV661" s="105"/>
      <c r="FW661" s="105"/>
      <c r="FX661" s="105"/>
      <c r="FY661" s="105"/>
      <c r="FZ661" s="105"/>
      <c r="GA661" s="105"/>
      <c r="GB661" s="105"/>
      <c r="GC661" s="105"/>
      <c r="GD661" s="105"/>
      <c r="GE661" s="105"/>
      <c r="GF661" s="105"/>
      <c r="GG661" s="105"/>
      <c r="GH661" s="105"/>
      <c r="GI661" s="105"/>
      <c r="GJ661" s="105"/>
      <c r="GK661" s="105"/>
      <c r="GL661" s="105"/>
      <c r="GM661" s="105"/>
      <c r="GN661" s="105"/>
      <c r="GO661" s="105"/>
      <c r="GP661" s="105"/>
      <c r="GQ661" s="105"/>
      <c r="GR661" s="105"/>
      <c r="GS661" s="105"/>
      <c r="GT661" s="105"/>
      <c r="GU661" s="105"/>
      <c r="GV661" s="105"/>
      <c r="GW661" s="105"/>
      <c r="GX661" s="105"/>
      <c r="GY661" s="105"/>
      <c r="GZ661" s="105"/>
      <c r="HA661" s="105"/>
      <c r="HB661" s="105"/>
      <c r="HC661" s="105"/>
      <c r="HD661" s="105"/>
      <c r="HE661" s="105"/>
      <c r="HF661" s="105"/>
      <c r="HG661" s="105"/>
      <c r="HH661" s="105"/>
      <c r="HI661" s="105"/>
      <c r="HJ661" s="105"/>
      <c r="HK661" s="105"/>
      <c r="HL661" s="105"/>
      <c r="HM661" s="105"/>
      <c r="HN661" s="105"/>
      <c r="HO661" s="105"/>
      <c r="HP661" s="105"/>
      <c r="HQ661" s="105"/>
      <c r="HR661" s="105"/>
      <c r="HS661" s="105"/>
      <c r="HT661" s="105"/>
      <c r="HU661" s="105"/>
      <c r="HV661" s="105"/>
      <c r="HW661" s="105"/>
      <c r="HX661" s="105"/>
      <c r="HY661" s="105"/>
      <c r="HZ661" s="105"/>
      <c r="IA661" s="105"/>
      <c r="IB661" s="105"/>
      <c r="IC661" s="105"/>
      <c r="ID661" s="105"/>
      <c r="IE661" s="105"/>
      <c r="IF661" s="105"/>
      <c r="IG661" s="105"/>
      <c r="IH661" s="105"/>
      <c r="II661" s="105"/>
      <c r="IJ661" s="105"/>
      <c r="IK661" s="105"/>
      <c r="IL661" s="105"/>
      <c r="IM661" s="105"/>
      <c r="IN661" s="105"/>
      <c r="IO661" s="105"/>
      <c r="IP661" s="105"/>
      <c r="IQ661" s="105"/>
      <c r="IR661" s="105"/>
      <c r="IS661" s="105"/>
    </row>
    <row r="662" spans="1:253">
      <c r="A662" s="116"/>
      <c r="B662" s="105"/>
      <c r="C662" s="116"/>
      <c r="D662" s="116"/>
      <c r="E662" s="116"/>
      <c r="F662" s="116"/>
      <c r="G662" s="116"/>
      <c r="H662" s="116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05"/>
      <c r="BF662" s="105"/>
      <c r="BG662" s="105"/>
      <c r="BH662" s="105"/>
      <c r="BI662" s="105"/>
      <c r="BJ662" s="105"/>
      <c r="BK662" s="105"/>
      <c r="BL662" s="105"/>
      <c r="BM662" s="105"/>
      <c r="BN662" s="105"/>
      <c r="BO662" s="105"/>
      <c r="BP662" s="105"/>
      <c r="BQ662" s="105"/>
      <c r="BR662" s="105"/>
      <c r="BS662" s="105"/>
      <c r="BT662" s="105"/>
      <c r="BU662" s="105"/>
      <c r="BV662" s="105"/>
      <c r="BW662" s="105"/>
      <c r="BX662" s="105"/>
      <c r="BY662" s="105"/>
      <c r="BZ662" s="105"/>
      <c r="CA662" s="105"/>
      <c r="CB662" s="105"/>
      <c r="CC662" s="105"/>
      <c r="CD662" s="105"/>
      <c r="CE662" s="105"/>
      <c r="CF662" s="105"/>
      <c r="CG662" s="105"/>
      <c r="CH662" s="105"/>
      <c r="CI662" s="105"/>
      <c r="CJ662" s="105"/>
      <c r="CK662" s="105"/>
      <c r="CL662" s="105"/>
      <c r="CM662" s="105"/>
      <c r="CN662" s="105"/>
      <c r="CO662" s="105"/>
      <c r="CP662" s="105"/>
      <c r="CQ662" s="105"/>
      <c r="CR662" s="105"/>
      <c r="CS662" s="105"/>
      <c r="CT662" s="105"/>
      <c r="CU662" s="105"/>
      <c r="CV662" s="105"/>
      <c r="CW662" s="105"/>
      <c r="CX662" s="105"/>
      <c r="CY662" s="105"/>
      <c r="CZ662" s="105"/>
      <c r="DA662" s="105"/>
      <c r="DB662" s="105"/>
      <c r="DC662" s="105"/>
      <c r="DD662" s="105"/>
      <c r="DE662" s="105"/>
      <c r="DF662" s="105"/>
      <c r="DG662" s="105"/>
      <c r="DH662" s="105"/>
      <c r="DI662" s="105"/>
      <c r="DJ662" s="105"/>
      <c r="DK662" s="105"/>
      <c r="DL662" s="105"/>
      <c r="DM662" s="105"/>
      <c r="DN662" s="105"/>
      <c r="DO662" s="105"/>
      <c r="DP662" s="105"/>
      <c r="DQ662" s="105"/>
      <c r="DR662" s="105"/>
      <c r="DS662" s="105"/>
      <c r="DT662" s="105"/>
      <c r="DU662" s="105"/>
      <c r="DV662" s="105"/>
      <c r="DW662" s="105"/>
      <c r="DX662" s="105"/>
      <c r="DY662" s="105"/>
      <c r="DZ662" s="105"/>
      <c r="EA662" s="105"/>
      <c r="EB662" s="105"/>
      <c r="EC662" s="105"/>
      <c r="ED662" s="105"/>
      <c r="EE662" s="105"/>
      <c r="EF662" s="105"/>
      <c r="EG662" s="105"/>
      <c r="EH662" s="105"/>
      <c r="EI662" s="105"/>
      <c r="EJ662" s="105"/>
      <c r="EK662" s="105"/>
      <c r="EL662" s="105"/>
      <c r="EM662" s="105"/>
      <c r="EN662" s="105"/>
      <c r="EO662" s="105"/>
      <c r="EP662" s="105"/>
      <c r="EQ662" s="105"/>
      <c r="ER662" s="105"/>
      <c r="ES662" s="105"/>
      <c r="ET662" s="105"/>
      <c r="EU662" s="105"/>
      <c r="EV662" s="105"/>
      <c r="EW662" s="105"/>
      <c r="EX662" s="105"/>
      <c r="EY662" s="105"/>
      <c r="EZ662" s="105"/>
      <c r="FA662" s="105"/>
      <c r="FB662" s="105"/>
      <c r="FC662" s="105"/>
      <c r="FD662" s="105"/>
      <c r="FE662" s="105"/>
      <c r="FF662" s="105"/>
      <c r="FG662" s="105"/>
      <c r="FH662" s="105"/>
      <c r="FI662" s="105"/>
      <c r="FJ662" s="105"/>
      <c r="FK662" s="105"/>
      <c r="FL662" s="105"/>
      <c r="FM662" s="105"/>
      <c r="FN662" s="105"/>
      <c r="FO662" s="105"/>
      <c r="FP662" s="105"/>
      <c r="FQ662" s="105"/>
      <c r="FR662" s="105"/>
      <c r="FS662" s="105"/>
      <c r="FT662" s="105"/>
      <c r="FU662" s="105"/>
      <c r="FV662" s="105"/>
      <c r="FW662" s="105"/>
      <c r="FX662" s="105"/>
      <c r="FY662" s="105"/>
      <c r="FZ662" s="105"/>
      <c r="GA662" s="105"/>
      <c r="GB662" s="105"/>
      <c r="GC662" s="105"/>
      <c r="GD662" s="105"/>
      <c r="GE662" s="105"/>
      <c r="GF662" s="105"/>
      <c r="GG662" s="105"/>
      <c r="GH662" s="105"/>
      <c r="GI662" s="105"/>
      <c r="GJ662" s="105"/>
      <c r="GK662" s="105"/>
      <c r="GL662" s="105"/>
      <c r="GM662" s="105"/>
      <c r="GN662" s="105"/>
      <c r="GO662" s="105"/>
      <c r="GP662" s="105"/>
      <c r="GQ662" s="105"/>
      <c r="GR662" s="105"/>
      <c r="GS662" s="105"/>
      <c r="GT662" s="105"/>
      <c r="GU662" s="105"/>
      <c r="GV662" s="105"/>
      <c r="GW662" s="105"/>
      <c r="GX662" s="105"/>
      <c r="GY662" s="105"/>
      <c r="GZ662" s="105"/>
      <c r="HA662" s="105"/>
      <c r="HB662" s="105"/>
      <c r="HC662" s="105"/>
      <c r="HD662" s="105"/>
      <c r="HE662" s="105"/>
      <c r="HF662" s="105"/>
      <c r="HG662" s="105"/>
      <c r="HH662" s="105"/>
      <c r="HI662" s="105"/>
      <c r="HJ662" s="105"/>
      <c r="HK662" s="105"/>
      <c r="HL662" s="105"/>
      <c r="HM662" s="105"/>
      <c r="HN662" s="105"/>
      <c r="HO662" s="105"/>
      <c r="HP662" s="105"/>
      <c r="HQ662" s="105"/>
      <c r="HR662" s="105"/>
      <c r="HS662" s="105"/>
      <c r="HT662" s="105"/>
      <c r="HU662" s="105"/>
      <c r="HV662" s="105"/>
      <c r="HW662" s="105"/>
      <c r="HX662" s="105"/>
      <c r="HY662" s="105"/>
      <c r="HZ662" s="105"/>
      <c r="IA662" s="105"/>
      <c r="IB662" s="105"/>
      <c r="IC662" s="105"/>
      <c r="ID662" s="105"/>
      <c r="IE662" s="105"/>
      <c r="IF662" s="105"/>
      <c r="IG662" s="105"/>
      <c r="IH662" s="105"/>
      <c r="II662" s="105"/>
      <c r="IJ662" s="105"/>
      <c r="IK662" s="105"/>
      <c r="IL662" s="105"/>
      <c r="IM662" s="105"/>
      <c r="IN662" s="105"/>
      <c r="IO662" s="105"/>
      <c r="IP662" s="105"/>
      <c r="IQ662" s="105"/>
      <c r="IR662" s="105"/>
      <c r="IS662" s="105"/>
    </row>
    <row r="663" spans="1:253">
      <c r="A663" s="116"/>
      <c r="B663" s="105"/>
      <c r="C663" s="116"/>
      <c r="D663" s="116"/>
      <c r="E663" s="116"/>
      <c r="F663" s="116"/>
      <c r="G663" s="116"/>
      <c r="H663" s="116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5"/>
      <c r="BE663" s="105"/>
      <c r="BF663" s="105"/>
      <c r="BG663" s="105"/>
      <c r="BH663" s="105"/>
      <c r="BI663" s="105"/>
      <c r="BJ663" s="105"/>
      <c r="BK663" s="105"/>
      <c r="BL663" s="105"/>
      <c r="BM663" s="105"/>
      <c r="BN663" s="105"/>
      <c r="BO663" s="105"/>
      <c r="BP663" s="105"/>
      <c r="BQ663" s="105"/>
      <c r="BR663" s="105"/>
      <c r="BS663" s="105"/>
      <c r="BT663" s="105"/>
      <c r="BU663" s="105"/>
      <c r="BV663" s="105"/>
      <c r="BW663" s="105"/>
      <c r="BX663" s="105"/>
      <c r="BY663" s="105"/>
      <c r="BZ663" s="105"/>
      <c r="CA663" s="105"/>
      <c r="CB663" s="105"/>
      <c r="CC663" s="105"/>
      <c r="CD663" s="105"/>
      <c r="CE663" s="105"/>
      <c r="CF663" s="105"/>
      <c r="CG663" s="105"/>
      <c r="CH663" s="105"/>
      <c r="CI663" s="105"/>
      <c r="CJ663" s="105"/>
      <c r="CK663" s="105"/>
      <c r="CL663" s="105"/>
      <c r="CM663" s="105"/>
      <c r="CN663" s="105"/>
      <c r="CO663" s="105"/>
      <c r="CP663" s="105"/>
      <c r="CQ663" s="105"/>
      <c r="CR663" s="105"/>
      <c r="CS663" s="105"/>
      <c r="CT663" s="105"/>
      <c r="CU663" s="105"/>
      <c r="CV663" s="105"/>
      <c r="CW663" s="105"/>
      <c r="CX663" s="105"/>
      <c r="CY663" s="105"/>
      <c r="CZ663" s="105"/>
      <c r="DA663" s="105"/>
      <c r="DB663" s="105"/>
      <c r="DC663" s="105"/>
      <c r="DD663" s="105"/>
      <c r="DE663" s="105"/>
      <c r="DF663" s="105"/>
      <c r="DG663" s="105"/>
      <c r="DH663" s="105"/>
      <c r="DI663" s="105"/>
      <c r="DJ663" s="105"/>
      <c r="DK663" s="105"/>
      <c r="DL663" s="105"/>
      <c r="DM663" s="105"/>
      <c r="DN663" s="105"/>
      <c r="DO663" s="105"/>
      <c r="DP663" s="105"/>
      <c r="DQ663" s="105"/>
      <c r="DR663" s="105"/>
      <c r="DS663" s="105"/>
      <c r="DT663" s="105"/>
      <c r="DU663" s="105"/>
      <c r="DV663" s="105"/>
      <c r="DW663" s="105"/>
      <c r="DX663" s="105"/>
      <c r="DY663" s="105"/>
      <c r="DZ663" s="105"/>
      <c r="EA663" s="105"/>
      <c r="EB663" s="105"/>
      <c r="EC663" s="105"/>
      <c r="ED663" s="105"/>
      <c r="EE663" s="105"/>
      <c r="EF663" s="105"/>
      <c r="EG663" s="105"/>
      <c r="EH663" s="105"/>
      <c r="EI663" s="105"/>
      <c r="EJ663" s="105"/>
      <c r="EK663" s="105"/>
      <c r="EL663" s="105"/>
      <c r="EM663" s="105"/>
      <c r="EN663" s="105"/>
      <c r="EO663" s="105"/>
      <c r="EP663" s="105"/>
      <c r="EQ663" s="105"/>
      <c r="ER663" s="105"/>
      <c r="ES663" s="105"/>
      <c r="ET663" s="105"/>
      <c r="EU663" s="105"/>
      <c r="EV663" s="105"/>
      <c r="EW663" s="105"/>
      <c r="EX663" s="105"/>
      <c r="EY663" s="105"/>
      <c r="EZ663" s="105"/>
      <c r="FA663" s="105"/>
      <c r="FB663" s="105"/>
      <c r="FC663" s="105"/>
      <c r="FD663" s="105"/>
      <c r="FE663" s="105"/>
      <c r="FF663" s="105"/>
      <c r="FG663" s="105"/>
      <c r="FH663" s="105"/>
      <c r="FI663" s="105"/>
      <c r="FJ663" s="105"/>
      <c r="FK663" s="105"/>
      <c r="FL663" s="105"/>
      <c r="FM663" s="105"/>
      <c r="FN663" s="105"/>
      <c r="FO663" s="105"/>
      <c r="FP663" s="105"/>
      <c r="FQ663" s="105"/>
      <c r="FR663" s="105"/>
      <c r="FS663" s="105"/>
      <c r="FT663" s="105"/>
      <c r="FU663" s="105"/>
      <c r="FV663" s="105"/>
      <c r="FW663" s="105"/>
      <c r="FX663" s="105"/>
      <c r="FY663" s="105"/>
      <c r="FZ663" s="105"/>
      <c r="GA663" s="105"/>
      <c r="GB663" s="105"/>
      <c r="GC663" s="105"/>
      <c r="GD663" s="105"/>
      <c r="GE663" s="105"/>
      <c r="GF663" s="105"/>
      <c r="GG663" s="105"/>
      <c r="GH663" s="105"/>
      <c r="GI663" s="105"/>
      <c r="GJ663" s="105"/>
      <c r="GK663" s="105"/>
      <c r="GL663" s="105"/>
      <c r="GM663" s="105"/>
      <c r="GN663" s="105"/>
      <c r="GO663" s="105"/>
      <c r="GP663" s="105"/>
      <c r="GQ663" s="105"/>
      <c r="GR663" s="105"/>
      <c r="GS663" s="105"/>
      <c r="GT663" s="105"/>
      <c r="GU663" s="105"/>
      <c r="GV663" s="105"/>
      <c r="GW663" s="105"/>
      <c r="GX663" s="105"/>
      <c r="GY663" s="105"/>
      <c r="GZ663" s="105"/>
      <c r="HA663" s="105"/>
      <c r="HB663" s="105"/>
      <c r="HC663" s="105"/>
      <c r="HD663" s="105"/>
      <c r="HE663" s="105"/>
      <c r="HF663" s="105"/>
      <c r="HG663" s="105"/>
      <c r="HH663" s="105"/>
      <c r="HI663" s="105"/>
      <c r="HJ663" s="105"/>
      <c r="HK663" s="105"/>
      <c r="HL663" s="105"/>
      <c r="HM663" s="105"/>
      <c r="HN663" s="105"/>
      <c r="HO663" s="105"/>
      <c r="HP663" s="105"/>
      <c r="HQ663" s="105"/>
      <c r="HR663" s="105"/>
      <c r="HS663" s="105"/>
      <c r="HT663" s="105"/>
      <c r="HU663" s="105"/>
      <c r="HV663" s="105"/>
      <c r="HW663" s="105"/>
      <c r="HX663" s="105"/>
      <c r="HY663" s="105"/>
      <c r="HZ663" s="105"/>
      <c r="IA663" s="105"/>
      <c r="IB663" s="105"/>
      <c r="IC663" s="105"/>
      <c r="ID663" s="105"/>
      <c r="IE663" s="105"/>
      <c r="IF663" s="105"/>
      <c r="IG663" s="105"/>
      <c r="IH663" s="105"/>
      <c r="II663" s="105"/>
      <c r="IJ663" s="105"/>
      <c r="IK663" s="105"/>
      <c r="IL663" s="105"/>
      <c r="IM663" s="105"/>
      <c r="IN663" s="105"/>
      <c r="IO663" s="105"/>
      <c r="IP663" s="105"/>
      <c r="IQ663" s="105"/>
      <c r="IR663" s="105"/>
      <c r="IS663" s="105"/>
    </row>
    <row r="664" spans="1:253">
      <c r="A664" s="116"/>
      <c r="B664" s="105"/>
      <c r="C664" s="116"/>
      <c r="D664" s="116"/>
      <c r="E664" s="116"/>
      <c r="F664" s="116"/>
      <c r="G664" s="116"/>
      <c r="H664" s="116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05"/>
      <c r="BF664" s="105"/>
      <c r="BG664" s="105"/>
      <c r="BH664" s="105"/>
      <c r="BI664" s="105"/>
      <c r="BJ664" s="105"/>
      <c r="BK664" s="105"/>
      <c r="BL664" s="105"/>
      <c r="BM664" s="105"/>
      <c r="BN664" s="105"/>
      <c r="BO664" s="105"/>
      <c r="BP664" s="105"/>
      <c r="BQ664" s="105"/>
      <c r="BR664" s="105"/>
      <c r="BS664" s="105"/>
      <c r="BT664" s="105"/>
      <c r="BU664" s="105"/>
      <c r="BV664" s="105"/>
      <c r="BW664" s="105"/>
      <c r="BX664" s="105"/>
      <c r="BY664" s="105"/>
      <c r="BZ664" s="105"/>
      <c r="CA664" s="105"/>
      <c r="CB664" s="105"/>
      <c r="CC664" s="105"/>
      <c r="CD664" s="105"/>
      <c r="CE664" s="105"/>
      <c r="CF664" s="105"/>
      <c r="CG664" s="105"/>
      <c r="CH664" s="105"/>
      <c r="CI664" s="105"/>
      <c r="CJ664" s="105"/>
      <c r="CK664" s="105"/>
      <c r="CL664" s="105"/>
      <c r="CM664" s="105"/>
      <c r="CN664" s="105"/>
      <c r="CO664" s="105"/>
      <c r="CP664" s="105"/>
      <c r="CQ664" s="105"/>
      <c r="CR664" s="105"/>
      <c r="CS664" s="105"/>
      <c r="CT664" s="105"/>
      <c r="CU664" s="105"/>
      <c r="CV664" s="105"/>
      <c r="CW664" s="105"/>
      <c r="CX664" s="105"/>
      <c r="CY664" s="105"/>
      <c r="CZ664" s="105"/>
      <c r="DA664" s="105"/>
      <c r="DB664" s="105"/>
      <c r="DC664" s="105"/>
      <c r="DD664" s="105"/>
      <c r="DE664" s="105"/>
      <c r="DF664" s="105"/>
      <c r="DG664" s="105"/>
      <c r="DH664" s="105"/>
      <c r="DI664" s="105"/>
      <c r="DJ664" s="105"/>
      <c r="DK664" s="105"/>
      <c r="DL664" s="105"/>
      <c r="DM664" s="105"/>
      <c r="DN664" s="105"/>
      <c r="DO664" s="105"/>
      <c r="DP664" s="105"/>
      <c r="DQ664" s="105"/>
      <c r="DR664" s="105"/>
      <c r="DS664" s="105"/>
      <c r="DT664" s="105"/>
      <c r="DU664" s="105"/>
      <c r="DV664" s="105"/>
      <c r="DW664" s="105"/>
      <c r="DX664" s="105"/>
      <c r="DY664" s="105"/>
      <c r="DZ664" s="105"/>
      <c r="EA664" s="105"/>
      <c r="EB664" s="105"/>
      <c r="EC664" s="105"/>
      <c r="ED664" s="105"/>
      <c r="EE664" s="105"/>
      <c r="EF664" s="105"/>
      <c r="EG664" s="105"/>
      <c r="EH664" s="105"/>
      <c r="EI664" s="105"/>
      <c r="EJ664" s="105"/>
      <c r="EK664" s="105"/>
      <c r="EL664" s="105"/>
      <c r="EM664" s="105"/>
      <c r="EN664" s="105"/>
      <c r="EO664" s="105"/>
      <c r="EP664" s="105"/>
      <c r="EQ664" s="105"/>
      <c r="ER664" s="105"/>
      <c r="ES664" s="105"/>
      <c r="ET664" s="105"/>
      <c r="EU664" s="105"/>
      <c r="EV664" s="105"/>
      <c r="EW664" s="105"/>
      <c r="EX664" s="105"/>
      <c r="EY664" s="105"/>
      <c r="EZ664" s="105"/>
      <c r="FA664" s="105"/>
      <c r="FB664" s="105"/>
      <c r="FC664" s="105"/>
      <c r="FD664" s="105"/>
      <c r="FE664" s="105"/>
      <c r="FF664" s="105"/>
      <c r="FG664" s="105"/>
      <c r="FH664" s="105"/>
      <c r="FI664" s="105"/>
      <c r="FJ664" s="105"/>
      <c r="FK664" s="105"/>
      <c r="FL664" s="105"/>
      <c r="FM664" s="105"/>
      <c r="FN664" s="105"/>
      <c r="FO664" s="105"/>
      <c r="FP664" s="105"/>
      <c r="FQ664" s="105"/>
      <c r="FR664" s="105"/>
      <c r="FS664" s="105"/>
      <c r="FT664" s="105"/>
      <c r="FU664" s="105"/>
      <c r="FV664" s="105"/>
      <c r="FW664" s="105"/>
      <c r="FX664" s="105"/>
      <c r="FY664" s="105"/>
      <c r="FZ664" s="105"/>
      <c r="GA664" s="105"/>
      <c r="GB664" s="105"/>
      <c r="GC664" s="105"/>
      <c r="GD664" s="105"/>
      <c r="GE664" s="105"/>
      <c r="GF664" s="105"/>
      <c r="GG664" s="105"/>
      <c r="GH664" s="105"/>
      <c r="GI664" s="105"/>
      <c r="GJ664" s="105"/>
      <c r="GK664" s="105"/>
      <c r="GL664" s="105"/>
      <c r="GM664" s="105"/>
      <c r="GN664" s="105"/>
      <c r="GO664" s="105"/>
      <c r="GP664" s="105"/>
      <c r="GQ664" s="105"/>
      <c r="GR664" s="105"/>
      <c r="GS664" s="105"/>
      <c r="GT664" s="105"/>
      <c r="GU664" s="105"/>
      <c r="GV664" s="105"/>
      <c r="GW664" s="105"/>
      <c r="GX664" s="105"/>
      <c r="GY664" s="105"/>
      <c r="GZ664" s="105"/>
      <c r="HA664" s="105"/>
      <c r="HB664" s="105"/>
      <c r="HC664" s="105"/>
      <c r="HD664" s="105"/>
      <c r="HE664" s="105"/>
      <c r="HF664" s="105"/>
      <c r="HG664" s="105"/>
      <c r="HH664" s="105"/>
      <c r="HI664" s="105"/>
      <c r="HJ664" s="105"/>
      <c r="HK664" s="105"/>
      <c r="HL664" s="105"/>
      <c r="HM664" s="105"/>
      <c r="HN664" s="105"/>
      <c r="HO664" s="105"/>
      <c r="HP664" s="105"/>
      <c r="HQ664" s="105"/>
      <c r="HR664" s="105"/>
      <c r="HS664" s="105"/>
      <c r="HT664" s="105"/>
      <c r="HU664" s="105"/>
      <c r="HV664" s="105"/>
      <c r="HW664" s="105"/>
      <c r="HX664" s="105"/>
      <c r="HY664" s="105"/>
      <c r="HZ664" s="105"/>
      <c r="IA664" s="105"/>
      <c r="IB664" s="105"/>
      <c r="IC664" s="105"/>
      <c r="ID664" s="105"/>
      <c r="IE664" s="105"/>
      <c r="IF664" s="105"/>
      <c r="IG664" s="105"/>
      <c r="IH664" s="105"/>
      <c r="II664" s="105"/>
      <c r="IJ664" s="105"/>
      <c r="IK664" s="105"/>
      <c r="IL664" s="105"/>
      <c r="IM664" s="105"/>
      <c r="IN664" s="105"/>
      <c r="IO664" s="105"/>
      <c r="IP664" s="105"/>
      <c r="IQ664" s="105"/>
      <c r="IR664" s="105"/>
      <c r="IS664" s="105"/>
    </row>
    <row r="665" spans="1:253">
      <c r="A665" s="116"/>
      <c r="B665" s="105"/>
      <c r="C665" s="116"/>
      <c r="D665" s="116"/>
      <c r="E665" s="116"/>
      <c r="F665" s="116"/>
      <c r="G665" s="116"/>
      <c r="H665" s="116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5"/>
      <c r="BE665" s="105"/>
      <c r="BF665" s="105"/>
      <c r="BG665" s="105"/>
      <c r="BH665" s="105"/>
      <c r="BI665" s="105"/>
      <c r="BJ665" s="105"/>
      <c r="BK665" s="105"/>
      <c r="BL665" s="105"/>
      <c r="BM665" s="105"/>
      <c r="BN665" s="105"/>
      <c r="BO665" s="105"/>
      <c r="BP665" s="105"/>
      <c r="BQ665" s="105"/>
      <c r="BR665" s="105"/>
      <c r="BS665" s="105"/>
      <c r="BT665" s="105"/>
      <c r="BU665" s="105"/>
      <c r="BV665" s="105"/>
      <c r="BW665" s="105"/>
      <c r="BX665" s="105"/>
      <c r="BY665" s="105"/>
      <c r="BZ665" s="105"/>
      <c r="CA665" s="105"/>
      <c r="CB665" s="105"/>
      <c r="CC665" s="105"/>
      <c r="CD665" s="105"/>
      <c r="CE665" s="105"/>
      <c r="CF665" s="105"/>
      <c r="CG665" s="105"/>
      <c r="CH665" s="105"/>
      <c r="CI665" s="105"/>
      <c r="CJ665" s="105"/>
      <c r="CK665" s="105"/>
      <c r="CL665" s="105"/>
      <c r="CM665" s="105"/>
      <c r="CN665" s="105"/>
      <c r="CO665" s="105"/>
      <c r="CP665" s="105"/>
      <c r="CQ665" s="105"/>
      <c r="CR665" s="105"/>
      <c r="CS665" s="105"/>
      <c r="CT665" s="105"/>
      <c r="CU665" s="105"/>
      <c r="CV665" s="105"/>
      <c r="CW665" s="105"/>
      <c r="CX665" s="105"/>
      <c r="CY665" s="105"/>
      <c r="CZ665" s="105"/>
      <c r="DA665" s="105"/>
      <c r="DB665" s="105"/>
      <c r="DC665" s="105"/>
      <c r="DD665" s="105"/>
      <c r="DE665" s="105"/>
      <c r="DF665" s="105"/>
      <c r="DG665" s="105"/>
      <c r="DH665" s="105"/>
      <c r="DI665" s="105"/>
      <c r="DJ665" s="105"/>
      <c r="DK665" s="105"/>
      <c r="DL665" s="105"/>
      <c r="DM665" s="105"/>
      <c r="DN665" s="105"/>
      <c r="DO665" s="105"/>
      <c r="DP665" s="105"/>
      <c r="DQ665" s="105"/>
      <c r="DR665" s="105"/>
      <c r="DS665" s="105"/>
      <c r="DT665" s="105"/>
      <c r="DU665" s="105"/>
      <c r="DV665" s="105"/>
      <c r="DW665" s="105"/>
      <c r="DX665" s="105"/>
      <c r="DY665" s="105"/>
      <c r="DZ665" s="105"/>
      <c r="EA665" s="105"/>
      <c r="EB665" s="105"/>
      <c r="EC665" s="105"/>
      <c r="ED665" s="105"/>
      <c r="EE665" s="105"/>
      <c r="EF665" s="105"/>
      <c r="EG665" s="105"/>
      <c r="EH665" s="105"/>
      <c r="EI665" s="105"/>
      <c r="EJ665" s="105"/>
      <c r="EK665" s="105"/>
      <c r="EL665" s="105"/>
      <c r="EM665" s="105"/>
      <c r="EN665" s="105"/>
      <c r="EO665" s="105"/>
      <c r="EP665" s="105"/>
      <c r="EQ665" s="105"/>
      <c r="ER665" s="105"/>
      <c r="ES665" s="105"/>
      <c r="ET665" s="105"/>
      <c r="EU665" s="105"/>
      <c r="EV665" s="105"/>
      <c r="EW665" s="105"/>
      <c r="EX665" s="105"/>
      <c r="EY665" s="105"/>
      <c r="EZ665" s="105"/>
      <c r="FA665" s="105"/>
      <c r="FB665" s="105"/>
      <c r="FC665" s="105"/>
      <c r="FD665" s="105"/>
      <c r="FE665" s="105"/>
      <c r="FF665" s="105"/>
      <c r="FG665" s="105"/>
      <c r="FH665" s="105"/>
      <c r="FI665" s="105"/>
      <c r="FJ665" s="105"/>
      <c r="FK665" s="105"/>
      <c r="FL665" s="105"/>
      <c r="FM665" s="105"/>
      <c r="FN665" s="105"/>
      <c r="FO665" s="105"/>
      <c r="FP665" s="105"/>
      <c r="FQ665" s="105"/>
      <c r="FR665" s="105"/>
      <c r="FS665" s="105"/>
      <c r="FT665" s="105"/>
      <c r="FU665" s="105"/>
      <c r="FV665" s="105"/>
      <c r="FW665" s="105"/>
      <c r="FX665" s="105"/>
      <c r="FY665" s="105"/>
      <c r="FZ665" s="105"/>
      <c r="GA665" s="105"/>
      <c r="GB665" s="105"/>
      <c r="GC665" s="105"/>
      <c r="GD665" s="105"/>
      <c r="GE665" s="105"/>
      <c r="GF665" s="105"/>
      <c r="GG665" s="105"/>
      <c r="GH665" s="105"/>
      <c r="GI665" s="105"/>
      <c r="GJ665" s="105"/>
      <c r="GK665" s="105"/>
      <c r="GL665" s="105"/>
      <c r="GM665" s="105"/>
      <c r="GN665" s="105"/>
      <c r="GO665" s="105"/>
      <c r="GP665" s="105"/>
      <c r="GQ665" s="105"/>
      <c r="GR665" s="105"/>
      <c r="GS665" s="105"/>
      <c r="GT665" s="105"/>
      <c r="GU665" s="105"/>
      <c r="GV665" s="105"/>
      <c r="GW665" s="105"/>
      <c r="GX665" s="105"/>
      <c r="GY665" s="105"/>
      <c r="GZ665" s="105"/>
      <c r="HA665" s="105"/>
      <c r="HB665" s="105"/>
      <c r="HC665" s="105"/>
      <c r="HD665" s="105"/>
      <c r="HE665" s="105"/>
      <c r="HF665" s="105"/>
      <c r="HG665" s="105"/>
      <c r="HH665" s="105"/>
      <c r="HI665" s="105"/>
      <c r="HJ665" s="105"/>
      <c r="HK665" s="105"/>
      <c r="HL665" s="105"/>
      <c r="HM665" s="105"/>
      <c r="HN665" s="105"/>
      <c r="HO665" s="105"/>
      <c r="HP665" s="105"/>
      <c r="HQ665" s="105"/>
      <c r="HR665" s="105"/>
      <c r="HS665" s="105"/>
      <c r="HT665" s="105"/>
      <c r="HU665" s="105"/>
      <c r="HV665" s="105"/>
      <c r="HW665" s="105"/>
      <c r="HX665" s="105"/>
      <c r="HY665" s="105"/>
      <c r="HZ665" s="105"/>
      <c r="IA665" s="105"/>
      <c r="IB665" s="105"/>
      <c r="IC665" s="105"/>
      <c r="ID665" s="105"/>
      <c r="IE665" s="105"/>
      <c r="IF665" s="105"/>
      <c r="IG665" s="105"/>
      <c r="IH665" s="105"/>
      <c r="II665" s="105"/>
      <c r="IJ665" s="105"/>
      <c r="IK665" s="105"/>
      <c r="IL665" s="105"/>
      <c r="IM665" s="105"/>
      <c r="IN665" s="105"/>
      <c r="IO665" s="105"/>
      <c r="IP665" s="105"/>
      <c r="IQ665" s="105"/>
      <c r="IR665" s="105"/>
      <c r="IS665" s="105"/>
    </row>
    <row r="666" spans="1:253">
      <c r="A666" s="116"/>
      <c r="B666" s="105"/>
      <c r="C666" s="116"/>
      <c r="D666" s="116"/>
      <c r="E666" s="116"/>
      <c r="F666" s="116"/>
      <c r="G666" s="116"/>
      <c r="H666" s="116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05"/>
      <c r="BF666" s="105"/>
      <c r="BG666" s="105"/>
      <c r="BH666" s="105"/>
      <c r="BI666" s="105"/>
      <c r="BJ666" s="105"/>
      <c r="BK666" s="105"/>
      <c r="BL666" s="105"/>
      <c r="BM666" s="105"/>
      <c r="BN666" s="105"/>
      <c r="BO666" s="105"/>
      <c r="BP666" s="105"/>
      <c r="BQ666" s="105"/>
      <c r="BR666" s="105"/>
      <c r="BS666" s="105"/>
      <c r="BT666" s="105"/>
      <c r="BU666" s="105"/>
      <c r="BV666" s="105"/>
      <c r="BW666" s="105"/>
      <c r="BX666" s="105"/>
      <c r="BY666" s="105"/>
      <c r="BZ666" s="105"/>
      <c r="CA666" s="105"/>
      <c r="CB666" s="105"/>
      <c r="CC666" s="105"/>
      <c r="CD666" s="105"/>
      <c r="CE666" s="105"/>
      <c r="CF666" s="105"/>
      <c r="CG666" s="105"/>
      <c r="CH666" s="105"/>
      <c r="CI666" s="105"/>
      <c r="CJ666" s="105"/>
      <c r="CK666" s="105"/>
      <c r="CL666" s="105"/>
      <c r="CM666" s="105"/>
      <c r="CN666" s="105"/>
      <c r="CO666" s="105"/>
      <c r="CP666" s="105"/>
      <c r="CQ666" s="105"/>
      <c r="CR666" s="105"/>
      <c r="CS666" s="105"/>
      <c r="CT666" s="105"/>
      <c r="CU666" s="105"/>
      <c r="CV666" s="105"/>
      <c r="CW666" s="105"/>
      <c r="CX666" s="105"/>
      <c r="CY666" s="105"/>
      <c r="CZ666" s="105"/>
      <c r="DA666" s="105"/>
      <c r="DB666" s="105"/>
      <c r="DC666" s="105"/>
      <c r="DD666" s="105"/>
      <c r="DE666" s="105"/>
      <c r="DF666" s="105"/>
      <c r="DG666" s="105"/>
      <c r="DH666" s="105"/>
      <c r="DI666" s="105"/>
      <c r="DJ666" s="105"/>
      <c r="DK666" s="105"/>
      <c r="DL666" s="105"/>
      <c r="DM666" s="105"/>
      <c r="DN666" s="105"/>
      <c r="DO666" s="105"/>
      <c r="DP666" s="105"/>
      <c r="DQ666" s="105"/>
      <c r="DR666" s="105"/>
      <c r="DS666" s="105"/>
      <c r="DT666" s="105"/>
      <c r="DU666" s="105"/>
      <c r="DV666" s="105"/>
      <c r="DW666" s="105"/>
      <c r="DX666" s="105"/>
      <c r="DY666" s="105"/>
      <c r="DZ666" s="105"/>
      <c r="EA666" s="105"/>
      <c r="EB666" s="105"/>
      <c r="EC666" s="105"/>
      <c r="ED666" s="105"/>
      <c r="EE666" s="105"/>
      <c r="EF666" s="105"/>
      <c r="EG666" s="105"/>
      <c r="EH666" s="105"/>
      <c r="EI666" s="105"/>
      <c r="EJ666" s="105"/>
      <c r="EK666" s="105"/>
      <c r="EL666" s="105"/>
      <c r="EM666" s="105"/>
      <c r="EN666" s="105"/>
      <c r="EO666" s="105"/>
      <c r="EP666" s="105"/>
      <c r="EQ666" s="105"/>
      <c r="ER666" s="105"/>
      <c r="ES666" s="105"/>
      <c r="ET666" s="105"/>
      <c r="EU666" s="105"/>
      <c r="EV666" s="105"/>
      <c r="EW666" s="105"/>
      <c r="EX666" s="105"/>
      <c r="EY666" s="105"/>
      <c r="EZ666" s="105"/>
      <c r="FA666" s="105"/>
      <c r="FB666" s="105"/>
      <c r="FC666" s="105"/>
      <c r="FD666" s="105"/>
      <c r="FE666" s="105"/>
      <c r="FF666" s="105"/>
      <c r="FG666" s="105"/>
      <c r="FH666" s="105"/>
      <c r="FI666" s="105"/>
      <c r="FJ666" s="105"/>
      <c r="FK666" s="105"/>
      <c r="FL666" s="105"/>
      <c r="FM666" s="105"/>
      <c r="FN666" s="105"/>
      <c r="FO666" s="105"/>
      <c r="FP666" s="105"/>
      <c r="FQ666" s="105"/>
      <c r="FR666" s="105"/>
      <c r="FS666" s="105"/>
      <c r="FT666" s="105"/>
      <c r="FU666" s="105"/>
      <c r="FV666" s="105"/>
      <c r="FW666" s="105"/>
      <c r="FX666" s="105"/>
      <c r="FY666" s="105"/>
      <c r="FZ666" s="105"/>
      <c r="GA666" s="105"/>
      <c r="GB666" s="105"/>
      <c r="GC666" s="105"/>
      <c r="GD666" s="105"/>
      <c r="GE666" s="105"/>
      <c r="GF666" s="105"/>
      <c r="GG666" s="105"/>
      <c r="GH666" s="105"/>
      <c r="GI666" s="105"/>
      <c r="GJ666" s="105"/>
      <c r="GK666" s="105"/>
      <c r="GL666" s="105"/>
      <c r="GM666" s="105"/>
      <c r="GN666" s="105"/>
      <c r="GO666" s="105"/>
      <c r="GP666" s="105"/>
      <c r="GQ666" s="105"/>
      <c r="GR666" s="105"/>
      <c r="GS666" s="105"/>
      <c r="GT666" s="105"/>
      <c r="GU666" s="105"/>
      <c r="GV666" s="105"/>
      <c r="GW666" s="105"/>
      <c r="GX666" s="105"/>
      <c r="GY666" s="105"/>
      <c r="GZ666" s="105"/>
      <c r="HA666" s="105"/>
      <c r="HB666" s="105"/>
      <c r="HC666" s="105"/>
      <c r="HD666" s="105"/>
      <c r="HE666" s="105"/>
      <c r="HF666" s="105"/>
      <c r="HG666" s="105"/>
      <c r="HH666" s="105"/>
      <c r="HI666" s="105"/>
      <c r="HJ666" s="105"/>
      <c r="HK666" s="105"/>
      <c r="HL666" s="105"/>
      <c r="HM666" s="105"/>
      <c r="HN666" s="105"/>
      <c r="HO666" s="105"/>
      <c r="HP666" s="105"/>
      <c r="HQ666" s="105"/>
      <c r="HR666" s="105"/>
      <c r="HS666" s="105"/>
      <c r="HT666" s="105"/>
      <c r="HU666" s="105"/>
      <c r="HV666" s="105"/>
      <c r="HW666" s="105"/>
      <c r="HX666" s="105"/>
      <c r="HY666" s="105"/>
      <c r="HZ666" s="105"/>
      <c r="IA666" s="105"/>
      <c r="IB666" s="105"/>
      <c r="IC666" s="105"/>
      <c r="ID666" s="105"/>
      <c r="IE666" s="105"/>
      <c r="IF666" s="105"/>
      <c r="IG666" s="105"/>
      <c r="IH666" s="105"/>
      <c r="II666" s="105"/>
      <c r="IJ666" s="105"/>
      <c r="IK666" s="105"/>
      <c r="IL666" s="105"/>
      <c r="IM666" s="105"/>
      <c r="IN666" s="105"/>
      <c r="IO666" s="105"/>
      <c r="IP666" s="105"/>
      <c r="IQ666" s="105"/>
      <c r="IR666" s="105"/>
      <c r="IS666" s="105"/>
    </row>
    <row r="667" spans="1:253">
      <c r="A667" s="116"/>
      <c r="B667" s="105"/>
      <c r="C667" s="116"/>
      <c r="D667" s="116"/>
      <c r="E667" s="116"/>
      <c r="F667" s="116"/>
      <c r="G667" s="116"/>
      <c r="H667" s="116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05"/>
      <c r="BF667" s="105"/>
      <c r="BG667" s="105"/>
      <c r="BH667" s="105"/>
      <c r="BI667" s="105"/>
      <c r="BJ667" s="105"/>
      <c r="BK667" s="105"/>
      <c r="BL667" s="105"/>
      <c r="BM667" s="105"/>
      <c r="BN667" s="105"/>
      <c r="BO667" s="105"/>
      <c r="BP667" s="105"/>
      <c r="BQ667" s="105"/>
      <c r="BR667" s="105"/>
      <c r="BS667" s="105"/>
      <c r="BT667" s="105"/>
      <c r="BU667" s="105"/>
      <c r="BV667" s="105"/>
      <c r="BW667" s="105"/>
      <c r="BX667" s="105"/>
      <c r="BY667" s="105"/>
      <c r="BZ667" s="105"/>
      <c r="CA667" s="105"/>
      <c r="CB667" s="105"/>
      <c r="CC667" s="105"/>
      <c r="CD667" s="105"/>
      <c r="CE667" s="105"/>
      <c r="CF667" s="105"/>
      <c r="CG667" s="105"/>
      <c r="CH667" s="105"/>
      <c r="CI667" s="105"/>
      <c r="CJ667" s="105"/>
      <c r="CK667" s="105"/>
      <c r="CL667" s="105"/>
      <c r="CM667" s="105"/>
      <c r="CN667" s="105"/>
      <c r="CO667" s="105"/>
      <c r="CP667" s="105"/>
      <c r="CQ667" s="105"/>
      <c r="CR667" s="105"/>
      <c r="CS667" s="105"/>
      <c r="CT667" s="105"/>
      <c r="CU667" s="105"/>
      <c r="CV667" s="105"/>
      <c r="CW667" s="105"/>
      <c r="CX667" s="105"/>
      <c r="CY667" s="105"/>
      <c r="CZ667" s="105"/>
      <c r="DA667" s="105"/>
      <c r="DB667" s="105"/>
      <c r="DC667" s="105"/>
      <c r="DD667" s="105"/>
      <c r="DE667" s="105"/>
      <c r="DF667" s="105"/>
      <c r="DG667" s="105"/>
      <c r="DH667" s="105"/>
      <c r="DI667" s="105"/>
      <c r="DJ667" s="105"/>
      <c r="DK667" s="105"/>
      <c r="DL667" s="105"/>
      <c r="DM667" s="105"/>
      <c r="DN667" s="105"/>
      <c r="DO667" s="105"/>
      <c r="DP667" s="105"/>
      <c r="DQ667" s="105"/>
      <c r="DR667" s="105"/>
      <c r="DS667" s="105"/>
      <c r="DT667" s="105"/>
      <c r="DU667" s="105"/>
      <c r="DV667" s="105"/>
      <c r="DW667" s="105"/>
      <c r="DX667" s="105"/>
      <c r="DY667" s="105"/>
      <c r="DZ667" s="105"/>
      <c r="EA667" s="105"/>
      <c r="EB667" s="105"/>
      <c r="EC667" s="105"/>
      <c r="ED667" s="105"/>
      <c r="EE667" s="105"/>
      <c r="EF667" s="105"/>
      <c r="EG667" s="105"/>
      <c r="EH667" s="105"/>
      <c r="EI667" s="105"/>
      <c r="EJ667" s="105"/>
      <c r="EK667" s="105"/>
      <c r="EL667" s="105"/>
      <c r="EM667" s="105"/>
      <c r="EN667" s="105"/>
      <c r="EO667" s="105"/>
      <c r="EP667" s="105"/>
      <c r="EQ667" s="105"/>
      <c r="ER667" s="105"/>
      <c r="ES667" s="105"/>
      <c r="ET667" s="105"/>
      <c r="EU667" s="105"/>
      <c r="EV667" s="105"/>
      <c r="EW667" s="105"/>
      <c r="EX667" s="105"/>
      <c r="EY667" s="105"/>
      <c r="EZ667" s="105"/>
      <c r="FA667" s="105"/>
      <c r="FB667" s="105"/>
      <c r="FC667" s="105"/>
      <c r="FD667" s="105"/>
      <c r="FE667" s="105"/>
      <c r="FF667" s="105"/>
      <c r="FG667" s="105"/>
      <c r="FH667" s="105"/>
      <c r="FI667" s="105"/>
      <c r="FJ667" s="105"/>
      <c r="FK667" s="105"/>
      <c r="FL667" s="105"/>
      <c r="FM667" s="105"/>
      <c r="FN667" s="105"/>
      <c r="FO667" s="105"/>
      <c r="FP667" s="105"/>
      <c r="FQ667" s="105"/>
      <c r="FR667" s="105"/>
      <c r="FS667" s="105"/>
      <c r="FT667" s="105"/>
      <c r="FU667" s="105"/>
      <c r="FV667" s="105"/>
      <c r="FW667" s="105"/>
      <c r="FX667" s="105"/>
      <c r="FY667" s="105"/>
      <c r="FZ667" s="105"/>
      <c r="GA667" s="105"/>
      <c r="GB667" s="105"/>
      <c r="GC667" s="105"/>
      <c r="GD667" s="105"/>
      <c r="GE667" s="105"/>
      <c r="GF667" s="105"/>
      <c r="GG667" s="105"/>
      <c r="GH667" s="105"/>
      <c r="GI667" s="105"/>
      <c r="GJ667" s="105"/>
      <c r="GK667" s="105"/>
      <c r="GL667" s="105"/>
      <c r="GM667" s="105"/>
      <c r="GN667" s="105"/>
      <c r="GO667" s="105"/>
      <c r="GP667" s="105"/>
      <c r="GQ667" s="105"/>
      <c r="GR667" s="105"/>
      <c r="GS667" s="105"/>
      <c r="GT667" s="105"/>
      <c r="GU667" s="105"/>
      <c r="GV667" s="105"/>
      <c r="GW667" s="105"/>
      <c r="GX667" s="105"/>
      <c r="GY667" s="105"/>
      <c r="GZ667" s="105"/>
      <c r="HA667" s="105"/>
      <c r="HB667" s="105"/>
      <c r="HC667" s="105"/>
      <c r="HD667" s="105"/>
      <c r="HE667" s="105"/>
      <c r="HF667" s="105"/>
      <c r="HG667" s="105"/>
      <c r="HH667" s="105"/>
      <c r="HI667" s="105"/>
      <c r="HJ667" s="105"/>
      <c r="HK667" s="105"/>
      <c r="HL667" s="105"/>
      <c r="HM667" s="105"/>
      <c r="HN667" s="105"/>
      <c r="HO667" s="105"/>
      <c r="HP667" s="105"/>
      <c r="HQ667" s="105"/>
      <c r="HR667" s="105"/>
      <c r="HS667" s="105"/>
      <c r="HT667" s="105"/>
      <c r="HU667" s="105"/>
      <c r="HV667" s="105"/>
      <c r="HW667" s="105"/>
      <c r="HX667" s="105"/>
      <c r="HY667" s="105"/>
      <c r="HZ667" s="105"/>
      <c r="IA667" s="105"/>
      <c r="IB667" s="105"/>
      <c r="IC667" s="105"/>
      <c r="ID667" s="105"/>
      <c r="IE667" s="105"/>
      <c r="IF667" s="105"/>
      <c r="IG667" s="105"/>
      <c r="IH667" s="105"/>
      <c r="II667" s="105"/>
      <c r="IJ667" s="105"/>
      <c r="IK667" s="105"/>
      <c r="IL667" s="105"/>
      <c r="IM667" s="105"/>
      <c r="IN667" s="105"/>
      <c r="IO667" s="105"/>
      <c r="IP667" s="105"/>
      <c r="IQ667" s="105"/>
      <c r="IR667" s="105"/>
      <c r="IS667" s="105"/>
    </row>
    <row r="668" spans="1:253">
      <c r="A668" s="116"/>
      <c r="B668" s="105"/>
      <c r="C668" s="116"/>
      <c r="D668" s="116"/>
      <c r="E668" s="116"/>
      <c r="F668" s="116"/>
      <c r="G668" s="116"/>
      <c r="H668" s="116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05"/>
      <c r="BF668" s="105"/>
      <c r="BG668" s="105"/>
      <c r="BH668" s="105"/>
      <c r="BI668" s="105"/>
      <c r="BJ668" s="105"/>
      <c r="BK668" s="105"/>
      <c r="BL668" s="105"/>
      <c r="BM668" s="105"/>
      <c r="BN668" s="105"/>
      <c r="BO668" s="105"/>
      <c r="BP668" s="105"/>
      <c r="BQ668" s="105"/>
      <c r="BR668" s="105"/>
      <c r="BS668" s="105"/>
      <c r="BT668" s="105"/>
      <c r="BU668" s="105"/>
      <c r="BV668" s="105"/>
      <c r="BW668" s="105"/>
      <c r="BX668" s="105"/>
      <c r="BY668" s="105"/>
      <c r="BZ668" s="105"/>
      <c r="CA668" s="105"/>
      <c r="CB668" s="105"/>
      <c r="CC668" s="105"/>
      <c r="CD668" s="105"/>
      <c r="CE668" s="105"/>
      <c r="CF668" s="105"/>
      <c r="CG668" s="105"/>
      <c r="CH668" s="105"/>
      <c r="CI668" s="105"/>
      <c r="CJ668" s="105"/>
      <c r="CK668" s="105"/>
      <c r="CL668" s="105"/>
      <c r="CM668" s="105"/>
      <c r="CN668" s="105"/>
      <c r="CO668" s="105"/>
      <c r="CP668" s="105"/>
      <c r="CQ668" s="105"/>
      <c r="CR668" s="105"/>
      <c r="CS668" s="105"/>
      <c r="CT668" s="105"/>
      <c r="CU668" s="105"/>
      <c r="CV668" s="105"/>
      <c r="CW668" s="105"/>
      <c r="CX668" s="105"/>
      <c r="CY668" s="105"/>
      <c r="CZ668" s="105"/>
      <c r="DA668" s="105"/>
      <c r="DB668" s="105"/>
      <c r="DC668" s="105"/>
      <c r="DD668" s="105"/>
      <c r="DE668" s="105"/>
      <c r="DF668" s="105"/>
      <c r="DG668" s="105"/>
      <c r="DH668" s="105"/>
      <c r="DI668" s="105"/>
      <c r="DJ668" s="105"/>
      <c r="DK668" s="105"/>
      <c r="DL668" s="105"/>
      <c r="DM668" s="105"/>
      <c r="DN668" s="105"/>
      <c r="DO668" s="105"/>
      <c r="DP668" s="105"/>
      <c r="DQ668" s="105"/>
      <c r="DR668" s="105"/>
      <c r="DS668" s="105"/>
      <c r="DT668" s="105"/>
      <c r="DU668" s="105"/>
      <c r="DV668" s="105"/>
      <c r="DW668" s="105"/>
      <c r="DX668" s="105"/>
      <c r="DY668" s="105"/>
      <c r="DZ668" s="105"/>
      <c r="EA668" s="105"/>
      <c r="EB668" s="105"/>
      <c r="EC668" s="105"/>
      <c r="ED668" s="105"/>
      <c r="EE668" s="105"/>
      <c r="EF668" s="105"/>
      <c r="EG668" s="105"/>
      <c r="EH668" s="105"/>
      <c r="EI668" s="105"/>
      <c r="EJ668" s="105"/>
      <c r="EK668" s="105"/>
      <c r="EL668" s="105"/>
      <c r="EM668" s="105"/>
      <c r="EN668" s="105"/>
      <c r="EO668" s="105"/>
      <c r="EP668" s="105"/>
      <c r="EQ668" s="105"/>
      <c r="ER668" s="105"/>
      <c r="ES668" s="105"/>
      <c r="ET668" s="105"/>
      <c r="EU668" s="105"/>
      <c r="EV668" s="105"/>
      <c r="EW668" s="105"/>
      <c r="EX668" s="105"/>
      <c r="EY668" s="105"/>
      <c r="EZ668" s="105"/>
      <c r="FA668" s="105"/>
      <c r="FB668" s="105"/>
      <c r="FC668" s="105"/>
      <c r="FD668" s="105"/>
      <c r="FE668" s="105"/>
      <c r="FF668" s="105"/>
      <c r="FG668" s="105"/>
      <c r="FH668" s="105"/>
      <c r="FI668" s="105"/>
      <c r="FJ668" s="105"/>
      <c r="FK668" s="105"/>
      <c r="FL668" s="105"/>
      <c r="FM668" s="105"/>
      <c r="FN668" s="105"/>
      <c r="FO668" s="105"/>
      <c r="FP668" s="105"/>
      <c r="FQ668" s="105"/>
      <c r="FR668" s="105"/>
      <c r="FS668" s="105"/>
      <c r="FT668" s="105"/>
      <c r="FU668" s="105"/>
      <c r="FV668" s="105"/>
      <c r="FW668" s="105"/>
      <c r="FX668" s="105"/>
      <c r="FY668" s="105"/>
      <c r="FZ668" s="105"/>
      <c r="GA668" s="105"/>
      <c r="GB668" s="105"/>
      <c r="GC668" s="105"/>
      <c r="GD668" s="105"/>
      <c r="GE668" s="105"/>
      <c r="GF668" s="105"/>
      <c r="GG668" s="105"/>
      <c r="GH668" s="105"/>
      <c r="GI668" s="105"/>
      <c r="GJ668" s="105"/>
      <c r="GK668" s="105"/>
      <c r="GL668" s="105"/>
      <c r="GM668" s="105"/>
      <c r="GN668" s="105"/>
      <c r="GO668" s="105"/>
      <c r="GP668" s="105"/>
      <c r="GQ668" s="105"/>
      <c r="GR668" s="105"/>
      <c r="GS668" s="105"/>
      <c r="GT668" s="105"/>
      <c r="GU668" s="105"/>
      <c r="GV668" s="105"/>
      <c r="GW668" s="105"/>
      <c r="GX668" s="105"/>
      <c r="GY668" s="105"/>
      <c r="GZ668" s="105"/>
      <c r="HA668" s="105"/>
      <c r="HB668" s="105"/>
      <c r="HC668" s="105"/>
      <c r="HD668" s="105"/>
      <c r="HE668" s="105"/>
      <c r="HF668" s="105"/>
      <c r="HG668" s="105"/>
      <c r="HH668" s="105"/>
      <c r="HI668" s="105"/>
      <c r="HJ668" s="105"/>
      <c r="HK668" s="105"/>
      <c r="HL668" s="105"/>
      <c r="HM668" s="105"/>
      <c r="HN668" s="105"/>
      <c r="HO668" s="105"/>
      <c r="HP668" s="105"/>
      <c r="HQ668" s="105"/>
      <c r="HR668" s="105"/>
      <c r="HS668" s="105"/>
      <c r="HT668" s="105"/>
      <c r="HU668" s="105"/>
      <c r="HV668" s="105"/>
      <c r="HW668" s="105"/>
      <c r="HX668" s="105"/>
      <c r="HY668" s="105"/>
      <c r="HZ668" s="105"/>
      <c r="IA668" s="105"/>
      <c r="IB668" s="105"/>
      <c r="IC668" s="105"/>
      <c r="ID668" s="105"/>
      <c r="IE668" s="105"/>
      <c r="IF668" s="105"/>
      <c r="IG668" s="105"/>
      <c r="IH668" s="105"/>
      <c r="II668" s="105"/>
      <c r="IJ668" s="105"/>
      <c r="IK668" s="105"/>
      <c r="IL668" s="105"/>
      <c r="IM668" s="105"/>
      <c r="IN668" s="105"/>
      <c r="IO668" s="105"/>
      <c r="IP668" s="105"/>
      <c r="IQ668" s="105"/>
      <c r="IR668" s="105"/>
      <c r="IS668" s="105"/>
    </row>
    <row r="669" spans="1:253">
      <c r="A669" s="116"/>
      <c r="B669" s="105"/>
      <c r="C669" s="116"/>
      <c r="D669" s="116"/>
      <c r="E669" s="116"/>
      <c r="F669" s="116"/>
      <c r="G669" s="116"/>
      <c r="H669" s="116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05"/>
      <c r="BF669" s="105"/>
      <c r="BG669" s="105"/>
      <c r="BH669" s="105"/>
      <c r="BI669" s="105"/>
      <c r="BJ669" s="105"/>
      <c r="BK669" s="105"/>
      <c r="BL669" s="105"/>
      <c r="BM669" s="105"/>
      <c r="BN669" s="105"/>
      <c r="BO669" s="105"/>
      <c r="BP669" s="105"/>
      <c r="BQ669" s="105"/>
      <c r="BR669" s="105"/>
      <c r="BS669" s="105"/>
      <c r="BT669" s="105"/>
      <c r="BU669" s="105"/>
      <c r="BV669" s="105"/>
      <c r="BW669" s="105"/>
      <c r="BX669" s="105"/>
      <c r="BY669" s="105"/>
      <c r="BZ669" s="105"/>
      <c r="CA669" s="105"/>
      <c r="CB669" s="105"/>
      <c r="CC669" s="105"/>
      <c r="CD669" s="105"/>
      <c r="CE669" s="105"/>
      <c r="CF669" s="105"/>
      <c r="CG669" s="105"/>
      <c r="CH669" s="105"/>
      <c r="CI669" s="105"/>
      <c r="CJ669" s="105"/>
      <c r="CK669" s="105"/>
      <c r="CL669" s="105"/>
      <c r="CM669" s="105"/>
      <c r="CN669" s="105"/>
      <c r="CO669" s="105"/>
      <c r="CP669" s="105"/>
      <c r="CQ669" s="105"/>
      <c r="CR669" s="105"/>
      <c r="CS669" s="105"/>
      <c r="CT669" s="105"/>
      <c r="CU669" s="105"/>
      <c r="CV669" s="105"/>
      <c r="CW669" s="105"/>
      <c r="CX669" s="105"/>
      <c r="CY669" s="105"/>
      <c r="CZ669" s="105"/>
      <c r="DA669" s="105"/>
      <c r="DB669" s="105"/>
      <c r="DC669" s="105"/>
      <c r="DD669" s="105"/>
      <c r="DE669" s="105"/>
      <c r="DF669" s="105"/>
      <c r="DG669" s="105"/>
      <c r="DH669" s="105"/>
      <c r="DI669" s="105"/>
      <c r="DJ669" s="105"/>
      <c r="DK669" s="105"/>
      <c r="DL669" s="105"/>
      <c r="DM669" s="105"/>
      <c r="DN669" s="105"/>
      <c r="DO669" s="105"/>
      <c r="DP669" s="105"/>
      <c r="DQ669" s="105"/>
      <c r="DR669" s="105"/>
      <c r="DS669" s="105"/>
      <c r="DT669" s="105"/>
      <c r="DU669" s="105"/>
      <c r="DV669" s="105"/>
      <c r="DW669" s="105"/>
      <c r="DX669" s="105"/>
      <c r="DY669" s="105"/>
      <c r="DZ669" s="105"/>
      <c r="EA669" s="105"/>
      <c r="EB669" s="105"/>
      <c r="EC669" s="105"/>
      <c r="ED669" s="105"/>
      <c r="EE669" s="105"/>
      <c r="EF669" s="105"/>
      <c r="EG669" s="105"/>
      <c r="EH669" s="105"/>
      <c r="EI669" s="105"/>
      <c r="EJ669" s="105"/>
      <c r="EK669" s="105"/>
      <c r="EL669" s="105"/>
      <c r="EM669" s="105"/>
      <c r="EN669" s="105"/>
      <c r="EO669" s="105"/>
      <c r="EP669" s="105"/>
      <c r="EQ669" s="105"/>
      <c r="ER669" s="105"/>
      <c r="ES669" s="105"/>
      <c r="ET669" s="105"/>
      <c r="EU669" s="105"/>
      <c r="EV669" s="105"/>
      <c r="EW669" s="105"/>
      <c r="EX669" s="105"/>
      <c r="EY669" s="105"/>
      <c r="EZ669" s="105"/>
      <c r="FA669" s="105"/>
      <c r="FB669" s="105"/>
      <c r="FC669" s="105"/>
      <c r="FD669" s="105"/>
      <c r="FE669" s="105"/>
      <c r="FF669" s="105"/>
      <c r="FG669" s="105"/>
      <c r="FH669" s="105"/>
      <c r="FI669" s="105"/>
      <c r="FJ669" s="105"/>
      <c r="FK669" s="105"/>
      <c r="FL669" s="105"/>
      <c r="FM669" s="105"/>
      <c r="FN669" s="105"/>
      <c r="FO669" s="105"/>
      <c r="FP669" s="105"/>
      <c r="FQ669" s="105"/>
      <c r="FR669" s="105"/>
      <c r="FS669" s="105"/>
      <c r="FT669" s="105"/>
      <c r="FU669" s="105"/>
      <c r="FV669" s="105"/>
      <c r="FW669" s="105"/>
      <c r="FX669" s="105"/>
      <c r="FY669" s="105"/>
      <c r="FZ669" s="105"/>
      <c r="GA669" s="105"/>
      <c r="GB669" s="105"/>
      <c r="GC669" s="105"/>
      <c r="GD669" s="105"/>
      <c r="GE669" s="105"/>
      <c r="GF669" s="105"/>
      <c r="GG669" s="105"/>
      <c r="GH669" s="105"/>
      <c r="GI669" s="105"/>
      <c r="GJ669" s="105"/>
      <c r="GK669" s="105"/>
      <c r="GL669" s="105"/>
      <c r="GM669" s="105"/>
      <c r="GN669" s="105"/>
      <c r="GO669" s="105"/>
      <c r="GP669" s="105"/>
      <c r="GQ669" s="105"/>
      <c r="GR669" s="105"/>
      <c r="GS669" s="105"/>
      <c r="GT669" s="105"/>
      <c r="GU669" s="105"/>
      <c r="GV669" s="105"/>
      <c r="GW669" s="105"/>
      <c r="GX669" s="105"/>
      <c r="GY669" s="105"/>
      <c r="GZ669" s="105"/>
      <c r="HA669" s="105"/>
      <c r="HB669" s="105"/>
      <c r="HC669" s="105"/>
      <c r="HD669" s="105"/>
      <c r="HE669" s="105"/>
      <c r="HF669" s="105"/>
      <c r="HG669" s="105"/>
      <c r="HH669" s="105"/>
      <c r="HI669" s="105"/>
      <c r="HJ669" s="105"/>
      <c r="HK669" s="105"/>
      <c r="HL669" s="105"/>
      <c r="HM669" s="105"/>
      <c r="HN669" s="105"/>
      <c r="HO669" s="105"/>
      <c r="HP669" s="105"/>
      <c r="HQ669" s="105"/>
      <c r="HR669" s="105"/>
      <c r="HS669" s="105"/>
      <c r="HT669" s="105"/>
      <c r="HU669" s="105"/>
      <c r="HV669" s="105"/>
      <c r="HW669" s="105"/>
      <c r="HX669" s="105"/>
      <c r="HY669" s="105"/>
      <c r="HZ669" s="105"/>
      <c r="IA669" s="105"/>
      <c r="IB669" s="105"/>
      <c r="IC669" s="105"/>
      <c r="ID669" s="105"/>
      <c r="IE669" s="105"/>
      <c r="IF669" s="105"/>
      <c r="IG669" s="105"/>
      <c r="IH669" s="105"/>
      <c r="II669" s="105"/>
      <c r="IJ669" s="105"/>
      <c r="IK669" s="105"/>
      <c r="IL669" s="105"/>
      <c r="IM669" s="105"/>
      <c r="IN669" s="105"/>
      <c r="IO669" s="105"/>
      <c r="IP669" s="105"/>
      <c r="IQ669" s="105"/>
      <c r="IR669" s="105"/>
      <c r="IS669" s="105"/>
    </row>
    <row r="670" spans="1:253">
      <c r="A670" s="116"/>
      <c r="B670" s="105"/>
      <c r="C670" s="116"/>
      <c r="D670" s="116"/>
      <c r="E670" s="116"/>
      <c r="F670" s="116"/>
      <c r="G670" s="116"/>
      <c r="H670" s="116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  <c r="BF670" s="105"/>
      <c r="BG670" s="105"/>
      <c r="BH670" s="105"/>
      <c r="BI670" s="105"/>
      <c r="BJ670" s="105"/>
      <c r="BK670" s="105"/>
      <c r="BL670" s="105"/>
      <c r="BM670" s="105"/>
      <c r="BN670" s="105"/>
      <c r="BO670" s="105"/>
      <c r="BP670" s="105"/>
      <c r="BQ670" s="105"/>
      <c r="BR670" s="105"/>
      <c r="BS670" s="105"/>
      <c r="BT670" s="105"/>
      <c r="BU670" s="105"/>
      <c r="BV670" s="105"/>
      <c r="BW670" s="105"/>
      <c r="BX670" s="105"/>
      <c r="BY670" s="105"/>
      <c r="BZ670" s="105"/>
      <c r="CA670" s="105"/>
      <c r="CB670" s="105"/>
      <c r="CC670" s="105"/>
      <c r="CD670" s="105"/>
      <c r="CE670" s="105"/>
      <c r="CF670" s="105"/>
      <c r="CG670" s="105"/>
      <c r="CH670" s="105"/>
      <c r="CI670" s="105"/>
      <c r="CJ670" s="105"/>
      <c r="CK670" s="105"/>
      <c r="CL670" s="105"/>
      <c r="CM670" s="105"/>
      <c r="CN670" s="105"/>
      <c r="CO670" s="105"/>
      <c r="CP670" s="105"/>
      <c r="CQ670" s="105"/>
      <c r="CR670" s="105"/>
      <c r="CS670" s="105"/>
      <c r="CT670" s="105"/>
      <c r="CU670" s="105"/>
      <c r="CV670" s="105"/>
      <c r="CW670" s="105"/>
      <c r="CX670" s="105"/>
      <c r="CY670" s="105"/>
      <c r="CZ670" s="105"/>
      <c r="DA670" s="105"/>
      <c r="DB670" s="105"/>
      <c r="DC670" s="105"/>
      <c r="DD670" s="105"/>
      <c r="DE670" s="105"/>
      <c r="DF670" s="105"/>
      <c r="DG670" s="105"/>
      <c r="DH670" s="105"/>
      <c r="DI670" s="105"/>
      <c r="DJ670" s="105"/>
      <c r="DK670" s="105"/>
      <c r="DL670" s="105"/>
      <c r="DM670" s="105"/>
      <c r="DN670" s="105"/>
      <c r="DO670" s="105"/>
      <c r="DP670" s="105"/>
      <c r="DQ670" s="105"/>
      <c r="DR670" s="105"/>
      <c r="DS670" s="105"/>
      <c r="DT670" s="105"/>
      <c r="DU670" s="105"/>
      <c r="DV670" s="105"/>
      <c r="DW670" s="105"/>
      <c r="DX670" s="105"/>
      <c r="DY670" s="105"/>
      <c r="DZ670" s="105"/>
      <c r="EA670" s="105"/>
      <c r="EB670" s="105"/>
      <c r="EC670" s="105"/>
      <c r="ED670" s="105"/>
      <c r="EE670" s="105"/>
      <c r="EF670" s="105"/>
      <c r="EG670" s="105"/>
      <c r="EH670" s="105"/>
      <c r="EI670" s="105"/>
      <c r="EJ670" s="105"/>
      <c r="EK670" s="105"/>
      <c r="EL670" s="105"/>
      <c r="EM670" s="105"/>
      <c r="EN670" s="105"/>
      <c r="EO670" s="105"/>
      <c r="EP670" s="105"/>
      <c r="EQ670" s="105"/>
      <c r="ER670" s="105"/>
      <c r="ES670" s="105"/>
      <c r="ET670" s="105"/>
      <c r="EU670" s="105"/>
      <c r="EV670" s="105"/>
      <c r="EW670" s="105"/>
      <c r="EX670" s="105"/>
      <c r="EY670" s="105"/>
      <c r="EZ670" s="105"/>
      <c r="FA670" s="105"/>
      <c r="FB670" s="105"/>
      <c r="FC670" s="105"/>
      <c r="FD670" s="105"/>
      <c r="FE670" s="105"/>
      <c r="FF670" s="105"/>
      <c r="FG670" s="105"/>
      <c r="FH670" s="105"/>
      <c r="FI670" s="105"/>
      <c r="FJ670" s="105"/>
      <c r="FK670" s="105"/>
      <c r="FL670" s="105"/>
      <c r="FM670" s="105"/>
      <c r="FN670" s="105"/>
      <c r="FO670" s="105"/>
      <c r="FP670" s="105"/>
      <c r="FQ670" s="105"/>
      <c r="FR670" s="105"/>
      <c r="FS670" s="105"/>
      <c r="FT670" s="105"/>
      <c r="FU670" s="105"/>
      <c r="FV670" s="105"/>
      <c r="FW670" s="105"/>
      <c r="FX670" s="105"/>
      <c r="FY670" s="105"/>
      <c r="FZ670" s="105"/>
      <c r="GA670" s="105"/>
      <c r="GB670" s="105"/>
      <c r="GC670" s="105"/>
      <c r="GD670" s="105"/>
      <c r="GE670" s="105"/>
      <c r="GF670" s="105"/>
      <c r="GG670" s="105"/>
      <c r="GH670" s="105"/>
      <c r="GI670" s="105"/>
      <c r="GJ670" s="105"/>
      <c r="GK670" s="105"/>
      <c r="GL670" s="105"/>
      <c r="GM670" s="105"/>
      <c r="GN670" s="105"/>
      <c r="GO670" s="105"/>
      <c r="GP670" s="105"/>
      <c r="GQ670" s="105"/>
      <c r="GR670" s="105"/>
      <c r="GS670" s="105"/>
      <c r="GT670" s="105"/>
      <c r="GU670" s="105"/>
      <c r="GV670" s="105"/>
      <c r="GW670" s="105"/>
      <c r="GX670" s="105"/>
      <c r="GY670" s="105"/>
      <c r="GZ670" s="105"/>
      <c r="HA670" s="105"/>
      <c r="HB670" s="105"/>
      <c r="HC670" s="105"/>
      <c r="HD670" s="105"/>
      <c r="HE670" s="105"/>
      <c r="HF670" s="105"/>
      <c r="HG670" s="105"/>
      <c r="HH670" s="105"/>
      <c r="HI670" s="105"/>
      <c r="HJ670" s="105"/>
      <c r="HK670" s="105"/>
      <c r="HL670" s="105"/>
      <c r="HM670" s="105"/>
      <c r="HN670" s="105"/>
      <c r="HO670" s="105"/>
      <c r="HP670" s="105"/>
      <c r="HQ670" s="105"/>
      <c r="HR670" s="105"/>
      <c r="HS670" s="105"/>
      <c r="HT670" s="105"/>
      <c r="HU670" s="105"/>
      <c r="HV670" s="105"/>
      <c r="HW670" s="105"/>
      <c r="HX670" s="105"/>
      <c r="HY670" s="105"/>
      <c r="HZ670" s="105"/>
      <c r="IA670" s="105"/>
      <c r="IB670" s="105"/>
      <c r="IC670" s="105"/>
      <c r="ID670" s="105"/>
      <c r="IE670" s="105"/>
      <c r="IF670" s="105"/>
      <c r="IG670" s="105"/>
      <c r="IH670" s="105"/>
      <c r="II670" s="105"/>
      <c r="IJ670" s="105"/>
      <c r="IK670" s="105"/>
      <c r="IL670" s="105"/>
      <c r="IM670" s="105"/>
      <c r="IN670" s="105"/>
      <c r="IO670" s="105"/>
      <c r="IP670" s="105"/>
      <c r="IQ670" s="105"/>
      <c r="IR670" s="105"/>
      <c r="IS670" s="105"/>
    </row>
    <row r="671" spans="1:253">
      <c r="A671" s="116"/>
      <c r="B671" s="105"/>
      <c r="C671" s="116"/>
      <c r="D671" s="116"/>
      <c r="E671" s="116"/>
      <c r="F671" s="116"/>
      <c r="G671" s="116"/>
      <c r="H671" s="116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05"/>
      <c r="BF671" s="105"/>
      <c r="BG671" s="105"/>
      <c r="BH671" s="105"/>
      <c r="BI671" s="105"/>
      <c r="BJ671" s="105"/>
      <c r="BK671" s="105"/>
      <c r="BL671" s="105"/>
      <c r="BM671" s="105"/>
      <c r="BN671" s="105"/>
      <c r="BO671" s="105"/>
      <c r="BP671" s="105"/>
      <c r="BQ671" s="105"/>
      <c r="BR671" s="105"/>
      <c r="BS671" s="105"/>
      <c r="BT671" s="105"/>
      <c r="BU671" s="105"/>
      <c r="BV671" s="105"/>
      <c r="BW671" s="105"/>
      <c r="BX671" s="105"/>
      <c r="BY671" s="105"/>
      <c r="BZ671" s="105"/>
      <c r="CA671" s="105"/>
      <c r="CB671" s="105"/>
      <c r="CC671" s="105"/>
      <c r="CD671" s="105"/>
      <c r="CE671" s="105"/>
      <c r="CF671" s="105"/>
      <c r="CG671" s="105"/>
      <c r="CH671" s="105"/>
      <c r="CI671" s="105"/>
      <c r="CJ671" s="105"/>
      <c r="CK671" s="105"/>
      <c r="CL671" s="105"/>
      <c r="CM671" s="105"/>
      <c r="CN671" s="105"/>
      <c r="CO671" s="105"/>
      <c r="CP671" s="105"/>
      <c r="CQ671" s="105"/>
      <c r="CR671" s="105"/>
      <c r="CS671" s="105"/>
      <c r="CT671" s="105"/>
      <c r="CU671" s="105"/>
      <c r="CV671" s="105"/>
      <c r="CW671" s="105"/>
      <c r="CX671" s="105"/>
      <c r="CY671" s="105"/>
      <c r="CZ671" s="105"/>
      <c r="DA671" s="105"/>
      <c r="DB671" s="105"/>
      <c r="DC671" s="105"/>
      <c r="DD671" s="105"/>
      <c r="DE671" s="105"/>
      <c r="DF671" s="105"/>
      <c r="DG671" s="105"/>
      <c r="DH671" s="105"/>
      <c r="DI671" s="105"/>
      <c r="DJ671" s="105"/>
      <c r="DK671" s="105"/>
      <c r="DL671" s="105"/>
      <c r="DM671" s="105"/>
      <c r="DN671" s="105"/>
      <c r="DO671" s="105"/>
      <c r="DP671" s="105"/>
      <c r="DQ671" s="105"/>
      <c r="DR671" s="105"/>
      <c r="DS671" s="105"/>
      <c r="DT671" s="105"/>
      <c r="DU671" s="105"/>
      <c r="DV671" s="105"/>
      <c r="DW671" s="105"/>
      <c r="DX671" s="105"/>
      <c r="DY671" s="105"/>
      <c r="DZ671" s="105"/>
      <c r="EA671" s="105"/>
      <c r="EB671" s="105"/>
      <c r="EC671" s="105"/>
      <c r="ED671" s="105"/>
      <c r="EE671" s="105"/>
      <c r="EF671" s="105"/>
      <c r="EG671" s="105"/>
      <c r="EH671" s="105"/>
      <c r="EI671" s="105"/>
      <c r="EJ671" s="105"/>
      <c r="EK671" s="105"/>
      <c r="EL671" s="105"/>
      <c r="EM671" s="105"/>
      <c r="EN671" s="105"/>
      <c r="EO671" s="105"/>
      <c r="EP671" s="105"/>
      <c r="EQ671" s="105"/>
      <c r="ER671" s="105"/>
      <c r="ES671" s="105"/>
      <c r="ET671" s="105"/>
      <c r="EU671" s="105"/>
      <c r="EV671" s="105"/>
      <c r="EW671" s="105"/>
      <c r="EX671" s="105"/>
      <c r="EY671" s="105"/>
      <c r="EZ671" s="105"/>
      <c r="FA671" s="105"/>
      <c r="FB671" s="105"/>
      <c r="FC671" s="105"/>
      <c r="FD671" s="105"/>
      <c r="FE671" s="105"/>
      <c r="FF671" s="105"/>
      <c r="FG671" s="105"/>
      <c r="FH671" s="105"/>
      <c r="FI671" s="105"/>
      <c r="FJ671" s="105"/>
      <c r="FK671" s="105"/>
      <c r="FL671" s="105"/>
      <c r="FM671" s="105"/>
      <c r="FN671" s="105"/>
      <c r="FO671" s="105"/>
      <c r="FP671" s="105"/>
      <c r="FQ671" s="105"/>
      <c r="FR671" s="105"/>
      <c r="FS671" s="105"/>
      <c r="FT671" s="105"/>
      <c r="FU671" s="105"/>
      <c r="FV671" s="105"/>
      <c r="FW671" s="105"/>
      <c r="FX671" s="105"/>
      <c r="FY671" s="105"/>
      <c r="FZ671" s="105"/>
      <c r="GA671" s="105"/>
      <c r="GB671" s="105"/>
      <c r="GC671" s="105"/>
      <c r="GD671" s="105"/>
      <c r="GE671" s="105"/>
      <c r="GF671" s="105"/>
      <c r="GG671" s="105"/>
      <c r="GH671" s="105"/>
      <c r="GI671" s="105"/>
      <c r="GJ671" s="105"/>
      <c r="GK671" s="105"/>
      <c r="GL671" s="105"/>
      <c r="GM671" s="105"/>
      <c r="GN671" s="105"/>
      <c r="GO671" s="105"/>
      <c r="GP671" s="105"/>
      <c r="GQ671" s="105"/>
      <c r="GR671" s="105"/>
      <c r="GS671" s="105"/>
      <c r="GT671" s="105"/>
      <c r="GU671" s="105"/>
      <c r="GV671" s="105"/>
      <c r="GW671" s="105"/>
      <c r="GX671" s="105"/>
      <c r="GY671" s="105"/>
      <c r="GZ671" s="105"/>
      <c r="HA671" s="105"/>
      <c r="HB671" s="105"/>
      <c r="HC671" s="105"/>
      <c r="HD671" s="105"/>
      <c r="HE671" s="105"/>
      <c r="HF671" s="105"/>
      <c r="HG671" s="105"/>
      <c r="HH671" s="105"/>
      <c r="HI671" s="105"/>
      <c r="HJ671" s="105"/>
      <c r="HK671" s="105"/>
      <c r="HL671" s="105"/>
      <c r="HM671" s="105"/>
      <c r="HN671" s="105"/>
      <c r="HO671" s="105"/>
      <c r="HP671" s="105"/>
      <c r="HQ671" s="105"/>
      <c r="HR671" s="105"/>
      <c r="HS671" s="105"/>
      <c r="HT671" s="105"/>
      <c r="HU671" s="105"/>
      <c r="HV671" s="105"/>
      <c r="HW671" s="105"/>
      <c r="HX671" s="105"/>
      <c r="HY671" s="105"/>
      <c r="HZ671" s="105"/>
      <c r="IA671" s="105"/>
      <c r="IB671" s="105"/>
      <c r="IC671" s="105"/>
      <c r="ID671" s="105"/>
      <c r="IE671" s="105"/>
      <c r="IF671" s="105"/>
      <c r="IG671" s="105"/>
      <c r="IH671" s="105"/>
      <c r="II671" s="105"/>
      <c r="IJ671" s="105"/>
      <c r="IK671" s="105"/>
      <c r="IL671" s="105"/>
      <c r="IM671" s="105"/>
      <c r="IN671" s="105"/>
      <c r="IO671" s="105"/>
      <c r="IP671" s="105"/>
      <c r="IQ671" s="105"/>
      <c r="IR671" s="105"/>
      <c r="IS671" s="105"/>
    </row>
    <row r="672" spans="1:253">
      <c r="A672" s="116"/>
      <c r="B672" s="105"/>
      <c r="C672" s="116"/>
      <c r="D672" s="116"/>
      <c r="E672" s="116"/>
      <c r="F672" s="116"/>
      <c r="G672" s="116"/>
      <c r="H672" s="116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  <c r="BF672" s="105"/>
      <c r="BG672" s="105"/>
      <c r="BH672" s="105"/>
      <c r="BI672" s="105"/>
      <c r="BJ672" s="105"/>
      <c r="BK672" s="105"/>
      <c r="BL672" s="105"/>
      <c r="BM672" s="105"/>
      <c r="BN672" s="105"/>
      <c r="BO672" s="105"/>
      <c r="BP672" s="105"/>
      <c r="BQ672" s="105"/>
      <c r="BR672" s="105"/>
      <c r="BS672" s="105"/>
      <c r="BT672" s="105"/>
      <c r="BU672" s="105"/>
      <c r="BV672" s="105"/>
      <c r="BW672" s="105"/>
      <c r="BX672" s="105"/>
      <c r="BY672" s="105"/>
      <c r="BZ672" s="105"/>
      <c r="CA672" s="105"/>
      <c r="CB672" s="105"/>
      <c r="CC672" s="105"/>
      <c r="CD672" s="105"/>
      <c r="CE672" s="105"/>
      <c r="CF672" s="105"/>
      <c r="CG672" s="105"/>
      <c r="CH672" s="105"/>
      <c r="CI672" s="105"/>
      <c r="CJ672" s="105"/>
      <c r="CK672" s="105"/>
      <c r="CL672" s="105"/>
      <c r="CM672" s="105"/>
      <c r="CN672" s="105"/>
      <c r="CO672" s="105"/>
      <c r="CP672" s="105"/>
      <c r="CQ672" s="105"/>
      <c r="CR672" s="105"/>
      <c r="CS672" s="105"/>
      <c r="CT672" s="105"/>
      <c r="CU672" s="105"/>
      <c r="CV672" s="105"/>
      <c r="CW672" s="105"/>
      <c r="CX672" s="105"/>
      <c r="CY672" s="105"/>
      <c r="CZ672" s="105"/>
      <c r="DA672" s="105"/>
      <c r="DB672" s="105"/>
      <c r="DC672" s="105"/>
      <c r="DD672" s="105"/>
      <c r="DE672" s="105"/>
      <c r="DF672" s="105"/>
      <c r="DG672" s="105"/>
      <c r="DH672" s="105"/>
      <c r="DI672" s="105"/>
      <c r="DJ672" s="105"/>
      <c r="DK672" s="105"/>
      <c r="DL672" s="105"/>
      <c r="DM672" s="105"/>
      <c r="DN672" s="105"/>
      <c r="DO672" s="105"/>
      <c r="DP672" s="105"/>
      <c r="DQ672" s="105"/>
      <c r="DR672" s="105"/>
      <c r="DS672" s="105"/>
      <c r="DT672" s="105"/>
      <c r="DU672" s="105"/>
      <c r="DV672" s="105"/>
      <c r="DW672" s="105"/>
      <c r="DX672" s="105"/>
      <c r="DY672" s="105"/>
      <c r="DZ672" s="105"/>
      <c r="EA672" s="105"/>
      <c r="EB672" s="105"/>
      <c r="EC672" s="105"/>
      <c r="ED672" s="105"/>
      <c r="EE672" s="105"/>
      <c r="EF672" s="105"/>
      <c r="EG672" s="105"/>
      <c r="EH672" s="105"/>
      <c r="EI672" s="105"/>
      <c r="EJ672" s="105"/>
      <c r="EK672" s="105"/>
      <c r="EL672" s="105"/>
      <c r="EM672" s="105"/>
      <c r="EN672" s="105"/>
      <c r="EO672" s="105"/>
      <c r="EP672" s="105"/>
      <c r="EQ672" s="105"/>
      <c r="ER672" s="105"/>
      <c r="ES672" s="105"/>
      <c r="ET672" s="105"/>
      <c r="EU672" s="105"/>
      <c r="EV672" s="105"/>
      <c r="EW672" s="105"/>
      <c r="EX672" s="105"/>
      <c r="EY672" s="105"/>
      <c r="EZ672" s="105"/>
      <c r="FA672" s="105"/>
      <c r="FB672" s="105"/>
      <c r="FC672" s="105"/>
      <c r="FD672" s="105"/>
      <c r="FE672" s="105"/>
      <c r="FF672" s="105"/>
      <c r="FG672" s="105"/>
      <c r="FH672" s="105"/>
      <c r="FI672" s="105"/>
      <c r="FJ672" s="105"/>
      <c r="FK672" s="105"/>
      <c r="FL672" s="105"/>
      <c r="FM672" s="105"/>
      <c r="FN672" s="105"/>
      <c r="FO672" s="105"/>
      <c r="FP672" s="105"/>
      <c r="FQ672" s="105"/>
      <c r="FR672" s="105"/>
      <c r="FS672" s="105"/>
      <c r="FT672" s="105"/>
      <c r="FU672" s="105"/>
      <c r="FV672" s="105"/>
      <c r="FW672" s="105"/>
      <c r="FX672" s="105"/>
      <c r="FY672" s="105"/>
      <c r="FZ672" s="105"/>
      <c r="GA672" s="105"/>
      <c r="GB672" s="105"/>
      <c r="GC672" s="105"/>
      <c r="GD672" s="105"/>
      <c r="GE672" s="105"/>
      <c r="GF672" s="105"/>
      <c r="GG672" s="105"/>
      <c r="GH672" s="105"/>
      <c r="GI672" s="105"/>
      <c r="GJ672" s="105"/>
      <c r="GK672" s="105"/>
      <c r="GL672" s="105"/>
      <c r="GM672" s="105"/>
      <c r="GN672" s="105"/>
      <c r="GO672" s="105"/>
      <c r="GP672" s="105"/>
      <c r="GQ672" s="105"/>
      <c r="GR672" s="105"/>
      <c r="GS672" s="105"/>
      <c r="GT672" s="105"/>
      <c r="GU672" s="105"/>
      <c r="GV672" s="105"/>
      <c r="GW672" s="105"/>
      <c r="GX672" s="105"/>
      <c r="GY672" s="105"/>
      <c r="GZ672" s="105"/>
      <c r="HA672" s="105"/>
      <c r="HB672" s="105"/>
      <c r="HC672" s="105"/>
      <c r="HD672" s="105"/>
      <c r="HE672" s="105"/>
      <c r="HF672" s="105"/>
      <c r="HG672" s="105"/>
      <c r="HH672" s="105"/>
      <c r="HI672" s="105"/>
      <c r="HJ672" s="105"/>
      <c r="HK672" s="105"/>
      <c r="HL672" s="105"/>
      <c r="HM672" s="105"/>
      <c r="HN672" s="105"/>
      <c r="HO672" s="105"/>
      <c r="HP672" s="105"/>
      <c r="HQ672" s="105"/>
      <c r="HR672" s="105"/>
      <c r="HS672" s="105"/>
      <c r="HT672" s="105"/>
      <c r="HU672" s="105"/>
      <c r="HV672" s="105"/>
      <c r="HW672" s="105"/>
      <c r="HX672" s="105"/>
      <c r="HY672" s="105"/>
      <c r="HZ672" s="105"/>
      <c r="IA672" s="105"/>
      <c r="IB672" s="105"/>
      <c r="IC672" s="105"/>
      <c r="ID672" s="105"/>
      <c r="IE672" s="105"/>
      <c r="IF672" s="105"/>
      <c r="IG672" s="105"/>
      <c r="IH672" s="105"/>
      <c r="II672" s="105"/>
      <c r="IJ672" s="105"/>
      <c r="IK672" s="105"/>
      <c r="IL672" s="105"/>
      <c r="IM672" s="105"/>
      <c r="IN672" s="105"/>
      <c r="IO672" s="105"/>
      <c r="IP672" s="105"/>
      <c r="IQ672" s="105"/>
      <c r="IR672" s="105"/>
      <c r="IS672" s="105"/>
    </row>
    <row r="673" spans="1:253">
      <c r="A673" s="116"/>
      <c r="B673" s="105"/>
      <c r="C673" s="116"/>
      <c r="D673" s="116"/>
      <c r="E673" s="116"/>
      <c r="F673" s="116"/>
      <c r="G673" s="116"/>
      <c r="H673" s="116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05"/>
      <c r="BF673" s="105"/>
      <c r="BG673" s="105"/>
      <c r="BH673" s="105"/>
      <c r="BI673" s="105"/>
      <c r="BJ673" s="105"/>
      <c r="BK673" s="105"/>
      <c r="BL673" s="105"/>
      <c r="BM673" s="105"/>
      <c r="BN673" s="105"/>
      <c r="BO673" s="105"/>
      <c r="BP673" s="105"/>
      <c r="BQ673" s="105"/>
      <c r="BR673" s="105"/>
      <c r="BS673" s="105"/>
      <c r="BT673" s="105"/>
      <c r="BU673" s="105"/>
      <c r="BV673" s="105"/>
      <c r="BW673" s="105"/>
      <c r="BX673" s="105"/>
      <c r="BY673" s="105"/>
      <c r="BZ673" s="105"/>
      <c r="CA673" s="105"/>
      <c r="CB673" s="105"/>
      <c r="CC673" s="105"/>
      <c r="CD673" s="105"/>
      <c r="CE673" s="105"/>
      <c r="CF673" s="105"/>
      <c r="CG673" s="105"/>
      <c r="CH673" s="105"/>
      <c r="CI673" s="105"/>
      <c r="CJ673" s="105"/>
      <c r="CK673" s="105"/>
      <c r="CL673" s="105"/>
      <c r="CM673" s="105"/>
      <c r="CN673" s="105"/>
      <c r="CO673" s="105"/>
      <c r="CP673" s="105"/>
      <c r="CQ673" s="105"/>
      <c r="CR673" s="105"/>
      <c r="CS673" s="105"/>
      <c r="CT673" s="105"/>
      <c r="CU673" s="105"/>
      <c r="CV673" s="105"/>
      <c r="CW673" s="105"/>
      <c r="CX673" s="105"/>
      <c r="CY673" s="105"/>
      <c r="CZ673" s="105"/>
      <c r="DA673" s="105"/>
      <c r="DB673" s="105"/>
      <c r="DC673" s="105"/>
      <c r="DD673" s="105"/>
      <c r="DE673" s="105"/>
      <c r="DF673" s="105"/>
      <c r="DG673" s="105"/>
      <c r="DH673" s="105"/>
      <c r="DI673" s="105"/>
      <c r="DJ673" s="105"/>
      <c r="DK673" s="105"/>
      <c r="DL673" s="105"/>
      <c r="DM673" s="105"/>
      <c r="DN673" s="105"/>
      <c r="DO673" s="105"/>
      <c r="DP673" s="105"/>
      <c r="DQ673" s="105"/>
      <c r="DR673" s="105"/>
      <c r="DS673" s="105"/>
      <c r="DT673" s="105"/>
      <c r="DU673" s="105"/>
      <c r="DV673" s="105"/>
      <c r="DW673" s="105"/>
      <c r="DX673" s="105"/>
      <c r="DY673" s="105"/>
      <c r="DZ673" s="105"/>
      <c r="EA673" s="105"/>
      <c r="EB673" s="105"/>
      <c r="EC673" s="105"/>
      <c r="ED673" s="105"/>
      <c r="EE673" s="105"/>
      <c r="EF673" s="105"/>
      <c r="EG673" s="105"/>
      <c r="EH673" s="105"/>
      <c r="EI673" s="105"/>
      <c r="EJ673" s="105"/>
      <c r="EK673" s="105"/>
      <c r="EL673" s="105"/>
      <c r="EM673" s="105"/>
      <c r="EN673" s="105"/>
      <c r="EO673" s="105"/>
      <c r="EP673" s="105"/>
      <c r="EQ673" s="105"/>
      <c r="ER673" s="105"/>
      <c r="ES673" s="105"/>
      <c r="ET673" s="105"/>
      <c r="EU673" s="105"/>
      <c r="EV673" s="105"/>
      <c r="EW673" s="105"/>
      <c r="EX673" s="105"/>
      <c r="EY673" s="105"/>
      <c r="EZ673" s="105"/>
      <c r="FA673" s="105"/>
      <c r="FB673" s="105"/>
      <c r="FC673" s="105"/>
      <c r="FD673" s="105"/>
      <c r="FE673" s="105"/>
      <c r="FF673" s="105"/>
      <c r="FG673" s="105"/>
      <c r="FH673" s="105"/>
      <c r="FI673" s="105"/>
      <c r="FJ673" s="105"/>
      <c r="FK673" s="105"/>
      <c r="FL673" s="105"/>
      <c r="FM673" s="105"/>
      <c r="FN673" s="105"/>
      <c r="FO673" s="105"/>
      <c r="FP673" s="105"/>
      <c r="FQ673" s="105"/>
      <c r="FR673" s="105"/>
      <c r="FS673" s="105"/>
      <c r="FT673" s="105"/>
      <c r="FU673" s="105"/>
      <c r="FV673" s="105"/>
      <c r="FW673" s="105"/>
      <c r="FX673" s="105"/>
      <c r="FY673" s="105"/>
      <c r="FZ673" s="105"/>
      <c r="GA673" s="105"/>
      <c r="GB673" s="105"/>
      <c r="GC673" s="105"/>
      <c r="GD673" s="105"/>
      <c r="GE673" s="105"/>
      <c r="GF673" s="105"/>
      <c r="GG673" s="105"/>
      <c r="GH673" s="105"/>
      <c r="GI673" s="105"/>
      <c r="GJ673" s="105"/>
      <c r="GK673" s="105"/>
      <c r="GL673" s="105"/>
      <c r="GM673" s="105"/>
      <c r="GN673" s="105"/>
      <c r="GO673" s="105"/>
      <c r="GP673" s="105"/>
      <c r="GQ673" s="105"/>
      <c r="GR673" s="105"/>
      <c r="GS673" s="105"/>
      <c r="GT673" s="105"/>
      <c r="GU673" s="105"/>
      <c r="GV673" s="105"/>
      <c r="GW673" s="105"/>
      <c r="GX673" s="105"/>
      <c r="GY673" s="105"/>
      <c r="GZ673" s="105"/>
      <c r="HA673" s="105"/>
      <c r="HB673" s="105"/>
      <c r="HC673" s="105"/>
      <c r="HD673" s="105"/>
      <c r="HE673" s="105"/>
      <c r="HF673" s="105"/>
      <c r="HG673" s="105"/>
      <c r="HH673" s="105"/>
      <c r="HI673" s="105"/>
      <c r="HJ673" s="105"/>
      <c r="HK673" s="105"/>
      <c r="HL673" s="105"/>
      <c r="HM673" s="105"/>
      <c r="HN673" s="105"/>
      <c r="HO673" s="105"/>
      <c r="HP673" s="105"/>
      <c r="HQ673" s="105"/>
      <c r="HR673" s="105"/>
      <c r="HS673" s="105"/>
      <c r="HT673" s="105"/>
      <c r="HU673" s="105"/>
      <c r="HV673" s="105"/>
      <c r="HW673" s="105"/>
      <c r="HX673" s="105"/>
      <c r="HY673" s="105"/>
      <c r="HZ673" s="105"/>
      <c r="IA673" s="105"/>
      <c r="IB673" s="105"/>
      <c r="IC673" s="105"/>
      <c r="ID673" s="105"/>
      <c r="IE673" s="105"/>
      <c r="IF673" s="105"/>
      <c r="IG673" s="105"/>
      <c r="IH673" s="105"/>
      <c r="II673" s="105"/>
      <c r="IJ673" s="105"/>
      <c r="IK673" s="105"/>
      <c r="IL673" s="105"/>
      <c r="IM673" s="105"/>
      <c r="IN673" s="105"/>
      <c r="IO673" s="105"/>
      <c r="IP673" s="105"/>
      <c r="IQ673" s="105"/>
      <c r="IR673" s="105"/>
      <c r="IS673" s="105"/>
    </row>
    <row r="674" spans="1:253">
      <c r="A674" s="116"/>
      <c r="B674" s="105"/>
      <c r="C674" s="116"/>
      <c r="D674" s="116"/>
      <c r="E674" s="116"/>
      <c r="F674" s="116"/>
      <c r="G674" s="116"/>
      <c r="H674" s="116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  <c r="BF674" s="105"/>
      <c r="BG674" s="105"/>
      <c r="BH674" s="105"/>
      <c r="BI674" s="105"/>
      <c r="BJ674" s="105"/>
      <c r="BK674" s="105"/>
      <c r="BL674" s="105"/>
      <c r="BM674" s="105"/>
      <c r="BN674" s="105"/>
      <c r="BO674" s="105"/>
      <c r="BP674" s="105"/>
      <c r="BQ674" s="105"/>
      <c r="BR674" s="105"/>
      <c r="BS674" s="105"/>
      <c r="BT674" s="105"/>
      <c r="BU674" s="105"/>
      <c r="BV674" s="105"/>
      <c r="BW674" s="105"/>
      <c r="BX674" s="105"/>
      <c r="BY674" s="105"/>
      <c r="BZ674" s="105"/>
      <c r="CA674" s="105"/>
      <c r="CB674" s="105"/>
      <c r="CC674" s="105"/>
      <c r="CD674" s="105"/>
      <c r="CE674" s="105"/>
      <c r="CF674" s="105"/>
      <c r="CG674" s="105"/>
      <c r="CH674" s="105"/>
      <c r="CI674" s="105"/>
      <c r="CJ674" s="105"/>
      <c r="CK674" s="105"/>
      <c r="CL674" s="105"/>
      <c r="CM674" s="105"/>
      <c r="CN674" s="105"/>
      <c r="CO674" s="105"/>
      <c r="CP674" s="105"/>
      <c r="CQ674" s="105"/>
      <c r="CR674" s="105"/>
      <c r="CS674" s="105"/>
      <c r="CT674" s="105"/>
      <c r="CU674" s="105"/>
      <c r="CV674" s="105"/>
      <c r="CW674" s="105"/>
      <c r="CX674" s="105"/>
      <c r="CY674" s="105"/>
      <c r="CZ674" s="105"/>
      <c r="DA674" s="105"/>
      <c r="DB674" s="105"/>
      <c r="DC674" s="105"/>
      <c r="DD674" s="105"/>
      <c r="DE674" s="105"/>
      <c r="DF674" s="105"/>
      <c r="DG674" s="105"/>
      <c r="DH674" s="105"/>
      <c r="DI674" s="105"/>
      <c r="DJ674" s="105"/>
      <c r="DK674" s="105"/>
      <c r="DL674" s="105"/>
      <c r="DM674" s="105"/>
      <c r="DN674" s="105"/>
      <c r="DO674" s="105"/>
      <c r="DP674" s="105"/>
      <c r="DQ674" s="105"/>
      <c r="DR674" s="105"/>
      <c r="DS674" s="105"/>
      <c r="DT674" s="105"/>
      <c r="DU674" s="105"/>
      <c r="DV674" s="105"/>
      <c r="DW674" s="105"/>
      <c r="DX674" s="105"/>
      <c r="DY674" s="105"/>
      <c r="DZ674" s="105"/>
      <c r="EA674" s="105"/>
      <c r="EB674" s="105"/>
      <c r="EC674" s="105"/>
      <c r="ED674" s="105"/>
      <c r="EE674" s="105"/>
      <c r="EF674" s="105"/>
      <c r="EG674" s="105"/>
      <c r="EH674" s="105"/>
      <c r="EI674" s="105"/>
      <c r="EJ674" s="105"/>
      <c r="EK674" s="105"/>
      <c r="EL674" s="105"/>
      <c r="EM674" s="105"/>
      <c r="EN674" s="105"/>
      <c r="EO674" s="105"/>
      <c r="EP674" s="105"/>
      <c r="EQ674" s="105"/>
      <c r="ER674" s="105"/>
      <c r="ES674" s="105"/>
      <c r="ET674" s="105"/>
      <c r="EU674" s="105"/>
      <c r="EV674" s="105"/>
      <c r="EW674" s="105"/>
      <c r="EX674" s="105"/>
      <c r="EY674" s="105"/>
      <c r="EZ674" s="105"/>
      <c r="FA674" s="105"/>
      <c r="FB674" s="105"/>
      <c r="FC674" s="105"/>
      <c r="FD674" s="105"/>
      <c r="FE674" s="105"/>
      <c r="FF674" s="105"/>
      <c r="FG674" s="105"/>
      <c r="FH674" s="105"/>
      <c r="FI674" s="105"/>
      <c r="FJ674" s="105"/>
      <c r="FK674" s="105"/>
      <c r="FL674" s="105"/>
      <c r="FM674" s="105"/>
      <c r="FN674" s="105"/>
      <c r="FO674" s="105"/>
      <c r="FP674" s="105"/>
      <c r="FQ674" s="105"/>
      <c r="FR674" s="105"/>
      <c r="FS674" s="105"/>
      <c r="FT674" s="105"/>
      <c r="FU674" s="105"/>
      <c r="FV674" s="105"/>
      <c r="FW674" s="105"/>
      <c r="FX674" s="105"/>
      <c r="FY674" s="105"/>
      <c r="FZ674" s="105"/>
      <c r="GA674" s="105"/>
      <c r="GB674" s="105"/>
      <c r="GC674" s="105"/>
      <c r="GD674" s="105"/>
      <c r="GE674" s="105"/>
      <c r="GF674" s="105"/>
      <c r="GG674" s="105"/>
      <c r="GH674" s="105"/>
      <c r="GI674" s="105"/>
      <c r="GJ674" s="105"/>
      <c r="GK674" s="105"/>
      <c r="GL674" s="105"/>
      <c r="GM674" s="105"/>
      <c r="GN674" s="105"/>
      <c r="GO674" s="105"/>
      <c r="GP674" s="105"/>
      <c r="GQ674" s="105"/>
      <c r="GR674" s="105"/>
      <c r="GS674" s="105"/>
      <c r="GT674" s="105"/>
      <c r="GU674" s="105"/>
      <c r="GV674" s="105"/>
      <c r="GW674" s="105"/>
      <c r="GX674" s="105"/>
      <c r="GY674" s="105"/>
      <c r="GZ674" s="105"/>
      <c r="HA674" s="105"/>
      <c r="HB674" s="105"/>
      <c r="HC674" s="105"/>
      <c r="HD674" s="105"/>
      <c r="HE674" s="105"/>
      <c r="HF674" s="105"/>
      <c r="HG674" s="105"/>
      <c r="HH674" s="105"/>
      <c r="HI674" s="105"/>
      <c r="HJ674" s="105"/>
      <c r="HK674" s="105"/>
      <c r="HL674" s="105"/>
      <c r="HM674" s="105"/>
      <c r="HN674" s="105"/>
      <c r="HO674" s="105"/>
      <c r="HP674" s="105"/>
      <c r="HQ674" s="105"/>
      <c r="HR674" s="105"/>
      <c r="HS674" s="105"/>
      <c r="HT674" s="105"/>
      <c r="HU674" s="105"/>
      <c r="HV674" s="105"/>
      <c r="HW674" s="105"/>
      <c r="HX674" s="105"/>
      <c r="HY674" s="105"/>
      <c r="HZ674" s="105"/>
      <c r="IA674" s="105"/>
      <c r="IB674" s="105"/>
      <c r="IC674" s="105"/>
      <c r="ID674" s="105"/>
      <c r="IE674" s="105"/>
      <c r="IF674" s="105"/>
      <c r="IG674" s="105"/>
      <c r="IH674" s="105"/>
      <c r="II674" s="105"/>
      <c r="IJ674" s="105"/>
      <c r="IK674" s="105"/>
      <c r="IL674" s="105"/>
      <c r="IM674" s="105"/>
      <c r="IN674" s="105"/>
      <c r="IO674" s="105"/>
      <c r="IP674" s="105"/>
      <c r="IQ674" s="105"/>
      <c r="IR674" s="105"/>
      <c r="IS674" s="105"/>
    </row>
    <row r="675" spans="1:253">
      <c r="A675" s="116"/>
      <c r="B675" s="105"/>
      <c r="C675" s="116"/>
      <c r="D675" s="116"/>
      <c r="E675" s="116"/>
      <c r="F675" s="116"/>
      <c r="G675" s="116"/>
      <c r="H675" s="116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  <c r="BF675" s="105"/>
      <c r="BG675" s="105"/>
      <c r="BH675" s="105"/>
      <c r="BI675" s="105"/>
      <c r="BJ675" s="105"/>
      <c r="BK675" s="105"/>
      <c r="BL675" s="105"/>
      <c r="BM675" s="105"/>
      <c r="BN675" s="105"/>
      <c r="BO675" s="105"/>
      <c r="BP675" s="105"/>
      <c r="BQ675" s="105"/>
      <c r="BR675" s="105"/>
      <c r="BS675" s="105"/>
      <c r="BT675" s="105"/>
      <c r="BU675" s="105"/>
      <c r="BV675" s="105"/>
      <c r="BW675" s="105"/>
      <c r="BX675" s="105"/>
      <c r="BY675" s="105"/>
      <c r="BZ675" s="105"/>
      <c r="CA675" s="105"/>
      <c r="CB675" s="105"/>
      <c r="CC675" s="105"/>
      <c r="CD675" s="105"/>
      <c r="CE675" s="105"/>
      <c r="CF675" s="105"/>
      <c r="CG675" s="105"/>
      <c r="CH675" s="105"/>
      <c r="CI675" s="105"/>
      <c r="CJ675" s="105"/>
      <c r="CK675" s="105"/>
      <c r="CL675" s="105"/>
      <c r="CM675" s="105"/>
      <c r="CN675" s="105"/>
      <c r="CO675" s="105"/>
      <c r="CP675" s="105"/>
      <c r="CQ675" s="105"/>
      <c r="CR675" s="105"/>
      <c r="CS675" s="105"/>
      <c r="CT675" s="105"/>
      <c r="CU675" s="105"/>
      <c r="CV675" s="105"/>
      <c r="CW675" s="105"/>
      <c r="CX675" s="105"/>
      <c r="CY675" s="105"/>
      <c r="CZ675" s="105"/>
      <c r="DA675" s="105"/>
      <c r="DB675" s="105"/>
      <c r="DC675" s="105"/>
      <c r="DD675" s="105"/>
      <c r="DE675" s="105"/>
      <c r="DF675" s="105"/>
      <c r="DG675" s="105"/>
      <c r="DH675" s="105"/>
      <c r="DI675" s="105"/>
      <c r="DJ675" s="105"/>
      <c r="DK675" s="105"/>
      <c r="DL675" s="105"/>
      <c r="DM675" s="105"/>
      <c r="DN675" s="105"/>
      <c r="DO675" s="105"/>
      <c r="DP675" s="105"/>
      <c r="DQ675" s="105"/>
      <c r="DR675" s="105"/>
      <c r="DS675" s="105"/>
      <c r="DT675" s="105"/>
      <c r="DU675" s="105"/>
      <c r="DV675" s="105"/>
      <c r="DW675" s="105"/>
      <c r="DX675" s="105"/>
      <c r="DY675" s="105"/>
      <c r="DZ675" s="105"/>
      <c r="EA675" s="105"/>
      <c r="EB675" s="105"/>
      <c r="EC675" s="105"/>
      <c r="ED675" s="105"/>
      <c r="EE675" s="105"/>
      <c r="EF675" s="105"/>
      <c r="EG675" s="105"/>
      <c r="EH675" s="105"/>
      <c r="EI675" s="105"/>
      <c r="EJ675" s="105"/>
      <c r="EK675" s="105"/>
      <c r="EL675" s="105"/>
      <c r="EM675" s="105"/>
      <c r="EN675" s="105"/>
      <c r="EO675" s="105"/>
      <c r="EP675" s="105"/>
      <c r="EQ675" s="105"/>
      <c r="ER675" s="105"/>
      <c r="ES675" s="105"/>
      <c r="ET675" s="105"/>
      <c r="EU675" s="105"/>
      <c r="EV675" s="105"/>
      <c r="EW675" s="105"/>
      <c r="EX675" s="105"/>
      <c r="EY675" s="105"/>
      <c r="EZ675" s="105"/>
      <c r="FA675" s="105"/>
      <c r="FB675" s="105"/>
      <c r="FC675" s="105"/>
      <c r="FD675" s="105"/>
      <c r="FE675" s="105"/>
      <c r="FF675" s="105"/>
      <c r="FG675" s="105"/>
      <c r="FH675" s="105"/>
      <c r="FI675" s="105"/>
      <c r="FJ675" s="105"/>
      <c r="FK675" s="105"/>
      <c r="FL675" s="105"/>
      <c r="FM675" s="105"/>
      <c r="FN675" s="105"/>
      <c r="FO675" s="105"/>
      <c r="FP675" s="105"/>
      <c r="FQ675" s="105"/>
      <c r="FR675" s="105"/>
      <c r="FS675" s="105"/>
      <c r="FT675" s="105"/>
      <c r="FU675" s="105"/>
      <c r="FV675" s="105"/>
      <c r="FW675" s="105"/>
      <c r="FX675" s="105"/>
      <c r="FY675" s="105"/>
      <c r="FZ675" s="105"/>
      <c r="GA675" s="105"/>
      <c r="GB675" s="105"/>
      <c r="GC675" s="105"/>
      <c r="GD675" s="105"/>
      <c r="GE675" s="105"/>
      <c r="GF675" s="105"/>
      <c r="GG675" s="105"/>
      <c r="GH675" s="105"/>
      <c r="GI675" s="105"/>
      <c r="GJ675" s="105"/>
      <c r="GK675" s="105"/>
      <c r="GL675" s="105"/>
      <c r="GM675" s="105"/>
      <c r="GN675" s="105"/>
      <c r="GO675" s="105"/>
      <c r="GP675" s="105"/>
      <c r="GQ675" s="105"/>
      <c r="GR675" s="105"/>
      <c r="GS675" s="105"/>
      <c r="GT675" s="105"/>
      <c r="GU675" s="105"/>
      <c r="GV675" s="105"/>
      <c r="GW675" s="105"/>
      <c r="GX675" s="105"/>
      <c r="GY675" s="105"/>
      <c r="GZ675" s="105"/>
      <c r="HA675" s="105"/>
      <c r="HB675" s="105"/>
      <c r="HC675" s="105"/>
      <c r="HD675" s="105"/>
      <c r="HE675" s="105"/>
      <c r="HF675" s="105"/>
      <c r="HG675" s="105"/>
      <c r="HH675" s="105"/>
      <c r="HI675" s="105"/>
      <c r="HJ675" s="105"/>
      <c r="HK675" s="105"/>
      <c r="HL675" s="105"/>
      <c r="HM675" s="105"/>
      <c r="HN675" s="105"/>
      <c r="HO675" s="105"/>
      <c r="HP675" s="105"/>
      <c r="HQ675" s="105"/>
      <c r="HR675" s="105"/>
      <c r="HS675" s="105"/>
      <c r="HT675" s="105"/>
      <c r="HU675" s="105"/>
      <c r="HV675" s="105"/>
      <c r="HW675" s="105"/>
      <c r="HX675" s="105"/>
      <c r="HY675" s="105"/>
      <c r="HZ675" s="105"/>
      <c r="IA675" s="105"/>
      <c r="IB675" s="105"/>
      <c r="IC675" s="105"/>
      <c r="ID675" s="105"/>
      <c r="IE675" s="105"/>
      <c r="IF675" s="105"/>
      <c r="IG675" s="105"/>
      <c r="IH675" s="105"/>
      <c r="II675" s="105"/>
      <c r="IJ675" s="105"/>
      <c r="IK675" s="105"/>
      <c r="IL675" s="105"/>
      <c r="IM675" s="105"/>
      <c r="IN675" s="105"/>
      <c r="IO675" s="105"/>
      <c r="IP675" s="105"/>
      <c r="IQ675" s="105"/>
      <c r="IR675" s="105"/>
      <c r="IS675" s="105"/>
    </row>
    <row r="676" spans="1:253">
      <c r="A676" s="116"/>
      <c r="B676" s="105"/>
      <c r="C676" s="116"/>
      <c r="D676" s="116"/>
      <c r="E676" s="116"/>
      <c r="F676" s="116"/>
      <c r="G676" s="116"/>
      <c r="H676" s="116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  <c r="BF676" s="105"/>
      <c r="BG676" s="105"/>
      <c r="BH676" s="105"/>
      <c r="BI676" s="105"/>
      <c r="BJ676" s="105"/>
      <c r="BK676" s="105"/>
      <c r="BL676" s="105"/>
      <c r="BM676" s="105"/>
      <c r="BN676" s="105"/>
      <c r="BO676" s="105"/>
      <c r="BP676" s="105"/>
      <c r="BQ676" s="105"/>
      <c r="BR676" s="105"/>
      <c r="BS676" s="105"/>
      <c r="BT676" s="105"/>
      <c r="BU676" s="105"/>
      <c r="BV676" s="105"/>
      <c r="BW676" s="105"/>
      <c r="BX676" s="105"/>
      <c r="BY676" s="105"/>
      <c r="BZ676" s="105"/>
      <c r="CA676" s="105"/>
      <c r="CB676" s="105"/>
      <c r="CC676" s="105"/>
      <c r="CD676" s="105"/>
      <c r="CE676" s="105"/>
      <c r="CF676" s="105"/>
      <c r="CG676" s="105"/>
      <c r="CH676" s="105"/>
      <c r="CI676" s="105"/>
      <c r="CJ676" s="105"/>
      <c r="CK676" s="105"/>
      <c r="CL676" s="105"/>
      <c r="CM676" s="105"/>
      <c r="CN676" s="105"/>
      <c r="CO676" s="105"/>
      <c r="CP676" s="105"/>
      <c r="CQ676" s="105"/>
      <c r="CR676" s="105"/>
      <c r="CS676" s="105"/>
      <c r="CT676" s="105"/>
      <c r="CU676" s="105"/>
      <c r="CV676" s="105"/>
      <c r="CW676" s="105"/>
      <c r="CX676" s="105"/>
      <c r="CY676" s="105"/>
      <c r="CZ676" s="105"/>
      <c r="DA676" s="105"/>
      <c r="DB676" s="105"/>
      <c r="DC676" s="105"/>
      <c r="DD676" s="105"/>
      <c r="DE676" s="105"/>
      <c r="DF676" s="105"/>
      <c r="DG676" s="105"/>
      <c r="DH676" s="105"/>
      <c r="DI676" s="105"/>
      <c r="DJ676" s="105"/>
      <c r="DK676" s="105"/>
      <c r="DL676" s="105"/>
      <c r="DM676" s="105"/>
      <c r="DN676" s="105"/>
      <c r="DO676" s="105"/>
      <c r="DP676" s="105"/>
      <c r="DQ676" s="105"/>
      <c r="DR676" s="105"/>
      <c r="DS676" s="105"/>
      <c r="DT676" s="105"/>
      <c r="DU676" s="105"/>
      <c r="DV676" s="105"/>
      <c r="DW676" s="105"/>
      <c r="DX676" s="105"/>
      <c r="DY676" s="105"/>
      <c r="DZ676" s="105"/>
      <c r="EA676" s="105"/>
      <c r="EB676" s="105"/>
      <c r="EC676" s="105"/>
      <c r="ED676" s="105"/>
      <c r="EE676" s="105"/>
      <c r="EF676" s="105"/>
      <c r="EG676" s="105"/>
      <c r="EH676" s="105"/>
      <c r="EI676" s="105"/>
      <c r="EJ676" s="105"/>
      <c r="EK676" s="105"/>
      <c r="EL676" s="105"/>
      <c r="EM676" s="105"/>
      <c r="EN676" s="105"/>
      <c r="EO676" s="105"/>
      <c r="EP676" s="105"/>
      <c r="EQ676" s="105"/>
      <c r="ER676" s="105"/>
      <c r="ES676" s="105"/>
      <c r="ET676" s="105"/>
      <c r="EU676" s="105"/>
      <c r="EV676" s="105"/>
      <c r="EW676" s="105"/>
      <c r="EX676" s="105"/>
      <c r="EY676" s="105"/>
      <c r="EZ676" s="105"/>
      <c r="FA676" s="105"/>
      <c r="FB676" s="105"/>
      <c r="FC676" s="105"/>
      <c r="FD676" s="105"/>
      <c r="FE676" s="105"/>
      <c r="FF676" s="105"/>
      <c r="FG676" s="105"/>
      <c r="FH676" s="105"/>
      <c r="FI676" s="105"/>
      <c r="FJ676" s="105"/>
      <c r="FK676" s="105"/>
      <c r="FL676" s="105"/>
      <c r="FM676" s="105"/>
      <c r="FN676" s="105"/>
      <c r="FO676" s="105"/>
      <c r="FP676" s="105"/>
      <c r="FQ676" s="105"/>
      <c r="FR676" s="105"/>
      <c r="FS676" s="105"/>
      <c r="FT676" s="105"/>
      <c r="FU676" s="105"/>
      <c r="FV676" s="105"/>
      <c r="FW676" s="105"/>
      <c r="FX676" s="105"/>
      <c r="FY676" s="105"/>
      <c r="FZ676" s="105"/>
      <c r="GA676" s="105"/>
      <c r="GB676" s="105"/>
      <c r="GC676" s="105"/>
      <c r="GD676" s="105"/>
      <c r="GE676" s="105"/>
      <c r="GF676" s="105"/>
      <c r="GG676" s="105"/>
      <c r="GH676" s="105"/>
      <c r="GI676" s="105"/>
      <c r="GJ676" s="105"/>
      <c r="GK676" s="105"/>
      <c r="GL676" s="105"/>
      <c r="GM676" s="105"/>
      <c r="GN676" s="105"/>
      <c r="GO676" s="105"/>
      <c r="GP676" s="105"/>
      <c r="GQ676" s="105"/>
      <c r="GR676" s="105"/>
      <c r="GS676" s="105"/>
      <c r="GT676" s="105"/>
      <c r="GU676" s="105"/>
      <c r="GV676" s="105"/>
      <c r="GW676" s="105"/>
      <c r="GX676" s="105"/>
      <c r="GY676" s="105"/>
      <c r="GZ676" s="105"/>
      <c r="HA676" s="105"/>
      <c r="HB676" s="105"/>
      <c r="HC676" s="105"/>
      <c r="HD676" s="105"/>
      <c r="HE676" s="105"/>
      <c r="HF676" s="105"/>
      <c r="HG676" s="105"/>
      <c r="HH676" s="105"/>
      <c r="HI676" s="105"/>
      <c r="HJ676" s="105"/>
      <c r="HK676" s="105"/>
      <c r="HL676" s="105"/>
      <c r="HM676" s="105"/>
      <c r="HN676" s="105"/>
      <c r="HO676" s="105"/>
      <c r="HP676" s="105"/>
      <c r="HQ676" s="105"/>
      <c r="HR676" s="105"/>
      <c r="HS676" s="105"/>
      <c r="HT676" s="105"/>
      <c r="HU676" s="105"/>
      <c r="HV676" s="105"/>
      <c r="HW676" s="105"/>
      <c r="HX676" s="105"/>
      <c r="HY676" s="105"/>
      <c r="HZ676" s="105"/>
      <c r="IA676" s="105"/>
      <c r="IB676" s="105"/>
      <c r="IC676" s="105"/>
      <c r="ID676" s="105"/>
      <c r="IE676" s="105"/>
      <c r="IF676" s="105"/>
      <c r="IG676" s="105"/>
      <c r="IH676" s="105"/>
      <c r="II676" s="105"/>
      <c r="IJ676" s="105"/>
      <c r="IK676" s="105"/>
      <c r="IL676" s="105"/>
      <c r="IM676" s="105"/>
      <c r="IN676" s="105"/>
      <c r="IO676" s="105"/>
      <c r="IP676" s="105"/>
      <c r="IQ676" s="105"/>
      <c r="IR676" s="105"/>
      <c r="IS676" s="105"/>
    </row>
    <row r="677" spans="1:253">
      <c r="A677" s="116"/>
      <c r="B677" s="105"/>
      <c r="C677" s="116"/>
      <c r="D677" s="116"/>
      <c r="E677" s="116"/>
      <c r="F677" s="116"/>
      <c r="G677" s="116"/>
      <c r="H677" s="116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05"/>
      <c r="BF677" s="105"/>
      <c r="BG677" s="105"/>
      <c r="BH677" s="105"/>
      <c r="BI677" s="105"/>
      <c r="BJ677" s="105"/>
      <c r="BK677" s="105"/>
      <c r="BL677" s="105"/>
      <c r="BM677" s="105"/>
      <c r="BN677" s="105"/>
      <c r="BO677" s="105"/>
      <c r="BP677" s="105"/>
      <c r="BQ677" s="105"/>
      <c r="BR677" s="105"/>
      <c r="BS677" s="105"/>
      <c r="BT677" s="105"/>
      <c r="BU677" s="105"/>
      <c r="BV677" s="105"/>
      <c r="BW677" s="105"/>
      <c r="BX677" s="105"/>
      <c r="BY677" s="105"/>
      <c r="BZ677" s="105"/>
      <c r="CA677" s="105"/>
      <c r="CB677" s="105"/>
      <c r="CC677" s="105"/>
      <c r="CD677" s="105"/>
      <c r="CE677" s="105"/>
      <c r="CF677" s="105"/>
      <c r="CG677" s="105"/>
      <c r="CH677" s="105"/>
      <c r="CI677" s="105"/>
      <c r="CJ677" s="105"/>
      <c r="CK677" s="105"/>
      <c r="CL677" s="105"/>
      <c r="CM677" s="105"/>
      <c r="CN677" s="105"/>
      <c r="CO677" s="105"/>
      <c r="CP677" s="105"/>
      <c r="CQ677" s="105"/>
      <c r="CR677" s="105"/>
      <c r="CS677" s="105"/>
      <c r="CT677" s="105"/>
      <c r="CU677" s="105"/>
      <c r="CV677" s="105"/>
      <c r="CW677" s="105"/>
      <c r="CX677" s="105"/>
      <c r="CY677" s="105"/>
      <c r="CZ677" s="105"/>
      <c r="DA677" s="105"/>
      <c r="DB677" s="105"/>
      <c r="DC677" s="105"/>
      <c r="DD677" s="105"/>
      <c r="DE677" s="105"/>
      <c r="DF677" s="105"/>
      <c r="DG677" s="105"/>
      <c r="DH677" s="105"/>
      <c r="DI677" s="105"/>
      <c r="DJ677" s="105"/>
      <c r="DK677" s="105"/>
      <c r="DL677" s="105"/>
      <c r="DM677" s="105"/>
      <c r="DN677" s="105"/>
      <c r="DO677" s="105"/>
      <c r="DP677" s="105"/>
      <c r="DQ677" s="105"/>
      <c r="DR677" s="105"/>
      <c r="DS677" s="105"/>
      <c r="DT677" s="105"/>
      <c r="DU677" s="105"/>
      <c r="DV677" s="105"/>
      <c r="DW677" s="105"/>
      <c r="DX677" s="105"/>
      <c r="DY677" s="105"/>
      <c r="DZ677" s="105"/>
      <c r="EA677" s="105"/>
      <c r="EB677" s="105"/>
      <c r="EC677" s="105"/>
      <c r="ED677" s="105"/>
      <c r="EE677" s="105"/>
      <c r="EF677" s="105"/>
      <c r="EG677" s="105"/>
      <c r="EH677" s="105"/>
      <c r="EI677" s="105"/>
      <c r="EJ677" s="105"/>
      <c r="EK677" s="105"/>
      <c r="EL677" s="105"/>
      <c r="EM677" s="105"/>
      <c r="EN677" s="105"/>
      <c r="EO677" s="105"/>
      <c r="EP677" s="105"/>
      <c r="EQ677" s="105"/>
      <c r="ER677" s="105"/>
      <c r="ES677" s="105"/>
      <c r="ET677" s="105"/>
      <c r="EU677" s="105"/>
      <c r="EV677" s="105"/>
      <c r="EW677" s="105"/>
      <c r="EX677" s="105"/>
      <c r="EY677" s="105"/>
      <c r="EZ677" s="105"/>
      <c r="FA677" s="105"/>
      <c r="FB677" s="105"/>
      <c r="FC677" s="105"/>
      <c r="FD677" s="105"/>
      <c r="FE677" s="105"/>
      <c r="FF677" s="105"/>
      <c r="FG677" s="105"/>
      <c r="FH677" s="105"/>
      <c r="FI677" s="105"/>
      <c r="FJ677" s="105"/>
      <c r="FK677" s="105"/>
      <c r="FL677" s="105"/>
      <c r="FM677" s="105"/>
      <c r="FN677" s="105"/>
      <c r="FO677" s="105"/>
      <c r="FP677" s="105"/>
      <c r="FQ677" s="105"/>
      <c r="FR677" s="105"/>
      <c r="FS677" s="105"/>
      <c r="FT677" s="105"/>
      <c r="FU677" s="105"/>
      <c r="FV677" s="105"/>
      <c r="FW677" s="105"/>
      <c r="FX677" s="105"/>
      <c r="FY677" s="105"/>
      <c r="FZ677" s="105"/>
      <c r="GA677" s="105"/>
      <c r="GB677" s="105"/>
      <c r="GC677" s="105"/>
      <c r="GD677" s="105"/>
      <c r="GE677" s="105"/>
      <c r="GF677" s="105"/>
      <c r="GG677" s="105"/>
      <c r="GH677" s="105"/>
      <c r="GI677" s="105"/>
      <c r="GJ677" s="105"/>
      <c r="GK677" s="105"/>
      <c r="GL677" s="105"/>
      <c r="GM677" s="105"/>
      <c r="GN677" s="105"/>
      <c r="GO677" s="105"/>
      <c r="GP677" s="105"/>
      <c r="GQ677" s="105"/>
      <c r="GR677" s="105"/>
      <c r="GS677" s="105"/>
      <c r="GT677" s="105"/>
      <c r="GU677" s="105"/>
      <c r="GV677" s="105"/>
      <c r="GW677" s="105"/>
      <c r="GX677" s="105"/>
      <c r="GY677" s="105"/>
      <c r="GZ677" s="105"/>
      <c r="HA677" s="105"/>
      <c r="HB677" s="105"/>
      <c r="HC677" s="105"/>
      <c r="HD677" s="105"/>
      <c r="HE677" s="105"/>
      <c r="HF677" s="105"/>
      <c r="HG677" s="105"/>
      <c r="HH677" s="105"/>
      <c r="HI677" s="105"/>
      <c r="HJ677" s="105"/>
      <c r="HK677" s="105"/>
      <c r="HL677" s="105"/>
      <c r="HM677" s="105"/>
      <c r="HN677" s="105"/>
      <c r="HO677" s="105"/>
      <c r="HP677" s="105"/>
      <c r="HQ677" s="105"/>
      <c r="HR677" s="105"/>
      <c r="HS677" s="105"/>
      <c r="HT677" s="105"/>
      <c r="HU677" s="105"/>
      <c r="HV677" s="105"/>
      <c r="HW677" s="105"/>
      <c r="HX677" s="105"/>
      <c r="HY677" s="105"/>
      <c r="HZ677" s="105"/>
      <c r="IA677" s="105"/>
      <c r="IB677" s="105"/>
      <c r="IC677" s="105"/>
      <c r="ID677" s="105"/>
      <c r="IE677" s="105"/>
      <c r="IF677" s="105"/>
      <c r="IG677" s="105"/>
      <c r="IH677" s="105"/>
      <c r="II677" s="105"/>
      <c r="IJ677" s="105"/>
      <c r="IK677" s="105"/>
      <c r="IL677" s="105"/>
      <c r="IM677" s="105"/>
      <c r="IN677" s="105"/>
      <c r="IO677" s="105"/>
      <c r="IP677" s="105"/>
      <c r="IQ677" s="105"/>
      <c r="IR677" s="105"/>
      <c r="IS677" s="105"/>
    </row>
    <row r="678" spans="1:253">
      <c r="A678" s="116"/>
      <c r="B678" s="105"/>
      <c r="C678" s="116"/>
      <c r="D678" s="116"/>
      <c r="E678" s="116"/>
      <c r="F678" s="116"/>
      <c r="G678" s="116"/>
      <c r="H678" s="116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  <c r="BF678" s="105"/>
      <c r="BG678" s="105"/>
      <c r="BH678" s="105"/>
      <c r="BI678" s="105"/>
      <c r="BJ678" s="105"/>
      <c r="BK678" s="105"/>
      <c r="BL678" s="105"/>
      <c r="BM678" s="105"/>
      <c r="BN678" s="105"/>
      <c r="BO678" s="105"/>
      <c r="BP678" s="105"/>
      <c r="BQ678" s="105"/>
      <c r="BR678" s="105"/>
      <c r="BS678" s="105"/>
      <c r="BT678" s="105"/>
      <c r="BU678" s="105"/>
      <c r="BV678" s="105"/>
      <c r="BW678" s="105"/>
      <c r="BX678" s="105"/>
      <c r="BY678" s="105"/>
      <c r="BZ678" s="105"/>
      <c r="CA678" s="105"/>
      <c r="CB678" s="105"/>
      <c r="CC678" s="105"/>
      <c r="CD678" s="105"/>
      <c r="CE678" s="105"/>
      <c r="CF678" s="105"/>
      <c r="CG678" s="105"/>
      <c r="CH678" s="105"/>
      <c r="CI678" s="105"/>
      <c r="CJ678" s="105"/>
      <c r="CK678" s="105"/>
      <c r="CL678" s="105"/>
      <c r="CM678" s="105"/>
      <c r="CN678" s="105"/>
      <c r="CO678" s="105"/>
      <c r="CP678" s="105"/>
      <c r="CQ678" s="105"/>
      <c r="CR678" s="105"/>
      <c r="CS678" s="105"/>
      <c r="CT678" s="105"/>
      <c r="CU678" s="105"/>
      <c r="CV678" s="105"/>
      <c r="CW678" s="105"/>
      <c r="CX678" s="105"/>
      <c r="CY678" s="105"/>
      <c r="CZ678" s="105"/>
      <c r="DA678" s="105"/>
      <c r="DB678" s="105"/>
      <c r="DC678" s="105"/>
      <c r="DD678" s="105"/>
      <c r="DE678" s="105"/>
      <c r="DF678" s="105"/>
      <c r="DG678" s="105"/>
      <c r="DH678" s="105"/>
      <c r="DI678" s="105"/>
      <c r="DJ678" s="105"/>
      <c r="DK678" s="105"/>
      <c r="DL678" s="105"/>
      <c r="DM678" s="105"/>
      <c r="DN678" s="105"/>
      <c r="DO678" s="105"/>
      <c r="DP678" s="105"/>
      <c r="DQ678" s="105"/>
      <c r="DR678" s="105"/>
      <c r="DS678" s="105"/>
      <c r="DT678" s="105"/>
      <c r="DU678" s="105"/>
      <c r="DV678" s="105"/>
      <c r="DW678" s="105"/>
      <c r="DX678" s="105"/>
      <c r="DY678" s="105"/>
      <c r="DZ678" s="105"/>
      <c r="EA678" s="105"/>
      <c r="EB678" s="105"/>
      <c r="EC678" s="105"/>
      <c r="ED678" s="105"/>
      <c r="EE678" s="105"/>
      <c r="EF678" s="105"/>
      <c r="EG678" s="105"/>
      <c r="EH678" s="105"/>
      <c r="EI678" s="105"/>
      <c r="EJ678" s="105"/>
      <c r="EK678" s="105"/>
      <c r="EL678" s="105"/>
      <c r="EM678" s="105"/>
      <c r="EN678" s="105"/>
      <c r="EO678" s="105"/>
      <c r="EP678" s="105"/>
      <c r="EQ678" s="105"/>
      <c r="ER678" s="105"/>
      <c r="ES678" s="105"/>
      <c r="ET678" s="105"/>
      <c r="EU678" s="105"/>
      <c r="EV678" s="105"/>
      <c r="EW678" s="105"/>
      <c r="EX678" s="105"/>
      <c r="EY678" s="105"/>
      <c r="EZ678" s="105"/>
      <c r="FA678" s="105"/>
      <c r="FB678" s="105"/>
      <c r="FC678" s="105"/>
      <c r="FD678" s="105"/>
      <c r="FE678" s="105"/>
      <c r="FF678" s="105"/>
      <c r="FG678" s="105"/>
      <c r="FH678" s="105"/>
      <c r="FI678" s="105"/>
      <c r="FJ678" s="105"/>
      <c r="FK678" s="105"/>
      <c r="FL678" s="105"/>
      <c r="FM678" s="105"/>
      <c r="FN678" s="105"/>
      <c r="FO678" s="105"/>
      <c r="FP678" s="105"/>
      <c r="FQ678" s="105"/>
      <c r="FR678" s="105"/>
      <c r="FS678" s="105"/>
      <c r="FT678" s="105"/>
      <c r="FU678" s="105"/>
      <c r="FV678" s="105"/>
      <c r="FW678" s="105"/>
      <c r="FX678" s="105"/>
      <c r="FY678" s="105"/>
      <c r="FZ678" s="105"/>
      <c r="GA678" s="105"/>
      <c r="GB678" s="105"/>
      <c r="GC678" s="105"/>
      <c r="GD678" s="105"/>
      <c r="GE678" s="105"/>
      <c r="GF678" s="105"/>
      <c r="GG678" s="105"/>
      <c r="GH678" s="105"/>
      <c r="GI678" s="105"/>
      <c r="GJ678" s="105"/>
      <c r="GK678" s="105"/>
      <c r="GL678" s="105"/>
      <c r="GM678" s="105"/>
      <c r="GN678" s="105"/>
      <c r="GO678" s="105"/>
      <c r="GP678" s="105"/>
      <c r="GQ678" s="105"/>
      <c r="GR678" s="105"/>
      <c r="GS678" s="105"/>
      <c r="GT678" s="105"/>
      <c r="GU678" s="105"/>
      <c r="GV678" s="105"/>
      <c r="GW678" s="105"/>
      <c r="GX678" s="105"/>
      <c r="GY678" s="105"/>
      <c r="GZ678" s="105"/>
      <c r="HA678" s="105"/>
      <c r="HB678" s="105"/>
      <c r="HC678" s="105"/>
      <c r="HD678" s="105"/>
      <c r="HE678" s="105"/>
      <c r="HF678" s="105"/>
      <c r="HG678" s="105"/>
      <c r="HH678" s="105"/>
      <c r="HI678" s="105"/>
      <c r="HJ678" s="105"/>
      <c r="HK678" s="105"/>
      <c r="HL678" s="105"/>
      <c r="HM678" s="105"/>
      <c r="HN678" s="105"/>
      <c r="HO678" s="105"/>
      <c r="HP678" s="105"/>
      <c r="HQ678" s="105"/>
      <c r="HR678" s="105"/>
      <c r="HS678" s="105"/>
      <c r="HT678" s="105"/>
      <c r="HU678" s="105"/>
      <c r="HV678" s="105"/>
      <c r="HW678" s="105"/>
      <c r="HX678" s="105"/>
      <c r="HY678" s="105"/>
      <c r="HZ678" s="105"/>
      <c r="IA678" s="105"/>
      <c r="IB678" s="105"/>
      <c r="IC678" s="105"/>
      <c r="ID678" s="105"/>
      <c r="IE678" s="105"/>
      <c r="IF678" s="105"/>
      <c r="IG678" s="105"/>
      <c r="IH678" s="105"/>
      <c r="II678" s="105"/>
      <c r="IJ678" s="105"/>
      <c r="IK678" s="105"/>
      <c r="IL678" s="105"/>
      <c r="IM678" s="105"/>
      <c r="IN678" s="105"/>
      <c r="IO678" s="105"/>
      <c r="IP678" s="105"/>
      <c r="IQ678" s="105"/>
      <c r="IR678" s="105"/>
      <c r="IS678" s="105"/>
    </row>
    <row r="679" spans="1:253">
      <c r="A679" s="116"/>
      <c r="B679" s="105"/>
      <c r="C679" s="116"/>
      <c r="D679" s="116"/>
      <c r="E679" s="116"/>
      <c r="F679" s="116"/>
      <c r="G679" s="116"/>
      <c r="H679" s="116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05"/>
      <c r="BF679" s="105"/>
      <c r="BG679" s="105"/>
      <c r="BH679" s="105"/>
      <c r="BI679" s="105"/>
      <c r="BJ679" s="105"/>
      <c r="BK679" s="105"/>
      <c r="BL679" s="105"/>
      <c r="BM679" s="105"/>
      <c r="BN679" s="105"/>
      <c r="BO679" s="105"/>
      <c r="BP679" s="105"/>
      <c r="BQ679" s="105"/>
      <c r="BR679" s="105"/>
      <c r="BS679" s="105"/>
      <c r="BT679" s="105"/>
      <c r="BU679" s="105"/>
      <c r="BV679" s="105"/>
      <c r="BW679" s="105"/>
      <c r="BX679" s="105"/>
      <c r="BY679" s="105"/>
      <c r="BZ679" s="105"/>
      <c r="CA679" s="105"/>
      <c r="CB679" s="105"/>
      <c r="CC679" s="105"/>
      <c r="CD679" s="105"/>
      <c r="CE679" s="105"/>
      <c r="CF679" s="105"/>
      <c r="CG679" s="105"/>
      <c r="CH679" s="105"/>
      <c r="CI679" s="105"/>
      <c r="CJ679" s="105"/>
      <c r="CK679" s="105"/>
      <c r="CL679" s="105"/>
      <c r="CM679" s="105"/>
      <c r="CN679" s="105"/>
      <c r="CO679" s="105"/>
      <c r="CP679" s="105"/>
      <c r="CQ679" s="105"/>
      <c r="CR679" s="105"/>
      <c r="CS679" s="105"/>
      <c r="CT679" s="105"/>
      <c r="CU679" s="105"/>
      <c r="CV679" s="105"/>
      <c r="CW679" s="105"/>
      <c r="CX679" s="105"/>
      <c r="CY679" s="105"/>
      <c r="CZ679" s="105"/>
      <c r="DA679" s="105"/>
      <c r="DB679" s="105"/>
      <c r="DC679" s="105"/>
      <c r="DD679" s="105"/>
      <c r="DE679" s="105"/>
      <c r="DF679" s="105"/>
      <c r="DG679" s="105"/>
      <c r="DH679" s="105"/>
      <c r="DI679" s="105"/>
      <c r="DJ679" s="105"/>
      <c r="DK679" s="105"/>
      <c r="DL679" s="105"/>
      <c r="DM679" s="105"/>
      <c r="DN679" s="105"/>
      <c r="DO679" s="105"/>
      <c r="DP679" s="105"/>
      <c r="DQ679" s="105"/>
      <c r="DR679" s="105"/>
      <c r="DS679" s="105"/>
      <c r="DT679" s="105"/>
      <c r="DU679" s="105"/>
      <c r="DV679" s="105"/>
      <c r="DW679" s="105"/>
      <c r="DX679" s="105"/>
      <c r="DY679" s="105"/>
      <c r="DZ679" s="105"/>
      <c r="EA679" s="105"/>
      <c r="EB679" s="105"/>
      <c r="EC679" s="105"/>
      <c r="ED679" s="105"/>
      <c r="EE679" s="105"/>
      <c r="EF679" s="105"/>
      <c r="EG679" s="105"/>
      <c r="EH679" s="105"/>
      <c r="EI679" s="105"/>
      <c r="EJ679" s="105"/>
      <c r="EK679" s="105"/>
      <c r="EL679" s="105"/>
      <c r="EM679" s="105"/>
      <c r="EN679" s="105"/>
      <c r="EO679" s="105"/>
      <c r="EP679" s="105"/>
      <c r="EQ679" s="105"/>
      <c r="ER679" s="105"/>
      <c r="ES679" s="105"/>
      <c r="ET679" s="105"/>
      <c r="EU679" s="105"/>
      <c r="EV679" s="105"/>
      <c r="EW679" s="105"/>
      <c r="EX679" s="105"/>
      <c r="EY679" s="105"/>
      <c r="EZ679" s="105"/>
      <c r="FA679" s="105"/>
      <c r="FB679" s="105"/>
      <c r="FC679" s="105"/>
      <c r="FD679" s="105"/>
      <c r="FE679" s="105"/>
      <c r="FF679" s="105"/>
      <c r="FG679" s="105"/>
      <c r="FH679" s="105"/>
      <c r="FI679" s="105"/>
      <c r="FJ679" s="105"/>
      <c r="FK679" s="105"/>
      <c r="FL679" s="105"/>
      <c r="FM679" s="105"/>
      <c r="FN679" s="105"/>
      <c r="FO679" s="105"/>
      <c r="FP679" s="105"/>
      <c r="FQ679" s="105"/>
      <c r="FR679" s="105"/>
      <c r="FS679" s="105"/>
      <c r="FT679" s="105"/>
      <c r="FU679" s="105"/>
      <c r="FV679" s="105"/>
      <c r="FW679" s="105"/>
      <c r="FX679" s="105"/>
      <c r="FY679" s="105"/>
      <c r="FZ679" s="105"/>
      <c r="GA679" s="105"/>
      <c r="GB679" s="105"/>
      <c r="GC679" s="105"/>
      <c r="GD679" s="105"/>
      <c r="GE679" s="105"/>
      <c r="GF679" s="105"/>
      <c r="GG679" s="105"/>
      <c r="GH679" s="105"/>
      <c r="GI679" s="105"/>
      <c r="GJ679" s="105"/>
      <c r="GK679" s="105"/>
      <c r="GL679" s="105"/>
      <c r="GM679" s="105"/>
      <c r="GN679" s="105"/>
      <c r="GO679" s="105"/>
      <c r="GP679" s="105"/>
      <c r="GQ679" s="105"/>
      <c r="GR679" s="105"/>
      <c r="GS679" s="105"/>
      <c r="GT679" s="105"/>
      <c r="GU679" s="105"/>
      <c r="GV679" s="105"/>
      <c r="GW679" s="105"/>
      <c r="GX679" s="105"/>
      <c r="GY679" s="105"/>
      <c r="GZ679" s="105"/>
      <c r="HA679" s="105"/>
      <c r="HB679" s="105"/>
      <c r="HC679" s="105"/>
      <c r="HD679" s="105"/>
      <c r="HE679" s="105"/>
      <c r="HF679" s="105"/>
      <c r="HG679" s="105"/>
      <c r="HH679" s="105"/>
      <c r="HI679" s="105"/>
      <c r="HJ679" s="105"/>
      <c r="HK679" s="105"/>
      <c r="HL679" s="105"/>
      <c r="HM679" s="105"/>
      <c r="HN679" s="105"/>
      <c r="HO679" s="105"/>
      <c r="HP679" s="105"/>
      <c r="HQ679" s="105"/>
      <c r="HR679" s="105"/>
      <c r="HS679" s="105"/>
      <c r="HT679" s="105"/>
      <c r="HU679" s="105"/>
      <c r="HV679" s="105"/>
      <c r="HW679" s="105"/>
      <c r="HX679" s="105"/>
      <c r="HY679" s="105"/>
      <c r="HZ679" s="105"/>
      <c r="IA679" s="105"/>
      <c r="IB679" s="105"/>
      <c r="IC679" s="105"/>
      <c r="ID679" s="105"/>
      <c r="IE679" s="105"/>
      <c r="IF679" s="105"/>
      <c r="IG679" s="105"/>
      <c r="IH679" s="105"/>
      <c r="II679" s="105"/>
      <c r="IJ679" s="105"/>
      <c r="IK679" s="105"/>
      <c r="IL679" s="105"/>
      <c r="IM679" s="105"/>
      <c r="IN679" s="105"/>
      <c r="IO679" s="105"/>
      <c r="IP679" s="105"/>
      <c r="IQ679" s="105"/>
      <c r="IR679" s="105"/>
      <c r="IS679" s="105"/>
    </row>
    <row r="680" spans="1:253">
      <c r="A680" s="116"/>
      <c r="B680" s="105"/>
      <c r="C680" s="116"/>
      <c r="D680" s="116"/>
      <c r="E680" s="116"/>
      <c r="F680" s="116"/>
      <c r="G680" s="116"/>
      <c r="H680" s="116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  <c r="BF680" s="105"/>
      <c r="BG680" s="105"/>
      <c r="BH680" s="105"/>
      <c r="BI680" s="105"/>
      <c r="BJ680" s="105"/>
      <c r="BK680" s="105"/>
      <c r="BL680" s="105"/>
      <c r="BM680" s="105"/>
      <c r="BN680" s="105"/>
      <c r="BO680" s="105"/>
      <c r="BP680" s="105"/>
      <c r="BQ680" s="105"/>
      <c r="BR680" s="105"/>
      <c r="BS680" s="105"/>
      <c r="BT680" s="105"/>
      <c r="BU680" s="105"/>
      <c r="BV680" s="105"/>
      <c r="BW680" s="105"/>
      <c r="BX680" s="105"/>
      <c r="BY680" s="105"/>
      <c r="BZ680" s="105"/>
      <c r="CA680" s="105"/>
      <c r="CB680" s="105"/>
      <c r="CC680" s="105"/>
      <c r="CD680" s="105"/>
      <c r="CE680" s="105"/>
      <c r="CF680" s="105"/>
      <c r="CG680" s="105"/>
      <c r="CH680" s="105"/>
      <c r="CI680" s="105"/>
      <c r="CJ680" s="105"/>
      <c r="CK680" s="105"/>
      <c r="CL680" s="105"/>
      <c r="CM680" s="105"/>
      <c r="CN680" s="105"/>
      <c r="CO680" s="105"/>
      <c r="CP680" s="105"/>
      <c r="CQ680" s="105"/>
      <c r="CR680" s="105"/>
      <c r="CS680" s="105"/>
      <c r="CT680" s="105"/>
      <c r="CU680" s="105"/>
      <c r="CV680" s="105"/>
      <c r="CW680" s="105"/>
      <c r="CX680" s="105"/>
      <c r="CY680" s="105"/>
      <c r="CZ680" s="105"/>
      <c r="DA680" s="105"/>
      <c r="DB680" s="105"/>
      <c r="DC680" s="105"/>
      <c r="DD680" s="105"/>
      <c r="DE680" s="105"/>
      <c r="DF680" s="105"/>
      <c r="DG680" s="105"/>
      <c r="DH680" s="105"/>
      <c r="DI680" s="105"/>
      <c r="DJ680" s="105"/>
      <c r="DK680" s="105"/>
      <c r="DL680" s="105"/>
      <c r="DM680" s="105"/>
      <c r="DN680" s="105"/>
      <c r="DO680" s="105"/>
      <c r="DP680" s="105"/>
      <c r="DQ680" s="105"/>
      <c r="DR680" s="105"/>
      <c r="DS680" s="105"/>
      <c r="DT680" s="105"/>
      <c r="DU680" s="105"/>
      <c r="DV680" s="105"/>
      <c r="DW680" s="105"/>
      <c r="DX680" s="105"/>
      <c r="DY680" s="105"/>
      <c r="DZ680" s="105"/>
      <c r="EA680" s="105"/>
      <c r="EB680" s="105"/>
      <c r="EC680" s="105"/>
      <c r="ED680" s="105"/>
      <c r="EE680" s="105"/>
      <c r="EF680" s="105"/>
      <c r="EG680" s="105"/>
      <c r="EH680" s="105"/>
      <c r="EI680" s="105"/>
      <c r="EJ680" s="105"/>
      <c r="EK680" s="105"/>
      <c r="EL680" s="105"/>
      <c r="EM680" s="105"/>
      <c r="EN680" s="105"/>
      <c r="EO680" s="105"/>
      <c r="EP680" s="105"/>
      <c r="EQ680" s="105"/>
      <c r="ER680" s="105"/>
      <c r="ES680" s="105"/>
      <c r="ET680" s="105"/>
      <c r="EU680" s="105"/>
      <c r="EV680" s="105"/>
      <c r="EW680" s="105"/>
      <c r="EX680" s="105"/>
      <c r="EY680" s="105"/>
      <c r="EZ680" s="105"/>
      <c r="FA680" s="105"/>
      <c r="FB680" s="105"/>
      <c r="FC680" s="105"/>
      <c r="FD680" s="105"/>
      <c r="FE680" s="105"/>
      <c r="FF680" s="105"/>
      <c r="FG680" s="105"/>
      <c r="FH680" s="105"/>
      <c r="FI680" s="105"/>
      <c r="FJ680" s="105"/>
      <c r="FK680" s="105"/>
      <c r="FL680" s="105"/>
      <c r="FM680" s="105"/>
      <c r="FN680" s="105"/>
      <c r="FO680" s="105"/>
      <c r="FP680" s="105"/>
      <c r="FQ680" s="105"/>
      <c r="FR680" s="105"/>
      <c r="FS680" s="105"/>
      <c r="FT680" s="105"/>
      <c r="FU680" s="105"/>
      <c r="FV680" s="105"/>
      <c r="FW680" s="105"/>
      <c r="FX680" s="105"/>
      <c r="FY680" s="105"/>
      <c r="FZ680" s="105"/>
      <c r="GA680" s="105"/>
      <c r="GB680" s="105"/>
      <c r="GC680" s="105"/>
      <c r="GD680" s="105"/>
      <c r="GE680" s="105"/>
      <c r="GF680" s="105"/>
      <c r="GG680" s="105"/>
      <c r="GH680" s="105"/>
      <c r="GI680" s="105"/>
      <c r="GJ680" s="105"/>
      <c r="GK680" s="105"/>
      <c r="GL680" s="105"/>
      <c r="GM680" s="105"/>
      <c r="GN680" s="105"/>
      <c r="GO680" s="105"/>
      <c r="GP680" s="105"/>
      <c r="GQ680" s="105"/>
      <c r="GR680" s="105"/>
      <c r="GS680" s="105"/>
      <c r="GT680" s="105"/>
      <c r="GU680" s="105"/>
      <c r="GV680" s="105"/>
      <c r="GW680" s="105"/>
      <c r="GX680" s="105"/>
      <c r="GY680" s="105"/>
      <c r="GZ680" s="105"/>
      <c r="HA680" s="105"/>
      <c r="HB680" s="105"/>
      <c r="HC680" s="105"/>
      <c r="HD680" s="105"/>
      <c r="HE680" s="105"/>
      <c r="HF680" s="105"/>
      <c r="HG680" s="105"/>
      <c r="HH680" s="105"/>
      <c r="HI680" s="105"/>
      <c r="HJ680" s="105"/>
      <c r="HK680" s="105"/>
      <c r="HL680" s="105"/>
      <c r="HM680" s="105"/>
      <c r="HN680" s="105"/>
      <c r="HO680" s="105"/>
      <c r="HP680" s="105"/>
      <c r="HQ680" s="105"/>
      <c r="HR680" s="105"/>
      <c r="HS680" s="105"/>
      <c r="HT680" s="105"/>
      <c r="HU680" s="105"/>
      <c r="HV680" s="105"/>
      <c r="HW680" s="105"/>
      <c r="HX680" s="105"/>
      <c r="HY680" s="105"/>
      <c r="HZ680" s="105"/>
      <c r="IA680" s="105"/>
      <c r="IB680" s="105"/>
      <c r="IC680" s="105"/>
      <c r="ID680" s="105"/>
      <c r="IE680" s="105"/>
      <c r="IF680" s="105"/>
      <c r="IG680" s="105"/>
      <c r="IH680" s="105"/>
      <c r="II680" s="105"/>
      <c r="IJ680" s="105"/>
      <c r="IK680" s="105"/>
      <c r="IL680" s="105"/>
      <c r="IM680" s="105"/>
      <c r="IN680" s="105"/>
      <c r="IO680" s="105"/>
      <c r="IP680" s="105"/>
      <c r="IQ680" s="105"/>
      <c r="IR680" s="105"/>
      <c r="IS680" s="105"/>
    </row>
    <row r="681" spans="1:253">
      <c r="A681" s="116"/>
      <c r="B681" s="105"/>
      <c r="C681" s="116"/>
      <c r="D681" s="116"/>
      <c r="E681" s="116"/>
      <c r="F681" s="116"/>
      <c r="G681" s="116"/>
      <c r="H681" s="116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5"/>
      <c r="BE681" s="105"/>
      <c r="BF681" s="105"/>
      <c r="BG681" s="105"/>
      <c r="BH681" s="105"/>
      <c r="BI681" s="105"/>
      <c r="BJ681" s="105"/>
      <c r="BK681" s="105"/>
      <c r="BL681" s="105"/>
      <c r="BM681" s="105"/>
      <c r="BN681" s="105"/>
      <c r="BO681" s="105"/>
      <c r="BP681" s="105"/>
      <c r="BQ681" s="105"/>
      <c r="BR681" s="105"/>
      <c r="BS681" s="105"/>
      <c r="BT681" s="105"/>
      <c r="BU681" s="105"/>
      <c r="BV681" s="105"/>
      <c r="BW681" s="105"/>
      <c r="BX681" s="105"/>
      <c r="BY681" s="105"/>
      <c r="BZ681" s="105"/>
      <c r="CA681" s="105"/>
      <c r="CB681" s="105"/>
      <c r="CC681" s="105"/>
      <c r="CD681" s="105"/>
      <c r="CE681" s="105"/>
      <c r="CF681" s="105"/>
      <c r="CG681" s="105"/>
      <c r="CH681" s="105"/>
      <c r="CI681" s="105"/>
      <c r="CJ681" s="105"/>
      <c r="CK681" s="105"/>
      <c r="CL681" s="105"/>
      <c r="CM681" s="105"/>
      <c r="CN681" s="105"/>
      <c r="CO681" s="105"/>
      <c r="CP681" s="105"/>
      <c r="CQ681" s="105"/>
      <c r="CR681" s="105"/>
      <c r="CS681" s="105"/>
      <c r="CT681" s="105"/>
      <c r="CU681" s="105"/>
      <c r="CV681" s="105"/>
      <c r="CW681" s="105"/>
      <c r="CX681" s="105"/>
      <c r="CY681" s="105"/>
      <c r="CZ681" s="105"/>
      <c r="DA681" s="105"/>
      <c r="DB681" s="105"/>
      <c r="DC681" s="105"/>
      <c r="DD681" s="105"/>
      <c r="DE681" s="105"/>
      <c r="DF681" s="105"/>
      <c r="DG681" s="105"/>
      <c r="DH681" s="105"/>
      <c r="DI681" s="105"/>
      <c r="DJ681" s="105"/>
      <c r="DK681" s="105"/>
      <c r="DL681" s="105"/>
      <c r="DM681" s="105"/>
      <c r="DN681" s="105"/>
      <c r="DO681" s="105"/>
      <c r="DP681" s="105"/>
      <c r="DQ681" s="105"/>
      <c r="DR681" s="105"/>
      <c r="DS681" s="105"/>
      <c r="DT681" s="105"/>
      <c r="DU681" s="105"/>
      <c r="DV681" s="105"/>
      <c r="DW681" s="105"/>
      <c r="DX681" s="105"/>
      <c r="DY681" s="105"/>
      <c r="DZ681" s="105"/>
      <c r="EA681" s="105"/>
      <c r="EB681" s="105"/>
      <c r="EC681" s="105"/>
      <c r="ED681" s="105"/>
      <c r="EE681" s="105"/>
      <c r="EF681" s="105"/>
      <c r="EG681" s="105"/>
      <c r="EH681" s="105"/>
      <c r="EI681" s="105"/>
      <c r="EJ681" s="105"/>
      <c r="EK681" s="105"/>
      <c r="EL681" s="105"/>
      <c r="EM681" s="105"/>
      <c r="EN681" s="105"/>
      <c r="EO681" s="105"/>
      <c r="EP681" s="105"/>
      <c r="EQ681" s="105"/>
      <c r="ER681" s="105"/>
      <c r="ES681" s="105"/>
      <c r="ET681" s="105"/>
      <c r="EU681" s="105"/>
      <c r="EV681" s="105"/>
      <c r="EW681" s="105"/>
      <c r="EX681" s="105"/>
      <c r="EY681" s="105"/>
      <c r="EZ681" s="105"/>
      <c r="FA681" s="105"/>
      <c r="FB681" s="105"/>
      <c r="FC681" s="105"/>
      <c r="FD681" s="105"/>
      <c r="FE681" s="105"/>
      <c r="FF681" s="105"/>
      <c r="FG681" s="105"/>
      <c r="FH681" s="105"/>
      <c r="FI681" s="105"/>
      <c r="FJ681" s="105"/>
      <c r="FK681" s="105"/>
      <c r="FL681" s="105"/>
      <c r="FM681" s="105"/>
      <c r="FN681" s="105"/>
      <c r="FO681" s="105"/>
      <c r="FP681" s="105"/>
      <c r="FQ681" s="105"/>
      <c r="FR681" s="105"/>
      <c r="FS681" s="105"/>
      <c r="FT681" s="105"/>
      <c r="FU681" s="105"/>
      <c r="FV681" s="105"/>
      <c r="FW681" s="105"/>
      <c r="FX681" s="105"/>
      <c r="FY681" s="105"/>
      <c r="FZ681" s="105"/>
      <c r="GA681" s="105"/>
      <c r="GB681" s="105"/>
      <c r="GC681" s="105"/>
      <c r="GD681" s="105"/>
      <c r="GE681" s="105"/>
      <c r="GF681" s="105"/>
      <c r="GG681" s="105"/>
      <c r="GH681" s="105"/>
      <c r="GI681" s="105"/>
      <c r="GJ681" s="105"/>
      <c r="GK681" s="105"/>
      <c r="GL681" s="105"/>
      <c r="GM681" s="105"/>
      <c r="GN681" s="105"/>
      <c r="GO681" s="105"/>
      <c r="GP681" s="105"/>
      <c r="GQ681" s="105"/>
      <c r="GR681" s="105"/>
      <c r="GS681" s="105"/>
      <c r="GT681" s="105"/>
      <c r="GU681" s="105"/>
      <c r="GV681" s="105"/>
      <c r="GW681" s="105"/>
      <c r="GX681" s="105"/>
      <c r="GY681" s="105"/>
      <c r="GZ681" s="105"/>
      <c r="HA681" s="105"/>
      <c r="HB681" s="105"/>
      <c r="HC681" s="105"/>
      <c r="HD681" s="105"/>
      <c r="HE681" s="105"/>
      <c r="HF681" s="105"/>
      <c r="HG681" s="105"/>
      <c r="HH681" s="105"/>
      <c r="HI681" s="105"/>
      <c r="HJ681" s="105"/>
      <c r="HK681" s="105"/>
      <c r="HL681" s="105"/>
      <c r="HM681" s="105"/>
      <c r="HN681" s="105"/>
      <c r="HO681" s="105"/>
      <c r="HP681" s="105"/>
      <c r="HQ681" s="105"/>
      <c r="HR681" s="105"/>
      <c r="HS681" s="105"/>
      <c r="HT681" s="105"/>
      <c r="HU681" s="105"/>
      <c r="HV681" s="105"/>
      <c r="HW681" s="105"/>
      <c r="HX681" s="105"/>
      <c r="HY681" s="105"/>
      <c r="HZ681" s="105"/>
      <c r="IA681" s="105"/>
      <c r="IB681" s="105"/>
      <c r="IC681" s="105"/>
      <c r="ID681" s="105"/>
      <c r="IE681" s="105"/>
      <c r="IF681" s="105"/>
      <c r="IG681" s="105"/>
      <c r="IH681" s="105"/>
      <c r="II681" s="105"/>
      <c r="IJ681" s="105"/>
      <c r="IK681" s="105"/>
      <c r="IL681" s="105"/>
      <c r="IM681" s="105"/>
      <c r="IN681" s="105"/>
      <c r="IO681" s="105"/>
      <c r="IP681" s="105"/>
      <c r="IQ681" s="105"/>
      <c r="IR681" s="105"/>
      <c r="IS681" s="105"/>
    </row>
    <row r="682" spans="1:253">
      <c r="A682" s="116"/>
      <c r="B682" s="105"/>
      <c r="C682" s="116"/>
      <c r="D682" s="116"/>
      <c r="E682" s="116"/>
      <c r="F682" s="116"/>
      <c r="G682" s="116"/>
      <c r="H682" s="116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05"/>
      <c r="BF682" s="105"/>
      <c r="BG682" s="105"/>
      <c r="BH682" s="105"/>
      <c r="BI682" s="105"/>
      <c r="BJ682" s="105"/>
      <c r="BK682" s="105"/>
      <c r="BL682" s="105"/>
      <c r="BM682" s="105"/>
      <c r="BN682" s="105"/>
      <c r="BO682" s="105"/>
      <c r="BP682" s="105"/>
      <c r="BQ682" s="105"/>
      <c r="BR682" s="105"/>
      <c r="BS682" s="105"/>
      <c r="BT682" s="105"/>
      <c r="BU682" s="105"/>
      <c r="BV682" s="105"/>
      <c r="BW682" s="105"/>
      <c r="BX682" s="105"/>
      <c r="BY682" s="105"/>
      <c r="BZ682" s="105"/>
      <c r="CA682" s="105"/>
      <c r="CB682" s="105"/>
      <c r="CC682" s="105"/>
      <c r="CD682" s="105"/>
      <c r="CE682" s="105"/>
      <c r="CF682" s="105"/>
      <c r="CG682" s="105"/>
      <c r="CH682" s="105"/>
      <c r="CI682" s="105"/>
      <c r="CJ682" s="105"/>
      <c r="CK682" s="105"/>
      <c r="CL682" s="105"/>
      <c r="CM682" s="105"/>
      <c r="CN682" s="105"/>
      <c r="CO682" s="105"/>
      <c r="CP682" s="105"/>
      <c r="CQ682" s="105"/>
      <c r="CR682" s="105"/>
      <c r="CS682" s="105"/>
      <c r="CT682" s="105"/>
      <c r="CU682" s="105"/>
      <c r="CV682" s="105"/>
      <c r="CW682" s="105"/>
      <c r="CX682" s="105"/>
      <c r="CY682" s="105"/>
      <c r="CZ682" s="105"/>
      <c r="DA682" s="105"/>
      <c r="DB682" s="105"/>
      <c r="DC682" s="105"/>
      <c r="DD682" s="105"/>
      <c r="DE682" s="105"/>
      <c r="DF682" s="105"/>
      <c r="DG682" s="105"/>
      <c r="DH682" s="105"/>
      <c r="DI682" s="105"/>
      <c r="DJ682" s="105"/>
      <c r="DK682" s="105"/>
      <c r="DL682" s="105"/>
      <c r="DM682" s="105"/>
      <c r="DN682" s="105"/>
      <c r="DO682" s="105"/>
      <c r="DP682" s="105"/>
      <c r="DQ682" s="105"/>
      <c r="DR682" s="105"/>
      <c r="DS682" s="105"/>
      <c r="DT682" s="105"/>
      <c r="DU682" s="105"/>
      <c r="DV682" s="105"/>
      <c r="DW682" s="105"/>
      <c r="DX682" s="105"/>
      <c r="DY682" s="105"/>
      <c r="DZ682" s="105"/>
      <c r="EA682" s="105"/>
      <c r="EB682" s="105"/>
      <c r="EC682" s="105"/>
      <c r="ED682" s="105"/>
      <c r="EE682" s="105"/>
      <c r="EF682" s="105"/>
      <c r="EG682" s="105"/>
      <c r="EH682" s="105"/>
      <c r="EI682" s="105"/>
      <c r="EJ682" s="105"/>
      <c r="EK682" s="105"/>
      <c r="EL682" s="105"/>
      <c r="EM682" s="105"/>
      <c r="EN682" s="105"/>
      <c r="EO682" s="105"/>
      <c r="EP682" s="105"/>
      <c r="EQ682" s="105"/>
      <c r="ER682" s="105"/>
      <c r="ES682" s="105"/>
      <c r="ET682" s="105"/>
      <c r="EU682" s="105"/>
      <c r="EV682" s="105"/>
      <c r="EW682" s="105"/>
      <c r="EX682" s="105"/>
      <c r="EY682" s="105"/>
      <c r="EZ682" s="105"/>
      <c r="FA682" s="105"/>
      <c r="FB682" s="105"/>
      <c r="FC682" s="105"/>
      <c r="FD682" s="105"/>
      <c r="FE682" s="105"/>
      <c r="FF682" s="105"/>
      <c r="FG682" s="105"/>
      <c r="FH682" s="105"/>
      <c r="FI682" s="105"/>
      <c r="FJ682" s="105"/>
      <c r="FK682" s="105"/>
      <c r="FL682" s="105"/>
      <c r="FM682" s="105"/>
      <c r="FN682" s="105"/>
      <c r="FO682" s="105"/>
      <c r="FP682" s="105"/>
      <c r="FQ682" s="105"/>
      <c r="FR682" s="105"/>
      <c r="FS682" s="105"/>
      <c r="FT682" s="105"/>
      <c r="FU682" s="105"/>
      <c r="FV682" s="105"/>
      <c r="FW682" s="105"/>
      <c r="FX682" s="105"/>
      <c r="FY682" s="105"/>
      <c r="FZ682" s="105"/>
      <c r="GA682" s="105"/>
      <c r="GB682" s="105"/>
      <c r="GC682" s="105"/>
      <c r="GD682" s="105"/>
      <c r="GE682" s="105"/>
      <c r="GF682" s="105"/>
      <c r="GG682" s="105"/>
      <c r="GH682" s="105"/>
      <c r="GI682" s="105"/>
      <c r="GJ682" s="105"/>
      <c r="GK682" s="105"/>
      <c r="GL682" s="105"/>
      <c r="GM682" s="105"/>
      <c r="GN682" s="105"/>
      <c r="GO682" s="105"/>
      <c r="GP682" s="105"/>
      <c r="GQ682" s="105"/>
      <c r="GR682" s="105"/>
      <c r="GS682" s="105"/>
      <c r="GT682" s="105"/>
      <c r="GU682" s="105"/>
      <c r="GV682" s="105"/>
      <c r="GW682" s="105"/>
      <c r="GX682" s="105"/>
      <c r="GY682" s="105"/>
      <c r="GZ682" s="105"/>
      <c r="HA682" s="105"/>
      <c r="HB682" s="105"/>
      <c r="HC682" s="105"/>
      <c r="HD682" s="105"/>
      <c r="HE682" s="105"/>
      <c r="HF682" s="105"/>
      <c r="HG682" s="105"/>
      <c r="HH682" s="105"/>
      <c r="HI682" s="105"/>
      <c r="HJ682" s="105"/>
      <c r="HK682" s="105"/>
      <c r="HL682" s="105"/>
      <c r="HM682" s="105"/>
      <c r="HN682" s="105"/>
      <c r="HO682" s="105"/>
      <c r="HP682" s="105"/>
      <c r="HQ682" s="105"/>
      <c r="HR682" s="105"/>
      <c r="HS682" s="105"/>
      <c r="HT682" s="105"/>
      <c r="HU682" s="105"/>
      <c r="HV682" s="105"/>
      <c r="HW682" s="105"/>
      <c r="HX682" s="105"/>
      <c r="HY682" s="105"/>
      <c r="HZ682" s="105"/>
      <c r="IA682" s="105"/>
      <c r="IB682" s="105"/>
      <c r="IC682" s="105"/>
      <c r="ID682" s="105"/>
      <c r="IE682" s="105"/>
      <c r="IF682" s="105"/>
      <c r="IG682" s="105"/>
      <c r="IH682" s="105"/>
      <c r="II682" s="105"/>
      <c r="IJ682" s="105"/>
      <c r="IK682" s="105"/>
      <c r="IL682" s="105"/>
      <c r="IM682" s="105"/>
      <c r="IN682" s="105"/>
      <c r="IO682" s="105"/>
      <c r="IP682" s="105"/>
      <c r="IQ682" s="105"/>
      <c r="IR682" s="105"/>
      <c r="IS682" s="105"/>
    </row>
    <row r="683" spans="1:253">
      <c r="A683" s="116"/>
      <c r="B683" s="105"/>
      <c r="C683" s="116"/>
      <c r="D683" s="116"/>
      <c r="E683" s="116"/>
      <c r="F683" s="116"/>
      <c r="G683" s="116"/>
      <c r="H683" s="116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  <c r="BF683" s="105"/>
      <c r="BG683" s="105"/>
      <c r="BH683" s="105"/>
      <c r="BI683" s="105"/>
      <c r="BJ683" s="105"/>
      <c r="BK683" s="105"/>
      <c r="BL683" s="105"/>
      <c r="BM683" s="105"/>
      <c r="BN683" s="105"/>
      <c r="BO683" s="105"/>
      <c r="BP683" s="105"/>
      <c r="BQ683" s="105"/>
      <c r="BR683" s="105"/>
      <c r="BS683" s="105"/>
      <c r="BT683" s="105"/>
      <c r="BU683" s="105"/>
      <c r="BV683" s="105"/>
      <c r="BW683" s="105"/>
      <c r="BX683" s="105"/>
      <c r="BY683" s="105"/>
      <c r="BZ683" s="105"/>
      <c r="CA683" s="105"/>
      <c r="CB683" s="105"/>
      <c r="CC683" s="105"/>
      <c r="CD683" s="105"/>
      <c r="CE683" s="105"/>
      <c r="CF683" s="105"/>
      <c r="CG683" s="105"/>
      <c r="CH683" s="105"/>
      <c r="CI683" s="105"/>
      <c r="CJ683" s="105"/>
      <c r="CK683" s="105"/>
      <c r="CL683" s="105"/>
      <c r="CM683" s="105"/>
      <c r="CN683" s="105"/>
      <c r="CO683" s="105"/>
      <c r="CP683" s="105"/>
      <c r="CQ683" s="105"/>
      <c r="CR683" s="105"/>
      <c r="CS683" s="105"/>
      <c r="CT683" s="105"/>
      <c r="CU683" s="105"/>
      <c r="CV683" s="105"/>
      <c r="CW683" s="105"/>
      <c r="CX683" s="105"/>
      <c r="CY683" s="105"/>
      <c r="CZ683" s="105"/>
      <c r="DA683" s="105"/>
      <c r="DB683" s="105"/>
      <c r="DC683" s="105"/>
      <c r="DD683" s="105"/>
      <c r="DE683" s="105"/>
      <c r="DF683" s="105"/>
      <c r="DG683" s="105"/>
      <c r="DH683" s="105"/>
      <c r="DI683" s="105"/>
      <c r="DJ683" s="105"/>
      <c r="DK683" s="105"/>
      <c r="DL683" s="105"/>
      <c r="DM683" s="105"/>
      <c r="DN683" s="105"/>
      <c r="DO683" s="105"/>
      <c r="DP683" s="105"/>
      <c r="DQ683" s="105"/>
      <c r="DR683" s="105"/>
      <c r="DS683" s="105"/>
      <c r="DT683" s="105"/>
      <c r="DU683" s="105"/>
      <c r="DV683" s="105"/>
      <c r="DW683" s="105"/>
      <c r="DX683" s="105"/>
      <c r="DY683" s="105"/>
      <c r="DZ683" s="105"/>
      <c r="EA683" s="105"/>
      <c r="EB683" s="105"/>
      <c r="EC683" s="105"/>
      <c r="ED683" s="105"/>
      <c r="EE683" s="105"/>
      <c r="EF683" s="105"/>
      <c r="EG683" s="105"/>
      <c r="EH683" s="105"/>
      <c r="EI683" s="105"/>
      <c r="EJ683" s="105"/>
      <c r="EK683" s="105"/>
      <c r="EL683" s="105"/>
      <c r="EM683" s="105"/>
      <c r="EN683" s="105"/>
      <c r="EO683" s="105"/>
      <c r="EP683" s="105"/>
      <c r="EQ683" s="105"/>
      <c r="ER683" s="105"/>
      <c r="ES683" s="105"/>
      <c r="ET683" s="105"/>
      <c r="EU683" s="105"/>
      <c r="EV683" s="105"/>
      <c r="EW683" s="105"/>
      <c r="EX683" s="105"/>
      <c r="EY683" s="105"/>
      <c r="EZ683" s="105"/>
      <c r="FA683" s="105"/>
      <c r="FB683" s="105"/>
      <c r="FC683" s="105"/>
      <c r="FD683" s="105"/>
      <c r="FE683" s="105"/>
      <c r="FF683" s="105"/>
      <c r="FG683" s="105"/>
      <c r="FH683" s="105"/>
      <c r="FI683" s="105"/>
      <c r="FJ683" s="105"/>
      <c r="FK683" s="105"/>
      <c r="FL683" s="105"/>
      <c r="FM683" s="105"/>
      <c r="FN683" s="105"/>
      <c r="FO683" s="105"/>
      <c r="FP683" s="105"/>
      <c r="FQ683" s="105"/>
      <c r="FR683" s="105"/>
      <c r="FS683" s="105"/>
      <c r="FT683" s="105"/>
      <c r="FU683" s="105"/>
      <c r="FV683" s="105"/>
      <c r="FW683" s="105"/>
      <c r="FX683" s="105"/>
      <c r="FY683" s="105"/>
      <c r="FZ683" s="105"/>
      <c r="GA683" s="105"/>
      <c r="GB683" s="105"/>
      <c r="GC683" s="105"/>
      <c r="GD683" s="105"/>
      <c r="GE683" s="105"/>
      <c r="GF683" s="105"/>
      <c r="GG683" s="105"/>
      <c r="GH683" s="105"/>
      <c r="GI683" s="105"/>
      <c r="GJ683" s="105"/>
      <c r="GK683" s="105"/>
      <c r="GL683" s="105"/>
      <c r="GM683" s="105"/>
      <c r="GN683" s="105"/>
      <c r="GO683" s="105"/>
      <c r="GP683" s="105"/>
      <c r="GQ683" s="105"/>
      <c r="GR683" s="105"/>
      <c r="GS683" s="105"/>
      <c r="GT683" s="105"/>
      <c r="GU683" s="105"/>
      <c r="GV683" s="105"/>
      <c r="GW683" s="105"/>
      <c r="GX683" s="105"/>
      <c r="GY683" s="105"/>
      <c r="GZ683" s="105"/>
      <c r="HA683" s="105"/>
      <c r="HB683" s="105"/>
      <c r="HC683" s="105"/>
      <c r="HD683" s="105"/>
      <c r="HE683" s="105"/>
      <c r="HF683" s="105"/>
      <c r="HG683" s="105"/>
      <c r="HH683" s="105"/>
      <c r="HI683" s="105"/>
      <c r="HJ683" s="105"/>
      <c r="HK683" s="105"/>
      <c r="HL683" s="105"/>
      <c r="HM683" s="105"/>
      <c r="HN683" s="105"/>
      <c r="HO683" s="105"/>
      <c r="HP683" s="105"/>
      <c r="HQ683" s="105"/>
      <c r="HR683" s="105"/>
      <c r="HS683" s="105"/>
      <c r="HT683" s="105"/>
      <c r="HU683" s="105"/>
      <c r="HV683" s="105"/>
      <c r="HW683" s="105"/>
      <c r="HX683" s="105"/>
      <c r="HY683" s="105"/>
      <c r="HZ683" s="105"/>
      <c r="IA683" s="105"/>
      <c r="IB683" s="105"/>
      <c r="IC683" s="105"/>
      <c r="ID683" s="105"/>
      <c r="IE683" s="105"/>
      <c r="IF683" s="105"/>
      <c r="IG683" s="105"/>
      <c r="IH683" s="105"/>
      <c r="II683" s="105"/>
      <c r="IJ683" s="105"/>
      <c r="IK683" s="105"/>
      <c r="IL683" s="105"/>
      <c r="IM683" s="105"/>
      <c r="IN683" s="105"/>
      <c r="IO683" s="105"/>
      <c r="IP683" s="105"/>
      <c r="IQ683" s="105"/>
      <c r="IR683" s="105"/>
      <c r="IS683" s="105"/>
    </row>
    <row r="684" spans="1:253">
      <c r="A684" s="116"/>
      <c r="B684" s="105"/>
      <c r="C684" s="116"/>
      <c r="D684" s="116"/>
      <c r="E684" s="116"/>
      <c r="F684" s="116"/>
      <c r="G684" s="116"/>
      <c r="H684" s="116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  <c r="BF684" s="105"/>
      <c r="BG684" s="105"/>
      <c r="BH684" s="105"/>
      <c r="BI684" s="105"/>
      <c r="BJ684" s="105"/>
      <c r="BK684" s="105"/>
      <c r="BL684" s="105"/>
      <c r="BM684" s="105"/>
      <c r="BN684" s="105"/>
      <c r="BO684" s="105"/>
      <c r="BP684" s="105"/>
      <c r="BQ684" s="105"/>
      <c r="BR684" s="105"/>
      <c r="BS684" s="105"/>
      <c r="BT684" s="105"/>
      <c r="BU684" s="105"/>
      <c r="BV684" s="105"/>
      <c r="BW684" s="105"/>
      <c r="BX684" s="105"/>
      <c r="BY684" s="105"/>
      <c r="BZ684" s="105"/>
      <c r="CA684" s="105"/>
      <c r="CB684" s="105"/>
      <c r="CC684" s="105"/>
      <c r="CD684" s="105"/>
      <c r="CE684" s="105"/>
      <c r="CF684" s="105"/>
      <c r="CG684" s="105"/>
      <c r="CH684" s="105"/>
      <c r="CI684" s="105"/>
      <c r="CJ684" s="105"/>
      <c r="CK684" s="105"/>
      <c r="CL684" s="105"/>
      <c r="CM684" s="105"/>
      <c r="CN684" s="105"/>
      <c r="CO684" s="105"/>
      <c r="CP684" s="105"/>
      <c r="CQ684" s="105"/>
      <c r="CR684" s="105"/>
      <c r="CS684" s="105"/>
      <c r="CT684" s="105"/>
      <c r="CU684" s="105"/>
      <c r="CV684" s="105"/>
      <c r="CW684" s="105"/>
      <c r="CX684" s="105"/>
      <c r="CY684" s="105"/>
      <c r="CZ684" s="105"/>
      <c r="DA684" s="105"/>
      <c r="DB684" s="105"/>
      <c r="DC684" s="105"/>
      <c r="DD684" s="105"/>
      <c r="DE684" s="105"/>
      <c r="DF684" s="105"/>
      <c r="DG684" s="105"/>
      <c r="DH684" s="105"/>
      <c r="DI684" s="105"/>
      <c r="DJ684" s="105"/>
      <c r="DK684" s="105"/>
      <c r="DL684" s="105"/>
      <c r="DM684" s="105"/>
      <c r="DN684" s="105"/>
      <c r="DO684" s="105"/>
      <c r="DP684" s="105"/>
      <c r="DQ684" s="105"/>
      <c r="DR684" s="105"/>
      <c r="DS684" s="105"/>
      <c r="DT684" s="105"/>
      <c r="DU684" s="105"/>
      <c r="DV684" s="105"/>
      <c r="DW684" s="105"/>
      <c r="DX684" s="105"/>
      <c r="DY684" s="105"/>
      <c r="DZ684" s="105"/>
      <c r="EA684" s="105"/>
      <c r="EB684" s="105"/>
      <c r="EC684" s="105"/>
      <c r="ED684" s="105"/>
      <c r="EE684" s="105"/>
      <c r="EF684" s="105"/>
      <c r="EG684" s="105"/>
      <c r="EH684" s="105"/>
      <c r="EI684" s="105"/>
      <c r="EJ684" s="105"/>
      <c r="EK684" s="105"/>
      <c r="EL684" s="105"/>
      <c r="EM684" s="105"/>
      <c r="EN684" s="105"/>
      <c r="EO684" s="105"/>
      <c r="EP684" s="105"/>
      <c r="EQ684" s="105"/>
      <c r="ER684" s="105"/>
      <c r="ES684" s="105"/>
      <c r="ET684" s="105"/>
      <c r="EU684" s="105"/>
      <c r="EV684" s="105"/>
      <c r="EW684" s="105"/>
      <c r="EX684" s="105"/>
      <c r="EY684" s="105"/>
      <c r="EZ684" s="105"/>
      <c r="FA684" s="105"/>
      <c r="FB684" s="105"/>
      <c r="FC684" s="105"/>
      <c r="FD684" s="105"/>
      <c r="FE684" s="105"/>
      <c r="FF684" s="105"/>
      <c r="FG684" s="105"/>
      <c r="FH684" s="105"/>
      <c r="FI684" s="105"/>
      <c r="FJ684" s="105"/>
      <c r="FK684" s="105"/>
      <c r="FL684" s="105"/>
      <c r="FM684" s="105"/>
      <c r="FN684" s="105"/>
      <c r="FO684" s="105"/>
      <c r="FP684" s="105"/>
      <c r="FQ684" s="105"/>
      <c r="FR684" s="105"/>
      <c r="FS684" s="105"/>
      <c r="FT684" s="105"/>
      <c r="FU684" s="105"/>
      <c r="FV684" s="105"/>
      <c r="FW684" s="105"/>
      <c r="FX684" s="105"/>
      <c r="FY684" s="105"/>
      <c r="FZ684" s="105"/>
      <c r="GA684" s="105"/>
      <c r="GB684" s="105"/>
      <c r="GC684" s="105"/>
      <c r="GD684" s="105"/>
      <c r="GE684" s="105"/>
      <c r="GF684" s="105"/>
      <c r="GG684" s="105"/>
      <c r="GH684" s="105"/>
      <c r="GI684" s="105"/>
      <c r="GJ684" s="105"/>
      <c r="GK684" s="105"/>
      <c r="GL684" s="105"/>
      <c r="GM684" s="105"/>
      <c r="GN684" s="105"/>
      <c r="GO684" s="105"/>
      <c r="GP684" s="105"/>
      <c r="GQ684" s="105"/>
      <c r="GR684" s="105"/>
      <c r="GS684" s="105"/>
      <c r="GT684" s="105"/>
      <c r="GU684" s="105"/>
      <c r="GV684" s="105"/>
      <c r="GW684" s="105"/>
      <c r="GX684" s="105"/>
      <c r="GY684" s="105"/>
      <c r="GZ684" s="105"/>
      <c r="HA684" s="105"/>
      <c r="HB684" s="105"/>
      <c r="HC684" s="105"/>
      <c r="HD684" s="105"/>
      <c r="HE684" s="105"/>
      <c r="HF684" s="105"/>
      <c r="HG684" s="105"/>
      <c r="HH684" s="105"/>
      <c r="HI684" s="105"/>
      <c r="HJ684" s="105"/>
      <c r="HK684" s="105"/>
      <c r="HL684" s="105"/>
      <c r="HM684" s="105"/>
      <c r="HN684" s="105"/>
      <c r="HO684" s="105"/>
      <c r="HP684" s="105"/>
      <c r="HQ684" s="105"/>
      <c r="HR684" s="105"/>
      <c r="HS684" s="105"/>
      <c r="HT684" s="105"/>
      <c r="HU684" s="105"/>
      <c r="HV684" s="105"/>
      <c r="HW684" s="105"/>
      <c r="HX684" s="105"/>
      <c r="HY684" s="105"/>
      <c r="HZ684" s="105"/>
      <c r="IA684" s="105"/>
      <c r="IB684" s="105"/>
      <c r="IC684" s="105"/>
      <c r="ID684" s="105"/>
      <c r="IE684" s="105"/>
      <c r="IF684" s="105"/>
      <c r="IG684" s="105"/>
      <c r="IH684" s="105"/>
      <c r="II684" s="105"/>
      <c r="IJ684" s="105"/>
      <c r="IK684" s="105"/>
      <c r="IL684" s="105"/>
      <c r="IM684" s="105"/>
      <c r="IN684" s="105"/>
      <c r="IO684" s="105"/>
      <c r="IP684" s="105"/>
      <c r="IQ684" s="105"/>
      <c r="IR684" s="105"/>
      <c r="IS684" s="105"/>
    </row>
    <row r="685" spans="1:253">
      <c r="A685" s="116"/>
      <c r="B685" s="105"/>
      <c r="C685" s="116"/>
      <c r="D685" s="116"/>
      <c r="E685" s="116"/>
      <c r="F685" s="116"/>
      <c r="G685" s="116"/>
      <c r="H685" s="116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05"/>
      <c r="BF685" s="105"/>
      <c r="BG685" s="105"/>
      <c r="BH685" s="105"/>
      <c r="BI685" s="105"/>
      <c r="BJ685" s="105"/>
      <c r="BK685" s="105"/>
      <c r="BL685" s="105"/>
      <c r="BM685" s="105"/>
      <c r="BN685" s="105"/>
      <c r="BO685" s="105"/>
      <c r="BP685" s="105"/>
      <c r="BQ685" s="105"/>
      <c r="BR685" s="105"/>
      <c r="BS685" s="105"/>
      <c r="BT685" s="105"/>
      <c r="BU685" s="105"/>
      <c r="BV685" s="105"/>
      <c r="BW685" s="105"/>
      <c r="BX685" s="105"/>
      <c r="BY685" s="105"/>
      <c r="BZ685" s="105"/>
      <c r="CA685" s="105"/>
      <c r="CB685" s="105"/>
      <c r="CC685" s="105"/>
      <c r="CD685" s="105"/>
      <c r="CE685" s="105"/>
      <c r="CF685" s="105"/>
      <c r="CG685" s="105"/>
      <c r="CH685" s="105"/>
      <c r="CI685" s="105"/>
      <c r="CJ685" s="105"/>
      <c r="CK685" s="105"/>
      <c r="CL685" s="105"/>
      <c r="CM685" s="105"/>
      <c r="CN685" s="105"/>
      <c r="CO685" s="105"/>
      <c r="CP685" s="105"/>
      <c r="CQ685" s="105"/>
      <c r="CR685" s="105"/>
      <c r="CS685" s="105"/>
      <c r="CT685" s="105"/>
      <c r="CU685" s="105"/>
      <c r="CV685" s="105"/>
      <c r="CW685" s="105"/>
      <c r="CX685" s="105"/>
      <c r="CY685" s="105"/>
      <c r="CZ685" s="105"/>
      <c r="DA685" s="105"/>
      <c r="DB685" s="105"/>
      <c r="DC685" s="105"/>
      <c r="DD685" s="105"/>
      <c r="DE685" s="105"/>
      <c r="DF685" s="105"/>
      <c r="DG685" s="105"/>
      <c r="DH685" s="105"/>
      <c r="DI685" s="105"/>
      <c r="DJ685" s="105"/>
      <c r="DK685" s="105"/>
      <c r="DL685" s="105"/>
      <c r="DM685" s="105"/>
      <c r="DN685" s="105"/>
      <c r="DO685" s="105"/>
      <c r="DP685" s="105"/>
      <c r="DQ685" s="105"/>
      <c r="DR685" s="105"/>
      <c r="DS685" s="105"/>
      <c r="DT685" s="105"/>
      <c r="DU685" s="105"/>
      <c r="DV685" s="105"/>
      <c r="DW685" s="105"/>
      <c r="DX685" s="105"/>
      <c r="DY685" s="105"/>
      <c r="DZ685" s="105"/>
      <c r="EA685" s="105"/>
      <c r="EB685" s="105"/>
      <c r="EC685" s="105"/>
      <c r="ED685" s="105"/>
      <c r="EE685" s="105"/>
      <c r="EF685" s="105"/>
      <c r="EG685" s="105"/>
      <c r="EH685" s="105"/>
      <c r="EI685" s="105"/>
      <c r="EJ685" s="105"/>
      <c r="EK685" s="105"/>
      <c r="EL685" s="105"/>
      <c r="EM685" s="105"/>
      <c r="EN685" s="105"/>
      <c r="EO685" s="105"/>
      <c r="EP685" s="105"/>
      <c r="EQ685" s="105"/>
      <c r="ER685" s="105"/>
      <c r="ES685" s="105"/>
      <c r="ET685" s="105"/>
      <c r="EU685" s="105"/>
      <c r="EV685" s="105"/>
      <c r="EW685" s="105"/>
      <c r="EX685" s="105"/>
      <c r="EY685" s="105"/>
      <c r="EZ685" s="105"/>
      <c r="FA685" s="105"/>
      <c r="FB685" s="105"/>
      <c r="FC685" s="105"/>
      <c r="FD685" s="105"/>
      <c r="FE685" s="105"/>
      <c r="FF685" s="105"/>
      <c r="FG685" s="105"/>
      <c r="FH685" s="105"/>
      <c r="FI685" s="105"/>
      <c r="FJ685" s="105"/>
      <c r="FK685" s="105"/>
      <c r="FL685" s="105"/>
      <c r="FM685" s="105"/>
      <c r="FN685" s="105"/>
      <c r="FO685" s="105"/>
      <c r="FP685" s="105"/>
      <c r="FQ685" s="105"/>
      <c r="FR685" s="105"/>
      <c r="FS685" s="105"/>
      <c r="FT685" s="105"/>
      <c r="FU685" s="105"/>
      <c r="FV685" s="105"/>
      <c r="FW685" s="105"/>
      <c r="FX685" s="105"/>
      <c r="FY685" s="105"/>
      <c r="FZ685" s="105"/>
      <c r="GA685" s="105"/>
      <c r="GB685" s="105"/>
      <c r="GC685" s="105"/>
      <c r="GD685" s="105"/>
      <c r="GE685" s="105"/>
      <c r="GF685" s="105"/>
      <c r="GG685" s="105"/>
      <c r="GH685" s="105"/>
      <c r="GI685" s="105"/>
      <c r="GJ685" s="105"/>
      <c r="GK685" s="105"/>
      <c r="GL685" s="105"/>
      <c r="GM685" s="105"/>
      <c r="GN685" s="105"/>
      <c r="GO685" s="105"/>
      <c r="GP685" s="105"/>
      <c r="GQ685" s="105"/>
      <c r="GR685" s="105"/>
      <c r="GS685" s="105"/>
      <c r="GT685" s="105"/>
      <c r="GU685" s="105"/>
      <c r="GV685" s="105"/>
      <c r="GW685" s="105"/>
      <c r="GX685" s="105"/>
      <c r="GY685" s="105"/>
      <c r="GZ685" s="105"/>
      <c r="HA685" s="105"/>
      <c r="HB685" s="105"/>
      <c r="HC685" s="105"/>
      <c r="HD685" s="105"/>
      <c r="HE685" s="105"/>
      <c r="HF685" s="105"/>
      <c r="HG685" s="105"/>
      <c r="HH685" s="105"/>
      <c r="HI685" s="105"/>
      <c r="HJ685" s="105"/>
      <c r="HK685" s="105"/>
      <c r="HL685" s="105"/>
      <c r="HM685" s="105"/>
      <c r="HN685" s="105"/>
      <c r="HO685" s="105"/>
      <c r="HP685" s="105"/>
      <c r="HQ685" s="105"/>
      <c r="HR685" s="105"/>
      <c r="HS685" s="105"/>
      <c r="HT685" s="105"/>
      <c r="HU685" s="105"/>
      <c r="HV685" s="105"/>
      <c r="HW685" s="105"/>
      <c r="HX685" s="105"/>
      <c r="HY685" s="105"/>
      <c r="HZ685" s="105"/>
      <c r="IA685" s="105"/>
      <c r="IB685" s="105"/>
      <c r="IC685" s="105"/>
      <c r="ID685" s="105"/>
      <c r="IE685" s="105"/>
      <c r="IF685" s="105"/>
      <c r="IG685" s="105"/>
      <c r="IH685" s="105"/>
      <c r="II685" s="105"/>
      <c r="IJ685" s="105"/>
      <c r="IK685" s="105"/>
      <c r="IL685" s="105"/>
      <c r="IM685" s="105"/>
      <c r="IN685" s="105"/>
      <c r="IO685" s="105"/>
      <c r="IP685" s="105"/>
      <c r="IQ685" s="105"/>
      <c r="IR685" s="105"/>
      <c r="IS685" s="105"/>
    </row>
    <row r="686" spans="1:253">
      <c r="A686" s="116"/>
      <c r="B686" s="105"/>
      <c r="C686" s="116"/>
      <c r="D686" s="116"/>
      <c r="E686" s="116"/>
      <c r="F686" s="116"/>
      <c r="G686" s="116"/>
      <c r="H686" s="116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  <c r="BF686" s="105"/>
      <c r="BG686" s="105"/>
      <c r="BH686" s="105"/>
      <c r="BI686" s="105"/>
      <c r="BJ686" s="105"/>
      <c r="BK686" s="105"/>
      <c r="BL686" s="105"/>
      <c r="BM686" s="105"/>
      <c r="BN686" s="105"/>
      <c r="BO686" s="105"/>
      <c r="BP686" s="105"/>
      <c r="BQ686" s="105"/>
      <c r="BR686" s="105"/>
      <c r="BS686" s="105"/>
      <c r="BT686" s="105"/>
      <c r="BU686" s="105"/>
      <c r="BV686" s="105"/>
      <c r="BW686" s="105"/>
      <c r="BX686" s="105"/>
      <c r="BY686" s="105"/>
      <c r="BZ686" s="105"/>
      <c r="CA686" s="105"/>
      <c r="CB686" s="105"/>
      <c r="CC686" s="105"/>
      <c r="CD686" s="105"/>
      <c r="CE686" s="105"/>
      <c r="CF686" s="105"/>
      <c r="CG686" s="105"/>
      <c r="CH686" s="105"/>
      <c r="CI686" s="105"/>
      <c r="CJ686" s="105"/>
      <c r="CK686" s="105"/>
      <c r="CL686" s="105"/>
      <c r="CM686" s="105"/>
      <c r="CN686" s="105"/>
      <c r="CO686" s="105"/>
      <c r="CP686" s="105"/>
      <c r="CQ686" s="105"/>
      <c r="CR686" s="105"/>
      <c r="CS686" s="105"/>
      <c r="CT686" s="105"/>
      <c r="CU686" s="105"/>
      <c r="CV686" s="105"/>
      <c r="CW686" s="105"/>
      <c r="CX686" s="105"/>
      <c r="CY686" s="105"/>
      <c r="CZ686" s="105"/>
      <c r="DA686" s="105"/>
      <c r="DB686" s="105"/>
      <c r="DC686" s="105"/>
      <c r="DD686" s="105"/>
      <c r="DE686" s="105"/>
      <c r="DF686" s="105"/>
      <c r="DG686" s="105"/>
      <c r="DH686" s="105"/>
      <c r="DI686" s="105"/>
      <c r="DJ686" s="105"/>
      <c r="DK686" s="105"/>
      <c r="DL686" s="105"/>
      <c r="DM686" s="105"/>
      <c r="DN686" s="105"/>
      <c r="DO686" s="105"/>
      <c r="DP686" s="105"/>
      <c r="DQ686" s="105"/>
      <c r="DR686" s="105"/>
      <c r="DS686" s="105"/>
      <c r="DT686" s="105"/>
      <c r="DU686" s="105"/>
      <c r="DV686" s="105"/>
      <c r="DW686" s="105"/>
      <c r="DX686" s="105"/>
      <c r="DY686" s="105"/>
      <c r="DZ686" s="105"/>
      <c r="EA686" s="105"/>
      <c r="EB686" s="105"/>
      <c r="EC686" s="105"/>
      <c r="ED686" s="105"/>
      <c r="EE686" s="105"/>
      <c r="EF686" s="105"/>
      <c r="EG686" s="105"/>
      <c r="EH686" s="105"/>
      <c r="EI686" s="105"/>
      <c r="EJ686" s="105"/>
      <c r="EK686" s="105"/>
      <c r="EL686" s="105"/>
      <c r="EM686" s="105"/>
      <c r="EN686" s="105"/>
      <c r="EO686" s="105"/>
      <c r="EP686" s="105"/>
      <c r="EQ686" s="105"/>
      <c r="ER686" s="105"/>
      <c r="ES686" s="105"/>
      <c r="ET686" s="105"/>
      <c r="EU686" s="105"/>
      <c r="EV686" s="105"/>
      <c r="EW686" s="105"/>
      <c r="EX686" s="105"/>
      <c r="EY686" s="105"/>
      <c r="EZ686" s="105"/>
      <c r="FA686" s="105"/>
      <c r="FB686" s="105"/>
      <c r="FC686" s="105"/>
      <c r="FD686" s="105"/>
      <c r="FE686" s="105"/>
      <c r="FF686" s="105"/>
      <c r="FG686" s="105"/>
      <c r="FH686" s="105"/>
      <c r="FI686" s="105"/>
      <c r="FJ686" s="105"/>
      <c r="FK686" s="105"/>
      <c r="FL686" s="105"/>
      <c r="FM686" s="105"/>
      <c r="FN686" s="105"/>
      <c r="FO686" s="105"/>
      <c r="FP686" s="105"/>
      <c r="FQ686" s="105"/>
      <c r="FR686" s="105"/>
      <c r="FS686" s="105"/>
      <c r="FT686" s="105"/>
      <c r="FU686" s="105"/>
      <c r="FV686" s="105"/>
      <c r="FW686" s="105"/>
      <c r="FX686" s="105"/>
      <c r="FY686" s="105"/>
      <c r="FZ686" s="105"/>
      <c r="GA686" s="105"/>
      <c r="GB686" s="105"/>
      <c r="GC686" s="105"/>
      <c r="GD686" s="105"/>
      <c r="GE686" s="105"/>
      <c r="GF686" s="105"/>
      <c r="GG686" s="105"/>
      <c r="GH686" s="105"/>
      <c r="GI686" s="105"/>
      <c r="GJ686" s="105"/>
      <c r="GK686" s="105"/>
      <c r="GL686" s="105"/>
      <c r="GM686" s="105"/>
      <c r="GN686" s="105"/>
      <c r="GO686" s="105"/>
      <c r="GP686" s="105"/>
      <c r="GQ686" s="105"/>
      <c r="GR686" s="105"/>
      <c r="GS686" s="105"/>
      <c r="GT686" s="105"/>
      <c r="GU686" s="105"/>
      <c r="GV686" s="105"/>
      <c r="GW686" s="105"/>
      <c r="GX686" s="105"/>
      <c r="GY686" s="105"/>
      <c r="GZ686" s="105"/>
      <c r="HA686" s="105"/>
      <c r="HB686" s="105"/>
      <c r="HC686" s="105"/>
      <c r="HD686" s="105"/>
      <c r="HE686" s="105"/>
      <c r="HF686" s="105"/>
      <c r="HG686" s="105"/>
      <c r="HH686" s="105"/>
      <c r="HI686" s="105"/>
      <c r="HJ686" s="105"/>
      <c r="HK686" s="105"/>
      <c r="HL686" s="105"/>
      <c r="HM686" s="105"/>
      <c r="HN686" s="105"/>
      <c r="HO686" s="105"/>
      <c r="HP686" s="105"/>
      <c r="HQ686" s="105"/>
      <c r="HR686" s="105"/>
      <c r="HS686" s="105"/>
      <c r="HT686" s="105"/>
      <c r="HU686" s="105"/>
      <c r="HV686" s="105"/>
      <c r="HW686" s="105"/>
      <c r="HX686" s="105"/>
      <c r="HY686" s="105"/>
      <c r="HZ686" s="105"/>
      <c r="IA686" s="105"/>
      <c r="IB686" s="105"/>
      <c r="IC686" s="105"/>
      <c r="ID686" s="105"/>
      <c r="IE686" s="105"/>
      <c r="IF686" s="105"/>
      <c r="IG686" s="105"/>
      <c r="IH686" s="105"/>
      <c r="II686" s="105"/>
      <c r="IJ686" s="105"/>
      <c r="IK686" s="105"/>
      <c r="IL686" s="105"/>
      <c r="IM686" s="105"/>
      <c r="IN686" s="105"/>
      <c r="IO686" s="105"/>
      <c r="IP686" s="105"/>
      <c r="IQ686" s="105"/>
      <c r="IR686" s="105"/>
      <c r="IS686" s="105"/>
    </row>
    <row r="687" spans="1:253">
      <c r="A687" s="116"/>
      <c r="B687" s="105"/>
      <c r="C687" s="116"/>
      <c r="D687" s="116"/>
      <c r="E687" s="116"/>
      <c r="F687" s="116"/>
      <c r="G687" s="116"/>
      <c r="H687" s="116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05"/>
      <c r="BF687" s="105"/>
      <c r="BG687" s="105"/>
      <c r="BH687" s="105"/>
      <c r="BI687" s="105"/>
      <c r="BJ687" s="105"/>
      <c r="BK687" s="105"/>
      <c r="BL687" s="105"/>
      <c r="BM687" s="105"/>
      <c r="BN687" s="105"/>
      <c r="BO687" s="105"/>
      <c r="BP687" s="105"/>
      <c r="BQ687" s="105"/>
      <c r="BR687" s="105"/>
      <c r="BS687" s="105"/>
      <c r="BT687" s="105"/>
      <c r="BU687" s="105"/>
      <c r="BV687" s="105"/>
      <c r="BW687" s="105"/>
      <c r="BX687" s="105"/>
      <c r="BY687" s="105"/>
      <c r="BZ687" s="105"/>
      <c r="CA687" s="105"/>
      <c r="CB687" s="105"/>
      <c r="CC687" s="105"/>
      <c r="CD687" s="105"/>
      <c r="CE687" s="105"/>
      <c r="CF687" s="105"/>
      <c r="CG687" s="105"/>
      <c r="CH687" s="105"/>
      <c r="CI687" s="105"/>
      <c r="CJ687" s="105"/>
      <c r="CK687" s="105"/>
      <c r="CL687" s="105"/>
      <c r="CM687" s="105"/>
      <c r="CN687" s="105"/>
      <c r="CO687" s="105"/>
      <c r="CP687" s="105"/>
      <c r="CQ687" s="105"/>
      <c r="CR687" s="105"/>
      <c r="CS687" s="105"/>
      <c r="CT687" s="105"/>
      <c r="CU687" s="105"/>
      <c r="CV687" s="105"/>
      <c r="CW687" s="105"/>
      <c r="CX687" s="105"/>
      <c r="CY687" s="105"/>
      <c r="CZ687" s="105"/>
      <c r="DA687" s="105"/>
      <c r="DB687" s="105"/>
      <c r="DC687" s="105"/>
      <c r="DD687" s="105"/>
      <c r="DE687" s="105"/>
      <c r="DF687" s="105"/>
      <c r="DG687" s="105"/>
      <c r="DH687" s="105"/>
      <c r="DI687" s="105"/>
      <c r="DJ687" s="105"/>
      <c r="DK687" s="105"/>
      <c r="DL687" s="105"/>
      <c r="DM687" s="105"/>
      <c r="DN687" s="105"/>
      <c r="DO687" s="105"/>
      <c r="DP687" s="105"/>
      <c r="DQ687" s="105"/>
      <c r="DR687" s="105"/>
      <c r="DS687" s="105"/>
      <c r="DT687" s="105"/>
      <c r="DU687" s="105"/>
      <c r="DV687" s="105"/>
      <c r="DW687" s="105"/>
      <c r="DX687" s="105"/>
      <c r="DY687" s="105"/>
      <c r="DZ687" s="105"/>
      <c r="EA687" s="105"/>
      <c r="EB687" s="105"/>
      <c r="EC687" s="105"/>
      <c r="ED687" s="105"/>
      <c r="EE687" s="105"/>
      <c r="EF687" s="105"/>
      <c r="EG687" s="105"/>
      <c r="EH687" s="105"/>
      <c r="EI687" s="105"/>
      <c r="EJ687" s="105"/>
      <c r="EK687" s="105"/>
      <c r="EL687" s="105"/>
      <c r="EM687" s="105"/>
      <c r="EN687" s="105"/>
      <c r="EO687" s="105"/>
      <c r="EP687" s="105"/>
      <c r="EQ687" s="105"/>
      <c r="ER687" s="105"/>
      <c r="ES687" s="105"/>
      <c r="ET687" s="105"/>
      <c r="EU687" s="105"/>
      <c r="EV687" s="105"/>
      <c r="EW687" s="105"/>
      <c r="EX687" s="105"/>
      <c r="EY687" s="105"/>
      <c r="EZ687" s="105"/>
      <c r="FA687" s="105"/>
      <c r="FB687" s="105"/>
      <c r="FC687" s="105"/>
      <c r="FD687" s="105"/>
      <c r="FE687" s="105"/>
      <c r="FF687" s="105"/>
      <c r="FG687" s="105"/>
      <c r="FH687" s="105"/>
      <c r="FI687" s="105"/>
      <c r="FJ687" s="105"/>
      <c r="FK687" s="105"/>
      <c r="FL687" s="105"/>
      <c r="FM687" s="105"/>
      <c r="FN687" s="105"/>
      <c r="FO687" s="105"/>
      <c r="FP687" s="105"/>
      <c r="FQ687" s="105"/>
      <c r="FR687" s="105"/>
      <c r="FS687" s="105"/>
      <c r="FT687" s="105"/>
      <c r="FU687" s="105"/>
      <c r="FV687" s="105"/>
      <c r="FW687" s="105"/>
      <c r="FX687" s="105"/>
      <c r="FY687" s="105"/>
      <c r="FZ687" s="105"/>
      <c r="GA687" s="105"/>
      <c r="GB687" s="105"/>
      <c r="GC687" s="105"/>
      <c r="GD687" s="105"/>
      <c r="GE687" s="105"/>
      <c r="GF687" s="105"/>
      <c r="GG687" s="105"/>
      <c r="GH687" s="105"/>
      <c r="GI687" s="105"/>
      <c r="GJ687" s="105"/>
      <c r="GK687" s="105"/>
      <c r="GL687" s="105"/>
      <c r="GM687" s="105"/>
      <c r="GN687" s="105"/>
      <c r="GO687" s="105"/>
      <c r="GP687" s="105"/>
      <c r="GQ687" s="105"/>
      <c r="GR687" s="105"/>
      <c r="GS687" s="105"/>
      <c r="GT687" s="105"/>
      <c r="GU687" s="105"/>
      <c r="GV687" s="105"/>
      <c r="GW687" s="105"/>
      <c r="GX687" s="105"/>
      <c r="GY687" s="105"/>
      <c r="GZ687" s="105"/>
      <c r="HA687" s="105"/>
      <c r="HB687" s="105"/>
      <c r="HC687" s="105"/>
      <c r="HD687" s="105"/>
      <c r="HE687" s="105"/>
      <c r="HF687" s="105"/>
      <c r="HG687" s="105"/>
      <c r="HH687" s="105"/>
      <c r="HI687" s="105"/>
      <c r="HJ687" s="105"/>
      <c r="HK687" s="105"/>
      <c r="HL687" s="105"/>
      <c r="HM687" s="105"/>
      <c r="HN687" s="105"/>
      <c r="HO687" s="105"/>
      <c r="HP687" s="105"/>
      <c r="HQ687" s="105"/>
      <c r="HR687" s="105"/>
      <c r="HS687" s="105"/>
      <c r="HT687" s="105"/>
      <c r="HU687" s="105"/>
      <c r="HV687" s="105"/>
      <c r="HW687" s="105"/>
      <c r="HX687" s="105"/>
      <c r="HY687" s="105"/>
      <c r="HZ687" s="105"/>
      <c r="IA687" s="105"/>
      <c r="IB687" s="105"/>
      <c r="IC687" s="105"/>
      <c r="ID687" s="105"/>
      <c r="IE687" s="105"/>
      <c r="IF687" s="105"/>
      <c r="IG687" s="105"/>
      <c r="IH687" s="105"/>
      <c r="II687" s="105"/>
      <c r="IJ687" s="105"/>
      <c r="IK687" s="105"/>
      <c r="IL687" s="105"/>
      <c r="IM687" s="105"/>
      <c r="IN687" s="105"/>
      <c r="IO687" s="105"/>
      <c r="IP687" s="105"/>
      <c r="IQ687" s="105"/>
      <c r="IR687" s="105"/>
      <c r="IS687" s="105"/>
    </row>
    <row r="688" spans="1:253">
      <c r="A688" s="116"/>
      <c r="B688" s="105"/>
      <c r="C688" s="116"/>
      <c r="D688" s="116"/>
      <c r="E688" s="116"/>
      <c r="F688" s="116"/>
      <c r="G688" s="116"/>
      <c r="H688" s="116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  <c r="BF688" s="105"/>
      <c r="BG688" s="105"/>
      <c r="BH688" s="105"/>
      <c r="BI688" s="105"/>
      <c r="BJ688" s="105"/>
      <c r="BK688" s="105"/>
      <c r="BL688" s="105"/>
      <c r="BM688" s="105"/>
      <c r="BN688" s="105"/>
      <c r="BO688" s="105"/>
      <c r="BP688" s="105"/>
      <c r="BQ688" s="105"/>
      <c r="BR688" s="105"/>
      <c r="BS688" s="105"/>
      <c r="BT688" s="105"/>
      <c r="BU688" s="105"/>
      <c r="BV688" s="105"/>
      <c r="BW688" s="105"/>
      <c r="BX688" s="105"/>
      <c r="BY688" s="105"/>
      <c r="BZ688" s="105"/>
      <c r="CA688" s="105"/>
      <c r="CB688" s="105"/>
      <c r="CC688" s="105"/>
      <c r="CD688" s="105"/>
      <c r="CE688" s="105"/>
      <c r="CF688" s="105"/>
      <c r="CG688" s="105"/>
      <c r="CH688" s="105"/>
      <c r="CI688" s="105"/>
      <c r="CJ688" s="105"/>
      <c r="CK688" s="105"/>
      <c r="CL688" s="105"/>
      <c r="CM688" s="105"/>
      <c r="CN688" s="105"/>
      <c r="CO688" s="105"/>
      <c r="CP688" s="105"/>
      <c r="CQ688" s="105"/>
      <c r="CR688" s="105"/>
      <c r="CS688" s="105"/>
      <c r="CT688" s="105"/>
      <c r="CU688" s="105"/>
      <c r="CV688" s="105"/>
      <c r="CW688" s="105"/>
      <c r="CX688" s="105"/>
      <c r="CY688" s="105"/>
      <c r="CZ688" s="105"/>
      <c r="DA688" s="105"/>
      <c r="DB688" s="105"/>
      <c r="DC688" s="105"/>
      <c r="DD688" s="105"/>
      <c r="DE688" s="105"/>
      <c r="DF688" s="105"/>
      <c r="DG688" s="105"/>
      <c r="DH688" s="105"/>
      <c r="DI688" s="105"/>
      <c r="DJ688" s="105"/>
      <c r="DK688" s="105"/>
      <c r="DL688" s="105"/>
      <c r="DM688" s="105"/>
      <c r="DN688" s="105"/>
      <c r="DO688" s="105"/>
      <c r="DP688" s="105"/>
      <c r="DQ688" s="105"/>
      <c r="DR688" s="105"/>
      <c r="DS688" s="105"/>
      <c r="DT688" s="105"/>
      <c r="DU688" s="105"/>
      <c r="DV688" s="105"/>
      <c r="DW688" s="105"/>
      <c r="DX688" s="105"/>
      <c r="DY688" s="105"/>
      <c r="DZ688" s="105"/>
      <c r="EA688" s="105"/>
      <c r="EB688" s="105"/>
      <c r="EC688" s="105"/>
      <c r="ED688" s="105"/>
      <c r="EE688" s="105"/>
      <c r="EF688" s="105"/>
      <c r="EG688" s="105"/>
      <c r="EH688" s="105"/>
      <c r="EI688" s="105"/>
      <c r="EJ688" s="105"/>
      <c r="EK688" s="105"/>
      <c r="EL688" s="105"/>
      <c r="EM688" s="105"/>
      <c r="EN688" s="105"/>
      <c r="EO688" s="105"/>
      <c r="EP688" s="105"/>
      <c r="EQ688" s="105"/>
      <c r="ER688" s="105"/>
      <c r="ES688" s="105"/>
      <c r="ET688" s="105"/>
      <c r="EU688" s="105"/>
      <c r="EV688" s="105"/>
      <c r="EW688" s="105"/>
      <c r="EX688" s="105"/>
      <c r="EY688" s="105"/>
      <c r="EZ688" s="105"/>
      <c r="FA688" s="105"/>
      <c r="FB688" s="105"/>
      <c r="FC688" s="105"/>
      <c r="FD688" s="105"/>
      <c r="FE688" s="105"/>
      <c r="FF688" s="105"/>
      <c r="FG688" s="105"/>
      <c r="FH688" s="105"/>
      <c r="FI688" s="105"/>
      <c r="FJ688" s="105"/>
      <c r="FK688" s="105"/>
      <c r="FL688" s="105"/>
      <c r="FM688" s="105"/>
      <c r="FN688" s="105"/>
      <c r="FO688" s="105"/>
      <c r="FP688" s="105"/>
      <c r="FQ688" s="105"/>
      <c r="FR688" s="105"/>
      <c r="FS688" s="105"/>
      <c r="FT688" s="105"/>
      <c r="FU688" s="105"/>
      <c r="FV688" s="105"/>
      <c r="FW688" s="105"/>
      <c r="FX688" s="105"/>
      <c r="FY688" s="105"/>
      <c r="FZ688" s="105"/>
      <c r="GA688" s="105"/>
      <c r="GB688" s="105"/>
      <c r="GC688" s="105"/>
      <c r="GD688" s="105"/>
      <c r="GE688" s="105"/>
      <c r="GF688" s="105"/>
      <c r="GG688" s="105"/>
      <c r="GH688" s="105"/>
      <c r="GI688" s="105"/>
      <c r="GJ688" s="105"/>
      <c r="GK688" s="105"/>
      <c r="GL688" s="105"/>
      <c r="GM688" s="105"/>
      <c r="GN688" s="105"/>
      <c r="GO688" s="105"/>
      <c r="GP688" s="105"/>
      <c r="GQ688" s="105"/>
      <c r="GR688" s="105"/>
      <c r="GS688" s="105"/>
      <c r="GT688" s="105"/>
      <c r="GU688" s="105"/>
      <c r="GV688" s="105"/>
      <c r="GW688" s="105"/>
      <c r="GX688" s="105"/>
      <c r="GY688" s="105"/>
      <c r="GZ688" s="105"/>
      <c r="HA688" s="105"/>
      <c r="HB688" s="105"/>
      <c r="HC688" s="105"/>
      <c r="HD688" s="105"/>
      <c r="HE688" s="105"/>
      <c r="HF688" s="105"/>
      <c r="HG688" s="105"/>
      <c r="HH688" s="105"/>
      <c r="HI688" s="105"/>
      <c r="HJ688" s="105"/>
      <c r="HK688" s="105"/>
      <c r="HL688" s="105"/>
      <c r="HM688" s="105"/>
      <c r="HN688" s="105"/>
      <c r="HO688" s="105"/>
      <c r="HP688" s="105"/>
      <c r="HQ688" s="105"/>
      <c r="HR688" s="105"/>
      <c r="HS688" s="105"/>
      <c r="HT688" s="105"/>
      <c r="HU688" s="105"/>
      <c r="HV688" s="105"/>
      <c r="HW688" s="105"/>
      <c r="HX688" s="105"/>
      <c r="HY688" s="105"/>
      <c r="HZ688" s="105"/>
      <c r="IA688" s="105"/>
      <c r="IB688" s="105"/>
      <c r="IC688" s="105"/>
      <c r="ID688" s="105"/>
      <c r="IE688" s="105"/>
      <c r="IF688" s="105"/>
      <c r="IG688" s="105"/>
      <c r="IH688" s="105"/>
      <c r="II688" s="105"/>
      <c r="IJ688" s="105"/>
      <c r="IK688" s="105"/>
      <c r="IL688" s="105"/>
      <c r="IM688" s="105"/>
      <c r="IN688" s="105"/>
      <c r="IO688" s="105"/>
      <c r="IP688" s="105"/>
      <c r="IQ688" s="105"/>
      <c r="IR688" s="105"/>
      <c r="IS688" s="105"/>
    </row>
    <row r="689" spans="1:253">
      <c r="A689" s="116"/>
      <c r="B689" s="105"/>
      <c r="C689" s="116"/>
      <c r="D689" s="116"/>
      <c r="E689" s="116"/>
      <c r="F689" s="116"/>
      <c r="G689" s="116"/>
      <c r="H689" s="116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05"/>
      <c r="BF689" s="105"/>
      <c r="BG689" s="105"/>
      <c r="BH689" s="105"/>
      <c r="BI689" s="105"/>
      <c r="BJ689" s="105"/>
      <c r="BK689" s="105"/>
      <c r="BL689" s="105"/>
      <c r="BM689" s="105"/>
      <c r="BN689" s="105"/>
      <c r="BO689" s="105"/>
      <c r="BP689" s="105"/>
      <c r="BQ689" s="105"/>
      <c r="BR689" s="105"/>
      <c r="BS689" s="105"/>
      <c r="BT689" s="105"/>
      <c r="BU689" s="105"/>
      <c r="BV689" s="105"/>
      <c r="BW689" s="105"/>
      <c r="BX689" s="105"/>
      <c r="BY689" s="105"/>
      <c r="BZ689" s="105"/>
      <c r="CA689" s="105"/>
      <c r="CB689" s="105"/>
      <c r="CC689" s="105"/>
      <c r="CD689" s="105"/>
      <c r="CE689" s="105"/>
      <c r="CF689" s="105"/>
      <c r="CG689" s="105"/>
      <c r="CH689" s="105"/>
      <c r="CI689" s="105"/>
      <c r="CJ689" s="105"/>
      <c r="CK689" s="105"/>
      <c r="CL689" s="105"/>
      <c r="CM689" s="105"/>
      <c r="CN689" s="105"/>
      <c r="CO689" s="105"/>
      <c r="CP689" s="105"/>
      <c r="CQ689" s="105"/>
      <c r="CR689" s="105"/>
      <c r="CS689" s="105"/>
      <c r="CT689" s="105"/>
      <c r="CU689" s="105"/>
      <c r="CV689" s="105"/>
      <c r="CW689" s="105"/>
      <c r="CX689" s="105"/>
      <c r="CY689" s="105"/>
      <c r="CZ689" s="105"/>
      <c r="DA689" s="105"/>
      <c r="DB689" s="105"/>
      <c r="DC689" s="105"/>
      <c r="DD689" s="105"/>
      <c r="DE689" s="105"/>
      <c r="DF689" s="105"/>
      <c r="DG689" s="105"/>
      <c r="DH689" s="105"/>
      <c r="DI689" s="105"/>
      <c r="DJ689" s="105"/>
      <c r="DK689" s="105"/>
      <c r="DL689" s="105"/>
      <c r="DM689" s="105"/>
      <c r="DN689" s="105"/>
      <c r="DO689" s="105"/>
      <c r="DP689" s="105"/>
      <c r="DQ689" s="105"/>
      <c r="DR689" s="105"/>
      <c r="DS689" s="105"/>
      <c r="DT689" s="105"/>
      <c r="DU689" s="105"/>
      <c r="DV689" s="105"/>
      <c r="DW689" s="105"/>
      <c r="DX689" s="105"/>
      <c r="DY689" s="105"/>
      <c r="DZ689" s="105"/>
      <c r="EA689" s="105"/>
      <c r="EB689" s="105"/>
      <c r="EC689" s="105"/>
      <c r="ED689" s="105"/>
      <c r="EE689" s="105"/>
      <c r="EF689" s="105"/>
      <c r="EG689" s="105"/>
      <c r="EH689" s="105"/>
      <c r="EI689" s="105"/>
      <c r="EJ689" s="105"/>
      <c r="EK689" s="105"/>
      <c r="EL689" s="105"/>
      <c r="EM689" s="105"/>
      <c r="EN689" s="105"/>
      <c r="EO689" s="105"/>
      <c r="EP689" s="105"/>
      <c r="EQ689" s="105"/>
      <c r="ER689" s="105"/>
      <c r="ES689" s="105"/>
      <c r="ET689" s="105"/>
      <c r="EU689" s="105"/>
      <c r="EV689" s="105"/>
      <c r="EW689" s="105"/>
      <c r="EX689" s="105"/>
      <c r="EY689" s="105"/>
      <c r="EZ689" s="105"/>
      <c r="FA689" s="105"/>
      <c r="FB689" s="105"/>
      <c r="FC689" s="105"/>
      <c r="FD689" s="105"/>
      <c r="FE689" s="105"/>
      <c r="FF689" s="105"/>
      <c r="FG689" s="105"/>
      <c r="FH689" s="105"/>
      <c r="FI689" s="105"/>
      <c r="FJ689" s="105"/>
      <c r="FK689" s="105"/>
      <c r="FL689" s="105"/>
      <c r="FM689" s="105"/>
      <c r="FN689" s="105"/>
      <c r="FO689" s="105"/>
      <c r="FP689" s="105"/>
      <c r="FQ689" s="105"/>
      <c r="FR689" s="105"/>
      <c r="FS689" s="105"/>
      <c r="FT689" s="105"/>
      <c r="FU689" s="105"/>
      <c r="FV689" s="105"/>
      <c r="FW689" s="105"/>
      <c r="FX689" s="105"/>
      <c r="FY689" s="105"/>
      <c r="FZ689" s="105"/>
      <c r="GA689" s="105"/>
      <c r="GB689" s="105"/>
      <c r="GC689" s="105"/>
      <c r="GD689" s="105"/>
      <c r="GE689" s="105"/>
      <c r="GF689" s="105"/>
      <c r="GG689" s="105"/>
      <c r="GH689" s="105"/>
      <c r="GI689" s="105"/>
      <c r="GJ689" s="105"/>
      <c r="GK689" s="105"/>
      <c r="GL689" s="105"/>
      <c r="GM689" s="105"/>
      <c r="GN689" s="105"/>
      <c r="GO689" s="105"/>
      <c r="GP689" s="105"/>
      <c r="GQ689" s="105"/>
      <c r="GR689" s="105"/>
      <c r="GS689" s="105"/>
      <c r="GT689" s="105"/>
      <c r="GU689" s="105"/>
      <c r="GV689" s="105"/>
      <c r="GW689" s="105"/>
      <c r="GX689" s="105"/>
      <c r="GY689" s="105"/>
      <c r="GZ689" s="105"/>
      <c r="HA689" s="105"/>
      <c r="HB689" s="105"/>
      <c r="HC689" s="105"/>
      <c r="HD689" s="105"/>
      <c r="HE689" s="105"/>
      <c r="HF689" s="105"/>
      <c r="HG689" s="105"/>
      <c r="HH689" s="105"/>
      <c r="HI689" s="105"/>
      <c r="HJ689" s="105"/>
      <c r="HK689" s="105"/>
      <c r="HL689" s="105"/>
      <c r="HM689" s="105"/>
      <c r="HN689" s="105"/>
      <c r="HO689" s="105"/>
      <c r="HP689" s="105"/>
      <c r="HQ689" s="105"/>
      <c r="HR689" s="105"/>
      <c r="HS689" s="105"/>
      <c r="HT689" s="105"/>
      <c r="HU689" s="105"/>
      <c r="HV689" s="105"/>
      <c r="HW689" s="105"/>
      <c r="HX689" s="105"/>
      <c r="HY689" s="105"/>
      <c r="HZ689" s="105"/>
      <c r="IA689" s="105"/>
      <c r="IB689" s="105"/>
      <c r="IC689" s="105"/>
      <c r="ID689" s="105"/>
      <c r="IE689" s="105"/>
      <c r="IF689" s="105"/>
      <c r="IG689" s="105"/>
      <c r="IH689" s="105"/>
      <c r="II689" s="105"/>
      <c r="IJ689" s="105"/>
      <c r="IK689" s="105"/>
      <c r="IL689" s="105"/>
      <c r="IM689" s="105"/>
      <c r="IN689" s="105"/>
      <c r="IO689" s="105"/>
      <c r="IP689" s="105"/>
      <c r="IQ689" s="105"/>
      <c r="IR689" s="105"/>
      <c r="IS689" s="105"/>
    </row>
    <row r="690" spans="1:253">
      <c r="A690" s="116"/>
      <c r="B690" s="105"/>
      <c r="C690" s="116"/>
      <c r="D690" s="116"/>
      <c r="E690" s="116"/>
      <c r="F690" s="116"/>
      <c r="G690" s="116"/>
      <c r="H690" s="116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  <c r="BF690" s="105"/>
      <c r="BG690" s="105"/>
      <c r="BH690" s="105"/>
      <c r="BI690" s="105"/>
      <c r="BJ690" s="105"/>
      <c r="BK690" s="105"/>
      <c r="BL690" s="105"/>
      <c r="BM690" s="105"/>
      <c r="BN690" s="105"/>
      <c r="BO690" s="105"/>
      <c r="BP690" s="105"/>
      <c r="BQ690" s="105"/>
      <c r="BR690" s="105"/>
      <c r="BS690" s="105"/>
      <c r="BT690" s="105"/>
      <c r="BU690" s="105"/>
      <c r="BV690" s="105"/>
      <c r="BW690" s="105"/>
      <c r="BX690" s="105"/>
      <c r="BY690" s="105"/>
      <c r="BZ690" s="105"/>
      <c r="CA690" s="105"/>
      <c r="CB690" s="105"/>
      <c r="CC690" s="105"/>
      <c r="CD690" s="105"/>
      <c r="CE690" s="105"/>
      <c r="CF690" s="105"/>
      <c r="CG690" s="105"/>
      <c r="CH690" s="105"/>
      <c r="CI690" s="105"/>
      <c r="CJ690" s="105"/>
      <c r="CK690" s="105"/>
      <c r="CL690" s="105"/>
      <c r="CM690" s="105"/>
      <c r="CN690" s="105"/>
      <c r="CO690" s="105"/>
      <c r="CP690" s="105"/>
      <c r="CQ690" s="105"/>
      <c r="CR690" s="105"/>
      <c r="CS690" s="105"/>
      <c r="CT690" s="105"/>
      <c r="CU690" s="105"/>
      <c r="CV690" s="105"/>
      <c r="CW690" s="105"/>
      <c r="CX690" s="105"/>
      <c r="CY690" s="105"/>
      <c r="CZ690" s="105"/>
      <c r="DA690" s="105"/>
      <c r="DB690" s="105"/>
      <c r="DC690" s="105"/>
      <c r="DD690" s="105"/>
      <c r="DE690" s="105"/>
      <c r="DF690" s="105"/>
      <c r="DG690" s="105"/>
      <c r="DH690" s="105"/>
      <c r="DI690" s="105"/>
      <c r="DJ690" s="105"/>
      <c r="DK690" s="105"/>
      <c r="DL690" s="105"/>
      <c r="DM690" s="105"/>
      <c r="DN690" s="105"/>
      <c r="DO690" s="105"/>
      <c r="DP690" s="105"/>
      <c r="DQ690" s="105"/>
      <c r="DR690" s="105"/>
      <c r="DS690" s="105"/>
      <c r="DT690" s="105"/>
      <c r="DU690" s="105"/>
      <c r="DV690" s="105"/>
      <c r="DW690" s="105"/>
      <c r="DX690" s="105"/>
      <c r="DY690" s="105"/>
      <c r="DZ690" s="105"/>
      <c r="EA690" s="105"/>
      <c r="EB690" s="105"/>
      <c r="EC690" s="105"/>
      <c r="ED690" s="105"/>
      <c r="EE690" s="105"/>
      <c r="EF690" s="105"/>
      <c r="EG690" s="105"/>
      <c r="EH690" s="105"/>
      <c r="EI690" s="105"/>
      <c r="EJ690" s="105"/>
      <c r="EK690" s="105"/>
      <c r="EL690" s="105"/>
      <c r="EM690" s="105"/>
      <c r="EN690" s="105"/>
      <c r="EO690" s="105"/>
      <c r="EP690" s="105"/>
      <c r="EQ690" s="105"/>
      <c r="ER690" s="105"/>
      <c r="ES690" s="105"/>
      <c r="ET690" s="105"/>
      <c r="EU690" s="105"/>
      <c r="EV690" s="105"/>
      <c r="EW690" s="105"/>
      <c r="EX690" s="105"/>
      <c r="EY690" s="105"/>
      <c r="EZ690" s="105"/>
      <c r="FA690" s="105"/>
      <c r="FB690" s="105"/>
      <c r="FC690" s="105"/>
      <c r="FD690" s="105"/>
      <c r="FE690" s="105"/>
      <c r="FF690" s="105"/>
      <c r="FG690" s="105"/>
      <c r="FH690" s="105"/>
      <c r="FI690" s="105"/>
      <c r="FJ690" s="105"/>
      <c r="FK690" s="105"/>
      <c r="FL690" s="105"/>
      <c r="FM690" s="105"/>
      <c r="FN690" s="105"/>
      <c r="FO690" s="105"/>
      <c r="FP690" s="105"/>
      <c r="FQ690" s="105"/>
      <c r="FR690" s="105"/>
      <c r="FS690" s="105"/>
      <c r="FT690" s="105"/>
      <c r="FU690" s="105"/>
      <c r="FV690" s="105"/>
      <c r="FW690" s="105"/>
      <c r="FX690" s="105"/>
      <c r="FY690" s="105"/>
      <c r="FZ690" s="105"/>
      <c r="GA690" s="105"/>
      <c r="GB690" s="105"/>
      <c r="GC690" s="105"/>
      <c r="GD690" s="105"/>
      <c r="GE690" s="105"/>
      <c r="GF690" s="105"/>
      <c r="GG690" s="105"/>
      <c r="GH690" s="105"/>
      <c r="GI690" s="105"/>
      <c r="GJ690" s="105"/>
      <c r="GK690" s="105"/>
      <c r="GL690" s="105"/>
      <c r="GM690" s="105"/>
      <c r="GN690" s="105"/>
      <c r="GO690" s="105"/>
      <c r="GP690" s="105"/>
      <c r="GQ690" s="105"/>
      <c r="GR690" s="105"/>
      <c r="GS690" s="105"/>
      <c r="GT690" s="105"/>
      <c r="GU690" s="105"/>
      <c r="GV690" s="105"/>
      <c r="GW690" s="105"/>
      <c r="GX690" s="105"/>
      <c r="GY690" s="105"/>
      <c r="GZ690" s="105"/>
      <c r="HA690" s="105"/>
      <c r="HB690" s="105"/>
      <c r="HC690" s="105"/>
      <c r="HD690" s="105"/>
      <c r="HE690" s="105"/>
      <c r="HF690" s="105"/>
      <c r="HG690" s="105"/>
      <c r="HH690" s="105"/>
      <c r="HI690" s="105"/>
      <c r="HJ690" s="105"/>
      <c r="HK690" s="105"/>
      <c r="HL690" s="105"/>
      <c r="HM690" s="105"/>
      <c r="HN690" s="105"/>
      <c r="HO690" s="105"/>
      <c r="HP690" s="105"/>
      <c r="HQ690" s="105"/>
      <c r="HR690" s="105"/>
      <c r="HS690" s="105"/>
      <c r="HT690" s="105"/>
      <c r="HU690" s="105"/>
      <c r="HV690" s="105"/>
      <c r="HW690" s="105"/>
      <c r="HX690" s="105"/>
      <c r="HY690" s="105"/>
      <c r="HZ690" s="105"/>
      <c r="IA690" s="105"/>
      <c r="IB690" s="105"/>
      <c r="IC690" s="105"/>
      <c r="ID690" s="105"/>
      <c r="IE690" s="105"/>
      <c r="IF690" s="105"/>
      <c r="IG690" s="105"/>
      <c r="IH690" s="105"/>
      <c r="II690" s="105"/>
      <c r="IJ690" s="105"/>
      <c r="IK690" s="105"/>
      <c r="IL690" s="105"/>
      <c r="IM690" s="105"/>
      <c r="IN690" s="105"/>
      <c r="IO690" s="105"/>
      <c r="IP690" s="105"/>
      <c r="IQ690" s="105"/>
      <c r="IR690" s="105"/>
      <c r="IS690" s="105"/>
    </row>
    <row r="691" spans="1:253">
      <c r="A691" s="116"/>
      <c r="B691" s="105"/>
      <c r="C691" s="116"/>
      <c r="D691" s="116"/>
      <c r="E691" s="116"/>
      <c r="F691" s="116"/>
      <c r="G691" s="116"/>
      <c r="H691" s="116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  <c r="BF691" s="105"/>
      <c r="BG691" s="105"/>
      <c r="BH691" s="105"/>
      <c r="BI691" s="105"/>
      <c r="BJ691" s="105"/>
      <c r="BK691" s="105"/>
      <c r="BL691" s="105"/>
      <c r="BM691" s="105"/>
      <c r="BN691" s="105"/>
      <c r="BO691" s="105"/>
      <c r="BP691" s="105"/>
      <c r="BQ691" s="105"/>
      <c r="BR691" s="105"/>
      <c r="BS691" s="105"/>
      <c r="BT691" s="105"/>
      <c r="BU691" s="105"/>
      <c r="BV691" s="105"/>
      <c r="BW691" s="105"/>
      <c r="BX691" s="105"/>
      <c r="BY691" s="105"/>
      <c r="BZ691" s="105"/>
      <c r="CA691" s="105"/>
      <c r="CB691" s="105"/>
      <c r="CC691" s="105"/>
      <c r="CD691" s="105"/>
      <c r="CE691" s="105"/>
      <c r="CF691" s="105"/>
      <c r="CG691" s="105"/>
      <c r="CH691" s="105"/>
      <c r="CI691" s="105"/>
      <c r="CJ691" s="105"/>
      <c r="CK691" s="105"/>
      <c r="CL691" s="105"/>
      <c r="CM691" s="105"/>
      <c r="CN691" s="105"/>
      <c r="CO691" s="105"/>
      <c r="CP691" s="105"/>
      <c r="CQ691" s="105"/>
      <c r="CR691" s="105"/>
      <c r="CS691" s="105"/>
      <c r="CT691" s="105"/>
      <c r="CU691" s="105"/>
      <c r="CV691" s="105"/>
      <c r="CW691" s="105"/>
      <c r="CX691" s="105"/>
      <c r="CY691" s="105"/>
      <c r="CZ691" s="105"/>
      <c r="DA691" s="105"/>
      <c r="DB691" s="105"/>
      <c r="DC691" s="105"/>
      <c r="DD691" s="105"/>
      <c r="DE691" s="105"/>
      <c r="DF691" s="105"/>
      <c r="DG691" s="105"/>
      <c r="DH691" s="105"/>
      <c r="DI691" s="105"/>
      <c r="DJ691" s="105"/>
      <c r="DK691" s="105"/>
      <c r="DL691" s="105"/>
      <c r="DM691" s="105"/>
      <c r="DN691" s="105"/>
      <c r="DO691" s="105"/>
      <c r="DP691" s="105"/>
      <c r="DQ691" s="105"/>
      <c r="DR691" s="105"/>
      <c r="DS691" s="105"/>
      <c r="DT691" s="105"/>
      <c r="DU691" s="105"/>
      <c r="DV691" s="105"/>
      <c r="DW691" s="105"/>
      <c r="DX691" s="105"/>
      <c r="DY691" s="105"/>
      <c r="DZ691" s="105"/>
      <c r="EA691" s="105"/>
      <c r="EB691" s="105"/>
      <c r="EC691" s="105"/>
      <c r="ED691" s="105"/>
      <c r="EE691" s="105"/>
      <c r="EF691" s="105"/>
      <c r="EG691" s="105"/>
      <c r="EH691" s="105"/>
      <c r="EI691" s="105"/>
      <c r="EJ691" s="105"/>
      <c r="EK691" s="105"/>
      <c r="EL691" s="105"/>
      <c r="EM691" s="105"/>
      <c r="EN691" s="105"/>
      <c r="EO691" s="105"/>
      <c r="EP691" s="105"/>
      <c r="EQ691" s="105"/>
      <c r="ER691" s="105"/>
      <c r="ES691" s="105"/>
      <c r="ET691" s="105"/>
      <c r="EU691" s="105"/>
      <c r="EV691" s="105"/>
      <c r="EW691" s="105"/>
      <c r="EX691" s="105"/>
      <c r="EY691" s="105"/>
      <c r="EZ691" s="105"/>
      <c r="FA691" s="105"/>
      <c r="FB691" s="105"/>
      <c r="FC691" s="105"/>
      <c r="FD691" s="105"/>
      <c r="FE691" s="105"/>
      <c r="FF691" s="105"/>
      <c r="FG691" s="105"/>
      <c r="FH691" s="105"/>
      <c r="FI691" s="105"/>
      <c r="FJ691" s="105"/>
      <c r="FK691" s="105"/>
      <c r="FL691" s="105"/>
      <c r="FM691" s="105"/>
      <c r="FN691" s="105"/>
      <c r="FO691" s="105"/>
      <c r="FP691" s="105"/>
      <c r="FQ691" s="105"/>
      <c r="FR691" s="105"/>
      <c r="FS691" s="105"/>
      <c r="FT691" s="105"/>
      <c r="FU691" s="105"/>
      <c r="FV691" s="105"/>
      <c r="FW691" s="105"/>
      <c r="FX691" s="105"/>
      <c r="FY691" s="105"/>
      <c r="FZ691" s="105"/>
      <c r="GA691" s="105"/>
      <c r="GB691" s="105"/>
      <c r="GC691" s="105"/>
      <c r="GD691" s="105"/>
      <c r="GE691" s="105"/>
      <c r="GF691" s="105"/>
      <c r="GG691" s="105"/>
      <c r="GH691" s="105"/>
      <c r="GI691" s="105"/>
      <c r="GJ691" s="105"/>
      <c r="GK691" s="105"/>
      <c r="GL691" s="105"/>
      <c r="GM691" s="105"/>
      <c r="GN691" s="105"/>
      <c r="GO691" s="105"/>
      <c r="GP691" s="105"/>
      <c r="GQ691" s="105"/>
      <c r="GR691" s="105"/>
      <c r="GS691" s="105"/>
      <c r="GT691" s="105"/>
      <c r="GU691" s="105"/>
      <c r="GV691" s="105"/>
      <c r="GW691" s="105"/>
      <c r="GX691" s="105"/>
      <c r="GY691" s="105"/>
      <c r="GZ691" s="105"/>
      <c r="HA691" s="105"/>
      <c r="HB691" s="105"/>
      <c r="HC691" s="105"/>
      <c r="HD691" s="105"/>
      <c r="HE691" s="105"/>
      <c r="HF691" s="105"/>
      <c r="HG691" s="105"/>
      <c r="HH691" s="105"/>
      <c r="HI691" s="105"/>
      <c r="HJ691" s="105"/>
      <c r="HK691" s="105"/>
      <c r="HL691" s="105"/>
      <c r="HM691" s="105"/>
      <c r="HN691" s="105"/>
      <c r="HO691" s="105"/>
      <c r="HP691" s="105"/>
      <c r="HQ691" s="105"/>
      <c r="HR691" s="105"/>
      <c r="HS691" s="105"/>
      <c r="HT691" s="105"/>
      <c r="HU691" s="105"/>
      <c r="HV691" s="105"/>
      <c r="HW691" s="105"/>
      <c r="HX691" s="105"/>
      <c r="HY691" s="105"/>
      <c r="HZ691" s="105"/>
      <c r="IA691" s="105"/>
      <c r="IB691" s="105"/>
      <c r="IC691" s="105"/>
      <c r="ID691" s="105"/>
      <c r="IE691" s="105"/>
      <c r="IF691" s="105"/>
      <c r="IG691" s="105"/>
      <c r="IH691" s="105"/>
      <c r="II691" s="105"/>
      <c r="IJ691" s="105"/>
      <c r="IK691" s="105"/>
      <c r="IL691" s="105"/>
      <c r="IM691" s="105"/>
      <c r="IN691" s="105"/>
      <c r="IO691" s="105"/>
      <c r="IP691" s="105"/>
      <c r="IQ691" s="105"/>
      <c r="IR691" s="105"/>
      <c r="IS691" s="105"/>
    </row>
    <row r="692" spans="1:253">
      <c r="A692" s="116"/>
      <c r="B692" s="105"/>
      <c r="C692" s="116"/>
      <c r="D692" s="116"/>
      <c r="E692" s="116"/>
      <c r="F692" s="116"/>
      <c r="G692" s="116"/>
      <c r="H692" s="116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  <c r="BF692" s="105"/>
      <c r="BG692" s="105"/>
      <c r="BH692" s="105"/>
      <c r="BI692" s="105"/>
      <c r="BJ692" s="105"/>
      <c r="BK692" s="105"/>
      <c r="BL692" s="105"/>
      <c r="BM692" s="105"/>
      <c r="BN692" s="105"/>
      <c r="BO692" s="105"/>
      <c r="BP692" s="105"/>
      <c r="BQ692" s="105"/>
      <c r="BR692" s="105"/>
      <c r="BS692" s="105"/>
      <c r="BT692" s="105"/>
      <c r="BU692" s="105"/>
      <c r="BV692" s="105"/>
      <c r="BW692" s="105"/>
      <c r="BX692" s="105"/>
      <c r="BY692" s="105"/>
      <c r="BZ692" s="105"/>
      <c r="CA692" s="105"/>
      <c r="CB692" s="105"/>
      <c r="CC692" s="105"/>
      <c r="CD692" s="105"/>
      <c r="CE692" s="105"/>
      <c r="CF692" s="105"/>
      <c r="CG692" s="105"/>
      <c r="CH692" s="105"/>
      <c r="CI692" s="105"/>
      <c r="CJ692" s="105"/>
      <c r="CK692" s="105"/>
      <c r="CL692" s="105"/>
      <c r="CM692" s="105"/>
      <c r="CN692" s="105"/>
      <c r="CO692" s="105"/>
      <c r="CP692" s="105"/>
      <c r="CQ692" s="105"/>
      <c r="CR692" s="105"/>
      <c r="CS692" s="105"/>
      <c r="CT692" s="105"/>
      <c r="CU692" s="105"/>
      <c r="CV692" s="105"/>
      <c r="CW692" s="105"/>
      <c r="CX692" s="105"/>
      <c r="CY692" s="105"/>
      <c r="CZ692" s="105"/>
      <c r="DA692" s="105"/>
      <c r="DB692" s="105"/>
      <c r="DC692" s="105"/>
      <c r="DD692" s="105"/>
      <c r="DE692" s="105"/>
      <c r="DF692" s="105"/>
      <c r="DG692" s="105"/>
      <c r="DH692" s="105"/>
      <c r="DI692" s="105"/>
      <c r="DJ692" s="105"/>
      <c r="DK692" s="105"/>
      <c r="DL692" s="105"/>
      <c r="DM692" s="105"/>
      <c r="DN692" s="105"/>
      <c r="DO692" s="105"/>
      <c r="DP692" s="105"/>
      <c r="DQ692" s="105"/>
      <c r="DR692" s="105"/>
      <c r="DS692" s="105"/>
      <c r="DT692" s="105"/>
      <c r="DU692" s="105"/>
      <c r="DV692" s="105"/>
      <c r="DW692" s="105"/>
      <c r="DX692" s="105"/>
      <c r="DY692" s="105"/>
      <c r="DZ692" s="105"/>
      <c r="EA692" s="105"/>
      <c r="EB692" s="105"/>
      <c r="EC692" s="105"/>
      <c r="ED692" s="105"/>
      <c r="EE692" s="105"/>
      <c r="EF692" s="105"/>
      <c r="EG692" s="105"/>
      <c r="EH692" s="105"/>
      <c r="EI692" s="105"/>
      <c r="EJ692" s="105"/>
      <c r="EK692" s="105"/>
      <c r="EL692" s="105"/>
      <c r="EM692" s="105"/>
      <c r="EN692" s="105"/>
      <c r="EO692" s="105"/>
      <c r="EP692" s="105"/>
      <c r="EQ692" s="105"/>
      <c r="ER692" s="105"/>
      <c r="ES692" s="105"/>
      <c r="ET692" s="105"/>
      <c r="EU692" s="105"/>
      <c r="EV692" s="105"/>
      <c r="EW692" s="105"/>
      <c r="EX692" s="105"/>
      <c r="EY692" s="105"/>
      <c r="EZ692" s="105"/>
      <c r="FA692" s="105"/>
      <c r="FB692" s="105"/>
      <c r="FC692" s="105"/>
      <c r="FD692" s="105"/>
      <c r="FE692" s="105"/>
      <c r="FF692" s="105"/>
      <c r="FG692" s="105"/>
      <c r="FH692" s="105"/>
      <c r="FI692" s="105"/>
      <c r="FJ692" s="105"/>
      <c r="FK692" s="105"/>
      <c r="FL692" s="105"/>
      <c r="FM692" s="105"/>
      <c r="FN692" s="105"/>
      <c r="FO692" s="105"/>
      <c r="FP692" s="105"/>
      <c r="FQ692" s="105"/>
      <c r="FR692" s="105"/>
      <c r="FS692" s="105"/>
      <c r="FT692" s="105"/>
      <c r="FU692" s="105"/>
      <c r="FV692" s="105"/>
      <c r="FW692" s="105"/>
      <c r="FX692" s="105"/>
      <c r="FY692" s="105"/>
      <c r="FZ692" s="105"/>
      <c r="GA692" s="105"/>
      <c r="GB692" s="105"/>
      <c r="GC692" s="105"/>
      <c r="GD692" s="105"/>
      <c r="GE692" s="105"/>
      <c r="GF692" s="105"/>
      <c r="GG692" s="105"/>
      <c r="GH692" s="105"/>
      <c r="GI692" s="105"/>
      <c r="GJ692" s="105"/>
      <c r="GK692" s="105"/>
      <c r="GL692" s="105"/>
      <c r="GM692" s="105"/>
      <c r="GN692" s="105"/>
      <c r="GO692" s="105"/>
      <c r="GP692" s="105"/>
      <c r="GQ692" s="105"/>
      <c r="GR692" s="105"/>
      <c r="GS692" s="105"/>
      <c r="GT692" s="105"/>
      <c r="GU692" s="105"/>
      <c r="GV692" s="105"/>
      <c r="GW692" s="105"/>
      <c r="GX692" s="105"/>
      <c r="GY692" s="105"/>
      <c r="GZ692" s="105"/>
      <c r="HA692" s="105"/>
      <c r="HB692" s="105"/>
      <c r="HC692" s="105"/>
      <c r="HD692" s="105"/>
      <c r="HE692" s="105"/>
      <c r="HF692" s="105"/>
      <c r="HG692" s="105"/>
      <c r="HH692" s="105"/>
      <c r="HI692" s="105"/>
      <c r="HJ692" s="105"/>
      <c r="HK692" s="105"/>
      <c r="HL692" s="105"/>
      <c r="HM692" s="105"/>
      <c r="HN692" s="105"/>
      <c r="HO692" s="105"/>
      <c r="HP692" s="105"/>
      <c r="HQ692" s="105"/>
      <c r="HR692" s="105"/>
      <c r="HS692" s="105"/>
      <c r="HT692" s="105"/>
      <c r="HU692" s="105"/>
      <c r="HV692" s="105"/>
      <c r="HW692" s="105"/>
      <c r="HX692" s="105"/>
      <c r="HY692" s="105"/>
      <c r="HZ692" s="105"/>
      <c r="IA692" s="105"/>
      <c r="IB692" s="105"/>
      <c r="IC692" s="105"/>
      <c r="ID692" s="105"/>
      <c r="IE692" s="105"/>
      <c r="IF692" s="105"/>
      <c r="IG692" s="105"/>
      <c r="IH692" s="105"/>
      <c r="II692" s="105"/>
      <c r="IJ692" s="105"/>
      <c r="IK692" s="105"/>
      <c r="IL692" s="105"/>
      <c r="IM692" s="105"/>
      <c r="IN692" s="105"/>
      <c r="IO692" s="105"/>
      <c r="IP692" s="105"/>
      <c r="IQ692" s="105"/>
      <c r="IR692" s="105"/>
      <c r="IS692" s="105"/>
    </row>
    <row r="693" spans="1:253">
      <c r="A693" s="116"/>
      <c r="B693" s="105"/>
      <c r="C693" s="116"/>
      <c r="D693" s="116"/>
      <c r="E693" s="116"/>
      <c r="F693" s="116"/>
      <c r="G693" s="116"/>
      <c r="H693" s="116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05"/>
      <c r="BF693" s="105"/>
      <c r="BG693" s="105"/>
      <c r="BH693" s="105"/>
      <c r="BI693" s="105"/>
      <c r="BJ693" s="105"/>
      <c r="BK693" s="105"/>
      <c r="BL693" s="105"/>
      <c r="BM693" s="105"/>
      <c r="BN693" s="105"/>
      <c r="BO693" s="105"/>
      <c r="BP693" s="105"/>
      <c r="BQ693" s="105"/>
      <c r="BR693" s="105"/>
      <c r="BS693" s="105"/>
      <c r="BT693" s="105"/>
      <c r="BU693" s="105"/>
      <c r="BV693" s="105"/>
      <c r="BW693" s="105"/>
      <c r="BX693" s="105"/>
      <c r="BY693" s="105"/>
      <c r="BZ693" s="105"/>
      <c r="CA693" s="105"/>
      <c r="CB693" s="105"/>
      <c r="CC693" s="105"/>
      <c r="CD693" s="105"/>
      <c r="CE693" s="105"/>
      <c r="CF693" s="105"/>
      <c r="CG693" s="105"/>
      <c r="CH693" s="105"/>
      <c r="CI693" s="105"/>
      <c r="CJ693" s="105"/>
      <c r="CK693" s="105"/>
      <c r="CL693" s="105"/>
      <c r="CM693" s="105"/>
      <c r="CN693" s="105"/>
      <c r="CO693" s="105"/>
      <c r="CP693" s="105"/>
      <c r="CQ693" s="105"/>
      <c r="CR693" s="105"/>
      <c r="CS693" s="105"/>
      <c r="CT693" s="105"/>
      <c r="CU693" s="105"/>
      <c r="CV693" s="105"/>
      <c r="CW693" s="105"/>
      <c r="CX693" s="105"/>
      <c r="CY693" s="105"/>
      <c r="CZ693" s="105"/>
      <c r="DA693" s="105"/>
      <c r="DB693" s="105"/>
      <c r="DC693" s="105"/>
      <c r="DD693" s="105"/>
      <c r="DE693" s="105"/>
      <c r="DF693" s="105"/>
      <c r="DG693" s="105"/>
      <c r="DH693" s="105"/>
      <c r="DI693" s="105"/>
      <c r="DJ693" s="105"/>
      <c r="DK693" s="105"/>
      <c r="DL693" s="105"/>
      <c r="DM693" s="105"/>
      <c r="DN693" s="105"/>
      <c r="DO693" s="105"/>
      <c r="DP693" s="105"/>
      <c r="DQ693" s="105"/>
      <c r="DR693" s="105"/>
      <c r="DS693" s="105"/>
      <c r="DT693" s="105"/>
      <c r="DU693" s="105"/>
      <c r="DV693" s="105"/>
      <c r="DW693" s="105"/>
      <c r="DX693" s="105"/>
      <c r="DY693" s="105"/>
      <c r="DZ693" s="105"/>
      <c r="EA693" s="105"/>
      <c r="EB693" s="105"/>
      <c r="EC693" s="105"/>
      <c r="ED693" s="105"/>
      <c r="EE693" s="105"/>
      <c r="EF693" s="105"/>
      <c r="EG693" s="105"/>
      <c r="EH693" s="105"/>
      <c r="EI693" s="105"/>
      <c r="EJ693" s="105"/>
      <c r="EK693" s="105"/>
      <c r="EL693" s="105"/>
      <c r="EM693" s="105"/>
      <c r="EN693" s="105"/>
      <c r="EO693" s="105"/>
      <c r="EP693" s="105"/>
      <c r="EQ693" s="105"/>
      <c r="ER693" s="105"/>
      <c r="ES693" s="105"/>
      <c r="ET693" s="105"/>
      <c r="EU693" s="105"/>
      <c r="EV693" s="105"/>
      <c r="EW693" s="105"/>
      <c r="EX693" s="105"/>
      <c r="EY693" s="105"/>
      <c r="EZ693" s="105"/>
      <c r="FA693" s="105"/>
      <c r="FB693" s="105"/>
      <c r="FC693" s="105"/>
      <c r="FD693" s="105"/>
      <c r="FE693" s="105"/>
      <c r="FF693" s="105"/>
      <c r="FG693" s="105"/>
      <c r="FH693" s="105"/>
      <c r="FI693" s="105"/>
      <c r="FJ693" s="105"/>
      <c r="FK693" s="105"/>
      <c r="FL693" s="105"/>
      <c r="FM693" s="105"/>
      <c r="FN693" s="105"/>
      <c r="FO693" s="105"/>
      <c r="FP693" s="105"/>
      <c r="FQ693" s="105"/>
      <c r="FR693" s="105"/>
      <c r="FS693" s="105"/>
      <c r="FT693" s="105"/>
      <c r="FU693" s="105"/>
      <c r="FV693" s="105"/>
      <c r="FW693" s="105"/>
      <c r="FX693" s="105"/>
      <c r="FY693" s="105"/>
      <c r="FZ693" s="105"/>
      <c r="GA693" s="105"/>
      <c r="GB693" s="105"/>
      <c r="GC693" s="105"/>
      <c r="GD693" s="105"/>
      <c r="GE693" s="105"/>
      <c r="GF693" s="105"/>
      <c r="GG693" s="105"/>
      <c r="GH693" s="105"/>
      <c r="GI693" s="105"/>
      <c r="GJ693" s="105"/>
      <c r="GK693" s="105"/>
      <c r="GL693" s="105"/>
      <c r="GM693" s="105"/>
      <c r="GN693" s="105"/>
      <c r="GO693" s="105"/>
      <c r="GP693" s="105"/>
      <c r="GQ693" s="105"/>
      <c r="GR693" s="105"/>
      <c r="GS693" s="105"/>
      <c r="GT693" s="105"/>
      <c r="GU693" s="105"/>
      <c r="GV693" s="105"/>
      <c r="GW693" s="105"/>
      <c r="GX693" s="105"/>
      <c r="GY693" s="105"/>
      <c r="GZ693" s="105"/>
      <c r="HA693" s="105"/>
      <c r="HB693" s="105"/>
      <c r="HC693" s="105"/>
      <c r="HD693" s="105"/>
      <c r="HE693" s="105"/>
      <c r="HF693" s="105"/>
      <c r="HG693" s="105"/>
      <c r="HH693" s="105"/>
      <c r="HI693" s="105"/>
      <c r="HJ693" s="105"/>
      <c r="HK693" s="105"/>
      <c r="HL693" s="105"/>
      <c r="HM693" s="105"/>
      <c r="HN693" s="105"/>
      <c r="HO693" s="105"/>
      <c r="HP693" s="105"/>
      <c r="HQ693" s="105"/>
      <c r="HR693" s="105"/>
      <c r="HS693" s="105"/>
      <c r="HT693" s="105"/>
      <c r="HU693" s="105"/>
      <c r="HV693" s="105"/>
      <c r="HW693" s="105"/>
      <c r="HX693" s="105"/>
      <c r="HY693" s="105"/>
      <c r="HZ693" s="105"/>
      <c r="IA693" s="105"/>
      <c r="IB693" s="105"/>
      <c r="IC693" s="105"/>
      <c r="ID693" s="105"/>
      <c r="IE693" s="105"/>
      <c r="IF693" s="105"/>
      <c r="IG693" s="105"/>
      <c r="IH693" s="105"/>
      <c r="II693" s="105"/>
      <c r="IJ693" s="105"/>
      <c r="IK693" s="105"/>
      <c r="IL693" s="105"/>
      <c r="IM693" s="105"/>
      <c r="IN693" s="105"/>
      <c r="IO693" s="105"/>
      <c r="IP693" s="105"/>
      <c r="IQ693" s="105"/>
      <c r="IR693" s="105"/>
      <c r="IS693" s="105"/>
    </row>
    <row r="694" spans="1:253">
      <c r="A694" s="116"/>
      <c r="B694" s="105"/>
      <c r="C694" s="116"/>
      <c r="D694" s="116"/>
      <c r="E694" s="116"/>
      <c r="F694" s="116"/>
      <c r="G694" s="116"/>
      <c r="H694" s="116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05"/>
      <c r="BF694" s="105"/>
      <c r="BG694" s="105"/>
      <c r="BH694" s="105"/>
      <c r="BI694" s="105"/>
      <c r="BJ694" s="105"/>
      <c r="BK694" s="105"/>
      <c r="BL694" s="105"/>
      <c r="BM694" s="105"/>
      <c r="BN694" s="105"/>
      <c r="BO694" s="105"/>
      <c r="BP694" s="105"/>
      <c r="BQ694" s="105"/>
      <c r="BR694" s="105"/>
      <c r="BS694" s="105"/>
      <c r="BT694" s="105"/>
      <c r="BU694" s="105"/>
      <c r="BV694" s="105"/>
      <c r="BW694" s="105"/>
      <c r="BX694" s="105"/>
      <c r="BY694" s="105"/>
      <c r="BZ694" s="105"/>
      <c r="CA694" s="105"/>
      <c r="CB694" s="105"/>
      <c r="CC694" s="105"/>
      <c r="CD694" s="105"/>
      <c r="CE694" s="105"/>
      <c r="CF694" s="105"/>
      <c r="CG694" s="105"/>
      <c r="CH694" s="105"/>
      <c r="CI694" s="105"/>
      <c r="CJ694" s="105"/>
      <c r="CK694" s="105"/>
      <c r="CL694" s="105"/>
      <c r="CM694" s="105"/>
      <c r="CN694" s="105"/>
      <c r="CO694" s="105"/>
      <c r="CP694" s="105"/>
      <c r="CQ694" s="105"/>
      <c r="CR694" s="105"/>
      <c r="CS694" s="105"/>
      <c r="CT694" s="105"/>
      <c r="CU694" s="105"/>
      <c r="CV694" s="105"/>
      <c r="CW694" s="105"/>
      <c r="CX694" s="105"/>
      <c r="CY694" s="105"/>
      <c r="CZ694" s="105"/>
      <c r="DA694" s="105"/>
      <c r="DB694" s="105"/>
      <c r="DC694" s="105"/>
      <c r="DD694" s="105"/>
      <c r="DE694" s="105"/>
      <c r="DF694" s="105"/>
      <c r="DG694" s="105"/>
      <c r="DH694" s="105"/>
      <c r="DI694" s="105"/>
      <c r="DJ694" s="105"/>
      <c r="DK694" s="105"/>
      <c r="DL694" s="105"/>
      <c r="DM694" s="105"/>
      <c r="DN694" s="105"/>
      <c r="DO694" s="105"/>
      <c r="DP694" s="105"/>
      <c r="DQ694" s="105"/>
      <c r="DR694" s="105"/>
      <c r="DS694" s="105"/>
      <c r="DT694" s="105"/>
      <c r="DU694" s="105"/>
      <c r="DV694" s="105"/>
      <c r="DW694" s="105"/>
      <c r="DX694" s="105"/>
      <c r="DY694" s="105"/>
      <c r="DZ694" s="105"/>
      <c r="EA694" s="105"/>
      <c r="EB694" s="105"/>
      <c r="EC694" s="105"/>
      <c r="ED694" s="105"/>
      <c r="EE694" s="105"/>
      <c r="EF694" s="105"/>
      <c r="EG694" s="105"/>
      <c r="EH694" s="105"/>
      <c r="EI694" s="105"/>
      <c r="EJ694" s="105"/>
      <c r="EK694" s="105"/>
      <c r="EL694" s="105"/>
      <c r="EM694" s="105"/>
      <c r="EN694" s="105"/>
      <c r="EO694" s="105"/>
      <c r="EP694" s="105"/>
      <c r="EQ694" s="105"/>
      <c r="ER694" s="105"/>
      <c r="ES694" s="105"/>
      <c r="ET694" s="105"/>
      <c r="EU694" s="105"/>
      <c r="EV694" s="105"/>
      <c r="EW694" s="105"/>
      <c r="EX694" s="105"/>
      <c r="EY694" s="105"/>
      <c r="EZ694" s="105"/>
      <c r="FA694" s="105"/>
      <c r="FB694" s="105"/>
      <c r="FC694" s="105"/>
      <c r="FD694" s="105"/>
      <c r="FE694" s="105"/>
      <c r="FF694" s="105"/>
      <c r="FG694" s="105"/>
      <c r="FH694" s="105"/>
      <c r="FI694" s="105"/>
      <c r="FJ694" s="105"/>
      <c r="FK694" s="105"/>
      <c r="FL694" s="105"/>
      <c r="FM694" s="105"/>
      <c r="FN694" s="105"/>
      <c r="FO694" s="105"/>
      <c r="FP694" s="105"/>
      <c r="FQ694" s="105"/>
      <c r="FR694" s="105"/>
      <c r="FS694" s="105"/>
      <c r="FT694" s="105"/>
      <c r="FU694" s="105"/>
      <c r="FV694" s="105"/>
      <c r="FW694" s="105"/>
      <c r="FX694" s="105"/>
      <c r="FY694" s="105"/>
      <c r="FZ694" s="105"/>
      <c r="GA694" s="105"/>
      <c r="GB694" s="105"/>
      <c r="GC694" s="105"/>
      <c r="GD694" s="105"/>
      <c r="GE694" s="105"/>
      <c r="GF694" s="105"/>
      <c r="GG694" s="105"/>
      <c r="GH694" s="105"/>
      <c r="GI694" s="105"/>
      <c r="GJ694" s="105"/>
      <c r="GK694" s="105"/>
      <c r="GL694" s="105"/>
      <c r="GM694" s="105"/>
      <c r="GN694" s="105"/>
      <c r="GO694" s="105"/>
      <c r="GP694" s="105"/>
      <c r="GQ694" s="105"/>
      <c r="GR694" s="105"/>
      <c r="GS694" s="105"/>
      <c r="GT694" s="105"/>
      <c r="GU694" s="105"/>
      <c r="GV694" s="105"/>
      <c r="GW694" s="105"/>
      <c r="GX694" s="105"/>
      <c r="GY694" s="105"/>
      <c r="GZ694" s="105"/>
      <c r="HA694" s="105"/>
      <c r="HB694" s="105"/>
      <c r="HC694" s="105"/>
      <c r="HD694" s="105"/>
      <c r="HE694" s="105"/>
      <c r="HF694" s="105"/>
      <c r="HG694" s="105"/>
      <c r="HH694" s="105"/>
      <c r="HI694" s="105"/>
      <c r="HJ694" s="105"/>
      <c r="HK694" s="105"/>
      <c r="HL694" s="105"/>
      <c r="HM694" s="105"/>
      <c r="HN694" s="105"/>
      <c r="HO694" s="105"/>
      <c r="HP694" s="105"/>
      <c r="HQ694" s="105"/>
      <c r="HR694" s="105"/>
      <c r="HS694" s="105"/>
      <c r="HT694" s="105"/>
      <c r="HU694" s="105"/>
      <c r="HV694" s="105"/>
      <c r="HW694" s="105"/>
      <c r="HX694" s="105"/>
      <c r="HY694" s="105"/>
      <c r="HZ694" s="105"/>
      <c r="IA694" s="105"/>
      <c r="IB694" s="105"/>
      <c r="IC694" s="105"/>
      <c r="ID694" s="105"/>
      <c r="IE694" s="105"/>
      <c r="IF694" s="105"/>
      <c r="IG694" s="105"/>
      <c r="IH694" s="105"/>
      <c r="II694" s="105"/>
      <c r="IJ694" s="105"/>
      <c r="IK694" s="105"/>
      <c r="IL694" s="105"/>
      <c r="IM694" s="105"/>
      <c r="IN694" s="105"/>
      <c r="IO694" s="105"/>
      <c r="IP694" s="105"/>
      <c r="IQ694" s="105"/>
      <c r="IR694" s="105"/>
      <c r="IS694" s="105"/>
    </row>
    <row r="695" spans="1:253">
      <c r="A695" s="116"/>
      <c r="B695" s="105"/>
      <c r="C695" s="116"/>
      <c r="D695" s="116"/>
      <c r="E695" s="116"/>
      <c r="F695" s="116"/>
      <c r="G695" s="116"/>
      <c r="H695" s="116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5"/>
      <c r="BE695" s="105"/>
      <c r="BF695" s="105"/>
      <c r="BG695" s="105"/>
      <c r="BH695" s="105"/>
      <c r="BI695" s="105"/>
      <c r="BJ695" s="105"/>
      <c r="BK695" s="105"/>
      <c r="BL695" s="105"/>
      <c r="BM695" s="105"/>
      <c r="BN695" s="105"/>
      <c r="BO695" s="105"/>
      <c r="BP695" s="105"/>
      <c r="BQ695" s="105"/>
      <c r="BR695" s="105"/>
      <c r="BS695" s="105"/>
      <c r="BT695" s="105"/>
      <c r="BU695" s="105"/>
      <c r="BV695" s="105"/>
      <c r="BW695" s="105"/>
      <c r="BX695" s="105"/>
      <c r="BY695" s="105"/>
      <c r="BZ695" s="105"/>
      <c r="CA695" s="105"/>
      <c r="CB695" s="105"/>
      <c r="CC695" s="105"/>
      <c r="CD695" s="105"/>
      <c r="CE695" s="105"/>
      <c r="CF695" s="105"/>
      <c r="CG695" s="105"/>
      <c r="CH695" s="105"/>
      <c r="CI695" s="105"/>
      <c r="CJ695" s="105"/>
      <c r="CK695" s="105"/>
      <c r="CL695" s="105"/>
      <c r="CM695" s="105"/>
      <c r="CN695" s="105"/>
      <c r="CO695" s="105"/>
      <c r="CP695" s="105"/>
      <c r="CQ695" s="105"/>
      <c r="CR695" s="105"/>
      <c r="CS695" s="105"/>
      <c r="CT695" s="105"/>
      <c r="CU695" s="105"/>
      <c r="CV695" s="105"/>
      <c r="CW695" s="105"/>
      <c r="CX695" s="105"/>
      <c r="CY695" s="105"/>
      <c r="CZ695" s="105"/>
      <c r="DA695" s="105"/>
      <c r="DB695" s="105"/>
      <c r="DC695" s="105"/>
      <c r="DD695" s="105"/>
      <c r="DE695" s="105"/>
      <c r="DF695" s="105"/>
      <c r="DG695" s="105"/>
      <c r="DH695" s="105"/>
      <c r="DI695" s="105"/>
      <c r="DJ695" s="105"/>
      <c r="DK695" s="105"/>
      <c r="DL695" s="105"/>
      <c r="DM695" s="105"/>
      <c r="DN695" s="105"/>
      <c r="DO695" s="105"/>
      <c r="DP695" s="105"/>
      <c r="DQ695" s="105"/>
      <c r="DR695" s="105"/>
      <c r="DS695" s="105"/>
      <c r="DT695" s="105"/>
      <c r="DU695" s="105"/>
      <c r="DV695" s="105"/>
      <c r="DW695" s="105"/>
      <c r="DX695" s="105"/>
      <c r="DY695" s="105"/>
      <c r="DZ695" s="105"/>
      <c r="EA695" s="105"/>
      <c r="EB695" s="105"/>
      <c r="EC695" s="105"/>
      <c r="ED695" s="105"/>
      <c r="EE695" s="105"/>
      <c r="EF695" s="105"/>
      <c r="EG695" s="105"/>
      <c r="EH695" s="105"/>
      <c r="EI695" s="105"/>
      <c r="EJ695" s="105"/>
      <c r="EK695" s="105"/>
      <c r="EL695" s="105"/>
      <c r="EM695" s="105"/>
      <c r="EN695" s="105"/>
      <c r="EO695" s="105"/>
      <c r="EP695" s="105"/>
      <c r="EQ695" s="105"/>
      <c r="ER695" s="105"/>
      <c r="ES695" s="105"/>
      <c r="ET695" s="105"/>
      <c r="EU695" s="105"/>
      <c r="EV695" s="105"/>
      <c r="EW695" s="105"/>
      <c r="EX695" s="105"/>
      <c r="EY695" s="105"/>
      <c r="EZ695" s="105"/>
      <c r="FA695" s="105"/>
      <c r="FB695" s="105"/>
      <c r="FC695" s="105"/>
      <c r="FD695" s="105"/>
      <c r="FE695" s="105"/>
      <c r="FF695" s="105"/>
      <c r="FG695" s="105"/>
      <c r="FH695" s="105"/>
      <c r="FI695" s="105"/>
      <c r="FJ695" s="105"/>
      <c r="FK695" s="105"/>
      <c r="FL695" s="105"/>
      <c r="FM695" s="105"/>
      <c r="FN695" s="105"/>
      <c r="FO695" s="105"/>
      <c r="FP695" s="105"/>
      <c r="FQ695" s="105"/>
      <c r="FR695" s="105"/>
      <c r="FS695" s="105"/>
      <c r="FT695" s="105"/>
      <c r="FU695" s="105"/>
      <c r="FV695" s="105"/>
      <c r="FW695" s="105"/>
      <c r="FX695" s="105"/>
      <c r="FY695" s="105"/>
      <c r="FZ695" s="105"/>
      <c r="GA695" s="105"/>
      <c r="GB695" s="105"/>
      <c r="GC695" s="105"/>
      <c r="GD695" s="105"/>
      <c r="GE695" s="105"/>
      <c r="GF695" s="105"/>
      <c r="GG695" s="105"/>
      <c r="GH695" s="105"/>
      <c r="GI695" s="105"/>
      <c r="GJ695" s="105"/>
      <c r="GK695" s="105"/>
      <c r="GL695" s="105"/>
      <c r="GM695" s="105"/>
      <c r="GN695" s="105"/>
      <c r="GO695" s="105"/>
      <c r="GP695" s="105"/>
      <c r="GQ695" s="105"/>
      <c r="GR695" s="105"/>
      <c r="GS695" s="105"/>
      <c r="GT695" s="105"/>
      <c r="GU695" s="105"/>
      <c r="GV695" s="105"/>
      <c r="GW695" s="105"/>
      <c r="GX695" s="105"/>
      <c r="GY695" s="105"/>
      <c r="GZ695" s="105"/>
      <c r="HA695" s="105"/>
      <c r="HB695" s="105"/>
      <c r="HC695" s="105"/>
      <c r="HD695" s="105"/>
      <c r="HE695" s="105"/>
      <c r="HF695" s="105"/>
      <c r="HG695" s="105"/>
      <c r="HH695" s="105"/>
      <c r="HI695" s="105"/>
      <c r="HJ695" s="105"/>
      <c r="HK695" s="105"/>
      <c r="HL695" s="105"/>
      <c r="HM695" s="105"/>
      <c r="HN695" s="105"/>
      <c r="HO695" s="105"/>
      <c r="HP695" s="105"/>
      <c r="HQ695" s="105"/>
      <c r="HR695" s="105"/>
      <c r="HS695" s="105"/>
      <c r="HT695" s="105"/>
      <c r="HU695" s="105"/>
      <c r="HV695" s="105"/>
      <c r="HW695" s="105"/>
      <c r="HX695" s="105"/>
      <c r="HY695" s="105"/>
      <c r="HZ695" s="105"/>
      <c r="IA695" s="105"/>
      <c r="IB695" s="105"/>
      <c r="IC695" s="105"/>
      <c r="ID695" s="105"/>
      <c r="IE695" s="105"/>
      <c r="IF695" s="105"/>
      <c r="IG695" s="105"/>
      <c r="IH695" s="105"/>
      <c r="II695" s="105"/>
      <c r="IJ695" s="105"/>
      <c r="IK695" s="105"/>
      <c r="IL695" s="105"/>
      <c r="IM695" s="105"/>
      <c r="IN695" s="105"/>
      <c r="IO695" s="105"/>
      <c r="IP695" s="105"/>
      <c r="IQ695" s="105"/>
      <c r="IR695" s="105"/>
      <c r="IS695" s="105"/>
    </row>
    <row r="696" spans="1:253">
      <c r="A696" s="116"/>
      <c r="B696" s="105"/>
      <c r="C696" s="116"/>
      <c r="D696" s="116"/>
      <c r="E696" s="116"/>
      <c r="F696" s="116"/>
      <c r="G696" s="116"/>
      <c r="H696" s="116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  <c r="BF696" s="105"/>
      <c r="BG696" s="105"/>
      <c r="BH696" s="105"/>
      <c r="BI696" s="105"/>
      <c r="BJ696" s="105"/>
      <c r="BK696" s="105"/>
      <c r="BL696" s="105"/>
      <c r="BM696" s="105"/>
      <c r="BN696" s="105"/>
      <c r="BO696" s="105"/>
      <c r="BP696" s="105"/>
      <c r="BQ696" s="105"/>
      <c r="BR696" s="105"/>
      <c r="BS696" s="105"/>
      <c r="BT696" s="105"/>
      <c r="BU696" s="105"/>
      <c r="BV696" s="105"/>
      <c r="BW696" s="105"/>
      <c r="BX696" s="105"/>
      <c r="BY696" s="105"/>
      <c r="BZ696" s="105"/>
      <c r="CA696" s="105"/>
      <c r="CB696" s="105"/>
      <c r="CC696" s="105"/>
      <c r="CD696" s="105"/>
      <c r="CE696" s="105"/>
      <c r="CF696" s="105"/>
      <c r="CG696" s="105"/>
      <c r="CH696" s="105"/>
      <c r="CI696" s="105"/>
      <c r="CJ696" s="105"/>
      <c r="CK696" s="105"/>
      <c r="CL696" s="105"/>
      <c r="CM696" s="105"/>
      <c r="CN696" s="105"/>
      <c r="CO696" s="105"/>
      <c r="CP696" s="105"/>
      <c r="CQ696" s="105"/>
      <c r="CR696" s="105"/>
      <c r="CS696" s="105"/>
      <c r="CT696" s="105"/>
      <c r="CU696" s="105"/>
      <c r="CV696" s="105"/>
      <c r="CW696" s="105"/>
      <c r="CX696" s="105"/>
      <c r="CY696" s="105"/>
      <c r="CZ696" s="105"/>
      <c r="DA696" s="105"/>
      <c r="DB696" s="105"/>
      <c r="DC696" s="105"/>
      <c r="DD696" s="105"/>
      <c r="DE696" s="105"/>
      <c r="DF696" s="105"/>
      <c r="DG696" s="105"/>
      <c r="DH696" s="105"/>
      <c r="DI696" s="105"/>
      <c r="DJ696" s="105"/>
      <c r="DK696" s="105"/>
      <c r="DL696" s="105"/>
      <c r="DM696" s="105"/>
      <c r="DN696" s="105"/>
      <c r="DO696" s="105"/>
      <c r="DP696" s="105"/>
      <c r="DQ696" s="105"/>
      <c r="DR696" s="105"/>
      <c r="DS696" s="105"/>
      <c r="DT696" s="105"/>
      <c r="DU696" s="105"/>
      <c r="DV696" s="105"/>
      <c r="DW696" s="105"/>
      <c r="DX696" s="105"/>
      <c r="DY696" s="105"/>
      <c r="DZ696" s="105"/>
      <c r="EA696" s="105"/>
      <c r="EB696" s="105"/>
      <c r="EC696" s="105"/>
      <c r="ED696" s="105"/>
      <c r="EE696" s="105"/>
      <c r="EF696" s="105"/>
      <c r="EG696" s="105"/>
      <c r="EH696" s="105"/>
      <c r="EI696" s="105"/>
      <c r="EJ696" s="105"/>
      <c r="EK696" s="105"/>
      <c r="EL696" s="105"/>
      <c r="EM696" s="105"/>
      <c r="EN696" s="105"/>
      <c r="EO696" s="105"/>
      <c r="EP696" s="105"/>
      <c r="EQ696" s="105"/>
      <c r="ER696" s="105"/>
      <c r="ES696" s="105"/>
      <c r="ET696" s="105"/>
      <c r="EU696" s="105"/>
      <c r="EV696" s="105"/>
      <c r="EW696" s="105"/>
      <c r="EX696" s="105"/>
      <c r="EY696" s="105"/>
      <c r="EZ696" s="105"/>
      <c r="FA696" s="105"/>
      <c r="FB696" s="105"/>
      <c r="FC696" s="105"/>
      <c r="FD696" s="105"/>
      <c r="FE696" s="105"/>
      <c r="FF696" s="105"/>
      <c r="FG696" s="105"/>
      <c r="FH696" s="105"/>
      <c r="FI696" s="105"/>
      <c r="FJ696" s="105"/>
      <c r="FK696" s="105"/>
      <c r="FL696" s="105"/>
      <c r="FM696" s="105"/>
      <c r="FN696" s="105"/>
      <c r="FO696" s="105"/>
      <c r="FP696" s="105"/>
      <c r="FQ696" s="105"/>
      <c r="FR696" s="105"/>
      <c r="FS696" s="105"/>
      <c r="FT696" s="105"/>
      <c r="FU696" s="105"/>
      <c r="FV696" s="105"/>
      <c r="FW696" s="105"/>
      <c r="FX696" s="105"/>
      <c r="FY696" s="105"/>
      <c r="FZ696" s="105"/>
      <c r="GA696" s="105"/>
      <c r="GB696" s="105"/>
      <c r="GC696" s="105"/>
      <c r="GD696" s="105"/>
      <c r="GE696" s="105"/>
      <c r="GF696" s="105"/>
      <c r="GG696" s="105"/>
      <c r="GH696" s="105"/>
      <c r="GI696" s="105"/>
      <c r="GJ696" s="105"/>
      <c r="GK696" s="105"/>
      <c r="GL696" s="105"/>
      <c r="GM696" s="105"/>
      <c r="GN696" s="105"/>
      <c r="GO696" s="105"/>
      <c r="GP696" s="105"/>
      <c r="GQ696" s="105"/>
      <c r="GR696" s="105"/>
      <c r="GS696" s="105"/>
      <c r="GT696" s="105"/>
      <c r="GU696" s="105"/>
      <c r="GV696" s="105"/>
      <c r="GW696" s="105"/>
      <c r="GX696" s="105"/>
      <c r="GY696" s="105"/>
      <c r="GZ696" s="105"/>
      <c r="HA696" s="105"/>
      <c r="HB696" s="105"/>
      <c r="HC696" s="105"/>
      <c r="HD696" s="105"/>
      <c r="HE696" s="105"/>
      <c r="HF696" s="105"/>
      <c r="HG696" s="105"/>
      <c r="HH696" s="105"/>
      <c r="HI696" s="105"/>
      <c r="HJ696" s="105"/>
      <c r="HK696" s="105"/>
      <c r="HL696" s="105"/>
      <c r="HM696" s="105"/>
      <c r="HN696" s="105"/>
      <c r="HO696" s="105"/>
      <c r="HP696" s="105"/>
      <c r="HQ696" s="105"/>
      <c r="HR696" s="105"/>
      <c r="HS696" s="105"/>
      <c r="HT696" s="105"/>
      <c r="HU696" s="105"/>
      <c r="HV696" s="105"/>
      <c r="HW696" s="105"/>
      <c r="HX696" s="105"/>
      <c r="HY696" s="105"/>
      <c r="HZ696" s="105"/>
      <c r="IA696" s="105"/>
      <c r="IB696" s="105"/>
      <c r="IC696" s="105"/>
      <c r="ID696" s="105"/>
      <c r="IE696" s="105"/>
      <c r="IF696" s="105"/>
      <c r="IG696" s="105"/>
      <c r="IH696" s="105"/>
      <c r="II696" s="105"/>
      <c r="IJ696" s="105"/>
      <c r="IK696" s="105"/>
      <c r="IL696" s="105"/>
      <c r="IM696" s="105"/>
      <c r="IN696" s="105"/>
      <c r="IO696" s="105"/>
      <c r="IP696" s="105"/>
      <c r="IQ696" s="105"/>
      <c r="IR696" s="105"/>
      <c r="IS696" s="105"/>
    </row>
    <row r="697" spans="1:253">
      <c r="A697" s="116"/>
      <c r="B697" s="105"/>
      <c r="C697" s="116"/>
      <c r="D697" s="116"/>
      <c r="E697" s="116"/>
      <c r="F697" s="116"/>
      <c r="G697" s="116"/>
      <c r="H697" s="116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05"/>
      <c r="BF697" s="105"/>
      <c r="BG697" s="105"/>
      <c r="BH697" s="105"/>
      <c r="BI697" s="105"/>
      <c r="BJ697" s="105"/>
      <c r="BK697" s="105"/>
      <c r="BL697" s="105"/>
      <c r="BM697" s="105"/>
      <c r="BN697" s="105"/>
      <c r="BO697" s="105"/>
      <c r="BP697" s="105"/>
      <c r="BQ697" s="105"/>
      <c r="BR697" s="105"/>
      <c r="BS697" s="105"/>
      <c r="BT697" s="105"/>
      <c r="BU697" s="105"/>
      <c r="BV697" s="105"/>
      <c r="BW697" s="105"/>
      <c r="BX697" s="105"/>
      <c r="BY697" s="105"/>
      <c r="BZ697" s="105"/>
      <c r="CA697" s="105"/>
      <c r="CB697" s="105"/>
      <c r="CC697" s="105"/>
      <c r="CD697" s="105"/>
      <c r="CE697" s="105"/>
      <c r="CF697" s="105"/>
      <c r="CG697" s="105"/>
      <c r="CH697" s="105"/>
      <c r="CI697" s="105"/>
      <c r="CJ697" s="105"/>
      <c r="CK697" s="105"/>
      <c r="CL697" s="105"/>
      <c r="CM697" s="105"/>
      <c r="CN697" s="105"/>
      <c r="CO697" s="105"/>
      <c r="CP697" s="105"/>
      <c r="CQ697" s="105"/>
      <c r="CR697" s="105"/>
      <c r="CS697" s="105"/>
      <c r="CT697" s="105"/>
      <c r="CU697" s="105"/>
      <c r="CV697" s="105"/>
      <c r="CW697" s="105"/>
      <c r="CX697" s="105"/>
      <c r="CY697" s="105"/>
      <c r="CZ697" s="105"/>
      <c r="DA697" s="105"/>
      <c r="DB697" s="105"/>
      <c r="DC697" s="105"/>
      <c r="DD697" s="105"/>
      <c r="DE697" s="105"/>
      <c r="DF697" s="105"/>
      <c r="DG697" s="105"/>
      <c r="DH697" s="105"/>
      <c r="DI697" s="105"/>
      <c r="DJ697" s="105"/>
      <c r="DK697" s="105"/>
      <c r="DL697" s="105"/>
      <c r="DM697" s="105"/>
      <c r="DN697" s="105"/>
      <c r="DO697" s="105"/>
      <c r="DP697" s="105"/>
      <c r="DQ697" s="105"/>
      <c r="DR697" s="105"/>
      <c r="DS697" s="105"/>
      <c r="DT697" s="105"/>
      <c r="DU697" s="105"/>
      <c r="DV697" s="105"/>
      <c r="DW697" s="105"/>
      <c r="DX697" s="105"/>
      <c r="DY697" s="105"/>
      <c r="DZ697" s="105"/>
      <c r="EA697" s="105"/>
      <c r="EB697" s="105"/>
      <c r="EC697" s="105"/>
      <c r="ED697" s="105"/>
      <c r="EE697" s="105"/>
      <c r="EF697" s="105"/>
      <c r="EG697" s="105"/>
      <c r="EH697" s="105"/>
      <c r="EI697" s="105"/>
      <c r="EJ697" s="105"/>
      <c r="EK697" s="105"/>
      <c r="EL697" s="105"/>
      <c r="EM697" s="105"/>
      <c r="EN697" s="105"/>
      <c r="EO697" s="105"/>
      <c r="EP697" s="105"/>
      <c r="EQ697" s="105"/>
      <c r="ER697" s="105"/>
      <c r="ES697" s="105"/>
      <c r="ET697" s="105"/>
      <c r="EU697" s="105"/>
      <c r="EV697" s="105"/>
      <c r="EW697" s="105"/>
      <c r="EX697" s="105"/>
      <c r="EY697" s="105"/>
      <c r="EZ697" s="105"/>
      <c r="FA697" s="105"/>
      <c r="FB697" s="105"/>
      <c r="FC697" s="105"/>
      <c r="FD697" s="105"/>
      <c r="FE697" s="105"/>
      <c r="FF697" s="105"/>
      <c r="FG697" s="105"/>
      <c r="FH697" s="105"/>
      <c r="FI697" s="105"/>
      <c r="FJ697" s="105"/>
      <c r="FK697" s="105"/>
      <c r="FL697" s="105"/>
      <c r="FM697" s="105"/>
      <c r="FN697" s="105"/>
      <c r="FO697" s="105"/>
      <c r="FP697" s="105"/>
      <c r="FQ697" s="105"/>
      <c r="FR697" s="105"/>
      <c r="FS697" s="105"/>
      <c r="FT697" s="105"/>
      <c r="FU697" s="105"/>
      <c r="FV697" s="105"/>
      <c r="FW697" s="105"/>
      <c r="FX697" s="105"/>
      <c r="FY697" s="105"/>
      <c r="FZ697" s="105"/>
      <c r="GA697" s="105"/>
      <c r="GB697" s="105"/>
      <c r="GC697" s="105"/>
      <c r="GD697" s="105"/>
      <c r="GE697" s="105"/>
      <c r="GF697" s="105"/>
      <c r="GG697" s="105"/>
      <c r="GH697" s="105"/>
      <c r="GI697" s="105"/>
      <c r="GJ697" s="105"/>
      <c r="GK697" s="105"/>
      <c r="GL697" s="105"/>
      <c r="GM697" s="105"/>
      <c r="GN697" s="105"/>
      <c r="GO697" s="105"/>
      <c r="GP697" s="105"/>
      <c r="GQ697" s="105"/>
      <c r="GR697" s="105"/>
      <c r="GS697" s="105"/>
      <c r="GT697" s="105"/>
      <c r="GU697" s="105"/>
      <c r="GV697" s="105"/>
      <c r="GW697" s="105"/>
      <c r="GX697" s="105"/>
      <c r="GY697" s="105"/>
      <c r="GZ697" s="105"/>
      <c r="HA697" s="105"/>
      <c r="HB697" s="105"/>
      <c r="HC697" s="105"/>
      <c r="HD697" s="105"/>
      <c r="HE697" s="105"/>
      <c r="HF697" s="105"/>
      <c r="HG697" s="105"/>
      <c r="HH697" s="105"/>
      <c r="HI697" s="105"/>
      <c r="HJ697" s="105"/>
      <c r="HK697" s="105"/>
      <c r="HL697" s="105"/>
      <c r="HM697" s="105"/>
      <c r="HN697" s="105"/>
      <c r="HO697" s="105"/>
      <c r="HP697" s="105"/>
      <c r="HQ697" s="105"/>
      <c r="HR697" s="105"/>
      <c r="HS697" s="105"/>
      <c r="HT697" s="105"/>
      <c r="HU697" s="105"/>
      <c r="HV697" s="105"/>
      <c r="HW697" s="105"/>
      <c r="HX697" s="105"/>
      <c r="HY697" s="105"/>
      <c r="HZ697" s="105"/>
      <c r="IA697" s="105"/>
      <c r="IB697" s="105"/>
      <c r="IC697" s="105"/>
      <c r="ID697" s="105"/>
      <c r="IE697" s="105"/>
      <c r="IF697" s="105"/>
      <c r="IG697" s="105"/>
      <c r="IH697" s="105"/>
      <c r="II697" s="105"/>
      <c r="IJ697" s="105"/>
      <c r="IK697" s="105"/>
      <c r="IL697" s="105"/>
      <c r="IM697" s="105"/>
      <c r="IN697" s="105"/>
      <c r="IO697" s="105"/>
      <c r="IP697" s="105"/>
      <c r="IQ697" s="105"/>
      <c r="IR697" s="105"/>
      <c r="IS697" s="105"/>
    </row>
    <row r="698" spans="1:253">
      <c r="A698" s="116"/>
      <c r="B698" s="105"/>
      <c r="C698" s="116"/>
      <c r="D698" s="116"/>
      <c r="E698" s="116"/>
      <c r="F698" s="116"/>
      <c r="G698" s="116"/>
      <c r="H698" s="116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  <c r="BF698" s="105"/>
      <c r="BG698" s="105"/>
      <c r="BH698" s="105"/>
      <c r="BI698" s="105"/>
      <c r="BJ698" s="105"/>
      <c r="BK698" s="105"/>
      <c r="BL698" s="105"/>
      <c r="BM698" s="105"/>
      <c r="BN698" s="105"/>
      <c r="BO698" s="105"/>
      <c r="BP698" s="105"/>
      <c r="BQ698" s="105"/>
      <c r="BR698" s="105"/>
      <c r="BS698" s="105"/>
      <c r="BT698" s="105"/>
      <c r="BU698" s="105"/>
      <c r="BV698" s="105"/>
      <c r="BW698" s="105"/>
      <c r="BX698" s="105"/>
      <c r="BY698" s="105"/>
      <c r="BZ698" s="105"/>
      <c r="CA698" s="105"/>
      <c r="CB698" s="105"/>
      <c r="CC698" s="105"/>
      <c r="CD698" s="105"/>
      <c r="CE698" s="105"/>
      <c r="CF698" s="105"/>
      <c r="CG698" s="105"/>
      <c r="CH698" s="105"/>
      <c r="CI698" s="105"/>
      <c r="CJ698" s="105"/>
      <c r="CK698" s="105"/>
      <c r="CL698" s="105"/>
      <c r="CM698" s="105"/>
      <c r="CN698" s="105"/>
      <c r="CO698" s="105"/>
      <c r="CP698" s="105"/>
      <c r="CQ698" s="105"/>
      <c r="CR698" s="105"/>
      <c r="CS698" s="105"/>
      <c r="CT698" s="105"/>
      <c r="CU698" s="105"/>
      <c r="CV698" s="105"/>
      <c r="CW698" s="105"/>
      <c r="CX698" s="105"/>
      <c r="CY698" s="105"/>
      <c r="CZ698" s="105"/>
      <c r="DA698" s="105"/>
      <c r="DB698" s="105"/>
      <c r="DC698" s="105"/>
      <c r="DD698" s="105"/>
      <c r="DE698" s="105"/>
      <c r="DF698" s="105"/>
      <c r="DG698" s="105"/>
      <c r="DH698" s="105"/>
      <c r="DI698" s="105"/>
      <c r="DJ698" s="105"/>
      <c r="DK698" s="105"/>
      <c r="DL698" s="105"/>
      <c r="DM698" s="105"/>
      <c r="DN698" s="105"/>
      <c r="DO698" s="105"/>
      <c r="DP698" s="105"/>
      <c r="DQ698" s="105"/>
      <c r="DR698" s="105"/>
      <c r="DS698" s="105"/>
      <c r="DT698" s="105"/>
      <c r="DU698" s="105"/>
      <c r="DV698" s="105"/>
      <c r="DW698" s="105"/>
      <c r="DX698" s="105"/>
      <c r="DY698" s="105"/>
      <c r="DZ698" s="105"/>
      <c r="EA698" s="105"/>
      <c r="EB698" s="105"/>
      <c r="EC698" s="105"/>
      <c r="ED698" s="105"/>
      <c r="EE698" s="105"/>
      <c r="EF698" s="105"/>
      <c r="EG698" s="105"/>
      <c r="EH698" s="105"/>
      <c r="EI698" s="105"/>
      <c r="EJ698" s="105"/>
      <c r="EK698" s="105"/>
      <c r="EL698" s="105"/>
      <c r="EM698" s="105"/>
      <c r="EN698" s="105"/>
      <c r="EO698" s="105"/>
      <c r="EP698" s="105"/>
      <c r="EQ698" s="105"/>
      <c r="ER698" s="105"/>
      <c r="ES698" s="105"/>
      <c r="ET698" s="105"/>
      <c r="EU698" s="105"/>
      <c r="EV698" s="105"/>
      <c r="EW698" s="105"/>
      <c r="EX698" s="105"/>
      <c r="EY698" s="105"/>
      <c r="EZ698" s="105"/>
      <c r="FA698" s="105"/>
      <c r="FB698" s="105"/>
      <c r="FC698" s="105"/>
      <c r="FD698" s="105"/>
      <c r="FE698" s="105"/>
      <c r="FF698" s="105"/>
      <c r="FG698" s="105"/>
      <c r="FH698" s="105"/>
      <c r="FI698" s="105"/>
      <c r="FJ698" s="105"/>
      <c r="FK698" s="105"/>
      <c r="FL698" s="105"/>
      <c r="FM698" s="105"/>
      <c r="FN698" s="105"/>
      <c r="FO698" s="105"/>
      <c r="FP698" s="105"/>
      <c r="FQ698" s="105"/>
      <c r="FR698" s="105"/>
      <c r="FS698" s="105"/>
      <c r="FT698" s="105"/>
      <c r="FU698" s="105"/>
      <c r="FV698" s="105"/>
      <c r="FW698" s="105"/>
      <c r="FX698" s="105"/>
      <c r="FY698" s="105"/>
      <c r="FZ698" s="105"/>
      <c r="GA698" s="105"/>
      <c r="GB698" s="105"/>
      <c r="GC698" s="105"/>
      <c r="GD698" s="105"/>
      <c r="GE698" s="105"/>
      <c r="GF698" s="105"/>
      <c r="GG698" s="105"/>
      <c r="GH698" s="105"/>
      <c r="GI698" s="105"/>
      <c r="GJ698" s="105"/>
      <c r="GK698" s="105"/>
      <c r="GL698" s="105"/>
      <c r="GM698" s="105"/>
      <c r="GN698" s="105"/>
      <c r="GO698" s="105"/>
      <c r="GP698" s="105"/>
      <c r="GQ698" s="105"/>
      <c r="GR698" s="105"/>
      <c r="GS698" s="105"/>
      <c r="GT698" s="105"/>
      <c r="GU698" s="105"/>
      <c r="GV698" s="105"/>
      <c r="GW698" s="105"/>
      <c r="GX698" s="105"/>
      <c r="GY698" s="105"/>
      <c r="GZ698" s="105"/>
      <c r="HA698" s="105"/>
      <c r="HB698" s="105"/>
      <c r="HC698" s="105"/>
      <c r="HD698" s="105"/>
      <c r="HE698" s="105"/>
      <c r="HF698" s="105"/>
      <c r="HG698" s="105"/>
      <c r="HH698" s="105"/>
      <c r="HI698" s="105"/>
      <c r="HJ698" s="105"/>
      <c r="HK698" s="105"/>
      <c r="HL698" s="105"/>
      <c r="HM698" s="105"/>
      <c r="HN698" s="105"/>
      <c r="HO698" s="105"/>
      <c r="HP698" s="105"/>
      <c r="HQ698" s="105"/>
      <c r="HR698" s="105"/>
      <c r="HS698" s="105"/>
      <c r="HT698" s="105"/>
      <c r="HU698" s="105"/>
      <c r="HV698" s="105"/>
      <c r="HW698" s="105"/>
      <c r="HX698" s="105"/>
      <c r="HY698" s="105"/>
      <c r="HZ698" s="105"/>
      <c r="IA698" s="105"/>
      <c r="IB698" s="105"/>
      <c r="IC698" s="105"/>
      <c r="ID698" s="105"/>
      <c r="IE698" s="105"/>
      <c r="IF698" s="105"/>
      <c r="IG698" s="105"/>
      <c r="IH698" s="105"/>
      <c r="II698" s="105"/>
      <c r="IJ698" s="105"/>
      <c r="IK698" s="105"/>
      <c r="IL698" s="105"/>
      <c r="IM698" s="105"/>
      <c r="IN698" s="105"/>
      <c r="IO698" s="105"/>
      <c r="IP698" s="105"/>
      <c r="IQ698" s="105"/>
      <c r="IR698" s="105"/>
      <c r="IS698" s="105"/>
    </row>
    <row r="699" spans="1:253">
      <c r="A699" s="116"/>
      <c r="B699" s="105"/>
      <c r="C699" s="116"/>
      <c r="D699" s="116"/>
      <c r="E699" s="116"/>
      <c r="F699" s="116"/>
      <c r="G699" s="116"/>
      <c r="H699" s="116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  <c r="BF699" s="105"/>
      <c r="BG699" s="105"/>
      <c r="BH699" s="105"/>
      <c r="BI699" s="105"/>
      <c r="BJ699" s="105"/>
      <c r="BK699" s="105"/>
      <c r="BL699" s="105"/>
      <c r="BM699" s="105"/>
      <c r="BN699" s="105"/>
      <c r="BO699" s="105"/>
      <c r="BP699" s="105"/>
      <c r="BQ699" s="105"/>
      <c r="BR699" s="105"/>
      <c r="BS699" s="105"/>
      <c r="BT699" s="105"/>
      <c r="BU699" s="105"/>
      <c r="BV699" s="105"/>
      <c r="BW699" s="105"/>
      <c r="BX699" s="105"/>
      <c r="BY699" s="105"/>
      <c r="BZ699" s="105"/>
      <c r="CA699" s="105"/>
      <c r="CB699" s="105"/>
      <c r="CC699" s="105"/>
      <c r="CD699" s="105"/>
      <c r="CE699" s="105"/>
      <c r="CF699" s="105"/>
      <c r="CG699" s="105"/>
      <c r="CH699" s="105"/>
      <c r="CI699" s="105"/>
      <c r="CJ699" s="105"/>
      <c r="CK699" s="105"/>
      <c r="CL699" s="105"/>
      <c r="CM699" s="105"/>
      <c r="CN699" s="105"/>
      <c r="CO699" s="105"/>
      <c r="CP699" s="105"/>
      <c r="CQ699" s="105"/>
      <c r="CR699" s="105"/>
      <c r="CS699" s="105"/>
      <c r="CT699" s="105"/>
      <c r="CU699" s="105"/>
      <c r="CV699" s="105"/>
      <c r="CW699" s="105"/>
      <c r="CX699" s="105"/>
      <c r="CY699" s="105"/>
      <c r="CZ699" s="105"/>
      <c r="DA699" s="105"/>
      <c r="DB699" s="105"/>
      <c r="DC699" s="105"/>
      <c r="DD699" s="105"/>
      <c r="DE699" s="105"/>
      <c r="DF699" s="105"/>
      <c r="DG699" s="105"/>
      <c r="DH699" s="105"/>
      <c r="DI699" s="105"/>
      <c r="DJ699" s="105"/>
      <c r="DK699" s="105"/>
      <c r="DL699" s="105"/>
      <c r="DM699" s="105"/>
      <c r="DN699" s="105"/>
      <c r="DO699" s="105"/>
      <c r="DP699" s="105"/>
      <c r="DQ699" s="105"/>
      <c r="DR699" s="105"/>
      <c r="DS699" s="105"/>
      <c r="DT699" s="105"/>
      <c r="DU699" s="105"/>
      <c r="DV699" s="105"/>
      <c r="DW699" s="105"/>
      <c r="DX699" s="105"/>
      <c r="DY699" s="105"/>
      <c r="DZ699" s="105"/>
      <c r="EA699" s="105"/>
      <c r="EB699" s="105"/>
      <c r="EC699" s="105"/>
      <c r="ED699" s="105"/>
      <c r="EE699" s="105"/>
      <c r="EF699" s="105"/>
      <c r="EG699" s="105"/>
      <c r="EH699" s="105"/>
      <c r="EI699" s="105"/>
      <c r="EJ699" s="105"/>
      <c r="EK699" s="105"/>
      <c r="EL699" s="105"/>
      <c r="EM699" s="105"/>
      <c r="EN699" s="105"/>
      <c r="EO699" s="105"/>
      <c r="EP699" s="105"/>
      <c r="EQ699" s="105"/>
      <c r="ER699" s="105"/>
      <c r="ES699" s="105"/>
      <c r="ET699" s="105"/>
      <c r="EU699" s="105"/>
      <c r="EV699" s="105"/>
      <c r="EW699" s="105"/>
      <c r="EX699" s="105"/>
      <c r="EY699" s="105"/>
      <c r="EZ699" s="105"/>
      <c r="FA699" s="105"/>
      <c r="FB699" s="105"/>
      <c r="FC699" s="105"/>
      <c r="FD699" s="105"/>
      <c r="FE699" s="105"/>
      <c r="FF699" s="105"/>
      <c r="FG699" s="105"/>
      <c r="FH699" s="105"/>
      <c r="FI699" s="105"/>
      <c r="FJ699" s="105"/>
      <c r="FK699" s="105"/>
      <c r="FL699" s="105"/>
      <c r="FM699" s="105"/>
      <c r="FN699" s="105"/>
      <c r="FO699" s="105"/>
      <c r="FP699" s="105"/>
      <c r="FQ699" s="105"/>
      <c r="FR699" s="105"/>
      <c r="FS699" s="105"/>
      <c r="FT699" s="105"/>
      <c r="FU699" s="105"/>
      <c r="FV699" s="105"/>
      <c r="FW699" s="105"/>
      <c r="FX699" s="105"/>
      <c r="FY699" s="105"/>
      <c r="FZ699" s="105"/>
      <c r="GA699" s="105"/>
      <c r="GB699" s="105"/>
      <c r="GC699" s="105"/>
      <c r="GD699" s="105"/>
      <c r="GE699" s="105"/>
      <c r="GF699" s="105"/>
      <c r="GG699" s="105"/>
      <c r="GH699" s="105"/>
      <c r="GI699" s="105"/>
      <c r="GJ699" s="105"/>
      <c r="GK699" s="105"/>
      <c r="GL699" s="105"/>
      <c r="GM699" s="105"/>
      <c r="GN699" s="105"/>
      <c r="GO699" s="105"/>
      <c r="GP699" s="105"/>
      <c r="GQ699" s="105"/>
      <c r="GR699" s="105"/>
      <c r="GS699" s="105"/>
      <c r="GT699" s="105"/>
      <c r="GU699" s="105"/>
      <c r="GV699" s="105"/>
      <c r="GW699" s="105"/>
      <c r="GX699" s="105"/>
      <c r="GY699" s="105"/>
      <c r="GZ699" s="105"/>
      <c r="HA699" s="105"/>
      <c r="HB699" s="105"/>
      <c r="HC699" s="105"/>
      <c r="HD699" s="105"/>
      <c r="HE699" s="105"/>
      <c r="HF699" s="105"/>
      <c r="HG699" s="105"/>
      <c r="HH699" s="105"/>
      <c r="HI699" s="105"/>
      <c r="HJ699" s="105"/>
      <c r="HK699" s="105"/>
      <c r="HL699" s="105"/>
      <c r="HM699" s="105"/>
      <c r="HN699" s="105"/>
      <c r="HO699" s="105"/>
      <c r="HP699" s="105"/>
      <c r="HQ699" s="105"/>
      <c r="HR699" s="105"/>
      <c r="HS699" s="105"/>
      <c r="HT699" s="105"/>
      <c r="HU699" s="105"/>
      <c r="HV699" s="105"/>
      <c r="HW699" s="105"/>
      <c r="HX699" s="105"/>
      <c r="HY699" s="105"/>
      <c r="HZ699" s="105"/>
      <c r="IA699" s="105"/>
      <c r="IB699" s="105"/>
      <c r="IC699" s="105"/>
      <c r="ID699" s="105"/>
      <c r="IE699" s="105"/>
      <c r="IF699" s="105"/>
      <c r="IG699" s="105"/>
      <c r="IH699" s="105"/>
      <c r="II699" s="105"/>
      <c r="IJ699" s="105"/>
      <c r="IK699" s="105"/>
      <c r="IL699" s="105"/>
      <c r="IM699" s="105"/>
      <c r="IN699" s="105"/>
      <c r="IO699" s="105"/>
      <c r="IP699" s="105"/>
      <c r="IQ699" s="105"/>
      <c r="IR699" s="105"/>
      <c r="IS699" s="105"/>
    </row>
    <row r="700" spans="1:253">
      <c r="A700" s="116"/>
      <c r="B700" s="105"/>
      <c r="C700" s="116"/>
      <c r="D700" s="116"/>
      <c r="E700" s="116"/>
      <c r="F700" s="116"/>
      <c r="G700" s="116"/>
      <c r="H700" s="116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  <c r="BF700" s="105"/>
      <c r="BG700" s="105"/>
      <c r="BH700" s="105"/>
      <c r="BI700" s="105"/>
      <c r="BJ700" s="105"/>
      <c r="BK700" s="105"/>
      <c r="BL700" s="105"/>
      <c r="BM700" s="105"/>
      <c r="BN700" s="105"/>
      <c r="BO700" s="105"/>
      <c r="BP700" s="105"/>
      <c r="BQ700" s="105"/>
      <c r="BR700" s="105"/>
      <c r="BS700" s="105"/>
      <c r="BT700" s="105"/>
      <c r="BU700" s="105"/>
      <c r="BV700" s="105"/>
      <c r="BW700" s="105"/>
      <c r="BX700" s="105"/>
      <c r="BY700" s="105"/>
      <c r="BZ700" s="105"/>
      <c r="CA700" s="105"/>
      <c r="CB700" s="105"/>
      <c r="CC700" s="105"/>
      <c r="CD700" s="105"/>
      <c r="CE700" s="105"/>
      <c r="CF700" s="105"/>
      <c r="CG700" s="105"/>
      <c r="CH700" s="105"/>
      <c r="CI700" s="105"/>
      <c r="CJ700" s="105"/>
      <c r="CK700" s="105"/>
      <c r="CL700" s="105"/>
      <c r="CM700" s="105"/>
      <c r="CN700" s="105"/>
      <c r="CO700" s="105"/>
      <c r="CP700" s="105"/>
      <c r="CQ700" s="105"/>
      <c r="CR700" s="105"/>
      <c r="CS700" s="105"/>
      <c r="CT700" s="105"/>
      <c r="CU700" s="105"/>
      <c r="CV700" s="105"/>
      <c r="CW700" s="105"/>
      <c r="CX700" s="105"/>
      <c r="CY700" s="105"/>
      <c r="CZ700" s="105"/>
      <c r="DA700" s="105"/>
      <c r="DB700" s="105"/>
      <c r="DC700" s="105"/>
      <c r="DD700" s="105"/>
      <c r="DE700" s="105"/>
      <c r="DF700" s="105"/>
      <c r="DG700" s="105"/>
      <c r="DH700" s="105"/>
      <c r="DI700" s="105"/>
      <c r="DJ700" s="105"/>
      <c r="DK700" s="105"/>
      <c r="DL700" s="105"/>
      <c r="DM700" s="105"/>
      <c r="DN700" s="105"/>
      <c r="DO700" s="105"/>
      <c r="DP700" s="105"/>
      <c r="DQ700" s="105"/>
      <c r="DR700" s="105"/>
      <c r="DS700" s="105"/>
      <c r="DT700" s="105"/>
      <c r="DU700" s="105"/>
      <c r="DV700" s="105"/>
      <c r="DW700" s="105"/>
      <c r="DX700" s="105"/>
      <c r="DY700" s="105"/>
      <c r="DZ700" s="105"/>
      <c r="EA700" s="105"/>
      <c r="EB700" s="105"/>
      <c r="EC700" s="105"/>
      <c r="ED700" s="105"/>
      <c r="EE700" s="105"/>
      <c r="EF700" s="105"/>
      <c r="EG700" s="105"/>
      <c r="EH700" s="105"/>
      <c r="EI700" s="105"/>
      <c r="EJ700" s="105"/>
      <c r="EK700" s="105"/>
      <c r="EL700" s="105"/>
      <c r="EM700" s="105"/>
      <c r="EN700" s="105"/>
      <c r="EO700" s="105"/>
      <c r="EP700" s="105"/>
      <c r="EQ700" s="105"/>
      <c r="ER700" s="105"/>
      <c r="ES700" s="105"/>
      <c r="ET700" s="105"/>
      <c r="EU700" s="105"/>
      <c r="EV700" s="105"/>
      <c r="EW700" s="105"/>
      <c r="EX700" s="105"/>
      <c r="EY700" s="105"/>
      <c r="EZ700" s="105"/>
      <c r="FA700" s="105"/>
      <c r="FB700" s="105"/>
      <c r="FC700" s="105"/>
      <c r="FD700" s="105"/>
      <c r="FE700" s="105"/>
      <c r="FF700" s="105"/>
      <c r="FG700" s="105"/>
      <c r="FH700" s="105"/>
      <c r="FI700" s="105"/>
      <c r="FJ700" s="105"/>
      <c r="FK700" s="105"/>
      <c r="FL700" s="105"/>
      <c r="FM700" s="105"/>
      <c r="FN700" s="105"/>
      <c r="FO700" s="105"/>
      <c r="FP700" s="105"/>
      <c r="FQ700" s="105"/>
      <c r="FR700" s="105"/>
      <c r="FS700" s="105"/>
      <c r="FT700" s="105"/>
      <c r="FU700" s="105"/>
      <c r="FV700" s="105"/>
      <c r="FW700" s="105"/>
      <c r="FX700" s="105"/>
      <c r="FY700" s="105"/>
      <c r="FZ700" s="105"/>
      <c r="GA700" s="105"/>
      <c r="GB700" s="105"/>
      <c r="GC700" s="105"/>
      <c r="GD700" s="105"/>
      <c r="GE700" s="105"/>
      <c r="GF700" s="105"/>
      <c r="GG700" s="105"/>
      <c r="GH700" s="105"/>
      <c r="GI700" s="105"/>
      <c r="GJ700" s="105"/>
      <c r="GK700" s="105"/>
      <c r="GL700" s="105"/>
      <c r="GM700" s="105"/>
      <c r="GN700" s="105"/>
      <c r="GO700" s="105"/>
      <c r="GP700" s="105"/>
      <c r="GQ700" s="105"/>
      <c r="GR700" s="105"/>
      <c r="GS700" s="105"/>
      <c r="GT700" s="105"/>
      <c r="GU700" s="105"/>
      <c r="GV700" s="105"/>
      <c r="GW700" s="105"/>
      <c r="GX700" s="105"/>
      <c r="GY700" s="105"/>
      <c r="GZ700" s="105"/>
      <c r="HA700" s="105"/>
      <c r="HB700" s="105"/>
      <c r="HC700" s="105"/>
      <c r="HD700" s="105"/>
      <c r="HE700" s="105"/>
      <c r="HF700" s="105"/>
      <c r="HG700" s="105"/>
      <c r="HH700" s="105"/>
      <c r="HI700" s="105"/>
      <c r="HJ700" s="105"/>
      <c r="HK700" s="105"/>
      <c r="HL700" s="105"/>
      <c r="HM700" s="105"/>
      <c r="HN700" s="105"/>
      <c r="HO700" s="105"/>
      <c r="HP700" s="105"/>
      <c r="HQ700" s="105"/>
      <c r="HR700" s="105"/>
      <c r="HS700" s="105"/>
      <c r="HT700" s="105"/>
      <c r="HU700" s="105"/>
      <c r="HV700" s="105"/>
      <c r="HW700" s="105"/>
      <c r="HX700" s="105"/>
      <c r="HY700" s="105"/>
      <c r="HZ700" s="105"/>
      <c r="IA700" s="105"/>
      <c r="IB700" s="105"/>
      <c r="IC700" s="105"/>
      <c r="ID700" s="105"/>
      <c r="IE700" s="105"/>
      <c r="IF700" s="105"/>
      <c r="IG700" s="105"/>
      <c r="IH700" s="105"/>
      <c r="II700" s="105"/>
      <c r="IJ700" s="105"/>
      <c r="IK700" s="105"/>
      <c r="IL700" s="105"/>
      <c r="IM700" s="105"/>
      <c r="IN700" s="105"/>
      <c r="IO700" s="105"/>
      <c r="IP700" s="105"/>
      <c r="IQ700" s="105"/>
      <c r="IR700" s="105"/>
      <c r="IS700" s="105"/>
    </row>
    <row r="701" spans="1:253">
      <c r="A701" s="116"/>
      <c r="B701" s="105"/>
      <c r="C701" s="116"/>
      <c r="D701" s="116"/>
      <c r="E701" s="116"/>
      <c r="F701" s="116"/>
      <c r="G701" s="116"/>
      <c r="H701" s="116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05"/>
      <c r="BF701" s="105"/>
      <c r="BG701" s="105"/>
      <c r="BH701" s="105"/>
      <c r="BI701" s="105"/>
      <c r="BJ701" s="105"/>
      <c r="BK701" s="105"/>
      <c r="BL701" s="105"/>
      <c r="BM701" s="105"/>
      <c r="BN701" s="105"/>
      <c r="BO701" s="105"/>
      <c r="BP701" s="105"/>
      <c r="BQ701" s="105"/>
      <c r="BR701" s="105"/>
      <c r="BS701" s="105"/>
      <c r="BT701" s="105"/>
      <c r="BU701" s="105"/>
      <c r="BV701" s="105"/>
      <c r="BW701" s="105"/>
      <c r="BX701" s="105"/>
      <c r="BY701" s="105"/>
      <c r="BZ701" s="105"/>
      <c r="CA701" s="105"/>
      <c r="CB701" s="105"/>
      <c r="CC701" s="105"/>
      <c r="CD701" s="105"/>
      <c r="CE701" s="105"/>
      <c r="CF701" s="105"/>
      <c r="CG701" s="105"/>
      <c r="CH701" s="105"/>
      <c r="CI701" s="105"/>
      <c r="CJ701" s="105"/>
      <c r="CK701" s="105"/>
      <c r="CL701" s="105"/>
      <c r="CM701" s="105"/>
      <c r="CN701" s="105"/>
      <c r="CO701" s="105"/>
      <c r="CP701" s="105"/>
      <c r="CQ701" s="105"/>
      <c r="CR701" s="105"/>
      <c r="CS701" s="105"/>
      <c r="CT701" s="105"/>
      <c r="CU701" s="105"/>
      <c r="CV701" s="105"/>
      <c r="CW701" s="105"/>
      <c r="CX701" s="105"/>
      <c r="CY701" s="105"/>
      <c r="CZ701" s="105"/>
      <c r="DA701" s="105"/>
      <c r="DB701" s="105"/>
      <c r="DC701" s="105"/>
      <c r="DD701" s="105"/>
      <c r="DE701" s="105"/>
      <c r="DF701" s="105"/>
      <c r="DG701" s="105"/>
      <c r="DH701" s="105"/>
      <c r="DI701" s="105"/>
      <c r="DJ701" s="105"/>
      <c r="DK701" s="105"/>
      <c r="DL701" s="105"/>
      <c r="DM701" s="105"/>
      <c r="DN701" s="105"/>
      <c r="DO701" s="105"/>
      <c r="DP701" s="105"/>
      <c r="DQ701" s="105"/>
      <c r="DR701" s="105"/>
      <c r="DS701" s="105"/>
      <c r="DT701" s="105"/>
      <c r="DU701" s="105"/>
      <c r="DV701" s="105"/>
      <c r="DW701" s="105"/>
      <c r="DX701" s="105"/>
      <c r="DY701" s="105"/>
      <c r="DZ701" s="105"/>
      <c r="EA701" s="105"/>
      <c r="EB701" s="105"/>
      <c r="EC701" s="105"/>
      <c r="ED701" s="105"/>
      <c r="EE701" s="105"/>
      <c r="EF701" s="105"/>
      <c r="EG701" s="105"/>
      <c r="EH701" s="105"/>
      <c r="EI701" s="105"/>
      <c r="EJ701" s="105"/>
      <c r="EK701" s="105"/>
      <c r="EL701" s="105"/>
      <c r="EM701" s="105"/>
      <c r="EN701" s="105"/>
      <c r="EO701" s="105"/>
      <c r="EP701" s="105"/>
      <c r="EQ701" s="105"/>
      <c r="ER701" s="105"/>
      <c r="ES701" s="105"/>
      <c r="ET701" s="105"/>
      <c r="EU701" s="105"/>
      <c r="EV701" s="105"/>
      <c r="EW701" s="105"/>
      <c r="EX701" s="105"/>
      <c r="EY701" s="105"/>
      <c r="EZ701" s="105"/>
      <c r="FA701" s="105"/>
      <c r="FB701" s="105"/>
      <c r="FC701" s="105"/>
      <c r="FD701" s="105"/>
      <c r="FE701" s="105"/>
      <c r="FF701" s="105"/>
      <c r="FG701" s="105"/>
      <c r="FH701" s="105"/>
      <c r="FI701" s="105"/>
      <c r="FJ701" s="105"/>
      <c r="FK701" s="105"/>
      <c r="FL701" s="105"/>
      <c r="FM701" s="105"/>
      <c r="FN701" s="105"/>
      <c r="FO701" s="105"/>
      <c r="FP701" s="105"/>
      <c r="FQ701" s="105"/>
      <c r="FR701" s="105"/>
      <c r="FS701" s="105"/>
      <c r="FT701" s="105"/>
      <c r="FU701" s="105"/>
      <c r="FV701" s="105"/>
      <c r="FW701" s="105"/>
      <c r="FX701" s="105"/>
      <c r="FY701" s="105"/>
      <c r="FZ701" s="105"/>
      <c r="GA701" s="105"/>
      <c r="GB701" s="105"/>
      <c r="GC701" s="105"/>
      <c r="GD701" s="105"/>
      <c r="GE701" s="105"/>
      <c r="GF701" s="105"/>
      <c r="GG701" s="105"/>
      <c r="GH701" s="105"/>
      <c r="GI701" s="105"/>
      <c r="GJ701" s="105"/>
      <c r="GK701" s="105"/>
      <c r="GL701" s="105"/>
      <c r="GM701" s="105"/>
      <c r="GN701" s="105"/>
      <c r="GO701" s="105"/>
      <c r="GP701" s="105"/>
      <c r="GQ701" s="105"/>
      <c r="GR701" s="105"/>
      <c r="GS701" s="105"/>
      <c r="GT701" s="105"/>
      <c r="GU701" s="105"/>
      <c r="GV701" s="105"/>
      <c r="GW701" s="105"/>
      <c r="GX701" s="105"/>
      <c r="GY701" s="105"/>
      <c r="GZ701" s="105"/>
      <c r="HA701" s="105"/>
      <c r="HB701" s="105"/>
      <c r="HC701" s="105"/>
      <c r="HD701" s="105"/>
      <c r="HE701" s="105"/>
      <c r="HF701" s="105"/>
      <c r="HG701" s="105"/>
      <c r="HH701" s="105"/>
      <c r="HI701" s="105"/>
      <c r="HJ701" s="105"/>
      <c r="HK701" s="105"/>
      <c r="HL701" s="105"/>
      <c r="HM701" s="105"/>
      <c r="HN701" s="105"/>
      <c r="HO701" s="105"/>
      <c r="HP701" s="105"/>
      <c r="HQ701" s="105"/>
      <c r="HR701" s="105"/>
      <c r="HS701" s="105"/>
      <c r="HT701" s="105"/>
      <c r="HU701" s="105"/>
      <c r="HV701" s="105"/>
      <c r="HW701" s="105"/>
      <c r="HX701" s="105"/>
      <c r="HY701" s="105"/>
      <c r="HZ701" s="105"/>
      <c r="IA701" s="105"/>
      <c r="IB701" s="105"/>
      <c r="IC701" s="105"/>
      <c r="ID701" s="105"/>
      <c r="IE701" s="105"/>
      <c r="IF701" s="105"/>
      <c r="IG701" s="105"/>
      <c r="IH701" s="105"/>
      <c r="II701" s="105"/>
      <c r="IJ701" s="105"/>
      <c r="IK701" s="105"/>
      <c r="IL701" s="105"/>
      <c r="IM701" s="105"/>
      <c r="IN701" s="105"/>
      <c r="IO701" s="105"/>
      <c r="IP701" s="105"/>
      <c r="IQ701" s="105"/>
      <c r="IR701" s="105"/>
      <c r="IS701" s="105"/>
    </row>
    <row r="702" spans="1:253">
      <c r="A702" s="116"/>
      <c r="B702" s="105"/>
      <c r="C702" s="116"/>
      <c r="D702" s="116"/>
      <c r="E702" s="116"/>
      <c r="F702" s="116"/>
      <c r="G702" s="116"/>
      <c r="H702" s="116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  <c r="BF702" s="105"/>
      <c r="BG702" s="105"/>
      <c r="BH702" s="105"/>
      <c r="BI702" s="105"/>
      <c r="BJ702" s="105"/>
      <c r="BK702" s="105"/>
      <c r="BL702" s="105"/>
      <c r="BM702" s="105"/>
      <c r="BN702" s="105"/>
      <c r="BO702" s="105"/>
      <c r="BP702" s="105"/>
      <c r="BQ702" s="105"/>
      <c r="BR702" s="105"/>
      <c r="BS702" s="105"/>
      <c r="BT702" s="105"/>
      <c r="BU702" s="105"/>
      <c r="BV702" s="105"/>
      <c r="BW702" s="105"/>
      <c r="BX702" s="105"/>
      <c r="BY702" s="105"/>
      <c r="BZ702" s="105"/>
      <c r="CA702" s="105"/>
      <c r="CB702" s="105"/>
      <c r="CC702" s="105"/>
      <c r="CD702" s="105"/>
      <c r="CE702" s="105"/>
      <c r="CF702" s="105"/>
      <c r="CG702" s="105"/>
      <c r="CH702" s="105"/>
      <c r="CI702" s="105"/>
      <c r="CJ702" s="105"/>
      <c r="CK702" s="105"/>
      <c r="CL702" s="105"/>
      <c r="CM702" s="105"/>
      <c r="CN702" s="105"/>
      <c r="CO702" s="105"/>
      <c r="CP702" s="105"/>
      <c r="CQ702" s="105"/>
      <c r="CR702" s="105"/>
      <c r="CS702" s="105"/>
      <c r="CT702" s="105"/>
      <c r="CU702" s="105"/>
      <c r="CV702" s="105"/>
      <c r="CW702" s="105"/>
      <c r="CX702" s="105"/>
      <c r="CY702" s="105"/>
      <c r="CZ702" s="105"/>
      <c r="DA702" s="105"/>
      <c r="DB702" s="105"/>
      <c r="DC702" s="105"/>
      <c r="DD702" s="105"/>
      <c r="DE702" s="105"/>
      <c r="DF702" s="105"/>
      <c r="DG702" s="105"/>
      <c r="DH702" s="105"/>
      <c r="DI702" s="105"/>
      <c r="DJ702" s="105"/>
      <c r="DK702" s="105"/>
      <c r="DL702" s="105"/>
      <c r="DM702" s="105"/>
      <c r="DN702" s="105"/>
      <c r="DO702" s="105"/>
      <c r="DP702" s="105"/>
      <c r="DQ702" s="105"/>
      <c r="DR702" s="105"/>
      <c r="DS702" s="105"/>
      <c r="DT702" s="105"/>
      <c r="DU702" s="105"/>
      <c r="DV702" s="105"/>
      <c r="DW702" s="105"/>
      <c r="DX702" s="105"/>
      <c r="DY702" s="105"/>
      <c r="DZ702" s="105"/>
      <c r="EA702" s="105"/>
      <c r="EB702" s="105"/>
      <c r="EC702" s="105"/>
      <c r="ED702" s="105"/>
      <c r="EE702" s="105"/>
      <c r="EF702" s="105"/>
      <c r="EG702" s="105"/>
      <c r="EH702" s="105"/>
      <c r="EI702" s="105"/>
      <c r="EJ702" s="105"/>
      <c r="EK702" s="105"/>
      <c r="EL702" s="105"/>
      <c r="EM702" s="105"/>
      <c r="EN702" s="105"/>
      <c r="EO702" s="105"/>
      <c r="EP702" s="105"/>
      <c r="EQ702" s="105"/>
      <c r="ER702" s="105"/>
      <c r="ES702" s="105"/>
      <c r="ET702" s="105"/>
      <c r="EU702" s="105"/>
      <c r="EV702" s="105"/>
      <c r="EW702" s="105"/>
      <c r="EX702" s="105"/>
      <c r="EY702" s="105"/>
      <c r="EZ702" s="105"/>
      <c r="FA702" s="105"/>
      <c r="FB702" s="105"/>
      <c r="FC702" s="105"/>
      <c r="FD702" s="105"/>
      <c r="FE702" s="105"/>
      <c r="FF702" s="105"/>
      <c r="FG702" s="105"/>
      <c r="FH702" s="105"/>
      <c r="FI702" s="105"/>
      <c r="FJ702" s="105"/>
      <c r="FK702" s="105"/>
      <c r="FL702" s="105"/>
      <c r="FM702" s="105"/>
      <c r="FN702" s="105"/>
      <c r="FO702" s="105"/>
      <c r="FP702" s="105"/>
      <c r="FQ702" s="105"/>
      <c r="FR702" s="105"/>
      <c r="FS702" s="105"/>
      <c r="FT702" s="105"/>
      <c r="FU702" s="105"/>
      <c r="FV702" s="105"/>
      <c r="FW702" s="105"/>
      <c r="FX702" s="105"/>
      <c r="FY702" s="105"/>
      <c r="FZ702" s="105"/>
      <c r="GA702" s="105"/>
      <c r="GB702" s="105"/>
      <c r="GC702" s="105"/>
      <c r="GD702" s="105"/>
      <c r="GE702" s="105"/>
      <c r="GF702" s="105"/>
      <c r="GG702" s="105"/>
      <c r="GH702" s="105"/>
      <c r="GI702" s="105"/>
      <c r="GJ702" s="105"/>
      <c r="GK702" s="105"/>
      <c r="GL702" s="105"/>
      <c r="GM702" s="105"/>
      <c r="GN702" s="105"/>
      <c r="GO702" s="105"/>
      <c r="GP702" s="105"/>
      <c r="GQ702" s="105"/>
      <c r="GR702" s="105"/>
      <c r="GS702" s="105"/>
      <c r="GT702" s="105"/>
      <c r="GU702" s="105"/>
      <c r="GV702" s="105"/>
      <c r="GW702" s="105"/>
      <c r="GX702" s="105"/>
      <c r="GY702" s="105"/>
      <c r="GZ702" s="105"/>
      <c r="HA702" s="105"/>
      <c r="HB702" s="105"/>
      <c r="HC702" s="105"/>
      <c r="HD702" s="105"/>
      <c r="HE702" s="105"/>
      <c r="HF702" s="105"/>
      <c r="HG702" s="105"/>
      <c r="HH702" s="105"/>
      <c r="HI702" s="105"/>
      <c r="HJ702" s="105"/>
      <c r="HK702" s="105"/>
      <c r="HL702" s="105"/>
      <c r="HM702" s="105"/>
      <c r="HN702" s="105"/>
      <c r="HO702" s="105"/>
      <c r="HP702" s="105"/>
      <c r="HQ702" s="105"/>
      <c r="HR702" s="105"/>
      <c r="HS702" s="105"/>
      <c r="HT702" s="105"/>
      <c r="HU702" s="105"/>
      <c r="HV702" s="105"/>
      <c r="HW702" s="105"/>
      <c r="HX702" s="105"/>
      <c r="HY702" s="105"/>
      <c r="HZ702" s="105"/>
      <c r="IA702" s="105"/>
      <c r="IB702" s="105"/>
      <c r="IC702" s="105"/>
      <c r="ID702" s="105"/>
      <c r="IE702" s="105"/>
      <c r="IF702" s="105"/>
      <c r="IG702" s="105"/>
      <c r="IH702" s="105"/>
      <c r="II702" s="105"/>
      <c r="IJ702" s="105"/>
      <c r="IK702" s="105"/>
      <c r="IL702" s="105"/>
      <c r="IM702" s="105"/>
      <c r="IN702" s="105"/>
      <c r="IO702" s="105"/>
      <c r="IP702" s="105"/>
      <c r="IQ702" s="105"/>
      <c r="IR702" s="105"/>
      <c r="IS702" s="105"/>
    </row>
    <row r="703" spans="1:253">
      <c r="A703" s="116"/>
      <c r="B703" s="105"/>
      <c r="C703" s="116"/>
      <c r="D703" s="116"/>
      <c r="E703" s="116"/>
      <c r="F703" s="116"/>
      <c r="G703" s="116"/>
      <c r="H703" s="116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05"/>
      <c r="BF703" s="105"/>
      <c r="BG703" s="105"/>
      <c r="BH703" s="105"/>
      <c r="BI703" s="105"/>
      <c r="BJ703" s="105"/>
      <c r="BK703" s="105"/>
      <c r="BL703" s="105"/>
      <c r="BM703" s="105"/>
      <c r="BN703" s="105"/>
      <c r="BO703" s="105"/>
      <c r="BP703" s="105"/>
      <c r="BQ703" s="105"/>
      <c r="BR703" s="105"/>
      <c r="BS703" s="105"/>
      <c r="BT703" s="105"/>
      <c r="BU703" s="105"/>
      <c r="BV703" s="105"/>
      <c r="BW703" s="105"/>
      <c r="BX703" s="105"/>
      <c r="BY703" s="105"/>
      <c r="BZ703" s="105"/>
      <c r="CA703" s="105"/>
      <c r="CB703" s="105"/>
      <c r="CC703" s="105"/>
      <c r="CD703" s="105"/>
      <c r="CE703" s="105"/>
      <c r="CF703" s="105"/>
      <c r="CG703" s="105"/>
      <c r="CH703" s="105"/>
      <c r="CI703" s="105"/>
      <c r="CJ703" s="105"/>
      <c r="CK703" s="105"/>
      <c r="CL703" s="105"/>
      <c r="CM703" s="105"/>
      <c r="CN703" s="105"/>
      <c r="CO703" s="105"/>
      <c r="CP703" s="105"/>
      <c r="CQ703" s="105"/>
      <c r="CR703" s="105"/>
      <c r="CS703" s="105"/>
      <c r="CT703" s="105"/>
      <c r="CU703" s="105"/>
      <c r="CV703" s="105"/>
      <c r="CW703" s="105"/>
      <c r="CX703" s="105"/>
      <c r="CY703" s="105"/>
      <c r="CZ703" s="105"/>
      <c r="DA703" s="105"/>
      <c r="DB703" s="105"/>
      <c r="DC703" s="105"/>
      <c r="DD703" s="105"/>
      <c r="DE703" s="105"/>
      <c r="DF703" s="105"/>
      <c r="DG703" s="105"/>
      <c r="DH703" s="105"/>
      <c r="DI703" s="105"/>
      <c r="DJ703" s="105"/>
      <c r="DK703" s="105"/>
      <c r="DL703" s="105"/>
      <c r="DM703" s="105"/>
      <c r="DN703" s="105"/>
      <c r="DO703" s="105"/>
      <c r="DP703" s="105"/>
      <c r="DQ703" s="105"/>
      <c r="DR703" s="105"/>
      <c r="DS703" s="105"/>
      <c r="DT703" s="105"/>
      <c r="DU703" s="105"/>
      <c r="DV703" s="105"/>
      <c r="DW703" s="105"/>
      <c r="DX703" s="105"/>
      <c r="DY703" s="105"/>
      <c r="DZ703" s="105"/>
      <c r="EA703" s="105"/>
      <c r="EB703" s="105"/>
      <c r="EC703" s="105"/>
      <c r="ED703" s="105"/>
      <c r="EE703" s="105"/>
      <c r="EF703" s="105"/>
      <c r="EG703" s="105"/>
      <c r="EH703" s="105"/>
      <c r="EI703" s="105"/>
      <c r="EJ703" s="105"/>
      <c r="EK703" s="105"/>
      <c r="EL703" s="105"/>
      <c r="EM703" s="105"/>
      <c r="EN703" s="105"/>
      <c r="EO703" s="105"/>
      <c r="EP703" s="105"/>
      <c r="EQ703" s="105"/>
      <c r="ER703" s="105"/>
      <c r="ES703" s="105"/>
      <c r="ET703" s="105"/>
      <c r="EU703" s="105"/>
      <c r="EV703" s="105"/>
      <c r="EW703" s="105"/>
      <c r="EX703" s="105"/>
      <c r="EY703" s="105"/>
      <c r="EZ703" s="105"/>
      <c r="FA703" s="105"/>
      <c r="FB703" s="105"/>
      <c r="FC703" s="105"/>
      <c r="FD703" s="105"/>
      <c r="FE703" s="105"/>
      <c r="FF703" s="105"/>
      <c r="FG703" s="105"/>
      <c r="FH703" s="105"/>
      <c r="FI703" s="105"/>
      <c r="FJ703" s="105"/>
      <c r="FK703" s="105"/>
      <c r="FL703" s="105"/>
      <c r="FM703" s="105"/>
      <c r="FN703" s="105"/>
      <c r="FO703" s="105"/>
      <c r="FP703" s="105"/>
      <c r="FQ703" s="105"/>
      <c r="FR703" s="105"/>
      <c r="FS703" s="105"/>
      <c r="FT703" s="105"/>
      <c r="FU703" s="105"/>
      <c r="FV703" s="105"/>
      <c r="FW703" s="105"/>
      <c r="FX703" s="105"/>
      <c r="FY703" s="105"/>
      <c r="FZ703" s="105"/>
      <c r="GA703" s="105"/>
      <c r="GB703" s="105"/>
      <c r="GC703" s="105"/>
      <c r="GD703" s="105"/>
      <c r="GE703" s="105"/>
      <c r="GF703" s="105"/>
      <c r="GG703" s="105"/>
      <c r="GH703" s="105"/>
      <c r="GI703" s="105"/>
      <c r="GJ703" s="105"/>
      <c r="GK703" s="105"/>
      <c r="GL703" s="105"/>
      <c r="GM703" s="105"/>
      <c r="GN703" s="105"/>
      <c r="GO703" s="105"/>
      <c r="GP703" s="105"/>
      <c r="GQ703" s="105"/>
      <c r="GR703" s="105"/>
      <c r="GS703" s="105"/>
      <c r="GT703" s="105"/>
      <c r="GU703" s="105"/>
      <c r="GV703" s="105"/>
      <c r="GW703" s="105"/>
      <c r="GX703" s="105"/>
      <c r="GY703" s="105"/>
      <c r="GZ703" s="105"/>
      <c r="HA703" s="105"/>
      <c r="HB703" s="105"/>
      <c r="HC703" s="105"/>
      <c r="HD703" s="105"/>
      <c r="HE703" s="105"/>
      <c r="HF703" s="105"/>
      <c r="HG703" s="105"/>
      <c r="HH703" s="105"/>
      <c r="HI703" s="105"/>
      <c r="HJ703" s="105"/>
      <c r="HK703" s="105"/>
      <c r="HL703" s="105"/>
      <c r="HM703" s="105"/>
      <c r="HN703" s="105"/>
      <c r="HO703" s="105"/>
      <c r="HP703" s="105"/>
      <c r="HQ703" s="105"/>
      <c r="HR703" s="105"/>
      <c r="HS703" s="105"/>
      <c r="HT703" s="105"/>
      <c r="HU703" s="105"/>
      <c r="HV703" s="105"/>
      <c r="HW703" s="105"/>
      <c r="HX703" s="105"/>
      <c r="HY703" s="105"/>
      <c r="HZ703" s="105"/>
      <c r="IA703" s="105"/>
      <c r="IB703" s="105"/>
      <c r="IC703" s="105"/>
      <c r="ID703" s="105"/>
      <c r="IE703" s="105"/>
      <c r="IF703" s="105"/>
      <c r="IG703" s="105"/>
      <c r="IH703" s="105"/>
      <c r="II703" s="105"/>
      <c r="IJ703" s="105"/>
      <c r="IK703" s="105"/>
      <c r="IL703" s="105"/>
      <c r="IM703" s="105"/>
      <c r="IN703" s="105"/>
      <c r="IO703" s="105"/>
      <c r="IP703" s="105"/>
      <c r="IQ703" s="105"/>
      <c r="IR703" s="105"/>
      <c r="IS703" s="105"/>
    </row>
    <row r="704" spans="1:253">
      <c r="A704" s="116"/>
      <c r="B704" s="105"/>
      <c r="C704" s="116"/>
      <c r="D704" s="116"/>
      <c r="E704" s="116"/>
      <c r="F704" s="116"/>
      <c r="G704" s="116"/>
      <c r="H704" s="116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  <c r="BF704" s="105"/>
      <c r="BG704" s="105"/>
      <c r="BH704" s="105"/>
      <c r="BI704" s="105"/>
      <c r="BJ704" s="105"/>
      <c r="BK704" s="105"/>
      <c r="BL704" s="105"/>
      <c r="BM704" s="105"/>
      <c r="BN704" s="105"/>
      <c r="BO704" s="105"/>
      <c r="BP704" s="105"/>
      <c r="BQ704" s="105"/>
      <c r="BR704" s="105"/>
      <c r="BS704" s="105"/>
      <c r="BT704" s="105"/>
      <c r="BU704" s="105"/>
      <c r="BV704" s="105"/>
      <c r="BW704" s="105"/>
      <c r="BX704" s="105"/>
      <c r="BY704" s="105"/>
      <c r="BZ704" s="105"/>
      <c r="CA704" s="105"/>
      <c r="CB704" s="105"/>
      <c r="CC704" s="105"/>
      <c r="CD704" s="105"/>
      <c r="CE704" s="105"/>
      <c r="CF704" s="105"/>
      <c r="CG704" s="105"/>
      <c r="CH704" s="105"/>
      <c r="CI704" s="105"/>
      <c r="CJ704" s="105"/>
      <c r="CK704" s="105"/>
      <c r="CL704" s="105"/>
      <c r="CM704" s="105"/>
      <c r="CN704" s="105"/>
      <c r="CO704" s="105"/>
      <c r="CP704" s="105"/>
      <c r="CQ704" s="105"/>
      <c r="CR704" s="105"/>
      <c r="CS704" s="105"/>
      <c r="CT704" s="105"/>
      <c r="CU704" s="105"/>
      <c r="CV704" s="105"/>
      <c r="CW704" s="105"/>
      <c r="CX704" s="105"/>
      <c r="CY704" s="105"/>
      <c r="CZ704" s="105"/>
      <c r="DA704" s="105"/>
      <c r="DB704" s="105"/>
      <c r="DC704" s="105"/>
      <c r="DD704" s="105"/>
      <c r="DE704" s="105"/>
      <c r="DF704" s="105"/>
      <c r="DG704" s="105"/>
      <c r="DH704" s="105"/>
      <c r="DI704" s="105"/>
      <c r="DJ704" s="105"/>
      <c r="DK704" s="105"/>
      <c r="DL704" s="105"/>
      <c r="DM704" s="105"/>
      <c r="DN704" s="105"/>
      <c r="DO704" s="105"/>
      <c r="DP704" s="105"/>
      <c r="DQ704" s="105"/>
      <c r="DR704" s="105"/>
      <c r="DS704" s="105"/>
      <c r="DT704" s="105"/>
      <c r="DU704" s="105"/>
      <c r="DV704" s="105"/>
      <c r="DW704" s="105"/>
      <c r="DX704" s="105"/>
      <c r="DY704" s="105"/>
      <c r="DZ704" s="105"/>
      <c r="EA704" s="105"/>
      <c r="EB704" s="105"/>
      <c r="EC704" s="105"/>
      <c r="ED704" s="105"/>
      <c r="EE704" s="105"/>
      <c r="EF704" s="105"/>
      <c r="EG704" s="105"/>
      <c r="EH704" s="105"/>
      <c r="EI704" s="105"/>
      <c r="EJ704" s="105"/>
      <c r="EK704" s="105"/>
      <c r="EL704" s="105"/>
      <c r="EM704" s="105"/>
      <c r="EN704" s="105"/>
      <c r="EO704" s="105"/>
      <c r="EP704" s="105"/>
      <c r="EQ704" s="105"/>
      <c r="ER704" s="105"/>
      <c r="ES704" s="105"/>
      <c r="ET704" s="105"/>
      <c r="EU704" s="105"/>
      <c r="EV704" s="105"/>
      <c r="EW704" s="105"/>
      <c r="EX704" s="105"/>
      <c r="EY704" s="105"/>
      <c r="EZ704" s="105"/>
      <c r="FA704" s="105"/>
      <c r="FB704" s="105"/>
      <c r="FC704" s="105"/>
      <c r="FD704" s="105"/>
      <c r="FE704" s="105"/>
      <c r="FF704" s="105"/>
      <c r="FG704" s="105"/>
      <c r="FH704" s="105"/>
      <c r="FI704" s="105"/>
      <c r="FJ704" s="105"/>
      <c r="FK704" s="105"/>
      <c r="FL704" s="105"/>
      <c r="FM704" s="105"/>
      <c r="FN704" s="105"/>
      <c r="FO704" s="105"/>
      <c r="FP704" s="105"/>
      <c r="FQ704" s="105"/>
      <c r="FR704" s="105"/>
      <c r="FS704" s="105"/>
      <c r="FT704" s="105"/>
      <c r="FU704" s="105"/>
      <c r="FV704" s="105"/>
      <c r="FW704" s="105"/>
      <c r="FX704" s="105"/>
      <c r="FY704" s="105"/>
      <c r="FZ704" s="105"/>
      <c r="GA704" s="105"/>
      <c r="GB704" s="105"/>
      <c r="GC704" s="105"/>
      <c r="GD704" s="105"/>
      <c r="GE704" s="105"/>
      <c r="GF704" s="105"/>
      <c r="GG704" s="105"/>
      <c r="GH704" s="105"/>
      <c r="GI704" s="105"/>
      <c r="GJ704" s="105"/>
      <c r="GK704" s="105"/>
      <c r="GL704" s="105"/>
      <c r="GM704" s="105"/>
      <c r="GN704" s="105"/>
      <c r="GO704" s="105"/>
      <c r="GP704" s="105"/>
      <c r="GQ704" s="105"/>
      <c r="GR704" s="105"/>
      <c r="GS704" s="105"/>
      <c r="GT704" s="105"/>
      <c r="GU704" s="105"/>
      <c r="GV704" s="105"/>
      <c r="GW704" s="105"/>
      <c r="GX704" s="105"/>
      <c r="GY704" s="105"/>
      <c r="GZ704" s="105"/>
      <c r="HA704" s="105"/>
      <c r="HB704" s="105"/>
      <c r="HC704" s="105"/>
      <c r="HD704" s="105"/>
      <c r="HE704" s="105"/>
      <c r="HF704" s="105"/>
      <c r="HG704" s="105"/>
      <c r="HH704" s="105"/>
      <c r="HI704" s="105"/>
      <c r="HJ704" s="105"/>
      <c r="HK704" s="105"/>
      <c r="HL704" s="105"/>
      <c r="HM704" s="105"/>
      <c r="HN704" s="105"/>
      <c r="HO704" s="105"/>
      <c r="HP704" s="105"/>
      <c r="HQ704" s="105"/>
      <c r="HR704" s="105"/>
      <c r="HS704" s="105"/>
      <c r="HT704" s="105"/>
      <c r="HU704" s="105"/>
      <c r="HV704" s="105"/>
      <c r="HW704" s="105"/>
      <c r="HX704" s="105"/>
      <c r="HY704" s="105"/>
      <c r="HZ704" s="105"/>
      <c r="IA704" s="105"/>
      <c r="IB704" s="105"/>
      <c r="IC704" s="105"/>
      <c r="ID704" s="105"/>
      <c r="IE704" s="105"/>
      <c r="IF704" s="105"/>
      <c r="IG704" s="105"/>
      <c r="IH704" s="105"/>
      <c r="II704" s="105"/>
      <c r="IJ704" s="105"/>
      <c r="IK704" s="105"/>
      <c r="IL704" s="105"/>
      <c r="IM704" s="105"/>
      <c r="IN704" s="105"/>
      <c r="IO704" s="105"/>
      <c r="IP704" s="105"/>
      <c r="IQ704" s="105"/>
      <c r="IR704" s="105"/>
      <c r="IS704" s="105"/>
    </row>
    <row r="705" spans="1:253">
      <c r="A705" s="116"/>
      <c r="B705" s="105"/>
      <c r="C705" s="116"/>
      <c r="D705" s="116"/>
      <c r="E705" s="116"/>
      <c r="F705" s="116"/>
      <c r="G705" s="116"/>
      <c r="H705" s="116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05"/>
      <c r="BF705" s="105"/>
      <c r="BG705" s="105"/>
      <c r="BH705" s="105"/>
      <c r="BI705" s="105"/>
      <c r="BJ705" s="105"/>
      <c r="BK705" s="105"/>
      <c r="BL705" s="105"/>
      <c r="BM705" s="105"/>
      <c r="BN705" s="105"/>
      <c r="BO705" s="105"/>
      <c r="BP705" s="105"/>
      <c r="BQ705" s="105"/>
      <c r="BR705" s="105"/>
      <c r="BS705" s="105"/>
      <c r="BT705" s="105"/>
      <c r="BU705" s="105"/>
      <c r="BV705" s="105"/>
      <c r="BW705" s="105"/>
      <c r="BX705" s="105"/>
      <c r="BY705" s="105"/>
      <c r="BZ705" s="105"/>
      <c r="CA705" s="105"/>
      <c r="CB705" s="105"/>
      <c r="CC705" s="105"/>
      <c r="CD705" s="105"/>
      <c r="CE705" s="105"/>
      <c r="CF705" s="105"/>
      <c r="CG705" s="105"/>
      <c r="CH705" s="105"/>
      <c r="CI705" s="105"/>
      <c r="CJ705" s="105"/>
      <c r="CK705" s="105"/>
      <c r="CL705" s="105"/>
      <c r="CM705" s="105"/>
      <c r="CN705" s="105"/>
      <c r="CO705" s="105"/>
      <c r="CP705" s="105"/>
      <c r="CQ705" s="105"/>
      <c r="CR705" s="105"/>
      <c r="CS705" s="105"/>
      <c r="CT705" s="105"/>
      <c r="CU705" s="105"/>
      <c r="CV705" s="105"/>
      <c r="CW705" s="105"/>
      <c r="CX705" s="105"/>
      <c r="CY705" s="105"/>
      <c r="CZ705" s="105"/>
      <c r="DA705" s="105"/>
      <c r="DB705" s="105"/>
      <c r="DC705" s="105"/>
      <c r="DD705" s="105"/>
      <c r="DE705" s="105"/>
      <c r="DF705" s="105"/>
      <c r="DG705" s="105"/>
      <c r="DH705" s="105"/>
      <c r="DI705" s="105"/>
      <c r="DJ705" s="105"/>
      <c r="DK705" s="105"/>
      <c r="DL705" s="105"/>
      <c r="DM705" s="105"/>
      <c r="DN705" s="105"/>
      <c r="DO705" s="105"/>
      <c r="DP705" s="105"/>
      <c r="DQ705" s="105"/>
      <c r="DR705" s="105"/>
      <c r="DS705" s="105"/>
      <c r="DT705" s="105"/>
      <c r="DU705" s="105"/>
      <c r="DV705" s="105"/>
      <c r="DW705" s="105"/>
      <c r="DX705" s="105"/>
      <c r="DY705" s="105"/>
      <c r="DZ705" s="105"/>
      <c r="EA705" s="105"/>
      <c r="EB705" s="105"/>
      <c r="EC705" s="105"/>
      <c r="ED705" s="105"/>
      <c r="EE705" s="105"/>
      <c r="EF705" s="105"/>
      <c r="EG705" s="105"/>
      <c r="EH705" s="105"/>
      <c r="EI705" s="105"/>
      <c r="EJ705" s="105"/>
      <c r="EK705" s="105"/>
      <c r="EL705" s="105"/>
      <c r="EM705" s="105"/>
      <c r="EN705" s="105"/>
      <c r="EO705" s="105"/>
      <c r="EP705" s="105"/>
      <c r="EQ705" s="105"/>
      <c r="ER705" s="105"/>
      <c r="ES705" s="105"/>
      <c r="ET705" s="105"/>
      <c r="EU705" s="105"/>
      <c r="EV705" s="105"/>
      <c r="EW705" s="105"/>
      <c r="EX705" s="105"/>
      <c r="EY705" s="105"/>
      <c r="EZ705" s="105"/>
      <c r="FA705" s="105"/>
      <c r="FB705" s="105"/>
      <c r="FC705" s="105"/>
      <c r="FD705" s="105"/>
      <c r="FE705" s="105"/>
      <c r="FF705" s="105"/>
      <c r="FG705" s="105"/>
      <c r="FH705" s="105"/>
      <c r="FI705" s="105"/>
      <c r="FJ705" s="105"/>
      <c r="FK705" s="105"/>
      <c r="FL705" s="105"/>
      <c r="FM705" s="105"/>
      <c r="FN705" s="105"/>
      <c r="FO705" s="105"/>
      <c r="FP705" s="105"/>
      <c r="FQ705" s="105"/>
      <c r="FR705" s="105"/>
      <c r="FS705" s="105"/>
      <c r="FT705" s="105"/>
      <c r="FU705" s="105"/>
      <c r="FV705" s="105"/>
      <c r="FW705" s="105"/>
      <c r="FX705" s="105"/>
      <c r="FY705" s="105"/>
      <c r="FZ705" s="105"/>
      <c r="GA705" s="105"/>
      <c r="GB705" s="105"/>
      <c r="GC705" s="105"/>
      <c r="GD705" s="105"/>
      <c r="GE705" s="105"/>
      <c r="GF705" s="105"/>
      <c r="GG705" s="105"/>
      <c r="GH705" s="105"/>
      <c r="GI705" s="105"/>
      <c r="GJ705" s="105"/>
      <c r="GK705" s="105"/>
      <c r="GL705" s="105"/>
      <c r="GM705" s="105"/>
      <c r="GN705" s="105"/>
      <c r="GO705" s="105"/>
      <c r="GP705" s="105"/>
      <c r="GQ705" s="105"/>
      <c r="GR705" s="105"/>
      <c r="GS705" s="105"/>
      <c r="GT705" s="105"/>
      <c r="GU705" s="105"/>
      <c r="GV705" s="105"/>
      <c r="GW705" s="105"/>
      <c r="GX705" s="105"/>
      <c r="GY705" s="105"/>
      <c r="GZ705" s="105"/>
      <c r="HA705" s="105"/>
      <c r="HB705" s="105"/>
      <c r="HC705" s="105"/>
      <c r="HD705" s="105"/>
      <c r="HE705" s="105"/>
      <c r="HF705" s="105"/>
      <c r="HG705" s="105"/>
      <c r="HH705" s="105"/>
      <c r="HI705" s="105"/>
      <c r="HJ705" s="105"/>
      <c r="HK705" s="105"/>
      <c r="HL705" s="105"/>
      <c r="HM705" s="105"/>
      <c r="HN705" s="105"/>
      <c r="HO705" s="105"/>
      <c r="HP705" s="105"/>
      <c r="HQ705" s="105"/>
      <c r="HR705" s="105"/>
      <c r="HS705" s="105"/>
      <c r="HT705" s="105"/>
      <c r="HU705" s="105"/>
      <c r="HV705" s="105"/>
      <c r="HW705" s="105"/>
      <c r="HX705" s="105"/>
      <c r="HY705" s="105"/>
      <c r="HZ705" s="105"/>
      <c r="IA705" s="105"/>
      <c r="IB705" s="105"/>
      <c r="IC705" s="105"/>
      <c r="ID705" s="105"/>
      <c r="IE705" s="105"/>
      <c r="IF705" s="105"/>
      <c r="IG705" s="105"/>
      <c r="IH705" s="105"/>
      <c r="II705" s="105"/>
      <c r="IJ705" s="105"/>
      <c r="IK705" s="105"/>
      <c r="IL705" s="105"/>
      <c r="IM705" s="105"/>
      <c r="IN705" s="105"/>
      <c r="IO705" s="105"/>
      <c r="IP705" s="105"/>
      <c r="IQ705" s="105"/>
      <c r="IR705" s="105"/>
      <c r="IS705" s="105"/>
    </row>
    <row r="706" spans="1:253">
      <c r="A706" s="116"/>
      <c r="B706" s="105"/>
      <c r="C706" s="116"/>
      <c r="D706" s="116"/>
      <c r="E706" s="116"/>
      <c r="F706" s="116"/>
      <c r="G706" s="116"/>
      <c r="H706" s="116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  <c r="BF706" s="105"/>
      <c r="BG706" s="105"/>
      <c r="BH706" s="105"/>
      <c r="BI706" s="105"/>
      <c r="BJ706" s="105"/>
      <c r="BK706" s="105"/>
      <c r="BL706" s="105"/>
      <c r="BM706" s="105"/>
      <c r="BN706" s="105"/>
      <c r="BO706" s="105"/>
      <c r="BP706" s="105"/>
      <c r="BQ706" s="105"/>
      <c r="BR706" s="105"/>
      <c r="BS706" s="105"/>
      <c r="BT706" s="105"/>
      <c r="BU706" s="105"/>
      <c r="BV706" s="105"/>
      <c r="BW706" s="105"/>
      <c r="BX706" s="105"/>
      <c r="BY706" s="105"/>
      <c r="BZ706" s="105"/>
      <c r="CA706" s="105"/>
      <c r="CB706" s="105"/>
      <c r="CC706" s="105"/>
      <c r="CD706" s="105"/>
      <c r="CE706" s="105"/>
      <c r="CF706" s="105"/>
      <c r="CG706" s="105"/>
      <c r="CH706" s="105"/>
      <c r="CI706" s="105"/>
      <c r="CJ706" s="105"/>
      <c r="CK706" s="105"/>
      <c r="CL706" s="105"/>
      <c r="CM706" s="105"/>
      <c r="CN706" s="105"/>
      <c r="CO706" s="105"/>
      <c r="CP706" s="105"/>
      <c r="CQ706" s="105"/>
      <c r="CR706" s="105"/>
      <c r="CS706" s="105"/>
      <c r="CT706" s="105"/>
      <c r="CU706" s="105"/>
      <c r="CV706" s="105"/>
      <c r="CW706" s="105"/>
      <c r="CX706" s="105"/>
      <c r="CY706" s="105"/>
      <c r="CZ706" s="105"/>
      <c r="DA706" s="105"/>
      <c r="DB706" s="105"/>
      <c r="DC706" s="105"/>
      <c r="DD706" s="105"/>
      <c r="DE706" s="105"/>
      <c r="DF706" s="105"/>
      <c r="DG706" s="105"/>
      <c r="DH706" s="105"/>
      <c r="DI706" s="105"/>
      <c r="DJ706" s="105"/>
      <c r="DK706" s="105"/>
      <c r="DL706" s="105"/>
      <c r="DM706" s="105"/>
      <c r="DN706" s="105"/>
      <c r="DO706" s="105"/>
      <c r="DP706" s="105"/>
      <c r="DQ706" s="105"/>
      <c r="DR706" s="105"/>
      <c r="DS706" s="105"/>
      <c r="DT706" s="105"/>
      <c r="DU706" s="105"/>
      <c r="DV706" s="105"/>
      <c r="DW706" s="105"/>
      <c r="DX706" s="105"/>
      <c r="DY706" s="105"/>
      <c r="DZ706" s="105"/>
      <c r="EA706" s="105"/>
      <c r="EB706" s="105"/>
      <c r="EC706" s="105"/>
      <c r="ED706" s="105"/>
      <c r="EE706" s="105"/>
      <c r="EF706" s="105"/>
      <c r="EG706" s="105"/>
      <c r="EH706" s="105"/>
      <c r="EI706" s="105"/>
      <c r="EJ706" s="105"/>
      <c r="EK706" s="105"/>
      <c r="EL706" s="105"/>
      <c r="EM706" s="105"/>
      <c r="EN706" s="105"/>
      <c r="EO706" s="105"/>
      <c r="EP706" s="105"/>
      <c r="EQ706" s="105"/>
      <c r="ER706" s="105"/>
      <c r="ES706" s="105"/>
      <c r="ET706" s="105"/>
      <c r="EU706" s="105"/>
      <c r="EV706" s="105"/>
      <c r="EW706" s="105"/>
      <c r="EX706" s="105"/>
      <c r="EY706" s="105"/>
      <c r="EZ706" s="105"/>
      <c r="FA706" s="105"/>
      <c r="FB706" s="105"/>
      <c r="FC706" s="105"/>
      <c r="FD706" s="105"/>
      <c r="FE706" s="105"/>
      <c r="FF706" s="105"/>
      <c r="FG706" s="105"/>
      <c r="FH706" s="105"/>
      <c r="FI706" s="105"/>
      <c r="FJ706" s="105"/>
      <c r="FK706" s="105"/>
      <c r="FL706" s="105"/>
      <c r="FM706" s="105"/>
      <c r="FN706" s="105"/>
      <c r="FO706" s="105"/>
      <c r="FP706" s="105"/>
      <c r="FQ706" s="105"/>
      <c r="FR706" s="105"/>
      <c r="FS706" s="105"/>
      <c r="FT706" s="105"/>
      <c r="FU706" s="105"/>
      <c r="FV706" s="105"/>
      <c r="FW706" s="105"/>
      <c r="FX706" s="105"/>
      <c r="FY706" s="105"/>
      <c r="FZ706" s="105"/>
      <c r="GA706" s="105"/>
      <c r="GB706" s="105"/>
      <c r="GC706" s="105"/>
      <c r="GD706" s="105"/>
      <c r="GE706" s="105"/>
      <c r="GF706" s="105"/>
      <c r="GG706" s="105"/>
      <c r="GH706" s="105"/>
      <c r="GI706" s="105"/>
      <c r="GJ706" s="105"/>
      <c r="GK706" s="105"/>
      <c r="GL706" s="105"/>
      <c r="GM706" s="105"/>
      <c r="GN706" s="105"/>
      <c r="GO706" s="105"/>
      <c r="GP706" s="105"/>
      <c r="GQ706" s="105"/>
      <c r="GR706" s="105"/>
      <c r="GS706" s="105"/>
      <c r="GT706" s="105"/>
      <c r="GU706" s="105"/>
      <c r="GV706" s="105"/>
      <c r="GW706" s="105"/>
      <c r="GX706" s="105"/>
      <c r="GY706" s="105"/>
      <c r="GZ706" s="105"/>
      <c r="HA706" s="105"/>
      <c r="HB706" s="105"/>
      <c r="HC706" s="105"/>
      <c r="HD706" s="105"/>
      <c r="HE706" s="105"/>
      <c r="HF706" s="105"/>
      <c r="HG706" s="105"/>
      <c r="HH706" s="105"/>
      <c r="HI706" s="105"/>
      <c r="HJ706" s="105"/>
      <c r="HK706" s="105"/>
      <c r="HL706" s="105"/>
      <c r="HM706" s="105"/>
      <c r="HN706" s="105"/>
      <c r="HO706" s="105"/>
      <c r="HP706" s="105"/>
      <c r="HQ706" s="105"/>
      <c r="HR706" s="105"/>
      <c r="HS706" s="105"/>
      <c r="HT706" s="105"/>
      <c r="HU706" s="105"/>
      <c r="HV706" s="105"/>
      <c r="HW706" s="105"/>
      <c r="HX706" s="105"/>
      <c r="HY706" s="105"/>
      <c r="HZ706" s="105"/>
      <c r="IA706" s="105"/>
      <c r="IB706" s="105"/>
      <c r="IC706" s="105"/>
      <c r="ID706" s="105"/>
      <c r="IE706" s="105"/>
      <c r="IF706" s="105"/>
      <c r="IG706" s="105"/>
      <c r="IH706" s="105"/>
      <c r="II706" s="105"/>
      <c r="IJ706" s="105"/>
      <c r="IK706" s="105"/>
      <c r="IL706" s="105"/>
      <c r="IM706" s="105"/>
      <c r="IN706" s="105"/>
      <c r="IO706" s="105"/>
      <c r="IP706" s="105"/>
      <c r="IQ706" s="105"/>
      <c r="IR706" s="105"/>
      <c r="IS706" s="105"/>
    </row>
    <row r="707" spans="1:253">
      <c r="A707" s="116"/>
      <c r="B707" s="105"/>
      <c r="C707" s="116"/>
      <c r="D707" s="116"/>
      <c r="E707" s="116"/>
      <c r="F707" s="116"/>
      <c r="G707" s="116"/>
      <c r="H707" s="116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05"/>
      <c r="BF707" s="105"/>
      <c r="BG707" s="105"/>
      <c r="BH707" s="105"/>
      <c r="BI707" s="105"/>
      <c r="BJ707" s="105"/>
      <c r="BK707" s="105"/>
      <c r="BL707" s="105"/>
      <c r="BM707" s="105"/>
      <c r="BN707" s="105"/>
      <c r="BO707" s="105"/>
      <c r="BP707" s="105"/>
      <c r="BQ707" s="105"/>
      <c r="BR707" s="105"/>
      <c r="BS707" s="105"/>
      <c r="BT707" s="105"/>
      <c r="BU707" s="105"/>
      <c r="BV707" s="105"/>
      <c r="BW707" s="105"/>
      <c r="BX707" s="105"/>
      <c r="BY707" s="105"/>
      <c r="BZ707" s="105"/>
      <c r="CA707" s="105"/>
      <c r="CB707" s="105"/>
      <c r="CC707" s="105"/>
      <c r="CD707" s="105"/>
      <c r="CE707" s="105"/>
      <c r="CF707" s="105"/>
      <c r="CG707" s="105"/>
      <c r="CH707" s="105"/>
      <c r="CI707" s="105"/>
      <c r="CJ707" s="105"/>
      <c r="CK707" s="105"/>
      <c r="CL707" s="105"/>
      <c r="CM707" s="105"/>
      <c r="CN707" s="105"/>
      <c r="CO707" s="105"/>
      <c r="CP707" s="105"/>
      <c r="CQ707" s="105"/>
      <c r="CR707" s="105"/>
      <c r="CS707" s="105"/>
      <c r="CT707" s="105"/>
      <c r="CU707" s="105"/>
      <c r="CV707" s="105"/>
      <c r="CW707" s="105"/>
      <c r="CX707" s="105"/>
      <c r="CY707" s="105"/>
      <c r="CZ707" s="105"/>
      <c r="DA707" s="105"/>
      <c r="DB707" s="105"/>
      <c r="DC707" s="105"/>
      <c r="DD707" s="105"/>
      <c r="DE707" s="105"/>
      <c r="DF707" s="105"/>
      <c r="DG707" s="105"/>
      <c r="DH707" s="105"/>
      <c r="DI707" s="105"/>
      <c r="DJ707" s="105"/>
      <c r="DK707" s="105"/>
      <c r="DL707" s="105"/>
      <c r="DM707" s="105"/>
      <c r="DN707" s="105"/>
      <c r="DO707" s="105"/>
      <c r="DP707" s="105"/>
      <c r="DQ707" s="105"/>
      <c r="DR707" s="105"/>
      <c r="DS707" s="105"/>
      <c r="DT707" s="105"/>
      <c r="DU707" s="105"/>
      <c r="DV707" s="105"/>
      <c r="DW707" s="105"/>
      <c r="DX707" s="105"/>
      <c r="DY707" s="105"/>
      <c r="DZ707" s="105"/>
      <c r="EA707" s="105"/>
      <c r="EB707" s="105"/>
      <c r="EC707" s="105"/>
      <c r="ED707" s="105"/>
      <c r="EE707" s="105"/>
      <c r="EF707" s="105"/>
      <c r="EG707" s="105"/>
      <c r="EH707" s="105"/>
      <c r="EI707" s="105"/>
      <c r="EJ707" s="105"/>
      <c r="EK707" s="105"/>
      <c r="EL707" s="105"/>
      <c r="EM707" s="105"/>
      <c r="EN707" s="105"/>
      <c r="EO707" s="105"/>
      <c r="EP707" s="105"/>
      <c r="EQ707" s="105"/>
      <c r="ER707" s="105"/>
      <c r="ES707" s="105"/>
      <c r="ET707" s="105"/>
      <c r="EU707" s="105"/>
      <c r="EV707" s="105"/>
      <c r="EW707" s="105"/>
      <c r="EX707" s="105"/>
      <c r="EY707" s="105"/>
      <c r="EZ707" s="105"/>
      <c r="FA707" s="105"/>
      <c r="FB707" s="105"/>
      <c r="FC707" s="105"/>
      <c r="FD707" s="105"/>
      <c r="FE707" s="105"/>
      <c r="FF707" s="105"/>
      <c r="FG707" s="105"/>
      <c r="FH707" s="105"/>
      <c r="FI707" s="105"/>
      <c r="FJ707" s="105"/>
      <c r="FK707" s="105"/>
      <c r="FL707" s="105"/>
      <c r="FM707" s="105"/>
      <c r="FN707" s="105"/>
      <c r="FO707" s="105"/>
      <c r="FP707" s="105"/>
      <c r="FQ707" s="105"/>
      <c r="FR707" s="105"/>
      <c r="FS707" s="105"/>
      <c r="FT707" s="105"/>
      <c r="FU707" s="105"/>
      <c r="FV707" s="105"/>
      <c r="FW707" s="105"/>
      <c r="FX707" s="105"/>
      <c r="FY707" s="105"/>
      <c r="FZ707" s="105"/>
      <c r="GA707" s="105"/>
      <c r="GB707" s="105"/>
      <c r="GC707" s="105"/>
      <c r="GD707" s="105"/>
      <c r="GE707" s="105"/>
      <c r="GF707" s="105"/>
      <c r="GG707" s="105"/>
      <c r="GH707" s="105"/>
      <c r="GI707" s="105"/>
      <c r="GJ707" s="105"/>
      <c r="GK707" s="105"/>
      <c r="GL707" s="105"/>
      <c r="GM707" s="105"/>
      <c r="GN707" s="105"/>
      <c r="GO707" s="105"/>
      <c r="GP707" s="105"/>
      <c r="GQ707" s="105"/>
      <c r="GR707" s="105"/>
      <c r="GS707" s="105"/>
      <c r="GT707" s="105"/>
      <c r="GU707" s="105"/>
      <c r="GV707" s="105"/>
      <c r="GW707" s="105"/>
      <c r="GX707" s="105"/>
      <c r="GY707" s="105"/>
      <c r="GZ707" s="105"/>
      <c r="HA707" s="105"/>
      <c r="HB707" s="105"/>
      <c r="HC707" s="105"/>
      <c r="HD707" s="105"/>
      <c r="HE707" s="105"/>
      <c r="HF707" s="105"/>
      <c r="HG707" s="105"/>
      <c r="HH707" s="105"/>
      <c r="HI707" s="105"/>
      <c r="HJ707" s="105"/>
      <c r="HK707" s="105"/>
      <c r="HL707" s="105"/>
      <c r="HM707" s="105"/>
      <c r="HN707" s="105"/>
      <c r="HO707" s="105"/>
      <c r="HP707" s="105"/>
      <c r="HQ707" s="105"/>
      <c r="HR707" s="105"/>
      <c r="HS707" s="105"/>
      <c r="HT707" s="105"/>
      <c r="HU707" s="105"/>
      <c r="HV707" s="105"/>
      <c r="HW707" s="105"/>
      <c r="HX707" s="105"/>
      <c r="HY707" s="105"/>
      <c r="HZ707" s="105"/>
      <c r="IA707" s="105"/>
      <c r="IB707" s="105"/>
      <c r="IC707" s="105"/>
      <c r="ID707" s="105"/>
      <c r="IE707" s="105"/>
      <c r="IF707" s="105"/>
      <c r="IG707" s="105"/>
      <c r="IH707" s="105"/>
      <c r="II707" s="105"/>
      <c r="IJ707" s="105"/>
      <c r="IK707" s="105"/>
      <c r="IL707" s="105"/>
      <c r="IM707" s="105"/>
      <c r="IN707" s="105"/>
      <c r="IO707" s="105"/>
      <c r="IP707" s="105"/>
      <c r="IQ707" s="105"/>
      <c r="IR707" s="105"/>
      <c r="IS707" s="105"/>
    </row>
    <row r="708" spans="1:253">
      <c r="A708" s="116"/>
      <c r="B708" s="105"/>
      <c r="C708" s="116"/>
      <c r="D708" s="116"/>
      <c r="E708" s="116"/>
      <c r="F708" s="116"/>
      <c r="G708" s="116"/>
      <c r="H708" s="116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05"/>
      <c r="BF708" s="105"/>
      <c r="BG708" s="105"/>
      <c r="BH708" s="105"/>
      <c r="BI708" s="105"/>
      <c r="BJ708" s="105"/>
      <c r="BK708" s="105"/>
      <c r="BL708" s="105"/>
      <c r="BM708" s="105"/>
      <c r="BN708" s="105"/>
      <c r="BO708" s="105"/>
      <c r="BP708" s="105"/>
      <c r="BQ708" s="105"/>
      <c r="BR708" s="105"/>
      <c r="BS708" s="105"/>
      <c r="BT708" s="105"/>
      <c r="BU708" s="105"/>
      <c r="BV708" s="105"/>
      <c r="BW708" s="105"/>
      <c r="BX708" s="105"/>
      <c r="BY708" s="105"/>
      <c r="BZ708" s="105"/>
      <c r="CA708" s="105"/>
      <c r="CB708" s="105"/>
      <c r="CC708" s="105"/>
      <c r="CD708" s="105"/>
      <c r="CE708" s="105"/>
      <c r="CF708" s="105"/>
      <c r="CG708" s="105"/>
      <c r="CH708" s="105"/>
      <c r="CI708" s="105"/>
      <c r="CJ708" s="105"/>
      <c r="CK708" s="105"/>
      <c r="CL708" s="105"/>
      <c r="CM708" s="105"/>
      <c r="CN708" s="105"/>
      <c r="CO708" s="105"/>
      <c r="CP708" s="105"/>
      <c r="CQ708" s="105"/>
      <c r="CR708" s="105"/>
      <c r="CS708" s="105"/>
      <c r="CT708" s="105"/>
      <c r="CU708" s="105"/>
      <c r="CV708" s="105"/>
      <c r="CW708" s="105"/>
      <c r="CX708" s="105"/>
      <c r="CY708" s="105"/>
      <c r="CZ708" s="105"/>
      <c r="DA708" s="105"/>
      <c r="DB708" s="105"/>
      <c r="DC708" s="105"/>
      <c r="DD708" s="105"/>
      <c r="DE708" s="105"/>
      <c r="DF708" s="105"/>
      <c r="DG708" s="105"/>
      <c r="DH708" s="105"/>
      <c r="DI708" s="105"/>
      <c r="DJ708" s="105"/>
      <c r="DK708" s="105"/>
      <c r="DL708" s="105"/>
      <c r="DM708" s="105"/>
      <c r="DN708" s="105"/>
      <c r="DO708" s="105"/>
      <c r="DP708" s="105"/>
      <c r="DQ708" s="105"/>
      <c r="DR708" s="105"/>
      <c r="DS708" s="105"/>
      <c r="DT708" s="105"/>
      <c r="DU708" s="105"/>
      <c r="DV708" s="105"/>
      <c r="DW708" s="105"/>
      <c r="DX708" s="105"/>
      <c r="DY708" s="105"/>
      <c r="DZ708" s="105"/>
      <c r="EA708" s="105"/>
      <c r="EB708" s="105"/>
      <c r="EC708" s="105"/>
      <c r="ED708" s="105"/>
      <c r="EE708" s="105"/>
      <c r="EF708" s="105"/>
      <c r="EG708" s="105"/>
      <c r="EH708" s="105"/>
      <c r="EI708" s="105"/>
      <c r="EJ708" s="105"/>
      <c r="EK708" s="105"/>
      <c r="EL708" s="105"/>
      <c r="EM708" s="105"/>
      <c r="EN708" s="105"/>
      <c r="EO708" s="105"/>
      <c r="EP708" s="105"/>
      <c r="EQ708" s="105"/>
      <c r="ER708" s="105"/>
      <c r="ES708" s="105"/>
      <c r="ET708" s="105"/>
      <c r="EU708" s="105"/>
      <c r="EV708" s="105"/>
      <c r="EW708" s="105"/>
      <c r="EX708" s="105"/>
      <c r="EY708" s="105"/>
      <c r="EZ708" s="105"/>
      <c r="FA708" s="105"/>
      <c r="FB708" s="105"/>
      <c r="FC708" s="105"/>
      <c r="FD708" s="105"/>
      <c r="FE708" s="105"/>
      <c r="FF708" s="105"/>
      <c r="FG708" s="105"/>
      <c r="FH708" s="105"/>
      <c r="FI708" s="105"/>
      <c r="FJ708" s="105"/>
      <c r="FK708" s="105"/>
      <c r="FL708" s="105"/>
      <c r="FM708" s="105"/>
      <c r="FN708" s="105"/>
      <c r="FO708" s="105"/>
      <c r="FP708" s="105"/>
      <c r="FQ708" s="105"/>
      <c r="FR708" s="105"/>
      <c r="FS708" s="105"/>
      <c r="FT708" s="105"/>
      <c r="FU708" s="105"/>
      <c r="FV708" s="105"/>
      <c r="FW708" s="105"/>
      <c r="FX708" s="105"/>
      <c r="FY708" s="105"/>
      <c r="FZ708" s="105"/>
      <c r="GA708" s="105"/>
      <c r="GB708" s="105"/>
      <c r="GC708" s="105"/>
      <c r="GD708" s="105"/>
      <c r="GE708" s="105"/>
      <c r="GF708" s="105"/>
      <c r="GG708" s="105"/>
      <c r="GH708" s="105"/>
      <c r="GI708" s="105"/>
      <c r="GJ708" s="105"/>
      <c r="GK708" s="105"/>
      <c r="GL708" s="105"/>
      <c r="GM708" s="105"/>
      <c r="GN708" s="105"/>
      <c r="GO708" s="105"/>
      <c r="GP708" s="105"/>
      <c r="GQ708" s="105"/>
      <c r="GR708" s="105"/>
      <c r="GS708" s="105"/>
      <c r="GT708" s="105"/>
      <c r="GU708" s="105"/>
      <c r="GV708" s="105"/>
      <c r="GW708" s="105"/>
      <c r="GX708" s="105"/>
      <c r="GY708" s="105"/>
      <c r="GZ708" s="105"/>
      <c r="HA708" s="105"/>
      <c r="HB708" s="105"/>
      <c r="HC708" s="105"/>
      <c r="HD708" s="105"/>
      <c r="HE708" s="105"/>
      <c r="HF708" s="105"/>
      <c r="HG708" s="105"/>
      <c r="HH708" s="105"/>
      <c r="HI708" s="105"/>
      <c r="HJ708" s="105"/>
      <c r="HK708" s="105"/>
      <c r="HL708" s="105"/>
      <c r="HM708" s="105"/>
      <c r="HN708" s="105"/>
      <c r="HO708" s="105"/>
      <c r="HP708" s="105"/>
      <c r="HQ708" s="105"/>
      <c r="HR708" s="105"/>
      <c r="HS708" s="105"/>
      <c r="HT708" s="105"/>
      <c r="HU708" s="105"/>
      <c r="HV708" s="105"/>
      <c r="HW708" s="105"/>
      <c r="HX708" s="105"/>
      <c r="HY708" s="105"/>
      <c r="HZ708" s="105"/>
      <c r="IA708" s="105"/>
      <c r="IB708" s="105"/>
      <c r="IC708" s="105"/>
      <c r="ID708" s="105"/>
      <c r="IE708" s="105"/>
      <c r="IF708" s="105"/>
      <c r="IG708" s="105"/>
      <c r="IH708" s="105"/>
      <c r="II708" s="105"/>
      <c r="IJ708" s="105"/>
      <c r="IK708" s="105"/>
      <c r="IL708" s="105"/>
      <c r="IM708" s="105"/>
      <c r="IN708" s="105"/>
      <c r="IO708" s="105"/>
      <c r="IP708" s="105"/>
      <c r="IQ708" s="105"/>
      <c r="IR708" s="105"/>
      <c r="IS708" s="105"/>
    </row>
    <row r="709" spans="1:253">
      <c r="A709" s="116"/>
      <c r="B709" s="105"/>
      <c r="C709" s="116"/>
      <c r="D709" s="116"/>
      <c r="E709" s="116"/>
      <c r="F709" s="116"/>
      <c r="G709" s="116"/>
      <c r="H709" s="116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5"/>
      <c r="BE709" s="105"/>
      <c r="BF709" s="105"/>
      <c r="BG709" s="105"/>
      <c r="BH709" s="105"/>
      <c r="BI709" s="105"/>
      <c r="BJ709" s="105"/>
      <c r="BK709" s="105"/>
      <c r="BL709" s="105"/>
      <c r="BM709" s="105"/>
      <c r="BN709" s="105"/>
      <c r="BO709" s="105"/>
      <c r="BP709" s="105"/>
      <c r="BQ709" s="105"/>
      <c r="BR709" s="105"/>
      <c r="BS709" s="105"/>
      <c r="BT709" s="105"/>
      <c r="BU709" s="105"/>
      <c r="BV709" s="105"/>
      <c r="BW709" s="105"/>
      <c r="BX709" s="105"/>
      <c r="BY709" s="105"/>
      <c r="BZ709" s="105"/>
      <c r="CA709" s="105"/>
      <c r="CB709" s="105"/>
      <c r="CC709" s="105"/>
      <c r="CD709" s="105"/>
      <c r="CE709" s="105"/>
      <c r="CF709" s="105"/>
      <c r="CG709" s="105"/>
      <c r="CH709" s="105"/>
      <c r="CI709" s="105"/>
      <c r="CJ709" s="105"/>
      <c r="CK709" s="105"/>
      <c r="CL709" s="105"/>
      <c r="CM709" s="105"/>
      <c r="CN709" s="105"/>
      <c r="CO709" s="105"/>
      <c r="CP709" s="105"/>
      <c r="CQ709" s="105"/>
      <c r="CR709" s="105"/>
      <c r="CS709" s="105"/>
      <c r="CT709" s="105"/>
      <c r="CU709" s="105"/>
      <c r="CV709" s="105"/>
      <c r="CW709" s="105"/>
      <c r="CX709" s="105"/>
      <c r="CY709" s="105"/>
      <c r="CZ709" s="105"/>
      <c r="DA709" s="105"/>
      <c r="DB709" s="105"/>
      <c r="DC709" s="105"/>
      <c r="DD709" s="105"/>
      <c r="DE709" s="105"/>
      <c r="DF709" s="105"/>
      <c r="DG709" s="105"/>
      <c r="DH709" s="105"/>
      <c r="DI709" s="105"/>
      <c r="DJ709" s="105"/>
      <c r="DK709" s="105"/>
      <c r="DL709" s="105"/>
      <c r="DM709" s="105"/>
      <c r="DN709" s="105"/>
      <c r="DO709" s="105"/>
      <c r="DP709" s="105"/>
      <c r="DQ709" s="105"/>
      <c r="DR709" s="105"/>
      <c r="DS709" s="105"/>
      <c r="DT709" s="105"/>
      <c r="DU709" s="105"/>
      <c r="DV709" s="105"/>
      <c r="DW709" s="105"/>
      <c r="DX709" s="105"/>
      <c r="DY709" s="105"/>
      <c r="DZ709" s="105"/>
      <c r="EA709" s="105"/>
      <c r="EB709" s="105"/>
      <c r="EC709" s="105"/>
      <c r="ED709" s="105"/>
      <c r="EE709" s="105"/>
      <c r="EF709" s="105"/>
      <c r="EG709" s="105"/>
      <c r="EH709" s="105"/>
      <c r="EI709" s="105"/>
      <c r="EJ709" s="105"/>
      <c r="EK709" s="105"/>
      <c r="EL709" s="105"/>
      <c r="EM709" s="105"/>
      <c r="EN709" s="105"/>
      <c r="EO709" s="105"/>
      <c r="EP709" s="105"/>
      <c r="EQ709" s="105"/>
      <c r="ER709" s="105"/>
      <c r="ES709" s="105"/>
      <c r="ET709" s="105"/>
      <c r="EU709" s="105"/>
      <c r="EV709" s="105"/>
      <c r="EW709" s="105"/>
      <c r="EX709" s="105"/>
      <c r="EY709" s="105"/>
      <c r="EZ709" s="105"/>
      <c r="FA709" s="105"/>
      <c r="FB709" s="105"/>
      <c r="FC709" s="105"/>
      <c r="FD709" s="105"/>
      <c r="FE709" s="105"/>
      <c r="FF709" s="105"/>
      <c r="FG709" s="105"/>
      <c r="FH709" s="105"/>
      <c r="FI709" s="105"/>
      <c r="FJ709" s="105"/>
      <c r="FK709" s="105"/>
      <c r="FL709" s="105"/>
      <c r="FM709" s="105"/>
      <c r="FN709" s="105"/>
      <c r="FO709" s="105"/>
      <c r="FP709" s="105"/>
      <c r="FQ709" s="105"/>
      <c r="FR709" s="105"/>
      <c r="FS709" s="105"/>
      <c r="FT709" s="105"/>
      <c r="FU709" s="105"/>
      <c r="FV709" s="105"/>
      <c r="FW709" s="105"/>
      <c r="FX709" s="105"/>
      <c r="FY709" s="105"/>
      <c r="FZ709" s="105"/>
      <c r="GA709" s="105"/>
      <c r="GB709" s="105"/>
      <c r="GC709" s="105"/>
      <c r="GD709" s="105"/>
      <c r="GE709" s="105"/>
      <c r="GF709" s="105"/>
      <c r="GG709" s="105"/>
      <c r="GH709" s="105"/>
      <c r="GI709" s="105"/>
      <c r="GJ709" s="105"/>
      <c r="GK709" s="105"/>
      <c r="GL709" s="105"/>
      <c r="GM709" s="105"/>
      <c r="GN709" s="105"/>
      <c r="GO709" s="105"/>
      <c r="GP709" s="105"/>
      <c r="GQ709" s="105"/>
      <c r="GR709" s="105"/>
      <c r="GS709" s="105"/>
      <c r="GT709" s="105"/>
      <c r="GU709" s="105"/>
      <c r="GV709" s="105"/>
      <c r="GW709" s="105"/>
      <c r="GX709" s="105"/>
      <c r="GY709" s="105"/>
      <c r="GZ709" s="105"/>
      <c r="HA709" s="105"/>
      <c r="HB709" s="105"/>
      <c r="HC709" s="105"/>
      <c r="HD709" s="105"/>
      <c r="HE709" s="105"/>
      <c r="HF709" s="105"/>
      <c r="HG709" s="105"/>
      <c r="HH709" s="105"/>
      <c r="HI709" s="105"/>
      <c r="HJ709" s="105"/>
      <c r="HK709" s="105"/>
      <c r="HL709" s="105"/>
      <c r="HM709" s="105"/>
      <c r="HN709" s="105"/>
      <c r="HO709" s="105"/>
      <c r="HP709" s="105"/>
      <c r="HQ709" s="105"/>
      <c r="HR709" s="105"/>
      <c r="HS709" s="105"/>
      <c r="HT709" s="105"/>
      <c r="HU709" s="105"/>
      <c r="HV709" s="105"/>
      <c r="HW709" s="105"/>
      <c r="HX709" s="105"/>
      <c r="HY709" s="105"/>
      <c r="HZ709" s="105"/>
      <c r="IA709" s="105"/>
      <c r="IB709" s="105"/>
      <c r="IC709" s="105"/>
      <c r="ID709" s="105"/>
      <c r="IE709" s="105"/>
      <c r="IF709" s="105"/>
      <c r="IG709" s="105"/>
      <c r="IH709" s="105"/>
      <c r="II709" s="105"/>
      <c r="IJ709" s="105"/>
      <c r="IK709" s="105"/>
      <c r="IL709" s="105"/>
      <c r="IM709" s="105"/>
      <c r="IN709" s="105"/>
      <c r="IO709" s="105"/>
      <c r="IP709" s="105"/>
      <c r="IQ709" s="105"/>
      <c r="IR709" s="105"/>
      <c r="IS709" s="105"/>
    </row>
    <row r="710" spans="1:253">
      <c r="A710" s="116"/>
      <c r="B710" s="105"/>
      <c r="C710" s="116"/>
      <c r="D710" s="116"/>
      <c r="E710" s="116"/>
      <c r="F710" s="116"/>
      <c r="G710" s="116"/>
      <c r="H710" s="116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05"/>
      <c r="BF710" s="105"/>
      <c r="BG710" s="105"/>
      <c r="BH710" s="105"/>
      <c r="BI710" s="105"/>
      <c r="BJ710" s="105"/>
      <c r="BK710" s="105"/>
      <c r="BL710" s="105"/>
      <c r="BM710" s="105"/>
      <c r="BN710" s="105"/>
      <c r="BO710" s="105"/>
      <c r="BP710" s="105"/>
      <c r="BQ710" s="105"/>
      <c r="BR710" s="105"/>
      <c r="BS710" s="105"/>
      <c r="BT710" s="105"/>
      <c r="BU710" s="105"/>
      <c r="BV710" s="105"/>
      <c r="BW710" s="105"/>
      <c r="BX710" s="105"/>
      <c r="BY710" s="105"/>
      <c r="BZ710" s="105"/>
      <c r="CA710" s="105"/>
      <c r="CB710" s="105"/>
      <c r="CC710" s="105"/>
      <c r="CD710" s="105"/>
      <c r="CE710" s="105"/>
      <c r="CF710" s="105"/>
      <c r="CG710" s="105"/>
      <c r="CH710" s="105"/>
      <c r="CI710" s="105"/>
      <c r="CJ710" s="105"/>
      <c r="CK710" s="105"/>
      <c r="CL710" s="105"/>
      <c r="CM710" s="105"/>
      <c r="CN710" s="105"/>
      <c r="CO710" s="105"/>
      <c r="CP710" s="105"/>
      <c r="CQ710" s="105"/>
      <c r="CR710" s="105"/>
      <c r="CS710" s="105"/>
      <c r="CT710" s="105"/>
      <c r="CU710" s="105"/>
      <c r="CV710" s="105"/>
      <c r="CW710" s="105"/>
      <c r="CX710" s="105"/>
      <c r="CY710" s="105"/>
      <c r="CZ710" s="105"/>
      <c r="DA710" s="105"/>
      <c r="DB710" s="105"/>
      <c r="DC710" s="105"/>
      <c r="DD710" s="105"/>
      <c r="DE710" s="105"/>
      <c r="DF710" s="105"/>
      <c r="DG710" s="105"/>
      <c r="DH710" s="105"/>
      <c r="DI710" s="105"/>
      <c r="DJ710" s="105"/>
      <c r="DK710" s="105"/>
      <c r="DL710" s="105"/>
      <c r="DM710" s="105"/>
      <c r="DN710" s="105"/>
      <c r="DO710" s="105"/>
      <c r="DP710" s="105"/>
      <c r="DQ710" s="105"/>
      <c r="DR710" s="105"/>
      <c r="DS710" s="105"/>
      <c r="DT710" s="105"/>
      <c r="DU710" s="105"/>
      <c r="DV710" s="105"/>
      <c r="DW710" s="105"/>
      <c r="DX710" s="105"/>
      <c r="DY710" s="105"/>
      <c r="DZ710" s="105"/>
      <c r="EA710" s="105"/>
      <c r="EB710" s="105"/>
      <c r="EC710" s="105"/>
      <c r="ED710" s="105"/>
      <c r="EE710" s="105"/>
      <c r="EF710" s="105"/>
      <c r="EG710" s="105"/>
      <c r="EH710" s="105"/>
      <c r="EI710" s="105"/>
      <c r="EJ710" s="105"/>
      <c r="EK710" s="105"/>
      <c r="EL710" s="105"/>
      <c r="EM710" s="105"/>
      <c r="EN710" s="105"/>
      <c r="EO710" s="105"/>
      <c r="EP710" s="105"/>
      <c r="EQ710" s="105"/>
      <c r="ER710" s="105"/>
      <c r="ES710" s="105"/>
      <c r="ET710" s="105"/>
      <c r="EU710" s="105"/>
      <c r="EV710" s="105"/>
      <c r="EW710" s="105"/>
      <c r="EX710" s="105"/>
      <c r="EY710" s="105"/>
      <c r="EZ710" s="105"/>
      <c r="FA710" s="105"/>
      <c r="FB710" s="105"/>
      <c r="FC710" s="105"/>
      <c r="FD710" s="105"/>
      <c r="FE710" s="105"/>
      <c r="FF710" s="105"/>
      <c r="FG710" s="105"/>
      <c r="FH710" s="105"/>
      <c r="FI710" s="105"/>
      <c r="FJ710" s="105"/>
      <c r="FK710" s="105"/>
      <c r="FL710" s="105"/>
      <c r="FM710" s="105"/>
      <c r="FN710" s="105"/>
      <c r="FO710" s="105"/>
      <c r="FP710" s="105"/>
      <c r="FQ710" s="105"/>
      <c r="FR710" s="105"/>
      <c r="FS710" s="105"/>
      <c r="FT710" s="105"/>
      <c r="FU710" s="105"/>
      <c r="FV710" s="105"/>
      <c r="FW710" s="105"/>
      <c r="FX710" s="105"/>
      <c r="FY710" s="105"/>
      <c r="FZ710" s="105"/>
      <c r="GA710" s="105"/>
      <c r="GB710" s="105"/>
      <c r="GC710" s="105"/>
      <c r="GD710" s="105"/>
      <c r="GE710" s="105"/>
      <c r="GF710" s="105"/>
      <c r="GG710" s="105"/>
      <c r="GH710" s="105"/>
      <c r="GI710" s="105"/>
      <c r="GJ710" s="105"/>
      <c r="GK710" s="105"/>
      <c r="GL710" s="105"/>
      <c r="GM710" s="105"/>
      <c r="GN710" s="105"/>
      <c r="GO710" s="105"/>
      <c r="GP710" s="105"/>
      <c r="GQ710" s="105"/>
      <c r="GR710" s="105"/>
      <c r="GS710" s="105"/>
      <c r="GT710" s="105"/>
      <c r="GU710" s="105"/>
      <c r="GV710" s="105"/>
      <c r="GW710" s="105"/>
      <c r="GX710" s="105"/>
      <c r="GY710" s="105"/>
      <c r="GZ710" s="105"/>
      <c r="HA710" s="105"/>
      <c r="HB710" s="105"/>
      <c r="HC710" s="105"/>
      <c r="HD710" s="105"/>
      <c r="HE710" s="105"/>
      <c r="HF710" s="105"/>
      <c r="HG710" s="105"/>
      <c r="HH710" s="105"/>
      <c r="HI710" s="105"/>
      <c r="HJ710" s="105"/>
      <c r="HK710" s="105"/>
      <c r="HL710" s="105"/>
      <c r="HM710" s="105"/>
      <c r="HN710" s="105"/>
      <c r="HO710" s="105"/>
      <c r="HP710" s="105"/>
      <c r="HQ710" s="105"/>
      <c r="HR710" s="105"/>
      <c r="HS710" s="105"/>
      <c r="HT710" s="105"/>
      <c r="HU710" s="105"/>
      <c r="HV710" s="105"/>
      <c r="HW710" s="105"/>
      <c r="HX710" s="105"/>
      <c r="HY710" s="105"/>
      <c r="HZ710" s="105"/>
      <c r="IA710" s="105"/>
      <c r="IB710" s="105"/>
      <c r="IC710" s="105"/>
      <c r="ID710" s="105"/>
      <c r="IE710" s="105"/>
      <c r="IF710" s="105"/>
      <c r="IG710" s="105"/>
      <c r="IH710" s="105"/>
      <c r="II710" s="105"/>
      <c r="IJ710" s="105"/>
      <c r="IK710" s="105"/>
      <c r="IL710" s="105"/>
      <c r="IM710" s="105"/>
      <c r="IN710" s="105"/>
      <c r="IO710" s="105"/>
      <c r="IP710" s="105"/>
      <c r="IQ710" s="105"/>
      <c r="IR710" s="105"/>
      <c r="IS710" s="105"/>
    </row>
    <row r="711" spans="1:253">
      <c r="A711" s="116"/>
      <c r="B711" s="105"/>
      <c r="C711" s="116"/>
      <c r="D711" s="116"/>
      <c r="E711" s="116"/>
      <c r="F711" s="116"/>
      <c r="G711" s="116"/>
      <c r="H711" s="116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5"/>
      <c r="BE711" s="105"/>
      <c r="BF711" s="105"/>
      <c r="BG711" s="105"/>
      <c r="BH711" s="105"/>
      <c r="BI711" s="105"/>
      <c r="BJ711" s="105"/>
      <c r="BK711" s="105"/>
      <c r="BL711" s="105"/>
      <c r="BM711" s="105"/>
      <c r="BN711" s="105"/>
      <c r="BO711" s="105"/>
      <c r="BP711" s="105"/>
      <c r="BQ711" s="105"/>
      <c r="BR711" s="105"/>
      <c r="BS711" s="105"/>
      <c r="BT711" s="105"/>
      <c r="BU711" s="105"/>
      <c r="BV711" s="105"/>
      <c r="BW711" s="105"/>
      <c r="BX711" s="105"/>
      <c r="BY711" s="105"/>
      <c r="BZ711" s="105"/>
      <c r="CA711" s="105"/>
      <c r="CB711" s="105"/>
      <c r="CC711" s="105"/>
      <c r="CD711" s="105"/>
      <c r="CE711" s="105"/>
      <c r="CF711" s="105"/>
      <c r="CG711" s="105"/>
      <c r="CH711" s="105"/>
      <c r="CI711" s="105"/>
      <c r="CJ711" s="105"/>
      <c r="CK711" s="105"/>
      <c r="CL711" s="105"/>
      <c r="CM711" s="105"/>
      <c r="CN711" s="105"/>
      <c r="CO711" s="105"/>
      <c r="CP711" s="105"/>
      <c r="CQ711" s="105"/>
      <c r="CR711" s="105"/>
      <c r="CS711" s="105"/>
      <c r="CT711" s="105"/>
      <c r="CU711" s="105"/>
      <c r="CV711" s="105"/>
      <c r="CW711" s="105"/>
      <c r="CX711" s="105"/>
      <c r="CY711" s="105"/>
      <c r="CZ711" s="105"/>
      <c r="DA711" s="105"/>
      <c r="DB711" s="105"/>
      <c r="DC711" s="105"/>
      <c r="DD711" s="105"/>
      <c r="DE711" s="105"/>
      <c r="DF711" s="105"/>
      <c r="DG711" s="105"/>
      <c r="DH711" s="105"/>
      <c r="DI711" s="105"/>
      <c r="DJ711" s="105"/>
      <c r="DK711" s="105"/>
      <c r="DL711" s="105"/>
      <c r="DM711" s="105"/>
      <c r="DN711" s="105"/>
      <c r="DO711" s="105"/>
      <c r="DP711" s="105"/>
      <c r="DQ711" s="105"/>
      <c r="DR711" s="105"/>
      <c r="DS711" s="105"/>
      <c r="DT711" s="105"/>
      <c r="DU711" s="105"/>
      <c r="DV711" s="105"/>
      <c r="DW711" s="105"/>
      <c r="DX711" s="105"/>
      <c r="DY711" s="105"/>
      <c r="DZ711" s="105"/>
      <c r="EA711" s="105"/>
      <c r="EB711" s="105"/>
      <c r="EC711" s="105"/>
      <c r="ED711" s="105"/>
      <c r="EE711" s="105"/>
      <c r="EF711" s="105"/>
      <c r="EG711" s="105"/>
      <c r="EH711" s="105"/>
      <c r="EI711" s="105"/>
      <c r="EJ711" s="105"/>
      <c r="EK711" s="105"/>
      <c r="EL711" s="105"/>
      <c r="EM711" s="105"/>
      <c r="EN711" s="105"/>
      <c r="EO711" s="105"/>
      <c r="EP711" s="105"/>
      <c r="EQ711" s="105"/>
      <c r="ER711" s="105"/>
      <c r="ES711" s="105"/>
      <c r="ET711" s="105"/>
      <c r="EU711" s="105"/>
      <c r="EV711" s="105"/>
      <c r="EW711" s="105"/>
      <c r="EX711" s="105"/>
      <c r="EY711" s="105"/>
      <c r="EZ711" s="105"/>
      <c r="FA711" s="105"/>
      <c r="FB711" s="105"/>
      <c r="FC711" s="105"/>
      <c r="FD711" s="105"/>
      <c r="FE711" s="105"/>
      <c r="FF711" s="105"/>
      <c r="FG711" s="105"/>
      <c r="FH711" s="105"/>
      <c r="FI711" s="105"/>
      <c r="FJ711" s="105"/>
      <c r="FK711" s="105"/>
      <c r="FL711" s="105"/>
      <c r="FM711" s="105"/>
      <c r="FN711" s="105"/>
      <c r="FO711" s="105"/>
      <c r="FP711" s="105"/>
      <c r="FQ711" s="105"/>
      <c r="FR711" s="105"/>
      <c r="FS711" s="105"/>
      <c r="FT711" s="105"/>
      <c r="FU711" s="105"/>
      <c r="FV711" s="105"/>
      <c r="FW711" s="105"/>
      <c r="FX711" s="105"/>
      <c r="FY711" s="105"/>
      <c r="FZ711" s="105"/>
      <c r="GA711" s="105"/>
      <c r="GB711" s="105"/>
      <c r="GC711" s="105"/>
      <c r="GD711" s="105"/>
      <c r="GE711" s="105"/>
      <c r="GF711" s="105"/>
      <c r="GG711" s="105"/>
      <c r="GH711" s="105"/>
      <c r="GI711" s="105"/>
      <c r="GJ711" s="105"/>
      <c r="GK711" s="105"/>
      <c r="GL711" s="105"/>
      <c r="GM711" s="105"/>
      <c r="GN711" s="105"/>
      <c r="GO711" s="105"/>
      <c r="GP711" s="105"/>
      <c r="GQ711" s="105"/>
      <c r="GR711" s="105"/>
      <c r="GS711" s="105"/>
      <c r="GT711" s="105"/>
      <c r="GU711" s="105"/>
      <c r="GV711" s="105"/>
      <c r="GW711" s="105"/>
      <c r="GX711" s="105"/>
      <c r="GY711" s="105"/>
      <c r="GZ711" s="105"/>
      <c r="HA711" s="105"/>
      <c r="HB711" s="105"/>
      <c r="HC711" s="105"/>
      <c r="HD711" s="105"/>
      <c r="HE711" s="105"/>
      <c r="HF711" s="105"/>
      <c r="HG711" s="105"/>
      <c r="HH711" s="105"/>
      <c r="HI711" s="105"/>
      <c r="HJ711" s="105"/>
      <c r="HK711" s="105"/>
      <c r="HL711" s="105"/>
      <c r="HM711" s="105"/>
      <c r="HN711" s="105"/>
      <c r="HO711" s="105"/>
      <c r="HP711" s="105"/>
      <c r="HQ711" s="105"/>
      <c r="HR711" s="105"/>
      <c r="HS711" s="105"/>
      <c r="HT711" s="105"/>
      <c r="HU711" s="105"/>
      <c r="HV711" s="105"/>
      <c r="HW711" s="105"/>
      <c r="HX711" s="105"/>
      <c r="HY711" s="105"/>
      <c r="HZ711" s="105"/>
      <c r="IA711" s="105"/>
      <c r="IB711" s="105"/>
      <c r="IC711" s="105"/>
      <c r="ID711" s="105"/>
      <c r="IE711" s="105"/>
      <c r="IF711" s="105"/>
      <c r="IG711" s="105"/>
      <c r="IH711" s="105"/>
      <c r="II711" s="105"/>
      <c r="IJ711" s="105"/>
      <c r="IK711" s="105"/>
      <c r="IL711" s="105"/>
      <c r="IM711" s="105"/>
      <c r="IN711" s="105"/>
      <c r="IO711" s="105"/>
      <c r="IP711" s="105"/>
      <c r="IQ711" s="105"/>
      <c r="IR711" s="105"/>
      <c r="IS711" s="105"/>
    </row>
  </sheetData>
  <sheetProtection algorithmName="SHA-512" hashValue="r8+yuoIgXh9pBnHgge9Dq8g4o1DZ12D2yRX/UnkLZHNDS8jMz+mmVnvj/StO9tnuM8+u1C9x8kzxsc9cIf3sjA==" saltValue="f87/MTzBYRM5lG5QZtDqGw==" spinCount="100000" sheet="1" formatCells="0" formatColumns="0" formatRows="0" insertColumns="0" insertRows="0" insertHyperlinks="0" deleteColumns="0" deleteRows="0" sort="0" autoFilter="0" pivotTables="0"/>
  <mergeCells count="35">
    <mergeCell ref="I1:AB5"/>
    <mergeCell ref="I6:AB15"/>
    <mergeCell ref="I16:AB30"/>
    <mergeCell ref="I32:AB36"/>
    <mergeCell ref="B8:C8"/>
    <mergeCell ref="B6:C6"/>
    <mergeCell ref="E24:H24"/>
    <mergeCell ref="A3:H3"/>
    <mergeCell ref="A23:D23"/>
    <mergeCell ref="A30:H30"/>
    <mergeCell ref="A1:H2"/>
    <mergeCell ref="G4:H4"/>
    <mergeCell ref="A29:H29"/>
    <mergeCell ref="C5:E5"/>
    <mergeCell ref="E25:H25"/>
    <mergeCell ref="E26:H26"/>
    <mergeCell ref="B4:C4"/>
    <mergeCell ref="G8:H8"/>
    <mergeCell ref="A28:H28"/>
    <mergeCell ref="E27:H27"/>
    <mergeCell ref="A27:D27"/>
    <mergeCell ref="A10:H10"/>
    <mergeCell ref="E23:H23"/>
    <mergeCell ref="A26:D26"/>
    <mergeCell ref="A25:D25"/>
    <mergeCell ref="G6:H6"/>
    <mergeCell ref="G5:H5"/>
    <mergeCell ref="A24:D24"/>
    <mergeCell ref="A7:H7"/>
    <mergeCell ref="F9:H9"/>
    <mergeCell ref="A37:AC63"/>
    <mergeCell ref="A36:H36"/>
    <mergeCell ref="A22:H22"/>
    <mergeCell ref="A33:H33"/>
    <mergeCell ref="A32:H32"/>
  </mergeCells>
  <printOptions horizontalCentered="1"/>
  <pageMargins left="7.8740157480314973E-2" right="7.8740157480314973E-2" top="7.8740157480314973E-2" bottom="7.8740157480314973E-2" header="0" footer="0"/>
  <pageSetup paperSize="256" scale="44" fitToHeight="0" orientation="portrait" horizontalDpi="203" verticalDpi="20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RegisterInvoice">
                <anchor moveWithCells="1">
                  <from>
                    <xdr:col>0</xdr:col>
                    <xdr:colOff>0</xdr:colOff>
                    <xdr:row>30</xdr:row>
                    <xdr:rowOff>104775</xdr:rowOff>
                  </from>
                  <to>
                    <xdr:col>7</xdr:col>
                    <xdr:colOff>828675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PrintThermal">
                <anchor moveWithCells="1">
                  <from>
                    <xdr:col>0</xdr:col>
                    <xdr:colOff>19050</xdr:colOff>
                    <xdr:row>33</xdr:row>
                    <xdr:rowOff>0</xdr:rowOff>
                  </from>
                  <to>
                    <xdr:col>7</xdr:col>
                    <xdr:colOff>828675</xdr:colOff>
                    <xdr:row>34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D4AF37"/>
  </sheetPr>
  <dimension ref="A1:AE4622"/>
  <sheetViews>
    <sheetView rightToLeft="1" zoomScaleNormal="100" workbookViewId="0">
      <pane ySplit="2" topLeftCell="A124" activePane="bottomLeft" state="frozen"/>
      <selection pane="bottomLeft" activeCell="A135" sqref="A135"/>
    </sheetView>
  </sheetViews>
  <sheetFormatPr defaultColWidth="8.7109375" defaultRowHeight="15"/>
  <cols>
    <col min="1" max="1" width="14" style="35" customWidth="1"/>
    <col min="2" max="2" width="12" style="35" customWidth="1"/>
    <col min="3" max="3" width="11" style="41" customWidth="1"/>
    <col min="4" max="4" width="12.7109375" style="41" customWidth="1"/>
    <col min="5" max="5" width="10" style="41" customWidth="1"/>
    <col min="6" max="6" width="9.42578125" style="41" customWidth="1"/>
    <col min="7" max="7" width="12" style="41" customWidth="1"/>
    <col min="8" max="8" width="7" style="41" customWidth="1"/>
    <col min="9" max="9" width="12" customWidth="1"/>
    <col min="10" max="10" width="21.7109375" customWidth="1"/>
    <col min="11" max="11" width="26" style="35" customWidth="1"/>
    <col min="12" max="12" width="8" style="35" customWidth="1"/>
    <col min="13" max="13" width="13" style="59" customWidth="1"/>
    <col min="14" max="14" width="11" style="59" customWidth="1"/>
    <col min="15" max="15" width="13" style="197" customWidth="1"/>
    <col min="16" max="16" width="14" style="41" customWidth="1"/>
    <col min="17" max="17" width="11" style="41" customWidth="1"/>
    <col min="18" max="18" width="11.5703125" style="41" customWidth="1"/>
    <col min="19" max="19" width="4.85546875" style="41" customWidth="1"/>
    <col min="20" max="20" width="8" style="41" customWidth="1"/>
    <col min="21" max="21" width="25.5703125" style="41" customWidth="1"/>
  </cols>
  <sheetData>
    <row r="1" spans="1:31" s="43" customFormat="1" ht="50.1" customHeight="1">
      <c r="A1" s="269" t="s">
        <v>774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</row>
    <row r="2" spans="1:31" ht="31.5" customHeight="1">
      <c r="A2" s="2" t="s">
        <v>22</v>
      </c>
      <c r="B2" s="2" t="s">
        <v>23</v>
      </c>
      <c r="C2" s="3" t="s">
        <v>24</v>
      </c>
      <c r="D2" s="3" t="s">
        <v>25</v>
      </c>
      <c r="E2" s="2" t="s">
        <v>26</v>
      </c>
      <c r="F2" s="2" t="s">
        <v>27</v>
      </c>
      <c r="G2" s="3" t="s">
        <v>28</v>
      </c>
      <c r="H2" s="3" t="s">
        <v>29</v>
      </c>
      <c r="I2" s="2" t="s">
        <v>15</v>
      </c>
      <c r="J2" s="2" t="s">
        <v>30</v>
      </c>
      <c r="K2" s="3" t="s">
        <v>31</v>
      </c>
      <c r="L2" s="2" t="s">
        <v>32</v>
      </c>
      <c r="M2" s="58" t="s">
        <v>33</v>
      </c>
      <c r="N2" s="62" t="s">
        <v>34</v>
      </c>
      <c r="O2" s="58" t="s">
        <v>35</v>
      </c>
      <c r="P2" s="2" t="s">
        <v>36</v>
      </c>
      <c r="Q2" s="3" t="s">
        <v>37</v>
      </c>
      <c r="R2" s="2" t="s">
        <v>38</v>
      </c>
      <c r="S2" s="3" t="s">
        <v>39</v>
      </c>
      <c r="T2" s="2" t="s">
        <v>40</v>
      </c>
      <c r="U2" s="67" t="s">
        <v>41</v>
      </c>
      <c r="V2" s="3" t="s">
        <v>42</v>
      </c>
      <c r="W2" s="3" t="s">
        <v>43</v>
      </c>
      <c r="X2" s="3" t="s">
        <v>44</v>
      </c>
      <c r="Y2" s="3" t="s">
        <v>45</v>
      </c>
      <c r="Z2" s="3" t="s">
        <v>46</v>
      </c>
      <c r="AA2" s="3" t="s">
        <v>47</v>
      </c>
      <c r="AB2" s="3" t="s">
        <v>48</v>
      </c>
      <c r="AC2" s="3" t="s">
        <v>49</v>
      </c>
      <c r="AD2" s="3" t="s">
        <v>50</v>
      </c>
      <c r="AE2" s="3" t="s">
        <v>51</v>
      </c>
    </row>
    <row r="3" spans="1:31" ht="18" customHeight="1">
      <c r="A3" s="161" t="s">
        <v>1132</v>
      </c>
      <c r="B3" s="161" t="s">
        <v>1126</v>
      </c>
      <c r="C3" s="162">
        <v>0</v>
      </c>
      <c r="D3" s="162" t="s">
        <v>1135</v>
      </c>
      <c r="E3" s="162" t="s">
        <v>1131</v>
      </c>
      <c r="F3" s="162" t="s">
        <v>5</v>
      </c>
      <c r="G3" s="162" t="s">
        <v>258</v>
      </c>
      <c r="H3" s="162" t="s">
        <v>7</v>
      </c>
      <c r="I3" s="163"/>
      <c r="J3" s="163" t="s">
        <v>1134</v>
      </c>
      <c r="K3" s="161" t="s">
        <v>1134</v>
      </c>
      <c r="L3" s="161">
        <v>1</v>
      </c>
      <c r="M3" s="164">
        <v>2000000</v>
      </c>
      <c r="N3" s="164">
        <v>0</v>
      </c>
      <c r="O3" s="195">
        <v>2000000</v>
      </c>
      <c r="P3" s="162"/>
      <c r="Q3" s="162"/>
      <c r="R3" s="162"/>
      <c r="S3" s="162"/>
      <c r="T3" s="162"/>
      <c r="U3" s="165" t="s">
        <v>1133</v>
      </c>
      <c r="V3">
        <f>IF(A3="",0,IF(COUNTIF($A$3:A3,A3)=1,1,0))</f>
        <v>1</v>
      </c>
      <c r="W3">
        <f t="shared" ref="W3:W10" si="0">IF(A3="",0,L3*M3)</f>
        <v>2000000</v>
      </c>
      <c r="X3" t="str">
        <f t="shared" ref="X3:X10" si="1">IF(R3&lt;&gt;"",R3,IF(AND(P3&lt;&gt;"",Q3&lt;&gt;""),P3&amp;"|"&amp;Q3,""))</f>
        <v/>
      </c>
      <c r="Y3">
        <f>IF(X3="",0,IF(COUNTIF($X$3:X3,X3)=1,1,0))</f>
        <v>0</v>
      </c>
      <c r="Z3">
        <f>IF(V3&lt;&gt;1,0,IF(X3="",0,IF(COUNTIF($X$2:X2,X3)&gt;0,1,0)))</f>
        <v>0</v>
      </c>
      <c r="AA3">
        <f t="shared" ref="AA3:AA66" si="2">IF(V3=1,SUMIF($A$3:$A$1622,A3,$O$3:$O$1622),0)</f>
        <v>2000000</v>
      </c>
      <c r="AB3">
        <f t="shared" ref="AB3:AB66" si="3">IF(V3=1,SUMIF($A$3:$A$1622,A3,$L$3:$L$1622),0)</f>
        <v>1</v>
      </c>
      <c r="AC3">
        <f>IF(I3="",0,L3*IFERROR(INDEX(کاتالوگ_محصولات!$G$4:$G$303,MATCH(I3,کاتالوگ_محصولات!$A$4:$A$303,0)),0))</f>
        <v>0</v>
      </c>
      <c r="AD3">
        <f t="shared" ref="AD3:AD10" si="4">IF(A3="",0,O3-AC3)</f>
        <v>2000000</v>
      </c>
      <c r="AE3" t="str">
        <f t="shared" ref="AE3:AE10" si="5">IF(B3="","",LEFT(B3,7))</f>
        <v>1405/07</v>
      </c>
    </row>
    <row r="4" spans="1:31" ht="18" customHeight="1">
      <c r="A4" s="191" t="s">
        <v>1130</v>
      </c>
      <c r="B4" s="191" t="s">
        <v>1127</v>
      </c>
      <c r="C4" s="192">
        <v>2</v>
      </c>
      <c r="D4" s="192" t="s">
        <v>1139</v>
      </c>
      <c r="E4" s="192" t="s">
        <v>1138</v>
      </c>
      <c r="F4" s="192" t="s">
        <v>5</v>
      </c>
      <c r="G4" s="192" t="s">
        <v>258</v>
      </c>
      <c r="H4" s="192" t="s">
        <v>7</v>
      </c>
      <c r="I4" s="193"/>
      <c r="J4" s="193" t="s">
        <v>558</v>
      </c>
      <c r="K4" s="191" t="s">
        <v>558</v>
      </c>
      <c r="L4" s="191">
        <v>1</v>
      </c>
      <c r="M4" s="194">
        <v>1350000</v>
      </c>
      <c r="N4" s="194">
        <v>0</v>
      </c>
      <c r="O4" s="196">
        <v>1350000</v>
      </c>
      <c r="P4" s="192" t="s">
        <v>1136</v>
      </c>
      <c r="Q4" s="192" t="s">
        <v>1137</v>
      </c>
      <c r="R4" s="192">
        <v>9352269323</v>
      </c>
      <c r="S4" s="192">
        <v>14</v>
      </c>
      <c r="T4" s="192" t="s">
        <v>1140</v>
      </c>
      <c r="U4" s="179" t="s">
        <v>1142</v>
      </c>
      <c r="V4">
        <f>IF(A4="",0,IF(COUNTIF($A$3:A4,A4)=1,1,0))</f>
        <v>1</v>
      </c>
      <c r="W4">
        <f t="shared" si="0"/>
        <v>1350000</v>
      </c>
      <c r="X4">
        <f t="shared" si="1"/>
        <v>9352269323</v>
      </c>
      <c r="Y4">
        <f>IF(X4="",0,IF(COUNTIF($X$3:X4,X4)=1,1,0))</f>
        <v>1</v>
      </c>
      <c r="Z4">
        <f>IF(V4&lt;&gt;1,0,IF(X4="",0,IF(COUNTIF($X$3:X3,X4)&gt;0,1,0)))</f>
        <v>0</v>
      </c>
      <c r="AA4">
        <f t="shared" si="2"/>
        <v>1350000</v>
      </c>
      <c r="AB4">
        <f t="shared" si="3"/>
        <v>1</v>
      </c>
      <c r="AC4">
        <f>IF(I4="",0,L4*IFERROR(INDEX(کاتالوگ_محصولات!$G$4:$G$303,MATCH(I4,کاتالوگ_محصولات!$A$4:$A$303,0)),0))</f>
        <v>0</v>
      </c>
      <c r="AD4">
        <f t="shared" si="4"/>
        <v>1350000</v>
      </c>
      <c r="AE4" t="str">
        <f t="shared" si="5"/>
        <v>1405/07</v>
      </c>
    </row>
    <row r="5" spans="1:31" ht="18" customHeight="1">
      <c r="A5" s="191" t="s">
        <v>1141</v>
      </c>
      <c r="B5" s="191" t="s">
        <v>1127</v>
      </c>
      <c r="C5" s="192">
        <v>0</v>
      </c>
      <c r="D5" s="192" t="s">
        <v>1135</v>
      </c>
      <c r="E5" s="192" t="s">
        <v>1131</v>
      </c>
      <c r="F5" s="192" t="s">
        <v>5</v>
      </c>
      <c r="G5" s="192" t="s">
        <v>258</v>
      </c>
      <c r="H5" s="192" t="s">
        <v>7</v>
      </c>
      <c r="I5" s="193"/>
      <c r="J5" s="193" t="s">
        <v>522</v>
      </c>
      <c r="K5" s="191" t="s">
        <v>522</v>
      </c>
      <c r="L5" s="191">
        <v>1</v>
      </c>
      <c r="M5" s="194">
        <v>1980000</v>
      </c>
      <c r="N5" s="194">
        <v>0</v>
      </c>
      <c r="O5" s="196">
        <v>1980000</v>
      </c>
      <c r="P5" s="192" t="s">
        <v>1143</v>
      </c>
      <c r="Q5" s="192" t="s">
        <v>1144</v>
      </c>
      <c r="R5" s="192">
        <v>9129419189</v>
      </c>
      <c r="S5" s="192">
        <v>26</v>
      </c>
      <c r="T5" s="192" t="s">
        <v>1145</v>
      </c>
      <c r="U5" s="192"/>
      <c r="V5">
        <f>IF(A5="",0,IF(COUNTIF($A$3:A5,A5)=1,1,0))</f>
        <v>1</v>
      </c>
      <c r="W5">
        <f t="shared" si="0"/>
        <v>1980000</v>
      </c>
      <c r="X5">
        <f t="shared" si="1"/>
        <v>9129419189</v>
      </c>
      <c r="Y5">
        <f>IF(X5="",0,IF(COUNTIF($X$3:X5,X5)=1,1,0))</f>
        <v>1</v>
      </c>
      <c r="Z5">
        <f>IF(V5&lt;&gt;1,0,IF(X5="",0,IF(COUNTIF($X$3:X4,X5)&gt;0,1,0)))</f>
        <v>0</v>
      </c>
      <c r="AA5">
        <f t="shared" si="2"/>
        <v>3960000</v>
      </c>
      <c r="AB5">
        <f t="shared" si="3"/>
        <v>2</v>
      </c>
      <c r="AC5">
        <f>IF(I5="",0,L5*IFERROR(INDEX(کاتالوگ_محصولات!$G$4:$G$303,MATCH(I5,کاتالوگ_محصولات!$A$4:$A$303,0)),0))</f>
        <v>0</v>
      </c>
      <c r="AD5">
        <f t="shared" si="4"/>
        <v>1980000</v>
      </c>
      <c r="AE5" t="str">
        <f t="shared" si="5"/>
        <v>1405/07</v>
      </c>
    </row>
    <row r="6" spans="1:31" ht="18" customHeight="1">
      <c r="A6" s="191" t="s">
        <v>1141</v>
      </c>
      <c r="B6" s="191" t="s">
        <v>1127</v>
      </c>
      <c r="C6" s="192">
        <v>0</v>
      </c>
      <c r="D6" s="192" t="s">
        <v>1135</v>
      </c>
      <c r="E6" s="192" t="s">
        <v>1131</v>
      </c>
      <c r="F6" s="192" t="s">
        <v>5</v>
      </c>
      <c r="G6" s="192" t="s">
        <v>258</v>
      </c>
      <c r="H6" s="192" t="s">
        <v>7</v>
      </c>
      <c r="I6" s="193"/>
      <c r="J6" s="193" t="s">
        <v>518</v>
      </c>
      <c r="K6" s="191" t="s">
        <v>518</v>
      </c>
      <c r="L6" s="191">
        <v>1</v>
      </c>
      <c r="M6" s="194">
        <v>1980000</v>
      </c>
      <c r="N6" s="194">
        <v>0</v>
      </c>
      <c r="O6" s="196">
        <v>1980000</v>
      </c>
      <c r="P6" s="192" t="s">
        <v>1143</v>
      </c>
      <c r="Q6" s="192" t="s">
        <v>1144</v>
      </c>
      <c r="R6" s="192">
        <v>9129419189</v>
      </c>
      <c r="S6" s="192">
        <v>26</v>
      </c>
      <c r="T6" s="192" t="s">
        <v>1145</v>
      </c>
      <c r="U6" s="192"/>
      <c r="V6">
        <f>IF(A6="",0,IF(COUNTIF($A$3:A6,A6)=1,1,0))</f>
        <v>0</v>
      </c>
      <c r="W6">
        <f t="shared" si="0"/>
        <v>1980000</v>
      </c>
      <c r="X6">
        <f t="shared" si="1"/>
        <v>9129419189</v>
      </c>
      <c r="Y6">
        <f>IF(X6="",0,IF(COUNTIF($X$3:X6,X6)=1,1,0))</f>
        <v>0</v>
      </c>
      <c r="Z6">
        <f>IF(V6&lt;&gt;1,0,IF(X6="",0,IF(COUNTIF($X$3:X5,X6)&gt;0,1,0)))</f>
        <v>0</v>
      </c>
      <c r="AA6">
        <f t="shared" si="2"/>
        <v>0</v>
      </c>
      <c r="AB6">
        <f t="shared" si="3"/>
        <v>0</v>
      </c>
      <c r="AC6">
        <f>IF(I6="",0,L6*IFERROR(INDEX(کاتالوگ_محصولات!$G$4:$G$303,MATCH(I6,کاتالوگ_محصولات!$A$4:$A$303,0)),0))</f>
        <v>0</v>
      </c>
      <c r="AD6">
        <f t="shared" si="4"/>
        <v>1980000</v>
      </c>
      <c r="AE6" t="str">
        <f t="shared" si="5"/>
        <v>1405/07</v>
      </c>
    </row>
    <row r="7" spans="1:31" ht="18" customHeight="1">
      <c r="A7" s="191" t="s">
        <v>1146</v>
      </c>
      <c r="B7" s="191" t="s">
        <v>1127</v>
      </c>
      <c r="C7" s="192">
        <v>2</v>
      </c>
      <c r="D7" s="192" t="s">
        <v>1139</v>
      </c>
      <c r="E7" s="192" t="s">
        <v>1138</v>
      </c>
      <c r="F7" s="192" t="s">
        <v>5</v>
      </c>
      <c r="G7" s="192" t="s">
        <v>258</v>
      </c>
      <c r="H7" s="192" t="s">
        <v>7</v>
      </c>
      <c r="I7" s="193"/>
      <c r="J7" s="193" t="s">
        <v>514</v>
      </c>
      <c r="K7" s="191" t="s">
        <v>514</v>
      </c>
      <c r="L7" s="191">
        <v>1</v>
      </c>
      <c r="M7" s="194">
        <v>2086000</v>
      </c>
      <c r="N7" s="194">
        <v>0</v>
      </c>
      <c r="O7" s="196">
        <v>2086000</v>
      </c>
      <c r="P7" s="192" t="s">
        <v>1147</v>
      </c>
      <c r="Q7" s="192" t="s">
        <v>1148</v>
      </c>
      <c r="R7" s="192">
        <v>9123871328</v>
      </c>
      <c r="S7" s="192">
        <v>24</v>
      </c>
      <c r="T7" s="192">
        <v>9</v>
      </c>
      <c r="U7" s="192"/>
      <c r="V7">
        <f>IF(A7="",0,IF(COUNTIF($A$3:A7,A7)=1,1,0))</f>
        <v>1</v>
      </c>
      <c r="W7">
        <f t="shared" si="0"/>
        <v>2086000</v>
      </c>
      <c r="X7">
        <f t="shared" si="1"/>
        <v>9123871328</v>
      </c>
      <c r="Y7">
        <f>IF(X7="",0,IF(COUNTIF($X$3:X7,X7)=1,1,0))</f>
        <v>1</v>
      </c>
      <c r="Z7">
        <f>IF(V7&lt;&gt;1,0,IF(X7="",0,IF(COUNTIF($X$3:X6,X7)&gt;0,1,0)))</f>
        <v>0</v>
      </c>
      <c r="AA7">
        <f t="shared" si="2"/>
        <v>2086000</v>
      </c>
      <c r="AB7">
        <f t="shared" si="3"/>
        <v>1</v>
      </c>
      <c r="AC7">
        <f>IF(I7="",0,L7*IFERROR(INDEX(کاتالوگ_محصولات!$G$4:$G$303,MATCH(I7,کاتالوگ_محصولات!$A$4:$A$303,0)),0))</f>
        <v>0</v>
      </c>
      <c r="AD7">
        <f t="shared" si="4"/>
        <v>2086000</v>
      </c>
      <c r="AE7" t="str">
        <f t="shared" si="5"/>
        <v>1405/07</v>
      </c>
    </row>
    <row r="8" spans="1:31" ht="18" customHeight="1">
      <c r="A8" s="191" t="s">
        <v>1149</v>
      </c>
      <c r="B8" s="191" t="s">
        <v>1127</v>
      </c>
      <c r="C8" s="192">
        <v>2</v>
      </c>
      <c r="D8" s="192" t="s">
        <v>1139</v>
      </c>
      <c r="E8" s="192" t="s">
        <v>1138</v>
      </c>
      <c r="F8" s="192" t="s">
        <v>5</v>
      </c>
      <c r="G8" s="192" t="s">
        <v>258</v>
      </c>
      <c r="H8" s="192" t="s">
        <v>7</v>
      </c>
      <c r="I8" s="193"/>
      <c r="J8" s="193" t="s">
        <v>551</v>
      </c>
      <c r="K8" s="191" t="s">
        <v>551</v>
      </c>
      <c r="L8" s="191">
        <v>1</v>
      </c>
      <c r="M8" s="194">
        <v>2200000</v>
      </c>
      <c r="N8" s="194">
        <v>0</v>
      </c>
      <c r="O8" s="196">
        <v>2200000</v>
      </c>
      <c r="P8" s="192" t="s">
        <v>1150</v>
      </c>
      <c r="Q8" s="192" t="s">
        <v>1151</v>
      </c>
      <c r="R8" s="192">
        <v>9194452406</v>
      </c>
      <c r="S8" s="192"/>
      <c r="T8" s="192"/>
      <c r="U8" s="192"/>
      <c r="V8">
        <f>IF(A8="",0,IF(COUNTIF($A$3:A8,A8)=1,1,0))</f>
        <v>1</v>
      </c>
      <c r="W8">
        <f t="shared" si="0"/>
        <v>2200000</v>
      </c>
      <c r="X8">
        <f t="shared" si="1"/>
        <v>9194452406</v>
      </c>
      <c r="Y8">
        <f>IF(X8="",0,IF(COUNTIF($X$3:X8,X8)=1,1,0))</f>
        <v>1</v>
      </c>
      <c r="Z8">
        <f>IF(V8&lt;&gt;1,0,IF(X8="",0,IF(COUNTIF($X$3:X7,X8)&gt;0,1,0)))</f>
        <v>0</v>
      </c>
      <c r="AA8">
        <f t="shared" si="2"/>
        <v>2200000</v>
      </c>
      <c r="AB8">
        <f t="shared" si="3"/>
        <v>1</v>
      </c>
      <c r="AC8">
        <f>IF(I8="",0,L8*IFERROR(INDEX(کاتالوگ_محصولات!$G$4:$G$303,MATCH(I8,کاتالوگ_محصولات!$A$4:$A$303,0)),0))</f>
        <v>0</v>
      </c>
      <c r="AD8">
        <f t="shared" si="4"/>
        <v>2200000</v>
      </c>
      <c r="AE8" t="str">
        <f t="shared" si="5"/>
        <v>1405/07</v>
      </c>
    </row>
    <row r="9" spans="1:31" ht="18" customHeight="1">
      <c r="A9" s="161" t="s">
        <v>1152</v>
      </c>
      <c r="B9" s="161" t="s">
        <v>1128</v>
      </c>
      <c r="C9" s="162">
        <v>2</v>
      </c>
      <c r="D9" s="162" t="s">
        <v>1139</v>
      </c>
      <c r="E9" s="162" t="s">
        <v>1131</v>
      </c>
      <c r="F9" s="162" t="s">
        <v>1159</v>
      </c>
      <c r="G9" s="162" t="s">
        <v>258</v>
      </c>
      <c r="H9" s="162" t="s">
        <v>7</v>
      </c>
      <c r="I9" s="163"/>
      <c r="J9" s="163" t="s">
        <v>1153</v>
      </c>
      <c r="K9" s="161" t="s">
        <v>1153</v>
      </c>
      <c r="L9" s="161">
        <v>1</v>
      </c>
      <c r="M9" s="164">
        <v>1800000</v>
      </c>
      <c r="N9" s="164">
        <v>0</v>
      </c>
      <c r="O9" s="195">
        <v>1800000</v>
      </c>
      <c r="P9" s="162" t="s">
        <v>1157</v>
      </c>
      <c r="Q9" s="162" t="s">
        <v>1158</v>
      </c>
      <c r="R9" s="162">
        <v>9383159588</v>
      </c>
      <c r="S9" s="162">
        <v>2</v>
      </c>
      <c r="T9" s="162">
        <v>8</v>
      </c>
      <c r="U9" s="267" t="s">
        <v>1173</v>
      </c>
      <c r="V9">
        <f>IF(A9="",0,IF(COUNTIF($A$3:A9,A9)=1,1,0))</f>
        <v>1</v>
      </c>
      <c r="W9">
        <f t="shared" si="0"/>
        <v>1800000</v>
      </c>
      <c r="X9">
        <f t="shared" si="1"/>
        <v>9383159588</v>
      </c>
      <c r="Y9">
        <f>IF(X9="",0,IF(COUNTIF($X$3:X9,X9)=1,1,0))</f>
        <v>1</v>
      </c>
      <c r="Z9">
        <f>IF(V9&lt;&gt;1,0,IF(X9="",0,IF(COUNTIF($X$3:X8,X9)&gt;0,1,0)))</f>
        <v>0</v>
      </c>
      <c r="AA9">
        <f t="shared" si="2"/>
        <v>13750000</v>
      </c>
      <c r="AB9">
        <f t="shared" si="3"/>
        <v>4</v>
      </c>
      <c r="AC9">
        <f>IF(I9="",0,L9*IFERROR(INDEX(کاتالوگ_محصولات!$G$4:$G$303,MATCH(I9,کاتالوگ_محصولات!$A$4:$A$303,0)),0))</f>
        <v>0</v>
      </c>
      <c r="AD9">
        <f t="shared" si="4"/>
        <v>1800000</v>
      </c>
      <c r="AE9" t="str">
        <f t="shared" si="5"/>
        <v>1405/07</v>
      </c>
    </row>
    <row r="10" spans="1:31" ht="18" customHeight="1">
      <c r="A10" s="161" t="s">
        <v>1152</v>
      </c>
      <c r="B10" s="161" t="s">
        <v>1128</v>
      </c>
      <c r="C10" s="162">
        <v>2</v>
      </c>
      <c r="D10" s="162" t="s">
        <v>1139</v>
      </c>
      <c r="E10" s="162" t="s">
        <v>1131</v>
      </c>
      <c r="F10" s="162" t="s">
        <v>1159</v>
      </c>
      <c r="G10" s="162" t="s">
        <v>258</v>
      </c>
      <c r="H10" s="162" t="s">
        <v>7</v>
      </c>
      <c r="I10" s="163"/>
      <c r="J10" s="163" t="s">
        <v>1154</v>
      </c>
      <c r="K10" s="161" t="s">
        <v>1154</v>
      </c>
      <c r="L10" s="161">
        <v>1</v>
      </c>
      <c r="M10" s="164">
        <v>3850000</v>
      </c>
      <c r="N10" s="164">
        <v>0</v>
      </c>
      <c r="O10" s="195">
        <v>3850000</v>
      </c>
      <c r="P10" s="162" t="s">
        <v>1157</v>
      </c>
      <c r="Q10" s="162" t="s">
        <v>1158</v>
      </c>
      <c r="R10" s="162">
        <v>9383159588</v>
      </c>
      <c r="S10" s="162">
        <v>2</v>
      </c>
      <c r="T10" s="162">
        <v>8</v>
      </c>
      <c r="U10" s="267"/>
      <c r="V10">
        <f>IF(A10="",0,IF(COUNTIF($A$3:A10,A10)=1,1,0))</f>
        <v>0</v>
      </c>
      <c r="W10">
        <f t="shared" si="0"/>
        <v>3850000</v>
      </c>
      <c r="X10">
        <f t="shared" si="1"/>
        <v>9383159588</v>
      </c>
      <c r="Y10">
        <f>IF(X10="",0,IF(COUNTIF($X$3:X10,X10)=1,1,0))</f>
        <v>0</v>
      </c>
      <c r="Z10">
        <f>IF(V10&lt;&gt;1,0,IF(X10="",0,IF(COUNTIF($X$3:X9,X10)&gt;0,1,0)))</f>
        <v>0</v>
      </c>
      <c r="AA10">
        <f t="shared" si="2"/>
        <v>0</v>
      </c>
      <c r="AB10">
        <f t="shared" si="3"/>
        <v>0</v>
      </c>
      <c r="AC10">
        <f>IF(I10="",0,L10*IFERROR(INDEX(کاتالوگ_محصولات!$G$4:$G$303,MATCH(I10,کاتالوگ_محصولات!$A$4:$A$303,0)),0))</f>
        <v>0</v>
      </c>
      <c r="AD10">
        <f t="shared" si="4"/>
        <v>3850000</v>
      </c>
      <c r="AE10" t="str">
        <f t="shared" si="5"/>
        <v>1405/07</v>
      </c>
    </row>
    <row r="11" spans="1:31" ht="18" customHeight="1">
      <c r="A11" s="161" t="s">
        <v>1152</v>
      </c>
      <c r="B11" s="161" t="s">
        <v>1128</v>
      </c>
      <c r="C11" s="162">
        <v>2</v>
      </c>
      <c r="D11" s="162" t="s">
        <v>1139</v>
      </c>
      <c r="E11" s="162" t="s">
        <v>1131</v>
      </c>
      <c r="F11" s="162" t="s">
        <v>1159</v>
      </c>
      <c r="G11" s="162" t="s">
        <v>258</v>
      </c>
      <c r="H11" s="162" t="s">
        <v>7</v>
      </c>
      <c r="I11" s="163"/>
      <c r="J11" s="163" t="s">
        <v>1155</v>
      </c>
      <c r="K11" s="161" t="s">
        <v>1155</v>
      </c>
      <c r="L11" s="161">
        <v>1</v>
      </c>
      <c r="M11" s="164">
        <v>3850000</v>
      </c>
      <c r="N11" s="164">
        <v>0</v>
      </c>
      <c r="O11" s="195">
        <v>3850000</v>
      </c>
      <c r="P11" s="162" t="s">
        <v>1157</v>
      </c>
      <c r="Q11" s="162" t="s">
        <v>1158</v>
      </c>
      <c r="R11" s="162">
        <v>9383159588</v>
      </c>
      <c r="S11" s="162">
        <v>2</v>
      </c>
      <c r="T11" s="162">
        <v>8</v>
      </c>
      <c r="U11" s="267"/>
      <c r="V11">
        <f>IF(A11="",0,IF(COUNTIF($A$3:A11,A11)=1,1,0))</f>
        <v>0</v>
      </c>
      <c r="W11">
        <f t="shared" ref="W11:W72" si="6">IF(A11="",0,L11*M11)</f>
        <v>3850000</v>
      </c>
      <c r="X11">
        <f t="shared" ref="X11:X72" si="7">IF(R11&lt;&gt;"",R11,IF(AND(P11&lt;&gt;"",Q11&lt;&gt;""),P11&amp;"|"&amp;Q11,""))</f>
        <v>9383159588</v>
      </c>
      <c r="Y11">
        <f>IF(X11="",0,IF(COUNTIF($X$3:X11,X11)=1,1,0))</f>
        <v>0</v>
      </c>
      <c r="Z11">
        <f>IF(V11&lt;&gt;1,0,IF(X11="",0,IF(COUNTIF($X$3:X10,X11)&gt;0,1,0)))</f>
        <v>0</v>
      </c>
      <c r="AA11">
        <f t="shared" si="2"/>
        <v>0</v>
      </c>
      <c r="AB11">
        <f t="shared" si="3"/>
        <v>0</v>
      </c>
      <c r="AC11">
        <f>IF(I11="",0,L11*IFERROR(INDEX(کاتالوگ_محصولات!$G$4:$G$303,MATCH(I11,کاتالوگ_محصولات!$A$4:$A$303,0)),0))</f>
        <v>0</v>
      </c>
      <c r="AD11">
        <f t="shared" ref="AD11:AD72" si="8">IF(A11="",0,O11-AC11)</f>
        <v>3850000</v>
      </c>
      <c r="AE11" t="str">
        <f t="shared" ref="AE11:AE72" si="9">IF(B11="","",LEFT(B11,7))</f>
        <v>1405/07</v>
      </c>
    </row>
    <row r="12" spans="1:31" ht="18" customHeight="1">
      <c r="A12" s="161" t="s">
        <v>1152</v>
      </c>
      <c r="B12" s="161" t="s">
        <v>1128</v>
      </c>
      <c r="C12" s="162">
        <v>2</v>
      </c>
      <c r="D12" s="162" t="s">
        <v>1139</v>
      </c>
      <c r="E12" s="162" t="s">
        <v>1131</v>
      </c>
      <c r="F12" s="162" t="s">
        <v>1159</v>
      </c>
      <c r="G12" s="162" t="s">
        <v>258</v>
      </c>
      <c r="H12" s="162" t="s">
        <v>7</v>
      </c>
      <c r="I12" s="163"/>
      <c r="J12" s="163" t="s">
        <v>1156</v>
      </c>
      <c r="K12" s="161" t="s">
        <v>1156</v>
      </c>
      <c r="L12" s="161">
        <v>1</v>
      </c>
      <c r="M12" s="164">
        <v>4250000</v>
      </c>
      <c r="N12" s="164">
        <v>0</v>
      </c>
      <c r="O12" s="195">
        <v>4250000</v>
      </c>
      <c r="P12" s="162" t="s">
        <v>1157</v>
      </c>
      <c r="Q12" s="162" t="s">
        <v>1158</v>
      </c>
      <c r="R12" s="162">
        <v>9383159588</v>
      </c>
      <c r="S12" s="162">
        <v>2</v>
      </c>
      <c r="T12" s="162">
        <v>8</v>
      </c>
      <c r="U12" s="267"/>
      <c r="V12">
        <f>IF(A12="",0,IF(COUNTIF($A$3:A12,A12)=1,1,0))</f>
        <v>0</v>
      </c>
      <c r="W12">
        <f t="shared" si="6"/>
        <v>4250000</v>
      </c>
      <c r="X12">
        <f t="shared" si="7"/>
        <v>9383159588</v>
      </c>
      <c r="Y12">
        <f>IF(X12="",0,IF(COUNTIF($X$3:X12,X12)=1,1,0))</f>
        <v>0</v>
      </c>
      <c r="Z12">
        <f>IF(V12&lt;&gt;1,0,IF(X12="",0,IF(COUNTIF($X$3:X11,X12)&gt;0,1,0)))</f>
        <v>0</v>
      </c>
      <c r="AA12">
        <f t="shared" si="2"/>
        <v>0</v>
      </c>
      <c r="AB12">
        <f t="shared" si="3"/>
        <v>0</v>
      </c>
      <c r="AC12">
        <f>IF(I12="",0,L12*IFERROR(INDEX(کاتالوگ_محصولات!$G$4:$G$303,MATCH(I12,کاتالوگ_محصولات!$A$4:$A$303,0)),0))</f>
        <v>0</v>
      </c>
      <c r="AD12">
        <f t="shared" si="8"/>
        <v>4250000</v>
      </c>
      <c r="AE12" t="str">
        <f t="shared" si="9"/>
        <v>1405/07</v>
      </c>
    </row>
    <row r="13" spans="1:31" ht="18" customHeight="1">
      <c r="A13" s="161" t="s">
        <v>1160</v>
      </c>
      <c r="B13" s="161" t="s">
        <v>1128</v>
      </c>
      <c r="C13" s="162">
        <v>2</v>
      </c>
      <c r="D13" s="162" t="s">
        <v>1139</v>
      </c>
      <c r="E13" s="162" t="s">
        <v>1131</v>
      </c>
      <c r="F13" s="162" t="s">
        <v>5</v>
      </c>
      <c r="G13" s="162" t="s">
        <v>258</v>
      </c>
      <c r="H13" s="162" t="s">
        <v>7</v>
      </c>
      <c r="I13" s="163"/>
      <c r="J13" s="163" t="s">
        <v>1161</v>
      </c>
      <c r="K13" s="161" t="s">
        <v>1161</v>
      </c>
      <c r="L13" s="161">
        <v>1</v>
      </c>
      <c r="M13" s="164">
        <v>2680000</v>
      </c>
      <c r="N13" s="164">
        <v>0</v>
      </c>
      <c r="O13" s="195">
        <v>2680000</v>
      </c>
      <c r="P13" s="162" t="s">
        <v>1163</v>
      </c>
      <c r="Q13" s="162" t="s">
        <v>1164</v>
      </c>
      <c r="R13" s="162">
        <v>9126998490</v>
      </c>
      <c r="S13" s="162">
        <v>29</v>
      </c>
      <c r="T13" s="162">
        <v>8</v>
      </c>
      <c r="U13" s="162"/>
      <c r="V13">
        <f>IF(A13="",0,IF(COUNTIF($A$3:A13,A13)=1,1,0))</f>
        <v>1</v>
      </c>
      <c r="W13">
        <f t="shared" si="6"/>
        <v>2680000</v>
      </c>
      <c r="X13">
        <f t="shared" si="7"/>
        <v>9126998490</v>
      </c>
      <c r="Y13">
        <f>IF(X13="",0,IF(COUNTIF($X$3:X13,X13)=1,1,0))</f>
        <v>1</v>
      </c>
      <c r="Z13">
        <f>IF(V13&lt;&gt;1,0,IF(X13="",0,IF(COUNTIF($X$3:X12,X13)&gt;0,1,0)))</f>
        <v>0</v>
      </c>
      <c r="AA13">
        <f t="shared" si="2"/>
        <v>8440000</v>
      </c>
      <c r="AB13">
        <f t="shared" si="3"/>
        <v>3</v>
      </c>
      <c r="AC13">
        <f>IF(I13="",0,L13*IFERROR(INDEX(کاتالوگ_محصولات!$G$4:$G$303,MATCH(I13,کاتالوگ_محصولات!$A$4:$A$303,0)),0))</f>
        <v>0</v>
      </c>
      <c r="AD13">
        <f t="shared" si="8"/>
        <v>2680000</v>
      </c>
      <c r="AE13" t="str">
        <f t="shared" si="9"/>
        <v>1405/07</v>
      </c>
    </row>
    <row r="14" spans="1:31" ht="18" customHeight="1">
      <c r="A14" s="161" t="s">
        <v>1160</v>
      </c>
      <c r="B14" s="161" t="s">
        <v>1128</v>
      </c>
      <c r="C14" s="162">
        <v>2</v>
      </c>
      <c r="D14" s="162" t="s">
        <v>1139</v>
      </c>
      <c r="E14" s="162" t="s">
        <v>1131</v>
      </c>
      <c r="F14" s="162" t="s">
        <v>5</v>
      </c>
      <c r="G14" s="162" t="s">
        <v>258</v>
      </c>
      <c r="H14" s="162" t="s">
        <v>7</v>
      </c>
      <c r="I14" s="163"/>
      <c r="J14" s="163" t="s">
        <v>518</v>
      </c>
      <c r="K14" s="161" t="s">
        <v>518</v>
      </c>
      <c r="L14" s="161">
        <v>1</v>
      </c>
      <c r="M14" s="164">
        <v>1980000</v>
      </c>
      <c r="N14" s="164">
        <v>0</v>
      </c>
      <c r="O14" s="195">
        <v>1980000</v>
      </c>
      <c r="P14" s="162" t="s">
        <v>1163</v>
      </c>
      <c r="Q14" s="162" t="s">
        <v>1164</v>
      </c>
      <c r="R14" s="162">
        <v>9126998490</v>
      </c>
      <c r="S14" s="162">
        <v>29</v>
      </c>
      <c r="T14" s="162">
        <v>8</v>
      </c>
      <c r="U14" s="162"/>
      <c r="V14">
        <f>IF(A14="",0,IF(COUNTIF($A$3:A14,A14)=1,1,0))</f>
        <v>0</v>
      </c>
      <c r="W14">
        <f t="shared" si="6"/>
        <v>1980000</v>
      </c>
      <c r="X14">
        <f t="shared" si="7"/>
        <v>9126998490</v>
      </c>
      <c r="Y14">
        <f>IF(X14="",0,IF(COUNTIF($X$3:X14,X14)=1,1,0))</f>
        <v>0</v>
      </c>
      <c r="Z14">
        <f>IF(V14&lt;&gt;1,0,IF(X14="",0,IF(COUNTIF($X$3:X13,X14)&gt;0,1,0)))</f>
        <v>0</v>
      </c>
      <c r="AA14">
        <f t="shared" si="2"/>
        <v>0</v>
      </c>
      <c r="AB14">
        <f t="shared" si="3"/>
        <v>0</v>
      </c>
      <c r="AC14">
        <f>IF(I14="",0,L14*IFERROR(INDEX(کاتالوگ_محصولات!$G$4:$G$303,MATCH(I14,کاتالوگ_محصولات!$A$4:$A$303,0)),0))</f>
        <v>0</v>
      </c>
      <c r="AD14">
        <f t="shared" si="8"/>
        <v>1980000</v>
      </c>
      <c r="AE14" t="str">
        <f t="shared" si="9"/>
        <v>1405/07</v>
      </c>
    </row>
    <row r="15" spans="1:31" ht="18" customHeight="1">
      <c r="A15" s="161" t="s">
        <v>1160</v>
      </c>
      <c r="B15" s="161" t="s">
        <v>1128</v>
      </c>
      <c r="C15" s="162">
        <v>2</v>
      </c>
      <c r="D15" s="162" t="s">
        <v>1139</v>
      </c>
      <c r="E15" s="162" t="s">
        <v>1131</v>
      </c>
      <c r="F15" s="162" t="s">
        <v>5</v>
      </c>
      <c r="G15" s="162" t="s">
        <v>258</v>
      </c>
      <c r="H15" s="162" t="s">
        <v>7</v>
      </c>
      <c r="I15" s="163"/>
      <c r="J15" s="163" t="s">
        <v>1162</v>
      </c>
      <c r="K15" s="161" t="s">
        <v>1162</v>
      </c>
      <c r="L15" s="161">
        <v>1</v>
      </c>
      <c r="M15" s="164">
        <v>3780000</v>
      </c>
      <c r="N15" s="164">
        <v>0</v>
      </c>
      <c r="O15" s="195">
        <v>3780000</v>
      </c>
      <c r="P15" s="162" t="s">
        <v>1163</v>
      </c>
      <c r="Q15" s="162" t="s">
        <v>1164</v>
      </c>
      <c r="R15" s="162">
        <v>9126998490</v>
      </c>
      <c r="S15" s="162">
        <v>29</v>
      </c>
      <c r="T15" s="162">
        <v>8</v>
      </c>
      <c r="U15" s="162"/>
      <c r="V15">
        <f>IF(A15="",0,IF(COUNTIF($A$3:A15,A15)=1,1,0))</f>
        <v>0</v>
      </c>
      <c r="W15">
        <f t="shared" si="6"/>
        <v>3780000</v>
      </c>
      <c r="X15">
        <f t="shared" si="7"/>
        <v>9126998490</v>
      </c>
      <c r="Y15">
        <f>IF(X15="",0,IF(COUNTIF($X$3:X15,X15)=1,1,0))</f>
        <v>0</v>
      </c>
      <c r="Z15">
        <f>IF(V15&lt;&gt;1,0,IF(X15="",0,IF(COUNTIF($X$3:X14,X15)&gt;0,1,0)))</f>
        <v>0</v>
      </c>
      <c r="AA15">
        <f t="shared" si="2"/>
        <v>0</v>
      </c>
      <c r="AB15">
        <f t="shared" si="3"/>
        <v>0</v>
      </c>
      <c r="AC15">
        <f>IF(I15="",0,L15*IFERROR(INDEX(کاتالوگ_محصولات!$G$4:$G$303,MATCH(I15,کاتالوگ_محصولات!$A$4:$A$303,0)),0))</f>
        <v>0</v>
      </c>
      <c r="AD15">
        <f t="shared" si="8"/>
        <v>3780000</v>
      </c>
      <c r="AE15" t="str">
        <f t="shared" si="9"/>
        <v>1405/07</v>
      </c>
    </row>
    <row r="16" spans="1:31" ht="18" customHeight="1">
      <c r="A16" s="161" t="s">
        <v>1165</v>
      </c>
      <c r="B16" s="161" t="s">
        <v>1128</v>
      </c>
      <c r="C16" s="162">
        <v>2</v>
      </c>
      <c r="D16" s="162" t="s">
        <v>1139</v>
      </c>
      <c r="E16" s="162" t="s">
        <v>1131</v>
      </c>
      <c r="F16" s="162" t="s">
        <v>5</v>
      </c>
      <c r="G16" s="162" t="s">
        <v>258</v>
      </c>
      <c r="H16" s="162" t="s">
        <v>7</v>
      </c>
      <c r="I16" s="163"/>
      <c r="J16" s="163" t="s">
        <v>1153</v>
      </c>
      <c r="K16" s="161" t="s">
        <v>1153</v>
      </c>
      <c r="L16" s="161">
        <v>1</v>
      </c>
      <c r="M16" s="164">
        <v>1800000</v>
      </c>
      <c r="N16" s="164">
        <v>0</v>
      </c>
      <c r="O16" s="195">
        <v>1800000</v>
      </c>
      <c r="P16" s="162"/>
      <c r="Q16" s="162" t="s">
        <v>1167</v>
      </c>
      <c r="R16" s="162">
        <v>9123637907</v>
      </c>
      <c r="S16" s="162">
        <v>1</v>
      </c>
      <c r="T16" s="162" t="s">
        <v>1168</v>
      </c>
      <c r="U16" s="162"/>
      <c r="V16">
        <f>IF(A16="",0,IF(COUNTIF($A$3:A16,A16)=1,1,0))</f>
        <v>1</v>
      </c>
      <c r="W16">
        <f t="shared" si="6"/>
        <v>1800000</v>
      </c>
      <c r="X16">
        <f t="shared" si="7"/>
        <v>9123637907</v>
      </c>
      <c r="Y16">
        <f>IF(X16="",0,IF(COUNTIF($X$3:X16,X16)=1,1,0))</f>
        <v>1</v>
      </c>
      <c r="Z16">
        <f>IF(V16&lt;&gt;1,0,IF(X16="",0,IF(COUNTIF($X$3:X15,X16)&gt;0,1,0)))</f>
        <v>0</v>
      </c>
      <c r="AA16">
        <f t="shared" si="2"/>
        <v>8860000</v>
      </c>
      <c r="AB16">
        <f t="shared" si="3"/>
        <v>3</v>
      </c>
      <c r="AC16">
        <f>IF(I16="",0,L16*IFERROR(INDEX(کاتالوگ_محصولات!$G$4:$G$303,MATCH(I16,کاتالوگ_محصولات!$A$4:$A$303,0)),0))</f>
        <v>0</v>
      </c>
      <c r="AD16">
        <f t="shared" si="8"/>
        <v>1800000</v>
      </c>
      <c r="AE16" t="str">
        <f t="shared" si="9"/>
        <v>1405/07</v>
      </c>
    </row>
    <row r="17" spans="1:31" ht="18" customHeight="1">
      <c r="A17" s="161" t="s">
        <v>1165</v>
      </c>
      <c r="B17" s="161" t="s">
        <v>1128</v>
      </c>
      <c r="C17" s="162">
        <v>2</v>
      </c>
      <c r="D17" s="162" t="s">
        <v>1139</v>
      </c>
      <c r="E17" s="162" t="s">
        <v>1131</v>
      </c>
      <c r="F17" s="162" t="s">
        <v>5</v>
      </c>
      <c r="G17" s="162" t="s">
        <v>258</v>
      </c>
      <c r="H17" s="162" t="s">
        <v>7</v>
      </c>
      <c r="I17" s="163"/>
      <c r="J17" s="163" t="s">
        <v>1166</v>
      </c>
      <c r="K17" s="161" t="s">
        <v>1166</v>
      </c>
      <c r="L17" s="161">
        <v>1</v>
      </c>
      <c r="M17" s="164">
        <v>3780000</v>
      </c>
      <c r="N17" s="164">
        <v>0</v>
      </c>
      <c r="O17" s="195">
        <v>3780000</v>
      </c>
      <c r="P17" s="162"/>
      <c r="Q17" s="162" t="s">
        <v>1167</v>
      </c>
      <c r="R17" s="162">
        <v>9123637907</v>
      </c>
      <c r="S17" s="162">
        <v>1</v>
      </c>
      <c r="T17" s="162" t="s">
        <v>1168</v>
      </c>
      <c r="U17" s="162"/>
      <c r="V17">
        <f>IF(A17="",0,IF(COUNTIF($A$3:A17,A17)=1,1,0))</f>
        <v>0</v>
      </c>
      <c r="W17">
        <f t="shared" si="6"/>
        <v>3780000</v>
      </c>
      <c r="X17">
        <f t="shared" si="7"/>
        <v>9123637907</v>
      </c>
      <c r="Y17">
        <f>IF(X17="",0,IF(COUNTIF($X$3:X17,X17)=1,1,0))</f>
        <v>0</v>
      </c>
      <c r="Z17">
        <f>IF(V17&lt;&gt;1,0,IF(X17="",0,IF(COUNTIF($X$3:X16,X17)&gt;0,1,0)))</f>
        <v>0</v>
      </c>
      <c r="AA17">
        <f t="shared" si="2"/>
        <v>0</v>
      </c>
      <c r="AB17">
        <f t="shared" si="3"/>
        <v>0</v>
      </c>
      <c r="AC17">
        <f>IF(I17="",0,L17*IFERROR(INDEX(کاتالوگ_محصولات!$G$4:$G$303,MATCH(I17,کاتالوگ_محصولات!$A$4:$A$303,0)),0))</f>
        <v>0</v>
      </c>
      <c r="AD17">
        <f t="shared" si="8"/>
        <v>3780000</v>
      </c>
      <c r="AE17" t="str">
        <f t="shared" si="9"/>
        <v>1405/07</v>
      </c>
    </row>
    <row r="18" spans="1:31" ht="18" customHeight="1">
      <c r="A18" s="161" t="s">
        <v>1165</v>
      </c>
      <c r="B18" s="161" t="s">
        <v>1128</v>
      </c>
      <c r="C18" s="162">
        <v>2</v>
      </c>
      <c r="D18" s="162" t="s">
        <v>1139</v>
      </c>
      <c r="E18" s="162" t="s">
        <v>1131</v>
      </c>
      <c r="F18" s="162" t="s">
        <v>5</v>
      </c>
      <c r="G18" s="162" t="s">
        <v>258</v>
      </c>
      <c r="H18" s="162" t="s">
        <v>7</v>
      </c>
      <c r="I18" s="163"/>
      <c r="J18" s="163" t="s">
        <v>1232</v>
      </c>
      <c r="K18" s="161" t="s">
        <v>1232</v>
      </c>
      <c r="L18" s="161">
        <v>1</v>
      </c>
      <c r="M18" s="164">
        <v>3280000</v>
      </c>
      <c r="N18" s="164">
        <v>0</v>
      </c>
      <c r="O18" s="195">
        <v>3280000</v>
      </c>
      <c r="P18" s="162"/>
      <c r="Q18" s="162" t="s">
        <v>1167</v>
      </c>
      <c r="R18" s="162">
        <v>9123637907</v>
      </c>
      <c r="S18" s="162">
        <v>1</v>
      </c>
      <c r="T18" s="162" t="s">
        <v>1168</v>
      </c>
      <c r="U18" s="162"/>
      <c r="V18">
        <f>IF(A18="",0,IF(COUNTIF($A$3:A18,A18)=1,1,0))</f>
        <v>0</v>
      </c>
      <c r="W18">
        <f t="shared" si="6"/>
        <v>3280000</v>
      </c>
      <c r="X18">
        <f t="shared" si="7"/>
        <v>9123637907</v>
      </c>
      <c r="Y18">
        <f>IF(X18="",0,IF(COUNTIF($X$3:X18,X18)=1,1,0))</f>
        <v>0</v>
      </c>
      <c r="Z18">
        <f>IF(V18&lt;&gt;1,0,IF(X18="",0,IF(COUNTIF($X$3:X17,X18)&gt;0,1,0)))</f>
        <v>0</v>
      </c>
      <c r="AA18">
        <f t="shared" si="2"/>
        <v>0</v>
      </c>
      <c r="AB18">
        <f t="shared" si="3"/>
        <v>0</v>
      </c>
      <c r="AC18">
        <f>IF(I18="",0,L18*IFERROR(INDEX(کاتالوگ_محصولات!$G$4:$G$303,MATCH(I18,کاتالوگ_محصولات!$A$4:$A$303,0)),0))</f>
        <v>0</v>
      </c>
      <c r="AD18">
        <f t="shared" si="8"/>
        <v>3280000</v>
      </c>
      <c r="AE18" t="str">
        <f t="shared" si="9"/>
        <v>1405/07</v>
      </c>
    </row>
    <row r="19" spans="1:31" ht="18" customHeight="1">
      <c r="A19" s="161" t="s">
        <v>1169</v>
      </c>
      <c r="B19" s="161" t="s">
        <v>1128</v>
      </c>
      <c r="C19" s="162">
        <v>2</v>
      </c>
      <c r="D19" s="162" t="s">
        <v>1139</v>
      </c>
      <c r="E19" s="162" t="s">
        <v>1131</v>
      </c>
      <c r="F19" s="162" t="s">
        <v>1159</v>
      </c>
      <c r="G19" s="162" t="s">
        <v>258</v>
      </c>
      <c r="H19" s="162" t="s">
        <v>7</v>
      </c>
      <c r="I19" s="163"/>
      <c r="J19" s="163" t="s">
        <v>1172</v>
      </c>
      <c r="K19" s="161" t="s">
        <v>1172</v>
      </c>
      <c r="L19" s="161">
        <v>1</v>
      </c>
      <c r="M19" s="164">
        <v>3290000</v>
      </c>
      <c r="N19" s="164">
        <v>0</v>
      </c>
      <c r="O19" s="195">
        <v>3290000</v>
      </c>
      <c r="P19" s="162" t="s">
        <v>1170</v>
      </c>
      <c r="Q19" s="162"/>
      <c r="R19" s="162">
        <v>9121242431</v>
      </c>
      <c r="S19" s="162">
        <v>7</v>
      </c>
      <c r="T19" s="162">
        <v>1</v>
      </c>
      <c r="U19" s="162"/>
      <c r="V19">
        <f>IF(A19="",0,IF(COUNTIF($A$3:A19,A19)=1,1,0))</f>
        <v>1</v>
      </c>
      <c r="W19">
        <f t="shared" si="6"/>
        <v>3290000</v>
      </c>
      <c r="X19">
        <f t="shared" si="7"/>
        <v>9121242431</v>
      </c>
      <c r="Y19">
        <f>IF(X19="",0,IF(COUNTIF($X$3:X19,X19)=1,1,0))</f>
        <v>1</v>
      </c>
      <c r="Z19">
        <f>IF(V19&lt;&gt;1,0,IF(X19="",0,IF(COUNTIF($X$3:X18,X19)&gt;0,1,0)))</f>
        <v>0</v>
      </c>
      <c r="AA19">
        <f t="shared" si="2"/>
        <v>7670000</v>
      </c>
      <c r="AB19">
        <f t="shared" si="3"/>
        <v>3</v>
      </c>
      <c r="AC19">
        <f>IF(I19="",0,L19*IFERROR(INDEX(کاتالوگ_محصولات!$G$4:$G$303,MATCH(I19,کاتالوگ_محصولات!$A$4:$A$303,0)),0))</f>
        <v>0</v>
      </c>
      <c r="AD19">
        <f t="shared" si="8"/>
        <v>3290000</v>
      </c>
      <c r="AE19" t="str">
        <f t="shared" si="9"/>
        <v>1405/07</v>
      </c>
    </row>
    <row r="20" spans="1:31" ht="17.25" customHeight="1">
      <c r="A20" s="161" t="s">
        <v>1169</v>
      </c>
      <c r="B20" s="161" t="s">
        <v>1128</v>
      </c>
      <c r="C20" s="162">
        <v>2</v>
      </c>
      <c r="D20" s="162" t="s">
        <v>1139</v>
      </c>
      <c r="E20" s="162" t="s">
        <v>1131</v>
      </c>
      <c r="F20" s="162" t="s">
        <v>1159</v>
      </c>
      <c r="G20" s="162" t="s">
        <v>258</v>
      </c>
      <c r="H20" s="162" t="s">
        <v>7</v>
      </c>
      <c r="I20" s="163"/>
      <c r="J20" s="163" t="s">
        <v>652</v>
      </c>
      <c r="K20" s="162" t="s">
        <v>652</v>
      </c>
      <c r="L20" s="161">
        <v>1</v>
      </c>
      <c r="M20" s="164">
        <v>3200000</v>
      </c>
      <c r="N20" s="164">
        <v>0</v>
      </c>
      <c r="O20" s="195">
        <v>3200000</v>
      </c>
      <c r="P20" s="162" t="s">
        <v>1170</v>
      </c>
      <c r="Q20" s="162"/>
      <c r="R20" s="162">
        <v>9121242431</v>
      </c>
      <c r="S20" s="162">
        <v>7</v>
      </c>
      <c r="T20" s="162">
        <v>1</v>
      </c>
      <c r="U20" s="162"/>
      <c r="V20">
        <f>IF(A20="",0,IF(COUNTIF($A$3:A20,A20)=1,1,0))</f>
        <v>0</v>
      </c>
      <c r="W20">
        <f t="shared" si="6"/>
        <v>3200000</v>
      </c>
      <c r="X20">
        <f t="shared" si="7"/>
        <v>9121242431</v>
      </c>
      <c r="Y20">
        <f>IF(X20="",0,IF(COUNTIF($X$3:X20,X20)=1,1,0))</f>
        <v>0</v>
      </c>
      <c r="Z20">
        <f>IF(V20&lt;&gt;1,0,IF(X20="",0,IF(COUNTIF($X$3:X19,X20)&gt;0,1,0)))</f>
        <v>0</v>
      </c>
      <c r="AA20">
        <f t="shared" si="2"/>
        <v>0</v>
      </c>
      <c r="AB20">
        <f t="shared" si="3"/>
        <v>0</v>
      </c>
      <c r="AC20">
        <f>IF(I20="",0,L20*IFERROR(INDEX(کاتالوگ_محصولات!$G$4:$G$303,MATCH(I20,کاتالوگ_محصولات!$A$4:$A$303,0)),0))</f>
        <v>0</v>
      </c>
      <c r="AD20">
        <f t="shared" si="8"/>
        <v>3200000</v>
      </c>
      <c r="AE20" t="str">
        <f t="shared" si="9"/>
        <v>1405/07</v>
      </c>
    </row>
    <row r="21" spans="1:31" ht="18" customHeight="1">
      <c r="A21" s="161" t="s">
        <v>1169</v>
      </c>
      <c r="B21" s="161" t="s">
        <v>1128</v>
      </c>
      <c r="C21" s="162">
        <v>2</v>
      </c>
      <c r="D21" s="162" t="s">
        <v>1139</v>
      </c>
      <c r="E21" s="162" t="s">
        <v>1131</v>
      </c>
      <c r="F21" s="162" t="s">
        <v>1159</v>
      </c>
      <c r="G21" s="162" t="s">
        <v>258</v>
      </c>
      <c r="H21" s="162" t="s">
        <v>7</v>
      </c>
      <c r="I21" s="163"/>
      <c r="J21" s="163" t="s">
        <v>655</v>
      </c>
      <c r="K21" s="161" t="s">
        <v>655</v>
      </c>
      <c r="L21" s="161">
        <v>1</v>
      </c>
      <c r="M21" s="164">
        <v>1180000</v>
      </c>
      <c r="N21" s="164">
        <v>0</v>
      </c>
      <c r="O21" s="195">
        <v>1180000</v>
      </c>
      <c r="P21" s="162" t="s">
        <v>1170</v>
      </c>
      <c r="Q21" s="162"/>
      <c r="R21" s="162">
        <v>9121242431</v>
      </c>
      <c r="S21" s="162">
        <v>7</v>
      </c>
      <c r="T21" s="162">
        <v>1</v>
      </c>
      <c r="U21" s="162"/>
      <c r="V21">
        <f>IF(A21="",0,IF(COUNTIF($A$3:A21,A21)=1,1,0))</f>
        <v>0</v>
      </c>
      <c r="W21">
        <f t="shared" si="6"/>
        <v>1180000</v>
      </c>
      <c r="X21">
        <f t="shared" si="7"/>
        <v>9121242431</v>
      </c>
      <c r="Y21">
        <f>IF(X21="",0,IF(COUNTIF($X$3:X21,X21)=1,1,0))</f>
        <v>0</v>
      </c>
      <c r="Z21">
        <f>IF(V21&lt;&gt;1,0,IF(X21="",0,IF(COUNTIF($X$3:X20,X21)&gt;0,1,0)))</f>
        <v>0</v>
      </c>
      <c r="AA21">
        <f t="shared" si="2"/>
        <v>0</v>
      </c>
      <c r="AB21">
        <f t="shared" si="3"/>
        <v>0</v>
      </c>
      <c r="AC21">
        <f>IF(I21="",0,L21*IFERROR(INDEX(کاتالوگ_محصولات!$G$4:$G$303,MATCH(I21,کاتالوگ_محصولات!$A$4:$A$303,0)),0))</f>
        <v>0</v>
      </c>
      <c r="AD21">
        <f t="shared" si="8"/>
        <v>1180000</v>
      </c>
      <c r="AE21" t="str">
        <f t="shared" si="9"/>
        <v>1405/07</v>
      </c>
    </row>
    <row r="22" spans="1:31" ht="18" customHeight="1">
      <c r="A22" s="161" t="s">
        <v>1171</v>
      </c>
      <c r="B22" s="161" t="s">
        <v>1128</v>
      </c>
      <c r="C22" s="162">
        <v>2</v>
      </c>
      <c r="D22" s="162" t="s">
        <v>1139</v>
      </c>
      <c r="E22" s="162" t="s">
        <v>1131</v>
      </c>
      <c r="F22" s="162" t="s">
        <v>1159</v>
      </c>
      <c r="G22" s="162" t="s">
        <v>258</v>
      </c>
      <c r="H22" s="162" t="s">
        <v>7</v>
      </c>
      <c r="I22" s="163"/>
      <c r="J22" s="163" t="s">
        <v>1176</v>
      </c>
      <c r="K22" s="161" t="s">
        <v>1176</v>
      </c>
      <c r="L22" s="161">
        <v>1</v>
      </c>
      <c r="M22" s="164">
        <v>6780000</v>
      </c>
      <c r="N22" s="164">
        <v>0</v>
      </c>
      <c r="O22" s="195">
        <v>6780000</v>
      </c>
      <c r="P22" s="162" t="s">
        <v>1177</v>
      </c>
      <c r="Q22" s="162" t="s">
        <v>1178</v>
      </c>
      <c r="R22" s="162">
        <v>9918681529</v>
      </c>
      <c r="S22" s="162"/>
      <c r="T22" s="162"/>
      <c r="U22" s="162"/>
      <c r="V22">
        <f>IF(A22="",0,IF(COUNTIF($A$3:A22,A22)=1,1,0))</f>
        <v>1</v>
      </c>
      <c r="W22">
        <f t="shared" si="6"/>
        <v>6780000</v>
      </c>
      <c r="X22">
        <f t="shared" si="7"/>
        <v>9918681529</v>
      </c>
      <c r="Y22">
        <f>IF(X22="",0,IF(COUNTIF($X$3:X22,X22)=1,1,0))</f>
        <v>1</v>
      </c>
      <c r="Z22">
        <f>IF(V22&lt;&gt;1,0,IF(X22="",0,IF(COUNTIF($X$3:X21,X22)&gt;0,1,0)))</f>
        <v>0</v>
      </c>
      <c r="AA22">
        <f t="shared" si="2"/>
        <v>6780000</v>
      </c>
      <c r="AB22">
        <f t="shared" si="3"/>
        <v>1</v>
      </c>
      <c r="AC22">
        <f>IF(I22="",0,L22*IFERROR(INDEX(کاتالوگ_محصولات!$G$4:$G$303,MATCH(I22,کاتالوگ_محصولات!$A$4:$A$303,0)),0))</f>
        <v>0</v>
      </c>
      <c r="AD22">
        <f t="shared" si="8"/>
        <v>6780000</v>
      </c>
      <c r="AE22" t="str">
        <f t="shared" si="9"/>
        <v>1405/07</v>
      </c>
    </row>
    <row r="23" spans="1:31" ht="18" customHeight="1">
      <c r="A23" s="161" t="s">
        <v>1179</v>
      </c>
      <c r="B23" s="161" t="s">
        <v>1128</v>
      </c>
      <c r="C23" s="162">
        <v>2</v>
      </c>
      <c r="D23" s="162" t="s">
        <v>1139</v>
      </c>
      <c r="E23" s="162" t="s">
        <v>1131</v>
      </c>
      <c r="F23" s="162" t="s">
        <v>1181</v>
      </c>
      <c r="G23" s="162" t="s">
        <v>1180</v>
      </c>
      <c r="H23" s="162" t="s">
        <v>7</v>
      </c>
      <c r="I23" s="163"/>
      <c r="J23" s="163" t="s">
        <v>722</v>
      </c>
      <c r="K23" s="161" t="s">
        <v>722</v>
      </c>
      <c r="L23" s="161">
        <v>1</v>
      </c>
      <c r="M23" s="164">
        <v>1540000</v>
      </c>
      <c r="N23" s="164">
        <v>0</v>
      </c>
      <c r="O23" s="195">
        <v>1540000</v>
      </c>
      <c r="P23" s="162" t="s">
        <v>1182</v>
      </c>
      <c r="Q23" s="162" t="s">
        <v>1183</v>
      </c>
      <c r="R23" s="162">
        <v>9365161629</v>
      </c>
      <c r="S23" s="162">
        <v>11</v>
      </c>
      <c r="T23" s="162" t="s">
        <v>1184</v>
      </c>
      <c r="U23" s="271" t="s">
        <v>1198</v>
      </c>
      <c r="V23">
        <f>IF(A23="",0,IF(COUNTIF($A$3:A23,A23)=1,1,0))</f>
        <v>1</v>
      </c>
      <c r="W23">
        <f t="shared" si="6"/>
        <v>1540000</v>
      </c>
      <c r="X23">
        <f t="shared" si="7"/>
        <v>9365161629</v>
      </c>
      <c r="Y23">
        <f>IF(X23="",0,IF(COUNTIF($X$3:X23,X23)=1,1,0))</f>
        <v>1</v>
      </c>
      <c r="Z23">
        <f>IF(V23&lt;&gt;1,0,IF(X23="",0,IF(COUNTIF($X$3:X22,X23)&gt;0,1,0)))</f>
        <v>0</v>
      </c>
      <c r="AA23">
        <f t="shared" si="2"/>
        <v>6280000</v>
      </c>
      <c r="AB23">
        <f t="shared" si="3"/>
        <v>3</v>
      </c>
      <c r="AC23">
        <f>IF(I23="",0,L23*IFERROR(INDEX(کاتالوگ_محصولات!$G$4:$G$303,MATCH(I23,کاتالوگ_محصولات!$A$4:$A$303,0)),0))</f>
        <v>0</v>
      </c>
      <c r="AD23">
        <f t="shared" si="8"/>
        <v>1540000</v>
      </c>
      <c r="AE23" t="str">
        <f t="shared" si="9"/>
        <v>1405/07</v>
      </c>
    </row>
    <row r="24" spans="1:31" ht="18" customHeight="1">
      <c r="A24" s="161" t="s">
        <v>1179</v>
      </c>
      <c r="B24" s="161" t="s">
        <v>1128</v>
      </c>
      <c r="C24" s="162">
        <v>2</v>
      </c>
      <c r="D24" s="162" t="s">
        <v>1139</v>
      </c>
      <c r="E24" s="162" t="s">
        <v>1131</v>
      </c>
      <c r="F24" s="162" t="s">
        <v>1181</v>
      </c>
      <c r="G24" s="162" t="s">
        <v>1180</v>
      </c>
      <c r="H24" s="162" t="s">
        <v>7</v>
      </c>
      <c r="I24" s="163"/>
      <c r="J24" s="163" t="s">
        <v>724</v>
      </c>
      <c r="K24" s="161" t="s">
        <v>724</v>
      </c>
      <c r="L24" s="161">
        <v>1</v>
      </c>
      <c r="M24" s="164">
        <v>1540000</v>
      </c>
      <c r="N24" s="164">
        <v>0</v>
      </c>
      <c r="O24" s="195">
        <v>1540000</v>
      </c>
      <c r="P24" s="162" t="s">
        <v>1182</v>
      </c>
      <c r="Q24" s="162" t="s">
        <v>1183</v>
      </c>
      <c r="R24" s="162">
        <v>9365161629</v>
      </c>
      <c r="S24" s="162">
        <v>11</v>
      </c>
      <c r="T24" s="162" t="s">
        <v>1184</v>
      </c>
      <c r="U24" s="271"/>
      <c r="V24">
        <f>IF(A24="",0,IF(COUNTIF($A$3:A24,A24)=1,1,0))</f>
        <v>0</v>
      </c>
      <c r="W24">
        <f t="shared" si="6"/>
        <v>1540000</v>
      </c>
      <c r="X24">
        <f t="shared" si="7"/>
        <v>9365161629</v>
      </c>
      <c r="Y24">
        <f>IF(X24="",0,IF(COUNTIF($X$3:X24,X24)=1,1,0))</f>
        <v>0</v>
      </c>
      <c r="Z24">
        <f>IF(V24&lt;&gt;1,0,IF(X24="",0,IF(COUNTIF($X$3:X23,X24)&gt;0,1,0)))</f>
        <v>0</v>
      </c>
      <c r="AA24">
        <f t="shared" si="2"/>
        <v>0</v>
      </c>
      <c r="AB24">
        <f t="shared" si="3"/>
        <v>0</v>
      </c>
      <c r="AC24">
        <f>IF(I24="",0,L24*IFERROR(INDEX(کاتالوگ_محصولات!$G$4:$G$303,MATCH(I24,کاتالوگ_محصولات!$A$4:$A$303,0)),0))</f>
        <v>0</v>
      </c>
      <c r="AD24">
        <f t="shared" si="8"/>
        <v>1540000</v>
      </c>
      <c r="AE24" t="str">
        <f t="shared" si="9"/>
        <v>1405/07</v>
      </c>
    </row>
    <row r="25" spans="1:31" ht="18" customHeight="1">
      <c r="A25" s="161" t="s">
        <v>1179</v>
      </c>
      <c r="B25" s="161" t="s">
        <v>1128</v>
      </c>
      <c r="C25" s="162">
        <v>2</v>
      </c>
      <c r="D25" s="162" t="s">
        <v>1139</v>
      </c>
      <c r="E25" s="162" t="s">
        <v>1131</v>
      </c>
      <c r="F25" s="162" t="s">
        <v>1181</v>
      </c>
      <c r="G25" s="162" t="s">
        <v>1180</v>
      </c>
      <c r="H25" s="162" t="s">
        <v>7</v>
      </c>
      <c r="I25" s="163"/>
      <c r="J25" s="163" t="s">
        <v>622</v>
      </c>
      <c r="K25" s="161" t="s">
        <v>622</v>
      </c>
      <c r="L25" s="161">
        <v>1</v>
      </c>
      <c r="M25" s="164">
        <v>3200000</v>
      </c>
      <c r="N25" s="164">
        <v>0</v>
      </c>
      <c r="O25" s="195">
        <v>3200000</v>
      </c>
      <c r="P25" s="162" t="s">
        <v>1182</v>
      </c>
      <c r="Q25" s="162" t="s">
        <v>1183</v>
      </c>
      <c r="R25" s="162">
        <v>9365161629</v>
      </c>
      <c r="S25" s="162">
        <v>11</v>
      </c>
      <c r="T25" s="162" t="s">
        <v>1184</v>
      </c>
      <c r="U25" s="271"/>
      <c r="V25">
        <f>IF(A25="",0,IF(COUNTIF($A$3:A25,A25)=1,1,0))</f>
        <v>0</v>
      </c>
      <c r="W25">
        <f t="shared" si="6"/>
        <v>3200000</v>
      </c>
      <c r="X25">
        <f t="shared" si="7"/>
        <v>9365161629</v>
      </c>
      <c r="Y25">
        <f>IF(X25="",0,IF(COUNTIF($X$3:X25,X25)=1,1,0))</f>
        <v>0</v>
      </c>
      <c r="Z25">
        <f>IF(V25&lt;&gt;1,0,IF(X25="",0,IF(COUNTIF($X$3:X24,X25)&gt;0,1,0)))</f>
        <v>0</v>
      </c>
      <c r="AA25">
        <f t="shared" si="2"/>
        <v>0</v>
      </c>
      <c r="AB25">
        <f t="shared" si="3"/>
        <v>0</v>
      </c>
      <c r="AC25">
        <f>IF(I25="",0,L25*IFERROR(INDEX(کاتالوگ_محصولات!$G$4:$G$303,MATCH(I25,کاتالوگ_محصولات!$A$4:$A$303,0)),0))</f>
        <v>0</v>
      </c>
      <c r="AD25">
        <f t="shared" si="8"/>
        <v>3200000</v>
      </c>
      <c r="AE25" t="str">
        <f t="shared" si="9"/>
        <v>1405/07</v>
      </c>
    </row>
    <row r="26" spans="1:31" ht="18" customHeight="1">
      <c r="A26" s="161" t="s">
        <v>1185</v>
      </c>
      <c r="B26" s="161" t="s">
        <v>1128</v>
      </c>
      <c r="C26" s="162">
        <v>2</v>
      </c>
      <c r="D26" s="162" t="s">
        <v>1139</v>
      </c>
      <c r="E26" s="162" t="s">
        <v>1131</v>
      </c>
      <c r="F26" s="162" t="s">
        <v>5</v>
      </c>
      <c r="G26" s="162" t="s">
        <v>258</v>
      </c>
      <c r="H26" s="162" t="s">
        <v>7</v>
      </c>
      <c r="I26" s="163"/>
      <c r="J26" s="163" t="s">
        <v>1176</v>
      </c>
      <c r="K26" s="161" t="s">
        <v>1176</v>
      </c>
      <c r="L26" s="161">
        <v>1</v>
      </c>
      <c r="M26" s="164">
        <v>6780000</v>
      </c>
      <c r="N26" s="164">
        <v>0</v>
      </c>
      <c r="O26" s="195">
        <v>6780000</v>
      </c>
      <c r="P26" s="162" t="s">
        <v>1187</v>
      </c>
      <c r="Q26" s="162" t="s">
        <v>1186</v>
      </c>
      <c r="R26" s="162">
        <v>909630096</v>
      </c>
      <c r="S26" s="162"/>
      <c r="T26" s="162"/>
      <c r="U26" s="162"/>
      <c r="V26">
        <f>IF(A26="",0,IF(COUNTIF($A$3:A26,A26)=1,1,0))</f>
        <v>1</v>
      </c>
      <c r="W26">
        <f t="shared" si="6"/>
        <v>6780000</v>
      </c>
      <c r="X26">
        <f t="shared" si="7"/>
        <v>909630096</v>
      </c>
      <c r="Y26">
        <f>IF(X26="",0,IF(COUNTIF($X$3:X26,X26)=1,1,0))</f>
        <v>1</v>
      </c>
      <c r="Z26">
        <f>IF(V26&lt;&gt;1,0,IF(X26="",0,IF(COUNTIF($X$3:X25,X26)&gt;0,1,0)))</f>
        <v>0</v>
      </c>
      <c r="AA26">
        <f t="shared" si="2"/>
        <v>6780000</v>
      </c>
      <c r="AB26">
        <f t="shared" si="3"/>
        <v>1</v>
      </c>
      <c r="AC26">
        <f>IF(I26="",0,L26*IFERROR(INDEX(کاتالوگ_محصولات!$G$4:$G$303,MATCH(I26,کاتالوگ_محصولات!$A$4:$A$303,0)),0))</f>
        <v>0</v>
      </c>
      <c r="AD26">
        <f t="shared" si="8"/>
        <v>6780000</v>
      </c>
      <c r="AE26" t="str">
        <f t="shared" si="9"/>
        <v>1405/07</v>
      </c>
    </row>
    <row r="27" spans="1:31" ht="18" customHeight="1">
      <c r="A27" s="161" t="s">
        <v>1188</v>
      </c>
      <c r="B27" s="161" t="s">
        <v>1128</v>
      </c>
      <c r="C27" s="162">
        <v>1</v>
      </c>
      <c r="D27" s="162" t="s">
        <v>1195</v>
      </c>
      <c r="E27" s="162" t="s">
        <v>1138</v>
      </c>
      <c r="F27" s="162" t="s">
        <v>1159</v>
      </c>
      <c r="G27" s="162" t="s">
        <v>1194</v>
      </c>
      <c r="H27" s="162" t="s">
        <v>7</v>
      </c>
      <c r="I27" s="163"/>
      <c r="J27" s="163" t="s">
        <v>1189</v>
      </c>
      <c r="K27" s="161" t="s">
        <v>1189</v>
      </c>
      <c r="L27" s="161">
        <v>1</v>
      </c>
      <c r="M27" s="164">
        <v>1800000</v>
      </c>
      <c r="N27" s="164">
        <v>0</v>
      </c>
      <c r="O27" s="195">
        <v>1800000</v>
      </c>
      <c r="P27" s="162" t="s">
        <v>1192</v>
      </c>
      <c r="Q27" s="162" t="s">
        <v>1193</v>
      </c>
      <c r="R27" s="162">
        <v>9120292707</v>
      </c>
      <c r="S27" s="162">
        <v>22</v>
      </c>
      <c r="T27" s="162" t="s">
        <v>1196</v>
      </c>
      <c r="U27" s="267" t="s">
        <v>1173</v>
      </c>
      <c r="V27">
        <f>IF(A27="",0,IF(COUNTIF($A$3:A27,A27)=1,1,0))</f>
        <v>1</v>
      </c>
      <c r="W27">
        <f t="shared" si="6"/>
        <v>1800000</v>
      </c>
      <c r="X27">
        <f t="shared" si="7"/>
        <v>9120292707</v>
      </c>
      <c r="Y27">
        <f>IF(X27="",0,IF(COUNTIF($X$3:X27,X27)=1,1,0))</f>
        <v>1</v>
      </c>
      <c r="Z27">
        <f>IF(V27&lt;&gt;1,0,IF(X27="",0,IF(COUNTIF($X$3:X26,X27)&gt;0,1,0)))</f>
        <v>0</v>
      </c>
      <c r="AA27">
        <f t="shared" si="2"/>
        <v>15190000</v>
      </c>
      <c r="AB27">
        <f t="shared" si="3"/>
        <v>6</v>
      </c>
      <c r="AC27">
        <f>IF(I27="",0,L27*IFERROR(INDEX(کاتالوگ_محصولات!$G$4:$G$303,MATCH(I27,کاتالوگ_محصولات!$A$4:$A$303,0)),0))</f>
        <v>0</v>
      </c>
      <c r="AD27">
        <f t="shared" si="8"/>
        <v>1800000</v>
      </c>
      <c r="AE27" t="str">
        <f t="shared" si="9"/>
        <v>1405/07</v>
      </c>
    </row>
    <row r="28" spans="1:31" ht="18" customHeight="1">
      <c r="A28" s="161" t="s">
        <v>1188</v>
      </c>
      <c r="B28" s="161" t="s">
        <v>1128</v>
      </c>
      <c r="C28" s="162">
        <v>1</v>
      </c>
      <c r="D28" s="162" t="s">
        <v>1195</v>
      </c>
      <c r="E28" s="162" t="s">
        <v>1138</v>
      </c>
      <c r="F28" s="162" t="s">
        <v>1159</v>
      </c>
      <c r="G28" s="162" t="s">
        <v>1194</v>
      </c>
      <c r="H28" s="162" t="s">
        <v>7</v>
      </c>
      <c r="I28" s="163"/>
      <c r="J28" s="163" t="s">
        <v>563</v>
      </c>
      <c r="K28" s="161" t="s">
        <v>563</v>
      </c>
      <c r="L28" s="161">
        <v>1</v>
      </c>
      <c r="M28" s="164">
        <v>2950000</v>
      </c>
      <c r="N28" s="164">
        <v>0</v>
      </c>
      <c r="O28" s="195">
        <v>2950000</v>
      </c>
      <c r="P28" s="162" t="s">
        <v>1192</v>
      </c>
      <c r="Q28" s="162" t="s">
        <v>1193</v>
      </c>
      <c r="R28" s="162">
        <v>9120292707</v>
      </c>
      <c r="S28" s="162">
        <v>22</v>
      </c>
      <c r="T28" s="162" t="s">
        <v>1196</v>
      </c>
      <c r="U28" s="267"/>
      <c r="V28">
        <f>IF(A28="",0,IF(COUNTIF($A$3:A28,A28)=1,1,0))</f>
        <v>0</v>
      </c>
      <c r="W28">
        <f t="shared" si="6"/>
        <v>2950000</v>
      </c>
      <c r="X28">
        <f t="shared" si="7"/>
        <v>9120292707</v>
      </c>
      <c r="Y28">
        <f>IF(X28="",0,IF(COUNTIF($X$3:X28,X28)=1,1,0))</f>
        <v>0</v>
      </c>
      <c r="Z28">
        <f>IF(V28&lt;&gt;1,0,IF(X28="",0,IF(COUNTIF($X$3:X27,X28)&gt;0,1,0)))</f>
        <v>0</v>
      </c>
      <c r="AA28">
        <f t="shared" si="2"/>
        <v>0</v>
      </c>
      <c r="AB28">
        <f t="shared" si="3"/>
        <v>0</v>
      </c>
      <c r="AC28">
        <f>IF(I28="",0,L28*IFERROR(INDEX(کاتالوگ_محصولات!$G$4:$G$303,MATCH(I28,کاتالوگ_محصولات!$A$4:$A$303,0)),0))</f>
        <v>0</v>
      </c>
      <c r="AD28">
        <f t="shared" si="8"/>
        <v>2950000</v>
      </c>
      <c r="AE28" t="str">
        <f t="shared" si="9"/>
        <v>1405/07</v>
      </c>
    </row>
    <row r="29" spans="1:31" ht="18" customHeight="1">
      <c r="A29" s="161" t="s">
        <v>1188</v>
      </c>
      <c r="B29" s="161" t="s">
        <v>1128</v>
      </c>
      <c r="C29" s="162">
        <v>1</v>
      </c>
      <c r="D29" s="162" t="s">
        <v>1195</v>
      </c>
      <c r="E29" s="162" t="s">
        <v>1138</v>
      </c>
      <c r="F29" s="162" t="s">
        <v>1159</v>
      </c>
      <c r="G29" s="162" t="s">
        <v>1194</v>
      </c>
      <c r="H29" s="162" t="s">
        <v>7</v>
      </c>
      <c r="I29" s="163"/>
      <c r="J29" s="163" t="s">
        <v>616</v>
      </c>
      <c r="K29" s="161" t="s">
        <v>616</v>
      </c>
      <c r="L29" s="161">
        <v>1</v>
      </c>
      <c r="M29" s="164">
        <v>3200000</v>
      </c>
      <c r="N29" s="164">
        <v>0</v>
      </c>
      <c r="O29" s="195">
        <v>3200000</v>
      </c>
      <c r="P29" s="162" t="s">
        <v>1192</v>
      </c>
      <c r="Q29" s="162" t="s">
        <v>1193</v>
      </c>
      <c r="R29" s="162">
        <v>9120292707</v>
      </c>
      <c r="S29" s="162">
        <v>22</v>
      </c>
      <c r="T29" s="162" t="s">
        <v>1196</v>
      </c>
      <c r="U29" s="267"/>
      <c r="V29">
        <f>IF(A29="",0,IF(COUNTIF($A$3:A29,A29)=1,1,0))</f>
        <v>0</v>
      </c>
      <c r="W29">
        <f t="shared" si="6"/>
        <v>3200000</v>
      </c>
      <c r="X29">
        <f t="shared" si="7"/>
        <v>9120292707</v>
      </c>
      <c r="Y29">
        <f>IF(X29="",0,IF(COUNTIF($X$3:X29,X29)=1,1,0))</f>
        <v>0</v>
      </c>
      <c r="Z29">
        <f>IF(V29&lt;&gt;1,0,IF(X29="",0,IF(COUNTIF($X$3:X28,X29)&gt;0,1,0)))</f>
        <v>0</v>
      </c>
      <c r="AA29">
        <f t="shared" si="2"/>
        <v>0</v>
      </c>
      <c r="AB29">
        <f t="shared" si="3"/>
        <v>0</v>
      </c>
      <c r="AC29">
        <f>IF(I29="",0,L29*IFERROR(INDEX(کاتالوگ_محصولات!$G$4:$G$303,MATCH(I29,کاتالوگ_محصولات!$A$4:$A$303,0)),0))</f>
        <v>0</v>
      </c>
      <c r="AD29">
        <f t="shared" si="8"/>
        <v>3200000</v>
      </c>
      <c r="AE29" t="str">
        <f t="shared" si="9"/>
        <v>1405/07</v>
      </c>
    </row>
    <row r="30" spans="1:31" ht="18" customHeight="1">
      <c r="A30" s="161" t="s">
        <v>1188</v>
      </c>
      <c r="B30" s="161" t="s">
        <v>1128</v>
      </c>
      <c r="C30" s="162">
        <v>1</v>
      </c>
      <c r="D30" s="162" t="s">
        <v>1195</v>
      </c>
      <c r="E30" s="162" t="s">
        <v>1138</v>
      </c>
      <c r="F30" s="162" t="s">
        <v>1159</v>
      </c>
      <c r="G30" s="162" t="s">
        <v>1194</v>
      </c>
      <c r="H30" s="162" t="s">
        <v>7</v>
      </c>
      <c r="I30" s="163"/>
      <c r="J30" s="163" t="s">
        <v>1190</v>
      </c>
      <c r="K30" s="161" t="s">
        <v>1190</v>
      </c>
      <c r="L30" s="161">
        <v>1</v>
      </c>
      <c r="M30" s="164">
        <v>2180000</v>
      </c>
      <c r="N30" s="164">
        <v>0</v>
      </c>
      <c r="O30" s="195">
        <v>2180000</v>
      </c>
      <c r="P30" s="162" t="s">
        <v>1192</v>
      </c>
      <c r="Q30" s="162" t="s">
        <v>1193</v>
      </c>
      <c r="R30" s="162">
        <v>9120292707</v>
      </c>
      <c r="S30" s="162">
        <v>22</v>
      </c>
      <c r="T30" s="162" t="s">
        <v>1196</v>
      </c>
      <c r="U30" s="267"/>
      <c r="V30">
        <f>IF(A30="",0,IF(COUNTIF($A$3:A30,A30)=1,1,0))</f>
        <v>0</v>
      </c>
      <c r="W30">
        <f t="shared" si="6"/>
        <v>2180000</v>
      </c>
      <c r="X30">
        <f t="shared" si="7"/>
        <v>9120292707</v>
      </c>
      <c r="Y30">
        <f>IF(X30="",0,IF(COUNTIF($X$3:X30,X30)=1,1,0))</f>
        <v>0</v>
      </c>
      <c r="Z30">
        <f>IF(V30&lt;&gt;1,0,IF(X30="",0,IF(COUNTIF($X$3:X29,X30)&gt;0,1,0)))</f>
        <v>0</v>
      </c>
      <c r="AA30">
        <f t="shared" si="2"/>
        <v>0</v>
      </c>
      <c r="AB30">
        <f t="shared" si="3"/>
        <v>0</v>
      </c>
      <c r="AC30">
        <f>IF(I30="",0,L30*IFERROR(INDEX(کاتالوگ_محصولات!$G$4:$G$303,MATCH(I30,کاتالوگ_محصولات!$A$4:$A$303,0)),0))</f>
        <v>0</v>
      </c>
      <c r="AD30">
        <f t="shared" si="8"/>
        <v>2180000</v>
      </c>
      <c r="AE30" t="str">
        <f t="shared" si="9"/>
        <v>1405/07</v>
      </c>
    </row>
    <row r="31" spans="1:31" ht="18" customHeight="1">
      <c r="A31" s="161" t="s">
        <v>1188</v>
      </c>
      <c r="B31" s="161" t="s">
        <v>1128</v>
      </c>
      <c r="C31" s="162">
        <v>1</v>
      </c>
      <c r="D31" s="162" t="s">
        <v>1195</v>
      </c>
      <c r="E31" s="162" t="s">
        <v>1138</v>
      </c>
      <c r="F31" s="162" t="s">
        <v>1159</v>
      </c>
      <c r="G31" s="162" t="s">
        <v>1194</v>
      </c>
      <c r="H31" s="162" t="s">
        <v>7</v>
      </c>
      <c r="I31" s="163"/>
      <c r="J31" s="163" t="s">
        <v>1191</v>
      </c>
      <c r="K31" s="161" t="s">
        <v>1191</v>
      </c>
      <c r="L31" s="161">
        <v>1</v>
      </c>
      <c r="M31" s="164">
        <v>2180000</v>
      </c>
      <c r="N31" s="164">
        <v>0</v>
      </c>
      <c r="O31" s="195">
        <v>2180000</v>
      </c>
      <c r="P31" s="162" t="s">
        <v>1192</v>
      </c>
      <c r="Q31" s="162" t="s">
        <v>1193</v>
      </c>
      <c r="R31" s="162">
        <v>9120292707</v>
      </c>
      <c r="S31" s="162">
        <v>22</v>
      </c>
      <c r="T31" s="162" t="s">
        <v>1196</v>
      </c>
      <c r="U31" s="267"/>
      <c r="V31">
        <f>IF(A31="",0,IF(COUNTIF($A$3:A31,A31)=1,1,0))</f>
        <v>0</v>
      </c>
      <c r="W31">
        <f t="shared" si="6"/>
        <v>2180000</v>
      </c>
      <c r="X31">
        <f t="shared" si="7"/>
        <v>9120292707</v>
      </c>
      <c r="Y31">
        <f>IF(X31="",0,IF(COUNTIF($X$3:X31,X31)=1,1,0))</f>
        <v>0</v>
      </c>
      <c r="Z31">
        <f>IF(V31&lt;&gt;1,0,IF(X31="",0,IF(COUNTIF($X$3:X30,X31)&gt;0,1,0)))</f>
        <v>0</v>
      </c>
      <c r="AA31">
        <f t="shared" si="2"/>
        <v>0</v>
      </c>
      <c r="AB31">
        <f t="shared" si="3"/>
        <v>0</v>
      </c>
      <c r="AC31">
        <f>IF(I31="",0,L31*IFERROR(INDEX(کاتالوگ_محصولات!$G$4:$G$303,MATCH(I31,کاتالوگ_محصولات!$A$4:$A$303,0)),0))</f>
        <v>0</v>
      </c>
      <c r="AD31">
        <f t="shared" si="8"/>
        <v>2180000</v>
      </c>
      <c r="AE31" t="str">
        <f t="shared" si="9"/>
        <v>1405/07</v>
      </c>
    </row>
    <row r="32" spans="1:31" ht="18" customHeight="1">
      <c r="A32" s="161" t="s">
        <v>1188</v>
      </c>
      <c r="B32" s="161" t="s">
        <v>1128</v>
      </c>
      <c r="C32" s="162">
        <v>1</v>
      </c>
      <c r="D32" s="162" t="s">
        <v>1195</v>
      </c>
      <c r="E32" s="162" t="s">
        <v>1138</v>
      </c>
      <c r="F32" s="162" t="s">
        <v>1159</v>
      </c>
      <c r="G32" s="162" t="s">
        <v>1194</v>
      </c>
      <c r="H32" s="162" t="s">
        <v>7</v>
      </c>
      <c r="I32" s="163"/>
      <c r="J32" s="163" t="s">
        <v>1125</v>
      </c>
      <c r="K32" s="161" t="s">
        <v>1125</v>
      </c>
      <c r="L32" s="161">
        <v>1</v>
      </c>
      <c r="M32" s="164">
        <v>2880000</v>
      </c>
      <c r="N32" s="164">
        <v>0</v>
      </c>
      <c r="O32" s="195">
        <v>2880000</v>
      </c>
      <c r="P32" s="162" t="s">
        <v>1192</v>
      </c>
      <c r="Q32" s="162" t="s">
        <v>1193</v>
      </c>
      <c r="R32" s="162">
        <v>9120292707</v>
      </c>
      <c r="S32" s="162">
        <v>22</v>
      </c>
      <c r="T32" s="162" t="s">
        <v>1196</v>
      </c>
      <c r="U32" s="267"/>
      <c r="V32">
        <f>IF(A32="",0,IF(COUNTIF($A$3:A32,A32)=1,1,0))</f>
        <v>0</v>
      </c>
      <c r="W32">
        <f t="shared" si="6"/>
        <v>2880000</v>
      </c>
      <c r="X32">
        <f t="shared" si="7"/>
        <v>9120292707</v>
      </c>
      <c r="Y32">
        <f>IF(X32="",0,IF(COUNTIF($X$3:X32,X32)=1,1,0))</f>
        <v>0</v>
      </c>
      <c r="Z32">
        <f>IF(V32&lt;&gt;1,0,IF(X32="",0,IF(COUNTIF($X$3:X31,X32)&gt;0,1,0)))</f>
        <v>0</v>
      </c>
      <c r="AA32">
        <f t="shared" si="2"/>
        <v>0</v>
      </c>
      <c r="AB32">
        <f t="shared" si="3"/>
        <v>0</v>
      </c>
      <c r="AC32">
        <f>IF(I32="",0,L32*IFERROR(INDEX(کاتالوگ_محصولات!$G$4:$G$303,MATCH(I32,کاتالوگ_محصولات!$A$4:$A$303,0)),0))</f>
        <v>0</v>
      </c>
      <c r="AD32">
        <f t="shared" si="8"/>
        <v>2880000</v>
      </c>
      <c r="AE32" t="str">
        <f t="shared" si="9"/>
        <v>1405/07</v>
      </c>
    </row>
    <row r="33" spans="1:31" ht="18" customHeight="1">
      <c r="A33" s="161" t="s">
        <v>1197</v>
      </c>
      <c r="B33" s="161" t="s">
        <v>1128</v>
      </c>
      <c r="C33" s="162">
        <v>1</v>
      </c>
      <c r="D33" s="162" t="s">
        <v>1195</v>
      </c>
      <c r="E33" s="162" t="s">
        <v>1138</v>
      </c>
      <c r="F33" s="162" t="s">
        <v>5</v>
      </c>
      <c r="G33" s="162" t="s">
        <v>258</v>
      </c>
      <c r="H33" s="162" t="s">
        <v>7</v>
      </c>
      <c r="I33" s="163"/>
      <c r="J33" s="163" t="s">
        <v>1199</v>
      </c>
      <c r="K33" s="161" t="s">
        <v>1199</v>
      </c>
      <c r="L33" s="161">
        <v>1</v>
      </c>
      <c r="M33" s="164">
        <v>928000</v>
      </c>
      <c r="N33" s="164">
        <v>0</v>
      </c>
      <c r="O33" s="195">
        <v>928000</v>
      </c>
      <c r="P33" s="162"/>
      <c r="Q33" s="162" t="s">
        <v>1200</v>
      </c>
      <c r="R33" s="162">
        <v>9026666570</v>
      </c>
      <c r="S33" s="162">
        <v>25</v>
      </c>
      <c r="T33" s="162" t="s">
        <v>1201</v>
      </c>
      <c r="U33" s="162"/>
      <c r="V33">
        <f>IF(A33="",0,IF(COUNTIF($A$3:A33,A33)=1,1,0))</f>
        <v>1</v>
      </c>
      <c r="W33">
        <f t="shared" si="6"/>
        <v>928000</v>
      </c>
      <c r="X33">
        <f t="shared" si="7"/>
        <v>9026666570</v>
      </c>
      <c r="Y33">
        <f>IF(X33="",0,IF(COUNTIF($X$3:X33,X33)=1,1,0))</f>
        <v>1</v>
      </c>
      <c r="Z33">
        <f>IF(V33&lt;&gt;1,0,IF(X33="",0,IF(COUNTIF($X$3:X32,X33)&gt;0,1,0)))</f>
        <v>0</v>
      </c>
      <c r="AA33">
        <f t="shared" si="2"/>
        <v>928000</v>
      </c>
      <c r="AB33">
        <f t="shared" si="3"/>
        <v>1</v>
      </c>
      <c r="AC33">
        <f>IF(I33="",0,L33*IFERROR(INDEX(کاتالوگ_محصولات!$G$4:$G$303,MATCH(I33,کاتالوگ_محصولات!$A$4:$A$303,0)),0))</f>
        <v>0</v>
      </c>
      <c r="AD33">
        <f t="shared" si="8"/>
        <v>928000</v>
      </c>
      <c r="AE33" t="str">
        <f t="shared" si="9"/>
        <v>1405/07</v>
      </c>
    </row>
    <row r="34" spans="1:31" ht="18" customHeight="1">
      <c r="A34" s="191" t="s">
        <v>1202</v>
      </c>
      <c r="B34" s="191" t="s">
        <v>1129</v>
      </c>
      <c r="C34" s="192">
        <v>1</v>
      </c>
      <c r="D34" s="192" t="s">
        <v>1195</v>
      </c>
      <c r="E34" s="192" t="s">
        <v>1204</v>
      </c>
      <c r="F34" s="192" t="s">
        <v>5</v>
      </c>
      <c r="G34" s="192" t="s">
        <v>1207</v>
      </c>
      <c r="H34" s="192" t="s">
        <v>7</v>
      </c>
      <c r="I34" s="193"/>
      <c r="J34" s="193" t="s">
        <v>557</v>
      </c>
      <c r="K34" s="191" t="s">
        <v>557</v>
      </c>
      <c r="L34" s="191">
        <v>1</v>
      </c>
      <c r="M34" s="194">
        <v>3380000</v>
      </c>
      <c r="N34" s="194">
        <v>0</v>
      </c>
      <c r="O34" s="196">
        <v>3380000</v>
      </c>
      <c r="P34" s="192" t="s">
        <v>1205</v>
      </c>
      <c r="Q34" s="192" t="s">
        <v>1206</v>
      </c>
      <c r="R34" s="192">
        <v>9124934558</v>
      </c>
      <c r="S34" s="192">
        <v>27</v>
      </c>
      <c r="T34" s="192">
        <v>1</v>
      </c>
      <c r="U34" s="179" t="s">
        <v>1208</v>
      </c>
      <c r="V34">
        <f>IF(A34="",0,IF(COUNTIF($A$3:A34,A34)=1,1,0))</f>
        <v>1</v>
      </c>
      <c r="W34">
        <f t="shared" si="6"/>
        <v>3380000</v>
      </c>
      <c r="X34">
        <f t="shared" si="7"/>
        <v>9124934558</v>
      </c>
      <c r="Y34">
        <f>IF(X34="",0,IF(COUNTIF($X$3:X34,X34)=1,1,0))</f>
        <v>1</v>
      </c>
      <c r="Z34">
        <f>IF(V34&lt;&gt;1,0,IF(X34="",0,IF(COUNTIF($X$3:X33,X34)&gt;0,1,0)))</f>
        <v>0</v>
      </c>
      <c r="AA34">
        <f t="shared" si="2"/>
        <v>3380000</v>
      </c>
      <c r="AB34">
        <f t="shared" si="3"/>
        <v>1</v>
      </c>
      <c r="AC34">
        <f>IF(I34="",0,L34*IFERROR(INDEX(کاتالوگ_محصولات!$G$4:$G$303,MATCH(I34,کاتالوگ_محصولات!$A$4:$A$303,0)),0))</f>
        <v>0</v>
      </c>
      <c r="AD34">
        <f t="shared" si="8"/>
        <v>3380000</v>
      </c>
      <c r="AE34" t="str">
        <f t="shared" si="9"/>
        <v>1405/07</v>
      </c>
    </row>
    <row r="35" spans="1:31" ht="18" customHeight="1">
      <c r="A35" s="191" t="s">
        <v>1209</v>
      </c>
      <c r="B35" s="191" t="s">
        <v>1129</v>
      </c>
      <c r="C35" s="192">
        <v>1</v>
      </c>
      <c r="D35" s="192" t="s">
        <v>1195</v>
      </c>
      <c r="E35" s="192" t="s">
        <v>1212</v>
      </c>
      <c r="F35" s="192" t="s">
        <v>5</v>
      </c>
      <c r="G35" s="192" t="s">
        <v>258</v>
      </c>
      <c r="H35" s="192" t="s">
        <v>7</v>
      </c>
      <c r="I35" s="193"/>
      <c r="J35" s="193" t="s">
        <v>570</v>
      </c>
      <c r="K35" s="191" t="s">
        <v>570</v>
      </c>
      <c r="L35" s="191">
        <v>1</v>
      </c>
      <c r="M35" s="194">
        <v>1680000</v>
      </c>
      <c r="N35" s="194">
        <v>0</v>
      </c>
      <c r="O35" s="196">
        <v>1680000</v>
      </c>
      <c r="P35" s="192" t="s">
        <v>1210</v>
      </c>
      <c r="Q35" s="192" t="s">
        <v>1211</v>
      </c>
      <c r="R35" s="192">
        <v>9148931108</v>
      </c>
      <c r="S35" s="192">
        <v>28</v>
      </c>
      <c r="T35" s="192">
        <v>6</v>
      </c>
      <c r="U35" s="192"/>
      <c r="V35">
        <f>IF(A35="",0,IF(COUNTIF($A$3:A35,A35)=1,1,0))</f>
        <v>1</v>
      </c>
      <c r="W35">
        <f t="shared" si="6"/>
        <v>1680000</v>
      </c>
      <c r="X35">
        <f t="shared" si="7"/>
        <v>9148931108</v>
      </c>
      <c r="Y35">
        <f>IF(X35="",0,IF(COUNTIF($X$3:X35,X35)=1,1,0))</f>
        <v>1</v>
      </c>
      <c r="Z35">
        <f>IF(V35&lt;&gt;1,0,IF(X35="",0,IF(COUNTIF($X$3:X34,X35)&gt;0,1,0)))</f>
        <v>0</v>
      </c>
      <c r="AA35">
        <f t="shared" si="2"/>
        <v>3000000</v>
      </c>
      <c r="AB35">
        <f t="shared" si="3"/>
        <v>2</v>
      </c>
      <c r="AC35">
        <f>IF(I35="",0,L35*IFERROR(INDEX(کاتالوگ_محصولات!$G$4:$G$303,MATCH(I35,کاتالوگ_محصولات!$A$4:$A$303,0)),0))</f>
        <v>0</v>
      </c>
      <c r="AD35">
        <f t="shared" si="8"/>
        <v>1680000</v>
      </c>
      <c r="AE35" t="str">
        <f t="shared" si="9"/>
        <v>1405/07</v>
      </c>
    </row>
    <row r="36" spans="1:31" ht="18" customHeight="1">
      <c r="A36" s="191" t="s">
        <v>1209</v>
      </c>
      <c r="B36" s="191" t="s">
        <v>1129</v>
      </c>
      <c r="C36" s="192">
        <v>1</v>
      </c>
      <c r="D36" s="192" t="s">
        <v>1195</v>
      </c>
      <c r="E36" s="192" t="s">
        <v>1212</v>
      </c>
      <c r="F36" s="192" t="s">
        <v>5</v>
      </c>
      <c r="G36" s="192" t="s">
        <v>258</v>
      </c>
      <c r="H36" s="192" t="s">
        <v>7</v>
      </c>
      <c r="I36" s="193"/>
      <c r="J36" s="193" t="s">
        <v>550</v>
      </c>
      <c r="K36" s="191" t="s">
        <v>550</v>
      </c>
      <c r="L36" s="191">
        <v>1</v>
      </c>
      <c r="M36" s="194">
        <v>1320000</v>
      </c>
      <c r="N36" s="194">
        <v>0</v>
      </c>
      <c r="O36" s="196">
        <v>1320000</v>
      </c>
      <c r="P36" s="192" t="s">
        <v>1210</v>
      </c>
      <c r="Q36" s="192" t="s">
        <v>1211</v>
      </c>
      <c r="R36" s="192">
        <v>9148931108</v>
      </c>
      <c r="S36" s="192">
        <v>28</v>
      </c>
      <c r="T36" s="192">
        <v>6</v>
      </c>
      <c r="U36" s="192"/>
      <c r="V36">
        <f>IF(A36="",0,IF(COUNTIF($A$3:A36,A36)=1,1,0))</f>
        <v>0</v>
      </c>
      <c r="W36">
        <f t="shared" si="6"/>
        <v>1320000</v>
      </c>
      <c r="X36">
        <f t="shared" si="7"/>
        <v>9148931108</v>
      </c>
      <c r="Y36">
        <f>IF(X36="",0,IF(COUNTIF($X$3:X36,X36)=1,1,0))</f>
        <v>0</v>
      </c>
      <c r="Z36">
        <f>IF(V36&lt;&gt;1,0,IF(X36="",0,IF(COUNTIF($X$3:X35,X36)&gt;0,1,0)))</f>
        <v>0</v>
      </c>
      <c r="AA36">
        <f t="shared" si="2"/>
        <v>0</v>
      </c>
      <c r="AB36">
        <f t="shared" si="3"/>
        <v>0</v>
      </c>
      <c r="AC36">
        <f>IF(I36="",0,L36*IFERROR(INDEX(کاتالوگ_محصولات!$G$4:$G$303,MATCH(I36,کاتالوگ_محصولات!$A$4:$A$303,0)),0))</f>
        <v>0</v>
      </c>
      <c r="AD36">
        <f t="shared" si="8"/>
        <v>1320000</v>
      </c>
      <c r="AE36" t="str">
        <f t="shared" si="9"/>
        <v>1405/07</v>
      </c>
    </row>
    <row r="37" spans="1:31" ht="18" customHeight="1">
      <c r="A37" s="191" t="s">
        <v>1213</v>
      </c>
      <c r="B37" s="191" t="s">
        <v>1129</v>
      </c>
      <c r="C37" s="192">
        <v>1</v>
      </c>
      <c r="D37" s="192" t="s">
        <v>1195</v>
      </c>
      <c r="E37" s="192" t="s">
        <v>1212</v>
      </c>
      <c r="F37" s="192" t="s">
        <v>5</v>
      </c>
      <c r="G37" s="192"/>
      <c r="H37" s="192" t="s">
        <v>7</v>
      </c>
      <c r="I37" s="193"/>
      <c r="J37" s="193" t="s">
        <v>1214</v>
      </c>
      <c r="K37" s="191" t="s">
        <v>1214</v>
      </c>
      <c r="L37" s="191">
        <v>2</v>
      </c>
      <c r="M37" s="194">
        <v>1080000</v>
      </c>
      <c r="N37" s="194">
        <v>0</v>
      </c>
      <c r="O37" s="196">
        <v>2160000</v>
      </c>
      <c r="P37" s="192"/>
      <c r="Q37" s="192"/>
      <c r="R37" s="192"/>
      <c r="S37" s="192"/>
      <c r="T37" s="192"/>
      <c r="U37" s="192"/>
      <c r="V37">
        <f>IF(A37="",0,IF(COUNTIF($A$3:A37,A37)=1,1,0))</f>
        <v>1</v>
      </c>
      <c r="W37">
        <f t="shared" si="6"/>
        <v>2160000</v>
      </c>
      <c r="X37" t="str">
        <f t="shared" si="7"/>
        <v/>
      </c>
      <c r="Y37">
        <f>IF(X37="",0,IF(COUNTIF($X$3:X37,X37)=1,1,0))</f>
        <v>0</v>
      </c>
      <c r="Z37">
        <f>IF(V37&lt;&gt;1,0,IF(X37="",0,IF(COUNTIF($X$3:X36,X37)&gt;0,1,0)))</f>
        <v>0</v>
      </c>
      <c r="AA37">
        <f t="shared" si="2"/>
        <v>2160000</v>
      </c>
      <c r="AB37">
        <f t="shared" si="3"/>
        <v>2</v>
      </c>
      <c r="AC37">
        <f>IF(I37="",0,L37*IFERROR(INDEX(کاتالوگ_محصولات!$G$4:$G$303,MATCH(I37,کاتالوگ_محصولات!$A$4:$A$303,0)),0))</f>
        <v>0</v>
      </c>
      <c r="AD37">
        <f t="shared" si="8"/>
        <v>2160000</v>
      </c>
      <c r="AE37" t="str">
        <f t="shared" si="9"/>
        <v>1405/07</v>
      </c>
    </row>
    <row r="38" spans="1:31" ht="18" customHeight="1">
      <c r="A38" s="191" t="s">
        <v>1215</v>
      </c>
      <c r="B38" s="191" t="s">
        <v>1129</v>
      </c>
      <c r="C38" s="192">
        <v>1</v>
      </c>
      <c r="D38" s="192" t="s">
        <v>1195</v>
      </c>
      <c r="E38" s="192" t="s">
        <v>1218</v>
      </c>
      <c r="F38" s="192" t="s">
        <v>5</v>
      </c>
      <c r="G38" s="192"/>
      <c r="H38" s="192" t="s">
        <v>7</v>
      </c>
      <c r="I38" s="193"/>
      <c r="J38" s="193" t="s">
        <v>1217</v>
      </c>
      <c r="K38" s="191" t="s">
        <v>1217</v>
      </c>
      <c r="L38" s="191">
        <v>1</v>
      </c>
      <c r="M38" s="194">
        <v>1680000</v>
      </c>
      <c r="N38" s="194">
        <v>0</v>
      </c>
      <c r="O38" s="196">
        <v>1680000</v>
      </c>
      <c r="P38" s="192" t="s">
        <v>1210</v>
      </c>
      <c r="Q38" s="192" t="s">
        <v>1216</v>
      </c>
      <c r="R38" s="192">
        <v>9169513733</v>
      </c>
      <c r="S38" s="192">
        <v>2</v>
      </c>
      <c r="T38" s="198">
        <v>46031</v>
      </c>
      <c r="U38" s="192"/>
      <c r="V38">
        <f>IF(A38="",0,IF(COUNTIF($A$3:A38,A38)=1,1,0))</f>
        <v>1</v>
      </c>
      <c r="W38">
        <f t="shared" si="6"/>
        <v>1680000</v>
      </c>
      <c r="X38">
        <f t="shared" si="7"/>
        <v>9169513733</v>
      </c>
      <c r="Y38">
        <f>IF(X38="",0,IF(COUNTIF($X$3:X38,X38)=1,1,0))</f>
        <v>1</v>
      </c>
      <c r="Z38">
        <f>IF(V38&lt;&gt;1,0,IF(X38="",0,IF(COUNTIF($X$3:X37,X38)&gt;0,1,0)))</f>
        <v>0</v>
      </c>
      <c r="AA38">
        <f t="shared" si="2"/>
        <v>1680000</v>
      </c>
      <c r="AB38">
        <f t="shared" si="3"/>
        <v>1</v>
      </c>
      <c r="AC38">
        <f>IF(I38="",0,L38*IFERROR(INDEX(کاتالوگ_محصولات!$G$4:$G$303,MATCH(I38,کاتالوگ_محصولات!$A$4:$A$303,0)),0))</f>
        <v>0</v>
      </c>
      <c r="AD38">
        <f t="shared" si="8"/>
        <v>1680000</v>
      </c>
      <c r="AE38" t="str">
        <f t="shared" si="9"/>
        <v>1405/07</v>
      </c>
    </row>
    <row r="39" spans="1:31" ht="18" customHeight="1">
      <c r="A39" s="191" t="s">
        <v>1219</v>
      </c>
      <c r="B39" s="191" t="s">
        <v>1129</v>
      </c>
      <c r="C39" s="192">
        <v>2</v>
      </c>
      <c r="D39" s="192" t="s">
        <v>1139</v>
      </c>
      <c r="E39" s="192"/>
      <c r="F39" s="192" t="s">
        <v>1221</v>
      </c>
      <c r="G39" s="192"/>
      <c r="H39" s="192" t="s">
        <v>7</v>
      </c>
      <c r="I39" s="193"/>
      <c r="J39" s="193" t="s">
        <v>531</v>
      </c>
      <c r="K39" s="191" t="s">
        <v>531</v>
      </c>
      <c r="L39" s="191">
        <v>1</v>
      </c>
      <c r="M39" s="194">
        <v>2630000</v>
      </c>
      <c r="N39" s="194">
        <v>0</v>
      </c>
      <c r="O39" s="196">
        <v>2630000</v>
      </c>
      <c r="P39" s="192" t="s">
        <v>1220</v>
      </c>
      <c r="Q39" s="192" t="s">
        <v>1167</v>
      </c>
      <c r="R39" s="192">
        <v>9932692491</v>
      </c>
      <c r="S39" s="192">
        <v>5</v>
      </c>
      <c r="T39" s="192">
        <v>8</v>
      </c>
      <c r="U39" s="272" t="s">
        <v>1228</v>
      </c>
      <c r="V39">
        <f>IF(A39="",0,IF(COUNTIF($A$3:A39,A39)=1,1,0))</f>
        <v>1</v>
      </c>
      <c r="W39">
        <f t="shared" si="6"/>
        <v>2630000</v>
      </c>
      <c r="X39">
        <f t="shared" si="7"/>
        <v>9932692491</v>
      </c>
      <c r="Y39">
        <f>IF(X39="",0,IF(COUNTIF($X$3:X39,X39)=1,1,0))</f>
        <v>1</v>
      </c>
      <c r="Z39">
        <f>IF(V39&lt;&gt;1,0,IF(X39="",0,IF(COUNTIF($X$3:X38,X39)&gt;0,1,0)))</f>
        <v>0</v>
      </c>
      <c r="AA39">
        <f t="shared" si="2"/>
        <v>4170000</v>
      </c>
      <c r="AB39">
        <f t="shared" si="3"/>
        <v>2</v>
      </c>
      <c r="AC39">
        <f>IF(I39="",0,L39*IFERROR(INDEX(کاتالوگ_محصولات!$G$4:$G$303,MATCH(I39,کاتالوگ_محصولات!$A$4:$A$303,0)),0))</f>
        <v>0</v>
      </c>
      <c r="AD39">
        <f t="shared" si="8"/>
        <v>2630000</v>
      </c>
      <c r="AE39" t="str">
        <f t="shared" si="9"/>
        <v>1405/07</v>
      </c>
    </row>
    <row r="40" spans="1:31" ht="18" customHeight="1">
      <c r="A40" s="191" t="s">
        <v>1219</v>
      </c>
      <c r="B40" s="191" t="s">
        <v>1129</v>
      </c>
      <c r="C40" s="192">
        <v>2</v>
      </c>
      <c r="D40" s="192" t="s">
        <v>1139</v>
      </c>
      <c r="E40" s="192"/>
      <c r="F40" s="192" t="s">
        <v>1221</v>
      </c>
      <c r="G40" s="192"/>
      <c r="H40" s="192" t="s">
        <v>7</v>
      </c>
      <c r="I40" s="193"/>
      <c r="J40" s="193" t="s">
        <v>722</v>
      </c>
      <c r="K40" s="191" t="s">
        <v>722</v>
      </c>
      <c r="L40" s="191">
        <v>1</v>
      </c>
      <c r="M40" s="194">
        <v>1540000</v>
      </c>
      <c r="N40" s="194">
        <v>0</v>
      </c>
      <c r="O40" s="196">
        <v>1540000</v>
      </c>
      <c r="P40" s="192" t="s">
        <v>1220</v>
      </c>
      <c r="Q40" s="192" t="s">
        <v>1167</v>
      </c>
      <c r="R40" s="192">
        <v>9932692491</v>
      </c>
      <c r="S40" s="192">
        <v>5</v>
      </c>
      <c r="T40" s="192">
        <v>8</v>
      </c>
      <c r="U40" s="272"/>
      <c r="V40">
        <f>IF(A40="",0,IF(COUNTIF($A$3:A40,A40)=1,1,0))</f>
        <v>0</v>
      </c>
      <c r="W40">
        <f t="shared" si="6"/>
        <v>1540000</v>
      </c>
      <c r="X40">
        <f t="shared" si="7"/>
        <v>9932692491</v>
      </c>
      <c r="Y40">
        <f>IF(X40="",0,IF(COUNTIF($X$3:X40,X40)=1,1,0))</f>
        <v>0</v>
      </c>
      <c r="Z40">
        <f>IF(V40&lt;&gt;1,0,IF(X40="",0,IF(COUNTIF($X$3:X39,X40)&gt;0,1,0)))</f>
        <v>0</v>
      </c>
      <c r="AA40">
        <f t="shared" si="2"/>
        <v>0</v>
      </c>
      <c r="AB40">
        <f t="shared" si="3"/>
        <v>0</v>
      </c>
      <c r="AC40">
        <f>IF(I40="",0,L40*IFERROR(INDEX(کاتالوگ_محصولات!$G$4:$G$303,MATCH(I40,کاتالوگ_محصولات!$A$4:$A$303,0)),0))</f>
        <v>0</v>
      </c>
      <c r="AD40">
        <f t="shared" si="8"/>
        <v>1540000</v>
      </c>
      <c r="AE40" t="str">
        <f t="shared" si="9"/>
        <v>1405/07</v>
      </c>
    </row>
    <row r="41" spans="1:31" ht="18" customHeight="1">
      <c r="A41" s="191" t="s">
        <v>1222</v>
      </c>
      <c r="B41" s="191" t="s">
        <v>1129</v>
      </c>
      <c r="C41" s="192">
        <v>1</v>
      </c>
      <c r="D41" s="192" t="s">
        <v>1195</v>
      </c>
      <c r="E41" s="192" t="s">
        <v>1212</v>
      </c>
      <c r="F41" s="192" t="s">
        <v>5</v>
      </c>
      <c r="G41" s="192" t="s">
        <v>258</v>
      </c>
      <c r="H41" s="192" t="s">
        <v>7</v>
      </c>
      <c r="I41" s="193"/>
      <c r="J41" s="193" t="s">
        <v>1078</v>
      </c>
      <c r="K41" s="191" t="s">
        <v>1078</v>
      </c>
      <c r="L41" s="191">
        <v>1</v>
      </c>
      <c r="M41" s="194">
        <v>2880000</v>
      </c>
      <c r="N41" s="194">
        <v>0</v>
      </c>
      <c r="O41" s="196">
        <v>2880000</v>
      </c>
      <c r="P41" s="192" t="s">
        <v>1220</v>
      </c>
      <c r="Q41" s="192" t="s">
        <v>1223</v>
      </c>
      <c r="R41" s="192">
        <v>9902242621</v>
      </c>
      <c r="S41" s="192">
        <v>25</v>
      </c>
      <c r="T41" s="192">
        <v>4</v>
      </c>
      <c r="U41" s="192"/>
      <c r="V41">
        <f>IF(A41="",0,IF(COUNTIF($A$3:A41,A41)=1,1,0))</f>
        <v>1</v>
      </c>
      <c r="W41">
        <f t="shared" si="6"/>
        <v>2880000</v>
      </c>
      <c r="X41">
        <f t="shared" si="7"/>
        <v>9902242621</v>
      </c>
      <c r="Y41">
        <f>IF(X41="",0,IF(COUNTIF($X$3:X41,X41)=1,1,0))</f>
        <v>1</v>
      </c>
      <c r="Z41">
        <f>IF(V41&lt;&gt;1,0,IF(X41="",0,IF(COUNTIF($X$3:X40,X41)&gt;0,1,0)))</f>
        <v>0</v>
      </c>
      <c r="AA41">
        <f t="shared" si="2"/>
        <v>2880000</v>
      </c>
      <c r="AB41">
        <f t="shared" si="3"/>
        <v>1</v>
      </c>
      <c r="AC41">
        <f>IF(I41="",0,L41*IFERROR(INDEX(کاتالوگ_محصولات!$G$4:$G$303,MATCH(I41,کاتالوگ_محصولات!$A$4:$A$303,0)),0))</f>
        <v>0</v>
      </c>
      <c r="AD41">
        <f t="shared" si="8"/>
        <v>2880000</v>
      </c>
      <c r="AE41" t="str">
        <f t="shared" si="9"/>
        <v>1405/07</v>
      </c>
    </row>
    <row r="42" spans="1:31" ht="18" customHeight="1">
      <c r="A42" s="191" t="s">
        <v>1224</v>
      </c>
      <c r="B42" s="191" t="s">
        <v>1129</v>
      </c>
      <c r="C42" s="192">
        <v>1</v>
      </c>
      <c r="D42" s="192" t="s">
        <v>1195</v>
      </c>
      <c r="E42" s="192" t="s">
        <v>1204</v>
      </c>
      <c r="F42" s="192" t="s">
        <v>5</v>
      </c>
      <c r="G42" s="192"/>
      <c r="H42" s="192" t="s">
        <v>7</v>
      </c>
      <c r="I42" s="193"/>
      <c r="J42" s="193" t="s">
        <v>1225</v>
      </c>
      <c r="K42" s="191" t="s">
        <v>1225</v>
      </c>
      <c r="L42" s="191">
        <v>1</v>
      </c>
      <c r="M42" s="194">
        <v>2880000</v>
      </c>
      <c r="N42" s="194">
        <v>0</v>
      </c>
      <c r="O42" s="196">
        <v>2880000</v>
      </c>
      <c r="P42" s="192"/>
      <c r="Q42" s="192"/>
      <c r="R42" s="192"/>
      <c r="S42" s="192"/>
      <c r="T42" s="192"/>
      <c r="U42" s="192"/>
      <c r="V42">
        <f>IF(A42="",0,IF(COUNTIF($A$3:A42,A42)=1,1,0))</f>
        <v>1</v>
      </c>
      <c r="W42">
        <f t="shared" si="6"/>
        <v>2880000</v>
      </c>
      <c r="X42" t="str">
        <f t="shared" si="7"/>
        <v/>
      </c>
      <c r="Y42">
        <f>IF(X42="",0,IF(COUNTIF($X$3:X42,X42)=1,1,0))</f>
        <v>0</v>
      </c>
      <c r="Z42">
        <f>IF(V42&lt;&gt;1,0,IF(X42="",0,IF(COUNTIF($X$3:X41,X42)&gt;0,1,0)))</f>
        <v>0</v>
      </c>
      <c r="AA42">
        <f t="shared" si="2"/>
        <v>5760000</v>
      </c>
      <c r="AB42">
        <f t="shared" si="3"/>
        <v>2</v>
      </c>
      <c r="AC42">
        <f>IF(I42="",0,L42*IFERROR(INDEX(کاتالوگ_محصولات!$G$4:$G$303,MATCH(I42,کاتالوگ_محصولات!$A$4:$A$303,0)),0))</f>
        <v>0</v>
      </c>
      <c r="AD42">
        <f t="shared" si="8"/>
        <v>2880000</v>
      </c>
      <c r="AE42" t="str">
        <f t="shared" si="9"/>
        <v>1405/07</v>
      </c>
    </row>
    <row r="43" spans="1:31" ht="18" customHeight="1">
      <c r="A43" s="191" t="s">
        <v>1224</v>
      </c>
      <c r="B43" s="191" t="s">
        <v>1129</v>
      </c>
      <c r="C43" s="192">
        <v>1</v>
      </c>
      <c r="D43" s="192" t="s">
        <v>1195</v>
      </c>
      <c r="E43" s="192" t="s">
        <v>1204</v>
      </c>
      <c r="F43" s="192" t="s">
        <v>5</v>
      </c>
      <c r="G43" s="192"/>
      <c r="H43" s="192" t="s">
        <v>7</v>
      </c>
      <c r="I43" s="193"/>
      <c r="J43" s="193" t="s">
        <v>1226</v>
      </c>
      <c r="K43" s="191" t="s">
        <v>1226</v>
      </c>
      <c r="L43" s="191">
        <v>1</v>
      </c>
      <c r="M43" s="194">
        <v>2880000</v>
      </c>
      <c r="N43" s="194">
        <v>0</v>
      </c>
      <c r="O43" s="196">
        <v>2880000</v>
      </c>
      <c r="P43" s="192"/>
      <c r="Q43" s="192"/>
      <c r="R43" s="192"/>
      <c r="S43" s="192"/>
      <c r="T43" s="192"/>
      <c r="U43" s="192"/>
      <c r="V43">
        <f>IF(A43="",0,IF(COUNTIF($A$3:A43,A43)=1,1,0))</f>
        <v>0</v>
      </c>
      <c r="W43">
        <f t="shared" si="6"/>
        <v>2880000</v>
      </c>
      <c r="X43" t="str">
        <f t="shared" si="7"/>
        <v/>
      </c>
      <c r="Y43">
        <f>IF(X43="",0,IF(COUNTIF($X$3:X43,X43)=1,1,0))</f>
        <v>0</v>
      </c>
      <c r="Z43">
        <f>IF(V43&lt;&gt;1,0,IF(X43="",0,IF(COUNTIF($X$3:X42,X43)&gt;0,1,0)))</f>
        <v>0</v>
      </c>
      <c r="AA43">
        <f t="shared" si="2"/>
        <v>0</v>
      </c>
      <c r="AB43">
        <f t="shared" si="3"/>
        <v>0</v>
      </c>
      <c r="AC43">
        <f>IF(I43="",0,L43*IFERROR(INDEX(کاتالوگ_محصولات!$G$4:$G$303,MATCH(I43,کاتالوگ_محصولات!$A$4:$A$303,0)),0))</f>
        <v>0</v>
      </c>
      <c r="AD43">
        <f t="shared" si="8"/>
        <v>2880000</v>
      </c>
      <c r="AE43" t="str">
        <f t="shared" si="9"/>
        <v>1405/07</v>
      </c>
    </row>
    <row r="44" spans="1:31" ht="18" customHeight="1">
      <c r="A44" s="161" t="s">
        <v>1227</v>
      </c>
      <c r="B44" s="161" t="s">
        <v>1203</v>
      </c>
      <c r="C44" s="162">
        <v>1</v>
      </c>
      <c r="D44" s="162" t="s">
        <v>1195</v>
      </c>
      <c r="E44" s="162" t="s">
        <v>1204</v>
      </c>
      <c r="F44" s="162" t="s">
        <v>5</v>
      </c>
      <c r="G44" s="162" t="s">
        <v>258</v>
      </c>
      <c r="H44" s="162" t="s">
        <v>7</v>
      </c>
      <c r="I44" s="163"/>
      <c r="J44" s="163" t="s">
        <v>1229</v>
      </c>
      <c r="K44" s="161" t="s">
        <v>1229</v>
      </c>
      <c r="L44" s="161">
        <v>1</v>
      </c>
      <c r="M44" s="164">
        <v>3780000</v>
      </c>
      <c r="N44" s="164">
        <v>0</v>
      </c>
      <c r="O44" s="195">
        <v>3780000</v>
      </c>
      <c r="P44" s="162" t="s">
        <v>1210</v>
      </c>
      <c r="Q44" s="162" t="s">
        <v>1230</v>
      </c>
      <c r="R44" s="162">
        <v>9126041731</v>
      </c>
      <c r="S44" s="162">
        <v>31</v>
      </c>
      <c r="T44" s="162">
        <v>6</v>
      </c>
      <c r="U44" s="162"/>
      <c r="V44">
        <f>IF(A44="",0,IF(COUNTIF($A$3:A44,A44)=1,1,0))</f>
        <v>1</v>
      </c>
      <c r="W44">
        <f t="shared" si="6"/>
        <v>3780000</v>
      </c>
      <c r="X44">
        <f t="shared" si="7"/>
        <v>9126041731</v>
      </c>
      <c r="Y44">
        <f>IF(X44="",0,IF(COUNTIF($X$3:X44,X44)=1,1,0))</f>
        <v>1</v>
      </c>
      <c r="Z44">
        <f>IF(V44&lt;&gt;1,0,IF(X44="",0,IF(COUNTIF($X$3:X43,X44)&gt;0,1,0)))</f>
        <v>0</v>
      </c>
      <c r="AA44">
        <f t="shared" si="2"/>
        <v>3780000</v>
      </c>
      <c r="AB44">
        <f t="shared" si="3"/>
        <v>1</v>
      </c>
      <c r="AC44">
        <f>IF(I44="",0,L44*IFERROR(INDEX(کاتالوگ_محصولات!$G$4:$G$303,MATCH(I44,کاتالوگ_محصولات!$A$4:$A$303,0)),0))</f>
        <v>0</v>
      </c>
      <c r="AD44">
        <f t="shared" si="8"/>
        <v>3780000</v>
      </c>
      <c r="AE44" t="str">
        <f t="shared" si="9"/>
        <v>1405/07</v>
      </c>
    </row>
    <row r="45" spans="1:31" ht="18" customHeight="1">
      <c r="A45" s="161" t="s">
        <v>1231</v>
      </c>
      <c r="B45" s="161" t="s">
        <v>1203</v>
      </c>
      <c r="C45" s="162">
        <v>1</v>
      </c>
      <c r="D45" s="162" t="s">
        <v>1195</v>
      </c>
      <c r="E45" s="162" t="s">
        <v>1204</v>
      </c>
      <c r="F45" s="162" t="s">
        <v>5</v>
      </c>
      <c r="G45" s="162" t="s">
        <v>258</v>
      </c>
      <c r="H45" s="162" t="s">
        <v>7</v>
      </c>
      <c r="I45" s="163"/>
      <c r="J45" s="163" t="s">
        <v>1235</v>
      </c>
      <c r="K45" s="161" t="s">
        <v>1235</v>
      </c>
      <c r="L45" s="161">
        <v>1</v>
      </c>
      <c r="M45" s="164">
        <v>2800000</v>
      </c>
      <c r="N45" s="164">
        <v>0</v>
      </c>
      <c r="O45" s="195">
        <v>2800000</v>
      </c>
      <c r="P45" s="162"/>
      <c r="Q45" s="162" t="s">
        <v>1234</v>
      </c>
      <c r="R45" s="162">
        <v>9122774607</v>
      </c>
      <c r="S45" s="162">
        <v>16</v>
      </c>
      <c r="T45" s="162">
        <v>1</v>
      </c>
      <c r="U45" s="267" t="s">
        <v>1238</v>
      </c>
      <c r="V45">
        <f>IF(A45="",0,IF(COUNTIF($A$3:A45,A45)=1,1,0))</f>
        <v>1</v>
      </c>
      <c r="W45">
        <f t="shared" si="6"/>
        <v>2800000</v>
      </c>
      <c r="X45">
        <f t="shared" si="7"/>
        <v>9122774607</v>
      </c>
      <c r="Y45">
        <f>IF(X45="",0,IF(COUNTIF($X$3:X45,X45)=1,1,0))</f>
        <v>1</v>
      </c>
      <c r="Z45">
        <f>IF(V45&lt;&gt;1,0,IF(X45="",0,IF(COUNTIF($X$3:X44,X45)&gt;0,1,0)))</f>
        <v>0</v>
      </c>
      <c r="AA45">
        <f t="shared" si="2"/>
        <v>14460000</v>
      </c>
      <c r="AB45">
        <f t="shared" si="3"/>
        <v>3</v>
      </c>
      <c r="AC45">
        <f>IF(I45="",0,L45*IFERROR(INDEX(کاتالوگ_محصولات!$G$4:$G$303,MATCH(I45,کاتالوگ_محصولات!$A$4:$A$303,0)),0))</f>
        <v>0</v>
      </c>
      <c r="AD45">
        <f t="shared" si="8"/>
        <v>2800000</v>
      </c>
      <c r="AE45" t="str">
        <f t="shared" si="9"/>
        <v>1405/07</v>
      </c>
    </row>
    <row r="46" spans="1:31" ht="18" customHeight="1">
      <c r="A46" s="161" t="s">
        <v>1231</v>
      </c>
      <c r="B46" s="161" t="s">
        <v>1203</v>
      </c>
      <c r="C46" s="162">
        <v>1</v>
      </c>
      <c r="D46" s="162" t="s">
        <v>1195</v>
      </c>
      <c r="E46" s="162" t="s">
        <v>1204</v>
      </c>
      <c r="F46" s="162" t="s">
        <v>5</v>
      </c>
      <c r="G46" s="162" t="s">
        <v>258</v>
      </c>
      <c r="H46" s="162" t="s">
        <v>7</v>
      </c>
      <c r="I46" s="163"/>
      <c r="J46" s="163" t="s">
        <v>1233</v>
      </c>
      <c r="K46" s="161" t="s">
        <v>1233</v>
      </c>
      <c r="L46" s="161">
        <v>1</v>
      </c>
      <c r="M46" s="164">
        <v>2880000</v>
      </c>
      <c r="N46" s="164">
        <v>0</v>
      </c>
      <c r="O46" s="195">
        <v>2880000</v>
      </c>
      <c r="P46" s="162"/>
      <c r="Q46" s="162" t="s">
        <v>1234</v>
      </c>
      <c r="R46" s="162">
        <v>9122774607</v>
      </c>
      <c r="S46" s="162">
        <v>16</v>
      </c>
      <c r="T46" s="162">
        <v>1</v>
      </c>
      <c r="U46" s="267"/>
      <c r="V46">
        <f>IF(A46="",0,IF(COUNTIF($A$3:A46,A46)=1,1,0))</f>
        <v>0</v>
      </c>
      <c r="W46">
        <f t="shared" si="6"/>
        <v>2880000</v>
      </c>
      <c r="X46">
        <f t="shared" si="7"/>
        <v>9122774607</v>
      </c>
      <c r="Y46">
        <f>IF(X46="",0,IF(COUNTIF($X$3:X46,X46)=1,1,0))</f>
        <v>0</v>
      </c>
      <c r="Z46">
        <f>IF(V46&lt;&gt;1,0,IF(X46="",0,IF(COUNTIF($X$3:X45,X46)&gt;0,1,0)))</f>
        <v>0</v>
      </c>
      <c r="AA46">
        <f t="shared" si="2"/>
        <v>0</v>
      </c>
      <c r="AB46">
        <f t="shared" si="3"/>
        <v>0</v>
      </c>
      <c r="AC46">
        <f>IF(I46="",0,L46*IFERROR(INDEX(کاتالوگ_محصولات!$G$4:$G$303,MATCH(I46,کاتالوگ_محصولات!$A$4:$A$303,0)),0))</f>
        <v>0</v>
      </c>
      <c r="AD46">
        <f t="shared" si="8"/>
        <v>2880000</v>
      </c>
      <c r="AE46" t="str">
        <f t="shared" si="9"/>
        <v>1405/07</v>
      </c>
    </row>
    <row r="47" spans="1:31" ht="18" customHeight="1">
      <c r="A47" s="161" t="s">
        <v>1231</v>
      </c>
      <c r="B47" s="161" t="s">
        <v>1203</v>
      </c>
      <c r="C47" s="162">
        <v>1</v>
      </c>
      <c r="D47" s="162" t="s">
        <v>1195</v>
      </c>
      <c r="E47" s="162" t="s">
        <v>1204</v>
      </c>
      <c r="F47" s="162" t="s">
        <v>5</v>
      </c>
      <c r="G47" s="162" t="s">
        <v>258</v>
      </c>
      <c r="H47" s="162" t="s">
        <v>7</v>
      </c>
      <c r="I47" s="163"/>
      <c r="J47" s="163" t="s">
        <v>1236</v>
      </c>
      <c r="K47" s="161" t="s">
        <v>1236</v>
      </c>
      <c r="L47" s="161">
        <v>1</v>
      </c>
      <c r="M47" s="164">
        <v>8780000</v>
      </c>
      <c r="N47" s="164">
        <v>0</v>
      </c>
      <c r="O47" s="195">
        <v>8780000</v>
      </c>
      <c r="P47" s="162"/>
      <c r="Q47" s="162" t="s">
        <v>1234</v>
      </c>
      <c r="R47" s="162">
        <v>9122774607</v>
      </c>
      <c r="S47" s="162">
        <v>16</v>
      </c>
      <c r="T47" s="162">
        <v>1</v>
      </c>
      <c r="U47" s="267"/>
      <c r="V47">
        <f>IF(A47="",0,IF(COUNTIF($A$3:A47,A47)=1,1,0))</f>
        <v>0</v>
      </c>
      <c r="W47">
        <f t="shared" si="6"/>
        <v>8780000</v>
      </c>
      <c r="X47">
        <f t="shared" si="7"/>
        <v>9122774607</v>
      </c>
      <c r="Y47">
        <f>IF(X47="",0,IF(COUNTIF($X$3:X47,X47)=1,1,0))</f>
        <v>0</v>
      </c>
      <c r="Z47">
        <f>IF(V47&lt;&gt;1,0,IF(X47="",0,IF(COUNTIF($X$3:X46,X47)&gt;0,1,0)))</f>
        <v>0</v>
      </c>
      <c r="AA47">
        <f t="shared" si="2"/>
        <v>0</v>
      </c>
      <c r="AB47">
        <f t="shared" si="3"/>
        <v>0</v>
      </c>
      <c r="AC47">
        <f>IF(I47="",0,L47*IFERROR(INDEX(کاتالوگ_محصولات!$G$4:$G$303,MATCH(I47,کاتالوگ_محصولات!$A$4:$A$303,0)),0))</f>
        <v>0</v>
      </c>
      <c r="AD47">
        <f t="shared" si="8"/>
        <v>8780000</v>
      </c>
      <c r="AE47" t="str">
        <f t="shared" si="9"/>
        <v>1405/07</v>
      </c>
    </row>
    <row r="48" spans="1:31" ht="18" customHeight="1">
      <c r="A48" s="191" t="s">
        <v>1237</v>
      </c>
      <c r="B48" s="191" t="s">
        <v>1239</v>
      </c>
      <c r="C48" s="192">
        <v>0</v>
      </c>
      <c r="D48" s="192" t="s">
        <v>1135</v>
      </c>
      <c r="E48" s="192" t="s">
        <v>1131</v>
      </c>
      <c r="F48" s="192" t="s">
        <v>1159</v>
      </c>
      <c r="G48" s="192" t="s">
        <v>258</v>
      </c>
      <c r="H48" s="192" t="s">
        <v>7</v>
      </c>
      <c r="I48" s="193"/>
      <c r="J48" s="193" t="s">
        <v>533</v>
      </c>
      <c r="K48" s="191" t="s">
        <v>533</v>
      </c>
      <c r="L48" s="191">
        <v>1</v>
      </c>
      <c r="M48" s="194">
        <v>4580000</v>
      </c>
      <c r="N48" s="194">
        <v>0</v>
      </c>
      <c r="O48" s="196">
        <v>4580000</v>
      </c>
      <c r="P48" s="192" t="s">
        <v>1163</v>
      </c>
      <c r="Q48" s="192" t="s">
        <v>1240</v>
      </c>
      <c r="R48" s="192">
        <v>9129301401</v>
      </c>
      <c r="S48" s="192">
        <v>8</v>
      </c>
      <c r="T48" s="192" t="s">
        <v>1241</v>
      </c>
      <c r="U48" s="192"/>
      <c r="V48">
        <f>IF(A48="",0,IF(COUNTIF($A$3:A48,A48)=1,1,0))</f>
        <v>1</v>
      </c>
      <c r="W48">
        <f t="shared" si="6"/>
        <v>4580000</v>
      </c>
      <c r="X48">
        <f t="shared" si="7"/>
        <v>9129301401</v>
      </c>
      <c r="Y48">
        <f>IF(X48="",0,IF(COUNTIF($X$3:X48,X48)=1,1,0))</f>
        <v>1</v>
      </c>
      <c r="Z48">
        <f>IF(V48&lt;&gt;1,0,IF(X48="",0,IF(COUNTIF($X$3:X47,X48)&gt;0,1,0)))</f>
        <v>0</v>
      </c>
      <c r="AA48">
        <f t="shared" si="2"/>
        <v>4580000</v>
      </c>
      <c r="AB48">
        <f t="shared" si="3"/>
        <v>1</v>
      </c>
      <c r="AC48">
        <f>IF(I48="",0,L48*IFERROR(INDEX(کاتالوگ_محصولات!$G$4:$G$303,MATCH(I48,کاتالوگ_محصولات!$A$4:$A$303,0)),0))</f>
        <v>0</v>
      </c>
      <c r="AD48">
        <f t="shared" si="8"/>
        <v>4580000</v>
      </c>
      <c r="AE48" t="str">
        <f t="shared" si="9"/>
        <v>1405/07</v>
      </c>
    </row>
    <row r="49" spans="1:31" ht="18" customHeight="1">
      <c r="A49" s="191" t="s">
        <v>1242</v>
      </c>
      <c r="B49" s="191" t="s">
        <v>1239</v>
      </c>
      <c r="C49" s="192">
        <v>2</v>
      </c>
      <c r="D49" s="192" t="s">
        <v>1139</v>
      </c>
      <c r="E49" s="192" t="s">
        <v>1138</v>
      </c>
      <c r="F49" s="192" t="s">
        <v>5</v>
      </c>
      <c r="G49" s="192" t="s">
        <v>258</v>
      </c>
      <c r="H49" s="192" t="s">
        <v>7</v>
      </c>
      <c r="I49" s="193"/>
      <c r="J49" s="193" t="s">
        <v>1244</v>
      </c>
      <c r="K49" s="191" t="s">
        <v>1244</v>
      </c>
      <c r="L49" s="191">
        <v>1</v>
      </c>
      <c r="M49" s="194">
        <v>6880000</v>
      </c>
      <c r="N49" s="194">
        <v>0</v>
      </c>
      <c r="O49" s="196">
        <v>6880000</v>
      </c>
      <c r="P49" s="192"/>
      <c r="Q49" s="192"/>
      <c r="R49" s="192"/>
      <c r="S49" s="192"/>
      <c r="T49" s="192"/>
      <c r="U49" s="192"/>
      <c r="V49">
        <f>IF(A49="",0,IF(COUNTIF($A$3:A49,A49)=1,1,0))</f>
        <v>1</v>
      </c>
      <c r="W49">
        <f t="shared" si="6"/>
        <v>6880000</v>
      </c>
      <c r="X49" t="str">
        <f t="shared" si="7"/>
        <v/>
      </c>
      <c r="Y49">
        <f>IF(X49="",0,IF(COUNTIF($X$3:X49,X49)=1,1,0))</f>
        <v>0</v>
      </c>
      <c r="Z49">
        <f>IF(V49&lt;&gt;1,0,IF(X49="",0,IF(COUNTIF($X$3:X48,X49)&gt;0,1,0)))</f>
        <v>0</v>
      </c>
      <c r="AA49">
        <f t="shared" si="2"/>
        <v>6880000</v>
      </c>
      <c r="AB49">
        <f t="shared" si="3"/>
        <v>1</v>
      </c>
      <c r="AC49">
        <f>IF(I49="",0,L49*IFERROR(INDEX(کاتالوگ_محصولات!$G$4:$G$303,MATCH(I49,کاتالوگ_محصولات!$A$4:$A$303,0)),0))</f>
        <v>0</v>
      </c>
      <c r="AD49">
        <f t="shared" si="8"/>
        <v>6880000</v>
      </c>
      <c r="AE49" t="str">
        <f t="shared" si="9"/>
        <v>1405/07</v>
      </c>
    </row>
    <row r="50" spans="1:31" ht="18" customHeight="1">
      <c r="A50" s="191" t="s">
        <v>1245</v>
      </c>
      <c r="B50" s="191" t="s">
        <v>1239</v>
      </c>
      <c r="C50" s="192">
        <v>2</v>
      </c>
      <c r="D50" s="192" t="s">
        <v>1139</v>
      </c>
      <c r="E50" s="192" t="s">
        <v>1138</v>
      </c>
      <c r="F50" s="192" t="s">
        <v>5</v>
      </c>
      <c r="G50" s="192" t="s">
        <v>258</v>
      </c>
      <c r="H50" s="192" t="s">
        <v>7</v>
      </c>
      <c r="I50" s="193"/>
      <c r="J50" s="193" t="s">
        <v>1246</v>
      </c>
      <c r="K50" s="191" t="s">
        <v>1246</v>
      </c>
      <c r="L50" s="191">
        <v>1</v>
      </c>
      <c r="M50" s="194">
        <v>6880000</v>
      </c>
      <c r="N50" s="194">
        <v>0</v>
      </c>
      <c r="O50" s="196">
        <v>6880000</v>
      </c>
      <c r="P50" s="192" t="s">
        <v>1249</v>
      </c>
      <c r="Q50" s="192" t="s">
        <v>1250</v>
      </c>
      <c r="R50" s="192">
        <v>9129400456</v>
      </c>
      <c r="S50" s="192">
        <v>5</v>
      </c>
      <c r="T50" s="192">
        <v>12</v>
      </c>
      <c r="U50" s="268" t="s">
        <v>1252</v>
      </c>
      <c r="V50">
        <f>IF(A50="",0,IF(COUNTIF($A$3:A50,A50)=1,1,0))</f>
        <v>1</v>
      </c>
      <c r="W50">
        <f t="shared" si="6"/>
        <v>6880000</v>
      </c>
      <c r="X50">
        <f t="shared" si="7"/>
        <v>9129400456</v>
      </c>
      <c r="Y50">
        <f>IF(X50="",0,IF(COUNTIF($X$3:X50,X50)=1,1,0))</f>
        <v>1</v>
      </c>
      <c r="Z50">
        <f>IF(V50&lt;&gt;1,0,IF(X50="",0,IF(COUNTIF($X$3:X49,X50)&gt;0,1,0)))</f>
        <v>0</v>
      </c>
      <c r="AA50">
        <f t="shared" si="2"/>
        <v>19620000</v>
      </c>
      <c r="AB50">
        <f t="shared" si="3"/>
        <v>4</v>
      </c>
      <c r="AC50">
        <f>IF(I50="",0,L50*IFERROR(INDEX(کاتالوگ_محصولات!$G$4:$G$303,MATCH(I50,کاتالوگ_محصولات!$A$4:$A$303,0)),0))</f>
        <v>0</v>
      </c>
      <c r="AD50">
        <f t="shared" si="8"/>
        <v>6880000</v>
      </c>
      <c r="AE50" t="str">
        <f t="shared" si="9"/>
        <v>1405/07</v>
      </c>
    </row>
    <row r="51" spans="1:31" ht="18" customHeight="1">
      <c r="A51" s="191" t="s">
        <v>1245</v>
      </c>
      <c r="B51" s="191" t="s">
        <v>1239</v>
      </c>
      <c r="C51" s="192">
        <v>2</v>
      </c>
      <c r="D51" s="192" t="s">
        <v>1139</v>
      </c>
      <c r="E51" s="192" t="s">
        <v>1138</v>
      </c>
      <c r="F51" s="192" t="s">
        <v>5</v>
      </c>
      <c r="G51" s="192" t="s">
        <v>258</v>
      </c>
      <c r="H51" s="192" t="s">
        <v>7</v>
      </c>
      <c r="I51" s="193"/>
      <c r="J51" s="193" t="s">
        <v>1247</v>
      </c>
      <c r="K51" s="191" t="s">
        <v>1247</v>
      </c>
      <c r="L51" s="191">
        <v>1</v>
      </c>
      <c r="M51" s="194">
        <v>6780000</v>
      </c>
      <c r="N51" s="194">
        <v>0</v>
      </c>
      <c r="O51" s="196">
        <v>6780000</v>
      </c>
      <c r="P51" s="192" t="s">
        <v>1249</v>
      </c>
      <c r="Q51" s="192" t="s">
        <v>1250</v>
      </c>
      <c r="R51" s="192">
        <v>9129400456</v>
      </c>
      <c r="S51" s="192">
        <v>5</v>
      </c>
      <c r="T51" s="192">
        <v>12</v>
      </c>
      <c r="U51" s="268"/>
      <c r="V51">
        <f>IF(A51="",0,IF(COUNTIF($A$3:A51,A51)=1,1,0))</f>
        <v>0</v>
      </c>
      <c r="W51">
        <f t="shared" si="6"/>
        <v>6780000</v>
      </c>
      <c r="X51">
        <f t="shared" si="7"/>
        <v>9129400456</v>
      </c>
      <c r="Y51">
        <f>IF(X51="",0,IF(COUNTIF($X$3:X51,X51)=1,1,0))</f>
        <v>0</v>
      </c>
      <c r="Z51">
        <f>IF(V51&lt;&gt;1,0,IF(X51="",0,IF(COUNTIF($X$3:X50,X51)&gt;0,1,0)))</f>
        <v>0</v>
      </c>
      <c r="AA51">
        <f t="shared" si="2"/>
        <v>0</v>
      </c>
      <c r="AB51">
        <f t="shared" si="3"/>
        <v>0</v>
      </c>
      <c r="AC51">
        <f>IF(I51="",0,L51*IFERROR(INDEX(کاتالوگ_محصولات!$G$4:$G$303,MATCH(I51,کاتالوگ_محصولات!$A$4:$A$303,0)),0))</f>
        <v>0</v>
      </c>
      <c r="AD51">
        <f t="shared" si="8"/>
        <v>6780000</v>
      </c>
      <c r="AE51" t="str">
        <f t="shared" si="9"/>
        <v>1405/07</v>
      </c>
    </row>
    <row r="52" spans="1:31" ht="18" customHeight="1">
      <c r="A52" s="191" t="s">
        <v>1245</v>
      </c>
      <c r="B52" s="191" t="s">
        <v>1239</v>
      </c>
      <c r="C52" s="192">
        <v>2</v>
      </c>
      <c r="D52" s="192" t="s">
        <v>1139</v>
      </c>
      <c r="E52" s="192" t="s">
        <v>1138</v>
      </c>
      <c r="F52" s="192" t="s">
        <v>5</v>
      </c>
      <c r="G52" s="192" t="s">
        <v>258</v>
      </c>
      <c r="H52" s="192" t="s">
        <v>7</v>
      </c>
      <c r="I52" s="193"/>
      <c r="J52" s="193" t="s">
        <v>1253</v>
      </c>
      <c r="K52" s="191" t="s">
        <v>1253</v>
      </c>
      <c r="L52" s="191">
        <v>1</v>
      </c>
      <c r="M52" s="194">
        <v>3580000</v>
      </c>
      <c r="N52" s="194">
        <v>0</v>
      </c>
      <c r="O52" s="196">
        <v>3580000</v>
      </c>
      <c r="P52" s="192" t="s">
        <v>1249</v>
      </c>
      <c r="Q52" s="192" t="s">
        <v>1250</v>
      </c>
      <c r="R52" s="192">
        <v>9129400456</v>
      </c>
      <c r="S52" s="192">
        <v>5</v>
      </c>
      <c r="T52" s="192">
        <v>12</v>
      </c>
      <c r="U52" s="268"/>
      <c r="V52">
        <f>IF(A52="",0,IF(COUNTIF($A$3:A52,A52)=1,1,0))</f>
        <v>0</v>
      </c>
      <c r="W52">
        <f t="shared" si="6"/>
        <v>3580000</v>
      </c>
      <c r="X52">
        <f t="shared" si="7"/>
        <v>9129400456</v>
      </c>
      <c r="Y52">
        <f>IF(X52="",0,IF(COUNTIF($X$3:X52,X52)=1,1,0))</f>
        <v>0</v>
      </c>
      <c r="Z52">
        <f>IF(V52&lt;&gt;1,0,IF(X52="",0,IF(COUNTIF($X$3:X51,X52)&gt;0,1,0)))</f>
        <v>0</v>
      </c>
      <c r="AA52">
        <f t="shared" si="2"/>
        <v>0</v>
      </c>
      <c r="AB52">
        <f t="shared" si="3"/>
        <v>0</v>
      </c>
      <c r="AC52">
        <f>IF(I52="",0,L52*IFERROR(INDEX(کاتالوگ_محصولات!$G$4:$G$303,MATCH(I52,کاتالوگ_محصولات!$A$4:$A$303,0)),0))</f>
        <v>0</v>
      </c>
      <c r="AD52">
        <f t="shared" si="8"/>
        <v>3580000</v>
      </c>
      <c r="AE52" t="str">
        <f t="shared" si="9"/>
        <v>1405/07</v>
      </c>
    </row>
    <row r="53" spans="1:31" ht="18" customHeight="1">
      <c r="A53" s="191" t="s">
        <v>1245</v>
      </c>
      <c r="B53" s="191" t="s">
        <v>1239</v>
      </c>
      <c r="C53" s="192">
        <v>2</v>
      </c>
      <c r="D53" s="192" t="s">
        <v>1139</v>
      </c>
      <c r="E53" s="192" t="s">
        <v>1138</v>
      </c>
      <c r="F53" s="192" t="s">
        <v>5</v>
      </c>
      <c r="G53" s="192" t="s">
        <v>258</v>
      </c>
      <c r="H53" s="192" t="s">
        <v>7</v>
      </c>
      <c r="I53" s="193"/>
      <c r="J53" s="193" t="s">
        <v>1248</v>
      </c>
      <c r="K53" s="191" t="s">
        <v>1248</v>
      </c>
      <c r="L53" s="199">
        <v>1</v>
      </c>
      <c r="M53" s="194">
        <v>2380000</v>
      </c>
      <c r="N53" s="194">
        <v>0</v>
      </c>
      <c r="O53" s="196">
        <v>2380000</v>
      </c>
      <c r="P53" s="192" t="s">
        <v>1249</v>
      </c>
      <c r="Q53" s="192" t="s">
        <v>1250</v>
      </c>
      <c r="R53" s="192">
        <v>9129400456</v>
      </c>
      <c r="S53" s="192">
        <v>5</v>
      </c>
      <c r="T53" s="192">
        <v>12</v>
      </c>
      <c r="U53" s="268"/>
      <c r="V53">
        <f>IF(A53="",0,IF(COUNTIF($A$3:A53,A53)=1,1,0))</f>
        <v>0</v>
      </c>
      <c r="W53">
        <f t="shared" si="6"/>
        <v>2380000</v>
      </c>
      <c r="X53">
        <f t="shared" si="7"/>
        <v>9129400456</v>
      </c>
      <c r="Y53">
        <f>IF(X53="",0,IF(COUNTIF($X$3:X53,X53)=1,1,0))</f>
        <v>0</v>
      </c>
      <c r="Z53">
        <f>IF(V53&lt;&gt;1,0,IF(X53="",0,IF(COUNTIF($X$3:X52,X53)&gt;0,1,0)))</f>
        <v>0</v>
      </c>
      <c r="AA53">
        <f t="shared" si="2"/>
        <v>0</v>
      </c>
      <c r="AB53">
        <f t="shared" si="3"/>
        <v>0</v>
      </c>
      <c r="AC53">
        <f>IF(I53="",0,L53*IFERROR(INDEX(کاتالوگ_محصولات!$G$4:$G$303,MATCH(I53,کاتالوگ_محصولات!$A$4:$A$303,0)),0))</f>
        <v>0</v>
      </c>
      <c r="AD53">
        <f t="shared" si="8"/>
        <v>2380000</v>
      </c>
      <c r="AE53" t="str">
        <f t="shared" si="9"/>
        <v>1405/07</v>
      </c>
    </row>
    <row r="54" spans="1:31" ht="18" customHeight="1">
      <c r="A54" s="161" t="s">
        <v>1251</v>
      </c>
      <c r="B54" s="161" t="s">
        <v>1243</v>
      </c>
      <c r="C54" s="162">
        <v>0</v>
      </c>
      <c r="D54" s="162" t="s">
        <v>1135</v>
      </c>
      <c r="E54" s="162" t="s">
        <v>1131</v>
      </c>
      <c r="F54" s="162" t="s">
        <v>5</v>
      </c>
      <c r="G54" s="162" t="s">
        <v>258</v>
      </c>
      <c r="H54" s="162" t="s">
        <v>7</v>
      </c>
      <c r="I54" s="163"/>
      <c r="J54" s="163" t="s">
        <v>1255</v>
      </c>
      <c r="K54" s="161" t="s">
        <v>1255</v>
      </c>
      <c r="L54" s="161">
        <v>1</v>
      </c>
      <c r="M54" s="164">
        <v>4250000</v>
      </c>
      <c r="N54" s="164">
        <v>0</v>
      </c>
      <c r="O54" s="195">
        <v>4250000</v>
      </c>
      <c r="P54" s="162" t="s">
        <v>1256</v>
      </c>
      <c r="Q54" s="162" t="s">
        <v>1257</v>
      </c>
      <c r="R54" s="162">
        <v>9126713501</v>
      </c>
      <c r="S54" s="162">
        <v>9</v>
      </c>
      <c r="T54" s="162" t="s">
        <v>1258</v>
      </c>
      <c r="U54" s="162"/>
      <c r="V54">
        <f>IF(A54="",0,IF(COUNTIF($A$3:A54,A54)=1,1,0))</f>
        <v>1</v>
      </c>
      <c r="W54">
        <f t="shared" si="6"/>
        <v>4250000</v>
      </c>
      <c r="X54">
        <f t="shared" si="7"/>
        <v>9126713501</v>
      </c>
      <c r="Y54">
        <f>IF(X54="",0,IF(COUNTIF($X$3:X54,X54)=1,1,0))</f>
        <v>1</v>
      </c>
      <c r="Z54">
        <f>IF(V54&lt;&gt;1,0,IF(X54="",0,IF(COUNTIF($X$3:X53,X54)&gt;0,1,0)))</f>
        <v>0</v>
      </c>
      <c r="AA54">
        <f t="shared" si="2"/>
        <v>6900000</v>
      </c>
      <c r="AB54">
        <f t="shared" si="3"/>
        <v>2</v>
      </c>
      <c r="AC54">
        <f>IF(I54="",0,L54*IFERROR(INDEX(کاتالوگ_محصولات!$G$4:$G$303,MATCH(I54,کاتالوگ_محصولات!$A$4:$A$303,0)),0))</f>
        <v>0</v>
      </c>
      <c r="AD54">
        <f t="shared" si="8"/>
        <v>4250000</v>
      </c>
      <c r="AE54" t="str">
        <f t="shared" si="9"/>
        <v>1405/07</v>
      </c>
    </row>
    <row r="55" spans="1:31" ht="18" customHeight="1">
      <c r="A55" s="161" t="s">
        <v>1251</v>
      </c>
      <c r="B55" s="161" t="s">
        <v>1243</v>
      </c>
      <c r="C55" s="162">
        <v>0</v>
      </c>
      <c r="D55" s="162" t="s">
        <v>1135</v>
      </c>
      <c r="E55" s="162" t="s">
        <v>1131</v>
      </c>
      <c r="F55" s="162" t="s">
        <v>5</v>
      </c>
      <c r="G55" s="162" t="s">
        <v>258</v>
      </c>
      <c r="H55" s="162" t="s">
        <v>7</v>
      </c>
      <c r="I55" s="163"/>
      <c r="J55" s="163" t="s">
        <v>657</v>
      </c>
      <c r="K55" s="161" t="s">
        <v>657</v>
      </c>
      <c r="L55" s="161">
        <v>1</v>
      </c>
      <c r="M55" s="164">
        <v>2650000</v>
      </c>
      <c r="N55" s="164">
        <v>0</v>
      </c>
      <c r="O55" s="195">
        <v>2650000</v>
      </c>
      <c r="P55" s="162" t="s">
        <v>1256</v>
      </c>
      <c r="Q55" s="162" t="s">
        <v>1257</v>
      </c>
      <c r="R55" s="162">
        <v>9126713501</v>
      </c>
      <c r="S55" s="162">
        <v>9</v>
      </c>
      <c r="T55" s="162" t="s">
        <v>1258</v>
      </c>
      <c r="U55" s="162"/>
      <c r="V55">
        <f>IF(A55="",0,IF(COUNTIF($A$3:A55,A55)=1,1,0))</f>
        <v>0</v>
      </c>
      <c r="W55">
        <f t="shared" si="6"/>
        <v>2650000</v>
      </c>
      <c r="X55">
        <f t="shared" si="7"/>
        <v>9126713501</v>
      </c>
      <c r="Y55">
        <f>IF(X55="",0,IF(COUNTIF($X$3:X55,X55)=1,1,0))</f>
        <v>0</v>
      </c>
      <c r="Z55">
        <f>IF(V55&lt;&gt;1,0,IF(X55="",0,IF(COUNTIF($X$3:X54,X55)&gt;0,1,0)))</f>
        <v>0</v>
      </c>
      <c r="AA55">
        <f t="shared" si="2"/>
        <v>0</v>
      </c>
      <c r="AB55">
        <f t="shared" si="3"/>
        <v>0</v>
      </c>
      <c r="AC55">
        <f>IF(I55="",0,L55*IFERROR(INDEX(کاتالوگ_محصولات!$G$4:$G$303,MATCH(I55,کاتالوگ_محصولات!$A$4:$A$303,0)),0))</f>
        <v>0</v>
      </c>
      <c r="AD55">
        <f t="shared" si="8"/>
        <v>2650000</v>
      </c>
      <c r="AE55" t="str">
        <f t="shared" si="9"/>
        <v>1405/07</v>
      </c>
    </row>
    <row r="56" spans="1:31" ht="18" customHeight="1">
      <c r="A56" s="161" t="s">
        <v>1259</v>
      </c>
      <c r="B56" s="161" t="s">
        <v>1243</v>
      </c>
      <c r="C56" s="162">
        <v>1</v>
      </c>
      <c r="D56" s="162" t="s">
        <v>1195</v>
      </c>
      <c r="E56" s="162" t="s">
        <v>1204</v>
      </c>
      <c r="F56" s="162" t="s">
        <v>5</v>
      </c>
      <c r="G56" s="162" t="s">
        <v>258</v>
      </c>
      <c r="H56" s="162" t="s">
        <v>7</v>
      </c>
      <c r="I56" s="163"/>
      <c r="J56" s="163" t="s">
        <v>1263</v>
      </c>
      <c r="K56" s="161" t="s">
        <v>1263</v>
      </c>
      <c r="L56" s="161">
        <v>1</v>
      </c>
      <c r="M56" s="164">
        <v>2580000</v>
      </c>
      <c r="N56" s="164">
        <v>0</v>
      </c>
      <c r="O56" s="195">
        <v>2580000</v>
      </c>
      <c r="P56" s="162"/>
      <c r="Q56" s="162"/>
      <c r="R56" s="162"/>
      <c r="S56" s="162"/>
      <c r="T56" s="162"/>
      <c r="U56" s="162"/>
      <c r="V56">
        <f>IF(A56="",0,IF(COUNTIF($A$3:A56,A56)=1,1,0))</f>
        <v>1</v>
      </c>
      <c r="W56">
        <f t="shared" si="6"/>
        <v>2580000</v>
      </c>
      <c r="X56" t="str">
        <f t="shared" si="7"/>
        <v/>
      </c>
      <c r="Y56">
        <f>IF(X56="",0,IF(COUNTIF($X$3:X56,X56)=1,1,0))</f>
        <v>0</v>
      </c>
      <c r="Z56">
        <f>IF(V56&lt;&gt;1,0,IF(X56="",0,IF(COUNTIF($X$3:X55,X56)&gt;0,1,0)))</f>
        <v>0</v>
      </c>
      <c r="AA56">
        <f t="shared" si="2"/>
        <v>2580000</v>
      </c>
      <c r="AB56">
        <f t="shared" si="3"/>
        <v>1</v>
      </c>
      <c r="AC56">
        <f>IF(I56="",0,L56*IFERROR(INDEX(کاتالوگ_محصولات!$G$4:$G$303,MATCH(I56,کاتالوگ_محصولات!$A$4:$A$303,0)),0))</f>
        <v>0</v>
      </c>
      <c r="AD56">
        <f t="shared" si="8"/>
        <v>2580000</v>
      </c>
      <c r="AE56" t="str">
        <f t="shared" si="9"/>
        <v>1405/07</v>
      </c>
    </row>
    <row r="57" spans="1:31" ht="18" customHeight="1">
      <c r="A57" s="161" t="s">
        <v>1264</v>
      </c>
      <c r="B57" s="161" t="s">
        <v>1243</v>
      </c>
      <c r="C57" s="162">
        <v>1</v>
      </c>
      <c r="D57" s="162" t="s">
        <v>1195</v>
      </c>
      <c r="E57" s="162" t="s">
        <v>1138</v>
      </c>
      <c r="F57" s="162" t="s">
        <v>257</v>
      </c>
      <c r="G57" s="162" t="s">
        <v>1265</v>
      </c>
      <c r="H57" s="162" t="s">
        <v>7</v>
      </c>
      <c r="I57" s="163"/>
      <c r="J57" s="163" t="s">
        <v>1266</v>
      </c>
      <c r="K57" s="164" t="s">
        <v>1266</v>
      </c>
      <c r="L57" s="161">
        <v>1</v>
      </c>
      <c r="M57" s="164">
        <v>2880000</v>
      </c>
      <c r="N57" s="164">
        <v>0</v>
      </c>
      <c r="O57" s="195">
        <v>2880000</v>
      </c>
      <c r="P57" s="162"/>
      <c r="Q57" s="162"/>
      <c r="R57" s="162"/>
      <c r="S57" s="162"/>
      <c r="T57" s="162"/>
      <c r="U57" s="162"/>
      <c r="V57">
        <f>IF(A57="",0,IF(COUNTIF($A$3:A57,A57)=1,1,0))</f>
        <v>1</v>
      </c>
      <c r="W57">
        <f t="shared" si="6"/>
        <v>2880000</v>
      </c>
      <c r="X57" t="str">
        <f t="shared" si="7"/>
        <v/>
      </c>
      <c r="Y57">
        <f>IF(X57="",0,IF(COUNTIF($X$3:X57,X57)=1,1,0))</f>
        <v>0</v>
      </c>
      <c r="Z57">
        <f>IF(V57&lt;&gt;1,0,IF(X57="",0,IF(COUNTIF($X$3:X56,X57)&gt;0,1,0)))</f>
        <v>0</v>
      </c>
      <c r="AA57">
        <f t="shared" si="2"/>
        <v>2880000</v>
      </c>
      <c r="AB57">
        <f t="shared" si="3"/>
        <v>1</v>
      </c>
      <c r="AC57">
        <f>IF(I57="",0,L57*IFERROR(INDEX(کاتالوگ_محصولات!$G$4:$G$303,MATCH(I57,کاتالوگ_محصولات!$A$4:$A$303,0)),0))</f>
        <v>0</v>
      </c>
      <c r="AD57">
        <f t="shared" si="8"/>
        <v>2880000</v>
      </c>
      <c r="AE57" t="str">
        <f t="shared" si="9"/>
        <v>1405/07</v>
      </c>
    </row>
    <row r="58" spans="1:31" ht="18" customHeight="1">
      <c r="A58" s="191" t="s">
        <v>1267</v>
      </c>
      <c r="B58" s="191" t="s">
        <v>1260</v>
      </c>
      <c r="C58" s="192">
        <v>2</v>
      </c>
      <c r="D58" s="192" t="s">
        <v>1139</v>
      </c>
      <c r="E58" s="192" t="s">
        <v>1270</v>
      </c>
      <c r="F58" s="192" t="s">
        <v>1159</v>
      </c>
      <c r="G58" s="192" t="s">
        <v>258</v>
      </c>
      <c r="H58" s="192" t="s">
        <v>7</v>
      </c>
      <c r="I58" s="193"/>
      <c r="J58" s="193" t="s">
        <v>1268</v>
      </c>
      <c r="K58" s="191" t="s">
        <v>1268</v>
      </c>
      <c r="L58" s="191">
        <v>1</v>
      </c>
      <c r="M58" s="194">
        <v>2380000</v>
      </c>
      <c r="N58" s="194">
        <v>0</v>
      </c>
      <c r="O58" s="196">
        <v>2380000</v>
      </c>
      <c r="P58" s="192" t="s">
        <v>1271</v>
      </c>
      <c r="Q58" s="192" t="s">
        <v>1272</v>
      </c>
      <c r="R58" s="192">
        <v>9121599540</v>
      </c>
      <c r="S58" s="192"/>
      <c r="T58" s="192"/>
      <c r="U58" s="192"/>
      <c r="V58">
        <f>IF(A58="",0,IF(COUNTIF($A$3:A58,A58)=1,1,0))</f>
        <v>1</v>
      </c>
      <c r="W58">
        <f t="shared" si="6"/>
        <v>2380000</v>
      </c>
      <c r="X58">
        <f t="shared" si="7"/>
        <v>9121599540</v>
      </c>
      <c r="Y58">
        <f>IF(X58="",0,IF(COUNTIF($X$3:X58,X58)=1,1,0))</f>
        <v>1</v>
      </c>
      <c r="Z58">
        <f>IF(V58&lt;&gt;1,0,IF(X58="",0,IF(COUNTIF($X$3:X57,X58)&gt;0,1,0)))</f>
        <v>0</v>
      </c>
      <c r="AA58">
        <f t="shared" si="2"/>
        <v>5060000</v>
      </c>
      <c r="AB58">
        <f t="shared" si="3"/>
        <v>2</v>
      </c>
      <c r="AC58">
        <f>IF(I58="",0,L58*IFERROR(INDEX(کاتالوگ_محصولات!$G$4:$G$303,MATCH(I58,کاتالوگ_محصولات!$A$4:$A$303,0)),0))</f>
        <v>0</v>
      </c>
      <c r="AD58">
        <f t="shared" si="8"/>
        <v>2380000</v>
      </c>
      <c r="AE58" t="str">
        <f t="shared" si="9"/>
        <v>1405/07</v>
      </c>
    </row>
    <row r="59" spans="1:31" ht="18" customHeight="1">
      <c r="A59" s="191" t="s">
        <v>1267</v>
      </c>
      <c r="B59" s="191" t="s">
        <v>1260</v>
      </c>
      <c r="C59" s="192">
        <v>2</v>
      </c>
      <c r="D59" s="192" t="s">
        <v>1139</v>
      </c>
      <c r="E59" s="192" t="s">
        <v>1270</v>
      </c>
      <c r="F59" s="192" t="s">
        <v>1159</v>
      </c>
      <c r="G59" s="192" t="s">
        <v>258</v>
      </c>
      <c r="H59" s="192" t="s">
        <v>7</v>
      </c>
      <c r="I59" s="193"/>
      <c r="J59" s="193" t="s">
        <v>1269</v>
      </c>
      <c r="K59" s="191" t="s">
        <v>1269</v>
      </c>
      <c r="L59" s="191">
        <v>1</v>
      </c>
      <c r="M59" s="194">
        <v>2680000</v>
      </c>
      <c r="N59" s="194">
        <v>0</v>
      </c>
      <c r="O59" s="196">
        <v>2680000</v>
      </c>
      <c r="P59" s="192" t="s">
        <v>1271</v>
      </c>
      <c r="Q59" s="192" t="s">
        <v>1272</v>
      </c>
      <c r="R59" s="192">
        <v>9121599540</v>
      </c>
      <c r="S59" s="192"/>
      <c r="T59" s="192"/>
      <c r="U59" s="192"/>
      <c r="V59">
        <f>IF(A59="",0,IF(COUNTIF($A$3:A59,A59)=1,1,0))</f>
        <v>0</v>
      </c>
      <c r="W59">
        <f t="shared" si="6"/>
        <v>2680000</v>
      </c>
      <c r="X59">
        <f t="shared" si="7"/>
        <v>9121599540</v>
      </c>
      <c r="Y59">
        <f>IF(X59="",0,IF(COUNTIF($X$3:X59,X59)=1,1,0))</f>
        <v>0</v>
      </c>
      <c r="Z59">
        <f>IF(V59&lt;&gt;1,0,IF(X59="",0,IF(COUNTIF($X$3:X58,X59)&gt;0,1,0)))</f>
        <v>0</v>
      </c>
      <c r="AA59">
        <f t="shared" si="2"/>
        <v>0</v>
      </c>
      <c r="AB59">
        <f t="shared" si="3"/>
        <v>0</v>
      </c>
      <c r="AC59">
        <f>IF(I59="",0,L59*IFERROR(INDEX(کاتالوگ_محصولات!$G$4:$G$303,MATCH(I59,کاتالوگ_محصولات!$A$4:$A$303,0)),0))</f>
        <v>0</v>
      </c>
      <c r="AD59">
        <f t="shared" si="8"/>
        <v>2680000</v>
      </c>
      <c r="AE59" t="str">
        <f t="shared" si="9"/>
        <v>1405/07</v>
      </c>
    </row>
    <row r="60" spans="1:31" ht="18" customHeight="1">
      <c r="A60" s="191" t="s">
        <v>1273</v>
      </c>
      <c r="B60" s="191" t="s">
        <v>1260</v>
      </c>
      <c r="C60" s="192">
        <v>2</v>
      </c>
      <c r="D60" s="192" t="s">
        <v>1139</v>
      </c>
      <c r="E60" s="192" t="s">
        <v>1138</v>
      </c>
      <c r="F60" s="192" t="s">
        <v>5</v>
      </c>
      <c r="G60" s="192" t="s">
        <v>258</v>
      </c>
      <c r="H60" s="192" t="s">
        <v>7</v>
      </c>
      <c r="I60" s="193"/>
      <c r="J60" s="193" t="s">
        <v>1275</v>
      </c>
      <c r="K60" s="200" t="s">
        <v>1275</v>
      </c>
      <c r="L60" s="200">
        <v>1</v>
      </c>
      <c r="M60" s="201">
        <v>2680000</v>
      </c>
      <c r="N60" s="201">
        <v>0</v>
      </c>
      <c r="O60" s="202">
        <v>2680000</v>
      </c>
      <c r="P60" s="203" t="s">
        <v>1276</v>
      </c>
      <c r="Q60" s="204" t="s">
        <v>1277</v>
      </c>
      <c r="R60" s="204">
        <v>9166123376</v>
      </c>
      <c r="S60" s="204"/>
      <c r="T60" s="204"/>
      <c r="U60" s="192"/>
      <c r="V60">
        <f>IF(A60="",0,IF(COUNTIF($A$3:A60,A60)=1,1,0))</f>
        <v>1</v>
      </c>
      <c r="W60">
        <f t="shared" si="6"/>
        <v>2680000</v>
      </c>
      <c r="X60">
        <f t="shared" si="7"/>
        <v>9166123376</v>
      </c>
      <c r="Y60">
        <f>IF(X60="",0,IF(COUNTIF($X$3:X60,X60)=1,1,0))</f>
        <v>1</v>
      </c>
      <c r="Z60">
        <f>IF(V60&lt;&gt;1,0,IF(X60="",0,IF(COUNTIF($X$3:X59,X60)&gt;0,1,0)))</f>
        <v>0</v>
      </c>
      <c r="AA60">
        <f t="shared" si="2"/>
        <v>2680000</v>
      </c>
      <c r="AB60">
        <f t="shared" si="3"/>
        <v>1</v>
      </c>
      <c r="AC60">
        <f>IF(I60="",0,L60*IFERROR(INDEX(کاتالوگ_محصولات!$G$4:$G$303,MATCH(I60,کاتالوگ_محصولات!$A$4:$A$303,0)),0))</f>
        <v>0</v>
      </c>
      <c r="AD60">
        <f t="shared" si="8"/>
        <v>2680000</v>
      </c>
      <c r="AE60" t="str">
        <f t="shared" si="9"/>
        <v>1405/07</v>
      </c>
    </row>
    <row r="61" spans="1:31" ht="18" customHeight="1">
      <c r="A61" s="191" t="s">
        <v>1278</v>
      </c>
      <c r="B61" s="191" t="s">
        <v>1260</v>
      </c>
      <c r="C61" s="192">
        <v>1</v>
      </c>
      <c r="D61" s="192" t="s">
        <v>1195</v>
      </c>
      <c r="E61" s="192" t="s">
        <v>1138</v>
      </c>
      <c r="F61" s="192" t="s">
        <v>5</v>
      </c>
      <c r="G61" s="192" t="s">
        <v>1279</v>
      </c>
      <c r="H61" s="192" t="s">
        <v>7</v>
      </c>
      <c r="I61" s="193"/>
      <c r="J61" s="193" t="s">
        <v>520</v>
      </c>
      <c r="K61" s="200" t="s">
        <v>520</v>
      </c>
      <c r="L61" s="200">
        <v>1</v>
      </c>
      <c r="M61" s="201">
        <v>2580000</v>
      </c>
      <c r="N61" s="201">
        <v>0</v>
      </c>
      <c r="O61" s="202">
        <v>2580000</v>
      </c>
      <c r="P61" s="203" t="s">
        <v>1210</v>
      </c>
      <c r="Q61" s="204" t="s">
        <v>1280</v>
      </c>
      <c r="R61" s="204">
        <v>9134032447</v>
      </c>
      <c r="S61" s="204">
        <v>28</v>
      </c>
      <c r="T61" s="204" t="s">
        <v>202</v>
      </c>
      <c r="U61" s="192"/>
      <c r="V61">
        <f>IF(A61="",0,IF(COUNTIF($A$3:A61,A61)=1,1,0))</f>
        <v>1</v>
      </c>
      <c r="W61">
        <f>IF(A61="",0,L61*M61)</f>
        <v>2580000</v>
      </c>
      <c r="X61">
        <f t="shared" si="7"/>
        <v>9134032447</v>
      </c>
      <c r="Y61">
        <f>IF(X61="",0,IF(COUNTIF($X$3:X61,X61)=1,1,0))</f>
        <v>1</v>
      </c>
      <c r="Z61">
        <f>IF(V61&lt;&gt;1,0,IF(X61="",0,IF(COUNTIF($X$3:X60,X61)&gt;0,1,0)))</f>
        <v>0</v>
      </c>
      <c r="AA61">
        <f t="shared" si="2"/>
        <v>2580000</v>
      </c>
      <c r="AB61">
        <f t="shared" si="3"/>
        <v>1</v>
      </c>
      <c r="AC61">
        <f>IF(I61="",0,L61*IFERROR(INDEX(کاتالوگ_محصولات!$G$4:$G$303,MATCH(I61,کاتالوگ_محصولات!$A$4:$A$303,0)),0))</f>
        <v>0</v>
      </c>
      <c r="AD61">
        <f t="shared" si="8"/>
        <v>2580000</v>
      </c>
      <c r="AE61" t="str">
        <f t="shared" si="9"/>
        <v>1405/07</v>
      </c>
    </row>
    <row r="62" spans="1:31" ht="18" customHeight="1">
      <c r="A62" s="191" t="s">
        <v>1281</v>
      </c>
      <c r="B62" s="191" t="s">
        <v>1260</v>
      </c>
      <c r="C62" s="192">
        <v>1</v>
      </c>
      <c r="D62" s="192" t="s">
        <v>1195</v>
      </c>
      <c r="E62" s="192" t="s">
        <v>1138</v>
      </c>
      <c r="F62" s="192" t="s">
        <v>5</v>
      </c>
      <c r="G62" s="192"/>
      <c r="H62" s="192" t="s">
        <v>7</v>
      </c>
      <c r="I62" s="193"/>
      <c r="J62" s="193" t="s">
        <v>1282</v>
      </c>
      <c r="K62" s="200" t="s">
        <v>1282</v>
      </c>
      <c r="L62" s="200">
        <v>1</v>
      </c>
      <c r="M62" s="201">
        <v>2890000</v>
      </c>
      <c r="N62" s="201">
        <v>0</v>
      </c>
      <c r="O62" s="202">
        <v>2890000</v>
      </c>
      <c r="P62" s="203" t="s">
        <v>1210</v>
      </c>
      <c r="Q62" s="204" t="s">
        <v>1283</v>
      </c>
      <c r="R62" s="204">
        <v>9302627101</v>
      </c>
      <c r="S62" s="204">
        <v>1</v>
      </c>
      <c r="T62" s="204">
        <v>2</v>
      </c>
      <c r="U62" s="192"/>
      <c r="V62">
        <f>IF(A62="",0,IF(COUNTIF($A$3:A62,A62)=1,1,0))</f>
        <v>1</v>
      </c>
      <c r="W62">
        <f>IF(A62="",0,L62*M62)</f>
        <v>2890000</v>
      </c>
      <c r="X62">
        <f t="shared" si="7"/>
        <v>9302627101</v>
      </c>
      <c r="Y62">
        <f>IF(X62="",0,IF(COUNTIF($X$3:X62,X62)=1,1,0))</f>
        <v>1</v>
      </c>
      <c r="Z62">
        <f>IF(V62&lt;&gt;1,0,IF(X62="",0,IF(COUNTIF($X$3:X61,X62)&gt;0,1,0)))</f>
        <v>0</v>
      </c>
      <c r="AA62">
        <f t="shared" si="2"/>
        <v>2890000</v>
      </c>
      <c r="AB62">
        <f t="shared" si="3"/>
        <v>1</v>
      </c>
      <c r="AC62">
        <f>IF(I62="",0,L62*IFERROR(INDEX(کاتالوگ_محصولات!$G$4:$G$303,MATCH(I62,کاتالوگ_محصولات!$A$4:$A$303,0)),0))</f>
        <v>0</v>
      </c>
      <c r="AD62">
        <f t="shared" si="8"/>
        <v>2890000</v>
      </c>
      <c r="AE62" t="str">
        <f t="shared" si="9"/>
        <v>1405/07</v>
      </c>
    </row>
    <row r="63" spans="1:31" ht="18" customHeight="1">
      <c r="A63" s="191" t="s">
        <v>1284</v>
      </c>
      <c r="B63" s="191" t="s">
        <v>1260</v>
      </c>
      <c r="C63" s="192">
        <v>1</v>
      </c>
      <c r="D63" s="192" t="s">
        <v>1195</v>
      </c>
      <c r="E63" s="192" t="s">
        <v>1138</v>
      </c>
      <c r="F63" s="192" t="s">
        <v>5</v>
      </c>
      <c r="G63" s="192" t="s">
        <v>1288</v>
      </c>
      <c r="H63" s="192" t="s">
        <v>7</v>
      </c>
      <c r="I63" s="193"/>
      <c r="J63" s="193" t="s">
        <v>1285</v>
      </c>
      <c r="K63" s="200" t="s">
        <v>1285</v>
      </c>
      <c r="L63" s="200">
        <v>1</v>
      </c>
      <c r="M63" s="200">
        <v>1360000</v>
      </c>
      <c r="N63" s="201">
        <v>0</v>
      </c>
      <c r="O63" s="202">
        <v>1360000</v>
      </c>
      <c r="P63" s="203" t="s">
        <v>1210</v>
      </c>
      <c r="Q63" s="204" t="s">
        <v>1287</v>
      </c>
      <c r="R63" s="204">
        <v>9132679141</v>
      </c>
      <c r="S63" s="204">
        <v>13</v>
      </c>
      <c r="T63" s="204">
        <v>3</v>
      </c>
      <c r="U63" s="192"/>
      <c r="V63">
        <f>IF(A63="",0,IF(COUNTIF($A$3:A63,A63)=1,1,0))</f>
        <v>1</v>
      </c>
      <c r="W63">
        <f>IF(A63="",0,L63*M63)</f>
        <v>1360000</v>
      </c>
      <c r="X63">
        <f t="shared" si="7"/>
        <v>9132679141</v>
      </c>
      <c r="Y63">
        <f>IF(X63="",0,IF(COUNTIF($X$3:X63,X63)=1,1,0))</f>
        <v>1</v>
      </c>
      <c r="Z63">
        <f>IF(V63&lt;&gt;1,0,IF(X63="",0,IF(COUNTIF($X$3:X62,X63)&gt;0,1,0)))</f>
        <v>0</v>
      </c>
      <c r="AA63">
        <f t="shared" si="2"/>
        <v>4240000</v>
      </c>
      <c r="AB63">
        <f t="shared" si="3"/>
        <v>2</v>
      </c>
      <c r="AC63">
        <f>IF(I63="",0,L63*IFERROR(INDEX(کاتالوگ_محصولات!$G$4:$G$303,MATCH(I63,کاتالوگ_محصولات!$A$4:$A$303,0)),0))</f>
        <v>0</v>
      </c>
      <c r="AD63">
        <f t="shared" si="8"/>
        <v>1360000</v>
      </c>
      <c r="AE63" t="str">
        <f t="shared" si="9"/>
        <v>1405/07</v>
      </c>
    </row>
    <row r="64" spans="1:31" ht="18" customHeight="1">
      <c r="A64" s="191" t="s">
        <v>1284</v>
      </c>
      <c r="B64" s="191" t="s">
        <v>1260</v>
      </c>
      <c r="C64" s="192">
        <v>1</v>
      </c>
      <c r="D64" s="192" t="s">
        <v>1195</v>
      </c>
      <c r="E64" s="192" t="s">
        <v>1138</v>
      </c>
      <c r="F64" s="192" t="s">
        <v>5</v>
      </c>
      <c r="G64" s="192" t="s">
        <v>1288</v>
      </c>
      <c r="H64" s="192" t="s">
        <v>7</v>
      </c>
      <c r="I64" s="193"/>
      <c r="J64" s="193" t="s">
        <v>1286</v>
      </c>
      <c r="K64" s="200" t="s">
        <v>1286</v>
      </c>
      <c r="L64" s="200">
        <v>1</v>
      </c>
      <c r="M64" s="201">
        <v>2880000</v>
      </c>
      <c r="N64" s="201">
        <v>0</v>
      </c>
      <c r="O64" s="202">
        <v>2880000</v>
      </c>
      <c r="P64" s="203" t="s">
        <v>1210</v>
      </c>
      <c r="Q64" s="204" t="s">
        <v>1287</v>
      </c>
      <c r="R64" s="204">
        <v>9132679141</v>
      </c>
      <c r="S64" s="204">
        <v>13</v>
      </c>
      <c r="T64" s="204">
        <v>3</v>
      </c>
      <c r="U64" s="192"/>
      <c r="V64">
        <f>IF(A64="",0,IF(COUNTIF($A$3:A64,A64)=1,1,0))</f>
        <v>0</v>
      </c>
      <c r="W64">
        <f>IF(A64="",0,L64*M64)</f>
        <v>2880000</v>
      </c>
      <c r="X64">
        <f t="shared" si="7"/>
        <v>9132679141</v>
      </c>
      <c r="Y64">
        <f>IF(X64="",0,IF(COUNTIF($X$3:X64,X64)=1,1,0))</f>
        <v>0</v>
      </c>
      <c r="Z64">
        <f>IF(V64&lt;&gt;1,0,IF(X64="",0,IF(COUNTIF($X$3:X63,X64)&gt;0,1,0)))</f>
        <v>0</v>
      </c>
      <c r="AA64">
        <f t="shared" si="2"/>
        <v>0</v>
      </c>
      <c r="AB64">
        <f t="shared" si="3"/>
        <v>0</v>
      </c>
      <c r="AC64">
        <f>IF(I64="",0,L64*IFERROR(INDEX(کاتالوگ_محصولات!$G$4:$G$303,MATCH(I64,کاتالوگ_محصولات!$A$4:$A$303,0)),0))</f>
        <v>0</v>
      </c>
      <c r="AD64">
        <f t="shared" si="8"/>
        <v>2880000</v>
      </c>
      <c r="AE64" t="str">
        <f t="shared" si="9"/>
        <v>1405/07</v>
      </c>
    </row>
    <row r="65" spans="1:31" ht="18" customHeight="1">
      <c r="A65" s="161" t="s">
        <v>1289</v>
      </c>
      <c r="B65" s="161" t="s">
        <v>1261</v>
      </c>
      <c r="C65" s="162">
        <v>2</v>
      </c>
      <c r="D65" s="162" t="s">
        <v>1139</v>
      </c>
      <c r="E65" s="162" t="s">
        <v>1131</v>
      </c>
      <c r="F65" s="162" t="s">
        <v>5</v>
      </c>
      <c r="G65" s="162" t="s">
        <v>258</v>
      </c>
      <c r="H65" s="162" t="s">
        <v>7</v>
      </c>
      <c r="I65" s="163"/>
      <c r="J65" s="163" t="s">
        <v>1290</v>
      </c>
      <c r="K65" s="205" t="s">
        <v>1290</v>
      </c>
      <c r="L65" s="206">
        <v>1</v>
      </c>
      <c r="M65" s="207">
        <v>8780000</v>
      </c>
      <c r="N65" s="208">
        <v>0</v>
      </c>
      <c r="O65" s="209">
        <v>8780000</v>
      </c>
      <c r="P65" s="210" t="s">
        <v>1291</v>
      </c>
      <c r="Q65" s="162" t="s">
        <v>1292</v>
      </c>
      <c r="R65" s="162">
        <v>9338593391</v>
      </c>
      <c r="S65" s="162"/>
      <c r="T65" s="162"/>
      <c r="U65" s="267" t="s">
        <v>1300</v>
      </c>
      <c r="V65">
        <f>IF(A65="",0,IF(COUNTIF($A$3:A65,A65)=1,1,0))</f>
        <v>1</v>
      </c>
      <c r="W65">
        <f>IF(A65="",0,L65*M65)</f>
        <v>8780000</v>
      </c>
      <c r="X65">
        <f t="shared" si="7"/>
        <v>9338593391</v>
      </c>
      <c r="Y65">
        <f>IF(X65="",0,IF(COUNTIF($X$3:X65,X65)=1,1,0))</f>
        <v>1</v>
      </c>
      <c r="Z65">
        <f>IF(V65&lt;&gt;1,0,IF(X65="",0,IF(COUNTIF($X$3:X64,X65)&gt;0,1,0)))</f>
        <v>0</v>
      </c>
      <c r="AA65">
        <f t="shared" si="2"/>
        <v>16820000</v>
      </c>
      <c r="AB65">
        <f t="shared" si="3"/>
        <v>4</v>
      </c>
      <c r="AC65">
        <f>IF(I65="",0,L65*IFERROR(INDEX(کاتالوگ_محصولات!$G$4:$G$303,MATCH(I65,کاتالوگ_محصولات!$A$4:$A$303,0)),0))</f>
        <v>0</v>
      </c>
      <c r="AD65">
        <f t="shared" si="8"/>
        <v>8780000</v>
      </c>
      <c r="AE65" t="str">
        <f t="shared" si="9"/>
        <v>1405/07</v>
      </c>
    </row>
    <row r="66" spans="1:31" ht="18" customHeight="1">
      <c r="A66" s="161" t="s">
        <v>1289</v>
      </c>
      <c r="B66" s="161" t="s">
        <v>1261</v>
      </c>
      <c r="C66" s="162">
        <v>2</v>
      </c>
      <c r="D66" s="162" t="s">
        <v>1139</v>
      </c>
      <c r="E66" s="162" t="s">
        <v>1131</v>
      </c>
      <c r="F66" s="162" t="s">
        <v>5</v>
      </c>
      <c r="G66" s="162" t="s">
        <v>258</v>
      </c>
      <c r="H66" s="162" t="s">
        <v>7</v>
      </c>
      <c r="I66" s="163"/>
      <c r="J66" s="163" t="s">
        <v>1303</v>
      </c>
      <c r="K66" s="161" t="s">
        <v>1303</v>
      </c>
      <c r="L66" s="161">
        <v>1</v>
      </c>
      <c r="M66" s="164">
        <v>1680000</v>
      </c>
      <c r="N66" s="164">
        <v>0</v>
      </c>
      <c r="O66" s="195">
        <v>1680000</v>
      </c>
      <c r="P66" s="162" t="s">
        <v>1291</v>
      </c>
      <c r="Q66" s="162" t="s">
        <v>1292</v>
      </c>
      <c r="R66" s="162">
        <v>9338593391</v>
      </c>
      <c r="S66" s="162"/>
      <c r="T66" s="162"/>
      <c r="U66" s="267"/>
      <c r="V66">
        <f>IF(A66="",0,IF(COUNTIF($A$3:A66,A66)=1,1,0))</f>
        <v>0</v>
      </c>
      <c r="W66">
        <f t="shared" si="6"/>
        <v>1680000</v>
      </c>
      <c r="X66">
        <f t="shared" si="7"/>
        <v>9338593391</v>
      </c>
      <c r="Y66">
        <f>IF(X66="",0,IF(COUNTIF($X$3:X66,X66)=1,1,0))</f>
        <v>0</v>
      </c>
      <c r="Z66">
        <f>IF(V66&lt;&gt;1,0,IF(X66="",0,IF(COUNTIF($X$3:X65,X66)&gt;0,1,0)))</f>
        <v>0</v>
      </c>
      <c r="AA66">
        <f t="shared" si="2"/>
        <v>0</v>
      </c>
      <c r="AB66">
        <f t="shared" si="3"/>
        <v>0</v>
      </c>
      <c r="AC66">
        <f>IF(I66="",0,L66*IFERROR(INDEX(کاتالوگ_محصولات!$G$4:$G$303,MATCH(I66,کاتالوگ_محصولات!$A$4:$A$303,0)),0))</f>
        <v>0</v>
      </c>
      <c r="AD66">
        <f t="shared" si="8"/>
        <v>1680000</v>
      </c>
      <c r="AE66" t="str">
        <f t="shared" si="9"/>
        <v>1405/07</v>
      </c>
    </row>
    <row r="67" spans="1:31" ht="18" customHeight="1">
      <c r="A67" s="161" t="s">
        <v>1289</v>
      </c>
      <c r="B67" s="161" t="s">
        <v>1261</v>
      </c>
      <c r="C67" s="162">
        <v>2</v>
      </c>
      <c r="D67" s="162" t="s">
        <v>1139</v>
      </c>
      <c r="E67" s="162" t="s">
        <v>1131</v>
      </c>
      <c r="F67" s="162" t="s">
        <v>5</v>
      </c>
      <c r="G67" s="162" t="s">
        <v>258</v>
      </c>
      <c r="H67" s="162" t="s">
        <v>7</v>
      </c>
      <c r="I67" s="163"/>
      <c r="J67" s="163" t="s">
        <v>1302</v>
      </c>
      <c r="K67" s="161" t="s">
        <v>1302</v>
      </c>
      <c r="L67" s="161">
        <v>1</v>
      </c>
      <c r="M67" s="164">
        <v>3780000</v>
      </c>
      <c r="N67" s="164">
        <v>0</v>
      </c>
      <c r="O67" s="195">
        <v>3780000</v>
      </c>
      <c r="P67" s="162" t="s">
        <v>1291</v>
      </c>
      <c r="Q67" s="162" t="s">
        <v>1292</v>
      </c>
      <c r="R67" s="162">
        <v>9338593391</v>
      </c>
      <c r="S67" s="162"/>
      <c r="T67" s="162"/>
      <c r="U67" s="267"/>
      <c r="V67">
        <f>IF(A67="",0,IF(COUNTIF($A$3:A67,A67)=1,1,0))</f>
        <v>0</v>
      </c>
      <c r="W67">
        <f t="shared" si="6"/>
        <v>3780000</v>
      </c>
      <c r="X67">
        <f t="shared" si="7"/>
        <v>9338593391</v>
      </c>
      <c r="Y67">
        <f>IF(X67="",0,IF(COUNTIF($X$3:X67,X67)=1,1,0))</f>
        <v>0</v>
      </c>
      <c r="Z67">
        <f>IF(V67&lt;&gt;1,0,IF(X67="",0,IF(COUNTIF($X$3:X66,X67)&gt;0,1,0)))</f>
        <v>0</v>
      </c>
      <c r="AA67">
        <f t="shared" ref="AA67:AA130" si="10">IF(V67=1,SUMIF($A$3:$A$1622,A67,$O$3:$O$1622),0)</f>
        <v>0</v>
      </c>
      <c r="AB67">
        <f t="shared" ref="AB67:AB130" si="11">IF(V67=1,SUMIF($A$3:$A$1622,A67,$L$3:$L$1622),0)</f>
        <v>0</v>
      </c>
      <c r="AC67">
        <f>IF(I67="",0,L67*IFERROR(INDEX(کاتالوگ_محصولات!$G$4:$G$303,MATCH(I67,کاتالوگ_محصولات!$A$4:$A$303,0)),0))</f>
        <v>0</v>
      </c>
      <c r="AD67">
        <f t="shared" si="8"/>
        <v>3780000</v>
      </c>
      <c r="AE67" t="str">
        <f t="shared" si="9"/>
        <v>1405/07</v>
      </c>
    </row>
    <row r="68" spans="1:31" ht="18" customHeight="1">
      <c r="A68" s="161" t="s">
        <v>1289</v>
      </c>
      <c r="B68" s="161" t="s">
        <v>1261</v>
      </c>
      <c r="C68" s="162">
        <v>2</v>
      </c>
      <c r="D68" s="162" t="s">
        <v>1139</v>
      </c>
      <c r="E68" s="162" t="s">
        <v>1131</v>
      </c>
      <c r="F68" s="162" t="s">
        <v>5</v>
      </c>
      <c r="G68" s="162" t="s">
        <v>258</v>
      </c>
      <c r="H68" s="162" t="s">
        <v>7</v>
      </c>
      <c r="I68" s="163"/>
      <c r="J68" s="163" t="s">
        <v>519</v>
      </c>
      <c r="K68" s="161" t="s">
        <v>519</v>
      </c>
      <c r="L68" s="161">
        <v>1</v>
      </c>
      <c r="M68" s="164">
        <v>2580000</v>
      </c>
      <c r="N68" s="164">
        <v>0</v>
      </c>
      <c r="O68" s="195">
        <v>2580000</v>
      </c>
      <c r="P68" s="162" t="s">
        <v>1291</v>
      </c>
      <c r="Q68" s="162" t="s">
        <v>1292</v>
      </c>
      <c r="R68" s="162">
        <v>9338593391</v>
      </c>
      <c r="S68" s="162"/>
      <c r="T68" s="162"/>
      <c r="U68" s="267"/>
      <c r="V68">
        <f>IF(A68="",0,IF(COUNTIF($A$3:A68,A68)=1,1,0))</f>
        <v>0</v>
      </c>
      <c r="W68">
        <f t="shared" si="6"/>
        <v>2580000</v>
      </c>
      <c r="X68">
        <f t="shared" si="7"/>
        <v>9338593391</v>
      </c>
      <c r="Y68">
        <f>IF(X68="",0,IF(COUNTIF($X$3:X68,X68)=1,1,0))</f>
        <v>0</v>
      </c>
      <c r="Z68">
        <f>IF(V68&lt;&gt;1,0,IF(X68="",0,IF(COUNTIF($X$3:X67,X68)&gt;0,1,0)))</f>
        <v>0</v>
      </c>
      <c r="AA68">
        <f t="shared" si="10"/>
        <v>0</v>
      </c>
      <c r="AB68">
        <f t="shared" si="11"/>
        <v>0</v>
      </c>
      <c r="AC68">
        <f>IF(I68="",0,L68*IFERROR(INDEX(کاتالوگ_محصولات!$G$4:$G$303,MATCH(I68,کاتالوگ_محصولات!$A$4:$A$303,0)),0))</f>
        <v>0</v>
      </c>
      <c r="AD68">
        <f t="shared" si="8"/>
        <v>2580000</v>
      </c>
      <c r="AE68" t="str">
        <f t="shared" si="9"/>
        <v>1405/07</v>
      </c>
    </row>
    <row r="69" spans="1:31" ht="18" customHeight="1">
      <c r="A69" s="161" t="s">
        <v>1293</v>
      </c>
      <c r="B69" s="161" t="s">
        <v>1261</v>
      </c>
      <c r="C69" s="162">
        <v>2</v>
      </c>
      <c r="D69" s="162" t="s">
        <v>1139</v>
      </c>
      <c r="E69" s="162" t="s">
        <v>1131</v>
      </c>
      <c r="F69" s="162" t="s">
        <v>1297</v>
      </c>
      <c r="G69" s="162" t="s">
        <v>1279</v>
      </c>
      <c r="H69" s="162" t="s">
        <v>7</v>
      </c>
      <c r="I69" s="163"/>
      <c r="J69" s="163" t="s">
        <v>538</v>
      </c>
      <c r="K69" s="161" t="s">
        <v>538</v>
      </c>
      <c r="L69" s="161">
        <v>1</v>
      </c>
      <c r="M69" s="164">
        <v>4580000</v>
      </c>
      <c r="N69" s="164">
        <v>0</v>
      </c>
      <c r="O69" s="195">
        <v>4580000</v>
      </c>
      <c r="P69" s="162" t="s">
        <v>1295</v>
      </c>
      <c r="Q69" s="162" t="s">
        <v>1296</v>
      </c>
      <c r="R69" s="162">
        <v>9103309983</v>
      </c>
      <c r="S69" s="162">
        <v>9</v>
      </c>
      <c r="T69" s="162" t="s">
        <v>1298</v>
      </c>
      <c r="U69" s="162"/>
      <c r="V69">
        <f>IF(A69="",0,IF(COUNTIF($A$3:A69,A69)=1,1,0))</f>
        <v>1</v>
      </c>
      <c r="W69">
        <f t="shared" si="6"/>
        <v>4580000</v>
      </c>
      <c r="X69">
        <f t="shared" si="7"/>
        <v>9103309983</v>
      </c>
      <c r="Y69">
        <f>IF(X69="",0,IF(COUNTIF($X$3:X69,X69)=1,1,0))</f>
        <v>1</v>
      </c>
      <c r="Z69">
        <f>IF(V69&lt;&gt;1,0,IF(X69="",0,IF(COUNTIF($X$3:X68,X69)&gt;0,1,0)))</f>
        <v>0</v>
      </c>
      <c r="AA69">
        <f t="shared" si="10"/>
        <v>5870000</v>
      </c>
      <c r="AB69">
        <f t="shared" si="11"/>
        <v>2</v>
      </c>
      <c r="AC69">
        <f>IF(I69="",0,L69*IFERROR(INDEX(کاتالوگ_محصولات!$G$4:$G$303,MATCH(I69,کاتالوگ_محصولات!$A$4:$A$303,0)),0))</f>
        <v>0</v>
      </c>
      <c r="AD69">
        <f t="shared" si="8"/>
        <v>4580000</v>
      </c>
      <c r="AE69" t="str">
        <f t="shared" si="9"/>
        <v>1405/07</v>
      </c>
    </row>
    <row r="70" spans="1:31" ht="18" customHeight="1">
      <c r="A70" s="161" t="s">
        <v>1293</v>
      </c>
      <c r="B70" s="161" t="s">
        <v>1261</v>
      </c>
      <c r="C70" s="162">
        <v>2</v>
      </c>
      <c r="D70" s="162" t="s">
        <v>1139</v>
      </c>
      <c r="E70" s="162" t="s">
        <v>1131</v>
      </c>
      <c r="F70" s="162" t="s">
        <v>1297</v>
      </c>
      <c r="G70" s="162" t="s">
        <v>1279</v>
      </c>
      <c r="H70" s="162" t="s">
        <v>7</v>
      </c>
      <c r="I70" s="163"/>
      <c r="J70" s="163" t="s">
        <v>1294</v>
      </c>
      <c r="K70" s="161" t="s">
        <v>1294</v>
      </c>
      <c r="L70" s="161">
        <v>1</v>
      </c>
      <c r="M70" s="164">
        <v>1290000</v>
      </c>
      <c r="N70" s="164">
        <v>0</v>
      </c>
      <c r="O70" s="195">
        <v>1290000</v>
      </c>
      <c r="P70" s="162" t="s">
        <v>1295</v>
      </c>
      <c r="Q70" s="162" t="s">
        <v>1296</v>
      </c>
      <c r="R70" s="162">
        <v>9103309983</v>
      </c>
      <c r="S70" s="162">
        <v>9</v>
      </c>
      <c r="T70" s="162" t="s">
        <v>1298</v>
      </c>
      <c r="U70" s="162"/>
      <c r="V70">
        <f>IF(A70="",0,IF(COUNTIF($A$3:A70,A70)=1,1,0))</f>
        <v>0</v>
      </c>
      <c r="W70">
        <f t="shared" si="6"/>
        <v>1290000</v>
      </c>
      <c r="X70">
        <f t="shared" si="7"/>
        <v>9103309983</v>
      </c>
      <c r="Y70">
        <f>IF(X70="",0,IF(COUNTIF($X$3:X70,X70)=1,1,0))</f>
        <v>0</v>
      </c>
      <c r="Z70">
        <f>IF(V70&lt;&gt;1,0,IF(X70="",0,IF(COUNTIF($X$3:X69,X70)&gt;0,1,0)))</f>
        <v>0</v>
      </c>
      <c r="AA70">
        <f t="shared" si="10"/>
        <v>0</v>
      </c>
      <c r="AB70">
        <f t="shared" si="11"/>
        <v>0</v>
      </c>
      <c r="AC70">
        <f>IF(I70="",0,L70*IFERROR(INDEX(کاتالوگ_محصولات!$G$4:$G$303,MATCH(I70,کاتالوگ_محصولات!$A$4:$A$303,0)),0))</f>
        <v>0</v>
      </c>
      <c r="AD70">
        <f t="shared" si="8"/>
        <v>1290000</v>
      </c>
      <c r="AE70" t="str">
        <f t="shared" si="9"/>
        <v>1405/07</v>
      </c>
    </row>
    <row r="71" spans="1:31" ht="18" customHeight="1">
      <c r="A71" s="161" t="s">
        <v>1299</v>
      </c>
      <c r="B71" s="161" t="s">
        <v>1261</v>
      </c>
      <c r="C71" s="162">
        <v>2</v>
      </c>
      <c r="D71" s="162" t="s">
        <v>1139</v>
      </c>
      <c r="E71" s="162" t="s">
        <v>1131</v>
      </c>
      <c r="F71" s="162" t="s">
        <v>5</v>
      </c>
      <c r="G71" s="162" t="s">
        <v>258</v>
      </c>
      <c r="H71" s="162" t="s">
        <v>7</v>
      </c>
      <c r="I71" s="163"/>
      <c r="J71" s="163" t="s">
        <v>1313</v>
      </c>
      <c r="K71" s="161" t="s">
        <v>1313</v>
      </c>
      <c r="L71" s="161">
        <v>1</v>
      </c>
      <c r="M71" s="164">
        <v>3450000</v>
      </c>
      <c r="N71" s="164">
        <v>0</v>
      </c>
      <c r="O71" s="195">
        <v>3450000</v>
      </c>
      <c r="P71" s="162" t="s">
        <v>1314</v>
      </c>
      <c r="Q71" s="162" t="s">
        <v>1315</v>
      </c>
      <c r="R71" s="162">
        <v>9126055141</v>
      </c>
      <c r="S71" s="162"/>
      <c r="T71" s="162"/>
      <c r="U71" s="162"/>
      <c r="V71">
        <f>IF(A71="",0,IF(COUNTIF($A$3:A71,A71)=1,1,0))</f>
        <v>1</v>
      </c>
      <c r="W71">
        <f t="shared" si="6"/>
        <v>3450000</v>
      </c>
      <c r="X71">
        <f t="shared" si="7"/>
        <v>9126055141</v>
      </c>
      <c r="Y71">
        <f>IF(X71="",0,IF(COUNTIF($X$3:X71,X71)=1,1,0))</f>
        <v>1</v>
      </c>
      <c r="Z71">
        <f>IF(V71&lt;&gt;1,0,IF(X71="",0,IF(COUNTIF($X$3:X70,X71)&gt;0,1,0)))</f>
        <v>0</v>
      </c>
      <c r="AA71">
        <f t="shared" si="10"/>
        <v>6630000</v>
      </c>
      <c r="AB71">
        <f t="shared" si="11"/>
        <v>2</v>
      </c>
      <c r="AC71">
        <f>IF(I71="",0,L71*IFERROR(INDEX(کاتالوگ_محصولات!$G$4:$G$303,MATCH(I71,کاتالوگ_محصولات!$A$4:$A$303,0)),0))</f>
        <v>0</v>
      </c>
      <c r="AD71">
        <f t="shared" si="8"/>
        <v>3450000</v>
      </c>
      <c r="AE71" t="str">
        <f t="shared" si="9"/>
        <v>1405/07</v>
      </c>
    </row>
    <row r="72" spans="1:31" ht="18" customHeight="1">
      <c r="A72" s="161" t="s">
        <v>1299</v>
      </c>
      <c r="B72" s="161" t="s">
        <v>1261</v>
      </c>
      <c r="C72" s="162">
        <v>2</v>
      </c>
      <c r="D72" s="162" t="s">
        <v>1139</v>
      </c>
      <c r="E72" s="162" t="s">
        <v>1131</v>
      </c>
      <c r="F72" s="162" t="s">
        <v>5</v>
      </c>
      <c r="G72" s="162" t="s">
        <v>258</v>
      </c>
      <c r="H72" s="162" t="s">
        <v>7</v>
      </c>
      <c r="I72" s="163"/>
      <c r="J72" s="163" t="s">
        <v>1311</v>
      </c>
      <c r="K72" s="161" t="s">
        <v>1311</v>
      </c>
      <c r="L72" s="161">
        <v>1</v>
      </c>
      <c r="M72" s="164">
        <v>3180000</v>
      </c>
      <c r="N72" s="164">
        <v>0</v>
      </c>
      <c r="O72" s="195">
        <v>3180000</v>
      </c>
      <c r="P72" s="162" t="s">
        <v>1314</v>
      </c>
      <c r="Q72" s="162" t="s">
        <v>1315</v>
      </c>
      <c r="R72" s="162">
        <v>9126055141</v>
      </c>
      <c r="S72" s="162"/>
      <c r="T72" s="162"/>
      <c r="U72" s="162"/>
      <c r="V72">
        <f>IF(A72="",0,IF(COUNTIF($A$3:A72,A72)=1,1,0))</f>
        <v>0</v>
      </c>
      <c r="W72">
        <f t="shared" si="6"/>
        <v>3180000</v>
      </c>
      <c r="X72">
        <f t="shared" si="7"/>
        <v>9126055141</v>
      </c>
      <c r="Y72">
        <f>IF(X72="",0,IF(COUNTIF($X$3:X72,X72)=1,1,0))</f>
        <v>0</v>
      </c>
      <c r="Z72">
        <f>IF(V72&lt;&gt;1,0,IF(X72="",0,IF(COUNTIF($X$3:X71,X72)&gt;0,1,0)))</f>
        <v>0</v>
      </c>
      <c r="AA72">
        <f t="shared" si="10"/>
        <v>0</v>
      </c>
      <c r="AB72">
        <f t="shared" si="11"/>
        <v>0</v>
      </c>
      <c r="AC72">
        <f>IF(I72="",0,L72*IFERROR(INDEX(کاتالوگ_محصولات!$G$4:$G$303,MATCH(I72,کاتالوگ_محصولات!$A$4:$A$303,0)),0))</f>
        <v>0</v>
      </c>
      <c r="AD72">
        <f t="shared" si="8"/>
        <v>3180000</v>
      </c>
      <c r="AE72" t="str">
        <f t="shared" si="9"/>
        <v>1405/07</v>
      </c>
    </row>
    <row r="73" spans="1:31" ht="18" customHeight="1">
      <c r="A73" s="161" t="s">
        <v>1316</v>
      </c>
      <c r="B73" s="161" t="s">
        <v>1261</v>
      </c>
      <c r="C73" s="162">
        <v>1</v>
      </c>
      <c r="D73" s="162" t="s">
        <v>1195</v>
      </c>
      <c r="E73" s="162" t="s">
        <v>1138</v>
      </c>
      <c r="F73" s="162" t="s">
        <v>1317</v>
      </c>
      <c r="G73" s="162" t="s">
        <v>258</v>
      </c>
      <c r="H73" s="162" t="s">
        <v>7</v>
      </c>
      <c r="I73" s="163"/>
      <c r="J73" s="163" t="s">
        <v>1321</v>
      </c>
      <c r="K73" s="161" t="s">
        <v>1321</v>
      </c>
      <c r="L73" s="161">
        <v>1</v>
      </c>
      <c r="M73" s="164">
        <v>4180000</v>
      </c>
      <c r="N73" s="164">
        <v>0</v>
      </c>
      <c r="O73" s="195">
        <v>4180000</v>
      </c>
      <c r="P73" s="162" t="s">
        <v>1318</v>
      </c>
      <c r="Q73" s="162" t="s">
        <v>1319</v>
      </c>
      <c r="R73" s="162">
        <v>9174117662</v>
      </c>
      <c r="S73" s="162">
        <v>6</v>
      </c>
      <c r="T73" s="162">
        <v>12</v>
      </c>
      <c r="U73" s="162"/>
      <c r="V73">
        <f>IF(A73="",0,IF(COUNTIF($A$3:A73,A73)=1,1,0))</f>
        <v>1</v>
      </c>
      <c r="W73">
        <f t="shared" ref="W73:W136" si="12">IF(A73="",0,L73*M73)</f>
        <v>4180000</v>
      </c>
      <c r="X73">
        <f t="shared" ref="X73:X136" si="13">IF(R73&lt;&gt;"",R73,IF(AND(P73&lt;&gt;"",Q73&lt;&gt;""),P73&amp;"|"&amp;Q73,""))</f>
        <v>9174117662</v>
      </c>
      <c r="Y73">
        <f>IF(X73="",0,IF(COUNTIF($X$3:X73,X73)=1,1,0))</f>
        <v>1</v>
      </c>
      <c r="Z73">
        <f>IF(V73&lt;&gt;1,0,IF(X73="",0,IF(COUNTIF($X$3:X72,X73)&gt;0,1,0)))</f>
        <v>0</v>
      </c>
      <c r="AA73">
        <f t="shared" si="10"/>
        <v>4180000</v>
      </c>
      <c r="AB73">
        <f t="shared" si="11"/>
        <v>1</v>
      </c>
      <c r="AC73">
        <f>IF(I73="",0,L73*IFERROR(INDEX(کاتالوگ_محصولات!$G$4:$G$303,MATCH(I73,کاتالوگ_محصولات!$A$4:$A$303,0)),0))</f>
        <v>0</v>
      </c>
      <c r="AD73">
        <f t="shared" ref="AD73:AD136" si="14">IF(A73="",0,O73-AC73)</f>
        <v>4180000</v>
      </c>
      <c r="AE73" t="str">
        <f t="shared" ref="AE73:AE136" si="15">IF(B73="","",LEFT(B73,7))</f>
        <v>1405/07</v>
      </c>
    </row>
    <row r="74" spans="1:31" ht="18" customHeight="1">
      <c r="A74" s="161" t="s">
        <v>1320</v>
      </c>
      <c r="B74" s="161" t="s">
        <v>1261</v>
      </c>
      <c r="C74" s="162">
        <v>1</v>
      </c>
      <c r="D74" s="162" t="s">
        <v>1195</v>
      </c>
      <c r="E74" s="162" t="s">
        <v>1138</v>
      </c>
      <c r="F74" s="162" t="s">
        <v>5</v>
      </c>
      <c r="G74" s="162" t="s">
        <v>258</v>
      </c>
      <c r="H74" s="162" t="s">
        <v>7</v>
      </c>
      <c r="I74" s="163"/>
      <c r="J74" s="163" t="s">
        <v>1322</v>
      </c>
      <c r="K74" s="161" t="s">
        <v>1322</v>
      </c>
      <c r="L74" s="161">
        <v>1</v>
      </c>
      <c r="M74" s="164">
        <v>2880000</v>
      </c>
      <c r="N74" s="164">
        <v>0</v>
      </c>
      <c r="O74" s="195">
        <v>2880000</v>
      </c>
      <c r="P74" s="162" t="s">
        <v>1323</v>
      </c>
      <c r="Q74" s="162" t="s">
        <v>1324</v>
      </c>
      <c r="R74" s="162">
        <v>9113779465</v>
      </c>
      <c r="S74" s="162">
        <v>1</v>
      </c>
      <c r="T74" s="162" t="s">
        <v>1325</v>
      </c>
      <c r="U74" s="162"/>
      <c r="V74">
        <f>IF(A74="",0,IF(COUNTIF($A$3:A74,A74)=1,1,0))</f>
        <v>1</v>
      </c>
      <c r="W74">
        <f t="shared" si="12"/>
        <v>2880000</v>
      </c>
      <c r="X74">
        <f t="shared" si="13"/>
        <v>9113779465</v>
      </c>
      <c r="Y74">
        <f>IF(X74="",0,IF(COUNTIF($X$3:X74,X74)=1,1,0))</f>
        <v>1</v>
      </c>
      <c r="Z74">
        <f>IF(V74&lt;&gt;1,0,IF(X74="",0,IF(COUNTIF($X$3:X73,X74)&gt;0,1,0)))</f>
        <v>0</v>
      </c>
      <c r="AA74">
        <f t="shared" si="10"/>
        <v>2880000</v>
      </c>
      <c r="AB74">
        <f t="shared" si="11"/>
        <v>1</v>
      </c>
      <c r="AC74">
        <f>IF(I74="",0,L74*IFERROR(INDEX(کاتالوگ_محصولات!$G$4:$G$303,MATCH(I74,کاتالوگ_محصولات!$A$4:$A$303,0)),0))</f>
        <v>0</v>
      </c>
      <c r="AD74">
        <f t="shared" si="14"/>
        <v>2880000</v>
      </c>
      <c r="AE74" t="str">
        <f t="shared" si="15"/>
        <v>1405/07</v>
      </c>
    </row>
    <row r="75" spans="1:31" ht="18" customHeight="1">
      <c r="A75" s="161" t="s">
        <v>1326</v>
      </c>
      <c r="B75" s="161" t="s">
        <v>1261</v>
      </c>
      <c r="C75" s="162">
        <v>2</v>
      </c>
      <c r="D75" s="162" t="s">
        <v>1139</v>
      </c>
      <c r="E75" s="162" t="s">
        <v>1131</v>
      </c>
      <c r="F75" s="162" t="s">
        <v>5</v>
      </c>
      <c r="G75" s="162" t="s">
        <v>258</v>
      </c>
      <c r="H75" s="162" t="s">
        <v>7</v>
      </c>
      <c r="I75" s="163"/>
      <c r="J75" s="163" t="s">
        <v>1328</v>
      </c>
      <c r="K75" s="161" t="s">
        <v>1328</v>
      </c>
      <c r="L75" s="161">
        <v>1</v>
      </c>
      <c r="M75" s="164">
        <v>2580000</v>
      </c>
      <c r="N75" s="164">
        <v>0</v>
      </c>
      <c r="O75" s="195">
        <v>2580000</v>
      </c>
      <c r="P75" s="162" t="s">
        <v>1329</v>
      </c>
      <c r="Q75" s="162" t="s">
        <v>1330</v>
      </c>
      <c r="R75" s="162">
        <v>9359311885</v>
      </c>
      <c r="S75" s="162">
        <v>6</v>
      </c>
      <c r="T75" s="162" t="s">
        <v>1332</v>
      </c>
      <c r="U75" s="162"/>
      <c r="V75">
        <f>IF(A75="",0,IF(COUNTIF($A$3:A75,A75)=1,1,0))</f>
        <v>1</v>
      </c>
      <c r="W75">
        <f t="shared" si="12"/>
        <v>2580000</v>
      </c>
      <c r="X75">
        <f t="shared" si="13"/>
        <v>9359311885</v>
      </c>
      <c r="Y75">
        <f>IF(X75="",0,IF(COUNTIF($X$3:X75,X75)=1,1,0))</f>
        <v>1</v>
      </c>
      <c r="Z75">
        <f>IF(V75&lt;&gt;1,0,IF(X75="",0,IF(COUNTIF($X$3:X74,X75)&gt;0,1,0)))</f>
        <v>0</v>
      </c>
      <c r="AA75">
        <f t="shared" si="10"/>
        <v>3780000</v>
      </c>
      <c r="AB75">
        <f t="shared" si="11"/>
        <v>2</v>
      </c>
      <c r="AC75">
        <f>IF(I75="",0,L75*IFERROR(INDEX(کاتالوگ_محصولات!$G$4:$G$303,MATCH(I75,کاتالوگ_محصولات!$A$4:$A$303,0)),0))</f>
        <v>0</v>
      </c>
      <c r="AD75">
        <f t="shared" si="14"/>
        <v>2580000</v>
      </c>
      <c r="AE75" t="str">
        <f t="shared" si="15"/>
        <v>1405/07</v>
      </c>
    </row>
    <row r="76" spans="1:31" ht="18" customHeight="1">
      <c r="A76" s="161" t="s">
        <v>1326</v>
      </c>
      <c r="B76" s="161" t="s">
        <v>1261</v>
      </c>
      <c r="C76" s="162">
        <v>2</v>
      </c>
      <c r="D76" s="162" t="s">
        <v>1139</v>
      </c>
      <c r="E76" s="162" t="s">
        <v>1131</v>
      </c>
      <c r="F76" s="162" t="s">
        <v>5</v>
      </c>
      <c r="G76" s="162" t="s">
        <v>258</v>
      </c>
      <c r="H76" s="162" t="s">
        <v>7</v>
      </c>
      <c r="I76" s="163"/>
      <c r="J76" s="163" t="s">
        <v>1331</v>
      </c>
      <c r="K76" s="161" t="s">
        <v>1331</v>
      </c>
      <c r="L76" s="161">
        <v>1</v>
      </c>
      <c r="M76" s="164">
        <v>1280000</v>
      </c>
      <c r="N76" s="164">
        <v>80000</v>
      </c>
      <c r="O76" s="195">
        <v>1200000</v>
      </c>
      <c r="P76" s="162" t="s">
        <v>1329</v>
      </c>
      <c r="Q76" s="162" t="s">
        <v>1330</v>
      </c>
      <c r="R76" s="162">
        <v>9359311885</v>
      </c>
      <c r="S76" s="162">
        <v>6</v>
      </c>
      <c r="T76" s="162" t="s">
        <v>1332</v>
      </c>
      <c r="U76" s="162"/>
      <c r="V76">
        <f>IF(A76="",0,IF(COUNTIF($A$3:A76,A76)=1,1,0))</f>
        <v>0</v>
      </c>
      <c r="W76">
        <f t="shared" si="12"/>
        <v>1280000</v>
      </c>
      <c r="X76">
        <f t="shared" si="13"/>
        <v>9359311885</v>
      </c>
      <c r="Y76">
        <f>IF(X76="",0,IF(COUNTIF($X$3:X76,X76)=1,1,0))</f>
        <v>0</v>
      </c>
      <c r="Z76">
        <f>IF(V76&lt;&gt;1,0,IF(X76="",0,IF(COUNTIF($X$3:X75,X76)&gt;0,1,0)))</f>
        <v>0</v>
      </c>
      <c r="AA76">
        <f t="shared" si="10"/>
        <v>0</v>
      </c>
      <c r="AB76">
        <f t="shared" si="11"/>
        <v>0</v>
      </c>
      <c r="AC76">
        <f>IF(I76="",0,L76*IFERROR(INDEX(کاتالوگ_محصولات!$G$4:$G$303,MATCH(I76,کاتالوگ_محصولات!$A$4:$A$303,0)),0))</f>
        <v>0</v>
      </c>
      <c r="AD76">
        <f t="shared" si="14"/>
        <v>1200000</v>
      </c>
      <c r="AE76" t="str">
        <f t="shared" si="15"/>
        <v>1405/07</v>
      </c>
    </row>
    <row r="77" spans="1:31" ht="18" customHeight="1">
      <c r="A77" s="161" t="s">
        <v>1333</v>
      </c>
      <c r="B77" s="161" t="s">
        <v>1261</v>
      </c>
      <c r="C77" s="162">
        <v>1</v>
      </c>
      <c r="D77" s="162" t="s">
        <v>1195</v>
      </c>
      <c r="E77" s="162" t="s">
        <v>1138</v>
      </c>
      <c r="F77" s="162" t="s">
        <v>5</v>
      </c>
      <c r="G77" s="162" t="s">
        <v>258</v>
      </c>
      <c r="H77" s="162" t="s">
        <v>7</v>
      </c>
      <c r="I77" s="163"/>
      <c r="J77" s="163" t="s">
        <v>1334</v>
      </c>
      <c r="K77" s="161" t="s">
        <v>1334</v>
      </c>
      <c r="L77" s="161">
        <v>1</v>
      </c>
      <c r="M77" s="164">
        <v>6780000</v>
      </c>
      <c r="N77" s="164">
        <v>2712000</v>
      </c>
      <c r="O77" s="195">
        <v>0</v>
      </c>
      <c r="P77" s="162"/>
      <c r="Q77" s="162"/>
      <c r="R77" s="162"/>
      <c r="S77" s="162"/>
      <c r="T77" s="162"/>
      <c r="U77" s="211" t="s">
        <v>1335</v>
      </c>
      <c r="V77">
        <f>IF(A77="",0,IF(COUNTIF($A$3:A77,A77)=1,1,0))</f>
        <v>1</v>
      </c>
      <c r="W77">
        <f t="shared" si="12"/>
        <v>6780000</v>
      </c>
      <c r="X77" t="str">
        <f t="shared" si="13"/>
        <v/>
      </c>
      <c r="Y77">
        <f>IF(X77="",0,IF(COUNTIF($X$3:X77,X77)=1,1,0))</f>
        <v>0</v>
      </c>
      <c r="Z77">
        <f>IF(V77&lt;&gt;1,0,IF(X77="",0,IF(COUNTIF($X$3:X76,X77)&gt;0,1,0)))</f>
        <v>0</v>
      </c>
      <c r="AA77">
        <f t="shared" si="10"/>
        <v>1068000</v>
      </c>
      <c r="AB77">
        <f t="shared" si="11"/>
        <v>2</v>
      </c>
      <c r="AC77">
        <f>IF(I77="",0,L77*IFERROR(INDEX(کاتالوگ_محصولات!$G$4:$G$303,MATCH(I77,کاتالوگ_محصولات!$A$4:$A$303,0)),0))</f>
        <v>0</v>
      </c>
      <c r="AD77">
        <f t="shared" si="14"/>
        <v>0</v>
      </c>
      <c r="AE77" t="str">
        <f t="shared" si="15"/>
        <v>1405/07</v>
      </c>
    </row>
    <row r="78" spans="1:31" ht="18" customHeight="1">
      <c r="A78" s="161" t="s">
        <v>1336</v>
      </c>
      <c r="B78" s="161" t="s">
        <v>1261</v>
      </c>
      <c r="C78" s="162">
        <v>2</v>
      </c>
      <c r="D78" s="162" t="s">
        <v>1139</v>
      </c>
      <c r="E78" s="162" t="s">
        <v>1131</v>
      </c>
      <c r="F78" s="162" t="s">
        <v>5</v>
      </c>
      <c r="G78" s="162" t="s">
        <v>258</v>
      </c>
      <c r="H78" s="162" t="s">
        <v>7</v>
      </c>
      <c r="I78" s="163"/>
      <c r="J78" s="163" t="s">
        <v>1338</v>
      </c>
      <c r="K78" s="161" t="s">
        <v>1338</v>
      </c>
      <c r="L78" s="161">
        <v>1</v>
      </c>
      <c r="M78" s="164">
        <v>6780000</v>
      </c>
      <c r="N78" s="164">
        <v>2712000</v>
      </c>
      <c r="O78" s="195">
        <v>0</v>
      </c>
      <c r="P78" s="162"/>
      <c r="Q78" s="162"/>
      <c r="R78" s="162"/>
      <c r="S78" s="162"/>
      <c r="T78" s="162"/>
      <c r="U78" s="211" t="s">
        <v>1337</v>
      </c>
      <c r="V78">
        <f>IF(A78="",0,IF(COUNTIF($A$3:A78,A78)=1,1,0))</f>
        <v>1</v>
      </c>
      <c r="W78">
        <f t="shared" si="12"/>
        <v>6780000</v>
      </c>
      <c r="X78" t="str">
        <f t="shared" si="13"/>
        <v/>
      </c>
      <c r="Y78">
        <f>IF(X78="",0,IF(COUNTIF($X$3:X78,X78)=1,1,0))</f>
        <v>0</v>
      </c>
      <c r="Z78">
        <f>IF(V78&lt;&gt;1,0,IF(X78="",0,IF(COUNTIF($X$3:X77,X78)&gt;0,1,0)))</f>
        <v>0</v>
      </c>
      <c r="AA78">
        <f t="shared" si="10"/>
        <v>0</v>
      </c>
      <c r="AB78">
        <f t="shared" si="11"/>
        <v>1</v>
      </c>
      <c r="AC78">
        <f>IF(I78="",0,L78*IFERROR(INDEX(کاتالوگ_محصولات!$G$4:$G$303,MATCH(I78,کاتالوگ_محصولات!$A$4:$A$303,0)),0))</f>
        <v>0</v>
      </c>
      <c r="AD78">
        <f t="shared" si="14"/>
        <v>0</v>
      </c>
      <c r="AE78" t="str">
        <f t="shared" si="15"/>
        <v>1405/07</v>
      </c>
    </row>
    <row r="79" spans="1:31" ht="18" customHeight="1">
      <c r="A79" s="191" t="s">
        <v>1339</v>
      </c>
      <c r="B79" s="191" t="s">
        <v>1262</v>
      </c>
      <c r="C79" s="192">
        <v>1</v>
      </c>
      <c r="D79" s="192" t="s">
        <v>1195</v>
      </c>
      <c r="E79" s="192" t="s">
        <v>1131</v>
      </c>
      <c r="F79" s="192" t="s">
        <v>5</v>
      </c>
      <c r="G79" s="192" t="s">
        <v>258</v>
      </c>
      <c r="H79" s="192" t="s">
        <v>7</v>
      </c>
      <c r="I79" s="193"/>
      <c r="J79" s="193" t="s">
        <v>1340</v>
      </c>
      <c r="K79" s="191" t="s">
        <v>1340</v>
      </c>
      <c r="L79" s="191">
        <v>1</v>
      </c>
      <c r="M79" s="194">
        <v>2040000</v>
      </c>
      <c r="N79" s="194">
        <v>0</v>
      </c>
      <c r="O79" s="196">
        <v>2040000</v>
      </c>
      <c r="P79" s="192" t="s">
        <v>1210</v>
      </c>
      <c r="Q79" s="192" t="s">
        <v>1341</v>
      </c>
      <c r="R79" s="192">
        <v>9125809479</v>
      </c>
      <c r="S79" s="192">
        <v>28</v>
      </c>
      <c r="T79" s="192"/>
      <c r="U79" s="192"/>
      <c r="V79">
        <f>IF(A79="",0,IF(COUNTIF($A$3:A79,A79)=1,1,0))</f>
        <v>1</v>
      </c>
      <c r="W79">
        <f t="shared" si="12"/>
        <v>2040000</v>
      </c>
      <c r="X79">
        <f t="shared" si="13"/>
        <v>9125809479</v>
      </c>
      <c r="Y79">
        <f>IF(X79="",0,IF(COUNTIF($X$3:X79,X79)=1,1,0))</f>
        <v>1</v>
      </c>
      <c r="Z79">
        <f>IF(V79&lt;&gt;1,0,IF(X79="",0,IF(COUNTIF($X$3:X78,X79)&gt;0,1,0)))</f>
        <v>0</v>
      </c>
      <c r="AA79">
        <f t="shared" si="10"/>
        <v>4080000</v>
      </c>
      <c r="AB79">
        <f t="shared" si="11"/>
        <v>2</v>
      </c>
      <c r="AC79">
        <f>IF(I79="",0,L79*IFERROR(INDEX(کاتالوگ_محصولات!$G$4:$G$303,MATCH(I79,کاتالوگ_محصولات!$A$4:$A$303,0)),0))</f>
        <v>0</v>
      </c>
      <c r="AD79">
        <f t="shared" si="14"/>
        <v>2040000</v>
      </c>
      <c r="AE79" t="str">
        <f t="shared" si="15"/>
        <v>1405/07</v>
      </c>
    </row>
    <row r="80" spans="1:31" ht="18" customHeight="1">
      <c r="A80" s="191" t="s">
        <v>1339</v>
      </c>
      <c r="B80" s="191" t="s">
        <v>1262</v>
      </c>
      <c r="C80" s="192">
        <v>1</v>
      </c>
      <c r="D80" s="192" t="s">
        <v>1195</v>
      </c>
      <c r="E80" s="192" t="s">
        <v>1131</v>
      </c>
      <c r="F80" s="192" t="s">
        <v>5</v>
      </c>
      <c r="G80" s="192" t="s">
        <v>258</v>
      </c>
      <c r="H80" s="192" t="s">
        <v>7</v>
      </c>
      <c r="I80" s="193"/>
      <c r="J80" s="193" t="s">
        <v>1340</v>
      </c>
      <c r="K80" s="191" t="s">
        <v>1340</v>
      </c>
      <c r="L80" s="191">
        <v>1</v>
      </c>
      <c r="M80" s="194">
        <v>2040000</v>
      </c>
      <c r="N80" s="194">
        <v>0</v>
      </c>
      <c r="O80" s="196">
        <v>2040000</v>
      </c>
      <c r="P80" s="192" t="s">
        <v>1210</v>
      </c>
      <c r="Q80" s="192" t="s">
        <v>1341</v>
      </c>
      <c r="R80" s="192">
        <v>9125809479</v>
      </c>
      <c r="S80" s="192">
        <v>28</v>
      </c>
      <c r="T80" s="192"/>
      <c r="U80" s="192"/>
      <c r="V80">
        <f>IF(A80="",0,IF(COUNTIF($A$3:A80,A80)=1,1,0))</f>
        <v>0</v>
      </c>
      <c r="W80">
        <f t="shared" si="12"/>
        <v>2040000</v>
      </c>
      <c r="X80">
        <f t="shared" si="13"/>
        <v>9125809479</v>
      </c>
      <c r="Y80">
        <f>IF(X80="",0,IF(COUNTIF($X$3:X80,X80)=1,1,0))</f>
        <v>0</v>
      </c>
      <c r="Z80">
        <f>IF(V80&lt;&gt;1,0,IF(X80="",0,IF(COUNTIF($X$3:X79,X80)&gt;0,1,0)))</f>
        <v>0</v>
      </c>
      <c r="AA80">
        <f t="shared" si="10"/>
        <v>0</v>
      </c>
      <c r="AB80">
        <f t="shared" si="11"/>
        <v>0</v>
      </c>
      <c r="AC80">
        <f>IF(I80="",0,L80*IFERROR(INDEX(کاتالوگ_محصولات!$G$4:$G$303,MATCH(I80,کاتالوگ_محصولات!$A$4:$A$303,0)),0))</f>
        <v>0</v>
      </c>
      <c r="AD80">
        <f t="shared" si="14"/>
        <v>2040000</v>
      </c>
      <c r="AE80" t="str">
        <f t="shared" si="15"/>
        <v>1405/07</v>
      </c>
    </row>
    <row r="81" spans="1:31" ht="18" customHeight="1">
      <c r="A81" s="191" t="s">
        <v>1342</v>
      </c>
      <c r="B81" s="191" t="s">
        <v>1262</v>
      </c>
      <c r="C81" s="192">
        <v>1</v>
      </c>
      <c r="D81" s="192" t="s">
        <v>1195</v>
      </c>
      <c r="E81" s="192" t="s">
        <v>1131</v>
      </c>
      <c r="F81" s="192" t="s">
        <v>5</v>
      </c>
      <c r="G81" s="192" t="s">
        <v>258</v>
      </c>
      <c r="H81" s="192" t="s">
        <v>7</v>
      </c>
      <c r="I81" s="193"/>
      <c r="J81" s="193" t="s">
        <v>614</v>
      </c>
      <c r="K81" s="191" t="s">
        <v>614</v>
      </c>
      <c r="L81" s="191">
        <v>1</v>
      </c>
      <c r="M81" s="194">
        <v>3450000</v>
      </c>
      <c r="N81" s="194">
        <v>0</v>
      </c>
      <c r="O81" s="196">
        <v>3450000</v>
      </c>
      <c r="P81" s="192"/>
      <c r="Q81" s="192"/>
      <c r="R81" s="192"/>
      <c r="S81" s="192"/>
      <c r="T81" s="192"/>
      <c r="U81" s="192"/>
      <c r="V81">
        <f>IF(A81="",0,IF(COUNTIF($A$3:A81,A81)=1,1,0))</f>
        <v>1</v>
      </c>
      <c r="W81">
        <f t="shared" si="12"/>
        <v>3450000</v>
      </c>
      <c r="X81" t="str">
        <f t="shared" si="13"/>
        <v/>
      </c>
      <c r="Y81">
        <f>IF(X81="",0,IF(COUNTIF($X$3:X81,X81)=1,1,0))</f>
        <v>0</v>
      </c>
      <c r="Z81">
        <f>IF(V81&lt;&gt;1,0,IF(X81="",0,IF(COUNTIF($X$3:X80,X81)&gt;0,1,0)))</f>
        <v>0</v>
      </c>
      <c r="AA81">
        <f t="shared" si="10"/>
        <v>3450000</v>
      </c>
      <c r="AB81">
        <f t="shared" si="11"/>
        <v>1</v>
      </c>
      <c r="AC81">
        <f>IF(I81="",0,L81*IFERROR(INDEX(کاتالوگ_محصولات!$G$4:$G$303,MATCH(I81,کاتالوگ_محصولات!$A$4:$A$303,0)),0))</f>
        <v>0</v>
      </c>
      <c r="AD81">
        <f t="shared" si="14"/>
        <v>3450000</v>
      </c>
      <c r="AE81" t="str">
        <f t="shared" si="15"/>
        <v>1405/07</v>
      </c>
    </row>
    <row r="82" spans="1:31" ht="18" customHeight="1">
      <c r="A82" s="191" t="s">
        <v>1343</v>
      </c>
      <c r="B82" s="191" t="s">
        <v>1262</v>
      </c>
      <c r="C82" s="192">
        <v>1</v>
      </c>
      <c r="D82" s="192" t="s">
        <v>1195</v>
      </c>
      <c r="E82" s="192" t="s">
        <v>1346</v>
      </c>
      <c r="F82" s="192" t="s">
        <v>5</v>
      </c>
      <c r="G82" s="192" t="s">
        <v>258</v>
      </c>
      <c r="H82" s="192" t="s">
        <v>7</v>
      </c>
      <c r="I82" s="193"/>
      <c r="J82" s="193" t="s">
        <v>470</v>
      </c>
      <c r="K82" s="191" t="s">
        <v>470</v>
      </c>
      <c r="L82" s="191">
        <v>1</v>
      </c>
      <c r="M82" s="194">
        <v>2480000</v>
      </c>
      <c r="N82" s="194">
        <v>0</v>
      </c>
      <c r="O82" s="196">
        <v>2480000</v>
      </c>
      <c r="P82" s="192" t="s">
        <v>1210</v>
      </c>
      <c r="Q82" s="192" t="s">
        <v>1345</v>
      </c>
      <c r="R82" s="192">
        <v>9122109039</v>
      </c>
      <c r="S82" s="192">
        <v>1</v>
      </c>
      <c r="T82" s="192">
        <v>9</v>
      </c>
      <c r="U82" s="192"/>
      <c r="V82">
        <f>IF(A82="",0,IF(COUNTIF($A$3:A82,A82)=1,1,0))</f>
        <v>1</v>
      </c>
      <c r="W82">
        <f t="shared" si="12"/>
        <v>2480000</v>
      </c>
      <c r="X82">
        <f t="shared" si="13"/>
        <v>9122109039</v>
      </c>
      <c r="Y82">
        <f>IF(X82="",0,IF(COUNTIF($X$3:X82,X82)=1,1,0))</f>
        <v>1</v>
      </c>
      <c r="Z82">
        <f>IF(V82&lt;&gt;1,0,IF(X82="",0,IF(COUNTIF($X$3:X81,X82)&gt;0,1,0)))</f>
        <v>0</v>
      </c>
      <c r="AA82">
        <f t="shared" si="10"/>
        <v>8560000</v>
      </c>
      <c r="AB82">
        <f t="shared" si="11"/>
        <v>3</v>
      </c>
      <c r="AC82">
        <f>IF(I82="",0,L82*IFERROR(INDEX(کاتالوگ_محصولات!$G$4:$G$303,MATCH(I82,کاتالوگ_محصولات!$A$4:$A$303,0)),0))</f>
        <v>0</v>
      </c>
      <c r="AD82">
        <f t="shared" si="14"/>
        <v>2480000</v>
      </c>
      <c r="AE82" t="str">
        <f t="shared" si="15"/>
        <v>1405/07</v>
      </c>
    </row>
    <row r="83" spans="1:31" ht="18" customHeight="1">
      <c r="A83" s="191" t="s">
        <v>1343</v>
      </c>
      <c r="B83" s="191" t="s">
        <v>1262</v>
      </c>
      <c r="C83" s="192">
        <v>1</v>
      </c>
      <c r="D83" s="192" t="s">
        <v>1195</v>
      </c>
      <c r="E83" s="192" t="s">
        <v>1346</v>
      </c>
      <c r="F83" s="192" t="s">
        <v>5</v>
      </c>
      <c r="G83" s="192" t="s">
        <v>258</v>
      </c>
      <c r="H83" s="192" t="s">
        <v>7</v>
      </c>
      <c r="I83" s="193"/>
      <c r="J83" s="193" t="s">
        <v>1344</v>
      </c>
      <c r="K83" s="191" t="s">
        <v>1344</v>
      </c>
      <c r="L83" s="191">
        <v>1</v>
      </c>
      <c r="M83" s="194">
        <v>2880000</v>
      </c>
      <c r="N83" s="194">
        <v>0</v>
      </c>
      <c r="O83" s="196">
        <v>2880000</v>
      </c>
      <c r="P83" s="192" t="s">
        <v>1210</v>
      </c>
      <c r="Q83" s="192" t="s">
        <v>1345</v>
      </c>
      <c r="R83" s="192">
        <v>9122109039</v>
      </c>
      <c r="S83" s="192">
        <v>1</v>
      </c>
      <c r="T83" s="192">
        <v>9</v>
      </c>
      <c r="U83" s="192"/>
      <c r="V83">
        <f>IF(A83="",0,IF(COUNTIF($A$3:A83,A83)=1,1,0))</f>
        <v>0</v>
      </c>
      <c r="W83">
        <f t="shared" si="12"/>
        <v>2880000</v>
      </c>
      <c r="X83">
        <f t="shared" si="13"/>
        <v>9122109039</v>
      </c>
      <c r="Y83">
        <f>IF(X83="",0,IF(COUNTIF($X$3:X83,X83)=1,1,0))</f>
        <v>0</v>
      </c>
      <c r="Z83">
        <f>IF(V83&lt;&gt;1,0,IF(X83="",0,IF(COUNTIF($X$3:X82,X83)&gt;0,1,0)))</f>
        <v>0</v>
      </c>
      <c r="AA83">
        <f t="shared" si="10"/>
        <v>0</v>
      </c>
      <c r="AB83">
        <f t="shared" si="11"/>
        <v>0</v>
      </c>
      <c r="AC83">
        <f>IF(I83="",0,L83*IFERROR(INDEX(کاتالوگ_محصولات!$G$4:$G$303,MATCH(I83,کاتالوگ_محصولات!$A$4:$A$303,0)),0))</f>
        <v>0</v>
      </c>
      <c r="AD83">
        <f t="shared" si="14"/>
        <v>2880000</v>
      </c>
      <c r="AE83" t="str">
        <f t="shared" si="15"/>
        <v>1405/07</v>
      </c>
    </row>
    <row r="84" spans="1:31" ht="18" customHeight="1">
      <c r="A84" s="191" t="s">
        <v>1343</v>
      </c>
      <c r="B84" s="191" t="s">
        <v>1262</v>
      </c>
      <c r="C84" s="192">
        <v>1</v>
      </c>
      <c r="D84" s="192" t="s">
        <v>1195</v>
      </c>
      <c r="E84" s="192" t="s">
        <v>1346</v>
      </c>
      <c r="F84" s="192" t="s">
        <v>5</v>
      </c>
      <c r="G84" s="192" t="s">
        <v>258</v>
      </c>
      <c r="H84" s="192" t="s">
        <v>7</v>
      </c>
      <c r="I84" s="193"/>
      <c r="J84" s="193" t="s">
        <v>651</v>
      </c>
      <c r="K84" s="191" t="s">
        <v>651</v>
      </c>
      <c r="L84" s="191">
        <v>1</v>
      </c>
      <c r="M84" s="194">
        <v>3200000</v>
      </c>
      <c r="N84" s="194">
        <v>0</v>
      </c>
      <c r="O84" s="196">
        <v>3200000</v>
      </c>
      <c r="P84" s="192" t="s">
        <v>1210</v>
      </c>
      <c r="Q84" s="192" t="s">
        <v>1345</v>
      </c>
      <c r="R84" s="192">
        <v>9122109039</v>
      </c>
      <c r="S84" s="192">
        <v>1</v>
      </c>
      <c r="T84" s="192">
        <v>9</v>
      </c>
      <c r="U84" s="192"/>
      <c r="V84">
        <f>IF(A84="",0,IF(COUNTIF($A$3:A84,A84)=1,1,0))</f>
        <v>0</v>
      </c>
      <c r="W84">
        <f t="shared" si="12"/>
        <v>3200000</v>
      </c>
      <c r="X84">
        <f t="shared" si="13"/>
        <v>9122109039</v>
      </c>
      <c r="Y84">
        <f>IF(X84="",0,IF(COUNTIF($X$3:X84,X84)=1,1,0))</f>
        <v>0</v>
      </c>
      <c r="Z84">
        <f>IF(V84&lt;&gt;1,0,IF(X84="",0,IF(COUNTIF($X$3:X83,X84)&gt;0,1,0)))</f>
        <v>0</v>
      </c>
      <c r="AA84">
        <f t="shared" si="10"/>
        <v>0</v>
      </c>
      <c r="AB84">
        <f t="shared" si="11"/>
        <v>0</v>
      </c>
      <c r="AC84">
        <f>IF(I84="",0,L84*IFERROR(INDEX(کاتالوگ_محصولات!$G$4:$G$303,MATCH(I84,کاتالوگ_محصولات!$A$4:$A$303,0)),0))</f>
        <v>0</v>
      </c>
      <c r="AD84">
        <f t="shared" si="14"/>
        <v>3200000</v>
      </c>
      <c r="AE84" t="str">
        <f t="shared" si="15"/>
        <v>1405/07</v>
      </c>
    </row>
    <row r="85" spans="1:31" ht="18" customHeight="1">
      <c r="A85" s="191" t="s">
        <v>1347</v>
      </c>
      <c r="B85" s="191" t="s">
        <v>1262</v>
      </c>
      <c r="C85" s="192">
        <v>1</v>
      </c>
      <c r="D85" s="192" t="s">
        <v>1195</v>
      </c>
      <c r="E85" s="192" t="s">
        <v>1131</v>
      </c>
      <c r="F85" s="192" t="s">
        <v>5</v>
      </c>
      <c r="G85" s="192" t="s">
        <v>1180</v>
      </c>
      <c r="H85" s="192" t="s">
        <v>7</v>
      </c>
      <c r="I85" s="193"/>
      <c r="J85" s="193" t="s">
        <v>1350</v>
      </c>
      <c r="K85" s="191" t="s">
        <v>1350</v>
      </c>
      <c r="L85" s="191">
        <v>1</v>
      </c>
      <c r="M85" s="194">
        <v>8780000</v>
      </c>
      <c r="N85" s="194">
        <v>880000</v>
      </c>
      <c r="O85" s="196">
        <v>7900000</v>
      </c>
      <c r="P85" s="192" t="s">
        <v>1348</v>
      </c>
      <c r="Q85" s="192" t="s">
        <v>1349</v>
      </c>
      <c r="R85" s="192">
        <v>9124018425</v>
      </c>
      <c r="S85" s="192">
        <v>11</v>
      </c>
      <c r="T85" s="192" t="s">
        <v>1184</v>
      </c>
      <c r="U85" s="192" t="s">
        <v>1351</v>
      </c>
      <c r="V85">
        <f>IF(A85="",0,IF(COUNTIF($A$3:A85,A85)=1,1,0))</f>
        <v>1</v>
      </c>
      <c r="W85">
        <f t="shared" si="12"/>
        <v>8780000</v>
      </c>
      <c r="X85">
        <f t="shared" si="13"/>
        <v>9124018425</v>
      </c>
      <c r="Y85">
        <f>IF(X85="",0,IF(COUNTIF($X$3:X85,X85)=1,1,0))</f>
        <v>1</v>
      </c>
      <c r="Z85">
        <f>IF(V85&lt;&gt;1,0,IF(X85="",0,IF(COUNTIF($X$3:X84,X85)&gt;0,1,0)))</f>
        <v>0</v>
      </c>
      <c r="AA85">
        <f t="shared" si="10"/>
        <v>7900000</v>
      </c>
      <c r="AB85">
        <f t="shared" si="11"/>
        <v>1</v>
      </c>
      <c r="AC85">
        <f>IF(I85="",0,L85*IFERROR(INDEX(کاتالوگ_محصولات!$G$4:$G$303,MATCH(I85,کاتالوگ_محصولات!$A$4:$A$303,0)),0))</f>
        <v>0</v>
      </c>
      <c r="AD85">
        <f t="shared" si="14"/>
        <v>7900000</v>
      </c>
      <c r="AE85" t="str">
        <f t="shared" si="15"/>
        <v>1405/07</v>
      </c>
    </row>
    <row r="86" spans="1:31" ht="18" customHeight="1">
      <c r="A86" s="161" t="s">
        <v>1352</v>
      </c>
      <c r="B86" s="161" t="s">
        <v>1301</v>
      </c>
      <c r="C86" s="162">
        <v>2</v>
      </c>
      <c r="D86" s="162" t="s">
        <v>1139</v>
      </c>
      <c r="E86" s="162" t="s">
        <v>1354</v>
      </c>
      <c r="F86" s="162" t="s">
        <v>5</v>
      </c>
      <c r="G86" s="162" t="s">
        <v>258</v>
      </c>
      <c r="H86" s="162" t="s">
        <v>7</v>
      </c>
      <c r="I86" s="163"/>
      <c r="J86" s="163" t="s">
        <v>1353</v>
      </c>
      <c r="K86" s="161" t="s">
        <v>1353</v>
      </c>
      <c r="L86" s="161">
        <v>1</v>
      </c>
      <c r="M86" s="164">
        <v>2880000</v>
      </c>
      <c r="N86" s="164">
        <v>0</v>
      </c>
      <c r="O86" s="195">
        <v>2880000</v>
      </c>
      <c r="P86" s="162" t="s">
        <v>1355</v>
      </c>
      <c r="Q86" s="162" t="s">
        <v>1356</v>
      </c>
      <c r="R86" s="162">
        <v>9124596838</v>
      </c>
      <c r="S86" s="162"/>
      <c r="T86" s="162"/>
      <c r="U86" s="162"/>
      <c r="V86">
        <f>IF(A86="",0,IF(COUNTIF($A$3:A86,A86)=1,1,0))</f>
        <v>1</v>
      </c>
      <c r="W86">
        <f t="shared" si="12"/>
        <v>2880000</v>
      </c>
      <c r="X86">
        <f t="shared" si="13"/>
        <v>9124596838</v>
      </c>
      <c r="Y86">
        <f>IF(X86="",0,IF(COUNTIF($X$3:X86,X86)=1,1,0))</f>
        <v>1</v>
      </c>
      <c r="Z86">
        <f>IF(V86&lt;&gt;1,0,IF(X86="",0,IF(COUNTIF($X$3:X85,X86)&gt;0,1,0)))</f>
        <v>0</v>
      </c>
      <c r="AA86">
        <f t="shared" si="10"/>
        <v>2880000</v>
      </c>
      <c r="AB86">
        <f t="shared" si="11"/>
        <v>1</v>
      </c>
      <c r="AC86">
        <f>IF(I86="",0,L86*IFERROR(INDEX(کاتالوگ_محصولات!$G$4:$G$303,MATCH(I86,کاتالوگ_محصولات!$A$4:$A$303,0)),0))</f>
        <v>0</v>
      </c>
      <c r="AD86">
        <f t="shared" si="14"/>
        <v>2880000</v>
      </c>
      <c r="AE86" t="str">
        <f t="shared" si="15"/>
        <v>1405/07</v>
      </c>
    </row>
    <row r="87" spans="1:31" ht="18" customHeight="1">
      <c r="A87" s="161" t="s">
        <v>1357</v>
      </c>
      <c r="B87" s="161" t="s">
        <v>1301</v>
      </c>
      <c r="C87" s="162">
        <v>1</v>
      </c>
      <c r="D87" s="162" t="s">
        <v>1195</v>
      </c>
      <c r="E87" s="162" t="s">
        <v>1138</v>
      </c>
      <c r="F87" s="162" t="s">
        <v>5</v>
      </c>
      <c r="G87" s="162"/>
      <c r="H87" s="162" t="s">
        <v>7</v>
      </c>
      <c r="I87" s="163"/>
      <c r="J87" s="163" t="s">
        <v>1154</v>
      </c>
      <c r="K87" s="161" t="s">
        <v>1154</v>
      </c>
      <c r="L87" s="161">
        <v>1</v>
      </c>
      <c r="M87" s="164">
        <v>3850000</v>
      </c>
      <c r="N87" s="164">
        <v>0</v>
      </c>
      <c r="O87" s="195">
        <v>3850000</v>
      </c>
      <c r="P87" s="162" t="s">
        <v>1256</v>
      </c>
      <c r="Q87" s="162" t="s">
        <v>1358</v>
      </c>
      <c r="R87" s="162">
        <v>9120696926</v>
      </c>
      <c r="S87" s="162">
        <v>26</v>
      </c>
      <c r="T87" s="162" t="s">
        <v>195</v>
      </c>
      <c r="U87" s="162"/>
      <c r="V87">
        <f>IF(A87="",0,IF(COUNTIF($A$3:A87,A87)=1,1,0))</f>
        <v>1</v>
      </c>
      <c r="W87">
        <f t="shared" si="12"/>
        <v>3850000</v>
      </c>
      <c r="X87">
        <f t="shared" si="13"/>
        <v>9120696926</v>
      </c>
      <c r="Y87">
        <f>IF(X87="",0,IF(COUNTIF($X$3:X87,X87)=1,1,0))</f>
        <v>1</v>
      </c>
      <c r="Z87">
        <f>IF(V87&lt;&gt;1,0,IF(X87="",0,IF(COUNTIF($X$3:X86,X87)&gt;0,1,0)))</f>
        <v>0</v>
      </c>
      <c r="AA87">
        <f t="shared" si="10"/>
        <v>3850000</v>
      </c>
      <c r="AB87">
        <f t="shared" si="11"/>
        <v>1</v>
      </c>
      <c r="AC87">
        <f>IF(I87="",0,L87*IFERROR(INDEX(کاتالوگ_محصولات!$G$4:$G$303,MATCH(I87,کاتالوگ_محصولات!$A$4:$A$303,0)),0))</f>
        <v>0</v>
      </c>
      <c r="AD87">
        <f t="shared" si="14"/>
        <v>3850000</v>
      </c>
      <c r="AE87" t="str">
        <f t="shared" si="15"/>
        <v>1405/07</v>
      </c>
    </row>
    <row r="88" spans="1:31" ht="18" customHeight="1">
      <c r="A88" s="161" t="s">
        <v>1359</v>
      </c>
      <c r="B88" s="161" t="s">
        <v>1301</v>
      </c>
      <c r="C88" s="162">
        <v>1</v>
      </c>
      <c r="D88" s="162" t="s">
        <v>1195</v>
      </c>
      <c r="E88" s="162" t="s">
        <v>1138</v>
      </c>
      <c r="F88" s="162" t="s">
        <v>5</v>
      </c>
      <c r="G88" s="162"/>
      <c r="H88" s="162" t="s">
        <v>7</v>
      </c>
      <c r="I88" s="163"/>
      <c r="J88" s="163" t="s">
        <v>1360</v>
      </c>
      <c r="K88" s="161" t="s">
        <v>1360</v>
      </c>
      <c r="L88" s="161">
        <v>1</v>
      </c>
      <c r="M88" s="164">
        <v>2380000</v>
      </c>
      <c r="N88" s="164">
        <v>0</v>
      </c>
      <c r="O88" s="195">
        <v>2380000</v>
      </c>
      <c r="P88" s="162"/>
      <c r="Q88" s="162"/>
      <c r="R88" s="162"/>
      <c r="S88" s="162"/>
      <c r="T88" s="162"/>
      <c r="U88" s="162"/>
      <c r="V88">
        <f>IF(A88="",0,IF(COUNTIF($A$3:A88,A88)=1,1,0))</f>
        <v>1</v>
      </c>
      <c r="W88">
        <f t="shared" si="12"/>
        <v>2380000</v>
      </c>
      <c r="X88" t="str">
        <f t="shared" si="13"/>
        <v/>
      </c>
      <c r="Y88">
        <f>IF(X88="",0,IF(COUNTIF($X$3:X88,X88)=1,1,0))</f>
        <v>0</v>
      </c>
      <c r="Z88">
        <f>IF(V88&lt;&gt;1,0,IF(X88="",0,IF(COUNTIF($X$3:X87,X88)&gt;0,1,0)))</f>
        <v>0</v>
      </c>
      <c r="AA88">
        <f t="shared" si="10"/>
        <v>2380000</v>
      </c>
      <c r="AB88">
        <f t="shared" si="11"/>
        <v>1</v>
      </c>
      <c r="AC88">
        <f>IF(I88="",0,L88*IFERROR(INDEX(کاتالوگ_محصولات!$G$4:$G$303,MATCH(I88,کاتالوگ_محصولات!$A$4:$A$303,0)),0))</f>
        <v>0</v>
      </c>
      <c r="AD88">
        <f t="shared" si="14"/>
        <v>2380000</v>
      </c>
      <c r="AE88" t="str">
        <f t="shared" si="15"/>
        <v>1405/07</v>
      </c>
    </row>
    <row r="89" spans="1:31" ht="18" customHeight="1">
      <c r="A89" s="191" t="s">
        <v>1333</v>
      </c>
      <c r="B89" s="191" t="s">
        <v>1310</v>
      </c>
      <c r="C89" s="192">
        <v>1</v>
      </c>
      <c r="D89" s="192" t="s">
        <v>1195</v>
      </c>
      <c r="E89" s="192" t="s">
        <v>1138</v>
      </c>
      <c r="F89" s="192" t="s">
        <v>5</v>
      </c>
      <c r="G89" s="192"/>
      <c r="H89" s="192" t="s">
        <v>7</v>
      </c>
      <c r="I89" s="193"/>
      <c r="J89" s="193" t="s">
        <v>1334</v>
      </c>
      <c r="K89" s="191" t="s">
        <v>1334</v>
      </c>
      <c r="L89" s="191">
        <v>1</v>
      </c>
      <c r="M89" s="194">
        <v>1068000</v>
      </c>
      <c r="N89" s="194">
        <v>0</v>
      </c>
      <c r="O89" s="196">
        <v>1068000</v>
      </c>
      <c r="P89" s="192" t="s">
        <v>739</v>
      </c>
      <c r="Q89" s="192" t="s">
        <v>99</v>
      </c>
      <c r="R89" s="192"/>
      <c r="S89" s="192"/>
      <c r="T89" s="192"/>
      <c r="U89" s="212" t="s">
        <v>1363</v>
      </c>
      <c r="V89">
        <f>IF(A89="",0,IF(COUNTIF($A$3:A89,A89)=1,1,0))</f>
        <v>0</v>
      </c>
      <c r="W89">
        <f t="shared" si="12"/>
        <v>1068000</v>
      </c>
      <c r="X89" t="str">
        <f t="shared" si="13"/>
        <v>دریا|کریمی</v>
      </c>
      <c r="Y89">
        <f>IF(X89="",0,IF(COUNTIF($X$3:X89,X89)=1,1,0))</f>
        <v>1</v>
      </c>
      <c r="Z89">
        <f>IF(V89&lt;&gt;1,0,IF(X89="",0,IF(COUNTIF($X$3:X88,X89)&gt;0,1,0)))</f>
        <v>0</v>
      </c>
      <c r="AA89">
        <f t="shared" si="10"/>
        <v>0</v>
      </c>
      <c r="AB89">
        <f t="shared" si="11"/>
        <v>0</v>
      </c>
      <c r="AC89">
        <f>IF(I89="",0,L89*IFERROR(INDEX(کاتالوگ_محصولات!$G$4:$G$303,MATCH(I89,کاتالوگ_محصولات!$A$4:$A$303,0)),0))</f>
        <v>0</v>
      </c>
      <c r="AD89">
        <f t="shared" si="14"/>
        <v>1068000</v>
      </c>
      <c r="AE89" t="str">
        <f t="shared" si="15"/>
        <v>1405/07</v>
      </c>
    </row>
    <row r="90" spans="1:31" ht="18" customHeight="1">
      <c r="A90" s="161" t="s">
        <v>1361</v>
      </c>
      <c r="B90" s="161" t="s">
        <v>1304</v>
      </c>
      <c r="C90" s="162">
        <v>2</v>
      </c>
      <c r="D90" s="162" t="s">
        <v>1139</v>
      </c>
      <c r="E90" s="162" t="s">
        <v>1204</v>
      </c>
      <c r="F90" s="162" t="s">
        <v>1159</v>
      </c>
      <c r="G90" s="162" t="s">
        <v>258</v>
      </c>
      <c r="H90" s="162" t="s">
        <v>7</v>
      </c>
      <c r="I90" s="163"/>
      <c r="J90" s="163" t="s">
        <v>1366</v>
      </c>
      <c r="K90" s="161" t="s">
        <v>1366</v>
      </c>
      <c r="L90" s="161">
        <v>1</v>
      </c>
      <c r="M90" s="164">
        <v>2580000</v>
      </c>
      <c r="N90" s="164">
        <v>0</v>
      </c>
      <c r="O90" s="195">
        <v>2580000</v>
      </c>
      <c r="P90" s="162" t="s">
        <v>1367</v>
      </c>
      <c r="Q90" s="162" t="s">
        <v>1368</v>
      </c>
      <c r="R90" s="162">
        <v>9394020373</v>
      </c>
      <c r="S90" s="162"/>
      <c r="T90" s="162"/>
      <c r="U90" s="162"/>
      <c r="V90">
        <f>IF(A90="",0,IF(COUNTIF($A$3:A90,A90)=1,1,0))</f>
        <v>1</v>
      </c>
      <c r="W90">
        <f t="shared" si="12"/>
        <v>2580000</v>
      </c>
      <c r="X90">
        <f t="shared" si="13"/>
        <v>9394020373</v>
      </c>
      <c r="Y90">
        <f>IF(X90="",0,IF(COUNTIF($X$3:X90,X90)=1,1,0))</f>
        <v>1</v>
      </c>
      <c r="Z90">
        <f>IF(V90&lt;&gt;1,0,IF(X90="",0,IF(COUNTIF($X$3:X89,X90)&gt;0,1,0)))</f>
        <v>0</v>
      </c>
      <c r="AA90">
        <f t="shared" si="10"/>
        <v>7160000</v>
      </c>
      <c r="AB90">
        <f t="shared" si="11"/>
        <v>2</v>
      </c>
      <c r="AC90">
        <f>IF(I90="",0,L90*IFERROR(INDEX(کاتالوگ_محصولات!$G$4:$G$303,MATCH(I90,کاتالوگ_محصولات!$A$4:$A$303,0)),0))</f>
        <v>0</v>
      </c>
      <c r="AD90">
        <f t="shared" si="14"/>
        <v>2580000</v>
      </c>
      <c r="AE90" t="str">
        <f t="shared" si="15"/>
        <v>1405/07</v>
      </c>
    </row>
    <row r="91" spans="1:31" ht="18" customHeight="1">
      <c r="A91" s="161" t="s">
        <v>1361</v>
      </c>
      <c r="B91" s="161" t="s">
        <v>1304</v>
      </c>
      <c r="C91" s="162">
        <v>2</v>
      </c>
      <c r="D91" s="162" t="s">
        <v>1139</v>
      </c>
      <c r="E91" s="162" t="s">
        <v>1204</v>
      </c>
      <c r="F91" s="162" t="s">
        <v>1159</v>
      </c>
      <c r="G91" s="162" t="s">
        <v>258</v>
      </c>
      <c r="H91" s="162" t="s">
        <v>7</v>
      </c>
      <c r="I91" s="163"/>
      <c r="J91" s="163" t="s">
        <v>545</v>
      </c>
      <c r="K91" s="161" t="s">
        <v>545</v>
      </c>
      <c r="L91" s="161">
        <v>1</v>
      </c>
      <c r="M91" s="164">
        <v>4580000</v>
      </c>
      <c r="N91" s="164">
        <v>0</v>
      </c>
      <c r="O91" s="195">
        <v>4580000</v>
      </c>
      <c r="P91" s="162" t="s">
        <v>1367</v>
      </c>
      <c r="Q91" s="162" t="s">
        <v>1368</v>
      </c>
      <c r="R91" s="162">
        <v>9394020373</v>
      </c>
      <c r="S91" s="162"/>
      <c r="T91" s="162"/>
      <c r="U91" s="162"/>
      <c r="V91">
        <f>IF(A91="",0,IF(COUNTIF($A$3:A91,A91)=1,1,0))</f>
        <v>0</v>
      </c>
      <c r="W91">
        <f t="shared" si="12"/>
        <v>4580000</v>
      </c>
      <c r="X91">
        <f t="shared" si="13"/>
        <v>9394020373</v>
      </c>
      <c r="Y91">
        <f>IF(X91="",0,IF(COUNTIF($X$3:X91,X91)=1,1,0))</f>
        <v>0</v>
      </c>
      <c r="Z91">
        <f>IF(V91&lt;&gt;1,0,IF(X91="",0,IF(COUNTIF($X$3:X90,X91)&gt;0,1,0)))</f>
        <v>0</v>
      </c>
      <c r="AA91">
        <f t="shared" si="10"/>
        <v>0</v>
      </c>
      <c r="AB91">
        <f t="shared" si="11"/>
        <v>0</v>
      </c>
      <c r="AC91">
        <f>IF(I91="",0,L91*IFERROR(INDEX(کاتالوگ_محصولات!$G$4:$G$303,MATCH(I91,کاتالوگ_محصولات!$A$4:$A$303,0)),0))</f>
        <v>0</v>
      </c>
      <c r="AD91">
        <f t="shared" si="14"/>
        <v>4580000</v>
      </c>
      <c r="AE91" t="str">
        <f t="shared" si="15"/>
        <v>1405/07</v>
      </c>
    </row>
    <row r="92" spans="1:31" ht="18" customHeight="1">
      <c r="A92" s="191" t="s">
        <v>1369</v>
      </c>
      <c r="B92" s="191" t="s">
        <v>1305</v>
      </c>
      <c r="C92" s="192">
        <v>1</v>
      </c>
      <c r="D92" s="192" t="s">
        <v>1195</v>
      </c>
      <c r="E92" s="192" t="s">
        <v>1138</v>
      </c>
      <c r="F92" s="192" t="s">
        <v>5</v>
      </c>
      <c r="G92" s="192" t="s">
        <v>1288</v>
      </c>
      <c r="H92" s="192" t="s">
        <v>7</v>
      </c>
      <c r="I92" s="193"/>
      <c r="J92" s="193" t="s">
        <v>1371</v>
      </c>
      <c r="K92" s="191" t="s">
        <v>1371</v>
      </c>
      <c r="L92" s="191">
        <v>1</v>
      </c>
      <c r="M92" s="194">
        <v>2980000</v>
      </c>
      <c r="N92" s="194">
        <v>280000</v>
      </c>
      <c r="O92" s="196">
        <v>2700000</v>
      </c>
      <c r="P92" s="192" t="s">
        <v>1210</v>
      </c>
      <c r="Q92" s="192" t="s">
        <v>1370</v>
      </c>
      <c r="R92" s="192">
        <v>9122197262</v>
      </c>
      <c r="S92" s="192">
        <v>18</v>
      </c>
      <c r="T92" s="192">
        <v>10</v>
      </c>
      <c r="U92" s="192"/>
      <c r="V92">
        <f>IF(A92="",0,IF(COUNTIF($A$3:A92,A92)=1,1,0))</f>
        <v>1</v>
      </c>
      <c r="W92">
        <f t="shared" si="12"/>
        <v>2980000</v>
      </c>
      <c r="X92">
        <f t="shared" si="13"/>
        <v>9122197262</v>
      </c>
      <c r="Y92">
        <f>IF(X92="",0,IF(COUNTIF($X$3:X92,X92)=1,1,0))</f>
        <v>1</v>
      </c>
      <c r="Z92">
        <f>IF(V92&lt;&gt;1,0,IF(X92="",0,IF(COUNTIF($X$3:X91,X92)&gt;0,1,0)))</f>
        <v>0</v>
      </c>
      <c r="AA92">
        <f t="shared" si="10"/>
        <v>2700000</v>
      </c>
      <c r="AB92">
        <f t="shared" si="11"/>
        <v>1</v>
      </c>
      <c r="AC92">
        <f>IF(I92="",0,L92*IFERROR(INDEX(کاتالوگ_محصولات!$G$4:$G$303,MATCH(I92,کاتالوگ_محصولات!$A$4:$A$303,0)),0))</f>
        <v>0</v>
      </c>
      <c r="AD92">
        <f t="shared" si="14"/>
        <v>2700000</v>
      </c>
      <c r="AE92" t="str">
        <f t="shared" si="15"/>
        <v>1405/07</v>
      </c>
    </row>
    <row r="93" spans="1:31" ht="18" customHeight="1">
      <c r="A93" s="191" t="s">
        <v>1372</v>
      </c>
      <c r="B93" s="191" t="s">
        <v>1305</v>
      </c>
      <c r="C93" s="192">
        <v>1</v>
      </c>
      <c r="D93" s="192" t="s">
        <v>1195</v>
      </c>
      <c r="E93" s="192" t="s">
        <v>1138</v>
      </c>
      <c r="F93" s="192" t="s">
        <v>1377</v>
      </c>
      <c r="G93" s="192" t="s">
        <v>258</v>
      </c>
      <c r="H93" s="192" t="s">
        <v>7</v>
      </c>
      <c r="I93" s="193"/>
      <c r="J93" s="193" t="s">
        <v>1375</v>
      </c>
      <c r="K93" s="191" t="s">
        <v>1375</v>
      </c>
      <c r="L93" s="191">
        <v>1</v>
      </c>
      <c r="M93" s="194">
        <v>1580000</v>
      </c>
      <c r="N93" s="194">
        <v>0</v>
      </c>
      <c r="O93" s="196">
        <v>1580000</v>
      </c>
      <c r="P93" s="192" t="s">
        <v>1373</v>
      </c>
      <c r="Q93" s="192" t="s">
        <v>1374</v>
      </c>
      <c r="R93" s="192">
        <v>9120656704</v>
      </c>
      <c r="S93" s="192">
        <v>13</v>
      </c>
      <c r="T93" s="192">
        <v>6</v>
      </c>
      <c r="U93" s="192"/>
      <c r="V93">
        <f>IF(A93="",0,IF(COUNTIF($A$3:A93,A93)=1,1,0))</f>
        <v>1</v>
      </c>
      <c r="W93">
        <f t="shared" si="12"/>
        <v>1580000</v>
      </c>
      <c r="X93">
        <f t="shared" si="13"/>
        <v>9120656704</v>
      </c>
      <c r="Y93">
        <f>IF(X93="",0,IF(COUNTIF($X$3:X93,X93)=1,1,0))</f>
        <v>1</v>
      </c>
      <c r="Z93">
        <f>IF(V93&lt;&gt;1,0,IF(X93="",0,IF(COUNTIF($X$3:X92,X93)&gt;0,1,0)))</f>
        <v>0</v>
      </c>
      <c r="AA93">
        <f t="shared" si="10"/>
        <v>5300000</v>
      </c>
      <c r="AB93">
        <f t="shared" si="11"/>
        <v>3</v>
      </c>
      <c r="AC93">
        <f>IF(I93="",0,L93*IFERROR(INDEX(کاتالوگ_محصولات!$G$4:$G$303,MATCH(I93,کاتالوگ_محصولات!$A$4:$A$303,0)),0))</f>
        <v>0</v>
      </c>
      <c r="AD93">
        <f t="shared" si="14"/>
        <v>1580000</v>
      </c>
      <c r="AE93" t="str">
        <f t="shared" si="15"/>
        <v>1405/07</v>
      </c>
    </row>
    <row r="94" spans="1:31" ht="18" customHeight="1">
      <c r="A94" s="191" t="s">
        <v>1372</v>
      </c>
      <c r="B94" s="191" t="s">
        <v>1305</v>
      </c>
      <c r="C94" s="192">
        <v>1</v>
      </c>
      <c r="D94" s="192" t="s">
        <v>1195</v>
      </c>
      <c r="E94" s="192" t="s">
        <v>1138</v>
      </c>
      <c r="F94" s="192" t="s">
        <v>1377</v>
      </c>
      <c r="G94" s="192" t="s">
        <v>258</v>
      </c>
      <c r="H94" s="192" t="s">
        <v>7</v>
      </c>
      <c r="I94" s="193"/>
      <c r="J94" s="193" t="s">
        <v>1376</v>
      </c>
      <c r="K94" s="191" t="s">
        <v>1376</v>
      </c>
      <c r="L94" s="191">
        <v>1</v>
      </c>
      <c r="M94" s="194">
        <v>928000</v>
      </c>
      <c r="N94" s="194">
        <v>0</v>
      </c>
      <c r="O94" s="196">
        <v>928000</v>
      </c>
      <c r="P94" s="192" t="s">
        <v>1373</v>
      </c>
      <c r="Q94" s="192" t="s">
        <v>1374</v>
      </c>
      <c r="R94" s="192">
        <v>9120656704</v>
      </c>
      <c r="S94" s="192">
        <v>13</v>
      </c>
      <c r="T94" s="192">
        <v>6</v>
      </c>
      <c r="U94" s="192"/>
      <c r="V94">
        <f>IF(A94="",0,IF(COUNTIF($A$3:A94,A94)=1,1,0))</f>
        <v>0</v>
      </c>
      <c r="W94">
        <f t="shared" si="12"/>
        <v>928000</v>
      </c>
      <c r="X94">
        <f t="shared" si="13"/>
        <v>9120656704</v>
      </c>
      <c r="Y94">
        <f>IF(X94="",0,IF(COUNTIF($X$3:X94,X94)=1,1,0))</f>
        <v>0</v>
      </c>
      <c r="Z94">
        <f>IF(V94&lt;&gt;1,0,IF(X94="",0,IF(COUNTIF($X$3:X93,X94)&gt;0,1,0)))</f>
        <v>0</v>
      </c>
      <c r="AA94">
        <f t="shared" si="10"/>
        <v>0</v>
      </c>
      <c r="AB94">
        <f t="shared" si="11"/>
        <v>0</v>
      </c>
      <c r="AC94">
        <f>IF(I94="",0,L94*IFERROR(INDEX(کاتالوگ_محصولات!$G$4:$G$303,MATCH(I94,کاتالوگ_محصولات!$A$4:$A$303,0)),0))</f>
        <v>0</v>
      </c>
      <c r="AD94">
        <f t="shared" si="14"/>
        <v>928000</v>
      </c>
      <c r="AE94" t="str">
        <f t="shared" si="15"/>
        <v>1405/07</v>
      </c>
    </row>
    <row r="95" spans="1:31" ht="18" customHeight="1">
      <c r="A95" s="191" t="s">
        <v>1372</v>
      </c>
      <c r="B95" s="191" t="s">
        <v>1305</v>
      </c>
      <c r="C95" s="192">
        <v>1</v>
      </c>
      <c r="D95" s="192" t="s">
        <v>1195</v>
      </c>
      <c r="E95" s="192" t="s">
        <v>1138</v>
      </c>
      <c r="F95" s="192" t="s">
        <v>1377</v>
      </c>
      <c r="G95" s="192" t="s">
        <v>258</v>
      </c>
      <c r="H95" s="192" t="s">
        <v>7</v>
      </c>
      <c r="I95" s="193"/>
      <c r="J95" s="193" t="s">
        <v>1379</v>
      </c>
      <c r="K95" s="191" t="s">
        <v>1379</v>
      </c>
      <c r="L95" s="191">
        <v>1</v>
      </c>
      <c r="M95" s="194">
        <v>2880000</v>
      </c>
      <c r="N95" s="194">
        <v>88000</v>
      </c>
      <c r="O95" s="196">
        <v>2792000</v>
      </c>
      <c r="P95" s="192" t="s">
        <v>1373</v>
      </c>
      <c r="Q95" s="192" t="s">
        <v>1374</v>
      </c>
      <c r="R95" s="192">
        <v>9120656704</v>
      </c>
      <c r="S95" s="192">
        <v>13</v>
      </c>
      <c r="T95" s="192">
        <v>6</v>
      </c>
      <c r="U95" s="192"/>
      <c r="V95">
        <f>IF(A95="",0,IF(COUNTIF($A$3:A95,A95)=1,1,0))</f>
        <v>0</v>
      </c>
      <c r="W95">
        <f t="shared" si="12"/>
        <v>2880000</v>
      </c>
      <c r="X95">
        <f t="shared" si="13"/>
        <v>9120656704</v>
      </c>
      <c r="Y95">
        <f>IF(X95="",0,IF(COUNTIF($X$3:X95,X95)=1,1,0))</f>
        <v>0</v>
      </c>
      <c r="Z95">
        <f>IF(V95&lt;&gt;1,0,IF(X95="",0,IF(COUNTIF($X$3:X94,X95)&gt;0,1,0)))</f>
        <v>0</v>
      </c>
      <c r="AA95">
        <f t="shared" si="10"/>
        <v>0</v>
      </c>
      <c r="AB95">
        <f t="shared" si="11"/>
        <v>0</v>
      </c>
      <c r="AC95">
        <f>IF(I95="",0,L95*IFERROR(INDEX(کاتالوگ_محصولات!$G$4:$G$303,MATCH(I95,کاتالوگ_محصولات!$A$4:$A$303,0)),0))</f>
        <v>0</v>
      </c>
      <c r="AD95">
        <f t="shared" si="14"/>
        <v>2792000</v>
      </c>
      <c r="AE95" t="str">
        <f t="shared" si="15"/>
        <v>1405/07</v>
      </c>
    </row>
    <row r="96" spans="1:31" ht="18" customHeight="1">
      <c r="A96" s="161" t="s">
        <v>1378</v>
      </c>
      <c r="B96" s="161" t="s">
        <v>1365</v>
      </c>
      <c r="C96" s="162">
        <v>1</v>
      </c>
      <c r="D96" s="162" t="s">
        <v>1195</v>
      </c>
      <c r="E96" s="162" t="s">
        <v>1204</v>
      </c>
      <c r="F96" s="162" t="s">
        <v>5</v>
      </c>
      <c r="G96" s="162" t="s">
        <v>1383</v>
      </c>
      <c r="H96" s="162" t="s">
        <v>7</v>
      </c>
      <c r="I96" s="163"/>
      <c r="J96" s="163" t="s">
        <v>1381</v>
      </c>
      <c r="K96" s="161" t="s">
        <v>1381</v>
      </c>
      <c r="L96" s="161">
        <v>1</v>
      </c>
      <c r="M96" s="164">
        <v>4850000</v>
      </c>
      <c r="N96" s="164">
        <v>0</v>
      </c>
      <c r="O96" s="195">
        <v>4850000</v>
      </c>
      <c r="P96" s="162"/>
      <c r="Q96" s="162" t="s">
        <v>1384</v>
      </c>
      <c r="R96" s="162">
        <v>9183369136</v>
      </c>
      <c r="S96" s="162">
        <v>23</v>
      </c>
      <c r="T96" s="162">
        <v>9</v>
      </c>
      <c r="U96" s="267" t="s">
        <v>1387</v>
      </c>
      <c r="V96">
        <f>IF(A96="",0,IF(COUNTIF($A$3:A96,A96)=1,1,0))</f>
        <v>1</v>
      </c>
      <c r="W96">
        <f t="shared" si="12"/>
        <v>4850000</v>
      </c>
      <c r="X96">
        <f t="shared" si="13"/>
        <v>9183369136</v>
      </c>
      <c r="Y96">
        <f>IF(X96="",0,IF(COUNTIF($X$3:X96,X96)=1,1,0))</f>
        <v>1</v>
      </c>
      <c r="Z96">
        <f>IF(V96&lt;&gt;1,0,IF(X96="",0,IF(COUNTIF($X$3:X95,X96)&gt;0,1,0)))</f>
        <v>0</v>
      </c>
      <c r="AA96">
        <f t="shared" si="10"/>
        <v>23070000</v>
      </c>
      <c r="AB96">
        <f t="shared" si="11"/>
        <v>5</v>
      </c>
      <c r="AC96">
        <f>IF(I96="",0,L96*IFERROR(INDEX(کاتالوگ_محصولات!$G$4:$G$303,MATCH(I96,کاتالوگ_محصولات!$A$4:$A$303,0)),0))</f>
        <v>0</v>
      </c>
      <c r="AD96">
        <f t="shared" si="14"/>
        <v>4850000</v>
      </c>
      <c r="AE96" t="str">
        <f t="shared" si="15"/>
        <v>1405/07</v>
      </c>
    </row>
    <row r="97" spans="1:31" ht="18" customHeight="1">
      <c r="A97" s="161" t="s">
        <v>1378</v>
      </c>
      <c r="B97" s="161" t="s">
        <v>1365</v>
      </c>
      <c r="C97" s="162">
        <v>1</v>
      </c>
      <c r="D97" s="162" t="s">
        <v>1195</v>
      </c>
      <c r="E97" s="162" t="s">
        <v>1204</v>
      </c>
      <c r="F97" s="162" t="s">
        <v>5</v>
      </c>
      <c r="G97" s="162" t="s">
        <v>1383</v>
      </c>
      <c r="H97" s="162" t="s">
        <v>7</v>
      </c>
      <c r="I97" s="163"/>
      <c r="J97" s="163" t="s">
        <v>1380</v>
      </c>
      <c r="K97" s="161" t="s">
        <v>1380</v>
      </c>
      <c r="L97" s="161">
        <v>1</v>
      </c>
      <c r="M97" s="164">
        <v>4200000</v>
      </c>
      <c r="N97" s="164">
        <v>0</v>
      </c>
      <c r="O97" s="195">
        <v>4200000</v>
      </c>
      <c r="P97" s="162"/>
      <c r="Q97" s="162" t="s">
        <v>1384</v>
      </c>
      <c r="R97" s="162">
        <v>9183369136</v>
      </c>
      <c r="S97" s="162">
        <v>23</v>
      </c>
      <c r="T97" s="162">
        <v>9</v>
      </c>
      <c r="U97" s="267"/>
      <c r="V97">
        <f>IF(A97="",0,IF(COUNTIF($A$3:A97,A97)=1,1,0))</f>
        <v>0</v>
      </c>
      <c r="W97">
        <f t="shared" si="12"/>
        <v>4200000</v>
      </c>
      <c r="X97">
        <f t="shared" si="13"/>
        <v>9183369136</v>
      </c>
      <c r="Y97">
        <f>IF(X97="",0,IF(COUNTIF($X$3:X97,X97)=1,1,0))</f>
        <v>0</v>
      </c>
      <c r="Z97">
        <f>IF(V97&lt;&gt;1,0,IF(X97="",0,IF(COUNTIF($X$3:X96,X97)&gt;0,1,0)))</f>
        <v>0</v>
      </c>
      <c r="AA97">
        <f t="shared" si="10"/>
        <v>0</v>
      </c>
      <c r="AB97">
        <f t="shared" si="11"/>
        <v>0</v>
      </c>
      <c r="AC97">
        <f>IF(I97="",0,L97*IFERROR(INDEX(کاتالوگ_محصولات!$G$4:$G$303,MATCH(I97,کاتالوگ_محصولات!$A$4:$A$303,0)),0))</f>
        <v>0</v>
      </c>
      <c r="AD97">
        <f t="shared" si="14"/>
        <v>4200000</v>
      </c>
      <c r="AE97" t="str">
        <f t="shared" si="15"/>
        <v>1405/07</v>
      </c>
    </row>
    <row r="98" spans="1:31" ht="18" customHeight="1">
      <c r="A98" s="161" t="s">
        <v>1378</v>
      </c>
      <c r="B98" s="161" t="s">
        <v>1365</v>
      </c>
      <c r="C98" s="162">
        <v>1</v>
      </c>
      <c r="D98" s="162" t="s">
        <v>1195</v>
      </c>
      <c r="E98" s="162" t="s">
        <v>1204</v>
      </c>
      <c r="F98" s="162" t="s">
        <v>5</v>
      </c>
      <c r="G98" s="162" t="s">
        <v>1383</v>
      </c>
      <c r="H98" s="162" t="s">
        <v>7</v>
      </c>
      <c r="I98" s="163"/>
      <c r="J98" s="163" t="s">
        <v>1382</v>
      </c>
      <c r="K98" s="161" t="s">
        <v>1382</v>
      </c>
      <c r="L98" s="161">
        <v>1</v>
      </c>
      <c r="M98" s="164">
        <v>4280000</v>
      </c>
      <c r="N98" s="164">
        <v>0</v>
      </c>
      <c r="O98" s="195">
        <v>4280000</v>
      </c>
      <c r="P98" s="162"/>
      <c r="Q98" s="162" t="s">
        <v>1384</v>
      </c>
      <c r="R98" s="162">
        <v>9183369136</v>
      </c>
      <c r="S98" s="162">
        <v>23</v>
      </c>
      <c r="T98" s="162">
        <v>9</v>
      </c>
      <c r="U98" s="267"/>
      <c r="V98">
        <f>IF(A98="",0,IF(COUNTIF($A$3:A98,A98)=1,1,0))</f>
        <v>0</v>
      </c>
      <c r="W98">
        <f t="shared" si="12"/>
        <v>4280000</v>
      </c>
      <c r="X98">
        <f t="shared" si="13"/>
        <v>9183369136</v>
      </c>
      <c r="Y98">
        <f>IF(X98="",0,IF(COUNTIF($X$3:X98,X98)=1,1,0))</f>
        <v>0</v>
      </c>
      <c r="Z98">
        <f>IF(V98&lt;&gt;1,0,IF(X98="",0,IF(COUNTIF($X$3:X97,X98)&gt;0,1,0)))</f>
        <v>0</v>
      </c>
      <c r="AA98">
        <f t="shared" si="10"/>
        <v>0</v>
      </c>
      <c r="AB98">
        <f t="shared" si="11"/>
        <v>0</v>
      </c>
      <c r="AC98">
        <f>IF(I98="",0,L98*IFERROR(INDEX(کاتالوگ_محصولات!$G$4:$G$303,MATCH(I98,کاتالوگ_محصولات!$A$4:$A$303,0)),0))</f>
        <v>0</v>
      </c>
      <c r="AD98">
        <f t="shared" si="14"/>
        <v>4280000</v>
      </c>
      <c r="AE98" t="str">
        <f t="shared" si="15"/>
        <v>1405/07</v>
      </c>
    </row>
    <row r="99" spans="1:31" ht="18" customHeight="1">
      <c r="A99" s="161" t="s">
        <v>1378</v>
      </c>
      <c r="B99" s="161" t="s">
        <v>1365</v>
      </c>
      <c r="C99" s="162">
        <v>1</v>
      </c>
      <c r="D99" s="162" t="s">
        <v>1195</v>
      </c>
      <c r="E99" s="162" t="s">
        <v>1204</v>
      </c>
      <c r="F99" s="162" t="s">
        <v>5</v>
      </c>
      <c r="G99" s="162" t="s">
        <v>1383</v>
      </c>
      <c r="H99" s="162" t="s">
        <v>7</v>
      </c>
      <c r="I99" s="163"/>
      <c r="J99" s="163" t="s">
        <v>552</v>
      </c>
      <c r="K99" s="161" t="s">
        <v>552</v>
      </c>
      <c r="L99" s="161">
        <v>1</v>
      </c>
      <c r="M99" s="164">
        <v>3780000</v>
      </c>
      <c r="N99" s="164">
        <v>0</v>
      </c>
      <c r="O99" s="195">
        <v>3780000</v>
      </c>
      <c r="P99" s="162"/>
      <c r="Q99" s="162" t="s">
        <v>1384</v>
      </c>
      <c r="R99" s="162">
        <v>9183369136</v>
      </c>
      <c r="S99" s="162">
        <v>23</v>
      </c>
      <c r="T99" s="162">
        <v>9</v>
      </c>
      <c r="U99" s="267"/>
      <c r="V99">
        <f>IF(A99="",0,IF(COUNTIF($A$3:A99,A99)=1,1,0))</f>
        <v>0</v>
      </c>
      <c r="W99">
        <f t="shared" si="12"/>
        <v>3780000</v>
      </c>
      <c r="X99">
        <f t="shared" si="13"/>
        <v>9183369136</v>
      </c>
      <c r="Y99">
        <f>IF(X99="",0,IF(COUNTIF($X$3:X99,X99)=1,1,0))</f>
        <v>0</v>
      </c>
      <c r="Z99">
        <f>IF(V99&lt;&gt;1,0,IF(X99="",0,IF(COUNTIF($X$3:X98,X99)&gt;0,1,0)))</f>
        <v>0</v>
      </c>
      <c r="AA99">
        <f t="shared" si="10"/>
        <v>0</v>
      </c>
      <c r="AB99">
        <f t="shared" si="11"/>
        <v>0</v>
      </c>
      <c r="AC99">
        <f>IF(I99="",0,L99*IFERROR(INDEX(کاتالوگ_محصولات!$G$4:$G$303,MATCH(I99,کاتالوگ_محصولات!$A$4:$A$303,0)),0))</f>
        <v>0</v>
      </c>
      <c r="AD99">
        <f t="shared" si="14"/>
        <v>3780000</v>
      </c>
      <c r="AE99" t="str">
        <f t="shared" si="15"/>
        <v>1405/07</v>
      </c>
    </row>
    <row r="100" spans="1:31" ht="18" customHeight="1">
      <c r="A100" s="161" t="s">
        <v>1378</v>
      </c>
      <c r="B100" s="161" t="s">
        <v>1365</v>
      </c>
      <c r="C100" s="162">
        <v>1</v>
      </c>
      <c r="D100" s="162" t="s">
        <v>1195</v>
      </c>
      <c r="E100" s="162" t="s">
        <v>1204</v>
      </c>
      <c r="F100" s="162" t="s">
        <v>5</v>
      </c>
      <c r="G100" s="162" t="s">
        <v>1383</v>
      </c>
      <c r="H100" s="162" t="s">
        <v>7</v>
      </c>
      <c r="I100" s="163"/>
      <c r="J100" s="163" t="s">
        <v>1385</v>
      </c>
      <c r="K100" s="161" t="s">
        <v>1385</v>
      </c>
      <c r="L100" s="161">
        <v>1</v>
      </c>
      <c r="M100" s="164">
        <v>6780000</v>
      </c>
      <c r="N100" s="164">
        <v>820000</v>
      </c>
      <c r="O100" s="195">
        <v>5960000</v>
      </c>
      <c r="P100" s="162"/>
      <c r="Q100" s="162" t="s">
        <v>1384</v>
      </c>
      <c r="R100" s="162">
        <v>9183369136</v>
      </c>
      <c r="S100" s="162">
        <v>23</v>
      </c>
      <c r="T100" s="162">
        <v>9</v>
      </c>
      <c r="U100" s="267"/>
      <c r="V100">
        <f>IF(A100="",0,IF(COUNTIF($A$3:A100,A100)=1,1,0))</f>
        <v>0</v>
      </c>
      <c r="W100">
        <f t="shared" si="12"/>
        <v>6780000</v>
      </c>
      <c r="X100">
        <f t="shared" si="13"/>
        <v>9183369136</v>
      </c>
      <c r="Y100">
        <f>IF(X100="",0,IF(COUNTIF($X$3:X100,X100)=1,1,0))</f>
        <v>0</v>
      </c>
      <c r="Z100">
        <f>IF(V100&lt;&gt;1,0,IF(X100="",0,IF(COUNTIF($X$3:X99,X100)&gt;0,1,0)))</f>
        <v>0</v>
      </c>
      <c r="AA100">
        <f t="shared" si="10"/>
        <v>0</v>
      </c>
      <c r="AB100">
        <f t="shared" si="11"/>
        <v>0</v>
      </c>
      <c r="AC100">
        <f>IF(I100="",0,L100*IFERROR(INDEX(کاتالوگ_محصولات!$G$4:$G$303,MATCH(I100,کاتالوگ_محصولات!$A$4:$A$303,0)),0))</f>
        <v>0</v>
      </c>
      <c r="AD100">
        <f t="shared" si="14"/>
        <v>5960000</v>
      </c>
      <c r="AE100" t="str">
        <f t="shared" si="15"/>
        <v>1405/07</v>
      </c>
    </row>
    <row r="101" spans="1:31" ht="18" customHeight="1">
      <c r="A101" s="161" t="s">
        <v>1386</v>
      </c>
      <c r="B101" s="161" t="s">
        <v>1365</v>
      </c>
      <c r="C101" s="162">
        <v>2</v>
      </c>
      <c r="D101" s="162" t="s">
        <v>1139</v>
      </c>
      <c r="E101" s="162" t="s">
        <v>1138</v>
      </c>
      <c r="F101" s="162" t="s">
        <v>1159</v>
      </c>
      <c r="G101" s="162" t="s">
        <v>258</v>
      </c>
      <c r="H101" s="162" t="s">
        <v>7</v>
      </c>
      <c r="I101" s="163"/>
      <c r="J101" s="163" t="s">
        <v>646</v>
      </c>
      <c r="K101" s="161" t="s">
        <v>646</v>
      </c>
      <c r="L101" s="161">
        <v>1</v>
      </c>
      <c r="M101" s="164">
        <v>1180000</v>
      </c>
      <c r="N101" s="164">
        <v>0</v>
      </c>
      <c r="O101" s="195">
        <v>1180000</v>
      </c>
      <c r="P101" s="162" t="s">
        <v>1388</v>
      </c>
      <c r="Q101" s="162" t="s">
        <v>1389</v>
      </c>
      <c r="R101" s="162">
        <v>9387427135</v>
      </c>
      <c r="S101" s="162">
        <v>30</v>
      </c>
      <c r="T101" s="162">
        <v>2</v>
      </c>
      <c r="U101" s="162"/>
      <c r="V101">
        <f>IF(A101="",0,IF(COUNTIF($A$3:A101,A101)=1,1,0))</f>
        <v>1</v>
      </c>
      <c r="W101">
        <f t="shared" si="12"/>
        <v>1180000</v>
      </c>
      <c r="X101">
        <f t="shared" si="13"/>
        <v>9387427135</v>
      </c>
      <c r="Y101">
        <f>IF(X101="",0,IF(COUNTIF($X$3:X101,X101)=1,1,0))</f>
        <v>1</v>
      </c>
      <c r="Z101">
        <f>IF(V101&lt;&gt;1,0,IF(X101="",0,IF(COUNTIF($X$3:X100,X101)&gt;0,1,0)))</f>
        <v>0</v>
      </c>
      <c r="AA101">
        <f t="shared" si="10"/>
        <v>1180000</v>
      </c>
      <c r="AB101">
        <f t="shared" si="11"/>
        <v>1</v>
      </c>
      <c r="AC101">
        <f>IF(I101="",0,L101*IFERROR(INDEX(کاتالوگ_محصولات!$G$4:$G$303,MATCH(I101,کاتالوگ_محصولات!$A$4:$A$303,0)),0))</f>
        <v>0</v>
      </c>
      <c r="AD101">
        <f t="shared" si="14"/>
        <v>1180000</v>
      </c>
      <c r="AE101" t="str">
        <f t="shared" si="15"/>
        <v>1405/07</v>
      </c>
    </row>
    <row r="102" spans="1:31" ht="18" customHeight="1">
      <c r="A102" s="191" t="s">
        <v>1390</v>
      </c>
      <c r="B102" s="191" t="s">
        <v>1306</v>
      </c>
      <c r="C102" s="192">
        <v>1</v>
      </c>
      <c r="D102" s="192" t="s">
        <v>1195</v>
      </c>
      <c r="E102" s="192" t="s">
        <v>1131</v>
      </c>
      <c r="F102" s="192" t="s">
        <v>5</v>
      </c>
      <c r="G102" s="192" t="s">
        <v>258</v>
      </c>
      <c r="H102" s="192" t="s">
        <v>7</v>
      </c>
      <c r="I102" s="193"/>
      <c r="J102" s="193" t="s">
        <v>1392</v>
      </c>
      <c r="K102" s="191" t="s">
        <v>1392</v>
      </c>
      <c r="L102" s="191">
        <v>1</v>
      </c>
      <c r="M102" s="194">
        <v>3200000</v>
      </c>
      <c r="N102" s="194">
        <v>0</v>
      </c>
      <c r="O102" s="196">
        <v>3200000</v>
      </c>
      <c r="P102" s="192" t="s">
        <v>1393</v>
      </c>
      <c r="Q102" s="192" t="s">
        <v>1394</v>
      </c>
      <c r="R102" s="192">
        <v>9112557267</v>
      </c>
      <c r="S102" s="192">
        <v>25</v>
      </c>
      <c r="T102" s="192" t="s">
        <v>1395</v>
      </c>
      <c r="U102" s="192"/>
      <c r="V102">
        <f>IF(A102="",0,IF(COUNTIF($A$3:A102,A102)=1,1,0))</f>
        <v>1</v>
      </c>
      <c r="W102">
        <f t="shared" si="12"/>
        <v>3200000</v>
      </c>
      <c r="X102">
        <f t="shared" si="13"/>
        <v>9112557267</v>
      </c>
      <c r="Y102">
        <f>IF(X102="",0,IF(COUNTIF($X$3:X102,X102)=1,1,0))</f>
        <v>1</v>
      </c>
      <c r="Z102">
        <f>IF(V102&lt;&gt;1,0,IF(X102="",0,IF(COUNTIF($X$3:X101,X102)&gt;0,1,0)))</f>
        <v>0</v>
      </c>
      <c r="AA102">
        <f t="shared" si="10"/>
        <v>3200000</v>
      </c>
      <c r="AB102">
        <f t="shared" si="11"/>
        <v>1</v>
      </c>
      <c r="AC102">
        <f>IF(I102="",0,L102*IFERROR(INDEX(کاتالوگ_محصولات!$G$4:$G$303,MATCH(I102,کاتالوگ_محصولات!$A$4:$A$303,0)),0))</f>
        <v>0</v>
      </c>
      <c r="AD102">
        <f t="shared" si="14"/>
        <v>3200000</v>
      </c>
      <c r="AE102" t="str">
        <f t="shared" si="15"/>
        <v>1405/07</v>
      </c>
    </row>
    <row r="103" spans="1:31" ht="18" customHeight="1">
      <c r="A103" s="191" t="s">
        <v>1396</v>
      </c>
      <c r="B103" s="191" t="s">
        <v>1306</v>
      </c>
      <c r="C103" s="192">
        <v>1</v>
      </c>
      <c r="D103" s="192" t="s">
        <v>1195</v>
      </c>
      <c r="E103" s="192" t="s">
        <v>1346</v>
      </c>
      <c r="F103" s="192" t="s">
        <v>5</v>
      </c>
      <c r="G103" s="192" t="s">
        <v>258</v>
      </c>
      <c r="H103" s="192" t="s">
        <v>7</v>
      </c>
      <c r="I103" s="193"/>
      <c r="J103" s="193" t="s">
        <v>1400</v>
      </c>
      <c r="K103" s="191" t="s">
        <v>1400</v>
      </c>
      <c r="L103" s="191">
        <v>1</v>
      </c>
      <c r="M103" s="194">
        <v>4180000</v>
      </c>
      <c r="N103" s="194">
        <v>0</v>
      </c>
      <c r="O103" s="196">
        <v>4180000</v>
      </c>
      <c r="P103" s="192" t="s">
        <v>1210</v>
      </c>
      <c r="Q103" s="192" t="s">
        <v>1399</v>
      </c>
      <c r="R103" s="192">
        <v>9965196009</v>
      </c>
      <c r="S103" s="192">
        <v>4</v>
      </c>
      <c r="T103" s="192"/>
      <c r="U103" s="192"/>
      <c r="V103">
        <f>IF(A103="",0,IF(COUNTIF($A$3:A103,A103)=1,1,0))</f>
        <v>1</v>
      </c>
      <c r="W103">
        <f t="shared" si="12"/>
        <v>4180000</v>
      </c>
      <c r="X103">
        <f t="shared" si="13"/>
        <v>9965196009</v>
      </c>
      <c r="Y103">
        <f>IF(X103="",0,IF(COUNTIF($X$3:X103,X103)=1,1,0))</f>
        <v>1</v>
      </c>
      <c r="Z103">
        <f>IF(V103&lt;&gt;1,0,IF(X103="",0,IF(COUNTIF($X$3:X102,X103)&gt;0,1,0)))</f>
        <v>0</v>
      </c>
      <c r="AA103">
        <f t="shared" si="10"/>
        <v>4180000</v>
      </c>
      <c r="AB103">
        <f t="shared" si="11"/>
        <v>1</v>
      </c>
      <c r="AC103">
        <f>IF(I103="",0,L103*IFERROR(INDEX(کاتالوگ_محصولات!$G$4:$G$303,MATCH(I103,کاتالوگ_محصولات!$A$4:$A$303,0)),0))</f>
        <v>0</v>
      </c>
      <c r="AD103">
        <f t="shared" si="14"/>
        <v>4180000</v>
      </c>
      <c r="AE103" t="str">
        <f t="shared" si="15"/>
        <v>1405/07</v>
      </c>
    </row>
    <row r="104" spans="1:31" ht="18" customHeight="1">
      <c r="A104" s="191" t="s">
        <v>1401</v>
      </c>
      <c r="B104" s="191" t="s">
        <v>1306</v>
      </c>
      <c r="C104" s="192">
        <v>2</v>
      </c>
      <c r="D104" s="192" t="s">
        <v>1139</v>
      </c>
      <c r="E104" s="192" t="s">
        <v>1138</v>
      </c>
      <c r="F104" s="192" t="s">
        <v>5</v>
      </c>
      <c r="G104" s="192" t="s">
        <v>1265</v>
      </c>
      <c r="H104" s="192" t="s">
        <v>7</v>
      </c>
      <c r="I104" s="193"/>
      <c r="J104" s="193" t="s">
        <v>1402</v>
      </c>
      <c r="K104" s="191" t="s">
        <v>1402</v>
      </c>
      <c r="L104" s="191">
        <v>1</v>
      </c>
      <c r="M104" s="194">
        <v>3380000</v>
      </c>
      <c r="N104" s="194">
        <v>0</v>
      </c>
      <c r="O104" s="196">
        <v>3380000</v>
      </c>
      <c r="P104" s="192" t="s">
        <v>1403</v>
      </c>
      <c r="Q104" s="192" t="s">
        <v>1404</v>
      </c>
      <c r="R104" s="192">
        <v>9122971350</v>
      </c>
      <c r="S104" s="192"/>
      <c r="T104" s="192"/>
      <c r="U104" s="192"/>
      <c r="V104">
        <f>IF(A104="",0,IF(COUNTIF($A$3:A104,A104)=1,1,0))</f>
        <v>1</v>
      </c>
      <c r="W104">
        <f t="shared" si="12"/>
        <v>3380000</v>
      </c>
      <c r="X104">
        <f t="shared" si="13"/>
        <v>9122971350</v>
      </c>
      <c r="Y104">
        <f>IF(X104="",0,IF(COUNTIF($X$3:X104,X104)=1,1,0))</f>
        <v>1</v>
      </c>
      <c r="Z104">
        <f>IF(V104&lt;&gt;1,0,IF(X104="",0,IF(COUNTIF($X$3:X103,X104)&gt;0,1,0)))</f>
        <v>0</v>
      </c>
      <c r="AA104">
        <f t="shared" si="10"/>
        <v>3380000</v>
      </c>
      <c r="AB104">
        <f t="shared" si="11"/>
        <v>1</v>
      </c>
      <c r="AC104">
        <f>IF(I104="",0,L104*IFERROR(INDEX(کاتالوگ_محصولات!$G$4:$G$303,MATCH(I104,کاتالوگ_محصولات!$A$4:$A$303,0)),0))</f>
        <v>0</v>
      </c>
      <c r="AD104">
        <f t="shared" si="14"/>
        <v>3380000</v>
      </c>
      <c r="AE104" t="str">
        <f t="shared" si="15"/>
        <v>1405/07</v>
      </c>
    </row>
    <row r="105" spans="1:31" ht="18" customHeight="1">
      <c r="A105" s="191" t="s">
        <v>1405</v>
      </c>
      <c r="B105" s="191" t="s">
        <v>1306</v>
      </c>
      <c r="C105" s="192">
        <v>2</v>
      </c>
      <c r="D105" s="192" t="s">
        <v>1139</v>
      </c>
      <c r="E105" s="192" t="s">
        <v>1138</v>
      </c>
      <c r="F105" s="192" t="s">
        <v>5</v>
      </c>
      <c r="G105" s="192" t="s">
        <v>1207</v>
      </c>
      <c r="H105" s="192" t="s">
        <v>7</v>
      </c>
      <c r="I105" s="193"/>
      <c r="J105" s="193" t="s">
        <v>1406</v>
      </c>
      <c r="K105" s="191" t="s">
        <v>1406</v>
      </c>
      <c r="L105" s="191">
        <v>1</v>
      </c>
      <c r="M105" s="194">
        <v>2980000</v>
      </c>
      <c r="N105" s="194">
        <v>0</v>
      </c>
      <c r="O105" s="196">
        <v>2980000</v>
      </c>
      <c r="P105" s="192" t="s">
        <v>1403</v>
      </c>
      <c r="Q105" s="192" t="s">
        <v>1404</v>
      </c>
      <c r="R105" s="192">
        <v>9122971350</v>
      </c>
      <c r="S105" s="192"/>
      <c r="T105" s="192"/>
      <c r="U105" s="192"/>
      <c r="V105">
        <f>IF(A105="",0,IF(COUNTIF($A$3:A105,A105)=1,1,0))</f>
        <v>1</v>
      </c>
      <c r="W105">
        <f t="shared" si="12"/>
        <v>2980000</v>
      </c>
      <c r="X105">
        <f t="shared" si="13"/>
        <v>9122971350</v>
      </c>
      <c r="Y105">
        <f>IF(X105="",0,IF(COUNTIF($X$3:X105,X105)=1,1,0))</f>
        <v>0</v>
      </c>
      <c r="Z105">
        <f>IF(V105&lt;&gt;1,0,IF(X105="",0,IF(COUNTIF($X$3:X104,X105)&gt;0,1,0)))</f>
        <v>1</v>
      </c>
      <c r="AA105">
        <f t="shared" si="10"/>
        <v>2980000</v>
      </c>
      <c r="AB105">
        <f t="shared" si="11"/>
        <v>1</v>
      </c>
      <c r="AC105">
        <f>IF(I105="",0,L105*IFERROR(INDEX(کاتالوگ_محصولات!$G$4:$G$303,MATCH(I105,کاتالوگ_محصولات!$A$4:$A$303,0)),0))</f>
        <v>0</v>
      </c>
      <c r="AD105">
        <f t="shared" si="14"/>
        <v>2980000</v>
      </c>
      <c r="AE105" t="str">
        <f t="shared" si="15"/>
        <v>1405/07</v>
      </c>
    </row>
    <row r="106" spans="1:31" ht="18" customHeight="1">
      <c r="A106" s="191" t="s">
        <v>1407</v>
      </c>
      <c r="B106" s="191" t="s">
        <v>1306</v>
      </c>
      <c r="C106" s="192">
        <v>2</v>
      </c>
      <c r="D106" s="192" t="s">
        <v>1139</v>
      </c>
      <c r="E106" s="192" t="s">
        <v>1138</v>
      </c>
      <c r="F106" s="192" t="s">
        <v>1317</v>
      </c>
      <c r="G106" s="192" t="s">
        <v>1265</v>
      </c>
      <c r="H106" s="192" t="s">
        <v>7</v>
      </c>
      <c r="I106" s="193"/>
      <c r="J106" s="193" t="s">
        <v>1408</v>
      </c>
      <c r="K106" s="191" t="s">
        <v>1408</v>
      </c>
      <c r="L106" s="191">
        <v>1</v>
      </c>
      <c r="M106" s="194">
        <v>4250000</v>
      </c>
      <c r="N106" s="194">
        <v>0</v>
      </c>
      <c r="O106" s="196">
        <v>4250000</v>
      </c>
      <c r="P106" s="192" t="s">
        <v>1410</v>
      </c>
      <c r="Q106" s="192" t="s">
        <v>1411</v>
      </c>
      <c r="R106" s="192" t="s">
        <v>1412</v>
      </c>
      <c r="S106" s="192"/>
      <c r="T106" s="192"/>
      <c r="U106" s="192"/>
      <c r="V106">
        <f>IF(A106="",0,IF(COUNTIF($A$3:A106,A106)=1,1,0))</f>
        <v>1</v>
      </c>
      <c r="W106">
        <f t="shared" si="12"/>
        <v>4250000</v>
      </c>
      <c r="X106" t="str">
        <f t="shared" si="13"/>
        <v>0938206 2157</v>
      </c>
      <c r="Y106">
        <f>IF(X106="",0,IF(COUNTIF($X$3:X106,X106)=1,1,0))</f>
        <v>1</v>
      </c>
      <c r="Z106">
        <f>IF(V106&lt;&gt;1,0,IF(X106="",0,IF(COUNTIF($X$3:X105,X106)&gt;0,1,0)))</f>
        <v>0</v>
      </c>
      <c r="AA106">
        <f t="shared" si="10"/>
        <v>5630000</v>
      </c>
      <c r="AB106">
        <f t="shared" si="11"/>
        <v>2</v>
      </c>
      <c r="AC106">
        <f>IF(I106="",0,L106*IFERROR(INDEX(کاتالوگ_محصولات!$G$4:$G$303,MATCH(I106,کاتالوگ_محصولات!$A$4:$A$303,0)),0))</f>
        <v>0</v>
      </c>
      <c r="AD106">
        <f t="shared" si="14"/>
        <v>4250000</v>
      </c>
      <c r="AE106" t="str">
        <f t="shared" si="15"/>
        <v>1405/07</v>
      </c>
    </row>
    <row r="107" spans="1:31" ht="18" customHeight="1">
      <c r="A107" s="191" t="s">
        <v>1407</v>
      </c>
      <c r="B107" s="191" t="s">
        <v>1306</v>
      </c>
      <c r="C107" s="192">
        <v>2</v>
      </c>
      <c r="D107" s="192" t="s">
        <v>1139</v>
      </c>
      <c r="E107" s="192" t="s">
        <v>1138</v>
      </c>
      <c r="F107" s="192" t="s">
        <v>1317</v>
      </c>
      <c r="G107" s="192" t="s">
        <v>1265</v>
      </c>
      <c r="H107" s="192" t="s">
        <v>7</v>
      </c>
      <c r="I107" s="193"/>
      <c r="J107" s="193" t="s">
        <v>1409</v>
      </c>
      <c r="K107" s="191" t="s">
        <v>1409</v>
      </c>
      <c r="L107" s="191">
        <v>1</v>
      </c>
      <c r="M107" s="194">
        <v>1380000</v>
      </c>
      <c r="N107" s="194">
        <v>0</v>
      </c>
      <c r="O107" s="196">
        <v>1380000</v>
      </c>
      <c r="P107" s="192" t="s">
        <v>1410</v>
      </c>
      <c r="Q107" s="192" t="s">
        <v>1411</v>
      </c>
      <c r="R107" s="192" t="s">
        <v>1412</v>
      </c>
      <c r="S107" s="192"/>
      <c r="T107" s="192"/>
      <c r="U107" s="192"/>
      <c r="V107">
        <f>IF(A107="",0,IF(COUNTIF($A$3:A107,A107)=1,1,0))</f>
        <v>0</v>
      </c>
      <c r="W107">
        <f t="shared" si="12"/>
        <v>1380000</v>
      </c>
      <c r="X107" t="str">
        <f t="shared" si="13"/>
        <v>0938206 2157</v>
      </c>
      <c r="Y107">
        <f>IF(X107="",0,IF(COUNTIF($X$3:X107,X107)=1,1,0))</f>
        <v>0</v>
      </c>
      <c r="Z107">
        <f>IF(V107&lt;&gt;1,0,IF(X107="",0,IF(COUNTIF($X$3:X106,X107)&gt;0,1,0)))</f>
        <v>0</v>
      </c>
      <c r="AA107">
        <f t="shared" si="10"/>
        <v>0</v>
      </c>
      <c r="AB107">
        <f t="shared" si="11"/>
        <v>0</v>
      </c>
      <c r="AC107">
        <f>IF(I107="",0,L107*IFERROR(INDEX(کاتالوگ_محصولات!$G$4:$G$303,MATCH(I107,کاتالوگ_محصولات!$A$4:$A$303,0)),0))</f>
        <v>0</v>
      </c>
      <c r="AD107">
        <f t="shared" si="14"/>
        <v>1380000</v>
      </c>
      <c r="AE107" t="str">
        <f t="shared" si="15"/>
        <v>1405/07</v>
      </c>
    </row>
    <row r="108" spans="1:31" ht="18" customHeight="1">
      <c r="A108" s="191" t="s">
        <v>1413</v>
      </c>
      <c r="B108" s="191" t="s">
        <v>1306</v>
      </c>
      <c r="C108" s="192">
        <v>1</v>
      </c>
      <c r="D108" s="192" t="s">
        <v>1195</v>
      </c>
      <c r="E108" s="192" t="s">
        <v>1131</v>
      </c>
      <c r="F108" s="192" t="s">
        <v>1159</v>
      </c>
      <c r="G108" s="192" t="s">
        <v>258</v>
      </c>
      <c r="H108" s="192" t="s">
        <v>7</v>
      </c>
      <c r="I108" s="193"/>
      <c r="J108" s="193" t="s">
        <v>1414</v>
      </c>
      <c r="K108" s="191" t="s">
        <v>1414</v>
      </c>
      <c r="L108" s="191">
        <v>1</v>
      </c>
      <c r="M108" s="194">
        <v>2580000</v>
      </c>
      <c r="N108" s="194">
        <v>0</v>
      </c>
      <c r="O108" s="196">
        <v>2580000</v>
      </c>
      <c r="P108" s="192" t="s">
        <v>1210</v>
      </c>
      <c r="Q108" s="192" t="s">
        <v>1416</v>
      </c>
      <c r="R108" s="192">
        <v>9120722766</v>
      </c>
      <c r="S108" s="192">
        <v>4</v>
      </c>
      <c r="T108" s="192">
        <v>12</v>
      </c>
      <c r="U108" s="192"/>
      <c r="V108">
        <f>IF(A108="",0,IF(COUNTIF($A$3:A108,A108)=1,1,0))</f>
        <v>1</v>
      </c>
      <c r="W108">
        <f t="shared" si="12"/>
        <v>2580000</v>
      </c>
      <c r="X108">
        <f t="shared" si="13"/>
        <v>9120722766</v>
      </c>
      <c r="Y108">
        <f>IF(X108="",0,IF(COUNTIF($X$3:X108,X108)=1,1,0))</f>
        <v>1</v>
      </c>
      <c r="Z108">
        <f>IF(V108&lt;&gt;1,0,IF(X108="",0,IF(COUNTIF($X$3:X107,X108)&gt;0,1,0)))</f>
        <v>0</v>
      </c>
      <c r="AA108">
        <f t="shared" si="10"/>
        <v>6430000</v>
      </c>
      <c r="AB108">
        <f t="shared" si="11"/>
        <v>2</v>
      </c>
      <c r="AC108">
        <f>IF(I108="",0,L108*IFERROR(INDEX(کاتالوگ_محصولات!$G$4:$G$303,MATCH(I108,کاتالوگ_محصولات!$A$4:$A$303,0)),0))</f>
        <v>0</v>
      </c>
      <c r="AD108">
        <f t="shared" si="14"/>
        <v>2580000</v>
      </c>
      <c r="AE108" t="str">
        <f t="shared" si="15"/>
        <v>1405/07</v>
      </c>
    </row>
    <row r="109" spans="1:31" ht="18" customHeight="1">
      <c r="A109" s="191" t="s">
        <v>1413</v>
      </c>
      <c r="B109" s="191" t="s">
        <v>1306</v>
      </c>
      <c r="C109" s="192">
        <v>1</v>
      </c>
      <c r="D109" s="192" t="s">
        <v>1195</v>
      </c>
      <c r="E109" s="192" t="s">
        <v>1131</v>
      </c>
      <c r="F109" s="192" t="s">
        <v>1159</v>
      </c>
      <c r="G109" s="192" t="s">
        <v>258</v>
      </c>
      <c r="H109" s="192" t="s">
        <v>7</v>
      </c>
      <c r="I109" s="193"/>
      <c r="J109" s="193" t="s">
        <v>1154</v>
      </c>
      <c r="K109" s="191" t="s">
        <v>1154</v>
      </c>
      <c r="L109" s="191">
        <v>1</v>
      </c>
      <c r="M109" s="194">
        <v>3850000</v>
      </c>
      <c r="N109" s="194">
        <v>0</v>
      </c>
      <c r="O109" s="196">
        <v>3850000</v>
      </c>
      <c r="P109" s="192" t="s">
        <v>1210</v>
      </c>
      <c r="Q109" s="192" t="s">
        <v>1416</v>
      </c>
      <c r="R109" s="192">
        <v>9120722766</v>
      </c>
      <c r="S109" s="192">
        <v>4</v>
      </c>
      <c r="T109" s="192">
        <v>12</v>
      </c>
      <c r="U109" s="192"/>
      <c r="V109">
        <f>IF(A109="",0,IF(COUNTIF($A$3:A109,A109)=1,1,0))</f>
        <v>0</v>
      </c>
      <c r="W109">
        <f t="shared" si="12"/>
        <v>3850000</v>
      </c>
      <c r="X109">
        <f t="shared" si="13"/>
        <v>9120722766</v>
      </c>
      <c r="Y109">
        <f>IF(X109="",0,IF(COUNTIF($X$3:X109,X109)=1,1,0))</f>
        <v>0</v>
      </c>
      <c r="Z109">
        <f>IF(V109&lt;&gt;1,0,IF(X109="",0,IF(COUNTIF($X$3:X108,X109)&gt;0,1,0)))</f>
        <v>0</v>
      </c>
      <c r="AA109">
        <f t="shared" si="10"/>
        <v>0</v>
      </c>
      <c r="AB109">
        <f t="shared" si="11"/>
        <v>0</v>
      </c>
      <c r="AC109">
        <f>IF(I109="",0,L109*IFERROR(INDEX(کاتالوگ_محصولات!$G$4:$G$303,MATCH(I109,کاتالوگ_محصولات!$A$4:$A$303,0)),0))</f>
        <v>0</v>
      </c>
      <c r="AD109">
        <f t="shared" si="14"/>
        <v>3850000</v>
      </c>
      <c r="AE109" t="str">
        <f t="shared" si="15"/>
        <v>1405/07</v>
      </c>
    </row>
    <row r="110" spans="1:31" ht="18" customHeight="1">
      <c r="A110" s="191" t="s">
        <v>1417</v>
      </c>
      <c r="B110" s="191" t="s">
        <v>1306</v>
      </c>
      <c r="C110" s="192">
        <v>1</v>
      </c>
      <c r="D110" s="192" t="s">
        <v>1195</v>
      </c>
      <c r="E110" s="192" t="s">
        <v>1131</v>
      </c>
      <c r="F110" s="192" t="s">
        <v>1159</v>
      </c>
      <c r="G110" s="192"/>
      <c r="H110" s="192" t="s">
        <v>7</v>
      </c>
      <c r="I110" s="193"/>
      <c r="J110" s="193" t="s">
        <v>1414</v>
      </c>
      <c r="K110" s="191" t="s">
        <v>1414</v>
      </c>
      <c r="L110" s="191">
        <v>1</v>
      </c>
      <c r="M110" s="194">
        <v>2580000</v>
      </c>
      <c r="N110" s="194">
        <v>0</v>
      </c>
      <c r="O110" s="196">
        <v>2580000</v>
      </c>
      <c r="P110" s="192"/>
      <c r="Q110" s="192"/>
      <c r="R110" s="192"/>
      <c r="S110" s="192"/>
      <c r="T110" s="192"/>
      <c r="U110" s="192"/>
      <c r="V110">
        <f>IF(A110="",0,IF(COUNTIF($A$3:A110,A110)=1,1,0))</f>
        <v>1</v>
      </c>
      <c r="W110">
        <f t="shared" si="12"/>
        <v>2580000</v>
      </c>
      <c r="X110" t="str">
        <f t="shared" si="13"/>
        <v/>
      </c>
      <c r="Y110">
        <f>IF(X110="",0,IF(COUNTIF($X$3:X110,X110)=1,1,0))</f>
        <v>0</v>
      </c>
      <c r="Z110">
        <f>IF(V110&lt;&gt;1,0,IF(X110="",0,IF(COUNTIF($X$3:X109,X110)&gt;0,1,0)))</f>
        <v>0</v>
      </c>
      <c r="AA110">
        <f t="shared" si="10"/>
        <v>6430000</v>
      </c>
      <c r="AB110">
        <f t="shared" si="11"/>
        <v>2</v>
      </c>
      <c r="AC110">
        <f>IF(I110="",0,L110*IFERROR(INDEX(کاتالوگ_محصولات!$G$4:$G$303,MATCH(I110,کاتالوگ_محصولات!$A$4:$A$303,0)),0))</f>
        <v>0</v>
      </c>
      <c r="AD110">
        <f t="shared" si="14"/>
        <v>2580000</v>
      </c>
      <c r="AE110" t="str">
        <f t="shared" si="15"/>
        <v>1405/07</v>
      </c>
    </row>
    <row r="111" spans="1:31" ht="18" customHeight="1">
      <c r="A111" s="191" t="s">
        <v>1417</v>
      </c>
      <c r="B111" s="191" t="s">
        <v>1306</v>
      </c>
      <c r="C111" s="192">
        <v>1</v>
      </c>
      <c r="D111" s="192" t="s">
        <v>1195</v>
      </c>
      <c r="E111" s="192" t="s">
        <v>1131</v>
      </c>
      <c r="F111" s="192" t="s">
        <v>1159</v>
      </c>
      <c r="G111" s="192"/>
      <c r="H111" s="192" t="s">
        <v>7</v>
      </c>
      <c r="I111" s="193"/>
      <c r="J111" s="193" t="s">
        <v>1154</v>
      </c>
      <c r="K111" s="191" t="s">
        <v>1154</v>
      </c>
      <c r="L111" s="191">
        <v>1</v>
      </c>
      <c r="M111" s="194">
        <v>3850000</v>
      </c>
      <c r="N111" s="194">
        <v>0</v>
      </c>
      <c r="O111" s="196">
        <v>3850000</v>
      </c>
      <c r="P111" s="192"/>
      <c r="Q111" s="192"/>
      <c r="R111" s="192"/>
      <c r="S111" s="192"/>
      <c r="T111" s="192"/>
      <c r="U111" s="192"/>
      <c r="V111">
        <f>IF(A111="",0,IF(COUNTIF($A$3:A111,A111)=1,1,0))</f>
        <v>0</v>
      </c>
      <c r="W111">
        <f t="shared" si="12"/>
        <v>3850000</v>
      </c>
      <c r="X111" t="str">
        <f t="shared" si="13"/>
        <v/>
      </c>
      <c r="Y111">
        <f>IF(X111="",0,IF(COUNTIF($X$3:X111,X111)=1,1,0))</f>
        <v>0</v>
      </c>
      <c r="Z111">
        <f>IF(V111&lt;&gt;1,0,IF(X111="",0,IF(COUNTIF($X$3:X110,X111)&gt;0,1,0)))</f>
        <v>0</v>
      </c>
      <c r="AA111">
        <f t="shared" si="10"/>
        <v>0</v>
      </c>
      <c r="AB111">
        <f t="shared" si="11"/>
        <v>0</v>
      </c>
      <c r="AC111">
        <f>IF(I111="",0,L111*IFERROR(INDEX(کاتالوگ_محصولات!$G$4:$G$303,MATCH(I111,کاتالوگ_محصولات!$A$4:$A$303,0)),0))</f>
        <v>0</v>
      </c>
      <c r="AD111">
        <f t="shared" si="14"/>
        <v>3850000</v>
      </c>
      <c r="AE111" t="str">
        <f t="shared" si="15"/>
        <v>1405/07</v>
      </c>
    </row>
    <row r="112" spans="1:31" ht="18" customHeight="1">
      <c r="A112" s="191" t="s">
        <v>1418</v>
      </c>
      <c r="B112" s="191" t="s">
        <v>1306</v>
      </c>
      <c r="C112" s="192">
        <v>2</v>
      </c>
      <c r="D112" s="192" t="s">
        <v>1139</v>
      </c>
      <c r="E112" s="192" t="s">
        <v>1421</v>
      </c>
      <c r="F112" s="192" t="s">
        <v>5</v>
      </c>
      <c r="G112" s="192"/>
      <c r="H112" s="192" t="s">
        <v>7</v>
      </c>
      <c r="I112" s="193"/>
      <c r="J112" s="193" t="s">
        <v>1420</v>
      </c>
      <c r="K112" s="191" t="s">
        <v>1420</v>
      </c>
      <c r="L112" s="191">
        <v>1</v>
      </c>
      <c r="M112" s="194">
        <v>2350000</v>
      </c>
      <c r="N112" s="194">
        <v>0</v>
      </c>
      <c r="O112" s="196">
        <v>2350000</v>
      </c>
      <c r="P112" s="192" t="s">
        <v>1210</v>
      </c>
      <c r="Q112" s="192" t="s">
        <v>1419</v>
      </c>
      <c r="R112" s="192">
        <v>9166113371</v>
      </c>
      <c r="S112" s="192">
        <v>15</v>
      </c>
      <c r="T112" s="192">
        <v>1</v>
      </c>
      <c r="U112" s="192"/>
      <c r="V112">
        <f>IF(A112="",0,IF(COUNTIF($A$3:A112,A112)=1,1,0))</f>
        <v>1</v>
      </c>
      <c r="W112">
        <f t="shared" si="12"/>
        <v>2350000</v>
      </c>
      <c r="X112">
        <f t="shared" si="13"/>
        <v>9166113371</v>
      </c>
      <c r="Y112">
        <f>IF(X112="",0,IF(COUNTIF($X$3:X112,X112)=1,1,0))</f>
        <v>1</v>
      </c>
      <c r="Z112">
        <f>IF(V112&lt;&gt;1,0,IF(X112="",0,IF(COUNTIF($X$3:X111,X112)&gt;0,1,0)))</f>
        <v>0</v>
      </c>
      <c r="AA112">
        <f t="shared" si="10"/>
        <v>2350000</v>
      </c>
      <c r="AB112">
        <f t="shared" si="11"/>
        <v>1</v>
      </c>
      <c r="AC112">
        <f>IF(I112="",0,L112*IFERROR(INDEX(کاتالوگ_محصولات!$G$4:$G$303,MATCH(I112,کاتالوگ_محصولات!$A$4:$A$303,0)),0))</f>
        <v>0</v>
      </c>
      <c r="AD112">
        <f t="shared" si="14"/>
        <v>2350000</v>
      </c>
      <c r="AE112" t="str">
        <f t="shared" si="15"/>
        <v>1405/07</v>
      </c>
    </row>
    <row r="113" spans="1:31" ht="18" customHeight="1">
      <c r="A113" s="191" t="s">
        <v>1422</v>
      </c>
      <c r="B113" s="191" t="s">
        <v>1306</v>
      </c>
      <c r="C113" s="192">
        <v>1</v>
      </c>
      <c r="D113" s="192" t="s">
        <v>1195</v>
      </c>
      <c r="E113" s="192" t="s">
        <v>1131</v>
      </c>
      <c r="F113" s="192" t="s">
        <v>5</v>
      </c>
      <c r="G113" s="192" t="s">
        <v>258</v>
      </c>
      <c r="H113" s="192" t="s">
        <v>7</v>
      </c>
      <c r="I113" s="193"/>
      <c r="J113" s="193" t="s">
        <v>1375</v>
      </c>
      <c r="K113" s="191" t="s">
        <v>1375</v>
      </c>
      <c r="L113" s="191">
        <v>1</v>
      </c>
      <c r="M113" s="194">
        <v>1580000</v>
      </c>
      <c r="N113" s="194">
        <v>0</v>
      </c>
      <c r="O113" s="196">
        <v>1580000</v>
      </c>
      <c r="P113" s="192" t="s">
        <v>1423</v>
      </c>
      <c r="Q113" s="192" t="s">
        <v>1424</v>
      </c>
      <c r="R113" s="192">
        <v>9121986131</v>
      </c>
      <c r="S113" s="192">
        <v>28</v>
      </c>
      <c r="T113" s="192" t="s">
        <v>1425</v>
      </c>
      <c r="U113" s="192"/>
      <c r="V113">
        <f>IF(A113="",0,IF(COUNTIF($A$3:A113,A113)=1,1,0))</f>
        <v>1</v>
      </c>
      <c r="W113">
        <f t="shared" si="12"/>
        <v>1580000</v>
      </c>
      <c r="X113">
        <f t="shared" si="13"/>
        <v>9121986131</v>
      </c>
      <c r="Y113">
        <f>IF(X113="",0,IF(COUNTIF($X$3:X113,X113)=1,1,0))</f>
        <v>1</v>
      </c>
      <c r="Z113">
        <f>IF(V113&lt;&gt;1,0,IF(X113="",0,IF(COUNTIF($X$3:X112,X113)&gt;0,1,0)))</f>
        <v>0</v>
      </c>
      <c r="AA113">
        <f t="shared" si="10"/>
        <v>1580000</v>
      </c>
      <c r="AB113">
        <f t="shared" si="11"/>
        <v>1</v>
      </c>
      <c r="AC113">
        <f>IF(I113="",0,L113*IFERROR(INDEX(کاتالوگ_محصولات!$G$4:$G$303,MATCH(I113,کاتالوگ_محصولات!$A$4:$A$303,0)),0))</f>
        <v>0</v>
      </c>
      <c r="AD113">
        <f t="shared" si="14"/>
        <v>1580000</v>
      </c>
      <c r="AE113" t="str">
        <f t="shared" si="15"/>
        <v>1405/07</v>
      </c>
    </row>
    <row r="114" spans="1:31" ht="18" customHeight="1">
      <c r="A114" s="191" t="s">
        <v>1426</v>
      </c>
      <c r="B114" s="191" t="s">
        <v>1306</v>
      </c>
      <c r="C114" s="192">
        <v>1</v>
      </c>
      <c r="D114" s="192" t="s">
        <v>1195</v>
      </c>
      <c r="E114" s="192" t="s">
        <v>1131</v>
      </c>
      <c r="F114" s="192" t="s">
        <v>5</v>
      </c>
      <c r="G114" s="192" t="s">
        <v>258</v>
      </c>
      <c r="H114" s="192" t="s">
        <v>7</v>
      </c>
      <c r="I114" s="193"/>
      <c r="J114" s="193" t="s">
        <v>1429</v>
      </c>
      <c r="K114" s="191" t="s">
        <v>1429</v>
      </c>
      <c r="L114" s="191">
        <v>1</v>
      </c>
      <c r="M114" s="194">
        <v>1780000</v>
      </c>
      <c r="N114" s="194">
        <v>0</v>
      </c>
      <c r="O114" s="196">
        <v>1780000</v>
      </c>
      <c r="P114" s="192" t="s">
        <v>1427</v>
      </c>
      <c r="Q114" s="192" t="s">
        <v>1428</v>
      </c>
      <c r="R114" s="192">
        <v>9035194013</v>
      </c>
      <c r="S114" s="192">
        <v>17</v>
      </c>
      <c r="T114" s="192">
        <v>3</v>
      </c>
      <c r="U114" s="192"/>
      <c r="V114">
        <f>IF(A114="",0,IF(COUNTIF($A$3:A114,A114)=1,1,0))</f>
        <v>1</v>
      </c>
      <c r="W114">
        <f t="shared" si="12"/>
        <v>1780000</v>
      </c>
      <c r="X114">
        <f t="shared" si="13"/>
        <v>9035194013</v>
      </c>
      <c r="Y114">
        <f>IF(X114="",0,IF(COUNTIF($X$3:X114,X114)=1,1,0))</f>
        <v>1</v>
      </c>
      <c r="Z114">
        <f>IF(V114&lt;&gt;1,0,IF(X114="",0,IF(COUNTIF($X$3:X113,X114)&gt;0,1,0)))</f>
        <v>0</v>
      </c>
      <c r="AA114">
        <f t="shared" si="10"/>
        <v>1780000</v>
      </c>
      <c r="AB114">
        <f t="shared" si="11"/>
        <v>1</v>
      </c>
      <c r="AC114">
        <f>IF(I114="",0,L114*IFERROR(INDEX(کاتالوگ_محصولات!$G$4:$G$303,MATCH(I114,کاتالوگ_محصولات!$A$4:$A$303,0)),0))</f>
        <v>0</v>
      </c>
      <c r="AD114">
        <f t="shared" si="14"/>
        <v>1780000</v>
      </c>
      <c r="AE114" t="str">
        <f t="shared" si="15"/>
        <v>1405/07</v>
      </c>
    </row>
    <row r="115" spans="1:31" ht="18" customHeight="1">
      <c r="A115" s="161" t="s">
        <v>1430</v>
      </c>
      <c r="B115" s="161" t="s">
        <v>1307</v>
      </c>
      <c r="C115" s="162">
        <v>2</v>
      </c>
      <c r="D115" s="162" t="s">
        <v>1139</v>
      </c>
      <c r="E115" s="162" t="s">
        <v>1131</v>
      </c>
      <c r="F115" s="162" t="s">
        <v>5</v>
      </c>
      <c r="G115" s="162" t="s">
        <v>258</v>
      </c>
      <c r="H115" s="162" t="s">
        <v>7</v>
      </c>
      <c r="I115" s="163"/>
      <c r="J115" s="163" t="s">
        <v>1375</v>
      </c>
      <c r="K115" s="161" t="s">
        <v>1375</v>
      </c>
      <c r="L115" s="161">
        <v>1</v>
      </c>
      <c r="M115" s="164">
        <v>1580000</v>
      </c>
      <c r="N115" s="164">
        <v>0</v>
      </c>
      <c r="O115" s="195">
        <v>1580000</v>
      </c>
      <c r="P115" s="162"/>
      <c r="Q115" s="162"/>
      <c r="R115" s="162"/>
      <c r="S115" s="162"/>
      <c r="T115" s="162"/>
      <c r="U115" s="162"/>
      <c r="V115">
        <f>IF(A115="",0,IF(COUNTIF($A$3:A115,A115)=1,1,0))</f>
        <v>1</v>
      </c>
      <c r="W115">
        <f t="shared" si="12"/>
        <v>1580000</v>
      </c>
      <c r="X115" t="str">
        <f t="shared" si="13"/>
        <v/>
      </c>
      <c r="Y115">
        <f>IF(X115="",0,IF(COUNTIF($X$3:X115,X115)=1,1,0))</f>
        <v>0</v>
      </c>
      <c r="Z115">
        <f>IF(V115&lt;&gt;1,0,IF(X115="",0,IF(COUNTIF($X$3:X114,X115)&gt;0,1,0)))</f>
        <v>0</v>
      </c>
      <c r="AA115">
        <f t="shared" si="10"/>
        <v>1580000</v>
      </c>
      <c r="AB115">
        <f t="shared" si="11"/>
        <v>1</v>
      </c>
      <c r="AC115">
        <f>IF(I115="",0,L115*IFERROR(INDEX(کاتالوگ_محصولات!$G$4:$G$303,MATCH(I115,کاتالوگ_محصولات!$A$4:$A$303,0)),0))</f>
        <v>0</v>
      </c>
      <c r="AD115">
        <f t="shared" si="14"/>
        <v>1580000</v>
      </c>
      <c r="AE115" t="str">
        <f t="shared" si="15"/>
        <v>1405/07</v>
      </c>
    </row>
    <row r="116" spans="1:31" ht="18" customHeight="1">
      <c r="A116" s="161" t="s">
        <v>1431</v>
      </c>
      <c r="B116" s="161" t="s">
        <v>1307</v>
      </c>
      <c r="C116" s="162">
        <v>2</v>
      </c>
      <c r="D116" s="162" t="s">
        <v>1139</v>
      </c>
      <c r="E116" s="162" t="s">
        <v>1131</v>
      </c>
      <c r="F116" s="162" t="s">
        <v>1159</v>
      </c>
      <c r="G116" s="162" t="s">
        <v>258</v>
      </c>
      <c r="H116" s="162" t="s">
        <v>7</v>
      </c>
      <c r="I116" s="163"/>
      <c r="J116" s="163" t="s">
        <v>1255</v>
      </c>
      <c r="K116" s="161" t="s">
        <v>1255</v>
      </c>
      <c r="L116" s="161">
        <v>1</v>
      </c>
      <c r="M116" s="164">
        <v>4250000</v>
      </c>
      <c r="N116" s="164">
        <v>0</v>
      </c>
      <c r="O116" s="195">
        <v>4250000</v>
      </c>
      <c r="P116" s="162" t="s">
        <v>1432</v>
      </c>
      <c r="Q116" s="162" t="s">
        <v>1433</v>
      </c>
      <c r="R116" s="162">
        <v>9112777010</v>
      </c>
      <c r="S116" s="162">
        <v>23</v>
      </c>
      <c r="T116" s="162">
        <v>2</v>
      </c>
      <c r="U116" s="162"/>
      <c r="V116">
        <f>IF(A116="",0,IF(COUNTIF($A$3:A116,A116)=1,1,0))</f>
        <v>1</v>
      </c>
      <c r="W116">
        <f t="shared" si="12"/>
        <v>4250000</v>
      </c>
      <c r="X116">
        <f t="shared" si="13"/>
        <v>9112777010</v>
      </c>
      <c r="Y116">
        <f>IF(X116="",0,IF(COUNTIF($X$3:X116,X116)=1,1,0))</f>
        <v>1</v>
      </c>
      <c r="Z116">
        <f>IF(V116&lt;&gt;1,0,IF(X116="",0,IF(COUNTIF($X$3:X115,X116)&gt;0,1,0)))</f>
        <v>0</v>
      </c>
      <c r="AA116">
        <f t="shared" si="10"/>
        <v>4250000</v>
      </c>
      <c r="AB116">
        <f t="shared" si="11"/>
        <v>1</v>
      </c>
      <c r="AC116">
        <f>IF(I116="",0,L116*IFERROR(INDEX(کاتالوگ_محصولات!$G$4:$G$303,MATCH(I116,کاتالوگ_محصولات!$A$4:$A$303,0)),0))</f>
        <v>0</v>
      </c>
      <c r="AD116">
        <f t="shared" si="14"/>
        <v>4250000</v>
      </c>
      <c r="AE116" t="str">
        <f t="shared" si="15"/>
        <v>1405/07</v>
      </c>
    </row>
    <row r="117" spans="1:31" ht="18" customHeight="1">
      <c r="A117" s="161" t="s">
        <v>1434</v>
      </c>
      <c r="B117" s="161" t="s">
        <v>1307</v>
      </c>
      <c r="C117" s="162">
        <v>2</v>
      </c>
      <c r="D117" s="162" t="s">
        <v>1139</v>
      </c>
      <c r="E117" s="162" t="s">
        <v>1131</v>
      </c>
      <c r="F117" s="162" t="s">
        <v>5</v>
      </c>
      <c r="G117" s="162" t="s">
        <v>258</v>
      </c>
      <c r="H117" s="162" t="s">
        <v>7</v>
      </c>
      <c r="I117" s="163"/>
      <c r="J117" s="163" t="s">
        <v>1435</v>
      </c>
      <c r="K117" s="161" t="s">
        <v>1435</v>
      </c>
      <c r="L117" s="161">
        <v>1</v>
      </c>
      <c r="M117" s="164">
        <v>6780000</v>
      </c>
      <c r="N117" s="164">
        <v>0</v>
      </c>
      <c r="O117" s="195">
        <v>6780000</v>
      </c>
      <c r="P117" s="162" t="s">
        <v>1436</v>
      </c>
      <c r="Q117" s="162" t="s">
        <v>1437</v>
      </c>
      <c r="R117" s="162">
        <v>9128948247</v>
      </c>
      <c r="S117" s="162"/>
      <c r="T117" s="162"/>
      <c r="U117" s="162"/>
      <c r="V117">
        <f>IF(A117="",0,IF(COUNTIF($A$3:A117,A117)=1,1,0))</f>
        <v>1</v>
      </c>
      <c r="W117">
        <f t="shared" si="12"/>
        <v>6780000</v>
      </c>
      <c r="X117">
        <f t="shared" si="13"/>
        <v>9128948247</v>
      </c>
      <c r="Y117">
        <f>IF(X117="",0,IF(COUNTIF($X$3:X117,X117)=1,1,0))</f>
        <v>1</v>
      </c>
      <c r="Z117">
        <f>IF(V117&lt;&gt;1,0,IF(X117="",0,IF(COUNTIF($X$3:X116,X117)&gt;0,1,0)))</f>
        <v>0</v>
      </c>
      <c r="AA117">
        <f t="shared" si="10"/>
        <v>6780000</v>
      </c>
      <c r="AB117">
        <f t="shared" si="11"/>
        <v>1</v>
      </c>
      <c r="AC117">
        <f>IF(I117="",0,L117*IFERROR(INDEX(کاتالوگ_محصولات!$G$4:$G$303,MATCH(I117,کاتالوگ_محصولات!$A$4:$A$303,0)),0))</f>
        <v>0</v>
      </c>
      <c r="AD117">
        <f t="shared" si="14"/>
        <v>6780000</v>
      </c>
      <c r="AE117" t="str">
        <f t="shared" si="15"/>
        <v>1405/07</v>
      </c>
    </row>
    <row r="118" spans="1:31" ht="18" customHeight="1">
      <c r="A118" s="161" t="s">
        <v>1438</v>
      </c>
      <c r="B118" s="161" t="s">
        <v>1307</v>
      </c>
      <c r="C118" s="162">
        <v>1</v>
      </c>
      <c r="D118" s="162" t="s">
        <v>1195</v>
      </c>
      <c r="E118" s="162" t="s">
        <v>1442</v>
      </c>
      <c r="F118" s="162" t="s">
        <v>5</v>
      </c>
      <c r="G118" s="162"/>
      <c r="H118" s="162" t="s">
        <v>7</v>
      </c>
      <c r="I118" s="163"/>
      <c r="J118" s="163" t="s">
        <v>1439</v>
      </c>
      <c r="K118" s="161" t="s">
        <v>1439</v>
      </c>
      <c r="L118" s="161">
        <v>1</v>
      </c>
      <c r="M118" s="164">
        <v>2580000</v>
      </c>
      <c r="N118" s="164">
        <v>0</v>
      </c>
      <c r="O118" s="195">
        <v>2580000</v>
      </c>
      <c r="P118" s="162" t="s">
        <v>1210</v>
      </c>
      <c r="Q118" s="162" t="s">
        <v>1440</v>
      </c>
      <c r="R118" s="162">
        <v>9903871382</v>
      </c>
      <c r="S118" s="162">
        <v>18</v>
      </c>
      <c r="T118" s="162">
        <v>1</v>
      </c>
      <c r="U118" s="162"/>
      <c r="V118">
        <f>IF(A118="",0,IF(COUNTIF($A$3:A118,A118)=1,1,0))</f>
        <v>1</v>
      </c>
      <c r="W118">
        <f t="shared" si="12"/>
        <v>2580000</v>
      </c>
      <c r="X118">
        <f t="shared" si="13"/>
        <v>9903871382</v>
      </c>
      <c r="Y118">
        <f>IF(X118="",0,IF(COUNTIF($X$3:X118,X118)=1,1,0))</f>
        <v>1</v>
      </c>
      <c r="Z118">
        <f>IF(V118&lt;&gt;1,0,IF(X118="",0,IF(COUNTIF($X$3:X117,X118)&gt;0,1,0)))</f>
        <v>0</v>
      </c>
      <c r="AA118">
        <f t="shared" si="10"/>
        <v>2580000</v>
      </c>
      <c r="AB118">
        <f t="shared" si="11"/>
        <v>1</v>
      </c>
      <c r="AC118">
        <f>IF(I118="",0,L118*IFERROR(INDEX(کاتالوگ_محصولات!$G$4:$G$303,MATCH(I118,کاتالوگ_محصولات!$A$4:$A$303,0)),0))</f>
        <v>0</v>
      </c>
      <c r="AD118">
        <f t="shared" si="14"/>
        <v>2580000</v>
      </c>
      <c r="AE118" t="str">
        <f t="shared" si="15"/>
        <v>1405/07</v>
      </c>
    </row>
    <row r="119" spans="1:31" ht="18" customHeight="1">
      <c r="A119" s="161" t="s">
        <v>1441</v>
      </c>
      <c r="B119" s="161" t="s">
        <v>1307</v>
      </c>
      <c r="C119" s="162">
        <v>1</v>
      </c>
      <c r="D119" s="162" t="s">
        <v>1195</v>
      </c>
      <c r="E119" s="162" t="s">
        <v>1138</v>
      </c>
      <c r="F119" s="162" t="s">
        <v>5</v>
      </c>
      <c r="G119" s="162"/>
      <c r="H119" s="162" t="s">
        <v>7</v>
      </c>
      <c r="I119" s="163"/>
      <c r="J119" s="163" t="s">
        <v>1154</v>
      </c>
      <c r="K119" s="161" t="s">
        <v>1154</v>
      </c>
      <c r="L119" s="161">
        <v>1</v>
      </c>
      <c r="M119" s="164">
        <v>3850000</v>
      </c>
      <c r="N119" s="164">
        <v>0</v>
      </c>
      <c r="O119" s="195">
        <v>3850000</v>
      </c>
      <c r="P119" s="162" t="s">
        <v>1210</v>
      </c>
      <c r="Q119" s="162" t="s">
        <v>1444</v>
      </c>
      <c r="R119" s="162">
        <v>9373053949</v>
      </c>
      <c r="S119" s="162">
        <v>19</v>
      </c>
      <c r="T119" s="162">
        <v>5</v>
      </c>
      <c r="U119" s="162"/>
      <c r="V119">
        <f>IF(A119="",0,IF(COUNTIF($A$3:A119,A119)=1,1,0))</f>
        <v>1</v>
      </c>
      <c r="W119">
        <f t="shared" si="12"/>
        <v>3850000</v>
      </c>
      <c r="X119">
        <f t="shared" si="13"/>
        <v>9373053949</v>
      </c>
      <c r="Y119">
        <f>IF(X119="",0,IF(COUNTIF($X$3:X119,X119)=1,1,0))</f>
        <v>1</v>
      </c>
      <c r="Z119">
        <f>IF(V119&lt;&gt;1,0,IF(X119="",0,IF(COUNTIF($X$3:X118,X119)&gt;0,1,0)))</f>
        <v>0</v>
      </c>
      <c r="AA119">
        <f t="shared" si="10"/>
        <v>6650000</v>
      </c>
      <c r="AB119">
        <f t="shared" si="11"/>
        <v>2</v>
      </c>
      <c r="AC119">
        <f>IF(I119="",0,L119*IFERROR(INDEX(کاتالوگ_محصولات!$G$4:$G$303,MATCH(I119,کاتالوگ_محصولات!$A$4:$A$303,0)),0))</f>
        <v>0</v>
      </c>
      <c r="AD119">
        <f t="shared" si="14"/>
        <v>3850000</v>
      </c>
      <c r="AE119" t="str">
        <f t="shared" si="15"/>
        <v>1405/07</v>
      </c>
    </row>
    <row r="120" spans="1:31" ht="18" customHeight="1">
      <c r="A120" s="161" t="s">
        <v>1441</v>
      </c>
      <c r="B120" s="161" t="s">
        <v>1307</v>
      </c>
      <c r="C120" s="162">
        <v>1</v>
      </c>
      <c r="D120" s="162" t="s">
        <v>1195</v>
      </c>
      <c r="E120" s="162" t="s">
        <v>1138</v>
      </c>
      <c r="F120" s="162" t="s">
        <v>5</v>
      </c>
      <c r="G120" s="162"/>
      <c r="H120" s="162" t="s">
        <v>7</v>
      </c>
      <c r="I120" s="163"/>
      <c r="J120" s="163" t="s">
        <v>1443</v>
      </c>
      <c r="K120" s="161" t="s">
        <v>1443</v>
      </c>
      <c r="L120" s="161">
        <v>1</v>
      </c>
      <c r="M120" s="164">
        <v>2800000</v>
      </c>
      <c r="N120" s="164">
        <v>0</v>
      </c>
      <c r="O120" s="195">
        <v>2800000</v>
      </c>
      <c r="P120" s="162" t="s">
        <v>1210</v>
      </c>
      <c r="Q120" s="162" t="s">
        <v>1444</v>
      </c>
      <c r="R120" s="162">
        <v>9373053949</v>
      </c>
      <c r="S120" s="162">
        <v>19</v>
      </c>
      <c r="T120" s="162">
        <v>5</v>
      </c>
      <c r="U120" s="162"/>
      <c r="V120">
        <f>IF(A120="",0,IF(COUNTIF($A$3:A120,A120)=1,1,0))</f>
        <v>0</v>
      </c>
      <c r="W120">
        <f t="shared" si="12"/>
        <v>2800000</v>
      </c>
      <c r="X120">
        <f t="shared" si="13"/>
        <v>9373053949</v>
      </c>
      <c r="Y120">
        <f>IF(X120="",0,IF(COUNTIF($X$3:X120,X120)=1,1,0))</f>
        <v>0</v>
      </c>
      <c r="Z120">
        <f>IF(V120&lt;&gt;1,0,IF(X120="",0,IF(COUNTIF($X$3:X119,X120)&gt;0,1,0)))</f>
        <v>0</v>
      </c>
      <c r="AA120">
        <f t="shared" si="10"/>
        <v>0</v>
      </c>
      <c r="AB120">
        <f t="shared" si="11"/>
        <v>0</v>
      </c>
      <c r="AC120">
        <f>IF(I120="",0,L120*IFERROR(INDEX(کاتالوگ_محصولات!$G$4:$G$303,MATCH(I120,کاتالوگ_محصولات!$A$4:$A$303,0)),0))</f>
        <v>0</v>
      </c>
      <c r="AD120">
        <f t="shared" si="14"/>
        <v>2800000</v>
      </c>
      <c r="AE120" t="str">
        <f t="shared" si="15"/>
        <v>1405/07</v>
      </c>
    </row>
    <row r="121" spans="1:31" ht="18" customHeight="1">
      <c r="A121" s="161" t="s">
        <v>1445</v>
      </c>
      <c r="B121" s="161" t="s">
        <v>1307</v>
      </c>
      <c r="C121" s="162">
        <v>2</v>
      </c>
      <c r="D121" s="162" t="s">
        <v>1139</v>
      </c>
      <c r="E121" s="162" t="s">
        <v>1131</v>
      </c>
      <c r="F121" s="162" t="s">
        <v>1159</v>
      </c>
      <c r="G121" s="162" t="s">
        <v>258</v>
      </c>
      <c r="H121" s="162" t="s">
        <v>7</v>
      </c>
      <c r="I121" s="163"/>
      <c r="J121" s="163" t="s">
        <v>1446</v>
      </c>
      <c r="K121" s="161" t="s">
        <v>1446</v>
      </c>
      <c r="L121" s="161">
        <v>1</v>
      </c>
      <c r="M121" s="164">
        <v>2880000</v>
      </c>
      <c r="N121" s="164">
        <v>0</v>
      </c>
      <c r="O121" s="195">
        <v>2880000</v>
      </c>
      <c r="P121" s="162" t="s">
        <v>1447</v>
      </c>
      <c r="Q121" s="162" t="s">
        <v>1448</v>
      </c>
      <c r="R121" s="162">
        <v>9124226976</v>
      </c>
      <c r="S121" s="162"/>
      <c r="T121" s="162"/>
      <c r="U121" s="162"/>
      <c r="V121">
        <f>IF(A121="",0,IF(COUNTIF($A$3:A121,A121)=1,1,0))</f>
        <v>1</v>
      </c>
      <c r="W121">
        <f t="shared" si="12"/>
        <v>2880000</v>
      </c>
      <c r="X121">
        <f t="shared" si="13"/>
        <v>9124226976</v>
      </c>
      <c r="Y121">
        <f>IF(X121="",0,IF(COUNTIF($X$3:X121,X121)=1,1,0))</f>
        <v>1</v>
      </c>
      <c r="Z121">
        <f>IF(V121&lt;&gt;1,0,IF(X121="",0,IF(COUNTIF($X$3:X120,X121)&gt;0,1,0)))</f>
        <v>0</v>
      </c>
      <c r="AA121">
        <f t="shared" si="10"/>
        <v>2880000</v>
      </c>
      <c r="AB121">
        <f t="shared" si="11"/>
        <v>1</v>
      </c>
      <c r="AC121">
        <f>IF(I121="",0,L121*IFERROR(INDEX(کاتالوگ_محصولات!$G$4:$G$303,MATCH(I121,کاتالوگ_محصولات!$A$4:$A$303,0)),0))</f>
        <v>0</v>
      </c>
      <c r="AD121">
        <f t="shared" si="14"/>
        <v>2880000</v>
      </c>
      <c r="AE121" t="str">
        <f t="shared" si="15"/>
        <v>1405/07</v>
      </c>
    </row>
    <row r="122" spans="1:31" ht="18" customHeight="1">
      <c r="A122" s="161" t="s">
        <v>1449</v>
      </c>
      <c r="B122" s="161" t="s">
        <v>1307</v>
      </c>
      <c r="C122" s="162">
        <v>1</v>
      </c>
      <c r="D122" s="162" t="s">
        <v>1195</v>
      </c>
      <c r="E122" s="162" t="s">
        <v>1421</v>
      </c>
      <c r="F122" s="162" t="s">
        <v>5</v>
      </c>
      <c r="G122" s="162"/>
      <c r="H122" s="162" t="s">
        <v>7</v>
      </c>
      <c r="I122" s="163"/>
      <c r="J122" s="163" t="s">
        <v>1451</v>
      </c>
      <c r="K122" s="161" t="s">
        <v>1451</v>
      </c>
      <c r="L122" s="161">
        <v>1</v>
      </c>
      <c r="M122" s="164">
        <v>3580000</v>
      </c>
      <c r="N122" s="164">
        <v>0</v>
      </c>
      <c r="O122" s="195">
        <v>3580000</v>
      </c>
      <c r="P122" s="162" t="s">
        <v>1210</v>
      </c>
      <c r="Q122" s="162" t="s">
        <v>1450</v>
      </c>
      <c r="R122" s="162">
        <v>9195644778</v>
      </c>
      <c r="S122" s="162">
        <v>10</v>
      </c>
      <c r="T122" s="162">
        <v>11</v>
      </c>
      <c r="U122" s="162"/>
      <c r="V122">
        <f>IF(A122="",0,IF(COUNTIF($A$3:A122,A122)=1,1,0))</f>
        <v>1</v>
      </c>
      <c r="W122">
        <f t="shared" si="12"/>
        <v>3580000</v>
      </c>
      <c r="X122">
        <f t="shared" si="13"/>
        <v>9195644778</v>
      </c>
      <c r="Y122">
        <f>IF(X122="",0,IF(COUNTIF($X$3:X122,X122)=1,1,0))</f>
        <v>1</v>
      </c>
      <c r="Z122">
        <f>IF(V122&lt;&gt;1,0,IF(X122="",0,IF(COUNTIF($X$3:X121,X122)&gt;0,1,0)))</f>
        <v>0</v>
      </c>
      <c r="AA122">
        <f t="shared" si="10"/>
        <v>3580000</v>
      </c>
      <c r="AB122">
        <f t="shared" si="11"/>
        <v>1</v>
      </c>
      <c r="AC122">
        <f>IF(I122="",0,L122*IFERROR(INDEX(کاتالوگ_محصولات!$G$4:$G$303,MATCH(I122,کاتالوگ_محصولات!$A$4:$A$303,0)),0))</f>
        <v>0</v>
      </c>
      <c r="AD122">
        <f t="shared" si="14"/>
        <v>3580000</v>
      </c>
      <c r="AE122" t="str">
        <f t="shared" si="15"/>
        <v>1405/07</v>
      </c>
    </row>
    <row r="123" spans="1:31" ht="18" customHeight="1">
      <c r="A123" s="161" t="s">
        <v>1452</v>
      </c>
      <c r="B123" s="161" t="s">
        <v>1307</v>
      </c>
      <c r="C123" s="162">
        <v>1</v>
      </c>
      <c r="D123" s="162" t="s">
        <v>1195</v>
      </c>
      <c r="E123" s="162" t="s">
        <v>1421</v>
      </c>
      <c r="F123" s="162" t="s">
        <v>5</v>
      </c>
      <c r="G123" s="162"/>
      <c r="H123" s="162" t="s">
        <v>7</v>
      </c>
      <c r="I123" s="163"/>
      <c r="J123" s="163" t="s">
        <v>1453</v>
      </c>
      <c r="K123" s="161" t="s">
        <v>1453</v>
      </c>
      <c r="L123" s="161">
        <v>1</v>
      </c>
      <c r="M123" s="164">
        <v>1680000</v>
      </c>
      <c r="N123" s="164">
        <v>0</v>
      </c>
      <c r="O123" s="195">
        <v>1680000</v>
      </c>
      <c r="P123" s="162" t="s">
        <v>1210</v>
      </c>
      <c r="Q123" s="162" t="s">
        <v>1455</v>
      </c>
      <c r="R123" s="162">
        <v>9123479275</v>
      </c>
      <c r="S123" s="162"/>
      <c r="T123" s="162"/>
      <c r="U123" s="162"/>
      <c r="V123">
        <f>IF(A123="",0,IF(COUNTIF($A$3:A123,A123)=1,1,0))</f>
        <v>1</v>
      </c>
      <c r="W123">
        <f t="shared" si="12"/>
        <v>1680000</v>
      </c>
      <c r="X123">
        <f t="shared" si="13"/>
        <v>9123479275</v>
      </c>
      <c r="Y123">
        <f>IF(X123="",0,IF(COUNTIF($X$3:X123,X123)=1,1,0))</f>
        <v>1</v>
      </c>
      <c r="Z123">
        <f>IF(V123&lt;&gt;1,0,IF(X123="",0,IF(COUNTIF($X$3:X122,X123)&gt;0,1,0)))</f>
        <v>0</v>
      </c>
      <c r="AA123">
        <f t="shared" si="10"/>
        <v>3788000</v>
      </c>
      <c r="AB123">
        <f t="shared" si="11"/>
        <v>3</v>
      </c>
      <c r="AC123">
        <f>IF(I123="",0,L123*IFERROR(INDEX(کاتالوگ_محصولات!$G$4:$G$303,MATCH(I123,کاتالوگ_محصولات!$A$4:$A$303,0)),0))</f>
        <v>0</v>
      </c>
      <c r="AD123">
        <f t="shared" si="14"/>
        <v>1680000</v>
      </c>
      <c r="AE123" t="str">
        <f t="shared" si="15"/>
        <v>1405/07</v>
      </c>
    </row>
    <row r="124" spans="1:31" ht="18" customHeight="1">
      <c r="A124" s="161" t="s">
        <v>1452</v>
      </c>
      <c r="B124" s="161" t="s">
        <v>1307</v>
      </c>
      <c r="C124" s="162">
        <v>1</v>
      </c>
      <c r="D124" s="162" t="s">
        <v>1195</v>
      </c>
      <c r="E124" s="162" t="s">
        <v>1421</v>
      </c>
      <c r="F124" s="162" t="s">
        <v>5</v>
      </c>
      <c r="G124" s="162"/>
      <c r="H124" s="162" t="s">
        <v>7</v>
      </c>
      <c r="I124" s="163"/>
      <c r="J124" s="163" t="s">
        <v>647</v>
      </c>
      <c r="K124" s="161" t="s">
        <v>647</v>
      </c>
      <c r="L124" s="161">
        <v>1</v>
      </c>
      <c r="M124" s="164">
        <v>1180000</v>
      </c>
      <c r="N124" s="164">
        <v>0</v>
      </c>
      <c r="O124" s="195">
        <v>1180000</v>
      </c>
      <c r="P124" s="162" t="s">
        <v>1210</v>
      </c>
      <c r="Q124" s="162" t="s">
        <v>1455</v>
      </c>
      <c r="R124" s="162">
        <v>9123479275</v>
      </c>
      <c r="S124" s="162"/>
      <c r="T124" s="162"/>
      <c r="U124" s="162"/>
      <c r="V124">
        <f>IF(A124="",0,IF(COUNTIF($A$3:A124,A124)=1,1,0))</f>
        <v>0</v>
      </c>
      <c r="W124">
        <f t="shared" si="12"/>
        <v>1180000</v>
      </c>
      <c r="X124">
        <f t="shared" si="13"/>
        <v>9123479275</v>
      </c>
      <c r="Y124">
        <f>IF(X124="",0,IF(COUNTIF($X$3:X124,X124)=1,1,0))</f>
        <v>0</v>
      </c>
      <c r="Z124">
        <f>IF(V124&lt;&gt;1,0,IF(X124="",0,IF(COUNTIF($X$3:X123,X124)&gt;0,1,0)))</f>
        <v>0</v>
      </c>
      <c r="AA124">
        <f t="shared" si="10"/>
        <v>0</v>
      </c>
      <c r="AB124">
        <f t="shared" si="11"/>
        <v>0</v>
      </c>
      <c r="AC124">
        <f>IF(I124="",0,L124*IFERROR(INDEX(کاتالوگ_محصولات!$G$4:$G$303,MATCH(I124,کاتالوگ_محصولات!$A$4:$A$303,0)),0))</f>
        <v>0</v>
      </c>
      <c r="AD124">
        <f t="shared" si="14"/>
        <v>1180000</v>
      </c>
      <c r="AE124" t="str">
        <f t="shared" si="15"/>
        <v>1405/07</v>
      </c>
    </row>
    <row r="125" spans="1:31" ht="18" customHeight="1">
      <c r="A125" s="161" t="s">
        <v>1452</v>
      </c>
      <c r="B125" s="161" t="s">
        <v>1307</v>
      </c>
      <c r="C125" s="162">
        <v>1</v>
      </c>
      <c r="D125" s="162" t="s">
        <v>1195</v>
      </c>
      <c r="E125" s="162" t="s">
        <v>1421</v>
      </c>
      <c r="F125" s="162" t="s">
        <v>5</v>
      </c>
      <c r="G125" s="162"/>
      <c r="H125" s="162" t="s">
        <v>7</v>
      </c>
      <c r="I125" s="163"/>
      <c r="J125" s="163" t="s">
        <v>1454</v>
      </c>
      <c r="K125" s="161" t="s">
        <v>1454</v>
      </c>
      <c r="L125" s="161">
        <v>1</v>
      </c>
      <c r="M125" s="164">
        <v>928000</v>
      </c>
      <c r="N125" s="164">
        <v>0</v>
      </c>
      <c r="O125" s="195">
        <v>928000</v>
      </c>
      <c r="P125" s="162" t="s">
        <v>1210</v>
      </c>
      <c r="Q125" s="162" t="s">
        <v>1455</v>
      </c>
      <c r="R125" s="162">
        <v>9123479275</v>
      </c>
      <c r="S125" s="162"/>
      <c r="T125" s="162"/>
      <c r="U125" s="162"/>
      <c r="V125">
        <f>IF(A125="",0,IF(COUNTIF($A$3:A125,A125)=1,1,0))</f>
        <v>0</v>
      </c>
      <c r="W125">
        <f t="shared" si="12"/>
        <v>928000</v>
      </c>
      <c r="X125">
        <f t="shared" si="13"/>
        <v>9123479275</v>
      </c>
      <c r="Y125">
        <f>IF(X125="",0,IF(COUNTIF($X$3:X125,X125)=1,1,0))</f>
        <v>0</v>
      </c>
      <c r="Z125">
        <f>IF(V125&lt;&gt;1,0,IF(X125="",0,IF(COUNTIF($X$3:X124,X125)&gt;0,1,0)))</f>
        <v>0</v>
      </c>
      <c r="AA125">
        <f t="shared" si="10"/>
        <v>0</v>
      </c>
      <c r="AB125">
        <f t="shared" si="11"/>
        <v>0</v>
      </c>
      <c r="AC125">
        <f>IF(I125="",0,L125*IFERROR(INDEX(کاتالوگ_محصولات!$G$4:$G$303,MATCH(I125,کاتالوگ_محصولات!$A$4:$A$303,0)),0))</f>
        <v>0</v>
      </c>
      <c r="AD125">
        <f t="shared" si="14"/>
        <v>928000</v>
      </c>
      <c r="AE125" t="str">
        <f t="shared" si="15"/>
        <v>1405/07</v>
      </c>
    </row>
    <row r="126" spans="1:31" ht="18" customHeight="1">
      <c r="A126" s="161" t="s">
        <v>1456</v>
      </c>
      <c r="B126" s="161" t="s">
        <v>1307</v>
      </c>
      <c r="C126" s="162">
        <v>1</v>
      </c>
      <c r="D126" s="162" t="s">
        <v>1195</v>
      </c>
      <c r="E126" s="162" t="s">
        <v>1364</v>
      </c>
      <c r="F126" s="162" t="s">
        <v>5</v>
      </c>
      <c r="G126" s="162"/>
      <c r="H126" s="162" t="s">
        <v>7</v>
      </c>
      <c r="I126" s="163"/>
      <c r="J126" s="163" t="s">
        <v>1457</v>
      </c>
      <c r="K126" s="161" t="s">
        <v>1457</v>
      </c>
      <c r="L126" s="161">
        <v>1</v>
      </c>
      <c r="M126" s="164">
        <v>3180000</v>
      </c>
      <c r="N126" s="164">
        <v>0</v>
      </c>
      <c r="O126" s="195">
        <v>3180000</v>
      </c>
      <c r="P126" s="162" t="s">
        <v>1210</v>
      </c>
      <c r="Q126" s="162" t="s">
        <v>1287</v>
      </c>
      <c r="R126" s="162">
        <v>9124384452</v>
      </c>
      <c r="S126" s="162">
        <v>8</v>
      </c>
      <c r="T126" s="162" t="s">
        <v>202</v>
      </c>
      <c r="U126" s="162"/>
      <c r="V126">
        <f>IF(A126="",0,IF(COUNTIF($A$3:A126,A126)=1,1,0))</f>
        <v>1</v>
      </c>
      <c r="W126">
        <f t="shared" si="12"/>
        <v>3180000</v>
      </c>
      <c r="X126">
        <f t="shared" si="13"/>
        <v>9124384452</v>
      </c>
      <c r="Y126">
        <f>IF(X126="",0,IF(COUNTIF($X$3:X126,X126)=1,1,0))</f>
        <v>1</v>
      </c>
      <c r="Z126">
        <f>IF(V126&lt;&gt;1,0,IF(X126="",0,IF(COUNTIF($X$3:X125,X126)&gt;0,1,0)))</f>
        <v>0</v>
      </c>
      <c r="AA126">
        <f t="shared" si="10"/>
        <v>6630000</v>
      </c>
      <c r="AB126">
        <f t="shared" si="11"/>
        <v>2</v>
      </c>
      <c r="AC126">
        <f>IF(I126="",0,L126*IFERROR(INDEX(کاتالوگ_محصولات!$G$4:$G$303,MATCH(I126,کاتالوگ_محصولات!$A$4:$A$303,0)),0))</f>
        <v>0</v>
      </c>
      <c r="AD126">
        <f t="shared" si="14"/>
        <v>3180000</v>
      </c>
      <c r="AE126" t="str">
        <f t="shared" si="15"/>
        <v>1405/07</v>
      </c>
    </row>
    <row r="127" spans="1:31" ht="18" customHeight="1">
      <c r="A127" s="161" t="s">
        <v>1456</v>
      </c>
      <c r="B127" s="161" t="s">
        <v>1307</v>
      </c>
      <c r="C127" s="162">
        <v>1</v>
      </c>
      <c r="D127" s="162" t="s">
        <v>1195</v>
      </c>
      <c r="E127" s="162" t="s">
        <v>1364</v>
      </c>
      <c r="F127" s="162" t="s">
        <v>5</v>
      </c>
      <c r="G127" s="162"/>
      <c r="H127" s="162" t="s">
        <v>7</v>
      </c>
      <c r="I127" s="163"/>
      <c r="J127" s="163" t="s">
        <v>619</v>
      </c>
      <c r="K127" s="161" t="s">
        <v>619</v>
      </c>
      <c r="L127" s="161">
        <v>1</v>
      </c>
      <c r="M127" s="164">
        <v>3450000</v>
      </c>
      <c r="N127" s="164">
        <v>0</v>
      </c>
      <c r="O127" s="195">
        <v>3450000</v>
      </c>
      <c r="P127" s="162" t="s">
        <v>1210</v>
      </c>
      <c r="Q127" s="162" t="s">
        <v>1287</v>
      </c>
      <c r="R127" s="162">
        <v>9124384452</v>
      </c>
      <c r="S127" s="162">
        <v>8</v>
      </c>
      <c r="T127" s="162" t="s">
        <v>202</v>
      </c>
      <c r="U127" s="162"/>
      <c r="V127">
        <f>IF(A127="",0,IF(COUNTIF($A$3:A127,A127)=1,1,0))</f>
        <v>0</v>
      </c>
      <c r="W127">
        <f t="shared" si="12"/>
        <v>3450000</v>
      </c>
      <c r="X127">
        <f t="shared" si="13"/>
        <v>9124384452</v>
      </c>
      <c r="Y127">
        <f>IF(X127="",0,IF(COUNTIF($X$3:X127,X127)=1,1,0))</f>
        <v>0</v>
      </c>
      <c r="Z127">
        <f>IF(V127&lt;&gt;1,0,IF(X127="",0,IF(COUNTIF($X$3:X126,X127)&gt;0,1,0)))</f>
        <v>0</v>
      </c>
      <c r="AA127">
        <f t="shared" si="10"/>
        <v>0</v>
      </c>
      <c r="AB127">
        <f t="shared" si="11"/>
        <v>0</v>
      </c>
      <c r="AC127">
        <f>IF(I127="",0,L127*IFERROR(INDEX(کاتالوگ_محصولات!$G$4:$G$303,MATCH(I127,کاتالوگ_محصولات!$A$4:$A$303,0)),0))</f>
        <v>0</v>
      </c>
      <c r="AD127">
        <f t="shared" si="14"/>
        <v>3450000</v>
      </c>
      <c r="AE127" t="str">
        <f t="shared" si="15"/>
        <v>1405/07</v>
      </c>
    </row>
    <row r="128" spans="1:31" ht="18" customHeight="1">
      <c r="A128" s="161" t="s">
        <v>1458</v>
      </c>
      <c r="B128" s="161" t="s">
        <v>1307</v>
      </c>
      <c r="C128" s="162">
        <v>2</v>
      </c>
      <c r="D128" s="162" t="s">
        <v>1139</v>
      </c>
      <c r="E128" s="162" t="s">
        <v>1131</v>
      </c>
      <c r="F128" s="162" t="s">
        <v>5</v>
      </c>
      <c r="G128" s="162" t="s">
        <v>258</v>
      </c>
      <c r="H128" s="162" t="s">
        <v>7</v>
      </c>
      <c r="I128" s="163"/>
      <c r="J128" s="163" t="s">
        <v>1460</v>
      </c>
      <c r="K128" s="161" t="s">
        <v>1460</v>
      </c>
      <c r="L128" s="161">
        <v>1</v>
      </c>
      <c r="M128" s="164">
        <v>3180000</v>
      </c>
      <c r="N128" s="164">
        <v>0</v>
      </c>
      <c r="O128" s="195">
        <v>3180000</v>
      </c>
      <c r="P128" s="162"/>
      <c r="Q128" s="162" t="s">
        <v>1459</v>
      </c>
      <c r="R128" s="162">
        <v>9197910225</v>
      </c>
      <c r="S128" s="162">
        <v>20</v>
      </c>
      <c r="T128" s="162" t="s">
        <v>1461</v>
      </c>
      <c r="U128" s="162"/>
      <c r="V128">
        <f>IF(A128="",0,IF(COUNTIF($A$3:A128,A128)=1,1,0))</f>
        <v>1</v>
      </c>
      <c r="W128">
        <f t="shared" si="12"/>
        <v>3180000</v>
      </c>
      <c r="X128">
        <f t="shared" si="13"/>
        <v>9197910225</v>
      </c>
      <c r="Y128">
        <f>IF(X128="",0,IF(COUNTIF($X$3:X128,X128)=1,1,0))</f>
        <v>1</v>
      </c>
      <c r="Z128">
        <f>IF(V128&lt;&gt;1,0,IF(X128="",0,IF(COUNTIF($X$3:X127,X128)&gt;0,1,0)))</f>
        <v>0</v>
      </c>
      <c r="AA128">
        <f t="shared" si="10"/>
        <v>7430000</v>
      </c>
      <c r="AB128">
        <f t="shared" si="11"/>
        <v>2</v>
      </c>
      <c r="AC128">
        <f>IF(I128="",0,L128*IFERROR(INDEX(کاتالوگ_محصولات!$G$4:$G$303,MATCH(I128,کاتالوگ_محصولات!$A$4:$A$303,0)),0))</f>
        <v>0</v>
      </c>
      <c r="AD128">
        <f t="shared" si="14"/>
        <v>3180000</v>
      </c>
      <c r="AE128" t="str">
        <f t="shared" si="15"/>
        <v>1405/07</v>
      </c>
    </row>
    <row r="129" spans="1:31" ht="18" customHeight="1">
      <c r="A129" s="161" t="s">
        <v>1458</v>
      </c>
      <c r="B129" s="161" t="s">
        <v>1307</v>
      </c>
      <c r="C129" s="162">
        <v>2</v>
      </c>
      <c r="D129" s="162" t="s">
        <v>1139</v>
      </c>
      <c r="E129" s="162" t="s">
        <v>1131</v>
      </c>
      <c r="F129" s="162" t="s">
        <v>5</v>
      </c>
      <c r="G129" s="162" t="s">
        <v>258</v>
      </c>
      <c r="H129" s="162" t="s">
        <v>7</v>
      </c>
      <c r="I129" s="163"/>
      <c r="J129" s="163" t="s">
        <v>1255</v>
      </c>
      <c r="K129" s="161" t="s">
        <v>1255</v>
      </c>
      <c r="L129" s="161">
        <v>1</v>
      </c>
      <c r="M129" s="164">
        <v>4250000</v>
      </c>
      <c r="N129" s="164">
        <v>0</v>
      </c>
      <c r="O129" s="195">
        <v>4250000</v>
      </c>
      <c r="P129" s="162"/>
      <c r="Q129" s="162" t="s">
        <v>1459</v>
      </c>
      <c r="R129" s="162">
        <v>9197910225</v>
      </c>
      <c r="S129" s="162">
        <v>20</v>
      </c>
      <c r="T129" s="162" t="s">
        <v>1461</v>
      </c>
      <c r="U129" s="162"/>
      <c r="V129">
        <f>IF(A129="",0,IF(COUNTIF($A$3:A129,A129)=1,1,0))</f>
        <v>0</v>
      </c>
      <c r="W129">
        <f t="shared" si="12"/>
        <v>4250000</v>
      </c>
      <c r="X129">
        <f t="shared" si="13"/>
        <v>9197910225</v>
      </c>
      <c r="Y129">
        <f>IF(X129="",0,IF(COUNTIF($X$3:X129,X129)=1,1,0))</f>
        <v>0</v>
      </c>
      <c r="Z129">
        <f>IF(V129&lt;&gt;1,0,IF(X129="",0,IF(COUNTIF($X$3:X128,X129)&gt;0,1,0)))</f>
        <v>0</v>
      </c>
      <c r="AA129">
        <f t="shared" si="10"/>
        <v>0</v>
      </c>
      <c r="AB129">
        <f t="shared" si="11"/>
        <v>0</v>
      </c>
      <c r="AC129">
        <f>IF(I129="",0,L129*IFERROR(INDEX(کاتالوگ_محصولات!$G$4:$G$303,MATCH(I129,کاتالوگ_محصولات!$A$4:$A$303,0)),0))</f>
        <v>0</v>
      </c>
      <c r="AD129">
        <f t="shared" si="14"/>
        <v>4250000</v>
      </c>
      <c r="AE129" t="str">
        <f t="shared" si="15"/>
        <v>1405/07</v>
      </c>
    </row>
    <row r="130" spans="1:31" ht="18" customHeight="1">
      <c r="A130" s="161" t="s">
        <v>1462</v>
      </c>
      <c r="B130" s="161" t="s">
        <v>1307</v>
      </c>
      <c r="C130" s="162">
        <v>2</v>
      </c>
      <c r="D130" s="162" t="s">
        <v>1139</v>
      </c>
      <c r="E130" s="162" t="s">
        <v>1131</v>
      </c>
      <c r="F130" s="162" t="s">
        <v>5</v>
      </c>
      <c r="G130" s="162" t="s">
        <v>258</v>
      </c>
      <c r="H130" s="162" t="s">
        <v>7</v>
      </c>
      <c r="I130" s="163"/>
      <c r="J130" s="163" t="s">
        <v>573</v>
      </c>
      <c r="K130" s="161" t="s">
        <v>573</v>
      </c>
      <c r="L130" s="161">
        <v>1</v>
      </c>
      <c r="M130" s="164">
        <v>2380000</v>
      </c>
      <c r="N130" s="164">
        <v>0</v>
      </c>
      <c r="O130" s="195">
        <v>2380000</v>
      </c>
      <c r="P130" s="162" t="s">
        <v>1463</v>
      </c>
      <c r="Q130" s="162" t="s">
        <v>1464</v>
      </c>
      <c r="R130" s="162">
        <v>9129366389</v>
      </c>
      <c r="S130" s="162"/>
      <c r="T130" s="162"/>
      <c r="U130" s="162"/>
      <c r="V130">
        <f>IF(A130="",0,IF(COUNTIF($A$3:A130,A130)=1,1,0))</f>
        <v>1</v>
      </c>
      <c r="W130">
        <f t="shared" si="12"/>
        <v>2380000</v>
      </c>
      <c r="X130">
        <f t="shared" si="13"/>
        <v>9129366389</v>
      </c>
      <c r="Y130">
        <f>IF(X130="",0,IF(COUNTIF($X$3:X130,X130)=1,1,0))</f>
        <v>1</v>
      </c>
      <c r="Z130">
        <f>IF(V130&lt;&gt;1,0,IF(X130="",0,IF(COUNTIF($X$3:X129,X130)&gt;0,1,0)))</f>
        <v>0</v>
      </c>
      <c r="AA130">
        <f t="shared" si="10"/>
        <v>2380000</v>
      </c>
      <c r="AB130">
        <f t="shared" si="11"/>
        <v>1</v>
      </c>
      <c r="AC130">
        <f>IF(I130="",0,L130*IFERROR(INDEX(کاتالوگ_محصولات!$G$4:$G$303,MATCH(I130,کاتالوگ_محصولات!$A$4:$A$303,0)),0))</f>
        <v>0</v>
      </c>
      <c r="AD130">
        <f t="shared" si="14"/>
        <v>2380000</v>
      </c>
      <c r="AE130" t="str">
        <f t="shared" si="15"/>
        <v>1405/07</v>
      </c>
    </row>
    <row r="131" spans="1:31" ht="18" customHeight="1">
      <c r="A131" s="191" t="s">
        <v>1465</v>
      </c>
      <c r="B131" s="191" t="s">
        <v>1391</v>
      </c>
      <c r="C131" s="192">
        <v>1</v>
      </c>
      <c r="D131" s="192" t="s">
        <v>1195</v>
      </c>
      <c r="E131" s="192" t="s">
        <v>1421</v>
      </c>
      <c r="F131" s="192" t="s">
        <v>5</v>
      </c>
      <c r="G131" s="192"/>
      <c r="H131" s="192" t="s">
        <v>7</v>
      </c>
      <c r="I131" s="193"/>
      <c r="J131" s="193" t="s">
        <v>1466</v>
      </c>
      <c r="K131" s="191" t="s">
        <v>1466</v>
      </c>
      <c r="L131" s="191">
        <v>1</v>
      </c>
      <c r="M131" s="194">
        <v>825000</v>
      </c>
      <c r="N131" s="194">
        <v>0</v>
      </c>
      <c r="O131" s="196">
        <v>825000</v>
      </c>
      <c r="P131" s="192"/>
      <c r="Q131" s="192"/>
      <c r="R131" s="192"/>
      <c r="S131" s="192"/>
      <c r="T131" s="192"/>
      <c r="U131" s="192"/>
      <c r="V131">
        <f>IF(A131="",0,IF(COUNTIF($A$3:A131,A131)=1,1,0))</f>
        <v>1</v>
      </c>
      <c r="W131">
        <f t="shared" si="12"/>
        <v>825000</v>
      </c>
      <c r="X131" t="str">
        <f t="shared" si="13"/>
        <v/>
      </c>
      <c r="Y131">
        <f>IF(X131="",0,IF(COUNTIF($X$3:X131,X131)=1,1,0))</f>
        <v>0</v>
      </c>
      <c r="Z131">
        <f>IF(V131&lt;&gt;1,0,IF(X131="",0,IF(COUNTIF($X$3:X130,X131)&gt;0,1,0)))</f>
        <v>0</v>
      </c>
      <c r="AA131">
        <f t="shared" ref="AA131:AA194" si="16">IF(V131=1,SUMIF($A$3:$A$1622,A131,$O$3:$O$1622),0)</f>
        <v>825000</v>
      </c>
      <c r="AB131">
        <f t="shared" ref="AB131:AB194" si="17">IF(V131=1,SUMIF($A$3:$A$1622,A131,$L$3:$L$1622),0)</f>
        <v>1</v>
      </c>
      <c r="AC131">
        <f>IF(I131="",0,L131*IFERROR(INDEX(کاتالوگ_محصولات!$G$4:$G$303,MATCH(I131,کاتالوگ_محصولات!$A$4:$A$303,0)),0))</f>
        <v>0</v>
      </c>
      <c r="AD131">
        <f t="shared" si="14"/>
        <v>825000</v>
      </c>
      <c r="AE131" t="str">
        <f t="shared" si="15"/>
        <v>1405/07</v>
      </c>
    </row>
    <row r="132" spans="1:31" ht="18" customHeight="1">
      <c r="A132" s="161" t="s">
        <v>1467</v>
      </c>
      <c r="B132" s="161" t="s">
        <v>1308</v>
      </c>
      <c r="C132" s="162">
        <v>0</v>
      </c>
      <c r="D132" s="162" t="s">
        <v>1135</v>
      </c>
      <c r="E132" s="162" t="s">
        <v>1131</v>
      </c>
      <c r="F132" s="162" t="s">
        <v>5</v>
      </c>
      <c r="G132" s="162" t="s">
        <v>258</v>
      </c>
      <c r="H132" s="162" t="s">
        <v>7</v>
      </c>
      <c r="I132" s="163"/>
      <c r="J132" s="163" t="s">
        <v>1472</v>
      </c>
      <c r="K132" s="161" t="s">
        <v>1473</v>
      </c>
      <c r="L132" s="161">
        <v>1</v>
      </c>
      <c r="M132" s="164">
        <v>2880000</v>
      </c>
      <c r="N132" s="164">
        <v>0</v>
      </c>
      <c r="O132" s="195">
        <v>2880000</v>
      </c>
      <c r="P132" s="162" t="s">
        <v>1468</v>
      </c>
      <c r="Q132" s="162" t="s">
        <v>1469</v>
      </c>
      <c r="R132" s="162">
        <v>9927469021</v>
      </c>
      <c r="S132" s="162">
        <v>26</v>
      </c>
      <c r="T132" s="162" t="s">
        <v>1470</v>
      </c>
      <c r="U132" s="162"/>
      <c r="V132">
        <f>IF(A132="",0,IF(COUNTIF($A$3:A132,A132)=1,1,0))</f>
        <v>1</v>
      </c>
      <c r="W132">
        <f t="shared" si="12"/>
        <v>2880000</v>
      </c>
      <c r="X132">
        <f t="shared" si="13"/>
        <v>9927469021</v>
      </c>
      <c r="Y132">
        <f>IF(X132="",0,IF(COUNTIF($X$3:X132,X132)=1,1,0))</f>
        <v>1</v>
      </c>
      <c r="Z132">
        <f>IF(V132&lt;&gt;1,0,IF(X132="",0,IF(COUNTIF($X$3:X131,X132)&gt;0,1,0)))</f>
        <v>0</v>
      </c>
      <c r="AA132">
        <f t="shared" si="16"/>
        <v>2880000</v>
      </c>
      <c r="AB132">
        <f t="shared" si="17"/>
        <v>1</v>
      </c>
      <c r="AC132">
        <f>IF(I132="",0,L132*IFERROR(INDEX(کاتالوگ_محصولات!$G$4:$G$303,MATCH(I132,کاتالوگ_محصولات!$A$4:$A$303,0)),0))</f>
        <v>0</v>
      </c>
      <c r="AD132">
        <f t="shared" si="14"/>
        <v>2880000</v>
      </c>
      <c r="AE132" t="str">
        <f t="shared" si="15"/>
        <v>1405/07</v>
      </c>
    </row>
    <row r="133" spans="1:31" ht="18" customHeight="1">
      <c r="A133" s="161" t="s">
        <v>1471</v>
      </c>
      <c r="B133" s="161" t="s">
        <v>1308</v>
      </c>
      <c r="C133" s="162">
        <v>0</v>
      </c>
      <c r="D133" s="162" t="s">
        <v>1135</v>
      </c>
      <c r="E133" s="162" t="s">
        <v>1131</v>
      </c>
      <c r="F133" s="162" t="s">
        <v>5</v>
      </c>
      <c r="G133" s="162" t="s">
        <v>258</v>
      </c>
      <c r="H133" s="162" t="s">
        <v>7</v>
      </c>
      <c r="I133" s="163"/>
      <c r="J133" s="163" t="s">
        <v>1474</v>
      </c>
      <c r="K133" s="161" t="s">
        <v>1474</v>
      </c>
      <c r="L133" s="161">
        <v>1</v>
      </c>
      <c r="M133" s="164">
        <v>3780000</v>
      </c>
      <c r="N133" s="164">
        <v>0</v>
      </c>
      <c r="O133" s="195">
        <v>3780000</v>
      </c>
      <c r="P133" s="162"/>
      <c r="Q133" s="162"/>
      <c r="R133" s="162"/>
      <c r="S133" s="162"/>
      <c r="T133" s="162"/>
      <c r="U133" s="162"/>
      <c r="V133">
        <f>IF(A133="",0,IF(COUNTIF($A$3:A133,A133)=1,1,0))</f>
        <v>1</v>
      </c>
      <c r="W133">
        <f t="shared" si="12"/>
        <v>3780000</v>
      </c>
      <c r="X133" t="str">
        <f t="shared" si="13"/>
        <v/>
      </c>
      <c r="Y133">
        <f>IF(X133="",0,IF(COUNTIF($X$3:X133,X133)=1,1,0))</f>
        <v>0</v>
      </c>
      <c r="Z133">
        <f>IF(V133&lt;&gt;1,0,IF(X133="",0,IF(COUNTIF($X$3:X132,X133)&gt;0,1,0)))</f>
        <v>0</v>
      </c>
      <c r="AA133">
        <f t="shared" si="16"/>
        <v>3780000</v>
      </c>
      <c r="AB133">
        <f t="shared" si="17"/>
        <v>1</v>
      </c>
      <c r="AC133">
        <f>IF(I133="",0,L133*IFERROR(INDEX(کاتالوگ_محصولات!$G$4:$G$303,MATCH(I133,کاتالوگ_محصولات!$A$4:$A$303,0)),0))</f>
        <v>0</v>
      </c>
      <c r="AD133">
        <f t="shared" si="14"/>
        <v>3780000</v>
      </c>
      <c r="AE133" t="str">
        <f t="shared" si="15"/>
        <v>1405/07</v>
      </c>
    </row>
    <row r="134" spans="1:31" ht="18" customHeight="1">
      <c r="A134" s="161" t="s">
        <v>1475</v>
      </c>
      <c r="B134" s="161" t="s">
        <v>1308</v>
      </c>
      <c r="C134" s="162">
        <v>0</v>
      </c>
      <c r="D134" s="162" t="s">
        <v>1135</v>
      </c>
      <c r="E134" s="162" t="s">
        <v>1131</v>
      </c>
      <c r="F134" s="162" t="s">
        <v>1159</v>
      </c>
      <c r="G134" s="162" t="s">
        <v>258</v>
      </c>
      <c r="H134" s="162" t="s">
        <v>7</v>
      </c>
      <c r="I134" s="163"/>
      <c r="J134" s="163" t="s">
        <v>1375</v>
      </c>
      <c r="K134" s="161" t="s">
        <v>1375</v>
      </c>
      <c r="L134" s="161">
        <v>1</v>
      </c>
      <c r="M134" s="164">
        <v>1580000</v>
      </c>
      <c r="N134" s="164">
        <v>0</v>
      </c>
      <c r="O134" s="195">
        <v>1580000</v>
      </c>
      <c r="P134" s="162"/>
      <c r="Q134" s="162"/>
      <c r="R134" s="162"/>
      <c r="S134" s="162"/>
      <c r="T134" s="162"/>
      <c r="U134" s="162"/>
      <c r="V134">
        <f>IF(A134="",0,IF(COUNTIF($A$3:A134,A134)=1,1,0))</f>
        <v>1</v>
      </c>
      <c r="W134">
        <f t="shared" si="12"/>
        <v>1580000</v>
      </c>
      <c r="X134" t="str">
        <f t="shared" si="13"/>
        <v/>
      </c>
      <c r="Y134">
        <f>IF(X134="",0,IF(COUNTIF($X$3:X134,X134)=1,1,0))</f>
        <v>0</v>
      </c>
      <c r="Z134">
        <f>IF(V134&lt;&gt;1,0,IF(X134="",0,IF(COUNTIF($X$3:X133,X134)&gt;0,1,0)))</f>
        <v>0</v>
      </c>
      <c r="AA134">
        <f t="shared" si="16"/>
        <v>1580000</v>
      </c>
      <c r="AB134">
        <f t="shared" si="17"/>
        <v>1</v>
      </c>
      <c r="AC134">
        <f>IF(I134="",0,L134*IFERROR(INDEX(کاتالوگ_محصولات!$G$4:$G$303,MATCH(I134,کاتالوگ_محصولات!$A$4:$A$303,0)),0))</f>
        <v>0</v>
      </c>
      <c r="AD134">
        <f t="shared" si="14"/>
        <v>1580000</v>
      </c>
      <c r="AE134" t="str">
        <f t="shared" si="15"/>
        <v>1405/07</v>
      </c>
    </row>
    <row r="135" spans="1:31" ht="18" customHeight="1">
      <c r="A135" s="161"/>
      <c r="B135" s="161"/>
      <c r="C135" s="162"/>
      <c r="D135" s="162"/>
      <c r="E135" s="162"/>
      <c r="F135" s="162"/>
      <c r="G135" s="162"/>
      <c r="H135" s="162"/>
      <c r="I135" s="163"/>
      <c r="J135" s="163"/>
      <c r="K135" s="161"/>
      <c r="L135" s="161"/>
      <c r="M135" s="164"/>
      <c r="N135" s="164"/>
      <c r="O135" s="195"/>
      <c r="P135" s="162"/>
      <c r="Q135" s="162"/>
      <c r="R135" s="162"/>
      <c r="S135" s="162"/>
      <c r="T135" s="162"/>
      <c r="U135" s="162"/>
      <c r="V135">
        <f>IF(A135="",0,IF(COUNTIF($A$3:A135,A135)=1,1,0))</f>
        <v>0</v>
      </c>
      <c r="W135">
        <f t="shared" si="12"/>
        <v>0</v>
      </c>
      <c r="X135" t="str">
        <f t="shared" si="13"/>
        <v/>
      </c>
      <c r="Y135">
        <f>IF(X135="",0,IF(COUNTIF($X$3:X135,X135)=1,1,0))</f>
        <v>0</v>
      </c>
      <c r="Z135">
        <f>IF(V135&lt;&gt;1,0,IF(X135="",0,IF(COUNTIF($X$3:X134,X135)&gt;0,1,0)))</f>
        <v>0</v>
      </c>
      <c r="AA135">
        <f t="shared" si="16"/>
        <v>0</v>
      </c>
      <c r="AB135">
        <f t="shared" si="17"/>
        <v>0</v>
      </c>
      <c r="AC135">
        <f>IF(I135="",0,L135*IFERROR(INDEX(کاتالوگ_محصولات!$G$4:$G$303,MATCH(I135,کاتالوگ_محصولات!$A$4:$A$303,0)),0))</f>
        <v>0</v>
      </c>
      <c r="AD135">
        <f t="shared" si="14"/>
        <v>0</v>
      </c>
      <c r="AE135" t="str">
        <f t="shared" si="15"/>
        <v/>
      </c>
    </row>
    <row r="136" spans="1:31" ht="18" customHeight="1">
      <c r="A136" s="161"/>
      <c r="B136" s="161"/>
      <c r="C136" s="162"/>
      <c r="D136" s="162"/>
      <c r="E136" s="162"/>
      <c r="F136" s="162"/>
      <c r="G136" s="162"/>
      <c r="H136" s="162"/>
      <c r="I136" s="163"/>
      <c r="J136" s="163"/>
      <c r="K136" s="161"/>
      <c r="L136" s="161"/>
      <c r="M136" s="164"/>
      <c r="N136" s="164"/>
      <c r="O136" s="195"/>
      <c r="P136" s="162"/>
      <c r="Q136" s="162"/>
      <c r="R136" s="162"/>
      <c r="S136" s="162"/>
      <c r="T136" s="162"/>
      <c r="U136" s="162"/>
      <c r="V136">
        <f>IF(A136="",0,IF(COUNTIF($A$3:A136,A136)=1,1,0))</f>
        <v>0</v>
      </c>
      <c r="W136">
        <f t="shared" si="12"/>
        <v>0</v>
      </c>
      <c r="X136" t="str">
        <f t="shared" si="13"/>
        <v/>
      </c>
      <c r="Y136">
        <f>IF(X136="",0,IF(COUNTIF($X$3:X136,X136)=1,1,0))</f>
        <v>0</v>
      </c>
      <c r="Z136">
        <f>IF(V136&lt;&gt;1,0,IF(X136="",0,IF(COUNTIF($X$3:X135,X136)&gt;0,1,0)))</f>
        <v>0</v>
      </c>
      <c r="AA136">
        <f t="shared" si="16"/>
        <v>0</v>
      </c>
      <c r="AB136">
        <f t="shared" si="17"/>
        <v>0</v>
      </c>
      <c r="AC136">
        <f>IF(I136="",0,L136*IFERROR(INDEX(کاتالوگ_محصولات!$G$4:$G$303,MATCH(I136,کاتالوگ_محصولات!$A$4:$A$303,0)),0))</f>
        <v>0</v>
      </c>
      <c r="AD136">
        <f t="shared" si="14"/>
        <v>0</v>
      </c>
      <c r="AE136" t="str">
        <f t="shared" si="15"/>
        <v/>
      </c>
    </row>
    <row r="137" spans="1:31" ht="18" customHeight="1">
      <c r="A137" s="161"/>
      <c r="B137" s="161"/>
      <c r="C137" s="162"/>
      <c r="D137" s="162"/>
      <c r="E137" s="162"/>
      <c r="F137" s="162"/>
      <c r="G137" s="162"/>
      <c r="H137" s="162"/>
      <c r="I137" s="163"/>
      <c r="J137" s="163"/>
      <c r="K137" s="161"/>
      <c r="L137" s="161"/>
      <c r="M137" s="164"/>
      <c r="N137" s="164"/>
      <c r="O137" s="195"/>
      <c r="P137" s="162"/>
      <c r="Q137" s="162"/>
      <c r="R137" s="162"/>
      <c r="S137" s="162"/>
      <c r="T137" s="162"/>
      <c r="U137" s="162"/>
      <c r="V137">
        <f>IF(A137="",0,IF(COUNTIF($A$3:A137,A137)=1,1,0))</f>
        <v>0</v>
      </c>
      <c r="W137">
        <f t="shared" ref="W137:W200" si="18">IF(A137="",0,L137*M137)</f>
        <v>0</v>
      </c>
      <c r="X137" t="str">
        <f t="shared" ref="X137:X200" si="19">IF(R137&lt;&gt;"",R137,IF(AND(P137&lt;&gt;"",Q137&lt;&gt;""),P137&amp;"|"&amp;Q137,""))</f>
        <v/>
      </c>
      <c r="Y137">
        <f>IF(X137="",0,IF(COUNTIF($X$3:X137,X137)=1,1,0))</f>
        <v>0</v>
      </c>
      <c r="Z137">
        <f>IF(V137&lt;&gt;1,0,IF(X137="",0,IF(COUNTIF($X$3:X136,X137)&gt;0,1,0)))</f>
        <v>0</v>
      </c>
      <c r="AA137">
        <f t="shared" si="16"/>
        <v>0</v>
      </c>
      <c r="AB137">
        <f t="shared" si="17"/>
        <v>0</v>
      </c>
      <c r="AC137">
        <f>IF(I137="",0,L137*IFERROR(INDEX(کاتالوگ_محصولات!$G$4:$G$303,MATCH(I137,کاتالوگ_محصولات!$A$4:$A$303,0)),0))</f>
        <v>0</v>
      </c>
      <c r="AD137">
        <f t="shared" ref="AD137:AD200" si="20">IF(A137="",0,O137-AC137)</f>
        <v>0</v>
      </c>
      <c r="AE137" t="str">
        <f t="shared" ref="AE137:AE200" si="21">IF(B137="","",LEFT(B137,7))</f>
        <v/>
      </c>
    </row>
    <row r="138" spans="1:31" ht="18" customHeight="1">
      <c r="A138" s="161"/>
      <c r="B138" s="161"/>
      <c r="C138" s="162"/>
      <c r="D138" s="162"/>
      <c r="E138" s="162"/>
      <c r="F138" s="162"/>
      <c r="G138" s="162"/>
      <c r="H138" s="162"/>
      <c r="I138" s="163"/>
      <c r="J138" s="163"/>
      <c r="K138" s="161"/>
      <c r="L138" s="161"/>
      <c r="M138" s="164"/>
      <c r="N138" s="164"/>
      <c r="O138" s="195"/>
      <c r="P138" s="162"/>
      <c r="Q138" s="162"/>
      <c r="R138" s="162"/>
      <c r="S138" s="162"/>
      <c r="T138" s="162"/>
      <c r="U138" s="162"/>
      <c r="V138">
        <f>IF(A138="",0,IF(COUNTIF($A$3:A138,A138)=1,1,0))</f>
        <v>0</v>
      </c>
      <c r="W138">
        <f t="shared" si="18"/>
        <v>0</v>
      </c>
      <c r="X138" t="str">
        <f t="shared" si="19"/>
        <v/>
      </c>
      <c r="Y138">
        <f>IF(X138="",0,IF(COUNTIF($X$3:X138,X138)=1,1,0))</f>
        <v>0</v>
      </c>
      <c r="Z138">
        <f>IF(V138&lt;&gt;1,0,IF(X138="",0,IF(COUNTIF($X$3:X137,X138)&gt;0,1,0)))</f>
        <v>0</v>
      </c>
      <c r="AA138">
        <f t="shared" si="16"/>
        <v>0</v>
      </c>
      <c r="AB138">
        <f t="shared" si="17"/>
        <v>0</v>
      </c>
      <c r="AC138">
        <f>IF(I138="",0,L138*IFERROR(INDEX(کاتالوگ_محصولات!$G$4:$G$303,MATCH(I138,کاتالوگ_محصولات!$A$4:$A$303,0)),0))</f>
        <v>0</v>
      </c>
      <c r="AD138">
        <f t="shared" si="20"/>
        <v>0</v>
      </c>
      <c r="AE138" t="str">
        <f t="shared" si="21"/>
        <v/>
      </c>
    </row>
    <row r="139" spans="1:31" ht="18" customHeight="1">
      <c r="A139" s="161"/>
      <c r="B139" s="161"/>
      <c r="C139" s="162"/>
      <c r="D139" s="162"/>
      <c r="E139" s="162"/>
      <c r="F139" s="162"/>
      <c r="G139" s="162"/>
      <c r="H139" s="162"/>
      <c r="I139" s="163"/>
      <c r="J139" s="163"/>
      <c r="K139" s="161"/>
      <c r="L139" s="161"/>
      <c r="M139" s="164"/>
      <c r="N139" s="164"/>
      <c r="O139" s="195"/>
      <c r="P139" s="162"/>
      <c r="Q139" s="162"/>
      <c r="R139" s="162"/>
      <c r="S139" s="162"/>
      <c r="T139" s="162"/>
      <c r="U139" s="162"/>
      <c r="V139">
        <f>IF(A139="",0,IF(COUNTIF($A$3:A139,A139)=1,1,0))</f>
        <v>0</v>
      </c>
      <c r="W139">
        <f t="shared" si="18"/>
        <v>0</v>
      </c>
      <c r="X139" t="str">
        <f t="shared" si="19"/>
        <v/>
      </c>
      <c r="Y139">
        <f>IF(X139="",0,IF(COUNTIF($X$3:X139,X139)=1,1,0))</f>
        <v>0</v>
      </c>
      <c r="Z139">
        <f>IF(V139&lt;&gt;1,0,IF(X139="",0,IF(COUNTIF($X$3:X138,X139)&gt;0,1,0)))</f>
        <v>0</v>
      </c>
      <c r="AA139">
        <f t="shared" si="16"/>
        <v>0</v>
      </c>
      <c r="AB139">
        <f t="shared" si="17"/>
        <v>0</v>
      </c>
      <c r="AC139">
        <f>IF(I139="",0,L139*IFERROR(INDEX(کاتالوگ_محصولات!$G$4:$G$303,MATCH(I139,کاتالوگ_محصولات!$A$4:$A$303,0)),0))</f>
        <v>0</v>
      </c>
      <c r="AD139">
        <f t="shared" si="20"/>
        <v>0</v>
      </c>
      <c r="AE139" t="str">
        <f t="shared" si="21"/>
        <v/>
      </c>
    </row>
    <row r="140" spans="1:31" ht="18" customHeight="1">
      <c r="A140" s="161"/>
      <c r="B140" s="161"/>
      <c r="C140" s="162"/>
      <c r="D140" s="162"/>
      <c r="E140" s="162"/>
      <c r="F140" s="162"/>
      <c r="G140" s="162"/>
      <c r="H140" s="162"/>
      <c r="I140" s="163"/>
      <c r="J140" s="163"/>
      <c r="K140" s="161"/>
      <c r="L140" s="161"/>
      <c r="M140" s="164"/>
      <c r="N140" s="164"/>
      <c r="O140" s="195"/>
      <c r="P140" s="162"/>
      <c r="Q140" s="162"/>
      <c r="R140" s="162"/>
      <c r="S140" s="162"/>
      <c r="T140" s="162"/>
      <c r="U140" s="162"/>
      <c r="V140">
        <f>IF(A140="",0,IF(COUNTIF($A$3:A140,A140)=1,1,0))</f>
        <v>0</v>
      </c>
      <c r="W140">
        <f t="shared" si="18"/>
        <v>0</v>
      </c>
      <c r="X140" t="str">
        <f t="shared" si="19"/>
        <v/>
      </c>
      <c r="Y140">
        <f>IF(X140="",0,IF(COUNTIF($X$3:X140,X140)=1,1,0))</f>
        <v>0</v>
      </c>
      <c r="Z140">
        <f>IF(V140&lt;&gt;1,0,IF(X140="",0,IF(COUNTIF($X$3:X139,X140)&gt;0,1,0)))</f>
        <v>0</v>
      </c>
      <c r="AA140">
        <f t="shared" si="16"/>
        <v>0</v>
      </c>
      <c r="AB140">
        <f t="shared" si="17"/>
        <v>0</v>
      </c>
      <c r="AC140">
        <f>IF(I140="",0,L140*IFERROR(INDEX(کاتالوگ_محصولات!$G$4:$G$303,MATCH(I140,کاتالوگ_محصولات!$A$4:$A$303,0)),0))</f>
        <v>0</v>
      </c>
      <c r="AD140">
        <f t="shared" si="20"/>
        <v>0</v>
      </c>
      <c r="AE140" t="str">
        <f t="shared" si="21"/>
        <v/>
      </c>
    </row>
    <row r="141" spans="1:31" ht="18" customHeight="1">
      <c r="A141" s="161"/>
      <c r="B141" s="161"/>
      <c r="C141" s="162"/>
      <c r="D141" s="162"/>
      <c r="E141" s="162"/>
      <c r="F141" s="162"/>
      <c r="G141" s="162"/>
      <c r="H141" s="162"/>
      <c r="I141" s="163"/>
      <c r="J141" s="163"/>
      <c r="K141" s="161"/>
      <c r="L141" s="161"/>
      <c r="M141" s="164"/>
      <c r="N141" s="164"/>
      <c r="O141" s="195"/>
      <c r="P141" s="162"/>
      <c r="Q141" s="162"/>
      <c r="R141" s="162"/>
      <c r="S141" s="162"/>
      <c r="T141" s="162"/>
      <c r="U141" s="162"/>
      <c r="V141">
        <f>IF(A141="",0,IF(COUNTIF($A$3:A141,A141)=1,1,0))</f>
        <v>0</v>
      </c>
      <c r="W141">
        <f t="shared" si="18"/>
        <v>0</v>
      </c>
      <c r="X141" t="str">
        <f t="shared" si="19"/>
        <v/>
      </c>
      <c r="Y141">
        <f>IF(X141="",0,IF(COUNTIF($X$3:X141,X141)=1,1,0))</f>
        <v>0</v>
      </c>
      <c r="Z141">
        <f>IF(V141&lt;&gt;1,0,IF(X141="",0,IF(COUNTIF($X$3:X140,X141)&gt;0,1,0)))</f>
        <v>0</v>
      </c>
      <c r="AA141">
        <f t="shared" si="16"/>
        <v>0</v>
      </c>
      <c r="AB141">
        <f t="shared" si="17"/>
        <v>0</v>
      </c>
      <c r="AC141">
        <f>IF(I141="",0,L141*IFERROR(INDEX(کاتالوگ_محصولات!$G$4:$G$303,MATCH(I141,کاتالوگ_محصولات!$A$4:$A$303,0)),0))</f>
        <v>0</v>
      </c>
      <c r="AD141">
        <f t="shared" si="20"/>
        <v>0</v>
      </c>
      <c r="AE141" t="str">
        <f t="shared" si="21"/>
        <v/>
      </c>
    </row>
    <row r="142" spans="1:31" ht="18" customHeight="1">
      <c r="A142" s="161"/>
      <c r="B142" s="161"/>
      <c r="C142" s="162"/>
      <c r="D142" s="162"/>
      <c r="E142" s="162"/>
      <c r="F142" s="162"/>
      <c r="G142" s="162"/>
      <c r="H142" s="162"/>
      <c r="I142" s="163"/>
      <c r="J142" s="163"/>
      <c r="K142" s="161"/>
      <c r="L142" s="161"/>
      <c r="M142" s="164"/>
      <c r="N142" s="164"/>
      <c r="O142" s="195"/>
      <c r="P142" s="162"/>
      <c r="Q142" s="162"/>
      <c r="R142" s="162"/>
      <c r="S142" s="162"/>
      <c r="T142" s="162"/>
      <c r="U142" s="162"/>
      <c r="V142">
        <f>IF(A142="",0,IF(COUNTIF($A$3:A142,A142)=1,1,0))</f>
        <v>0</v>
      </c>
      <c r="W142">
        <f t="shared" si="18"/>
        <v>0</v>
      </c>
      <c r="X142" t="str">
        <f t="shared" si="19"/>
        <v/>
      </c>
      <c r="Y142">
        <f>IF(X142="",0,IF(COUNTIF($X$3:X142,X142)=1,1,0))</f>
        <v>0</v>
      </c>
      <c r="Z142">
        <f>IF(V142&lt;&gt;1,0,IF(X142="",0,IF(COUNTIF($X$3:X141,X142)&gt;0,1,0)))</f>
        <v>0</v>
      </c>
      <c r="AA142">
        <f t="shared" si="16"/>
        <v>0</v>
      </c>
      <c r="AB142">
        <f t="shared" si="17"/>
        <v>0</v>
      </c>
      <c r="AC142">
        <f>IF(I142="",0,L142*IFERROR(INDEX(کاتالوگ_محصولات!$G$4:$G$303,MATCH(I142,کاتالوگ_محصولات!$A$4:$A$303,0)),0))</f>
        <v>0</v>
      </c>
      <c r="AD142">
        <f t="shared" si="20"/>
        <v>0</v>
      </c>
      <c r="AE142" t="str">
        <f t="shared" si="21"/>
        <v/>
      </c>
    </row>
    <row r="143" spans="1:31" ht="18" customHeight="1">
      <c r="A143" s="161"/>
      <c r="B143" s="161"/>
      <c r="C143" s="162"/>
      <c r="D143" s="162"/>
      <c r="E143" s="162"/>
      <c r="F143" s="162"/>
      <c r="G143" s="162"/>
      <c r="H143" s="162"/>
      <c r="I143" s="163"/>
      <c r="J143" s="163"/>
      <c r="K143" s="161"/>
      <c r="L143" s="161"/>
      <c r="M143" s="164"/>
      <c r="N143" s="164"/>
      <c r="O143" s="195"/>
      <c r="P143" s="162"/>
      <c r="Q143" s="162"/>
      <c r="R143" s="162"/>
      <c r="S143" s="162"/>
      <c r="T143" s="162"/>
      <c r="U143" s="162"/>
      <c r="V143">
        <f>IF(A143="",0,IF(COUNTIF($A$3:A143,A143)=1,1,0))</f>
        <v>0</v>
      </c>
      <c r="W143">
        <f t="shared" si="18"/>
        <v>0</v>
      </c>
      <c r="X143" t="str">
        <f t="shared" si="19"/>
        <v/>
      </c>
      <c r="Y143">
        <f>IF(X143="",0,IF(COUNTIF($X$3:X143,X143)=1,1,0))</f>
        <v>0</v>
      </c>
      <c r="Z143">
        <f>IF(V143&lt;&gt;1,0,IF(X143="",0,IF(COUNTIF($X$3:X142,X143)&gt;0,1,0)))</f>
        <v>0</v>
      </c>
      <c r="AA143">
        <f t="shared" si="16"/>
        <v>0</v>
      </c>
      <c r="AB143">
        <f t="shared" si="17"/>
        <v>0</v>
      </c>
      <c r="AC143">
        <f>IF(I143="",0,L143*IFERROR(INDEX(کاتالوگ_محصولات!$G$4:$G$303,MATCH(I143,کاتالوگ_محصولات!$A$4:$A$303,0)),0))</f>
        <v>0</v>
      </c>
      <c r="AD143">
        <f t="shared" si="20"/>
        <v>0</v>
      </c>
      <c r="AE143" t="str">
        <f t="shared" si="21"/>
        <v/>
      </c>
    </row>
    <row r="144" spans="1:31" ht="18" customHeight="1">
      <c r="A144" s="161"/>
      <c r="B144" s="161"/>
      <c r="C144" s="162"/>
      <c r="D144" s="162"/>
      <c r="E144" s="162"/>
      <c r="F144" s="162"/>
      <c r="G144" s="162"/>
      <c r="H144" s="162"/>
      <c r="I144" s="163"/>
      <c r="J144" s="163"/>
      <c r="K144" s="161"/>
      <c r="L144" s="161"/>
      <c r="M144" s="164"/>
      <c r="N144" s="164"/>
      <c r="O144" s="195"/>
      <c r="P144" s="162"/>
      <c r="Q144" s="162"/>
      <c r="R144" s="162"/>
      <c r="S144" s="162"/>
      <c r="T144" s="162"/>
      <c r="U144" s="162"/>
      <c r="V144">
        <f>IF(A144="",0,IF(COUNTIF($A$3:A144,A144)=1,1,0))</f>
        <v>0</v>
      </c>
      <c r="W144">
        <f t="shared" si="18"/>
        <v>0</v>
      </c>
      <c r="X144" t="str">
        <f t="shared" si="19"/>
        <v/>
      </c>
      <c r="Y144">
        <f>IF(X144="",0,IF(COUNTIF($X$3:X144,X144)=1,1,0))</f>
        <v>0</v>
      </c>
      <c r="Z144">
        <f>IF(V144&lt;&gt;1,0,IF(X144="",0,IF(COUNTIF($X$3:X143,X144)&gt;0,1,0)))</f>
        <v>0</v>
      </c>
      <c r="AA144">
        <f t="shared" si="16"/>
        <v>0</v>
      </c>
      <c r="AB144">
        <f t="shared" si="17"/>
        <v>0</v>
      </c>
      <c r="AC144">
        <f>IF(I144="",0,L144*IFERROR(INDEX(کاتالوگ_محصولات!$G$4:$G$303,MATCH(I144,کاتالوگ_محصولات!$A$4:$A$303,0)),0))</f>
        <v>0</v>
      </c>
      <c r="AD144">
        <f t="shared" si="20"/>
        <v>0</v>
      </c>
      <c r="AE144" t="str">
        <f t="shared" si="21"/>
        <v/>
      </c>
    </row>
    <row r="145" spans="1:31" ht="18" customHeight="1">
      <c r="A145" s="161"/>
      <c r="B145" s="161"/>
      <c r="C145" s="162"/>
      <c r="D145" s="162"/>
      <c r="E145" s="162"/>
      <c r="F145" s="162"/>
      <c r="G145" s="162"/>
      <c r="H145" s="162"/>
      <c r="I145" s="163"/>
      <c r="J145" s="163"/>
      <c r="K145" s="161"/>
      <c r="L145" s="161"/>
      <c r="M145" s="164"/>
      <c r="N145" s="164"/>
      <c r="O145" s="195"/>
      <c r="P145" s="162"/>
      <c r="Q145" s="162"/>
      <c r="R145" s="162"/>
      <c r="S145" s="162"/>
      <c r="T145" s="162"/>
      <c r="U145" s="162"/>
      <c r="V145">
        <f>IF(A145="",0,IF(COUNTIF($A$3:A145,A145)=1,1,0))</f>
        <v>0</v>
      </c>
      <c r="W145">
        <f t="shared" si="18"/>
        <v>0</v>
      </c>
      <c r="X145" t="str">
        <f t="shared" si="19"/>
        <v/>
      </c>
      <c r="Y145">
        <f>IF(X145="",0,IF(COUNTIF($X$3:X145,X145)=1,1,0))</f>
        <v>0</v>
      </c>
      <c r="Z145">
        <f>IF(V145&lt;&gt;1,0,IF(X145="",0,IF(COUNTIF($X$3:X144,X145)&gt;0,1,0)))</f>
        <v>0</v>
      </c>
      <c r="AA145">
        <f t="shared" si="16"/>
        <v>0</v>
      </c>
      <c r="AB145">
        <f t="shared" si="17"/>
        <v>0</v>
      </c>
      <c r="AC145">
        <f>IF(I145="",0,L145*IFERROR(INDEX(کاتالوگ_محصولات!$G$4:$G$303,MATCH(I145,کاتالوگ_محصولات!$A$4:$A$303,0)),0))</f>
        <v>0</v>
      </c>
      <c r="AD145">
        <f t="shared" si="20"/>
        <v>0</v>
      </c>
      <c r="AE145" t="str">
        <f t="shared" si="21"/>
        <v/>
      </c>
    </row>
    <row r="146" spans="1:31" ht="18" customHeight="1">
      <c r="A146" s="161"/>
      <c r="B146" s="161"/>
      <c r="C146" s="162"/>
      <c r="D146" s="162"/>
      <c r="E146" s="162"/>
      <c r="F146" s="162"/>
      <c r="G146" s="162"/>
      <c r="H146" s="162"/>
      <c r="I146" s="163"/>
      <c r="J146" s="163"/>
      <c r="K146" s="161"/>
      <c r="L146" s="161"/>
      <c r="M146" s="164"/>
      <c r="N146" s="164"/>
      <c r="O146" s="195"/>
      <c r="P146" s="162"/>
      <c r="Q146" s="162"/>
      <c r="R146" s="162"/>
      <c r="S146" s="162"/>
      <c r="T146" s="162"/>
      <c r="U146" s="162"/>
      <c r="V146">
        <f>IF(A146="",0,IF(COUNTIF($A$3:A146,A146)=1,1,0))</f>
        <v>0</v>
      </c>
      <c r="W146">
        <f t="shared" si="18"/>
        <v>0</v>
      </c>
      <c r="X146" t="str">
        <f t="shared" si="19"/>
        <v/>
      </c>
      <c r="Y146">
        <f>IF(X146="",0,IF(COUNTIF($X$3:X146,X146)=1,1,0))</f>
        <v>0</v>
      </c>
      <c r="Z146">
        <f>IF(V146&lt;&gt;1,0,IF(X146="",0,IF(COUNTIF($X$3:X145,X146)&gt;0,1,0)))</f>
        <v>0</v>
      </c>
      <c r="AA146">
        <f t="shared" si="16"/>
        <v>0</v>
      </c>
      <c r="AB146">
        <f t="shared" si="17"/>
        <v>0</v>
      </c>
      <c r="AC146">
        <f>IF(I146="",0,L146*IFERROR(INDEX(کاتالوگ_محصولات!$G$4:$G$303,MATCH(I146,کاتالوگ_محصولات!$A$4:$A$303,0)),0))</f>
        <v>0</v>
      </c>
      <c r="AD146">
        <f t="shared" si="20"/>
        <v>0</v>
      </c>
      <c r="AE146" t="str">
        <f t="shared" si="21"/>
        <v/>
      </c>
    </row>
    <row r="147" spans="1:31" ht="18" customHeight="1">
      <c r="A147" s="161"/>
      <c r="B147" s="161"/>
      <c r="C147" s="162"/>
      <c r="D147" s="162"/>
      <c r="E147" s="162"/>
      <c r="F147" s="162"/>
      <c r="G147" s="162"/>
      <c r="H147" s="162"/>
      <c r="I147" s="163"/>
      <c r="J147" s="163"/>
      <c r="K147" s="161"/>
      <c r="L147" s="161"/>
      <c r="M147" s="164"/>
      <c r="N147" s="164"/>
      <c r="O147" s="195"/>
      <c r="P147" s="162"/>
      <c r="Q147" s="162"/>
      <c r="R147" s="162"/>
      <c r="S147" s="162"/>
      <c r="T147" s="162"/>
      <c r="U147" s="162"/>
      <c r="V147">
        <f>IF(A147="",0,IF(COUNTIF($A$3:A147,A147)=1,1,0))</f>
        <v>0</v>
      </c>
      <c r="W147">
        <f t="shared" si="18"/>
        <v>0</v>
      </c>
      <c r="X147" t="str">
        <f t="shared" si="19"/>
        <v/>
      </c>
      <c r="Y147">
        <f>IF(X147="",0,IF(COUNTIF($X$3:X147,X147)=1,1,0))</f>
        <v>0</v>
      </c>
      <c r="Z147">
        <f>IF(V147&lt;&gt;1,0,IF(X147="",0,IF(COUNTIF($X$3:X146,X147)&gt;0,1,0)))</f>
        <v>0</v>
      </c>
      <c r="AA147">
        <f t="shared" si="16"/>
        <v>0</v>
      </c>
      <c r="AB147">
        <f t="shared" si="17"/>
        <v>0</v>
      </c>
      <c r="AC147">
        <f>IF(I147="",0,L147*IFERROR(INDEX(کاتالوگ_محصولات!$G$4:$G$303,MATCH(I147,کاتالوگ_محصولات!$A$4:$A$303,0)),0))</f>
        <v>0</v>
      </c>
      <c r="AD147">
        <f t="shared" si="20"/>
        <v>0</v>
      </c>
      <c r="AE147" t="str">
        <f t="shared" si="21"/>
        <v/>
      </c>
    </row>
    <row r="148" spans="1:31" ht="18" customHeight="1">
      <c r="A148" s="161"/>
      <c r="B148" s="161"/>
      <c r="C148" s="162"/>
      <c r="D148" s="162"/>
      <c r="E148" s="162"/>
      <c r="F148" s="162"/>
      <c r="G148" s="162"/>
      <c r="H148" s="162"/>
      <c r="I148" s="163"/>
      <c r="J148" s="163"/>
      <c r="K148" s="161"/>
      <c r="L148" s="161"/>
      <c r="M148" s="164"/>
      <c r="N148" s="164"/>
      <c r="O148" s="195"/>
      <c r="P148" s="162"/>
      <c r="Q148" s="162"/>
      <c r="R148" s="162"/>
      <c r="S148" s="162"/>
      <c r="T148" s="162"/>
      <c r="U148" s="162"/>
      <c r="V148">
        <f>IF(A148="",0,IF(COUNTIF($A$3:A148,A148)=1,1,0))</f>
        <v>0</v>
      </c>
      <c r="W148">
        <f t="shared" si="18"/>
        <v>0</v>
      </c>
      <c r="X148" t="str">
        <f t="shared" si="19"/>
        <v/>
      </c>
      <c r="Y148">
        <f>IF(X148="",0,IF(COUNTIF($X$3:X148,X148)=1,1,0))</f>
        <v>0</v>
      </c>
      <c r="Z148">
        <f>IF(V148&lt;&gt;1,0,IF(X148="",0,IF(COUNTIF($X$3:X147,X148)&gt;0,1,0)))</f>
        <v>0</v>
      </c>
      <c r="AA148">
        <f t="shared" si="16"/>
        <v>0</v>
      </c>
      <c r="AB148">
        <f t="shared" si="17"/>
        <v>0</v>
      </c>
      <c r="AC148">
        <f>IF(I148="",0,L148*IFERROR(INDEX(کاتالوگ_محصولات!$G$4:$G$303,MATCH(I148,کاتالوگ_محصولات!$A$4:$A$303,0)),0))</f>
        <v>0</v>
      </c>
      <c r="AD148">
        <f t="shared" si="20"/>
        <v>0</v>
      </c>
      <c r="AE148" t="str">
        <f t="shared" si="21"/>
        <v/>
      </c>
    </row>
    <row r="149" spans="1:31" ht="18" customHeight="1">
      <c r="A149" s="161"/>
      <c r="B149" s="161"/>
      <c r="C149" s="162"/>
      <c r="D149" s="162"/>
      <c r="E149" s="162"/>
      <c r="F149" s="162"/>
      <c r="G149" s="162"/>
      <c r="H149" s="162"/>
      <c r="I149" s="163"/>
      <c r="J149" s="163"/>
      <c r="K149" s="161"/>
      <c r="L149" s="161"/>
      <c r="M149" s="164"/>
      <c r="N149" s="164"/>
      <c r="O149" s="195"/>
      <c r="P149" s="162"/>
      <c r="Q149" s="162"/>
      <c r="R149" s="162"/>
      <c r="S149" s="162"/>
      <c r="T149" s="162"/>
      <c r="U149" s="162"/>
      <c r="V149">
        <f>IF(A149="",0,IF(COUNTIF($A$3:A149,A149)=1,1,0))</f>
        <v>0</v>
      </c>
      <c r="W149">
        <f t="shared" si="18"/>
        <v>0</v>
      </c>
      <c r="X149" t="str">
        <f t="shared" si="19"/>
        <v/>
      </c>
      <c r="Y149">
        <f>IF(X149="",0,IF(COUNTIF($X$3:X149,X149)=1,1,0))</f>
        <v>0</v>
      </c>
      <c r="Z149">
        <f>IF(V149&lt;&gt;1,0,IF(X149="",0,IF(COUNTIF($X$3:X148,X149)&gt;0,1,0)))</f>
        <v>0</v>
      </c>
      <c r="AA149">
        <f t="shared" si="16"/>
        <v>0</v>
      </c>
      <c r="AB149">
        <f t="shared" si="17"/>
        <v>0</v>
      </c>
      <c r="AC149">
        <f>IF(I149="",0,L149*IFERROR(INDEX(کاتالوگ_محصولات!$G$4:$G$303,MATCH(I149,کاتالوگ_محصولات!$A$4:$A$303,0)),0))</f>
        <v>0</v>
      </c>
      <c r="AD149">
        <f t="shared" si="20"/>
        <v>0</v>
      </c>
      <c r="AE149" t="str">
        <f t="shared" si="21"/>
        <v/>
      </c>
    </row>
    <row r="150" spans="1:31" ht="18" customHeight="1">
      <c r="A150" s="161"/>
      <c r="B150" s="161"/>
      <c r="C150" s="162"/>
      <c r="D150" s="162"/>
      <c r="E150" s="162"/>
      <c r="F150" s="162"/>
      <c r="G150" s="162"/>
      <c r="H150" s="162"/>
      <c r="I150" s="163"/>
      <c r="J150" s="163"/>
      <c r="K150" s="161"/>
      <c r="L150" s="161"/>
      <c r="M150" s="164"/>
      <c r="N150" s="164"/>
      <c r="O150" s="195"/>
      <c r="P150" s="162"/>
      <c r="Q150" s="162"/>
      <c r="R150" s="162"/>
      <c r="S150" s="162"/>
      <c r="T150" s="162"/>
      <c r="U150" s="162"/>
      <c r="V150">
        <f>IF(A150="",0,IF(COUNTIF($A$3:A150,A150)=1,1,0))</f>
        <v>0</v>
      </c>
      <c r="W150">
        <f t="shared" si="18"/>
        <v>0</v>
      </c>
      <c r="X150" t="str">
        <f t="shared" si="19"/>
        <v/>
      </c>
      <c r="Y150">
        <f>IF(X150="",0,IF(COUNTIF($X$3:X150,X150)=1,1,0))</f>
        <v>0</v>
      </c>
      <c r="Z150">
        <f>IF(V150&lt;&gt;1,0,IF(X150="",0,IF(COUNTIF($X$3:X149,X150)&gt;0,1,0)))</f>
        <v>0</v>
      </c>
      <c r="AA150">
        <f t="shared" si="16"/>
        <v>0</v>
      </c>
      <c r="AB150">
        <f t="shared" si="17"/>
        <v>0</v>
      </c>
      <c r="AC150">
        <f>IF(I150="",0,L150*IFERROR(INDEX(کاتالوگ_محصولات!$G$4:$G$303,MATCH(I150,کاتالوگ_محصولات!$A$4:$A$303,0)),0))</f>
        <v>0</v>
      </c>
      <c r="AD150">
        <f t="shared" si="20"/>
        <v>0</v>
      </c>
      <c r="AE150" t="str">
        <f t="shared" si="21"/>
        <v/>
      </c>
    </row>
    <row r="151" spans="1:31" ht="18" customHeight="1">
      <c r="A151" s="161"/>
      <c r="B151" s="161"/>
      <c r="C151" s="162"/>
      <c r="D151" s="162"/>
      <c r="E151" s="162"/>
      <c r="F151" s="162"/>
      <c r="G151" s="162"/>
      <c r="H151" s="162"/>
      <c r="I151" s="163"/>
      <c r="J151" s="163"/>
      <c r="K151" s="161"/>
      <c r="L151" s="161"/>
      <c r="M151" s="164"/>
      <c r="N151" s="164"/>
      <c r="O151" s="195"/>
      <c r="P151" s="162"/>
      <c r="Q151" s="162"/>
      <c r="R151" s="162"/>
      <c r="S151" s="162"/>
      <c r="T151" s="162"/>
      <c r="U151" s="162"/>
      <c r="V151">
        <f>IF(A151="",0,IF(COUNTIF($A$3:A151,A151)=1,1,0))</f>
        <v>0</v>
      </c>
      <c r="W151">
        <f t="shared" si="18"/>
        <v>0</v>
      </c>
      <c r="X151" t="str">
        <f t="shared" si="19"/>
        <v/>
      </c>
      <c r="Y151">
        <f>IF(X151="",0,IF(COUNTIF($X$3:X151,X151)=1,1,0))</f>
        <v>0</v>
      </c>
      <c r="Z151">
        <f>IF(V151&lt;&gt;1,0,IF(X151="",0,IF(COUNTIF($X$3:X150,X151)&gt;0,1,0)))</f>
        <v>0</v>
      </c>
      <c r="AA151">
        <f t="shared" si="16"/>
        <v>0</v>
      </c>
      <c r="AB151">
        <f t="shared" si="17"/>
        <v>0</v>
      </c>
      <c r="AC151">
        <f>IF(I151="",0,L151*IFERROR(INDEX(کاتالوگ_محصولات!$G$4:$G$303,MATCH(I151,کاتالوگ_محصولات!$A$4:$A$303,0)),0))</f>
        <v>0</v>
      </c>
      <c r="AD151">
        <f t="shared" si="20"/>
        <v>0</v>
      </c>
      <c r="AE151" t="str">
        <f t="shared" si="21"/>
        <v/>
      </c>
    </row>
    <row r="152" spans="1:31" ht="18" customHeight="1">
      <c r="A152" s="161"/>
      <c r="B152" s="161"/>
      <c r="C152" s="162"/>
      <c r="D152" s="162"/>
      <c r="E152" s="162"/>
      <c r="F152" s="162"/>
      <c r="G152" s="162"/>
      <c r="H152" s="162"/>
      <c r="I152" s="163"/>
      <c r="J152" s="163"/>
      <c r="K152" s="161"/>
      <c r="L152" s="161"/>
      <c r="M152" s="164"/>
      <c r="N152" s="164"/>
      <c r="O152" s="195"/>
      <c r="P152" s="162"/>
      <c r="Q152" s="162"/>
      <c r="R152" s="162"/>
      <c r="S152" s="162"/>
      <c r="T152" s="162"/>
      <c r="U152" s="162"/>
      <c r="V152">
        <f>IF(A152="",0,IF(COUNTIF($A$3:A152,A152)=1,1,0))</f>
        <v>0</v>
      </c>
      <c r="W152">
        <f t="shared" si="18"/>
        <v>0</v>
      </c>
      <c r="X152" t="str">
        <f t="shared" si="19"/>
        <v/>
      </c>
      <c r="Y152">
        <f>IF(X152="",0,IF(COUNTIF($X$3:X152,X152)=1,1,0))</f>
        <v>0</v>
      </c>
      <c r="Z152">
        <f>IF(V152&lt;&gt;1,0,IF(X152="",0,IF(COUNTIF($X$3:X151,X152)&gt;0,1,0)))</f>
        <v>0</v>
      </c>
      <c r="AA152">
        <f t="shared" si="16"/>
        <v>0</v>
      </c>
      <c r="AB152">
        <f t="shared" si="17"/>
        <v>0</v>
      </c>
      <c r="AC152">
        <f>IF(I152="",0,L152*IFERROR(INDEX(کاتالوگ_محصولات!$G$4:$G$303,MATCH(I152,کاتالوگ_محصولات!$A$4:$A$303,0)),0))</f>
        <v>0</v>
      </c>
      <c r="AD152">
        <f t="shared" si="20"/>
        <v>0</v>
      </c>
      <c r="AE152" t="str">
        <f t="shared" si="21"/>
        <v/>
      </c>
    </row>
    <row r="153" spans="1:31" ht="18" customHeight="1">
      <c r="A153" s="161"/>
      <c r="B153" s="161"/>
      <c r="C153" s="162"/>
      <c r="D153" s="162"/>
      <c r="E153" s="162"/>
      <c r="F153" s="162"/>
      <c r="G153" s="162"/>
      <c r="H153" s="162"/>
      <c r="I153" s="163"/>
      <c r="J153" s="163"/>
      <c r="K153" s="161"/>
      <c r="L153" s="161"/>
      <c r="M153" s="164"/>
      <c r="N153" s="164"/>
      <c r="O153" s="195"/>
      <c r="P153" s="162"/>
      <c r="Q153" s="162"/>
      <c r="R153" s="162"/>
      <c r="S153" s="162"/>
      <c r="T153" s="162"/>
      <c r="U153" s="162"/>
      <c r="V153">
        <f>IF(A153="",0,IF(COUNTIF($A$3:A153,A153)=1,1,0))</f>
        <v>0</v>
      </c>
      <c r="W153">
        <f t="shared" si="18"/>
        <v>0</v>
      </c>
      <c r="X153" t="str">
        <f t="shared" si="19"/>
        <v/>
      </c>
      <c r="Y153">
        <f>IF(X153="",0,IF(COUNTIF($X$3:X153,X153)=1,1,0))</f>
        <v>0</v>
      </c>
      <c r="Z153">
        <f>IF(V153&lt;&gt;1,0,IF(X153="",0,IF(COUNTIF($X$3:X152,X153)&gt;0,1,0)))</f>
        <v>0</v>
      </c>
      <c r="AA153">
        <f t="shared" si="16"/>
        <v>0</v>
      </c>
      <c r="AB153">
        <f t="shared" si="17"/>
        <v>0</v>
      </c>
      <c r="AC153">
        <f>IF(I153="",0,L153*IFERROR(INDEX(کاتالوگ_محصولات!$G$4:$G$303,MATCH(I153,کاتالوگ_محصولات!$A$4:$A$303,0)),0))</f>
        <v>0</v>
      </c>
      <c r="AD153">
        <f t="shared" si="20"/>
        <v>0</v>
      </c>
      <c r="AE153" t="str">
        <f t="shared" si="21"/>
        <v/>
      </c>
    </row>
    <row r="154" spans="1:31" ht="18" customHeight="1">
      <c r="A154" s="161"/>
      <c r="B154" s="161"/>
      <c r="C154" s="162"/>
      <c r="D154" s="162"/>
      <c r="E154" s="162"/>
      <c r="F154" s="162"/>
      <c r="G154" s="162"/>
      <c r="H154" s="162"/>
      <c r="I154" s="163"/>
      <c r="J154" s="163"/>
      <c r="K154" s="161"/>
      <c r="L154" s="161"/>
      <c r="M154" s="164"/>
      <c r="N154" s="164"/>
      <c r="O154" s="195"/>
      <c r="P154" s="162"/>
      <c r="Q154" s="162"/>
      <c r="R154" s="162"/>
      <c r="S154" s="162"/>
      <c r="T154" s="162"/>
      <c r="U154" s="162"/>
      <c r="V154">
        <f>IF(A154="",0,IF(COUNTIF($A$3:A154,A154)=1,1,0))</f>
        <v>0</v>
      </c>
      <c r="W154">
        <f t="shared" si="18"/>
        <v>0</v>
      </c>
      <c r="X154" t="str">
        <f t="shared" si="19"/>
        <v/>
      </c>
      <c r="Y154">
        <f>IF(X154="",0,IF(COUNTIF($X$3:X154,X154)=1,1,0))</f>
        <v>0</v>
      </c>
      <c r="Z154">
        <f>IF(V154&lt;&gt;1,0,IF(X154="",0,IF(COUNTIF($X$3:X153,X154)&gt;0,1,0)))</f>
        <v>0</v>
      </c>
      <c r="AA154">
        <f t="shared" si="16"/>
        <v>0</v>
      </c>
      <c r="AB154">
        <f t="shared" si="17"/>
        <v>0</v>
      </c>
      <c r="AC154">
        <f>IF(I154="",0,L154*IFERROR(INDEX(کاتالوگ_محصولات!$G$4:$G$303,MATCH(I154,کاتالوگ_محصولات!$A$4:$A$303,0)),0))</f>
        <v>0</v>
      </c>
      <c r="AD154">
        <f t="shared" si="20"/>
        <v>0</v>
      </c>
      <c r="AE154" t="str">
        <f t="shared" si="21"/>
        <v/>
      </c>
    </row>
    <row r="155" spans="1:31" ht="18" customHeight="1">
      <c r="A155" s="161"/>
      <c r="B155" s="161"/>
      <c r="C155" s="162"/>
      <c r="D155" s="162"/>
      <c r="E155" s="162"/>
      <c r="F155" s="162"/>
      <c r="G155" s="162"/>
      <c r="H155" s="162"/>
      <c r="I155" s="163"/>
      <c r="J155" s="163"/>
      <c r="K155" s="161"/>
      <c r="L155" s="161"/>
      <c r="M155" s="164"/>
      <c r="N155" s="164"/>
      <c r="O155" s="195"/>
      <c r="P155" s="162"/>
      <c r="Q155" s="162"/>
      <c r="R155" s="162"/>
      <c r="S155" s="162"/>
      <c r="T155" s="162"/>
      <c r="U155" s="162"/>
      <c r="V155">
        <f>IF(A155="",0,IF(COUNTIF($A$3:A155,A155)=1,1,0))</f>
        <v>0</v>
      </c>
      <c r="W155">
        <f t="shared" si="18"/>
        <v>0</v>
      </c>
      <c r="X155" t="str">
        <f t="shared" si="19"/>
        <v/>
      </c>
      <c r="Y155">
        <f>IF(X155="",0,IF(COUNTIF($X$3:X155,X155)=1,1,0))</f>
        <v>0</v>
      </c>
      <c r="Z155">
        <f>IF(V155&lt;&gt;1,0,IF(X155="",0,IF(COUNTIF($X$3:X154,X155)&gt;0,1,0)))</f>
        <v>0</v>
      </c>
      <c r="AA155">
        <f t="shared" si="16"/>
        <v>0</v>
      </c>
      <c r="AB155">
        <f t="shared" si="17"/>
        <v>0</v>
      </c>
      <c r="AC155">
        <f>IF(I155="",0,L155*IFERROR(INDEX(کاتالوگ_محصولات!$G$4:$G$303,MATCH(I155,کاتالوگ_محصولات!$A$4:$A$303,0)),0))</f>
        <v>0</v>
      </c>
      <c r="AD155">
        <f t="shared" si="20"/>
        <v>0</v>
      </c>
      <c r="AE155" t="str">
        <f t="shared" si="21"/>
        <v/>
      </c>
    </row>
    <row r="156" spans="1:31" ht="18" customHeight="1">
      <c r="A156" s="161"/>
      <c r="B156" s="161"/>
      <c r="C156" s="162"/>
      <c r="D156" s="162"/>
      <c r="E156" s="162"/>
      <c r="F156" s="162"/>
      <c r="G156" s="162"/>
      <c r="H156" s="162"/>
      <c r="I156" s="163"/>
      <c r="J156" s="163"/>
      <c r="K156" s="161"/>
      <c r="L156" s="161"/>
      <c r="M156" s="164"/>
      <c r="N156" s="164"/>
      <c r="O156" s="195"/>
      <c r="P156" s="162"/>
      <c r="Q156" s="162"/>
      <c r="R156" s="162"/>
      <c r="S156" s="162"/>
      <c r="T156" s="162"/>
      <c r="U156" s="162"/>
      <c r="V156">
        <f>IF(A156="",0,IF(COUNTIF($A$3:A156,A156)=1,1,0))</f>
        <v>0</v>
      </c>
      <c r="W156">
        <f t="shared" si="18"/>
        <v>0</v>
      </c>
      <c r="X156" t="str">
        <f t="shared" si="19"/>
        <v/>
      </c>
      <c r="Y156">
        <f>IF(X156="",0,IF(COUNTIF($X$3:X156,X156)=1,1,0))</f>
        <v>0</v>
      </c>
      <c r="Z156">
        <f>IF(V156&lt;&gt;1,0,IF(X156="",0,IF(COUNTIF($X$3:X155,X156)&gt;0,1,0)))</f>
        <v>0</v>
      </c>
      <c r="AA156">
        <f t="shared" si="16"/>
        <v>0</v>
      </c>
      <c r="AB156">
        <f t="shared" si="17"/>
        <v>0</v>
      </c>
      <c r="AC156">
        <f>IF(I156="",0,L156*IFERROR(INDEX(کاتالوگ_محصولات!$G$4:$G$303,MATCH(I156,کاتالوگ_محصولات!$A$4:$A$303,0)),0))</f>
        <v>0</v>
      </c>
      <c r="AD156">
        <f t="shared" si="20"/>
        <v>0</v>
      </c>
      <c r="AE156" t="str">
        <f t="shared" si="21"/>
        <v/>
      </c>
    </row>
    <row r="157" spans="1:31" ht="18" customHeight="1">
      <c r="A157" s="161"/>
      <c r="B157" s="161"/>
      <c r="C157" s="162"/>
      <c r="D157" s="162"/>
      <c r="E157" s="162"/>
      <c r="F157" s="162"/>
      <c r="G157" s="162"/>
      <c r="H157" s="162"/>
      <c r="I157" s="163"/>
      <c r="J157" s="163"/>
      <c r="K157" s="161"/>
      <c r="L157" s="161"/>
      <c r="M157" s="164"/>
      <c r="N157" s="164"/>
      <c r="O157" s="195"/>
      <c r="P157" s="162"/>
      <c r="Q157" s="162"/>
      <c r="R157" s="162"/>
      <c r="S157" s="162"/>
      <c r="T157" s="162"/>
      <c r="U157" s="162"/>
      <c r="V157">
        <f>IF(A157="",0,IF(COUNTIF($A$3:A157,A157)=1,1,0))</f>
        <v>0</v>
      </c>
      <c r="W157">
        <f t="shared" si="18"/>
        <v>0</v>
      </c>
      <c r="X157" t="str">
        <f t="shared" si="19"/>
        <v/>
      </c>
      <c r="Y157">
        <f>IF(X157="",0,IF(COUNTIF($X$3:X157,X157)=1,1,0))</f>
        <v>0</v>
      </c>
      <c r="Z157">
        <f>IF(V157&lt;&gt;1,0,IF(X157="",0,IF(COUNTIF($X$3:X156,X157)&gt;0,1,0)))</f>
        <v>0</v>
      </c>
      <c r="AA157">
        <f t="shared" si="16"/>
        <v>0</v>
      </c>
      <c r="AB157">
        <f t="shared" si="17"/>
        <v>0</v>
      </c>
      <c r="AC157">
        <f>IF(I157="",0,L157*IFERROR(INDEX(کاتالوگ_محصولات!$G$4:$G$303,MATCH(I157,کاتالوگ_محصولات!$A$4:$A$303,0)),0))</f>
        <v>0</v>
      </c>
      <c r="AD157">
        <f t="shared" si="20"/>
        <v>0</v>
      </c>
      <c r="AE157" t="str">
        <f t="shared" si="21"/>
        <v/>
      </c>
    </row>
    <row r="158" spans="1:31" ht="18" customHeight="1">
      <c r="V158">
        <f>IF(A158="",0,IF(COUNTIF($A$3:A158,A158)=1,1,0))</f>
        <v>0</v>
      </c>
      <c r="W158">
        <f t="shared" si="18"/>
        <v>0</v>
      </c>
      <c r="X158" t="str">
        <f t="shared" si="19"/>
        <v/>
      </c>
      <c r="Y158">
        <f>IF(X158="",0,IF(COUNTIF($X$3:X158,X158)=1,1,0))</f>
        <v>0</v>
      </c>
      <c r="Z158">
        <f>IF(V158&lt;&gt;1,0,IF(X158="",0,IF(COUNTIF($X$3:X157,X158)&gt;0,1,0)))</f>
        <v>0</v>
      </c>
      <c r="AA158">
        <f t="shared" si="16"/>
        <v>0</v>
      </c>
      <c r="AB158">
        <f t="shared" si="17"/>
        <v>0</v>
      </c>
      <c r="AC158">
        <f>IF(I158="",0,L158*IFERROR(INDEX(کاتالوگ_محصولات!$G$4:$G$303,MATCH(I158,کاتالوگ_محصولات!$A$4:$A$303,0)),0))</f>
        <v>0</v>
      </c>
      <c r="AD158">
        <f t="shared" si="20"/>
        <v>0</v>
      </c>
      <c r="AE158" t="str">
        <f t="shared" si="21"/>
        <v/>
      </c>
    </row>
    <row r="159" spans="1:31" ht="18" customHeight="1">
      <c r="V159">
        <f>IF(A159="",0,IF(COUNTIF($A$3:A159,A159)=1,1,0))</f>
        <v>0</v>
      </c>
      <c r="W159">
        <f t="shared" si="18"/>
        <v>0</v>
      </c>
      <c r="X159" t="str">
        <f t="shared" si="19"/>
        <v/>
      </c>
      <c r="Y159">
        <f>IF(X159="",0,IF(COUNTIF($X$3:X159,X159)=1,1,0))</f>
        <v>0</v>
      </c>
      <c r="Z159">
        <f>IF(V159&lt;&gt;1,0,IF(X159="",0,IF(COUNTIF($X$3:X158,X159)&gt;0,1,0)))</f>
        <v>0</v>
      </c>
      <c r="AA159">
        <f t="shared" si="16"/>
        <v>0</v>
      </c>
      <c r="AB159">
        <f t="shared" si="17"/>
        <v>0</v>
      </c>
      <c r="AC159">
        <f>IF(I159="",0,L159*IFERROR(INDEX(کاتالوگ_محصولات!$G$4:$G$303,MATCH(I159,کاتالوگ_محصولات!$A$4:$A$303,0)),0))</f>
        <v>0</v>
      </c>
      <c r="AD159">
        <f t="shared" si="20"/>
        <v>0</v>
      </c>
      <c r="AE159" t="str">
        <f t="shared" si="21"/>
        <v/>
      </c>
    </row>
    <row r="160" spans="1:31" ht="18" customHeight="1">
      <c r="V160">
        <f>IF(A160="",0,IF(COUNTIF($A$3:A160,A160)=1,1,0))</f>
        <v>0</v>
      </c>
      <c r="W160">
        <f t="shared" si="18"/>
        <v>0</v>
      </c>
      <c r="X160" t="str">
        <f t="shared" si="19"/>
        <v/>
      </c>
      <c r="Y160">
        <f>IF(X160="",0,IF(COUNTIF($X$3:X160,X160)=1,1,0))</f>
        <v>0</v>
      </c>
      <c r="Z160">
        <f>IF(V160&lt;&gt;1,0,IF(X160="",0,IF(COUNTIF($X$3:X159,X160)&gt;0,1,0)))</f>
        <v>0</v>
      </c>
      <c r="AA160">
        <f t="shared" si="16"/>
        <v>0</v>
      </c>
      <c r="AB160">
        <f t="shared" si="17"/>
        <v>0</v>
      </c>
      <c r="AC160">
        <f>IF(I160="",0,L160*IFERROR(INDEX(کاتالوگ_محصولات!$G$4:$G$303,MATCH(I160,کاتالوگ_محصولات!$A$4:$A$303,0)),0))</f>
        <v>0</v>
      </c>
      <c r="AD160">
        <f t="shared" si="20"/>
        <v>0</v>
      </c>
      <c r="AE160" t="str">
        <f t="shared" si="21"/>
        <v/>
      </c>
    </row>
    <row r="161" spans="22:31" ht="18" customHeight="1">
      <c r="V161">
        <f>IF(A161="",0,IF(COUNTIF($A$3:A161,A161)=1,1,0))</f>
        <v>0</v>
      </c>
      <c r="W161">
        <f t="shared" si="18"/>
        <v>0</v>
      </c>
      <c r="X161" t="str">
        <f t="shared" si="19"/>
        <v/>
      </c>
      <c r="Y161">
        <f>IF(X161="",0,IF(COUNTIF($X$3:X161,X161)=1,1,0))</f>
        <v>0</v>
      </c>
      <c r="Z161">
        <f>IF(V161&lt;&gt;1,0,IF(X161="",0,IF(COUNTIF($X$3:X160,X161)&gt;0,1,0)))</f>
        <v>0</v>
      </c>
      <c r="AA161">
        <f t="shared" si="16"/>
        <v>0</v>
      </c>
      <c r="AB161">
        <f t="shared" si="17"/>
        <v>0</v>
      </c>
      <c r="AC161">
        <f>IF(I161="",0,L161*IFERROR(INDEX(کاتالوگ_محصولات!$G$4:$G$303,MATCH(I161,کاتالوگ_محصولات!$A$4:$A$303,0)),0))</f>
        <v>0</v>
      </c>
      <c r="AD161">
        <f t="shared" si="20"/>
        <v>0</v>
      </c>
      <c r="AE161" t="str">
        <f t="shared" si="21"/>
        <v/>
      </c>
    </row>
    <row r="162" spans="22:31" ht="18" customHeight="1">
      <c r="V162">
        <f>IF(A162="",0,IF(COUNTIF($A$3:A162,A162)=1,1,0))</f>
        <v>0</v>
      </c>
      <c r="W162">
        <f t="shared" si="18"/>
        <v>0</v>
      </c>
      <c r="X162" t="str">
        <f t="shared" si="19"/>
        <v/>
      </c>
      <c r="Y162">
        <f>IF(X162="",0,IF(COUNTIF($X$3:X162,X162)=1,1,0))</f>
        <v>0</v>
      </c>
      <c r="Z162">
        <f>IF(V162&lt;&gt;1,0,IF(X162="",0,IF(COUNTIF($X$3:X161,X162)&gt;0,1,0)))</f>
        <v>0</v>
      </c>
      <c r="AA162">
        <f t="shared" si="16"/>
        <v>0</v>
      </c>
      <c r="AB162">
        <f t="shared" si="17"/>
        <v>0</v>
      </c>
      <c r="AC162">
        <f>IF(I162="",0,L162*IFERROR(INDEX(کاتالوگ_محصولات!$G$4:$G$303,MATCH(I162,کاتالوگ_محصولات!$A$4:$A$303,0)),0))</f>
        <v>0</v>
      </c>
      <c r="AD162">
        <f t="shared" si="20"/>
        <v>0</v>
      </c>
      <c r="AE162" t="str">
        <f t="shared" si="21"/>
        <v/>
      </c>
    </row>
    <row r="163" spans="22:31" ht="18" customHeight="1">
      <c r="V163">
        <f>IF(A163="",0,IF(COUNTIF($A$3:A163,A163)=1,1,0))</f>
        <v>0</v>
      </c>
      <c r="W163">
        <f t="shared" si="18"/>
        <v>0</v>
      </c>
      <c r="X163" t="str">
        <f t="shared" si="19"/>
        <v/>
      </c>
      <c r="Y163">
        <f>IF(X163="",0,IF(COUNTIF($X$3:X163,X163)=1,1,0))</f>
        <v>0</v>
      </c>
      <c r="Z163">
        <f>IF(V163&lt;&gt;1,0,IF(X163="",0,IF(COUNTIF($X$3:X162,X163)&gt;0,1,0)))</f>
        <v>0</v>
      </c>
      <c r="AA163">
        <f t="shared" si="16"/>
        <v>0</v>
      </c>
      <c r="AB163">
        <f t="shared" si="17"/>
        <v>0</v>
      </c>
      <c r="AC163">
        <f>IF(I163="",0,L163*IFERROR(INDEX(کاتالوگ_محصولات!$G$4:$G$303,MATCH(I163,کاتالوگ_محصولات!$A$4:$A$303,0)),0))</f>
        <v>0</v>
      </c>
      <c r="AD163">
        <f t="shared" si="20"/>
        <v>0</v>
      </c>
      <c r="AE163" t="str">
        <f t="shared" si="21"/>
        <v/>
      </c>
    </row>
    <row r="164" spans="22:31" ht="18" customHeight="1">
      <c r="V164">
        <f>IF(A164="",0,IF(COUNTIF($A$3:A164,A164)=1,1,0))</f>
        <v>0</v>
      </c>
      <c r="W164">
        <f t="shared" si="18"/>
        <v>0</v>
      </c>
      <c r="X164" t="str">
        <f t="shared" si="19"/>
        <v/>
      </c>
      <c r="Y164">
        <f>IF(X164="",0,IF(COUNTIF($X$3:X164,X164)=1,1,0))</f>
        <v>0</v>
      </c>
      <c r="Z164">
        <f>IF(V164&lt;&gt;1,0,IF(X164="",0,IF(COUNTIF($X$3:X163,X164)&gt;0,1,0)))</f>
        <v>0</v>
      </c>
      <c r="AA164">
        <f t="shared" si="16"/>
        <v>0</v>
      </c>
      <c r="AB164">
        <f t="shared" si="17"/>
        <v>0</v>
      </c>
      <c r="AC164">
        <f>IF(I164="",0,L164*IFERROR(INDEX(کاتالوگ_محصولات!$G$4:$G$303,MATCH(I164,کاتالوگ_محصولات!$A$4:$A$303,0)),0))</f>
        <v>0</v>
      </c>
      <c r="AD164">
        <f t="shared" si="20"/>
        <v>0</v>
      </c>
      <c r="AE164" t="str">
        <f t="shared" si="21"/>
        <v/>
      </c>
    </row>
    <row r="165" spans="22:31" ht="18" customHeight="1">
      <c r="V165">
        <f>IF(A165="",0,IF(COUNTIF($A$3:A165,A165)=1,1,0))</f>
        <v>0</v>
      </c>
      <c r="W165">
        <f t="shared" si="18"/>
        <v>0</v>
      </c>
      <c r="X165" t="str">
        <f t="shared" si="19"/>
        <v/>
      </c>
      <c r="Y165">
        <f>IF(X165="",0,IF(COUNTIF($X$3:X165,X165)=1,1,0))</f>
        <v>0</v>
      </c>
      <c r="Z165">
        <f>IF(V165&lt;&gt;1,0,IF(X165="",0,IF(COUNTIF($X$3:X164,X165)&gt;0,1,0)))</f>
        <v>0</v>
      </c>
      <c r="AA165">
        <f t="shared" si="16"/>
        <v>0</v>
      </c>
      <c r="AB165">
        <f t="shared" si="17"/>
        <v>0</v>
      </c>
      <c r="AC165">
        <f>IF(I165="",0,L165*IFERROR(INDEX(کاتالوگ_محصولات!$G$4:$G$303,MATCH(I165,کاتالوگ_محصولات!$A$4:$A$303,0)),0))</f>
        <v>0</v>
      </c>
      <c r="AD165">
        <f t="shared" si="20"/>
        <v>0</v>
      </c>
      <c r="AE165" t="str">
        <f t="shared" si="21"/>
        <v/>
      </c>
    </row>
    <row r="166" spans="22:31" ht="18" customHeight="1">
      <c r="V166">
        <f>IF(A166="",0,IF(COUNTIF($A$3:A166,A166)=1,1,0))</f>
        <v>0</v>
      </c>
      <c r="W166">
        <f t="shared" si="18"/>
        <v>0</v>
      </c>
      <c r="X166" t="str">
        <f t="shared" si="19"/>
        <v/>
      </c>
      <c r="Y166">
        <f>IF(X166="",0,IF(COUNTIF($X$3:X166,X166)=1,1,0))</f>
        <v>0</v>
      </c>
      <c r="Z166">
        <f>IF(V166&lt;&gt;1,0,IF(X166="",0,IF(COUNTIF($X$3:X165,X166)&gt;0,1,0)))</f>
        <v>0</v>
      </c>
      <c r="AA166">
        <f t="shared" si="16"/>
        <v>0</v>
      </c>
      <c r="AB166">
        <f t="shared" si="17"/>
        <v>0</v>
      </c>
      <c r="AC166">
        <f>IF(I166="",0,L166*IFERROR(INDEX(کاتالوگ_محصولات!$G$4:$G$303,MATCH(I166,کاتالوگ_محصولات!$A$4:$A$303,0)),0))</f>
        <v>0</v>
      </c>
      <c r="AD166">
        <f t="shared" si="20"/>
        <v>0</v>
      </c>
      <c r="AE166" t="str">
        <f t="shared" si="21"/>
        <v/>
      </c>
    </row>
    <row r="167" spans="22:31" ht="18" customHeight="1">
      <c r="V167">
        <f>IF(A167="",0,IF(COUNTIF($A$3:A167,A167)=1,1,0))</f>
        <v>0</v>
      </c>
      <c r="W167">
        <f t="shared" si="18"/>
        <v>0</v>
      </c>
      <c r="X167" t="str">
        <f t="shared" si="19"/>
        <v/>
      </c>
      <c r="Y167">
        <f>IF(X167="",0,IF(COUNTIF($X$3:X167,X167)=1,1,0))</f>
        <v>0</v>
      </c>
      <c r="Z167">
        <f>IF(V167&lt;&gt;1,0,IF(X167="",0,IF(COUNTIF($X$3:X166,X167)&gt;0,1,0)))</f>
        <v>0</v>
      </c>
      <c r="AA167">
        <f t="shared" si="16"/>
        <v>0</v>
      </c>
      <c r="AB167">
        <f t="shared" si="17"/>
        <v>0</v>
      </c>
      <c r="AC167">
        <f>IF(I167="",0,L167*IFERROR(INDEX(کاتالوگ_محصولات!$G$4:$G$303,MATCH(I167,کاتالوگ_محصولات!$A$4:$A$303,0)),0))</f>
        <v>0</v>
      </c>
      <c r="AD167">
        <f t="shared" si="20"/>
        <v>0</v>
      </c>
      <c r="AE167" t="str">
        <f t="shared" si="21"/>
        <v/>
      </c>
    </row>
    <row r="168" spans="22:31" ht="18" customHeight="1">
      <c r="V168">
        <f>IF(A168="",0,IF(COUNTIF($A$3:A168,A168)=1,1,0))</f>
        <v>0</v>
      </c>
      <c r="W168">
        <f t="shared" si="18"/>
        <v>0</v>
      </c>
      <c r="X168" t="str">
        <f t="shared" si="19"/>
        <v/>
      </c>
      <c r="Y168">
        <f>IF(X168="",0,IF(COUNTIF($X$3:X168,X168)=1,1,0))</f>
        <v>0</v>
      </c>
      <c r="Z168">
        <f>IF(V168&lt;&gt;1,0,IF(X168="",0,IF(COUNTIF($X$3:X167,X168)&gt;0,1,0)))</f>
        <v>0</v>
      </c>
      <c r="AA168">
        <f t="shared" si="16"/>
        <v>0</v>
      </c>
      <c r="AB168">
        <f t="shared" si="17"/>
        <v>0</v>
      </c>
      <c r="AC168">
        <f>IF(I168="",0,L168*IFERROR(INDEX(کاتالوگ_محصولات!$G$4:$G$303,MATCH(I168,کاتالوگ_محصولات!$A$4:$A$303,0)),0))</f>
        <v>0</v>
      </c>
      <c r="AD168">
        <f t="shared" si="20"/>
        <v>0</v>
      </c>
      <c r="AE168" t="str">
        <f t="shared" si="21"/>
        <v/>
      </c>
    </row>
    <row r="169" spans="22:31" ht="18" customHeight="1">
      <c r="V169">
        <f>IF(A169="",0,IF(COUNTIF($A$3:A169,A169)=1,1,0))</f>
        <v>0</v>
      </c>
      <c r="W169">
        <f t="shared" si="18"/>
        <v>0</v>
      </c>
      <c r="X169" t="str">
        <f t="shared" si="19"/>
        <v/>
      </c>
      <c r="Y169">
        <f>IF(X169="",0,IF(COUNTIF($X$3:X169,X169)=1,1,0))</f>
        <v>0</v>
      </c>
      <c r="Z169">
        <f>IF(V169&lt;&gt;1,0,IF(X169="",0,IF(COUNTIF($X$3:X168,X169)&gt;0,1,0)))</f>
        <v>0</v>
      </c>
      <c r="AA169">
        <f t="shared" si="16"/>
        <v>0</v>
      </c>
      <c r="AB169">
        <f t="shared" si="17"/>
        <v>0</v>
      </c>
      <c r="AC169">
        <f>IF(I169="",0,L169*IFERROR(INDEX(کاتالوگ_محصولات!$G$4:$G$303,MATCH(I169,کاتالوگ_محصولات!$A$4:$A$303,0)),0))</f>
        <v>0</v>
      </c>
      <c r="AD169">
        <f t="shared" si="20"/>
        <v>0</v>
      </c>
      <c r="AE169" t="str">
        <f t="shared" si="21"/>
        <v/>
      </c>
    </row>
    <row r="170" spans="22:31" ht="18" customHeight="1">
      <c r="V170">
        <f>IF(A170="",0,IF(COUNTIF($A$3:A170,A170)=1,1,0))</f>
        <v>0</v>
      </c>
      <c r="W170">
        <f t="shared" si="18"/>
        <v>0</v>
      </c>
      <c r="X170" t="str">
        <f t="shared" si="19"/>
        <v/>
      </c>
      <c r="Y170">
        <f>IF(X170="",0,IF(COUNTIF($X$3:X170,X170)=1,1,0))</f>
        <v>0</v>
      </c>
      <c r="Z170">
        <f>IF(V170&lt;&gt;1,0,IF(X170="",0,IF(COUNTIF($X$3:X169,X170)&gt;0,1,0)))</f>
        <v>0</v>
      </c>
      <c r="AA170">
        <f t="shared" si="16"/>
        <v>0</v>
      </c>
      <c r="AB170">
        <f t="shared" si="17"/>
        <v>0</v>
      </c>
      <c r="AC170">
        <f>IF(I170="",0,L170*IFERROR(INDEX(کاتالوگ_محصولات!$G$4:$G$303,MATCH(I170,کاتالوگ_محصولات!$A$4:$A$303,0)),0))</f>
        <v>0</v>
      </c>
      <c r="AD170">
        <f t="shared" si="20"/>
        <v>0</v>
      </c>
      <c r="AE170" t="str">
        <f t="shared" si="21"/>
        <v/>
      </c>
    </row>
    <row r="171" spans="22:31" ht="18" customHeight="1">
      <c r="V171">
        <f>IF(A171="",0,IF(COUNTIF($A$3:A171,A171)=1,1,0))</f>
        <v>0</v>
      </c>
      <c r="W171">
        <f t="shared" si="18"/>
        <v>0</v>
      </c>
      <c r="X171" t="str">
        <f t="shared" si="19"/>
        <v/>
      </c>
      <c r="Y171">
        <f>IF(X171="",0,IF(COUNTIF($X$3:X171,X171)=1,1,0))</f>
        <v>0</v>
      </c>
      <c r="Z171">
        <f>IF(V171&lt;&gt;1,0,IF(X171="",0,IF(COUNTIF($X$3:X170,X171)&gt;0,1,0)))</f>
        <v>0</v>
      </c>
      <c r="AA171">
        <f t="shared" si="16"/>
        <v>0</v>
      </c>
      <c r="AB171">
        <f t="shared" si="17"/>
        <v>0</v>
      </c>
      <c r="AC171">
        <f>IF(I171="",0,L171*IFERROR(INDEX(کاتالوگ_محصولات!$G$4:$G$303,MATCH(I171,کاتالوگ_محصولات!$A$4:$A$303,0)),0))</f>
        <v>0</v>
      </c>
      <c r="AD171">
        <f t="shared" si="20"/>
        <v>0</v>
      </c>
      <c r="AE171" t="str">
        <f t="shared" si="21"/>
        <v/>
      </c>
    </row>
    <row r="172" spans="22:31" ht="18" customHeight="1">
      <c r="V172">
        <f>IF(A172="",0,IF(COUNTIF($A$3:A172,A172)=1,1,0))</f>
        <v>0</v>
      </c>
      <c r="W172">
        <f t="shared" si="18"/>
        <v>0</v>
      </c>
      <c r="X172" t="str">
        <f t="shared" si="19"/>
        <v/>
      </c>
      <c r="Y172">
        <f>IF(X172="",0,IF(COUNTIF($X$3:X172,X172)=1,1,0))</f>
        <v>0</v>
      </c>
      <c r="Z172">
        <f>IF(V172&lt;&gt;1,0,IF(X172="",0,IF(COUNTIF($X$3:X171,X172)&gt;0,1,0)))</f>
        <v>0</v>
      </c>
      <c r="AA172">
        <f t="shared" si="16"/>
        <v>0</v>
      </c>
      <c r="AB172">
        <f t="shared" si="17"/>
        <v>0</v>
      </c>
      <c r="AC172">
        <f>IF(I172="",0,L172*IFERROR(INDEX(کاتالوگ_محصولات!$G$4:$G$303,MATCH(I172,کاتالوگ_محصولات!$A$4:$A$303,0)),0))</f>
        <v>0</v>
      </c>
      <c r="AD172">
        <f t="shared" si="20"/>
        <v>0</v>
      </c>
      <c r="AE172" t="str">
        <f t="shared" si="21"/>
        <v/>
      </c>
    </row>
    <row r="173" spans="22:31" ht="18" customHeight="1">
      <c r="V173">
        <f>IF(A173="",0,IF(COUNTIF($A$3:A173,A173)=1,1,0))</f>
        <v>0</v>
      </c>
      <c r="W173">
        <f t="shared" si="18"/>
        <v>0</v>
      </c>
      <c r="X173" t="str">
        <f t="shared" si="19"/>
        <v/>
      </c>
      <c r="Y173">
        <f>IF(X173="",0,IF(COUNTIF($X$3:X173,X173)=1,1,0))</f>
        <v>0</v>
      </c>
      <c r="Z173">
        <f>IF(V173&lt;&gt;1,0,IF(X173="",0,IF(COUNTIF($X$3:X172,X173)&gt;0,1,0)))</f>
        <v>0</v>
      </c>
      <c r="AA173">
        <f t="shared" si="16"/>
        <v>0</v>
      </c>
      <c r="AB173">
        <f t="shared" si="17"/>
        <v>0</v>
      </c>
      <c r="AC173">
        <f>IF(I173="",0,L173*IFERROR(INDEX(کاتالوگ_محصولات!$G$4:$G$303,MATCH(I173,کاتالوگ_محصولات!$A$4:$A$303,0)),0))</f>
        <v>0</v>
      </c>
      <c r="AD173">
        <f t="shared" si="20"/>
        <v>0</v>
      </c>
      <c r="AE173" t="str">
        <f t="shared" si="21"/>
        <v/>
      </c>
    </row>
    <row r="174" spans="22:31" ht="18" customHeight="1">
      <c r="V174">
        <f>IF(A174="",0,IF(COUNTIF($A$3:A174,A174)=1,1,0))</f>
        <v>0</v>
      </c>
      <c r="W174">
        <f t="shared" si="18"/>
        <v>0</v>
      </c>
      <c r="X174" t="str">
        <f t="shared" si="19"/>
        <v/>
      </c>
      <c r="Y174">
        <f>IF(X174="",0,IF(COUNTIF($X$3:X174,X174)=1,1,0))</f>
        <v>0</v>
      </c>
      <c r="Z174">
        <f>IF(V174&lt;&gt;1,0,IF(X174="",0,IF(COUNTIF($X$3:X173,X174)&gt;0,1,0)))</f>
        <v>0</v>
      </c>
      <c r="AA174">
        <f t="shared" si="16"/>
        <v>0</v>
      </c>
      <c r="AB174">
        <f t="shared" si="17"/>
        <v>0</v>
      </c>
      <c r="AC174">
        <f>IF(I174="",0,L174*IFERROR(INDEX(کاتالوگ_محصولات!$G$4:$G$303,MATCH(I174,کاتالوگ_محصولات!$A$4:$A$303,0)),0))</f>
        <v>0</v>
      </c>
      <c r="AD174">
        <f t="shared" si="20"/>
        <v>0</v>
      </c>
      <c r="AE174" t="str">
        <f t="shared" si="21"/>
        <v/>
      </c>
    </row>
    <row r="175" spans="22:31" ht="18" customHeight="1">
      <c r="V175">
        <f>IF(A175="",0,IF(COUNTIF($A$3:A175,A175)=1,1,0))</f>
        <v>0</v>
      </c>
      <c r="W175">
        <f t="shared" si="18"/>
        <v>0</v>
      </c>
      <c r="X175" t="str">
        <f t="shared" si="19"/>
        <v/>
      </c>
      <c r="Y175">
        <f>IF(X175="",0,IF(COUNTIF($X$3:X175,X175)=1,1,0))</f>
        <v>0</v>
      </c>
      <c r="Z175">
        <f>IF(V175&lt;&gt;1,0,IF(X175="",0,IF(COUNTIF($X$3:X174,X175)&gt;0,1,0)))</f>
        <v>0</v>
      </c>
      <c r="AA175">
        <f t="shared" si="16"/>
        <v>0</v>
      </c>
      <c r="AB175">
        <f t="shared" si="17"/>
        <v>0</v>
      </c>
      <c r="AC175">
        <f>IF(I175="",0,L175*IFERROR(INDEX(کاتالوگ_محصولات!$G$4:$G$303,MATCH(I175,کاتالوگ_محصولات!$A$4:$A$303,0)),0))</f>
        <v>0</v>
      </c>
      <c r="AD175">
        <f t="shared" si="20"/>
        <v>0</v>
      </c>
      <c r="AE175" t="str">
        <f t="shared" si="21"/>
        <v/>
      </c>
    </row>
    <row r="176" spans="22:31" ht="18" customHeight="1">
      <c r="V176">
        <f>IF(A176="",0,IF(COUNTIF($A$3:A176,A176)=1,1,0))</f>
        <v>0</v>
      </c>
      <c r="W176">
        <f t="shared" si="18"/>
        <v>0</v>
      </c>
      <c r="X176" t="str">
        <f t="shared" si="19"/>
        <v/>
      </c>
      <c r="Y176">
        <f>IF(X176="",0,IF(COUNTIF($X$3:X176,X176)=1,1,0))</f>
        <v>0</v>
      </c>
      <c r="Z176">
        <f>IF(V176&lt;&gt;1,0,IF(X176="",0,IF(COUNTIF($X$3:X175,X176)&gt;0,1,0)))</f>
        <v>0</v>
      </c>
      <c r="AA176">
        <f t="shared" si="16"/>
        <v>0</v>
      </c>
      <c r="AB176">
        <f t="shared" si="17"/>
        <v>0</v>
      </c>
      <c r="AC176">
        <f>IF(I176="",0,L176*IFERROR(INDEX(کاتالوگ_محصولات!$G$4:$G$303,MATCH(I176,کاتالوگ_محصولات!$A$4:$A$303,0)),0))</f>
        <v>0</v>
      </c>
      <c r="AD176">
        <f t="shared" si="20"/>
        <v>0</v>
      </c>
      <c r="AE176" t="str">
        <f t="shared" si="21"/>
        <v/>
      </c>
    </row>
    <row r="177" spans="22:31" ht="18" customHeight="1">
      <c r="V177">
        <f>IF(A177="",0,IF(COUNTIF($A$3:A177,A177)=1,1,0))</f>
        <v>0</v>
      </c>
      <c r="W177">
        <f t="shared" si="18"/>
        <v>0</v>
      </c>
      <c r="X177" t="str">
        <f t="shared" si="19"/>
        <v/>
      </c>
      <c r="Y177">
        <f>IF(X177="",0,IF(COUNTIF($X$3:X177,X177)=1,1,0))</f>
        <v>0</v>
      </c>
      <c r="Z177">
        <f>IF(V177&lt;&gt;1,0,IF(X177="",0,IF(COUNTIF($X$3:X176,X177)&gt;0,1,0)))</f>
        <v>0</v>
      </c>
      <c r="AA177">
        <f t="shared" si="16"/>
        <v>0</v>
      </c>
      <c r="AB177">
        <f t="shared" si="17"/>
        <v>0</v>
      </c>
      <c r="AC177">
        <f>IF(I177="",0,L177*IFERROR(INDEX(کاتالوگ_محصولات!$G$4:$G$303,MATCH(I177,کاتالوگ_محصولات!$A$4:$A$303,0)),0))</f>
        <v>0</v>
      </c>
      <c r="AD177">
        <f t="shared" si="20"/>
        <v>0</v>
      </c>
      <c r="AE177" t="str">
        <f t="shared" si="21"/>
        <v/>
      </c>
    </row>
    <row r="178" spans="22:31" ht="18" customHeight="1">
      <c r="V178">
        <f>IF(A178="",0,IF(COUNTIF($A$3:A178,A178)=1,1,0))</f>
        <v>0</v>
      </c>
      <c r="W178">
        <f t="shared" si="18"/>
        <v>0</v>
      </c>
      <c r="X178" t="str">
        <f t="shared" si="19"/>
        <v/>
      </c>
      <c r="Y178">
        <f>IF(X178="",0,IF(COUNTIF($X$3:X178,X178)=1,1,0))</f>
        <v>0</v>
      </c>
      <c r="Z178">
        <f>IF(V178&lt;&gt;1,0,IF(X178="",0,IF(COUNTIF($X$3:X177,X178)&gt;0,1,0)))</f>
        <v>0</v>
      </c>
      <c r="AA178">
        <f t="shared" si="16"/>
        <v>0</v>
      </c>
      <c r="AB178">
        <f t="shared" si="17"/>
        <v>0</v>
      </c>
      <c r="AC178">
        <f>IF(I178="",0,L178*IFERROR(INDEX(کاتالوگ_محصولات!$G$4:$G$303,MATCH(I178,کاتالوگ_محصولات!$A$4:$A$303,0)),0))</f>
        <v>0</v>
      </c>
      <c r="AD178">
        <f t="shared" si="20"/>
        <v>0</v>
      </c>
      <c r="AE178" t="str">
        <f t="shared" si="21"/>
        <v/>
      </c>
    </row>
    <row r="179" spans="22:31" ht="18" customHeight="1">
      <c r="V179">
        <f>IF(A179="",0,IF(COUNTIF($A$3:A179,A179)=1,1,0))</f>
        <v>0</v>
      </c>
      <c r="W179">
        <f t="shared" si="18"/>
        <v>0</v>
      </c>
      <c r="X179" t="str">
        <f t="shared" si="19"/>
        <v/>
      </c>
      <c r="Y179">
        <f>IF(X179="",0,IF(COUNTIF($X$3:X179,X179)=1,1,0))</f>
        <v>0</v>
      </c>
      <c r="Z179">
        <f>IF(V179&lt;&gt;1,0,IF(X179="",0,IF(COUNTIF($X$3:X178,X179)&gt;0,1,0)))</f>
        <v>0</v>
      </c>
      <c r="AA179">
        <f t="shared" si="16"/>
        <v>0</v>
      </c>
      <c r="AB179">
        <f t="shared" si="17"/>
        <v>0</v>
      </c>
      <c r="AC179">
        <f>IF(I179="",0,L179*IFERROR(INDEX(کاتالوگ_محصولات!$G$4:$G$303,MATCH(I179,کاتالوگ_محصولات!$A$4:$A$303,0)),0))</f>
        <v>0</v>
      </c>
      <c r="AD179">
        <f t="shared" si="20"/>
        <v>0</v>
      </c>
      <c r="AE179" t="str">
        <f t="shared" si="21"/>
        <v/>
      </c>
    </row>
    <row r="180" spans="22:31" ht="18" customHeight="1">
      <c r="V180">
        <f>IF(A180="",0,IF(COUNTIF($A$3:A180,A180)=1,1,0))</f>
        <v>0</v>
      </c>
      <c r="W180">
        <f t="shared" si="18"/>
        <v>0</v>
      </c>
      <c r="X180" t="str">
        <f t="shared" si="19"/>
        <v/>
      </c>
      <c r="Y180">
        <f>IF(X180="",0,IF(COUNTIF($X$3:X180,X180)=1,1,0))</f>
        <v>0</v>
      </c>
      <c r="Z180">
        <f>IF(V180&lt;&gt;1,0,IF(X180="",0,IF(COUNTIF($X$3:X179,X180)&gt;0,1,0)))</f>
        <v>0</v>
      </c>
      <c r="AA180">
        <f t="shared" si="16"/>
        <v>0</v>
      </c>
      <c r="AB180">
        <f t="shared" si="17"/>
        <v>0</v>
      </c>
      <c r="AC180">
        <f>IF(I180="",0,L180*IFERROR(INDEX(کاتالوگ_محصولات!$G$4:$G$303,MATCH(I180,کاتالوگ_محصولات!$A$4:$A$303,0)),0))</f>
        <v>0</v>
      </c>
      <c r="AD180">
        <f t="shared" si="20"/>
        <v>0</v>
      </c>
      <c r="AE180" t="str">
        <f t="shared" si="21"/>
        <v/>
      </c>
    </row>
    <row r="181" spans="22:31" ht="18" customHeight="1">
      <c r="V181">
        <f>IF(A181="",0,IF(COUNTIF($A$3:A181,A181)=1,1,0))</f>
        <v>0</v>
      </c>
      <c r="W181">
        <f t="shared" si="18"/>
        <v>0</v>
      </c>
      <c r="X181" t="str">
        <f t="shared" si="19"/>
        <v/>
      </c>
      <c r="Y181">
        <f>IF(X181="",0,IF(COUNTIF($X$3:X181,X181)=1,1,0))</f>
        <v>0</v>
      </c>
      <c r="Z181">
        <f>IF(V181&lt;&gt;1,0,IF(X181="",0,IF(COUNTIF($X$3:X180,X181)&gt;0,1,0)))</f>
        <v>0</v>
      </c>
      <c r="AA181">
        <f t="shared" si="16"/>
        <v>0</v>
      </c>
      <c r="AB181">
        <f t="shared" si="17"/>
        <v>0</v>
      </c>
      <c r="AC181">
        <f>IF(I181="",0,L181*IFERROR(INDEX(کاتالوگ_محصولات!$G$4:$G$303,MATCH(I181,کاتالوگ_محصولات!$A$4:$A$303,0)),0))</f>
        <v>0</v>
      </c>
      <c r="AD181">
        <f t="shared" si="20"/>
        <v>0</v>
      </c>
      <c r="AE181" t="str">
        <f t="shared" si="21"/>
        <v/>
      </c>
    </row>
    <row r="182" spans="22:31" ht="18" customHeight="1">
      <c r="V182">
        <f>IF(A182="",0,IF(COUNTIF($A$3:A182,A182)=1,1,0))</f>
        <v>0</v>
      </c>
      <c r="W182">
        <f t="shared" si="18"/>
        <v>0</v>
      </c>
      <c r="X182" t="str">
        <f t="shared" si="19"/>
        <v/>
      </c>
      <c r="Y182">
        <f>IF(X182="",0,IF(COUNTIF($X$3:X182,X182)=1,1,0))</f>
        <v>0</v>
      </c>
      <c r="Z182">
        <f>IF(V182&lt;&gt;1,0,IF(X182="",0,IF(COUNTIF($X$3:X181,X182)&gt;0,1,0)))</f>
        <v>0</v>
      </c>
      <c r="AA182">
        <f t="shared" si="16"/>
        <v>0</v>
      </c>
      <c r="AB182">
        <f t="shared" si="17"/>
        <v>0</v>
      </c>
      <c r="AC182">
        <f>IF(I182="",0,L182*IFERROR(INDEX(کاتالوگ_محصولات!$G$4:$G$303,MATCH(I182,کاتالوگ_محصولات!$A$4:$A$303,0)),0))</f>
        <v>0</v>
      </c>
      <c r="AD182">
        <f t="shared" si="20"/>
        <v>0</v>
      </c>
      <c r="AE182" t="str">
        <f t="shared" si="21"/>
        <v/>
      </c>
    </row>
    <row r="183" spans="22:31" ht="18" customHeight="1">
      <c r="V183">
        <f>IF(A183="",0,IF(COUNTIF($A$3:A183,A183)=1,1,0))</f>
        <v>0</v>
      </c>
      <c r="W183">
        <f t="shared" si="18"/>
        <v>0</v>
      </c>
      <c r="X183" t="str">
        <f t="shared" si="19"/>
        <v/>
      </c>
      <c r="Y183">
        <f>IF(X183="",0,IF(COUNTIF($X$3:X183,X183)=1,1,0))</f>
        <v>0</v>
      </c>
      <c r="Z183">
        <f>IF(V183&lt;&gt;1,0,IF(X183="",0,IF(COUNTIF($X$3:X182,X183)&gt;0,1,0)))</f>
        <v>0</v>
      </c>
      <c r="AA183">
        <f t="shared" si="16"/>
        <v>0</v>
      </c>
      <c r="AB183">
        <f t="shared" si="17"/>
        <v>0</v>
      </c>
      <c r="AC183">
        <f>IF(I183="",0,L183*IFERROR(INDEX(کاتالوگ_محصولات!$G$4:$G$303,MATCH(I183,کاتالوگ_محصولات!$A$4:$A$303,0)),0))</f>
        <v>0</v>
      </c>
      <c r="AD183">
        <f t="shared" si="20"/>
        <v>0</v>
      </c>
      <c r="AE183" t="str">
        <f t="shared" si="21"/>
        <v/>
      </c>
    </row>
    <row r="184" spans="22:31" ht="18" customHeight="1">
      <c r="V184">
        <f>IF(A184="",0,IF(COUNTIF($A$3:A184,A184)=1,1,0))</f>
        <v>0</v>
      </c>
      <c r="W184">
        <f t="shared" si="18"/>
        <v>0</v>
      </c>
      <c r="X184" t="str">
        <f t="shared" si="19"/>
        <v/>
      </c>
      <c r="Y184">
        <f>IF(X184="",0,IF(COUNTIF($X$3:X184,X184)=1,1,0))</f>
        <v>0</v>
      </c>
      <c r="Z184">
        <f>IF(V184&lt;&gt;1,0,IF(X184="",0,IF(COUNTIF($X$3:X183,X184)&gt;0,1,0)))</f>
        <v>0</v>
      </c>
      <c r="AA184">
        <f t="shared" si="16"/>
        <v>0</v>
      </c>
      <c r="AB184">
        <f t="shared" si="17"/>
        <v>0</v>
      </c>
      <c r="AC184">
        <f>IF(I184="",0,L184*IFERROR(INDEX(کاتالوگ_محصولات!$G$4:$G$303,MATCH(I184,کاتالوگ_محصولات!$A$4:$A$303,0)),0))</f>
        <v>0</v>
      </c>
      <c r="AD184">
        <f t="shared" si="20"/>
        <v>0</v>
      </c>
      <c r="AE184" t="str">
        <f t="shared" si="21"/>
        <v/>
      </c>
    </row>
    <row r="185" spans="22:31" ht="18" customHeight="1">
      <c r="V185">
        <f>IF(A185="",0,IF(COUNTIF($A$3:A185,A185)=1,1,0))</f>
        <v>0</v>
      </c>
      <c r="W185">
        <f t="shared" si="18"/>
        <v>0</v>
      </c>
      <c r="X185" t="str">
        <f t="shared" si="19"/>
        <v/>
      </c>
      <c r="Y185">
        <f>IF(X185="",0,IF(COUNTIF($X$3:X185,X185)=1,1,0))</f>
        <v>0</v>
      </c>
      <c r="Z185">
        <f>IF(V185&lt;&gt;1,0,IF(X185="",0,IF(COUNTIF($X$3:X184,X185)&gt;0,1,0)))</f>
        <v>0</v>
      </c>
      <c r="AA185">
        <f t="shared" si="16"/>
        <v>0</v>
      </c>
      <c r="AB185">
        <f t="shared" si="17"/>
        <v>0</v>
      </c>
      <c r="AC185">
        <f>IF(I185="",0,L185*IFERROR(INDEX(کاتالوگ_محصولات!$G$4:$G$303,MATCH(I185,کاتالوگ_محصولات!$A$4:$A$303,0)),0))</f>
        <v>0</v>
      </c>
      <c r="AD185">
        <f t="shared" si="20"/>
        <v>0</v>
      </c>
      <c r="AE185" t="str">
        <f t="shared" si="21"/>
        <v/>
      </c>
    </row>
    <row r="186" spans="22:31" ht="18" customHeight="1">
      <c r="V186">
        <f>IF(A186="",0,IF(COUNTIF($A$3:A186,A186)=1,1,0))</f>
        <v>0</v>
      </c>
      <c r="W186">
        <f t="shared" si="18"/>
        <v>0</v>
      </c>
      <c r="X186" t="str">
        <f t="shared" si="19"/>
        <v/>
      </c>
      <c r="Y186">
        <f>IF(X186="",0,IF(COUNTIF($X$3:X186,X186)=1,1,0))</f>
        <v>0</v>
      </c>
      <c r="Z186">
        <f>IF(V186&lt;&gt;1,0,IF(X186="",0,IF(COUNTIF($X$3:X185,X186)&gt;0,1,0)))</f>
        <v>0</v>
      </c>
      <c r="AA186">
        <f t="shared" si="16"/>
        <v>0</v>
      </c>
      <c r="AB186">
        <f t="shared" si="17"/>
        <v>0</v>
      </c>
      <c r="AC186">
        <f>IF(I186="",0,L186*IFERROR(INDEX(کاتالوگ_محصولات!$G$4:$G$303,MATCH(I186,کاتالوگ_محصولات!$A$4:$A$303,0)),0))</f>
        <v>0</v>
      </c>
      <c r="AD186">
        <f t="shared" si="20"/>
        <v>0</v>
      </c>
      <c r="AE186" t="str">
        <f t="shared" si="21"/>
        <v/>
      </c>
    </row>
    <row r="187" spans="22:31" ht="18" customHeight="1">
      <c r="V187">
        <f>IF(A187="",0,IF(COUNTIF($A$3:A187,A187)=1,1,0))</f>
        <v>0</v>
      </c>
      <c r="W187">
        <f t="shared" si="18"/>
        <v>0</v>
      </c>
      <c r="X187" t="str">
        <f t="shared" si="19"/>
        <v/>
      </c>
      <c r="Y187">
        <f>IF(X187="",0,IF(COUNTIF($X$3:X187,X187)=1,1,0))</f>
        <v>0</v>
      </c>
      <c r="Z187">
        <f>IF(V187&lt;&gt;1,0,IF(X187="",0,IF(COUNTIF($X$3:X186,X187)&gt;0,1,0)))</f>
        <v>0</v>
      </c>
      <c r="AA187">
        <f t="shared" si="16"/>
        <v>0</v>
      </c>
      <c r="AB187">
        <f t="shared" si="17"/>
        <v>0</v>
      </c>
      <c r="AC187">
        <f>IF(I187="",0,L187*IFERROR(INDEX(کاتالوگ_محصولات!$G$4:$G$303,MATCH(I187,کاتالوگ_محصولات!$A$4:$A$303,0)),0))</f>
        <v>0</v>
      </c>
      <c r="AD187">
        <f t="shared" si="20"/>
        <v>0</v>
      </c>
      <c r="AE187" t="str">
        <f t="shared" si="21"/>
        <v/>
      </c>
    </row>
    <row r="188" spans="22:31" ht="18" customHeight="1">
      <c r="V188">
        <f>IF(A188="",0,IF(COUNTIF($A$3:A188,A188)=1,1,0))</f>
        <v>0</v>
      </c>
      <c r="W188">
        <f t="shared" si="18"/>
        <v>0</v>
      </c>
      <c r="X188" t="str">
        <f t="shared" si="19"/>
        <v/>
      </c>
      <c r="Y188">
        <f>IF(X188="",0,IF(COUNTIF($X$3:X188,X188)=1,1,0))</f>
        <v>0</v>
      </c>
      <c r="Z188">
        <f>IF(V188&lt;&gt;1,0,IF(X188="",0,IF(COUNTIF($X$3:X187,X188)&gt;0,1,0)))</f>
        <v>0</v>
      </c>
      <c r="AA188">
        <f t="shared" si="16"/>
        <v>0</v>
      </c>
      <c r="AB188">
        <f t="shared" si="17"/>
        <v>0</v>
      </c>
      <c r="AC188">
        <f>IF(I188="",0,L188*IFERROR(INDEX(کاتالوگ_محصولات!$G$4:$G$303,MATCH(I188,کاتالوگ_محصولات!$A$4:$A$303,0)),0))</f>
        <v>0</v>
      </c>
      <c r="AD188">
        <f t="shared" si="20"/>
        <v>0</v>
      </c>
      <c r="AE188" t="str">
        <f t="shared" si="21"/>
        <v/>
      </c>
    </row>
    <row r="189" spans="22:31" ht="18" customHeight="1">
      <c r="V189">
        <f>IF(A189="",0,IF(COUNTIF($A$3:A189,A189)=1,1,0))</f>
        <v>0</v>
      </c>
      <c r="W189">
        <f t="shared" si="18"/>
        <v>0</v>
      </c>
      <c r="X189" t="str">
        <f t="shared" si="19"/>
        <v/>
      </c>
      <c r="Y189">
        <f>IF(X189="",0,IF(COUNTIF($X$3:X189,X189)=1,1,0))</f>
        <v>0</v>
      </c>
      <c r="Z189">
        <f>IF(V189&lt;&gt;1,0,IF(X189="",0,IF(COUNTIF($X$3:X188,X189)&gt;0,1,0)))</f>
        <v>0</v>
      </c>
      <c r="AA189">
        <f t="shared" si="16"/>
        <v>0</v>
      </c>
      <c r="AB189">
        <f t="shared" si="17"/>
        <v>0</v>
      </c>
      <c r="AC189">
        <f>IF(I189="",0,L189*IFERROR(INDEX(کاتالوگ_محصولات!$G$4:$G$303,MATCH(I189,کاتالوگ_محصولات!$A$4:$A$303,0)),0))</f>
        <v>0</v>
      </c>
      <c r="AD189">
        <f t="shared" si="20"/>
        <v>0</v>
      </c>
      <c r="AE189" t="str">
        <f t="shared" si="21"/>
        <v/>
      </c>
    </row>
    <row r="190" spans="22:31" ht="18" customHeight="1">
      <c r="V190">
        <f>IF(A190="",0,IF(COUNTIF($A$3:A190,A190)=1,1,0))</f>
        <v>0</v>
      </c>
      <c r="W190">
        <f t="shared" si="18"/>
        <v>0</v>
      </c>
      <c r="X190" t="str">
        <f t="shared" si="19"/>
        <v/>
      </c>
      <c r="Y190">
        <f>IF(X190="",0,IF(COUNTIF($X$3:X190,X190)=1,1,0))</f>
        <v>0</v>
      </c>
      <c r="Z190">
        <f>IF(V190&lt;&gt;1,0,IF(X190="",0,IF(COUNTIF($X$3:X189,X190)&gt;0,1,0)))</f>
        <v>0</v>
      </c>
      <c r="AA190">
        <f t="shared" si="16"/>
        <v>0</v>
      </c>
      <c r="AB190">
        <f t="shared" si="17"/>
        <v>0</v>
      </c>
      <c r="AC190">
        <f>IF(I190="",0,L190*IFERROR(INDEX(کاتالوگ_محصولات!$G$4:$G$303,MATCH(I190,کاتالوگ_محصولات!$A$4:$A$303,0)),0))</f>
        <v>0</v>
      </c>
      <c r="AD190">
        <f t="shared" si="20"/>
        <v>0</v>
      </c>
      <c r="AE190" t="str">
        <f t="shared" si="21"/>
        <v/>
      </c>
    </row>
    <row r="191" spans="22:31" ht="18" customHeight="1">
      <c r="V191">
        <f>IF(A191="",0,IF(COUNTIF($A$3:A191,A191)=1,1,0))</f>
        <v>0</v>
      </c>
      <c r="W191">
        <f t="shared" si="18"/>
        <v>0</v>
      </c>
      <c r="X191" t="str">
        <f t="shared" si="19"/>
        <v/>
      </c>
      <c r="Y191">
        <f>IF(X191="",0,IF(COUNTIF($X$3:X191,X191)=1,1,0))</f>
        <v>0</v>
      </c>
      <c r="Z191">
        <f>IF(V191&lt;&gt;1,0,IF(X191="",0,IF(COUNTIF($X$3:X190,X191)&gt;0,1,0)))</f>
        <v>0</v>
      </c>
      <c r="AA191">
        <f t="shared" si="16"/>
        <v>0</v>
      </c>
      <c r="AB191">
        <f t="shared" si="17"/>
        <v>0</v>
      </c>
      <c r="AC191">
        <f>IF(I191="",0,L191*IFERROR(INDEX(کاتالوگ_محصولات!$G$4:$G$303,MATCH(I191,کاتالوگ_محصولات!$A$4:$A$303,0)),0))</f>
        <v>0</v>
      </c>
      <c r="AD191">
        <f t="shared" si="20"/>
        <v>0</v>
      </c>
      <c r="AE191" t="str">
        <f t="shared" si="21"/>
        <v/>
      </c>
    </row>
    <row r="192" spans="22:31" ht="18" customHeight="1">
      <c r="V192">
        <f>IF(A192="",0,IF(COUNTIF($A$3:A192,A192)=1,1,0))</f>
        <v>0</v>
      </c>
      <c r="W192">
        <f t="shared" si="18"/>
        <v>0</v>
      </c>
      <c r="X192" t="str">
        <f t="shared" si="19"/>
        <v/>
      </c>
      <c r="Y192">
        <f>IF(X192="",0,IF(COUNTIF($X$3:X192,X192)=1,1,0))</f>
        <v>0</v>
      </c>
      <c r="Z192">
        <f>IF(V192&lt;&gt;1,0,IF(X192="",0,IF(COUNTIF($X$3:X191,X192)&gt;0,1,0)))</f>
        <v>0</v>
      </c>
      <c r="AA192">
        <f t="shared" si="16"/>
        <v>0</v>
      </c>
      <c r="AB192">
        <f t="shared" si="17"/>
        <v>0</v>
      </c>
      <c r="AC192">
        <f>IF(I192="",0,L192*IFERROR(INDEX(کاتالوگ_محصولات!$G$4:$G$303,MATCH(I192,کاتالوگ_محصولات!$A$4:$A$303,0)),0))</f>
        <v>0</v>
      </c>
      <c r="AD192">
        <f t="shared" si="20"/>
        <v>0</v>
      </c>
      <c r="AE192" t="str">
        <f t="shared" si="21"/>
        <v/>
      </c>
    </row>
    <row r="193" spans="22:31" ht="18" customHeight="1">
      <c r="V193">
        <f>IF(A193="",0,IF(COUNTIF($A$3:A193,A193)=1,1,0))</f>
        <v>0</v>
      </c>
      <c r="W193">
        <f t="shared" si="18"/>
        <v>0</v>
      </c>
      <c r="X193" t="str">
        <f t="shared" si="19"/>
        <v/>
      </c>
      <c r="Y193">
        <f>IF(X193="",0,IF(COUNTIF($X$3:X193,X193)=1,1,0))</f>
        <v>0</v>
      </c>
      <c r="Z193">
        <f>IF(V193&lt;&gt;1,0,IF(X193="",0,IF(COUNTIF($X$3:X192,X193)&gt;0,1,0)))</f>
        <v>0</v>
      </c>
      <c r="AA193">
        <f t="shared" si="16"/>
        <v>0</v>
      </c>
      <c r="AB193">
        <f t="shared" si="17"/>
        <v>0</v>
      </c>
      <c r="AC193">
        <f>IF(I193="",0,L193*IFERROR(INDEX(کاتالوگ_محصولات!$G$4:$G$303,MATCH(I193,کاتالوگ_محصولات!$A$4:$A$303,0)),0))</f>
        <v>0</v>
      </c>
      <c r="AD193">
        <f t="shared" si="20"/>
        <v>0</v>
      </c>
      <c r="AE193" t="str">
        <f t="shared" si="21"/>
        <v/>
      </c>
    </row>
    <row r="194" spans="22:31" ht="18" customHeight="1">
      <c r="V194">
        <f>IF(A194="",0,IF(COUNTIF($A$3:A194,A194)=1,1,0))</f>
        <v>0</v>
      </c>
      <c r="W194">
        <f t="shared" si="18"/>
        <v>0</v>
      </c>
      <c r="X194" t="str">
        <f t="shared" si="19"/>
        <v/>
      </c>
      <c r="Y194">
        <f>IF(X194="",0,IF(COUNTIF($X$3:X194,X194)=1,1,0))</f>
        <v>0</v>
      </c>
      <c r="Z194">
        <f>IF(V194&lt;&gt;1,0,IF(X194="",0,IF(COUNTIF($X$3:X193,X194)&gt;0,1,0)))</f>
        <v>0</v>
      </c>
      <c r="AA194">
        <f t="shared" si="16"/>
        <v>0</v>
      </c>
      <c r="AB194">
        <f t="shared" si="17"/>
        <v>0</v>
      </c>
      <c r="AC194">
        <f>IF(I194="",0,L194*IFERROR(INDEX(کاتالوگ_محصولات!$G$4:$G$303,MATCH(I194,کاتالوگ_محصولات!$A$4:$A$303,0)),0))</f>
        <v>0</v>
      </c>
      <c r="AD194">
        <f t="shared" si="20"/>
        <v>0</v>
      </c>
      <c r="AE194" t="str">
        <f t="shared" si="21"/>
        <v/>
      </c>
    </row>
    <row r="195" spans="22:31" ht="18" customHeight="1">
      <c r="V195">
        <f>IF(A195="",0,IF(COUNTIF($A$3:A195,A195)=1,1,0))</f>
        <v>0</v>
      </c>
      <c r="W195">
        <f t="shared" si="18"/>
        <v>0</v>
      </c>
      <c r="X195" t="str">
        <f t="shared" si="19"/>
        <v/>
      </c>
      <c r="Y195">
        <f>IF(X195="",0,IF(COUNTIF($X$3:X195,X195)=1,1,0))</f>
        <v>0</v>
      </c>
      <c r="Z195">
        <f>IF(V195&lt;&gt;1,0,IF(X195="",0,IF(COUNTIF($X$3:X194,X195)&gt;0,1,0)))</f>
        <v>0</v>
      </c>
      <c r="AA195">
        <f t="shared" ref="AA195:AA258" si="22">IF(V195=1,SUMIF($A$3:$A$1622,A195,$O$3:$O$1622),0)</f>
        <v>0</v>
      </c>
      <c r="AB195">
        <f t="shared" ref="AB195:AB258" si="23">IF(V195=1,SUMIF($A$3:$A$1622,A195,$L$3:$L$1622),0)</f>
        <v>0</v>
      </c>
      <c r="AC195">
        <f>IF(I195="",0,L195*IFERROR(INDEX(کاتالوگ_محصولات!$G$4:$G$303,MATCH(I195,کاتالوگ_محصولات!$A$4:$A$303,0)),0))</f>
        <v>0</v>
      </c>
      <c r="AD195">
        <f t="shared" si="20"/>
        <v>0</v>
      </c>
      <c r="AE195" t="str">
        <f t="shared" si="21"/>
        <v/>
      </c>
    </row>
    <row r="196" spans="22:31" ht="18" customHeight="1">
      <c r="V196">
        <f>IF(A196="",0,IF(COUNTIF($A$3:A196,A196)=1,1,0))</f>
        <v>0</v>
      </c>
      <c r="W196">
        <f t="shared" si="18"/>
        <v>0</v>
      </c>
      <c r="X196" t="str">
        <f t="shared" si="19"/>
        <v/>
      </c>
      <c r="Y196">
        <f>IF(X196="",0,IF(COUNTIF($X$3:X196,X196)=1,1,0))</f>
        <v>0</v>
      </c>
      <c r="Z196">
        <f>IF(V196&lt;&gt;1,0,IF(X196="",0,IF(COUNTIF($X$3:X195,X196)&gt;0,1,0)))</f>
        <v>0</v>
      </c>
      <c r="AA196">
        <f t="shared" si="22"/>
        <v>0</v>
      </c>
      <c r="AB196">
        <f t="shared" si="23"/>
        <v>0</v>
      </c>
      <c r="AC196">
        <f>IF(I196="",0,L196*IFERROR(INDEX(کاتالوگ_محصولات!$G$4:$G$303,MATCH(I196,کاتالوگ_محصولات!$A$4:$A$303,0)),0))</f>
        <v>0</v>
      </c>
      <c r="AD196">
        <f t="shared" si="20"/>
        <v>0</v>
      </c>
      <c r="AE196" t="str">
        <f t="shared" si="21"/>
        <v/>
      </c>
    </row>
    <row r="197" spans="22:31" ht="18" customHeight="1">
      <c r="V197">
        <f>IF(A197="",0,IF(COUNTIF($A$3:A197,A197)=1,1,0))</f>
        <v>0</v>
      </c>
      <c r="W197">
        <f t="shared" si="18"/>
        <v>0</v>
      </c>
      <c r="X197" t="str">
        <f t="shared" si="19"/>
        <v/>
      </c>
      <c r="Y197">
        <f>IF(X197="",0,IF(COUNTIF($X$3:X197,X197)=1,1,0))</f>
        <v>0</v>
      </c>
      <c r="Z197">
        <f>IF(V197&lt;&gt;1,0,IF(X197="",0,IF(COUNTIF($X$3:X196,X197)&gt;0,1,0)))</f>
        <v>0</v>
      </c>
      <c r="AA197">
        <f t="shared" si="22"/>
        <v>0</v>
      </c>
      <c r="AB197">
        <f t="shared" si="23"/>
        <v>0</v>
      </c>
      <c r="AC197">
        <f>IF(I197="",0,L197*IFERROR(INDEX(کاتالوگ_محصولات!$G$4:$G$303,MATCH(I197,کاتالوگ_محصولات!$A$4:$A$303,0)),0))</f>
        <v>0</v>
      </c>
      <c r="AD197">
        <f t="shared" si="20"/>
        <v>0</v>
      </c>
      <c r="AE197" t="str">
        <f t="shared" si="21"/>
        <v/>
      </c>
    </row>
    <row r="198" spans="22:31" ht="18" customHeight="1">
      <c r="V198">
        <f>IF(A198="",0,IF(COUNTIF($A$3:A198,A198)=1,1,0))</f>
        <v>0</v>
      </c>
      <c r="W198">
        <f t="shared" si="18"/>
        <v>0</v>
      </c>
      <c r="X198" t="str">
        <f t="shared" si="19"/>
        <v/>
      </c>
      <c r="Y198">
        <f>IF(X198="",0,IF(COUNTIF($X$3:X198,X198)=1,1,0))</f>
        <v>0</v>
      </c>
      <c r="Z198">
        <f>IF(V198&lt;&gt;1,0,IF(X198="",0,IF(COUNTIF($X$3:X197,X198)&gt;0,1,0)))</f>
        <v>0</v>
      </c>
      <c r="AA198">
        <f t="shared" si="22"/>
        <v>0</v>
      </c>
      <c r="AB198">
        <f t="shared" si="23"/>
        <v>0</v>
      </c>
      <c r="AC198">
        <f>IF(I198="",0,L198*IFERROR(INDEX(کاتالوگ_محصولات!$G$4:$G$303,MATCH(I198,کاتالوگ_محصولات!$A$4:$A$303,0)),0))</f>
        <v>0</v>
      </c>
      <c r="AD198">
        <f t="shared" si="20"/>
        <v>0</v>
      </c>
      <c r="AE198" t="str">
        <f t="shared" si="21"/>
        <v/>
      </c>
    </row>
    <row r="199" spans="22:31" ht="18" customHeight="1">
      <c r="V199">
        <f>IF(A199="",0,IF(COUNTIF($A$3:A199,A199)=1,1,0))</f>
        <v>0</v>
      </c>
      <c r="W199">
        <f t="shared" si="18"/>
        <v>0</v>
      </c>
      <c r="X199" t="str">
        <f t="shared" si="19"/>
        <v/>
      </c>
      <c r="Y199">
        <f>IF(X199="",0,IF(COUNTIF($X$3:X199,X199)=1,1,0))</f>
        <v>0</v>
      </c>
      <c r="Z199">
        <f>IF(V199&lt;&gt;1,0,IF(X199="",0,IF(COUNTIF($X$3:X198,X199)&gt;0,1,0)))</f>
        <v>0</v>
      </c>
      <c r="AA199">
        <f t="shared" si="22"/>
        <v>0</v>
      </c>
      <c r="AB199">
        <f t="shared" si="23"/>
        <v>0</v>
      </c>
      <c r="AC199">
        <f>IF(I199="",0,L199*IFERROR(INDEX(کاتالوگ_محصولات!$G$4:$G$303,MATCH(I199,کاتالوگ_محصولات!$A$4:$A$303,0)),0))</f>
        <v>0</v>
      </c>
      <c r="AD199">
        <f t="shared" si="20"/>
        <v>0</v>
      </c>
      <c r="AE199" t="str">
        <f t="shared" si="21"/>
        <v/>
      </c>
    </row>
    <row r="200" spans="22:31" ht="18" customHeight="1">
      <c r="V200">
        <f>IF(A200="",0,IF(COUNTIF($A$3:A200,A200)=1,1,0))</f>
        <v>0</v>
      </c>
      <c r="W200">
        <f t="shared" si="18"/>
        <v>0</v>
      </c>
      <c r="X200" t="str">
        <f t="shared" si="19"/>
        <v/>
      </c>
      <c r="Y200">
        <f>IF(X200="",0,IF(COUNTIF($X$3:X200,X200)=1,1,0))</f>
        <v>0</v>
      </c>
      <c r="Z200">
        <f>IF(V200&lt;&gt;1,0,IF(X200="",0,IF(COUNTIF($X$3:X199,X200)&gt;0,1,0)))</f>
        <v>0</v>
      </c>
      <c r="AA200">
        <f t="shared" si="22"/>
        <v>0</v>
      </c>
      <c r="AB200">
        <f t="shared" si="23"/>
        <v>0</v>
      </c>
      <c r="AC200">
        <f>IF(I200="",0,L200*IFERROR(INDEX(کاتالوگ_محصولات!$G$4:$G$303,MATCH(I200,کاتالوگ_محصولات!$A$4:$A$303,0)),0))</f>
        <v>0</v>
      </c>
      <c r="AD200">
        <f t="shared" si="20"/>
        <v>0</v>
      </c>
      <c r="AE200" t="str">
        <f t="shared" si="21"/>
        <v/>
      </c>
    </row>
    <row r="201" spans="22:31" ht="18" customHeight="1">
      <c r="V201">
        <f>IF(A201="",0,IF(COUNTIF($A$3:A201,A201)=1,1,0))</f>
        <v>0</v>
      </c>
      <c r="W201">
        <f t="shared" ref="W201:W264" si="24">IF(A201="",0,L201*M201)</f>
        <v>0</v>
      </c>
      <c r="X201" t="str">
        <f t="shared" ref="X201:X264" si="25">IF(R201&lt;&gt;"",R201,IF(AND(P201&lt;&gt;"",Q201&lt;&gt;""),P201&amp;"|"&amp;Q201,""))</f>
        <v/>
      </c>
      <c r="Y201">
        <f>IF(X201="",0,IF(COUNTIF($X$3:X201,X201)=1,1,0))</f>
        <v>0</v>
      </c>
      <c r="Z201">
        <f>IF(V201&lt;&gt;1,0,IF(X201="",0,IF(COUNTIF($X$3:X200,X201)&gt;0,1,0)))</f>
        <v>0</v>
      </c>
      <c r="AA201">
        <f t="shared" si="22"/>
        <v>0</v>
      </c>
      <c r="AB201">
        <f t="shared" si="23"/>
        <v>0</v>
      </c>
      <c r="AC201">
        <f>IF(I201="",0,L201*IFERROR(INDEX(کاتالوگ_محصولات!$G$4:$G$303,MATCH(I201,کاتالوگ_محصولات!$A$4:$A$303,0)),0))</f>
        <v>0</v>
      </c>
      <c r="AD201">
        <f t="shared" ref="AD201:AD264" si="26">IF(A201="",0,O201-AC201)</f>
        <v>0</v>
      </c>
      <c r="AE201" t="str">
        <f t="shared" ref="AE201:AE264" si="27">IF(B201="","",LEFT(B201,7))</f>
        <v/>
      </c>
    </row>
    <row r="202" spans="22:31" ht="18" customHeight="1">
      <c r="V202">
        <f>IF(A202="",0,IF(COUNTIF($A$3:A202,A202)=1,1,0))</f>
        <v>0</v>
      </c>
      <c r="W202">
        <f t="shared" si="24"/>
        <v>0</v>
      </c>
      <c r="X202" t="str">
        <f t="shared" si="25"/>
        <v/>
      </c>
      <c r="Y202">
        <f>IF(X202="",0,IF(COUNTIF($X$3:X202,X202)=1,1,0))</f>
        <v>0</v>
      </c>
      <c r="Z202">
        <f>IF(V202&lt;&gt;1,0,IF(X202="",0,IF(COUNTIF($X$3:X201,X202)&gt;0,1,0)))</f>
        <v>0</v>
      </c>
      <c r="AA202">
        <f t="shared" si="22"/>
        <v>0</v>
      </c>
      <c r="AB202">
        <f t="shared" si="23"/>
        <v>0</v>
      </c>
      <c r="AC202">
        <f>IF(I202="",0,L202*IFERROR(INDEX(کاتالوگ_محصولات!$G$4:$G$303,MATCH(I202,کاتالوگ_محصولات!$A$4:$A$303,0)),0))</f>
        <v>0</v>
      </c>
      <c r="AD202">
        <f t="shared" si="26"/>
        <v>0</v>
      </c>
      <c r="AE202" t="str">
        <f t="shared" si="27"/>
        <v/>
      </c>
    </row>
    <row r="203" spans="22:31" ht="18" customHeight="1">
      <c r="V203">
        <f>IF(A203="",0,IF(COUNTIF($A$3:A203,A203)=1,1,0))</f>
        <v>0</v>
      </c>
      <c r="W203">
        <f t="shared" si="24"/>
        <v>0</v>
      </c>
      <c r="X203" t="str">
        <f t="shared" si="25"/>
        <v/>
      </c>
      <c r="Y203">
        <f>IF(X203="",0,IF(COUNTIF($X$3:X203,X203)=1,1,0))</f>
        <v>0</v>
      </c>
      <c r="Z203">
        <f>IF(V203&lt;&gt;1,0,IF(X203="",0,IF(COUNTIF($X$3:X202,X203)&gt;0,1,0)))</f>
        <v>0</v>
      </c>
      <c r="AA203">
        <f t="shared" si="22"/>
        <v>0</v>
      </c>
      <c r="AB203">
        <f t="shared" si="23"/>
        <v>0</v>
      </c>
      <c r="AC203">
        <f>IF(I203="",0,L203*IFERROR(INDEX(کاتالوگ_محصولات!$G$4:$G$303,MATCH(I203,کاتالوگ_محصولات!$A$4:$A$303,0)),0))</f>
        <v>0</v>
      </c>
      <c r="AD203">
        <f t="shared" si="26"/>
        <v>0</v>
      </c>
      <c r="AE203" t="str">
        <f t="shared" si="27"/>
        <v/>
      </c>
    </row>
    <row r="204" spans="22:31" ht="18" customHeight="1">
      <c r="V204">
        <f>IF(A204="",0,IF(COUNTIF($A$3:A204,A204)=1,1,0))</f>
        <v>0</v>
      </c>
      <c r="W204">
        <f t="shared" si="24"/>
        <v>0</v>
      </c>
      <c r="X204" t="str">
        <f t="shared" si="25"/>
        <v/>
      </c>
      <c r="Y204">
        <f>IF(X204="",0,IF(COUNTIF($X$3:X204,X204)=1,1,0))</f>
        <v>0</v>
      </c>
      <c r="Z204">
        <f>IF(V204&lt;&gt;1,0,IF(X204="",0,IF(COUNTIF($X$3:X203,X204)&gt;0,1,0)))</f>
        <v>0</v>
      </c>
      <c r="AA204">
        <f t="shared" si="22"/>
        <v>0</v>
      </c>
      <c r="AB204">
        <f t="shared" si="23"/>
        <v>0</v>
      </c>
      <c r="AC204">
        <f>IF(I204="",0,L204*IFERROR(INDEX(کاتالوگ_محصولات!$G$4:$G$303,MATCH(I204,کاتالوگ_محصولات!$A$4:$A$303,0)),0))</f>
        <v>0</v>
      </c>
      <c r="AD204">
        <f t="shared" si="26"/>
        <v>0</v>
      </c>
      <c r="AE204" t="str">
        <f t="shared" si="27"/>
        <v/>
      </c>
    </row>
    <row r="205" spans="22:31" ht="18" customHeight="1">
      <c r="V205">
        <f>IF(A205="",0,IF(COUNTIF($A$3:A205,A205)=1,1,0))</f>
        <v>0</v>
      </c>
      <c r="W205">
        <f t="shared" si="24"/>
        <v>0</v>
      </c>
      <c r="X205" t="str">
        <f t="shared" si="25"/>
        <v/>
      </c>
      <c r="Y205">
        <f>IF(X205="",0,IF(COUNTIF($X$3:X205,X205)=1,1,0))</f>
        <v>0</v>
      </c>
      <c r="Z205">
        <f>IF(V205&lt;&gt;1,0,IF(X205="",0,IF(COUNTIF($X$3:X204,X205)&gt;0,1,0)))</f>
        <v>0</v>
      </c>
      <c r="AA205">
        <f t="shared" si="22"/>
        <v>0</v>
      </c>
      <c r="AB205">
        <f t="shared" si="23"/>
        <v>0</v>
      </c>
      <c r="AC205">
        <f>IF(I205="",0,L205*IFERROR(INDEX(کاتالوگ_محصولات!$G$4:$G$303,MATCH(I205,کاتالوگ_محصولات!$A$4:$A$303,0)),0))</f>
        <v>0</v>
      </c>
      <c r="AD205">
        <f t="shared" si="26"/>
        <v>0</v>
      </c>
      <c r="AE205" t="str">
        <f t="shared" si="27"/>
        <v/>
      </c>
    </row>
    <row r="206" spans="22:31" ht="18" customHeight="1">
      <c r="V206">
        <f>IF(A206="",0,IF(COUNTIF($A$3:A206,A206)=1,1,0))</f>
        <v>0</v>
      </c>
      <c r="W206">
        <f t="shared" si="24"/>
        <v>0</v>
      </c>
      <c r="X206" t="str">
        <f t="shared" si="25"/>
        <v/>
      </c>
      <c r="Y206">
        <f>IF(X206="",0,IF(COUNTIF($X$3:X206,X206)=1,1,0))</f>
        <v>0</v>
      </c>
      <c r="Z206">
        <f>IF(V206&lt;&gt;1,0,IF(X206="",0,IF(COUNTIF($X$3:X205,X206)&gt;0,1,0)))</f>
        <v>0</v>
      </c>
      <c r="AA206">
        <f t="shared" si="22"/>
        <v>0</v>
      </c>
      <c r="AB206">
        <f t="shared" si="23"/>
        <v>0</v>
      </c>
      <c r="AC206">
        <f>IF(I206="",0,L206*IFERROR(INDEX(کاتالوگ_محصولات!$G$4:$G$303,MATCH(I206,کاتالوگ_محصولات!$A$4:$A$303,0)),0))</f>
        <v>0</v>
      </c>
      <c r="AD206">
        <f t="shared" si="26"/>
        <v>0</v>
      </c>
      <c r="AE206" t="str">
        <f t="shared" si="27"/>
        <v/>
      </c>
    </row>
    <row r="207" spans="22:31" ht="18" customHeight="1">
      <c r="V207">
        <f>IF(A207="",0,IF(COUNTIF($A$3:A207,A207)=1,1,0))</f>
        <v>0</v>
      </c>
      <c r="W207">
        <f t="shared" si="24"/>
        <v>0</v>
      </c>
      <c r="X207" t="str">
        <f t="shared" si="25"/>
        <v/>
      </c>
      <c r="Y207">
        <f>IF(X207="",0,IF(COUNTIF($X$3:X207,X207)=1,1,0))</f>
        <v>0</v>
      </c>
      <c r="Z207">
        <f>IF(V207&lt;&gt;1,0,IF(X207="",0,IF(COUNTIF($X$3:X206,X207)&gt;0,1,0)))</f>
        <v>0</v>
      </c>
      <c r="AA207">
        <f t="shared" si="22"/>
        <v>0</v>
      </c>
      <c r="AB207">
        <f t="shared" si="23"/>
        <v>0</v>
      </c>
      <c r="AC207">
        <f>IF(I207="",0,L207*IFERROR(INDEX(کاتالوگ_محصولات!$G$4:$G$303,MATCH(I207,کاتالوگ_محصولات!$A$4:$A$303,0)),0))</f>
        <v>0</v>
      </c>
      <c r="AD207">
        <f t="shared" si="26"/>
        <v>0</v>
      </c>
      <c r="AE207" t="str">
        <f t="shared" si="27"/>
        <v/>
      </c>
    </row>
    <row r="208" spans="22:31" ht="18" customHeight="1">
      <c r="V208">
        <f>IF(A208="",0,IF(COUNTIF($A$3:A208,A208)=1,1,0))</f>
        <v>0</v>
      </c>
      <c r="W208">
        <f t="shared" si="24"/>
        <v>0</v>
      </c>
      <c r="X208" t="str">
        <f t="shared" si="25"/>
        <v/>
      </c>
      <c r="Y208">
        <f>IF(X208="",0,IF(COUNTIF($X$3:X208,X208)=1,1,0))</f>
        <v>0</v>
      </c>
      <c r="Z208">
        <f>IF(V208&lt;&gt;1,0,IF(X208="",0,IF(COUNTIF($X$3:X207,X208)&gt;0,1,0)))</f>
        <v>0</v>
      </c>
      <c r="AA208">
        <f t="shared" si="22"/>
        <v>0</v>
      </c>
      <c r="AB208">
        <f t="shared" si="23"/>
        <v>0</v>
      </c>
      <c r="AC208">
        <f>IF(I208="",0,L208*IFERROR(INDEX(کاتالوگ_محصولات!$G$4:$G$303,MATCH(I208,کاتالوگ_محصولات!$A$4:$A$303,0)),0))</f>
        <v>0</v>
      </c>
      <c r="AD208">
        <f t="shared" si="26"/>
        <v>0</v>
      </c>
      <c r="AE208" t="str">
        <f t="shared" si="27"/>
        <v/>
      </c>
    </row>
    <row r="209" spans="22:31" ht="18" customHeight="1">
      <c r="V209">
        <f>IF(A209="",0,IF(COUNTIF($A$3:A209,A209)=1,1,0))</f>
        <v>0</v>
      </c>
      <c r="W209">
        <f t="shared" si="24"/>
        <v>0</v>
      </c>
      <c r="X209" t="str">
        <f t="shared" si="25"/>
        <v/>
      </c>
      <c r="Y209">
        <f>IF(X209="",0,IF(COUNTIF($X$3:X209,X209)=1,1,0))</f>
        <v>0</v>
      </c>
      <c r="Z209">
        <f>IF(V209&lt;&gt;1,0,IF(X209="",0,IF(COUNTIF($X$3:X208,X209)&gt;0,1,0)))</f>
        <v>0</v>
      </c>
      <c r="AA209">
        <f t="shared" si="22"/>
        <v>0</v>
      </c>
      <c r="AB209">
        <f t="shared" si="23"/>
        <v>0</v>
      </c>
      <c r="AC209">
        <f>IF(I209="",0,L209*IFERROR(INDEX(کاتالوگ_محصولات!$G$4:$G$303,MATCH(I209,کاتالوگ_محصولات!$A$4:$A$303,0)),0))</f>
        <v>0</v>
      </c>
      <c r="AD209">
        <f t="shared" si="26"/>
        <v>0</v>
      </c>
      <c r="AE209" t="str">
        <f t="shared" si="27"/>
        <v/>
      </c>
    </row>
    <row r="210" spans="22:31" ht="18" customHeight="1">
      <c r="V210">
        <f>IF(A210="",0,IF(COUNTIF($A$3:A210,A210)=1,1,0))</f>
        <v>0</v>
      </c>
      <c r="W210">
        <f t="shared" si="24"/>
        <v>0</v>
      </c>
      <c r="X210" t="str">
        <f t="shared" si="25"/>
        <v/>
      </c>
      <c r="Y210">
        <f>IF(X210="",0,IF(COUNTIF($X$3:X210,X210)=1,1,0))</f>
        <v>0</v>
      </c>
      <c r="Z210">
        <f>IF(V210&lt;&gt;1,0,IF(X210="",0,IF(COUNTIF($X$3:X209,X210)&gt;0,1,0)))</f>
        <v>0</v>
      </c>
      <c r="AA210">
        <f t="shared" si="22"/>
        <v>0</v>
      </c>
      <c r="AB210">
        <f t="shared" si="23"/>
        <v>0</v>
      </c>
      <c r="AC210">
        <f>IF(I210="",0,L210*IFERROR(INDEX(کاتالوگ_محصولات!$G$4:$G$303,MATCH(I210,کاتالوگ_محصولات!$A$4:$A$303,0)),0))</f>
        <v>0</v>
      </c>
      <c r="AD210">
        <f t="shared" si="26"/>
        <v>0</v>
      </c>
      <c r="AE210" t="str">
        <f t="shared" si="27"/>
        <v/>
      </c>
    </row>
    <row r="211" spans="22:31" ht="18" customHeight="1">
      <c r="V211">
        <f>IF(A211="",0,IF(COUNTIF($A$3:A211,A211)=1,1,0))</f>
        <v>0</v>
      </c>
      <c r="W211">
        <f t="shared" si="24"/>
        <v>0</v>
      </c>
      <c r="X211" t="str">
        <f t="shared" si="25"/>
        <v/>
      </c>
      <c r="Y211">
        <f>IF(X211="",0,IF(COUNTIF($X$3:X211,X211)=1,1,0))</f>
        <v>0</v>
      </c>
      <c r="Z211">
        <f>IF(V211&lt;&gt;1,0,IF(X211="",0,IF(COUNTIF($X$3:X210,X211)&gt;0,1,0)))</f>
        <v>0</v>
      </c>
      <c r="AA211">
        <f t="shared" si="22"/>
        <v>0</v>
      </c>
      <c r="AB211">
        <f t="shared" si="23"/>
        <v>0</v>
      </c>
      <c r="AC211">
        <f>IF(I211="",0,L211*IFERROR(INDEX(کاتالوگ_محصولات!$G$4:$G$303,MATCH(I211,کاتالوگ_محصولات!$A$4:$A$303,0)),0))</f>
        <v>0</v>
      </c>
      <c r="AD211">
        <f t="shared" si="26"/>
        <v>0</v>
      </c>
      <c r="AE211" t="str">
        <f t="shared" si="27"/>
        <v/>
      </c>
    </row>
    <row r="212" spans="22:31" ht="18" customHeight="1">
      <c r="V212">
        <f>IF(A212="",0,IF(COUNTIF($A$3:A212,A212)=1,1,0))</f>
        <v>0</v>
      </c>
      <c r="W212">
        <f t="shared" si="24"/>
        <v>0</v>
      </c>
      <c r="X212" t="str">
        <f t="shared" si="25"/>
        <v/>
      </c>
      <c r="Y212">
        <f>IF(X212="",0,IF(COUNTIF($X$3:X212,X212)=1,1,0))</f>
        <v>0</v>
      </c>
      <c r="Z212">
        <f>IF(V212&lt;&gt;1,0,IF(X212="",0,IF(COUNTIF($X$3:X211,X212)&gt;0,1,0)))</f>
        <v>0</v>
      </c>
      <c r="AA212">
        <f t="shared" si="22"/>
        <v>0</v>
      </c>
      <c r="AB212">
        <f t="shared" si="23"/>
        <v>0</v>
      </c>
      <c r="AC212">
        <f>IF(I212="",0,L212*IFERROR(INDEX(کاتالوگ_محصولات!$G$4:$G$303,MATCH(I212,کاتالوگ_محصولات!$A$4:$A$303,0)),0))</f>
        <v>0</v>
      </c>
      <c r="AD212">
        <f t="shared" si="26"/>
        <v>0</v>
      </c>
      <c r="AE212" t="str">
        <f t="shared" si="27"/>
        <v/>
      </c>
    </row>
    <row r="213" spans="22:31" ht="18" customHeight="1">
      <c r="V213">
        <f>IF(A213="",0,IF(COUNTIF($A$3:A213,A213)=1,1,0))</f>
        <v>0</v>
      </c>
      <c r="W213">
        <f t="shared" si="24"/>
        <v>0</v>
      </c>
      <c r="X213" t="str">
        <f t="shared" si="25"/>
        <v/>
      </c>
      <c r="Y213">
        <f>IF(X213="",0,IF(COUNTIF($X$3:X213,X213)=1,1,0))</f>
        <v>0</v>
      </c>
      <c r="Z213">
        <f>IF(V213&lt;&gt;1,0,IF(X213="",0,IF(COUNTIF($X$3:X212,X213)&gt;0,1,0)))</f>
        <v>0</v>
      </c>
      <c r="AA213">
        <f t="shared" si="22"/>
        <v>0</v>
      </c>
      <c r="AB213">
        <f t="shared" si="23"/>
        <v>0</v>
      </c>
      <c r="AC213">
        <f>IF(I213="",0,L213*IFERROR(INDEX(کاتالوگ_محصولات!$G$4:$G$303,MATCH(I213,کاتالوگ_محصولات!$A$4:$A$303,0)),0))</f>
        <v>0</v>
      </c>
      <c r="AD213">
        <f t="shared" si="26"/>
        <v>0</v>
      </c>
      <c r="AE213" t="str">
        <f t="shared" si="27"/>
        <v/>
      </c>
    </row>
    <row r="214" spans="22:31" ht="18" customHeight="1">
      <c r="V214">
        <f>IF(A214="",0,IF(COUNTIF($A$3:A214,A214)=1,1,0))</f>
        <v>0</v>
      </c>
      <c r="W214">
        <f t="shared" si="24"/>
        <v>0</v>
      </c>
      <c r="X214" t="str">
        <f t="shared" si="25"/>
        <v/>
      </c>
      <c r="Y214">
        <f>IF(X214="",0,IF(COUNTIF($X$3:X214,X214)=1,1,0))</f>
        <v>0</v>
      </c>
      <c r="Z214">
        <f>IF(V214&lt;&gt;1,0,IF(X214="",0,IF(COUNTIF($X$3:X213,X214)&gt;0,1,0)))</f>
        <v>0</v>
      </c>
      <c r="AA214">
        <f t="shared" si="22"/>
        <v>0</v>
      </c>
      <c r="AB214">
        <f t="shared" si="23"/>
        <v>0</v>
      </c>
      <c r="AC214">
        <f>IF(I214="",0,L214*IFERROR(INDEX(کاتالوگ_محصولات!$G$4:$G$303,MATCH(I214,کاتالوگ_محصولات!$A$4:$A$303,0)),0))</f>
        <v>0</v>
      </c>
      <c r="AD214">
        <f t="shared" si="26"/>
        <v>0</v>
      </c>
      <c r="AE214" t="str">
        <f t="shared" si="27"/>
        <v/>
      </c>
    </row>
    <row r="215" spans="22:31" ht="18" customHeight="1">
      <c r="V215">
        <f>IF(A215="",0,IF(COUNTIF($A$3:A215,A215)=1,1,0))</f>
        <v>0</v>
      </c>
      <c r="W215">
        <f t="shared" si="24"/>
        <v>0</v>
      </c>
      <c r="X215" t="str">
        <f t="shared" si="25"/>
        <v/>
      </c>
      <c r="Y215">
        <f>IF(X215="",0,IF(COUNTIF($X$3:X215,X215)=1,1,0))</f>
        <v>0</v>
      </c>
      <c r="Z215">
        <f>IF(V215&lt;&gt;1,0,IF(X215="",0,IF(COUNTIF($X$3:X214,X215)&gt;0,1,0)))</f>
        <v>0</v>
      </c>
      <c r="AA215">
        <f t="shared" si="22"/>
        <v>0</v>
      </c>
      <c r="AB215">
        <f t="shared" si="23"/>
        <v>0</v>
      </c>
      <c r="AC215">
        <f>IF(I215="",0,L215*IFERROR(INDEX(کاتالوگ_محصولات!$G$4:$G$303,MATCH(I215,کاتالوگ_محصولات!$A$4:$A$303,0)),0))</f>
        <v>0</v>
      </c>
      <c r="AD215">
        <f t="shared" si="26"/>
        <v>0</v>
      </c>
      <c r="AE215" t="str">
        <f t="shared" si="27"/>
        <v/>
      </c>
    </row>
    <row r="216" spans="22:31" ht="18" customHeight="1">
      <c r="V216">
        <f>IF(A216="",0,IF(COUNTIF($A$3:A216,A216)=1,1,0))</f>
        <v>0</v>
      </c>
      <c r="W216">
        <f t="shared" si="24"/>
        <v>0</v>
      </c>
      <c r="X216" t="str">
        <f t="shared" si="25"/>
        <v/>
      </c>
      <c r="Y216">
        <f>IF(X216="",0,IF(COUNTIF($X$3:X216,X216)=1,1,0))</f>
        <v>0</v>
      </c>
      <c r="Z216">
        <f>IF(V216&lt;&gt;1,0,IF(X216="",0,IF(COUNTIF($X$3:X215,X216)&gt;0,1,0)))</f>
        <v>0</v>
      </c>
      <c r="AA216">
        <f t="shared" si="22"/>
        <v>0</v>
      </c>
      <c r="AB216">
        <f t="shared" si="23"/>
        <v>0</v>
      </c>
      <c r="AC216">
        <f>IF(I216="",0,L216*IFERROR(INDEX(کاتالوگ_محصولات!$G$4:$G$303,MATCH(I216,کاتالوگ_محصولات!$A$4:$A$303,0)),0))</f>
        <v>0</v>
      </c>
      <c r="AD216">
        <f t="shared" si="26"/>
        <v>0</v>
      </c>
      <c r="AE216" t="str">
        <f t="shared" si="27"/>
        <v/>
      </c>
    </row>
    <row r="217" spans="22:31" ht="18" customHeight="1">
      <c r="V217">
        <f>IF(A217="",0,IF(COUNTIF($A$3:A217,A217)=1,1,0))</f>
        <v>0</v>
      </c>
      <c r="W217">
        <f t="shared" si="24"/>
        <v>0</v>
      </c>
      <c r="X217" t="str">
        <f t="shared" si="25"/>
        <v/>
      </c>
      <c r="Y217">
        <f>IF(X217="",0,IF(COUNTIF($X$3:X217,X217)=1,1,0))</f>
        <v>0</v>
      </c>
      <c r="Z217">
        <f>IF(V217&lt;&gt;1,0,IF(X217="",0,IF(COUNTIF($X$3:X216,X217)&gt;0,1,0)))</f>
        <v>0</v>
      </c>
      <c r="AA217">
        <f t="shared" si="22"/>
        <v>0</v>
      </c>
      <c r="AB217">
        <f t="shared" si="23"/>
        <v>0</v>
      </c>
      <c r="AC217">
        <f>IF(I217="",0,L217*IFERROR(INDEX(کاتالوگ_محصولات!$G$4:$G$303,MATCH(I217,کاتالوگ_محصولات!$A$4:$A$303,0)),0))</f>
        <v>0</v>
      </c>
      <c r="AD217">
        <f t="shared" si="26"/>
        <v>0</v>
      </c>
      <c r="AE217" t="str">
        <f t="shared" si="27"/>
        <v/>
      </c>
    </row>
    <row r="218" spans="22:31" ht="18" customHeight="1">
      <c r="V218">
        <f>IF(A218="",0,IF(COUNTIF($A$3:A218,A218)=1,1,0))</f>
        <v>0</v>
      </c>
      <c r="W218">
        <f t="shared" si="24"/>
        <v>0</v>
      </c>
      <c r="X218" t="str">
        <f t="shared" si="25"/>
        <v/>
      </c>
      <c r="Y218">
        <f>IF(X218="",0,IF(COUNTIF($X$3:X218,X218)=1,1,0))</f>
        <v>0</v>
      </c>
      <c r="Z218">
        <f>IF(V218&lt;&gt;1,0,IF(X218="",0,IF(COUNTIF($X$3:X217,X218)&gt;0,1,0)))</f>
        <v>0</v>
      </c>
      <c r="AA218">
        <f t="shared" si="22"/>
        <v>0</v>
      </c>
      <c r="AB218">
        <f t="shared" si="23"/>
        <v>0</v>
      </c>
      <c r="AC218">
        <f>IF(I218="",0,L218*IFERROR(INDEX(کاتالوگ_محصولات!$G$4:$G$303,MATCH(I218,کاتالوگ_محصولات!$A$4:$A$303,0)),0))</f>
        <v>0</v>
      </c>
      <c r="AD218">
        <f t="shared" si="26"/>
        <v>0</v>
      </c>
      <c r="AE218" t="str">
        <f t="shared" si="27"/>
        <v/>
      </c>
    </row>
    <row r="219" spans="22:31" ht="18" customHeight="1">
      <c r="V219">
        <f>IF(A219="",0,IF(COUNTIF($A$3:A219,A219)=1,1,0))</f>
        <v>0</v>
      </c>
      <c r="W219">
        <f t="shared" si="24"/>
        <v>0</v>
      </c>
      <c r="X219" t="str">
        <f t="shared" si="25"/>
        <v/>
      </c>
      <c r="Y219">
        <f>IF(X219="",0,IF(COUNTIF($X$3:X219,X219)=1,1,0))</f>
        <v>0</v>
      </c>
      <c r="Z219">
        <f>IF(V219&lt;&gt;1,0,IF(X219="",0,IF(COUNTIF($X$3:X218,X219)&gt;0,1,0)))</f>
        <v>0</v>
      </c>
      <c r="AA219">
        <f t="shared" si="22"/>
        <v>0</v>
      </c>
      <c r="AB219">
        <f t="shared" si="23"/>
        <v>0</v>
      </c>
      <c r="AC219">
        <f>IF(I219="",0,L219*IFERROR(INDEX(کاتالوگ_محصولات!$G$4:$G$303,MATCH(I219,کاتالوگ_محصولات!$A$4:$A$303,0)),0))</f>
        <v>0</v>
      </c>
      <c r="AD219">
        <f t="shared" si="26"/>
        <v>0</v>
      </c>
      <c r="AE219" t="str">
        <f t="shared" si="27"/>
        <v/>
      </c>
    </row>
    <row r="220" spans="22:31" ht="18" customHeight="1">
      <c r="V220">
        <f>IF(A220="",0,IF(COUNTIF($A$3:A220,A220)=1,1,0))</f>
        <v>0</v>
      </c>
      <c r="W220">
        <f t="shared" si="24"/>
        <v>0</v>
      </c>
      <c r="X220" t="str">
        <f t="shared" si="25"/>
        <v/>
      </c>
      <c r="Y220">
        <f>IF(X220="",0,IF(COUNTIF($X$3:X220,X220)=1,1,0))</f>
        <v>0</v>
      </c>
      <c r="Z220">
        <f>IF(V220&lt;&gt;1,0,IF(X220="",0,IF(COUNTIF($X$3:X219,X220)&gt;0,1,0)))</f>
        <v>0</v>
      </c>
      <c r="AA220">
        <f t="shared" si="22"/>
        <v>0</v>
      </c>
      <c r="AB220">
        <f t="shared" si="23"/>
        <v>0</v>
      </c>
      <c r="AC220">
        <f>IF(I220="",0,L220*IFERROR(INDEX(کاتالوگ_محصولات!$G$4:$G$303,MATCH(I220,کاتالوگ_محصولات!$A$4:$A$303,0)),0))</f>
        <v>0</v>
      </c>
      <c r="AD220">
        <f t="shared" si="26"/>
        <v>0</v>
      </c>
      <c r="AE220" t="str">
        <f t="shared" si="27"/>
        <v/>
      </c>
    </row>
    <row r="221" spans="22:31" ht="18" customHeight="1">
      <c r="V221">
        <f>IF(A221="",0,IF(COUNTIF($A$3:A221,A221)=1,1,0))</f>
        <v>0</v>
      </c>
      <c r="W221">
        <f t="shared" si="24"/>
        <v>0</v>
      </c>
      <c r="X221" t="str">
        <f t="shared" si="25"/>
        <v/>
      </c>
      <c r="Y221">
        <f>IF(X221="",0,IF(COUNTIF($X$3:X221,X221)=1,1,0))</f>
        <v>0</v>
      </c>
      <c r="Z221">
        <f>IF(V221&lt;&gt;1,0,IF(X221="",0,IF(COUNTIF($X$3:X220,X221)&gt;0,1,0)))</f>
        <v>0</v>
      </c>
      <c r="AA221">
        <f t="shared" si="22"/>
        <v>0</v>
      </c>
      <c r="AB221">
        <f t="shared" si="23"/>
        <v>0</v>
      </c>
      <c r="AC221">
        <f>IF(I221="",0,L221*IFERROR(INDEX(کاتالوگ_محصولات!$G$4:$G$303,MATCH(I221,کاتالوگ_محصولات!$A$4:$A$303,0)),0))</f>
        <v>0</v>
      </c>
      <c r="AD221">
        <f t="shared" si="26"/>
        <v>0</v>
      </c>
      <c r="AE221" t="str">
        <f t="shared" si="27"/>
        <v/>
      </c>
    </row>
    <row r="222" spans="22:31" ht="18" customHeight="1">
      <c r="V222">
        <f>IF(A222="",0,IF(COUNTIF($A$3:A222,A222)=1,1,0))</f>
        <v>0</v>
      </c>
      <c r="W222">
        <f t="shared" si="24"/>
        <v>0</v>
      </c>
      <c r="X222" t="str">
        <f t="shared" si="25"/>
        <v/>
      </c>
      <c r="Y222">
        <f>IF(X222="",0,IF(COUNTIF($X$3:X222,X222)=1,1,0))</f>
        <v>0</v>
      </c>
      <c r="Z222">
        <f>IF(V222&lt;&gt;1,0,IF(X222="",0,IF(COUNTIF($X$3:X221,X222)&gt;0,1,0)))</f>
        <v>0</v>
      </c>
      <c r="AA222">
        <f t="shared" si="22"/>
        <v>0</v>
      </c>
      <c r="AB222">
        <f t="shared" si="23"/>
        <v>0</v>
      </c>
      <c r="AC222">
        <f>IF(I222="",0,L222*IFERROR(INDEX(کاتالوگ_محصولات!$G$4:$G$303,MATCH(I222,کاتالوگ_محصولات!$A$4:$A$303,0)),0))</f>
        <v>0</v>
      </c>
      <c r="AD222">
        <f t="shared" si="26"/>
        <v>0</v>
      </c>
      <c r="AE222" t="str">
        <f t="shared" si="27"/>
        <v/>
      </c>
    </row>
    <row r="223" spans="22:31" ht="18" customHeight="1">
      <c r="V223">
        <f>IF(A223="",0,IF(COUNTIF($A$3:A223,A223)=1,1,0))</f>
        <v>0</v>
      </c>
      <c r="W223">
        <f t="shared" si="24"/>
        <v>0</v>
      </c>
      <c r="X223" t="str">
        <f t="shared" si="25"/>
        <v/>
      </c>
      <c r="Y223">
        <f>IF(X223="",0,IF(COUNTIF($X$3:X223,X223)=1,1,0))</f>
        <v>0</v>
      </c>
      <c r="Z223">
        <f>IF(V223&lt;&gt;1,0,IF(X223="",0,IF(COUNTIF($X$3:X222,X223)&gt;0,1,0)))</f>
        <v>0</v>
      </c>
      <c r="AA223">
        <f t="shared" si="22"/>
        <v>0</v>
      </c>
      <c r="AB223">
        <f t="shared" si="23"/>
        <v>0</v>
      </c>
      <c r="AC223">
        <f>IF(I223="",0,L223*IFERROR(INDEX(کاتالوگ_محصولات!$G$4:$G$303,MATCH(I223,کاتالوگ_محصولات!$A$4:$A$303,0)),0))</f>
        <v>0</v>
      </c>
      <c r="AD223">
        <f t="shared" si="26"/>
        <v>0</v>
      </c>
      <c r="AE223" t="str">
        <f t="shared" si="27"/>
        <v/>
      </c>
    </row>
    <row r="224" spans="22:31" ht="18" customHeight="1">
      <c r="V224">
        <f>IF(A224="",0,IF(COUNTIF($A$3:A224,A224)=1,1,0))</f>
        <v>0</v>
      </c>
      <c r="W224">
        <f t="shared" si="24"/>
        <v>0</v>
      </c>
      <c r="X224" t="str">
        <f t="shared" si="25"/>
        <v/>
      </c>
      <c r="Y224">
        <f>IF(X224="",0,IF(COUNTIF($X$3:X224,X224)=1,1,0))</f>
        <v>0</v>
      </c>
      <c r="Z224">
        <f>IF(V224&lt;&gt;1,0,IF(X224="",0,IF(COUNTIF($X$3:X223,X224)&gt;0,1,0)))</f>
        <v>0</v>
      </c>
      <c r="AA224">
        <f t="shared" si="22"/>
        <v>0</v>
      </c>
      <c r="AB224">
        <f t="shared" si="23"/>
        <v>0</v>
      </c>
      <c r="AC224">
        <f>IF(I224="",0,L224*IFERROR(INDEX(کاتالوگ_محصولات!$G$4:$G$303,MATCH(I224,کاتالوگ_محصولات!$A$4:$A$303,0)),0))</f>
        <v>0</v>
      </c>
      <c r="AD224">
        <f t="shared" si="26"/>
        <v>0</v>
      </c>
      <c r="AE224" t="str">
        <f t="shared" si="27"/>
        <v/>
      </c>
    </row>
    <row r="225" spans="22:31" ht="18" customHeight="1">
      <c r="V225">
        <f>IF(A225="",0,IF(COUNTIF($A$3:A225,A225)=1,1,0))</f>
        <v>0</v>
      </c>
      <c r="W225">
        <f t="shared" si="24"/>
        <v>0</v>
      </c>
      <c r="X225" t="str">
        <f t="shared" si="25"/>
        <v/>
      </c>
      <c r="Y225">
        <f>IF(X225="",0,IF(COUNTIF($X$3:X225,X225)=1,1,0))</f>
        <v>0</v>
      </c>
      <c r="Z225">
        <f>IF(V225&lt;&gt;1,0,IF(X225="",0,IF(COUNTIF($X$3:X224,X225)&gt;0,1,0)))</f>
        <v>0</v>
      </c>
      <c r="AA225">
        <f t="shared" si="22"/>
        <v>0</v>
      </c>
      <c r="AB225">
        <f t="shared" si="23"/>
        <v>0</v>
      </c>
      <c r="AC225">
        <f>IF(I225="",0,L225*IFERROR(INDEX(کاتالوگ_محصولات!$G$4:$G$303,MATCH(I225,کاتالوگ_محصولات!$A$4:$A$303,0)),0))</f>
        <v>0</v>
      </c>
      <c r="AD225">
        <f t="shared" si="26"/>
        <v>0</v>
      </c>
      <c r="AE225" t="str">
        <f t="shared" si="27"/>
        <v/>
      </c>
    </row>
    <row r="226" spans="22:31" ht="18" customHeight="1">
      <c r="V226">
        <f>IF(A226="",0,IF(COUNTIF($A$3:A226,A226)=1,1,0))</f>
        <v>0</v>
      </c>
      <c r="W226">
        <f t="shared" si="24"/>
        <v>0</v>
      </c>
      <c r="X226" t="str">
        <f t="shared" si="25"/>
        <v/>
      </c>
      <c r="Y226">
        <f>IF(X226="",0,IF(COUNTIF($X$3:X226,X226)=1,1,0))</f>
        <v>0</v>
      </c>
      <c r="Z226">
        <f>IF(V226&lt;&gt;1,0,IF(X226="",0,IF(COUNTIF($X$3:X225,X226)&gt;0,1,0)))</f>
        <v>0</v>
      </c>
      <c r="AA226">
        <f t="shared" si="22"/>
        <v>0</v>
      </c>
      <c r="AB226">
        <f t="shared" si="23"/>
        <v>0</v>
      </c>
      <c r="AC226">
        <f>IF(I226="",0,L226*IFERROR(INDEX(کاتالوگ_محصولات!$G$4:$G$303,MATCH(I226,کاتالوگ_محصولات!$A$4:$A$303,0)),0))</f>
        <v>0</v>
      </c>
      <c r="AD226">
        <f t="shared" si="26"/>
        <v>0</v>
      </c>
      <c r="AE226" t="str">
        <f t="shared" si="27"/>
        <v/>
      </c>
    </row>
    <row r="227" spans="22:31" ht="18" customHeight="1">
      <c r="V227">
        <f>IF(A227="",0,IF(COUNTIF($A$3:A227,A227)=1,1,0))</f>
        <v>0</v>
      </c>
      <c r="W227">
        <f t="shared" si="24"/>
        <v>0</v>
      </c>
      <c r="X227" t="str">
        <f t="shared" si="25"/>
        <v/>
      </c>
      <c r="Y227">
        <f>IF(X227="",0,IF(COUNTIF($X$3:X227,X227)=1,1,0))</f>
        <v>0</v>
      </c>
      <c r="Z227">
        <f>IF(V227&lt;&gt;1,0,IF(X227="",0,IF(COUNTIF($X$3:X226,X227)&gt;0,1,0)))</f>
        <v>0</v>
      </c>
      <c r="AA227">
        <f t="shared" si="22"/>
        <v>0</v>
      </c>
      <c r="AB227">
        <f t="shared" si="23"/>
        <v>0</v>
      </c>
      <c r="AC227">
        <f>IF(I227="",0,L227*IFERROR(INDEX(کاتالوگ_محصولات!$G$4:$G$303,MATCH(I227,کاتالوگ_محصولات!$A$4:$A$303,0)),0))</f>
        <v>0</v>
      </c>
      <c r="AD227">
        <f t="shared" si="26"/>
        <v>0</v>
      </c>
      <c r="AE227" t="str">
        <f t="shared" si="27"/>
        <v/>
      </c>
    </row>
    <row r="228" spans="22:31" ht="18" customHeight="1">
      <c r="V228">
        <f>IF(A228="",0,IF(COUNTIF($A$3:A228,A228)=1,1,0))</f>
        <v>0</v>
      </c>
      <c r="W228">
        <f t="shared" si="24"/>
        <v>0</v>
      </c>
      <c r="X228" t="str">
        <f t="shared" si="25"/>
        <v/>
      </c>
      <c r="Y228">
        <f>IF(X228="",0,IF(COUNTIF($X$3:X228,X228)=1,1,0))</f>
        <v>0</v>
      </c>
      <c r="Z228">
        <f>IF(V228&lt;&gt;1,0,IF(X228="",0,IF(COUNTIF($X$3:X227,X228)&gt;0,1,0)))</f>
        <v>0</v>
      </c>
      <c r="AA228">
        <f t="shared" si="22"/>
        <v>0</v>
      </c>
      <c r="AB228">
        <f t="shared" si="23"/>
        <v>0</v>
      </c>
      <c r="AC228">
        <f>IF(I228="",0,L228*IFERROR(INDEX(کاتالوگ_محصولات!$G$4:$G$303,MATCH(I228,کاتالوگ_محصولات!$A$4:$A$303,0)),0))</f>
        <v>0</v>
      </c>
      <c r="AD228">
        <f t="shared" si="26"/>
        <v>0</v>
      </c>
      <c r="AE228" t="str">
        <f t="shared" si="27"/>
        <v/>
      </c>
    </row>
    <row r="229" spans="22:31" ht="18" customHeight="1">
      <c r="V229">
        <f>IF(A229="",0,IF(COUNTIF($A$3:A229,A229)=1,1,0))</f>
        <v>0</v>
      </c>
      <c r="W229">
        <f t="shared" si="24"/>
        <v>0</v>
      </c>
      <c r="X229" t="str">
        <f t="shared" si="25"/>
        <v/>
      </c>
      <c r="Y229">
        <f>IF(X229="",0,IF(COUNTIF($X$3:X229,X229)=1,1,0))</f>
        <v>0</v>
      </c>
      <c r="Z229">
        <f>IF(V229&lt;&gt;1,0,IF(X229="",0,IF(COUNTIF($X$3:X228,X229)&gt;0,1,0)))</f>
        <v>0</v>
      </c>
      <c r="AA229">
        <f t="shared" si="22"/>
        <v>0</v>
      </c>
      <c r="AB229">
        <f t="shared" si="23"/>
        <v>0</v>
      </c>
      <c r="AC229">
        <f>IF(I229="",0,L229*IFERROR(INDEX(کاتالوگ_محصولات!$G$4:$G$303,MATCH(I229,کاتالوگ_محصولات!$A$4:$A$303,0)),0))</f>
        <v>0</v>
      </c>
      <c r="AD229">
        <f t="shared" si="26"/>
        <v>0</v>
      </c>
      <c r="AE229" t="str">
        <f t="shared" si="27"/>
        <v/>
      </c>
    </row>
    <row r="230" spans="22:31" ht="18" customHeight="1">
      <c r="V230">
        <f>IF(A230="",0,IF(COUNTIF($A$3:A230,A230)=1,1,0))</f>
        <v>0</v>
      </c>
      <c r="W230">
        <f t="shared" si="24"/>
        <v>0</v>
      </c>
      <c r="X230" t="str">
        <f t="shared" si="25"/>
        <v/>
      </c>
      <c r="Y230">
        <f>IF(X230="",0,IF(COUNTIF($X$3:X230,X230)=1,1,0))</f>
        <v>0</v>
      </c>
      <c r="Z230">
        <f>IF(V230&lt;&gt;1,0,IF(X230="",0,IF(COUNTIF($X$3:X229,X230)&gt;0,1,0)))</f>
        <v>0</v>
      </c>
      <c r="AA230">
        <f t="shared" si="22"/>
        <v>0</v>
      </c>
      <c r="AB230">
        <f t="shared" si="23"/>
        <v>0</v>
      </c>
      <c r="AC230">
        <f>IF(I230="",0,L230*IFERROR(INDEX(کاتالوگ_محصولات!$G$4:$G$303,MATCH(I230,کاتالوگ_محصولات!$A$4:$A$303,0)),0))</f>
        <v>0</v>
      </c>
      <c r="AD230">
        <f t="shared" si="26"/>
        <v>0</v>
      </c>
      <c r="AE230" t="str">
        <f t="shared" si="27"/>
        <v/>
      </c>
    </row>
    <row r="231" spans="22:31" ht="18" customHeight="1">
      <c r="V231">
        <f>IF(A231="",0,IF(COUNTIF($A$3:A231,A231)=1,1,0))</f>
        <v>0</v>
      </c>
      <c r="W231">
        <f t="shared" si="24"/>
        <v>0</v>
      </c>
      <c r="X231" t="str">
        <f t="shared" si="25"/>
        <v/>
      </c>
      <c r="Y231">
        <f>IF(X231="",0,IF(COUNTIF($X$3:X231,X231)=1,1,0))</f>
        <v>0</v>
      </c>
      <c r="Z231">
        <f>IF(V231&lt;&gt;1,0,IF(X231="",0,IF(COUNTIF($X$3:X230,X231)&gt;0,1,0)))</f>
        <v>0</v>
      </c>
      <c r="AA231">
        <f t="shared" si="22"/>
        <v>0</v>
      </c>
      <c r="AB231">
        <f t="shared" si="23"/>
        <v>0</v>
      </c>
      <c r="AC231">
        <f>IF(I231="",0,L231*IFERROR(INDEX(کاتالوگ_محصولات!$G$4:$G$303,MATCH(I231,کاتالوگ_محصولات!$A$4:$A$303,0)),0))</f>
        <v>0</v>
      </c>
      <c r="AD231">
        <f t="shared" si="26"/>
        <v>0</v>
      </c>
      <c r="AE231" t="str">
        <f t="shared" si="27"/>
        <v/>
      </c>
    </row>
    <row r="232" spans="22:31" ht="18" customHeight="1">
      <c r="V232">
        <f>IF(A232="",0,IF(COUNTIF($A$3:A232,A232)=1,1,0))</f>
        <v>0</v>
      </c>
      <c r="W232">
        <f t="shared" si="24"/>
        <v>0</v>
      </c>
      <c r="X232" t="str">
        <f t="shared" si="25"/>
        <v/>
      </c>
      <c r="Y232">
        <f>IF(X232="",0,IF(COUNTIF($X$3:X232,X232)=1,1,0))</f>
        <v>0</v>
      </c>
      <c r="Z232">
        <f>IF(V232&lt;&gt;1,0,IF(X232="",0,IF(COUNTIF($X$3:X231,X232)&gt;0,1,0)))</f>
        <v>0</v>
      </c>
      <c r="AA232">
        <f t="shared" si="22"/>
        <v>0</v>
      </c>
      <c r="AB232">
        <f t="shared" si="23"/>
        <v>0</v>
      </c>
      <c r="AC232">
        <f>IF(I232="",0,L232*IFERROR(INDEX(کاتالوگ_محصولات!$G$4:$G$303,MATCH(I232,کاتالوگ_محصولات!$A$4:$A$303,0)),0))</f>
        <v>0</v>
      </c>
      <c r="AD232">
        <f t="shared" si="26"/>
        <v>0</v>
      </c>
      <c r="AE232" t="str">
        <f t="shared" si="27"/>
        <v/>
      </c>
    </row>
    <row r="233" spans="22:31" ht="18" customHeight="1">
      <c r="V233">
        <f>IF(A233="",0,IF(COUNTIF($A$3:A233,A233)=1,1,0))</f>
        <v>0</v>
      </c>
      <c r="W233">
        <f t="shared" si="24"/>
        <v>0</v>
      </c>
      <c r="X233" t="str">
        <f t="shared" si="25"/>
        <v/>
      </c>
      <c r="Y233">
        <f>IF(X233="",0,IF(COUNTIF($X$3:X233,X233)=1,1,0))</f>
        <v>0</v>
      </c>
      <c r="Z233">
        <f>IF(V233&lt;&gt;1,0,IF(X233="",0,IF(COUNTIF($X$3:X232,X233)&gt;0,1,0)))</f>
        <v>0</v>
      </c>
      <c r="AA233">
        <f t="shared" si="22"/>
        <v>0</v>
      </c>
      <c r="AB233">
        <f t="shared" si="23"/>
        <v>0</v>
      </c>
      <c r="AC233">
        <f>IF(I233="",0,L233*IFERROR(INDEX(کاتالوگ_محصولات!$G$4:$G$303,MATCH(I233,کاتالوگ_محصولات!$A$4:$A$303,0)),0))</f>
        <v>0</v>
      </c>
      <c r="AD233">
        <f t="shared" si="26"/>
        <v>0</v>
      </c>
      <c r="AE233" t="str">
        <f t="shared" si="27"/>
        <v/>
      </c>
    </row>
    <row r="234" spans="22:31" ht="18" customHeight="1">
      <c r="V234">
        <f>IF(A234="",0,IF(COUNTIF($A$3:A234,A234)=1,1,0))</f>
        <v>0</v>
      </c>
      <c r="W234">
        <f t="shared" si="24"/>
        <v>0</v>
      </c>
      <c r="X234" t="str">
        <f t="shared" si="25"/>
        <v/>
      </c>
      <c r="Y234">
        <f>IF(X234="",0,IF(COUNTIF($X$3:X234,X234)=1,1,0))</f>
        <v>0</v>
      </c>
      <c r="Z234">
        <f>IF(V234&lt;&gt;1,0,IF(X234="",0,IF(COUNTIF($X$3:X233,X234)&gt;0,1,0)))</f>
        <v>0</v>
      </c>
      <c r="AA234">
        <f t="shared" si="22"/>
        <v>0</v>
      </c>
      <c r="AB234">
        <f t="shared" si="23"/>
        <v>0</v>
      </c>
      <c r="AC234">
        <f>IF(I234="",0,L234*IFERROR(INDEX(کاتالوگ_محصولات!$G$4:$G$303,MATCH(I234,کاتالوگ_محصولات!$A$4:$A$303,0)),0))</f>
        <v>0</v>
      </c>
      <c r="AD234">
        <f t="shared" si="26"/>
        <v>0</v>
      </c>
      <c r="AE234" t="str">
        <f t="shared" si="27"/>
        <v/>
      </c>
    </row>
    <row r="235" spans="22:31" ht="18" customHeight="1">
      <c r="V235">
        <f>IF(A235="",0,IF(COUNTIF($A$3:A235,A235)=1,1,0))</f>
        <v>0</v>
      </c>
      <c r="W235">
        <f t="shared" si="24"/>
        <v>0</v>
      </c>
      <c r="X235" t="str">
        <f t="shared" si="25"/>
        <v/>
      </c>
      <c r="Y235">
        <f>IF(X235="",0,IF(COUNTIF($X$3:X235,X235)=1,1,0))</f>
        <v>0</v>
      </c>
      <c r="Z235">
        <f>IF(V235&lt;&gt;1,0,IF(X235="",0,IF(COUNTIF($X$3:X234,X235)&gt;0,1,0)))</f>
        <v>0</v>
      </c>
      <c r="AA235">
        <f t="shared" si="22"/>
        <v>0</v>
      </c>
      <c r="AB235">
        <f t="shared" si="23"/>
        <v>0</v>
      </c>
      <c r="AC235">
        <f>IF(I235="",0,L235*IFERROR(INDEX(کاتالوگ_محصولات!$G$4:$G$303,MATCH(I235,کاتالوگ_محصولات!$A$4:$A$303,0)),0))</f>
        <v>0</v>
      </c>
      <c r="AD235">
        <f t="shared" si="26"/>
        <v>0</v>
      </c>
      <c r="AE235" t="str">
        <f t="shared" si="27"/>
        <v/>
      </c>
    </row>
    <row r="236" spans="22:31" ht="18" customHeight="1">
      <c r="V236">
        <f>IF(A236="",0,IF(COUNTIF($A$3:A236,A236)=1,1,0))</f>
        <v>0</v>
      </c>
      <c r="W236">
        <f t="shared" si="24"/>
        <v>0</v>
      </c>
      <c r="X236" t="str">
        <f t="shared" si="25"/>
        <v/>
      </c>
      <c r="Y236">
        <f>IF(X236="",0,IF(COUNTIF($X$3:X236,X236)=1,1,0))</f>
        <v>0</v>
      </c>
      <c r="Z236">
        <f>IF(V236&lt;&gt;1,0,IF(X236="",0,IF(COUNTIF($X$3:X235,X236)&gt;0,1,0)))</f>
        <v>0</v>
      </c>
      <c r="AA236">
        <f t="shared" si="22"/>
        <v>0</v>
      </c>
      <c r="AB236">
        <f t="shared" si="23"/>
        <v>0</v>
      </c>
      <c r="AC236">
        <f>IF(I236="",0,L236*IFERROR(INDEX(کاتالوگ_محصولات!$G$4:$G$303,MATCH(I236,کاتالوگ_محصولات!$A$4:$A$303,0)),0))</f>
        <v>0</v>
      </c>
      <c r="AD236">
        <f t="shared" si="26"/>
        <v>0</v>
      </c>
      <c r="AE236" t="str">
        <f t="shared" si="27"/>
        <v/>
      </c>
    </row>
    <row r="237" spans="22:31" ht="18" customHeight="1">
      <c r="V237">
        <f>IF(A237="",0,IF(COUNTIF($A$3:A237,A237)=1,1,0))</f>
        <v>0</v>
      </c>
      <c r="W237">
        <f t="shared" si="24"/>
        <v>0</v>
      </c>
      <c r="X237" t="str">
        <f t="shared" si="25"/>
        <v/>
      </c>
      <c r="Y237">
        <f>IF(X237="",0,IF(COUNTIF($X$3:X237,X237)=1,1,0))</f>
        <v>0</v>
      </c>
      <c r="Z237">
        <f>IF(V237&lt;&gt;1,0,IF(X237="",0,IF(COUNTIF($X$3:X236,X237)&gt;0,1,0)))</f>
        <v>0</v>
      </c>
      <c r="AA237">
        <f t="shared" si="22"/>
        <v>0</v>
      </c>
      <c r="AB237">
        <f t="shared" si="23"/>
        <v>0</v>
      </c>
      <c r="AC237">
        <f>IF(I237="",0,L237*IFERROR(INDEX(کاتالوگ_محصولات!$G$4:$G$303,MATCH(I237,کاتالوگ_محصولات!$A$4:$A$303,0)),0))</f>
        <v>0</v>
      </c>
      <c r="AD237">
        <f t="shared" si="26"/>
        <v>0</v>
      </c>
      <c r="AE237" t="str">
        <f t="shared" si="27"/>
        <v/>
      </c>
    </row>
    <row r="238" spans="22:31" ht="18" customHeight="1">
      <c r="V238">
        <f>IF(A238="",0,IF(COUNTIF($A$3:A238,A238)=1,1,0))</f>
        <v>0</v>
      </c>
      <c r="W238">
        <f t="shared" si="24"/>
        <v>0</v>
      </c>
      <c r="X238" t="str">
        <f t="shared" si="25"/>
        <v/>
      </c>
      <c r="Y238">
        <f>IF(X238="",0,IF(COUNTIF($X$3:X238,X238)=1,1,0))</f>
        <v>0</v>
      </c>
      <c r="Z238">
        <f>IF(V238&lt;&gt;1,0,IF(X238="",0,IF(COUNTIF($X$3:X237,X238)&gt;0,1,0)))</f>
        <v>0</v>
      </c>
      <c r="AA238">
        <f t="shared" si="22"/>
        <v>0</v>
      </c>
      <c r="AB238">
        <f t="shared" si="23"/>
        <v>0</v>
      </c>
      <c r="AC238">
        <f>IF(I238="",0,L238*IFERROR(INDEX(کاتالوگ_محصولات!$G$4:$G$303,MATCH(I238,کاتالوگ_محصولات!$A$4:$A$303,0)),0))</f>
        <v>0</v>
      </c>
      <c r="AD238">
        <f t="shared" si="26"/>
        <v>0</v>
      </c>
      <c r="AE238" t="str">
        <f t="shared" si="27"/>
        <v/>
      </c>
    </row>
    <row r="239" spans="22:31" ht="18" customHeight="1">
      <c r="V239">
        <f>IF(A239="",0,IF(COUNTIF($A$3:A239,A239)=1,1,0))</f>
        <v>0</v>
      </c>
      <c r="W239">
        <f t="shared" si="24"/>
        <v>0</v>
      </c>
      <c r="X239" t="str">
        <f t="shared" si="25"/>
        <v/>
      </c>
      <c r="Y239">
        <f>IF(X239="",0,IF(COUNTIF($X$3:X239,X239)=1,1,0))</f>
        <v>0</v>
      </c>
      <c r="Z239">
        <f>IF(V239&lt;&gt;1,0,IF(X239="",0,IF(COUNTIF($X$3:X238,X239)&gt;0,1,0)))</f>
        <v>0</v>
      </c>
      <c r="AA239">
        <f t="shared" si="22"/>
        <v>0</v>
      </c>
      <c r="AB239">
        <f t="shared" si="23"/>
        <v>0</v>
      </c>
      <c r="AC239">
        <f>IF(I239="",0,L239*IFERROR(INDEX(کاتالوگ_محصولات!$G$4:$G$303,MATCH(I239,کاتالوگ_محصولات!$A$4:$A$303,0)),0))</f>
        <v>0</v>
      </c>
      <c r="AD239">
        <f t="shared" si="26"/>
        <v>0</v>
      </c>
      <c r="AE239" t="str">
        <f t="shared" si="27"/>
        <v/>
      </c>
    </row>
    <row r="240" spans="22:31" ht="18" customHeight="1">
      <c r="V240">
        <f>IF(A240="",0,IF(COUNTIF($A$3:A240,A240)=1,1,0))</f>
        <v>0</v>
      </c>
      <c r="W240">
        <f t="shared" si="24"/>
        <v>0</v>
      </c>
      <c r="X240" t="str">
        <f t="shared" si="25"/>
        <v/>
      </c>
      <c r="Y240">
        <f>IF(X240="",0,IF(COUNTIF($X$3:X240,X240)=1,1,0))</f>
        <v>0</v>
      </c>
      <c r="Z240">
        <f>IF(V240&lt;&gt;1,0,IF(X240="",0,IF(COUNTIF($X$3:X239,X240)&gt;0,1,0)))</f>
        <v>0</v>
      </c>
      <c r="AA240">
        <f t="shared" si="22"/>
        <v>0</v>
      </c>
      <c r="AB240">
        <f t="shared" si="23"/>
        <v>0</v>
      </c>
      <c r="AC240">
        <f>IF(I240="",0,L240*IFERROR(INDEX(کاتالوگ_محصولات!$G$4:$G$303,MATCH(I240,کاتالوگ_محصولات!$A$4:$A$303,0)),0))</f>
        <v>0</v>
      </c>
      <c r="AD240">
        <f t="shared" si="26"/>
        <v>0</v>
      </c>
      <c r="AE240" t="str">
        <f t="shared" si="27"/>
        <v/>
      </c>
    </row>
    <row r="241" spans="22:31" ht="18" customHeight="1">
      <c r="V241">
        <f>IF(A241="",0,IF(COUNTIF($A$3:A241,A241)=1,1,0))</f>
        <v>0</v>
      </c>
      <c r="W241">
        <f t="shared" si="24"/>
        <v>0</v>
      </c>
      <c r="X241" t="str">
        <f t="shared" si="25"/>
        <v/>
      </c>
      <c r="Y241">
        <f>IF(X241="",0,IF(COUNTIF($X$3:X241,X241)=1,1,0))</f>
        <v>0</v>
      </c>
      <c r="Z241">
        <f>IF(V241&lt;&gt;1,0,IF(X241="",0,IF(COUNTIF($X$3:X240,X241)&gt;0,1,0)))</f>
        <v>0</v>
      </c>
      <c r="AA241">
        <f t="shared" si="22"/>
        <v>0</v>
      </c>
      <c r="AB241">
        <f t="shared" si="23"/>
        <v>0</v>
      </c>
      <c r="AC241">
        <f>IF(I241="",0,L241*IFERROR(INDEX(کاتالوگ_محصولات!$G$4:$G$303,MATCH(I241,کاتالوگ_محصولات!$A$4:$A$303,0)),0))</f>
        <v>0</v>
      </c>
      <c r="AD241">
        <f t="shared" si="26"/>
        <v>0</v>
      </c>
      <c r="AE241" t="str">
        <f t="shared" si="27"/>
        <v/>
      </c>
    </row>
    <row r="242" spans="22:31" ht="18" customHeight="1">
      <c r="V242">
        <f>IF(A242="",0,IF(COUNTIF($A$3:A242,A242)=1,1,0))</f>
        <v>0</v>
      </c>
      <c r="W242">
        <f t="shared" si="24"/>
        <v>0</v>
      </c>
      <c r="X242" t="str">
        <f t="shared" si="25"/>
        <v/>
      </c>
      <c r="Y242">
        <f>IF(X242="",0,IF(COUNTIF($X$3:X242,X242)=1,1,0))</f>
        <v>0</v>
      </c>
      <c r="Z242">
        <f>IF(V242&lt;&gt;1,0,IF(X242="",0,IF(COUNTIF($X$3:X241,X242)&gt;0,1,0)))</f>
        <v>0</v>
      </c>
      <c r="AA242">
        <f t="shared" si="22"/>
        <v>0</v>
      </c>
      <c r="AB242">
        <f t="shared" si="23"/>
        <v>0</v>
      </c>
      <c r="AC242">
        <f>IF(I242="",0,L242*IFERROR(INDEX(کاتالوگ_محصولات!$G$4:$G$303,MATCH(I242,کاتالوگ_محصولات!$A$4:$A$303,0)),0))</f>
        <v>0</v>
      </c>
      <c r="AD242">
        <f t="shared" si="26"/>
        <v>0</v>
      </c>
      <c r="AE242" t="str">
        <f t="shared" si="27"/>
        <v/>
      </c>
    </row>
    <row r="243" spans="22:31" ht="18" customHeight="1">
      <c r="V243">
        <f>IF(A243="",0,IF(COUNTIF($A$3:A243,A243)=1,1,0))</f>
        <v>0</v>
      </c>
      <c r="W243">
        <f t="shared" si="24"/>
        <v>0</v>
      </c>
      <c r="X243" t="str">
        <f t="shared" si="25"/>
        <v/>
      </c>
      <c r="Y243">
        <f>IF(X243="",0,IF(COUNTIF($X$3:X243,X243)=1,1,0))</f>
        <v>0</v>
      </c>
      <c r="Z243">
        <f>IF(V243&lt;&gt;1,0,IF(X243="",0,IF(COUNTIF($X$3:X242,X243)&gt;0,1,0)))</f>
        <v>0</v>
      </c>
      <c r="AA243">
        <f t="shared" si="22"/>
        <v>0</v>
      </c>
      <c r="AB243">
        <f t="shared" si="23"/>
        <v>0</v>
      </c>
      <c r="AC243">
        <f>IF(I243="",0,L243*IFERROR(INDEX(کاتالوگ_محصولات!$G$4:$G$303,MATCH(I243,کاتالوگ_محصولات!$A$4:$A$303,0)),0))</f>
        <v>0</v>
      </c>
      <c r="AD243">
        <f t="shared" si="26"/>
        <v>0</v>
      </c>
      <c r="AE243" t="str">
        <f t="shared" si="27"/>
        <v/>
      </c>
    </row>
    <row r="244" spans="22:31" ht="18" customHeight="1">
      <c r="V244">
        <f>IF(A244="",0,IF(COUNTIF($A$3:A244,A244)=1,1,0))</f>
        <v>0</v>
      </c>
      <c r="W244">
        <f t="shared" si="24"/>
        <v>0</v>
      </c>
      <c r="X244" t="str">
        <f t="shared" si="25"/>
        <v/>
      </c>
      <c r="Y244">
        <f>IF(X244="",0,IF(COUNTIF($X$3:X244,X244)=1,1,0))</f>
        <v>0</v>
      </c>
      <c r="Z244">
        <f>IF(V244&lt;&gt;1,0,IF(X244="",0,IF(COUNTIF($X$3:X243,X244)&gt;0,1,0)))</f>
        <v>0</v>
      </c>
      <c r="AA244">
        <f t="shared" si="22"/>
        <v>0</v>
      </c>
      <c r="AB244">
        <f t="shared" si="23"/>
        <v>0</v>
      </c>
      <c r="AC244">
        <f>IF(I244="",0,L244*IFERROR(INDEX(کاتالوگ_محصولات!$G$4:$G$303,MATCH(I244,کاتالوگ_محصولات!$A$4:$A$303,0)),0))</f>
        <v>0</v>
      </c>
      <c r="AD244">
        <f t="shared" si="26"/>
        <v>0</v>
      </c>
      <c r="AE244" t="str">
        <f t="shared" si="27"/>
        <v/>
      </c>
    </row>
    <row r="245" spans="22:31" ht="18" customHeight="1">
      <c r="V245">
        <f>IF(A245="",0,IF(COUNTIF($A$3:A245,A245)=1,1,0))</f>
        <v>0</v>
      </c>
      <c r="W245">
        <f t="shared" si="24"/>
        <v>0</v>
      </c>
      <c r="X245" t="str">
        <f t="shared" si="25"/>
        <v/>
      </c>
      <c r="Y245">
        <f>IF(X245="",0,IF(COUNTIF($X$3:X245,X245)=1,1,0))</f>
        <v>0</v>
      </c>
      <c r="Z245">
        <f>IF(V245&lt;&gt;1,0,IF(X245="",0,IF(COUNTIF($X$3:X244,X245)&gt;0,1,0)))</f>
        <v>0</v>
      </c>
      <c r="AA245">
        <f t="shared" si="22"/>
        <v>0</v>
      </c>
      <c r="AB245">
        <f t="shared" si="23"/>
        <v>0</v>
      </c>
      <c r="AC245">
        <f>IF(I245="",0,L245*IFERROR(INDEX(کاتالوگ_محصولات!$G$4:$G$303,MATCH(I245,کاتالوگ_محصولات!$A$4:$A$303,0)),0))</f>
        <v>0</v>
      </c>
      <c r="AD245">
        <f t="shared" si="26"/>
        <v>0</v>
      </c>
      <c r="AE245" t="str">
        <f t="shared" si="27"/>
        <v/>
      </c>
    </row>
    <row r="246" spans="22:31" ht="18" customHeight="1">
      <c r="V246">
        <f>IF(A246="",0,IF(COUNTIF($A$3:A246,A246)=1,1,0))</f>
        <v>0</v>
      </c>
      <c r="W246">
        <f t="shared" si="24"/>
        <v>0</v>
      </c>
      <c r="X246" t="str">
        <f t="shared" si="25"/>
        <v/>
      </c>
      <c r="Y246">
        <f>IF(X246="",0,IF(COUNTIF($X$3:X246,X246)=1,1,0))</f>
        <v>0</v>
      </c>
      <c r="Z246">
        <f>IF(V246&lt;&gt;1,0,IF(X246="",0,IF(COUNTIF($X$3:X245,X246)&gt;0,1,0)))</f>
        <v>0</v>
      </c>
      <c r="AA246">
        <f t="shared" si="22"/>
        <v>0</v>
      </c>
      <c r="AB246">
        <f t="shared" si="23"/>
        <v>0</v>
      </c>
      <c r="AC246">
        <f>IF(I246="",0,L246*IFERROR(INDEX(کاتالوگ_محصولات!$G$4:$G$303,MATCH(I246,کاتالوگ_محصولات!$A$4:$A$303,0)),0))</f>
        <v>0</v>
      </c>
      <c r="AD246">
        <f t="shared" si="26"/>
        <v>0</v>
      </c>
      <c r="AE246" t="str">
        <f t="shared" si="27"/>
        <v/>
      </c>
    </row>
    <row r="247" spans="22:31" ht="18" customHeight="1">
      <c r="V247">
        <f>IF(A247="",0,IF(COUNTIF($A$3:A247,A247)=1,1,0))</f>
        <v>0</v>
      </c>
      <c r="W247">
        <f t="shared" si="24"/>
        <v>0</v>
      </c>
      <c r="X247" t="str">
        <f t="shared" si="25"/>
        <v/>
      </c>
      <c r="Y247">
        <f>IF(X247="",0,IF(COUNTIF($X$3:X247,X247)=1,1,0))</f>
        <v>0</v>
      </c>
      <c r="Z247">
        <f>IF(V247&lt;&gt;1,0,IF(X247="",0,IF(COUNTIF($X$3:X246,X247)&gt;0,1,0)))</f>
        <v>0</v>
      </c>
      <c r="AA247">
        <f t="shared" si="22"/>
        <v>0</v>
      </c>
      <c r="AB247">
        <f t="shared" si="23"/>
        <v>0</v>
      </c>
      <c r="AC247">
        <f>IF(I247="",0,L247*IFERROR(INDEX(کاتالوگ_محصولات!$G$4:$G$303,MATCH(I247,کاتالوگ_محصولات!$A$4:$A$303,0)),0))</f>
        <v>0</v>
      </c>
      <c r="AD247">
        <f t="shared" si="26"/>
        <v>0</v>
      </c>
      <c r="AE247" t="str">
        <f t="shared" si="27"/>
        <v/>
      </c>
    </row>
    <row r="248" spans="22:31" ht="18" customHeight="1">
      <c r="V248">
        <f>IF(A248="",0,IF(COUNTIF($A$3:A248,A248)=1,1,0))</f>
        <v>0</v>
      </c>
      <c r="W248">
        <f t="shared" si="24"/>
        <v>0</v>
      </c>
      <c r="X248" t="str">
        <f t="shared" si="25"/>
        <v/>
      </c>
      <c r="Y248">
        <f>IF(X248="",0,IF(COUNTIF($X$3:X248,X248)=1,1,0))</f>
        <v>0</v>
      </c>
      <c r="Z248">
        <f>IF(V248&lt;&gt;1,0,IF(X248="",0,IF(COUNTIF($X$3:X247,X248)&gt;0,1,0)))</f>
        <v>0</v>
      </c>
      <c r="AA248">
        <f t="shared" si="22"/>
        <v>0</v>
      </c>
      <c r="AB248">
        <f t="shared" si="23"/>
        <v>0</v>
      </c>
      <c r="AC248">
        <f>IF(I248="",0,L248*IFERROR(INDEX(کاتالوگ_محصولات!$G$4:$G$303,MATCH(I248,کاتالوگ_محصولات!$A$4:$A$303,0)),0))</f>
        <v>0</v>
      </c>
      <c r="AD248">
        <f t="shared" si="26"/>
        <v>0</v>
      </c>
      <c r="AE248" t="str">
        <f t="shared" si="27"/>
        <v/>
      </c>
    </row>
    <row r="249" spans="22:31" ht="18" customHeight="1">
      <c r="V249">
        <f>IF(A249="",0,IF(COUNTIF($A$3:A249,A249)=1,1,0))</f>
        <v>0</v>
      </c>
      <c r="W249">
        <f t="shared" si="24"/>
        <v>0</v>
      </c>
      <c r="X249" t="str">
        <f t="shared" si="25"/>
        <v/>
      </c>
      <c r="Y249">
        <f>IF(X249="",0,IF(COUNTIF($X$3:X249,X249)=1,1,0))</f>
        <v>0</v>
      </c>
      <c r="Z249">
        <f>IF(V249&lt;&gt;1,0,IF(X249="",0,IF(COUNTIF($X$3:X248,X249)&gt;0,1,0)))</f>
        <v>0</v>
      </c>
      <c r="AA249">
        <f t="shared" si="22"/>
        <v>0</v>
      </c>
      <c r="AB249">
        <f t="shared" si="23"/>
        <v>0</v>
      </c>
      <c r="AC249">
        <f>IF(I249="",0,L249*IFERROR(INDEX(کاتالوگ_محصولات!$G$4:$G$303,MATCH(I249,کاتالوگ_محصولات!$A$4:$A$303,0)),0))</f>
        <v>0</v>
      </c>
      <c r="AD249">
        <f t="shared" si="26"/>
        <v>0</v>
      </c>
      <c r="AE249" t="str">
        <f t="shared" si="27"/>
        <v/>
      </c>
    </row>
    <row r="250" spans="22:31" ht="18" customHeight="1">
      <c r="V250">
        <f>IF(A250="",0,IF(COUNTIF($A$3:A250,A250)=1,1,0))</f>
        <v>0</v>
      </c>
      <c r="W250">
        <f t="shared" si="24"/>
        <v>0</v>
      </c>
      <c r="X250" t="str">
        <f t="shared" si="25"/>
        <v/>
      </c>
      <c r="Y250">
        <f>IF(X250="",0,IF(COUNTIF($X$3:X250,X250)=1,1,0))</f>
        <v>0</v>
      </c>
      <c r="Z250">
        <f>IF(V250&lt;&gt;1,0,IF(X250="",0,IF(COUNTIF($X$3:X249,X250)&gt;0,1,0)))</f>
        <v>0</v>
      </c>
      <c r="AA250">
        <f t="shared" si="22"/>
        <v>0</v>
      </c>
      <c r="AB250">
        <f t="shared" si="23"/>
        <v>0</v>
      </c>
      <c r="AC250">
        <f>IF(I250="",0,L250*IFERROR(INDEX(کاتالوگ_محصولات!$G$4:$G$303,MATCH(I250,کاتالوگ_محصولات!$A$4:$A$303,0)),0))</f>
        <v>0</v>
      </c>
      <c r="AD250">
        <f t="shared" si="26"/>
        <v>0</v>
      </c>
      <c r="AE250" t="str">
        <f t="shared" si="27"/>
        <v/>
      </c>
    </row>
    <row r="251" spans="22:31" ht="18" customHeight="1">
      <c r="V251">
        <f>IF(A251="",0,IF(COUNTIF($A$3:A251,A251)=1,1,0))</f>
        <v>0</v>
      </c>
      <c r="W251">
        <f t="shared" si="24"/>
        <v>0</v>
      </c>
      <c r="X251" t="str">
        <f t="shared" si="25"/>
        <v/>
      </c>
      <c r="Y251">
        <f>IF(X251="",0,IF(COUNTIF($X$3:X251,X251)=1,1,0))</f>
        <v>0</v>
      </c>
      <c r="Z251">
        <f>IF(V251&lt;&gt;1,0,IF(X251="",0,IF(COUNTIF($X$3:X250,X251)&gt;0,1,0)))</f>
        <v>0</v>
      </c>
      <c r="AA251">
        <f t="shared" si="22"/>
        <v>0</v>
      </c>
      <c r="AB251">
        <f t="shared" si="23"/>
        <v>0</v>
      </c>
      <c r="AC251">
        <f>IF(I251="",0,L251*IFERROR(INDEX(کاتالوگ_محصولات!$G$4:$G$303,MATCH(I251,کاتالوگ_محصولات!$A$4:$A$303,0)),0))</f>
        <v>0</v>
      </c>
      <c r="AD251">
        <f t="shared" si="26"/>
        <v>0</v>
      </c>
      <c r="AE251" t="str">
        <f t="shared" si="27"/>
        <v/>
      </c>
    </row>
    <row r="252" spans="22:31" ht="18" customHeight="1">
      <c r="V252">
        <f>IF(A252="",0,IF(COUNTIF($A$3:A252,A252)=1,1,0))</f>
        <v>0</v>
      </c>
      <c r="W252">
        <f t="shared" si="24"/>
        <v>0</v>
      </c>
      <c r="X252" t="str">
        <f t="shared" si="25"/>
        <v/>
      </c>
      <c r="Y252">
        <f>IF(X252="",0,IF(COUNTIF($X$3:X252,X252)=1,1,0))</f>
        <v>0</v>
      </c>
      <c r="Z252">
        <f>IF(V252&lt;&gt;1,0,IF(X252="",0,IF(COUNTIF($X$3:X251,X252)&gt;0,1,0)))</f>
        <v>0</v>
      </c>
      <c r="AA252">
        <f t="shared" si="22"/>
        <v>0</v>
      </c>
      <c r="AB252">
        <f t="shared" si="23"/>
        <v>0</v>
      </c>
      <c r="AC252">
        <f>IF(I252="",0,L252*IFERROR(INDEX(کاتالوگ_محصولات!$G$4:$G$303,MATCH(I252,کاتالوگ_محصولات!$A$4:$A$303,0)),0))</f>
        <v>0</v>
      </c>
      <c r="AD252">
        <f t="shared" si="26"/>
        <v>0</v>
      </c>
      <c r="AE252" t="str">
        <f t="shared" si="27"/>
        <v/>
      </c>
    </row>
    <row r="253" spans="22:31" ht="18" customHeight="1">
      <c r="V253">
        <f>IF(A253="",0,IF(COUNTIF($A$3:A253,A253)=1,1,0))</f>
        <v>0</v>
      </c>
      <c r="W253">
        <f t="shared" si="24"/>
        <v>0</v>
      </c>
      <c r="X253" t="str">
        <f t="shared" si="25"/>
        <v/>
      </c>
      <c r="Y253">
        <f>IF(X253="",0,IF(COUNTIF($X$3:X253,X253)=1,1,0))</f>
        <v>0</v>
      </c>
      <c r="Z253">
        <f>IF(V253&lt;&gt;1,0,IF(X253="",0,IF(COUNTIF($X$3:X252,X253)&gt;0,1,0)))</f>
        <v>0</v>
      </c>
      <c r="AA253">
        <f t="shared" si="22"/>
        <v>0</v>
      </c>
      <c r="AB253">
        <f t="shared" si="23"/>
        <v>0</v>
      </c>
      <c r="AC253">
        <f>IF(I253="",0,L253*IFERROR(INDEX(کاتالوگ_محصولات!$G$4:$G$303,MATCH(I253,کاتالوگ_محصولات!$A$4:$A$303,0)),0))</f>
        <v>0</v>
      </c>
      <c r="AD253">
        <f t="shared" si="26"/>
        <v>0</v>
      </c>
      <c r="AE253" t="str">
        <f t="shared" si="27"/>
        <v/>
      </c>
    </row>
    <row r="254" spans="22:31" ht="18" customHeight="1">
      <c r="V254">
        <f>IF(A254="",0,IF(COUNTIF($A$3:A254,A254)=1,1,0))</f>
        <v>0</v>
      </c>
      <c r="W254">
        <f t="shared" si="24"/>
        <v>0</v>
      </c>
      <c r="X254" t="str">
        <f t="shared" si="25"/>
        <v/>
      </c>
      <c r="Y254">
        <f>IF(X254="",0,IF(COUNTIF($X$3:X254,X254)=1,1,0))</f>
        <v>0</v>
      </c>
      <c r="Z254">
        <f>IF(V254&lt;&gt;1,0,IF(X254="",0,IF(COUNTIF($X$3:X253,X254)&gt;0,1,0)))</f>
        <v>0</v>
      </c>
      <c r="AA254">
        <f t="shared" si="22"/>
        <v>0</v>
      </c>
      <c r="AB254">
        <f t="shared" si="23"/>
        <v>0</v>
      </c>
      <c r="AC254">
        <f>IF(I254="",0,L254*IFERROR(INDEX(کاتالوگ_محصولات!$G$4:$G$303,MATCH(I254,کاتالوگ_محصولات!$A$4:$A$303,0)),0))</f>
        <v>0</v>
      </c>
      <c r="AD254">
        <f t="shared" si="26"/>
        <v>0</v>
      </c>
      <c r="AE254" t="str">
        <f t="shared" si="27"/>
        <v/>
      </c>
    </row>
    <row r="255" spans="22:31" ht="18" customHeight="1">
      <c r="V255">
        <f>IF(A255="",0,IF(COUNTIF($A$3:A255,A255)=1,1,0))</f>
        <v>0</v>
      </c>
      <c r="W255">
        <f t="shared" si="24"/>
        <v>0</v>
      </c>
      <c r="X255" t="str">
        <f t="shared" si="25"/>
        <v/>
      </c>
      <c r="Y255">
        <f>IF(X255="",0,IF(COUNTIF($X$3:X255,X255)=1,1,0))</f>
        <v>0</v>
      </c>
      <c r="Z255">
        <f>IF(V255&lt;&gt;1,0,IF(X255="",0,IF(COUNTIF($X$3:X254,X255)&gt;0,1,0)))</f>
        <v>0</v>
      </c>
      <c r="AA255">
        <f t="shared" si="22"/>
        <v>0</v>
      </c>
      <c r="AB255">
        <f t="shared" si="23"/>
        <v>0</v>
      </c>
      <c r="AC255">
        <f>IF(I255="",0,L255*IFERROR(INDEX(کاتالوگ_محصولات!$G$4:$G$303,MATCH(I255,کاتالوگ_محصولات!$A$4:$A$303,0)),0))</f>
        <v>0</v>
      </c>
      <c r="AD255">
        <f t="shared" si="26"/>
        <v>0</v>
      </c>
      <c r="AE255" t="str">
        <f t="shared" si="27"/>
        <v/>
      </c>
    </row>
    <row r="256" spans="22:31" ht="18" customHeight="1">
      <c r="V256">
        <f>IF(A256="",0,IF(COUNTIF($A$3:A256,A256)=1,1,0))</f>
        <v>0</v>
      </c>
      <c r="W256">
        <f t="shared" si="24"/>
        <v>0</v>
      </c>
      <c r="X256" t="str">
        <f t="shared" si="25"/>
        <v/>
      </c>
      <c r="Y256">
        <f>IF(X256="",0,IF(COUNTIF($X$3:X256,X256)=1,1,0))</f>
        <v>0</v>
      </c>
      <c r="Z256">
        <f>IF(V256&lt;&gt;1,0,IF(X256="",0,IF(COUNTIF($X$3:X255,X256)&gt;0,1,0)))</f>
        <v>0</v>
      </c>
      <c r="AA256">
        <f t="shared" si="22"/>
        <v>0</v>
      </c>
      <c r="AB256">
        <f t="shared" si="23"/>
        <v>0</v>
      </c>
      <c r="AC256">
        <f>IF(I256="",0,L256*IFERROR(INDEX(کاتالوگ_محصولات!$G$4:$G$303,MATCH(I256,کاتالوگ_محصولات!$A$4:$A$303,0)),0))</f>
        <v>0</v>
      </c>
      <c r="AD256">
        <f t="shared" si="26"/>
        <v>0</v>
      </c>
      <c r="AE256" t="str">
        <f t="shared" si="27"/>
        <v/>
      </c>
    </row>
    <row r="257" spans="22:31" ht="18" customHeight="1">
      <c r="V257">
        <f>IF(A257="",0,IF(COUNTIF($A$3:A257,A257)=1,1,0))</f>
        <v>0</v>
      </c>
      <c r="W257">
        <f t="shared" si="24"/>
        <v>0</v>
      </c>
      <c r="X257" t="str">
        <f t="shared" si="25"/>
        <v/>
      </c>
      <c r="Y257">
        <f>IF(X257="",0,IF(COUNTIF($X$3:X257,X257)=1,1,0))</f>
        <v>0</v>
      </c>
      <c r="Z257">
        <f>IF(V257&lt;&gt;1,0,IF(X257="",0,IF(COUNTIF($X$3:X256,X257)&gt;0,1,0)))</f>
        <v>0</v>
      </c>
      <c r="AA257">
        <f t="shared" si="22"/>
        <v>0</v>
      </c>
      <c r="AB257">
        <f t="shared" si="23"/>
        <v>0</v>
      </c>
      <c r="AC257">
        <f>IF(I257="",0,L257*IFERROR(INDEX(کاتالوگ_محصولات!$G$4:$G$303,MATCH(I257,کاتالوگ_محصولات!$A$4:$A$303,0)),0))</f>
        <v>0</v>
      </c>
      <c r="AD257">
        <f t="shared" si="26"/>
        <v>0</v>
      </c>
      <c r="AE257" t="str">
        <f t="shared" si="27"/>
        <v/>
      </c>
    </row>
    <row r="258" spans="22:31" ht="18" customHeight="1">
      <c r="V258">
        <f>IF(A258="",0,IF(COUNTIF($A$3:A258,A258)=1,1,0))</f>
        <v>0</v>
      </c>
      <c r="W258">
        <f t="shared" si="24"/>
        <v>0</v>
      </c>
      <c r="X258" t="str">
        <f t="shared" si="25"/>
        <v/>
      </c>
      <c r="Y258">
        <f>IF(X258="",0,IF(COUNTIF($X$3:X258,X258)=1,1,0))</f>
        <v>0</v>
      </c>
      <c r="Z258">
        <f>IF(V258&lt;&gt;1,0,IF(X258="",0,IF(COUNTIF($X$3:X257,X258)&gt;0,1,0)))</f>
        <v>0</v>
      </c>
      <c r="AA258">
        <f t="shared" si="22"/>
        <v>0</v>
      </c>
      <c r="AB258">
        <f t="shared" si="23"/>
        <v>0</v>
      </c>
      <c r="AC258">
        <f>IF(I258="",0,L258*IFERROR(INDEX(کاتالوگ_محصولات!$G$4:$G$303,MATCH(I258,کاتالوگ_محصولات!$A$4:$A$303,0)),0))</f>
        <v>0</v>
      </c>
      <c r="AD258">
        <f t="shared" si="26"/>
        <v>0</v>
      </c>
      <c r="AE258" t="str">
        <f t="shared" si="27"/>
        <v/>
      </c>
    </row>
    <row r="259" spans="22:31" ht="18" customHeight="1">
      <c r="V259">
        <f>IF(A259="",0,IF(COUNTIF($A$3:A259,A259)=1,1,0))</f>
        <v>0</v>
      </c>
      <c r="W259">
        <f t="shared" si="24"/>
        <v>0</v>
      </c>
      <c r="X259" t="str">
        <f t="shared" si="25"/>
        <v/>
      </c>
      <c r="Y259">
        <f>IF(X259="",0,IF(COUNTIF($X$3:X259,X259)=1,1,0))</f>
        <v>0</v>
      </c>
      <c r="Z259">
        <f>IF(V259&lt;&gt;1,0,IF(X259="",0,IF(COUNTIF($X$3:X258,X259)&gt;0,1,0)))</f>
        <v>0</v>
      </c>
      <c r="AA259">
        <f t="shared" ref="AA259:AA322" si="28">IF(V259=1,SUMIF($A$3:$A$1622,A259,$O$3:$O$1622),0)</f>
        <v>0</v>
      </c>
      <c r="AB259">
        <f t="shared" ref="AB259:AB322" si="29">IF(V259=1,SUMIF($A$3:$A$1622,A259,$L$3:$L$1622),0)</f>
        <v>0</v>
      </c>
      <c r="AC259">
        <f>IF(I259="",0,L259*IFERROR(INDEX(کاتالوگ_محصولات!$G$4:$G$303,MATCH(I259,کاتالوگ_محصولات!$A$4:$A$303,0)),0))</f>
        <v>0</v>
      </c>
      <c r="AD259">
        <f t="shared" si="26"/>
        <v>0</v>
      </c>
      <c r="AE259" t="str">
        <f t="shared" si="27"/>
        <v/>
      </c>
    </row>
    <row r="260" spans="22:31" ht="18" customHeight="1">
      <c r="V260">
        <f>IF(A260="",0,IF(COUNTIF($A$3:A260,A260)=1,1,0))</f>
        <v>0</v>
      </c>
      <c r="W260">
        <f t="shared" si="24"/>
        <v>0</v>
      </c>
      <c r="X260" t="str">
        <f t="shared" si="25"/>
        <v/>
      </c>
      <c r="Y260">
        <f>IF(X260="",0,IF(COUNTIF($X$3:X260,X260)=1,1,0))</f>
        <v>0</v>
      </c>
      <c r="Z260">
        <f>IF(V260&lt;&gt;1,0,IF(X260="",0,IF(COUNTIF($X$3:X259,X260)&gt;0,1,0)))</f>
        <v>0</v>
      </c>
      <c r="AA260">
        <f t="shared" si="28"/>
        <v>0</v>
      </c>
      <c r="AB260">
        <f t="shared" si="29"/>
        <v>0</v>
      </c>
      <c r="AC260">
        <f>IF(I260="",0,L260*IFERROR(INDEX(کاتالوگ_محصولات!$G$4:$G$303,MATCH(I260,کاتالوگ_محصولات!$A$4:$A$303,0)),0))</f>
        <v>0</v>
      </c>
      <c r="AD260">
        <f t="shared" si="26"/>
        <v>0</v>
      </c>
      <c r="AE260" t="str">
        <f t="shared" si="27"/>
        <v/>
      </c>
    </row>
    <row r="261" spans="22:31" ht="18" customHeight="1">
      <c r="V261">
        <f>IF(A261="",0,IF(COUNTIF($A$3:A261,A261)=1,1,0))</f>
        <v>0</v>
      </c>
      <c r="W261">
        <f t="shared" si="24"/>
        <v>0</v>
      </c>
      <c r="X261" t="str">
        <f t="shared" si="25"/>
        <v/>
      </c>
      <c r="Y261">
        <f>IF(X261="",0,IF(COUNTIF($X$3:X261,X261)=1,1,0))</f>
        <v>0</v>
      </c>
      <c r="Z261">
        <f>IF(V261&lt;&gt;1,0,IF(X261="",0,IF(COUNTIF($X$3:X260,X261)&gt;0,1,0)))</f>
        <v>0</v>
      </c>
      <c r="AA261">
        <f t="shared" si="28"/>
        <v>0</v>
      </c>
      <c r="AB261">
        <f t="shared" si="29"/>
        <v>0</v>
      </c>
      <c r="AC261">
        <f>IF(I261="",0,L261*IFERROR(INDEX(کاتالوگ_محصولات!$G$4:$G$303,MATCH(I261,کاتالوگ_محصولات!$A$4:$A$303,0)),0))</f>
        <v>0</v>
      </c>
      <c r="AD261">
        <f t="shared" si="26"/>
        <v>0</v>
      </c>
      <c r="AE261" t="str">
        <f t="shared" si="27"/>
        <v/>
      </c>
    </row>
    <row r="262" spans="22:31" ht="18" customHeight="1">
      <c r="V262">
        <f>IF(A262="",0,IF(COUNTIF($A$3:A262,A262)=1,1,0))</f>
        <v>0</v>
      </c>
      <c r="W262">
        <f t="shared" si="24"/>
        <v>0</v>
      </c>
      <c r="X262" t="str">
        <f t="shared" si="25"/>
        <v/>
      </c>
      <c r="Y262">
        <f>IF(X262="",0,IF(COUNTIF($X$3:X262,X262)=1,1,0))</f>
        <v>0</v>
      </c>
      <c r="Z262">
        <f>IF(V262&lt;&gt;1,0,IF(X262="",0,IF(COUNTIF($X$3:X261,X262)&gt;0,1,0)))</f>
        <v>0</v>
      </c>
      <c r="AA262">
        <f t="shared" si="28"/>
        <v>0</v>
      </c>
      <c r="AB262">
        <f t="shared" si="29"/>
        <v>0</v>
      </c>
      <c r="AC262">
        <f>IF(I262="",0,L262*IFERROR(INDEX(کاتالوگ_محصولات!$G$4:$G$303,MATCH(I262,کاتالوگ_محصولات!$A$4:$A$303,0)),0))</f>
        <v>0</v>
      </c>
      <c r="AD262">
        <f t="shared" si="26"/>
        <v>0</v>
      </c>
      <c r="AE262" t="str">
        <f t="shared" si="27"/>
        <v/>
      </c>
    </row>
    <row r="263" spans="22:31" ht="18" customHeight="1">
      <c r="V263">
        <f>IF(A263="",0,IF(COUNTIF($A$3:A263,A263)=1,1,0))</f>
        <v>0</v>
      </c>
      <c r="W263">
        <f t="shared" si="24"/>
        <v>0</v>
      </c>
      <c r="X263" t="str">
        <f t="shared" si="25"/>
        <v/>
      </c>
      <c r="Y263">
        <f>IF(X263="",0,IF(COUNTIF($X$3:X263,X263)=1,1,0))</f>
        <v>0</v>
      </c>
      <c r="Z263">
        <f>IF(V263&lt;&gt;1,0,IF(X263="",0,IF(COUNTIF($X$3:X262,X263)&gt;0,1,0)))</f>
        <v>0</v>
      </c>
      <c r="AA263">
        <f t="shared" si="28"/>
        <v>0</v>
      </c>
      <c r="AB263">
        <f t="shared" si="29"/>
        <v>0</v>
      </c>
      <c r="AC263">
        <f>IF(I263="",0,L263*IFERROR(INDEX(کاتالوگ_محصولات!$G$4:$G$303,MATCH(I263,کاتالوگ_محصولات!$A$4:$A$303,0)),0))</f>
        <v>0</v>
      </c>
      <c r="AD263">
        <f t="shared" si="26"/>
        <v>0</v>
      </c>
      <c r="AE263" t="str">
        <f t="shared" si="27"/>
        <v/>
      </c>
    </row>
    <row r="264" spans="22:31" ht="18" customHeight="1">
      <c r="V264">
        <f>IF(A264="",0,IF(COUNTIF($A$3:A264,A264)=1,1,0))</f>
        <v>0</v>
      </c>
      <c r="W264">
        <f t="shared" si="24"/>
        <v>0</v>
      </c>
      <c r="X264" t="str">
        <f t="shared" si="25"/>
        <v/>
      </c>
      <c r="Y264">
        <f>IF(X264="",0,IF(COUNTIF($X$3:X264,X264)=1,1,0))</f>
        <v>0</v>
      </c>
      <c r="Z264">
        <f>IF(V264&lt;&gt;1,0,IF(X264="",0,IF(COUNTIF($X$3:X263,X264)&gt;0,1,0)))</f>
        <v>0</v>
      </c>
      <c r="AA264">
        <f t="shared" si="28"/>
        <v>0</v>
      </c>
      <c r="AB264">
        <f t="shared" si="29"/>
        <v>0</v>
      </c>
      <c r="AC264">
        <f>IF(I264="",0,L264*IFERROR(INDEX(کاتالوگ_محصولات!$G$4:$G$303,MATCH(I264,کاتالوگ_محصولات!$A$4:$A$303,0)),0))</f>
        <v>0</v>
      </c>
      <c r="AD264">
        <f t="shared" si="26"/>
        <v>0</v>
      </c>
      <c r="AE264" t="str">
        <f t="shared" si="27"/>
        <v/>
      </c>
    </row>
    <row r="265" spans="22:31" ht="18" customHeight="1">
      <c r="V265">
        <f>IF(A265="",0,IF(COUNTIF($A$3:A265,A265)=1,1,0))</f>
        <v>0</v>
      </c>
      <c r="W265">
        <f t="shared" ref="W265:W328" si="30">IF(A265="",0,L265*M265)</f>
        <v>0</v>
      </c>
      <c r="X265" t="str">
        <f t="shared" ref="X265:X328" si="31">IF(R265&lt;&gt;"",R265,IF(AND(P265&lt;&gt;"",Q265&lt;&gt;""),P265&amp;"|"&amp;Q265,""))</f>
        <v/>
      </c>
      <c r="Y265">
        <f>IF(X265="",0,IF(COUNTIF($X$3:X265,X265)=1,1,0))</f>
        <v>0</v>
      </c>
      <c r="Z265">
        <f>IF(V265&lt;&gt;1,0,IF(X265="",0,IF(COUNTIF($X$3:X264,X265)&gt;0,1,0)))</f>
        <v>0</v>
      </c>
      <c r="AA265">
        <f t="shared" si="28"/>
        <v>0</v>
      </c>
      <c r="AB265">
        <f t="shared" si="29"/>
        <v>0</v>
      </c>
      <c r="AC265">
        <f>IF(I265="",0,L265*IFERROR(INDEX(کاتالوگ_محصولات!$G$4:$G$303,MATCH(I265,کاتالوگ_محصولات!$A$4:$A$303,0)),0))</f>
        <v>0</v>
      </c>
      <c r="AD265">
        <f t="shared" ref="AD265:AD328" si="32">IF(A265="",0,O265-AC265)</f>
        <v>0</v>
      </c>
      <c r="AE265" t="str">
        <f t="shared" ref="AE265:AE328" si="33">IF(B265="","",LEFT(B265,7))</f>
        <v/>
      </c>
    </row>
    <row r="266" spans="22:31" ht="18" customHeight="1">
      <c r="V266">
        <f>IF(A266="",0,IF(COUNTIF($A$3:A266,A266)=1,1,0))</f>
        <v>0</v>
      </c>
      <c r="W266">
        <f t="shared" si="30"/>
        <v>0</v>
      </c>
      <c r="X266" t="str">
        <f t="shared" si="31"/>
        <v/>
      </c>
      <c r="Y266">
        <f>IF(X266="",0,IF(COUNTIF($X$3:X266,X266)=1,1,0))</f>
        <v>0</v>
      </c>
      <c r="Z266">
        <f>IF(V266&lt;&gt;1,0,IF(X266="",0,IF(COUNTIF($X$3:X265,X266)&gt;0,1,0)))</f>
        <v>0</v>
      </c>
      <c r="AA266">
        <f t="shared" si="28"/>
        <v>0</v>
      </c>
      <c r="AB266">
        <f t="shared" si="29"/>
        <v>0</v>
      </c>
      <c r="AC266">
        <f>IF(I266="",0,L266*IFERROR(INDEX(کاتالوگ_محصولات!$G$4:$G$303,MATCH(I266,کاتالوگ_محصولات!$A$4:$A$303,0)),0))</f>
        <v>0</v>
      </c>
      <c r="AD266">
        <f t="shared" si="32"/>
        <v>0</v>
      </c>
      <c r="AE266" t="str">
        <f t="shared" si="33"/>
        <v/>
      </c>
    </row>
    <row r="267" spans="22:31" ht="18" customHeight="1">
      <c r="V267">
        <f>IF(A267="",0,IF(COUNTIF($A$3:A267,A267)=1,1,0))</f>
        <v>0</v>
      </c>
      <c r="W267">
        <f t="shared" si="30"/>
        <v>0</v>
      </c>
      <c r="X267" t="str">
        <f t="shared" si="31"/>
        <v/>
      </c>
      <c r="Y267">
        <f>IF(X267="",0,IF(COUNTIF($X$3:X267,X267)=1,1,0))</f>
        <v>0</v>
      </c>
      <c r="Z267">
        <f>IF(V267&lt;&gt;1,0,IF(X267="",0,IF(COUNTIF($X$3:X266,X267)&gt;0,1,0)))</f>
        <v>0</v>
      </c>
      <c r="AA267">
        <f t="shared" si="28"/>
        <v>0</v>
      </c>
      <c r="AB267">
        <f t="shared" si="29"/>
        <v>0</v>
      </c>
      <c r="AC267">
        <f>IF(I267="",0,L267*IFERROR(INDEX(کاتالوگ_محصولات!$G$4:$G$303,MATCH(I267,کاتالوگ_محصولات!$A$4:$A$303,0)),0))</f>
        <v>0</v>
      </c>
      <c r="AD267">
        <f t="shared" si="32"/>
        <v>0</v>
      </c>
      <c r="AE267" t="str">
        <f t="shared" si="33"/>
        <v/>
      </c>
    </row>
    <row r="268" spans="22:31" ht="18" customHeight="1">
      <c r="V268">
        <f>IF(A268="",0,IF(COUNTIF($A$3:A268,A268)=1,1,0))</f>
        <v>0</v>
      </c>
      <c r="W268">
        <f t="shared" si="30"/>
        <v>0</v>
      </c>
      <c r="X268" t="str">
        <f t="shared" si="31"/>
        <v/>
      </c>
      <c r="Y268">
        <f>IF(X268="",0,IF(COUNTIF($X$3:X268,X268)=1,1,0))</f>
        <v>0</v>
      </c>
      <c r="Z268">
        <f>IF(V268&lt;&gt;1,0,IF(X268="",0,IF(COUNTIF($X$3:X267,X268)&gt;0,1,0)))</f>
        <v>0</v>
      </c>
      <c r="AA268">
        <f t="shared" si="28"/>
        <v>0</v>
      </c>
      <c r="AB268">
        <f t="shared" si="29"/>
        <v>0</v>
      </c>
      <c r="AC268">
        <f>IF(I268="",0,L268*IFERROR(INDEX(کاتالوگ_محصولات!$G$4:$G$303,MATCH(I268,کاتالوگ_محصولات!$A$4:$A$303,0)),0))</f>
        <v>0</v>
      </c>
      <c r="AD268">
        <f t="shared" si="32"/>
        <v>0</v>
      </c>
      <c r="AE268" t="str">
        <f t="shared" si="33"/>
        <v/>
      </c>
    </row>
    <row r="269" spans="22:31" ht="18" customHeight="1">
      <c r="V269">
        <f>IF(A269="",0,IF(COUNTIF($A$3:A269,A269)=1,1,0))</f>
        <v>0</v>
      </c>
      <c r="W269">
        <f t="shared" si="30"/>
        <v>0</v>
      </c>
      <c r="X269" t="str">
        <f t="shared" si="31"/>
        <v/>
      </c>
      <c r="Y269">
        <f>IF(X269="",0,IF(COUNTIF($X$3:X269,X269)=1,1,0))</f>
        <v>0</v>
      </c>
      <c r="Z269">
        <f>IF(V269&lt;&gt;1,0,IF(X269="",0,IF(COUNTIF($X$3:X268,X269)&gt;0,1,0)))</f>
        <v>0</v>
      </c>
      <c r="AA269">
        <f t="shared" si="28"/>
        <v>0</v>
      </c>
      <c r="AB269">
        <f t="shared" si="29"/>
        <v>0</v>
      </c>
      <c r="AC269">
        <f>IF(I269="",0,L269*IFERROR(INDEX(کاتالوگ_محصولات!$G$4:$G$303,MATCH(I269,کاتالوگ_محصولات!$A$4:$A$303,0)),0))</f>
        <v>0</v>
      </c>
      <c r="AD269">
        <f t="shared" si="32"/>
        <v>0</v>
      </c>
      <c r="AE269" t="str">
        <f t="shared" si="33"/>
        <v/>
      </c>
    </row>
    <row r="270" spans="22:31" ht="18" customHeight="1">
      <c r="V270">
        <f>IF(A270="",0,IF(COUNTIF($A$3:A270,A270)=1,1,0))</f>
        <v>0</v>
      </c>
      <c r="W270">
        <f t="shared" si="30"/>
        <v>0</v>
      </c>
      <c r="X270" t="str">
        <f t="shared" si="31"/>
        <v/>
      </c>
      <c r="Y270">
        <f>IF(X270="",0,IF(COUNTIF($X$3:X270,X270)=1,1,0))</f>
        <v>0</v>
      </c>
      <c r="Z270">
        <f>IF(V270&lt;&gt;1,0,IF(X270="",0,IF(COUNTIF($X$3:X269,X270)&gt;0,1,0)))</f>
        <v>0</v>
      </c>
      <c r="AA270">
        <f t="shared" si="28"/>
        <v>0</v>
      </c>
      <c r="AB270">
        <f t="shared" si="29"/>
        <v>0</v>
      </c>
      <c r="AC270">
        <f>IF(I270="",0,L270*IFERROR(INDEX(کاتالوگ_محصولات!$G$4:$G$303,MATCH(I270,کاتالوگ_محصولات!$A$4:$A$303,0)),0))</f>
        <v>0</v>
      </c>
      <c r="AD270">
        <f t="shared" si="32"/>
        <v>0</v>
      </c>
      <c r="AE270" t="str">
        <f t="shared" si="33"/>
        <v/>
      </c>
    </row>
    <row r="271" spans="22:31" ht="18" customHeight="1">
      <c r="V271">
        <f>IF(A271="",0,IF(COUNTIF($A$3:A271,A271)=1,1,0))</f>
        <v>0</v>
      </c>
      <c r="W271">
        <f t="shared" si="30"/>
        <v>0</v>
      </c>
      <c r="X271" t="str">
        <f t="shared" si="31"/>
        <v/>
      </c>
      <c r="Y271">
        <f>IF(X271="",0,IF(COUNTIF($X$3:X271,X271)=1,1,0))</f>
        <v>0</v>
      </c>
      <c r="Z271">
        <f>IF(V271&lt;&gt;1,0,IF(X271="",0,IF(COUNTIF($X$3:X270,X271)&gt;0,1,0)))</f>
        <v>0</v>
      </c>
      <c r="AA271">
        <f t="shared" si="28"/>
        <v>0</v>
      </c>
      <c r="AB271">
        <f t="shared" si="29"/>
        <v>0</v>
      </c>
      <c r="AC271">
        <f>IF(I271="",0,L271*IFERROR(INDEX(کاتالوگ_محصولات!$G$4:$G$303,MATCH(I271,کاتالوگ_محصولات!$A$4:$A$303,0)),0))</f>
        <v>0</v>
      </c>
      <c r="AD271">
        <f t="shared" si="32"/>
        <v>0</v>
      </c>
      <c r="AE271" t="str">
        <f t="shared" si="33"/>
        <v/>
      </c>
    </row>
    <row r="272" spans="22:31" ht="18" customHeight="1">
      <c r="V272">
        <f>IF(A272="",0,IF(COUNTIF($A$3:A272,A272)=1,1,0))</f>
        <v>0</v>
      </c>
      <c r="W272">
        <f t="shared" si="30"/>
        <v>0</v>
      </c>
      <c r="X272" t="str">
        <f t="shared" si="31"/>
        <v/>
      </c>
      <c r="Y272">
        <f>IF(X272="",0,IF(COUNTIF($X$3:X272,X272)=1,1,0))</f>
        <v>0</v>
      </c>
      <c r="Z272">
        <f>IF(V272&lt;&gt;1,0,IF(X272="",0,IF(COUNTIF($X$3:X271,X272)&gt;0,1,0)))</f>
        <v>0</v>
      </c>
      <c r="AA272">
        <f t="shared" si="28"/>
        <v>0</v>
      </c>
      <c r="AB272">
        <f t="shared" si="29"/>
        <v>0</v>
      </c>
      <c r="AC272">
        <f>IF(I272="",0,L272*IFERROR(INDEX(کاتالوگ_محصولات!$G$4:$G$303,MATCH(I272,کاتالوگ_محصولات!$A$4:$A$303,0)),0))</f>
        <v>0</v>
      </c>
      <c r="AD272">
        <f t="shared" si="32"/>
        <v>0</v>
      </c>
      <c r="AE272" t="str">
        <f t="shared" si="33"/>
        <v/>
      </c>
    </row>
    <row r="273" spans="22:31" ht="18" customHeight="1">
      <c r="V273">
        <f>IF(A273="",0,IF(COUNTIF($A$3:A273,A273)=1,1,0))</f>
        <v>0</v>
      </c>
      <c r="W273">
        <f t="shared" si="30"/>
        <v>0</v>
      </c>
      <c r="X273" t="str">
        <f t="shared" si="31"/>
        <v/>
      </c>
      <c r="Y273">
        <f>IF(X273="",0,IF(COUNTIF($X$3:X273,X273)=1,1,0))</f>
        <v>0</v>
      </c>
      <c r="Z273">
        <f>IF(V273&lt;&gt;1,0,IF(X273="",0,IF(COUNTIF($X$3:X272,X273)&gt;0,1,0)))</f>
        <v>0</v>
      </c>
      <c r="AA273">
        <f t="shared" si="28"/>
        <v>0</v>
      </c>
      <c r="AB273">
        <f t="shared" si="29"/>
        <v>0</v>
      </c>
      <c r="AC273">
        <f>IF(I273="",0,L273*IFERROR(INDEX(کاتالوگ_محصولات!$G$4:$G$303,MATCH(I273,کاتالوگ_محصولات!$A$4:$A$303,0)),0))</f>
        <v>0</v>
      </c>
      <c r="AD273">
        <f t="shared" si="32"/>
        <v>0</v>
      </c>
      <c r="AE273" t="str">
        <f t="shared" si="33"/>
        <v/>
      </c>
    </row>
    <row r="274" spans="22:31" ht="18" customHeight="1">
      <c r="V274">
        <f>IF(A274="",0,IF(COUNTIF($A$3:A274,A274)=1,1,0))</f>
        <v>0</v>
      </c>
      <c r="W274">
        <f t="shared" si="30"/>
        <v>0</v>
      </c>
      <c r="X274" t="str">
        <f t="shared" si="31"/>
        <v/>
      </c>
      <c r="Y274">
        <f>IF(X274="",0,IF(COUNTIF($X$3:X274,X274)=1,1,0))</f>
        <v>0</v>
      </c>
      <c r="Z274">
        <f>IF(V274&lt;&gt;1,0,IF(X274="",0,IF(COUNTIF($X$3:X273,X274)&gt;0,1,0)))</f>
        <v>0</v>
      </c>
      <c r="AA274">
        <f t="shared" si="28"/>
        <v>0</v>
      </c>
      <c r="AB274">
        <f t="shared" si="29"/>
        <v>0</v>
      </c>
      <c r="AC274">
        <f>IF(I274="",0,L274*IFERROR(INDEX(کاتالوگ_محصولات!$G$4:$G$303,MATCH(I274,کاتالوگ_محصولات!$A$4:$A$303,0)),0))</f>
        <v>0</v>
      </c>
      <c r="AD274">
        <f t="shared" si="32"/>
        <v>0</v>
      </c>
      <c r="AE274" t="str">
        <f t="shared" si="33"/>
        <v/>
      </c>
    </row>
    <row r="275" spans="22:31" ht="18" customHeight="1">
      <c r="V275">
        <f>IF(A275="",0,IF(COUNTIF($A$3:A275,A275)=1,1,0))</f>
        <v>0</v>
      </c>
      <c r="W275">
        <f t="shared" si="30"/>
        <v>0</v>
      </c>
      <c r="X275" t="str">
        <f t="shared" si="31"/>
        <v/>
      </c>
      <c r="Y275">
        <f>IF(X275="",0,IF(COUNTIF($X$3:X275,X275)=1,1,0))</f>
        <v>0</v>
      </c>
      <c r="Z275">
        <f>IF(V275&lt;&gt;1,0,IF(X275="",0,IF(COUNTIF($X$3:X274,X275)&gt;0,1,0)))</f>
        <v>0</v>
      </c>
      <c r="AA275">
        <f t="shared" si="28"/>
        <v>0</v>
      </c>
      <c r="AB275">
        <f t="shared" si="29"/>
        <v>0</v>
      </c>
      <c r="AC275">
        <f>IF(I275="",0,L275*IFERROR(INDEX(کاتالوگ_محصولات!$G$4:$G$303,MATCH(I275,کاتالوگ_محصولات!$A$4:$A$303,0)),0))</f>
        <v>0</v>
      </c>
      <c r="AD275">
        <f t="shared" si="32"/>
        <v>0</v>
      </c>
      <c r="AE275" t="str">
        <f t="shared" si="33"/>
        <v/>
      </c>
    </row>
    <row r="276" spans="22:31" ht="18" customHeight="1">
      <c r="V276">
        <f>IF(A276="",0,IF(COUNTIF($A$3:A276,A276)=1,1,0))</f>
        <v>0</v>
      </c>
      <c r="W276">
        <f t="shared" si="30"/>
        <v>0</v>
      </c>
      <c r="X276" t="str">
        <f t="shared" si="31"/>
        <v/>
      </c>
      <c r="Y276">
        <f>IF(X276="",0,IF(COUNTIF($X$3:X276,X276)=1,1,0))</f>
        <v>0</v>
      </c>
      <c r="Z276">
        <f>IF(V276&lt;&gt;1,0,IF(X276="",0,IF(COUNTIF($X$3:X275,X276)&gt;0,1,0)))</f>
        <v>0</v>
      </c>
      <c r="AA276">
        <f t="shared" si="28"/>
        <v>0</v>
      </c>
      <c r="AB276">
        <f t="shared" si="29"/>
        <v>0</v>
      </c>
      <c r="AC276">
        <f>IF(I276="",0,L276*IFERROR(INDEX(کاتالوگ_محصولات!$G$4:$G$303,MATCH(I276,کاتالوگ_محصولات!$A$4:$A$303,0)),0))</f>
        <v>0</v>
      </c>
      <c r="AD276">
        <f t="shared" si="32"/>
        <v>0</v>
      </c>
      <c r="AE276" t="str">
        <f t="shared" si="33"/>
        <v/>
      </c>
    </row>
    <row r="277" spans="22:31" ht="18" customHeight="1">
      <c r="V277">
        <f>IF(A277="",0,IF(COUNTIF($A$3:A277,A277)=1,1,0))</f>
        <v>0</v>
      </c>
      <c r="W277">
        <f t="shared" si="30"/>
        <v>0</v>
      </c>
      <c r="X277" t="str">
        <f t="shared" si="31"/>
        <v/>
      </c>
      <c r="Y277">
        <f>IF(X277="",0,IF(COUNTIF($X$3:X277,X277)=1,1,0))</f>
        <v>0</v>
      </c>
      <c r="Z277">
        <f>IF(V277&lt;&gt;1,0,IF(X277="",0,IF(COUNTIF($X$3:X276,X277)&gt;0,1,0)))</f>
        <v>0</v>
      </c>
      <c r="AA277">
        <f t="shared" si="28"/>
        <v>0</v>
      </c>
      <c r="AB277">
        <f t="shared" si="29"/>
        <v>0</v>
      </c>
      <c r="AC277">
        <f>IF(I277="",0,L277*IFERROR(INDEX(کاتالوگ_محصولات!$G$4:$G$303,MATCH(I277,کاتالوگ_محصولات!$A$4:$A$303,0)),0))</f>
        <v>0</v>
      </c>
      <c r="AD277">
        <f t="shared" si="32"/>
        <v>0</v>
      </c>
      <c r="AE277" t="str">
        <f t="shared" si="33"/>
        <v/>
      </c>
    </row>
    <row r="278" spans="22:31" ht="18" customHeight="1">
      <c r="V278">
        <f>IF(A278="",0,IF(COUNTIF($A$3:A278,A278)=1,1,0))</f>
        <v>0</v>
      </c>
      <c r="W278">
        <f t="shared" si="30"/>
        <v>0</v>
      </c>
      <c r="X278" t="str">
        <f t="shared" si="31"/>
        <v/>
      </c>
      <c r="Y278">
        <f>IF(X278="",0,IF(COUNTIF($X$3:X278,X278)=1,1,0))</f>
        <v>0</v>
      </c>
      <c r="Z278">
        <f>IF(V278&lt;&gt;1,0,IF(X278="",0,IF(COUNTIF($X$3:X277,X278)&gt;0,1,0)))</f>
        <v>0</v>
      </c>
      <c r="AA278">
        <f t="shared" si="28"/>
        <v>0</v>
      </c>
      <c r="AB278">
        <f t="shared" si="29"/>
        <v>0</v>
      </c>
      <c r="AC278">
        <f>IF(I278="",0,L278*IFERROR(INDEX(کاتالوگ_محصولات!$G$4:$G$303,MATCH(I278,کاتالوگ_محصولات!$A$4:$A$303,0)),0))</f>
        <v>0</v>
      </c>
      <c r="AD278">
        <f t="shared" si="32"/>
        <v>0</v>
      </c>
      <c r="AE278" t="str">
        <f t="shared" si="33"/>
        <v/>
      </c>
    </row>
    <row r="279" spans="22:31" ht="18" customHeight="1">
      <c r="V279">
        <f>IF(A279="",0,IF(COUNTIF($A$3:A279,A279)=1,1,0))</f>
        <v>0</v>
      </c>
      <c r="W279">
        <f t="shared" si="30"/>
        <v>0</v>
      </c>
      <c r="X279" t="str">
        <f t="shared" si="31"/>
        <v/>
      </c>
      <c r="Y279">
        <f>IF(X279="",0,IF(COUNTIF($X$3:X279,X279)=1,1,0))</f>
        <v>0</v>
      </c>
      <c r="Z279">
        <f>IF(V279&lt;&gt;1,0,IF(X279="",0,IF(COUNTIF($X$3:X278,X279)&gt;0,1,0)))</f>
        <v>0</v>
      </c>
      <c r="AA279">
        <f t="shared" si="28"/>
        <v>0</v>
      </c>
      <c r="AB279">
        <f t="shared" si="29"/>
        <v>0</v>
      </c>
      <c r="AC279">
        <f>IF(I279="",0,L279*IFERROR(INDEX(کاتالوگ_محصولات!$G$4:$G$303,MATCH(I279,کاتالوگ_محصولات!$A$4:$A$303,0)),0))</f>
        <v>0</v>
      </c>
      <c r="AD279">
        <f t="shared" si="32"/>
        <v>0</v>
      </c>
      <c r="AE279" t="str">
        <f t="shared" si="33"/>
        <v/>
      </c>
    </row>
    <row r="280" spans="22:31" ht="18" customHeight="1">
      <c r="V280">
        <f>IF(A280="",0,IF(COUNTIF($A$3:A280,A280)=1,1,0))</f>
        <v>0</v>
      </c>
      <c r="W280">
        <f t="shared" si="30"/>
        <v>0</v>
      </c>
      <c r="X280" t="str">
        <f t="shared" si="31"/>
        <v/>
      </c>
      <c r="Y280">
        <f>IF(X280="",0,IF(COUNTIF($X$3:X280,X280)=1,1,0))</f>
        <v>0</v>
      </c>
      <c r="Z280">
        <f>IF(V280&lt;&gt;1,0,IF(X280="",0,IF(COUNTIF($X$3:X279,X280)&gt;0,1,0)))</f>
        <v>0</v>
      </c>
      <c r="AA280">
        <f t="shared" si="28"/>
        <v>0</v>
      </c>
      <c r="AB280">
        <f t="shared" si="29"/>
        <v>0</v>
      </c>
      <c r="AC280">
        <f>IF(I280="",0,L280*IFERROR(INDEX(کاتالوگ_محصولات!$G$4:$G$303,MATCH(I280,کاتالوگ_محصولات!$A$4:$A$303,0)),0))</f>
        <v>0</v>
      </c>
      <c r="AD280">
        <f t="shared" si="32"/>
        <v>0</v>
      </c>
      <c r="AE280" t="str">
        <f t="shared" si="33"/>
        <v/>
      </c>
    </row>
    <row r="281" spans="22:31" ht="18" customHeight="1">
      <c r="V281">
        <f>IF(A281="",0,IF(COUNTIF($A$3:A281,A281)=1,1,0))</f>
        <v>0</v>
      </c>
      <c r="W281">
        <f t="shared" si="30"/>
        <v>0</v>
      </c>
      <c r="X281" t="str">
        <f t="shared" si="31"/>
        <v/>
      </c>
      <c r="Y281">
        <f>IF(X281="",0,IF(COUNTIF($X$3:X281,X281)=1,1,0))</f>
        <v>0</v>
      </c>
      <c r="Z281">
        <f>IF(V281&lt;&gt;1,0,IF(X281="",0,IF(COUNTIF($X$3:X280,X281)&gt;0,1,0)))</f>
        <v>0</v>
      </c>
      <c r="AA281">
        <f t="shared" si="28"/>
        <v>0</v>
      </c>
      <c r="AB281">
        <f t="shared" si="29"/>
        <v>0</v>
      </c>
      <c r="AC281">
        <f>IF(I281="",0,L281*IFERROR(INDEX(کاتالوگ_محصولات!$G$4:$G$303,MATCH(I281,کاتالوگ_محصولات!$A$4:$A$303,0)),0))</f>
        <v>0</v>
      </c>
      <c r="AD281">
        <f t="shared" si="32"/>
        <v>0</v>
      </c>
      <c r="AE281" t="str">
        <f t="shared" si="33"/>
        <v/>
      </c>
    </row>
    <row r="282" spans="22:31" ht="18" customHeight="1">
      <c r="V282">
        <f>IF(A282="",0,IF(COUNTIF($A$3:A282,A282)=1,1,0))</f>
        <v>0</v>
      </c>
      <c r="W282">
        <f t="shared" si="30"/>
        <v>0</v>
      </c>
      <c r="X282" t="str">
        <f t="shared" si="31"/>
        <v/>
      </c>
      <c r="Y282">
        <f>IF(X282="",0,IF(COUNTIF($X$3:X282,X282)=1,1,0))</f>
        <v>0</v>
      </c>
      <c r="Z282">
        <f>IF(V282&lt;&gt;1,0,IF(X282="",0,IF(COUNTIF($X$3:X281,X282)&gt;0,1,0)))</f>
        <v>0</v>
      </c>
      <c r="AA282">
        <f t="shared" si="28"/>
        <v>0</v>
      </c>
      <c r="AB282">
        <f t="shared" si="29"/>
        <v>0</v>
      </c>
      <c r="AC282">
        <f>IF(I282="",0,L282*IFERROR(INDEX(کاتالوگ_محصولات!$G$4:$G$303,MATCH(I282,کاتالوگ_محصولات!$A$4:$A$303,0)),0))</f>
        <v>0</v>
      </c>
      <c r="AD282">
        <f t="shared" si="32"/>
        <v>0</v>
      </c>
      <c r="AE282" t="str">
        <f t="shared" si="33"/>
        <v/>
      </c>
    </row>
    <row r="283" spans="22:31" ht="18" customHeight="1">
      <c r="V283">
        <f>IF(A283="",0,IF(COUNTIF($A$3:A283,A283)=1,1,0))</f>
        <v>0</v>
      </c>
      <c r="W283">
        <f t="shared" si="30"/>
        <v>0</v>
      </c>
      <c r="X283" t="str">
        <f t="shared" si="31"/>
        <v/>
      </c>
      <c r="Y283">
        <f>IF(X283="",0,IF(COUNTIF($X$3:X283,X283)=1,1,0))</f>
        <v>0</v>
      </c>
      <c r="Z283">
        <f>IF(V283&lt;&gt;1,0,IF(X283="",0,IF(COUNTIF($X$3:X282,X283)&gt;0,1,0)))</f>
        <v>0</v>
      </c>
      <c r="AA283">
        <f t="shared" si="28"/>
        <v>0</v>
      </c>
      <c r="AB283">
        <f t="shared" si="29"/>
        <v>0</v>
      </c>
      <c r="AC283">
        <f>IF(I283="",0,L283*IFERROR(INDEX(کاتالوگ_محصولات!$G$4:$G$303,MATCH(I283,کاتالوگ_محصولات!$A$4:$A$303,0)),0))</f>
        <v>0</v>
      </c>
      <c r="AD283">
        <f t="shared" si="32"/>
        <v>0</v>
      </c>
      <c r="AE283" t="str">
        <f t="shared" si="33"/>
        <v/>
      </c>
    </row>
    <row r="284" spans="22:31" ht="18" customHeight="1">
      <c r="V284">
        <f>IF(A284="",0,IF(COUNTIF($A$3:A284,A284)=1,1,0))</f>
        <v>0</v>
      </c>
      <c r="W284">
        <f t="shared" si="30"/>
        <v>0</v>
      </c>
      <c r="X284" t="str">
        <f t="shared" si="31"/>
        <v/>
      </c>
      <c r="Y284">
        <f>IF(X284="",0,IF(COUNTIF($X$3:X284,X284)=1,1,0))</f>
        <v>0</v>
      </c>
      <c r="Z284">
        <f>IF(V284&lt;&gt;1,0,IF(X284="",0,IF(COUNTIF($X$3:X283,X284)&gt;0,1,0)))</f>
        <v>0</v>
      </c>
      <c r="AA284">
        <f t="shared" si="28"/>
        <v>0</v>
      </c>
      <c r="AB284">
        <f t="shared" si="29"/>
        <v>0</v>
      </c>
      <c r="AC284">
        <f>IF(I284="",0,L284*IFERROR(INDEX(کاتالوگ_محصولات!$G$4:$G$303,MATCH(I284,کاتالوگ_محصولات!$A$4:$A$303,0)),0))</f>
        <v>0</v>
      </c>
      <c r="AD284">
        <f t="shared" si="32"/>
        <v>0</v>
      </c>
      <c r="AE284" t="str">
        <f t="shared" si="33"/>
        <v/>
      </c>
    </row>
    <row r="285" spans="22:31" ht="18" customHeight="1">
      <c r="V285">
        <f>IF(A285="",0,IF(COUNTIF($A$3:A285,A285)=1,1,0))</f>
        <v>0</v>
      </c>
      <c r="W285">
        <f t="shared" si="30"/>
        <v>0</v>
      </c>
      <c r="X285" t="str">
        <f t="shared" si="31"/>
        <v/>
      </c>
      <c r="Y285">
        <f>IF(X285="",0,IF(COUNTIF($X$3:X285,X285)=1,1,0))</f>
        <v>0</v>
      </c>
      <c r="Z285">
        <f>IF(V285&lt;&gt;1,0,IF(X285="",0,IF(COUNTIF($X$3:X284,X285)&gt;0,1,0)))</f>
        <v>0</v>
      </c>
      <c r="AA285">
        <f t="shared" si="28"/>
        <v>0</v>
      </c>
      <c r="AB285">
        <f t="shared" si="29"/>
        <v>0</v>
      </c>
      <c r="AC285">
        <f>IF(I285="",0,L285*IFERROR(INDEX(کاتالوگ_محصولات!$G$4:$G$303,MATCH(I285,کاتالوگ_محصولات!$A$4:$A$303,0)),0))</f>
        <v>0</v>
      </c>
      <c r="AD285">
        <f t="shared" si="32"/>
        <v>0</v>
      </c>
      <c r="AE285" t="str">
        <f t="shared" si="33"/>
        <v/>
      </c>
    </row>
    <row r="286" spans="22:31" ht="18" customHeight="1">
      <c r="V286">
        <f>IF(A286="",0,IF(COUNTIF($A$3:A286,A286)=1,1,0))</f>
        <v>0</v>
      </c>
      <c r="W286">
        <f t="shared" si="30"/>
        <v>0</v>
      </c>
      <c r="X286" t="str">
        <f t="shared" si="31"/>
        <v/>
      </c>
      <c r="Y286">
        <f>IF(X286="",0,IF(COUNTIF($X$3:X286,X286)=1,1,0))</f>
        <v>0</v>
      </c>
      <c r="Z286">
        <f>IF(V286&lt;&gt;1,0,IF(X286="",0,IF(COUNTIF($X$3:X285,X286)&gt;0,1,0)))</f>
        <v>0</v>
      </c>
      <c r="AA286">
        <f t="shared" si="28"/>
        <v>0</v>
      </c>
      <c r="AB286">
        <f t="shared" si="29"/>
        <v>0</v>
      </c>
      <c r="AC286">
        <f>IF(I286="",0,L286*IFERROR(INDEX(کاتالوگ_محصولات!$G$4:$G$303,MATCH(I286,کاتالوگ_محصولات!$A$4:$A$303,0)),0))</f>
        <v>0</v>
      </c>
      <c r="AD286">
        <f t="shared" si="32"/>
        <v>0</v>
      </c>
      <c r="AE286" t="str">
        <f t="shared" si="33"/>
        <v/>
      </c>
    </row>
    <row r="287" spans="22:31" ht="18" customHeight="1">
      <c r="V287">
        <f>IF(A287="",0,IF(COUNTIF($A$3:A287,A287)=1,1,0))</f>
        <v>0</v>
      </c>
      <c r="W287">
        <f t="shared" si="30"/>
        <v>0</v>
      </c>
      <c r="X287" t="str">
        <f t="shared" si="31"/>
        <v/>
      </c>
      <c r="Y287">
        <f>IF(X287="",0,IF(COUNTIF($X$3:X287,X287)=1,1,0))</f>
        <v>0</v>
      </c>
      <c r="Z287">
        <f>IF(V287&lt;&gt;1,0,IF(X287="",0,IF(COUNTIF($X$3:X286,X287)&gt;0,1,0)))</f>
        <v>0</v>
      </c>
      <c r="AA287">
        <f t="shared" si="28"/>
        <v>0</v>
      </c>
      <c r="AB287">
        <f t="shared" si="29"/>
        <v>0</v>
      </c>
      <c r="AC287">
        <f>IF(I287="",0,L287*IFERROR(INDEX(کاتالوگ_محصولات!$G$4:$G$303,MATCH(I287,کاتالوگ_محصولات!$A$4:$A$303,0)),0))</f>
        <v>0</v>
      </c>
      <c r="AD287">
        <f t="shared" si="32"/>
        <v>0</v>
      </c>
      <c r="AE287" t="str">
        <f t="shared" si="33"/>
        <v/>
      </c>
    </row>
    <row r="288" spans="22:31" ht="18" customHeight="1">
      <c r="V288">
        <f>IF(A288="",0,IF(COUNTIF($A$3:A288,A288)=1,1,0))</f>
        <v>0</v>
      </c>
      <c r="W288">
        <f t="shared" si="30"/>
        <v>0</v>
      </c>
      <c r="X288" t="str">
        <f t="shared" si="31"/>
        <v/>
      </c>
      <c r="Y288">
        <f>IF(X288="",0,IF(COUNTIF($X$3:X288,X288)=1,1,0))</f>
        <v>0</v>
      </c>
      <c r="Z288">
        <f>IF(V288&lt;&gt;1,0,IF(X288="",0,IF(COUNTIF($X$3:X287,X288)&gt;0,1,0)))</f>
        <v>0</v>
      </c>
      <c r="AA288">
        <f t="shared" si="28"/>
        <v>0</v>
      </c>
      <c r="AB288">
        <f t="shared" si="29"/>
        <v>0</v>
      </c>
      <c r="AC288">
        <f>IF(I288="",0,L288*IFERROR(INDEX(کاتالوگ_محصولات!$G$4:$G$303,MATCH(I288,کاتالوگ_محصولات!$A$4:$A$303,0)),0))</f>
        <v>0</v>
      </c>
      <c r="AD288">
        <f t="shared" si="32"/>
        <v>0</v>
      </c>
      <c r="AE288" t="str">
        <f t="shared" si="33"/>
        <v/>
      </c>
    </row>
    <row r="289" spans="22:31" ht="18" customHeight="1">
      <c r="V289">
        <f>IF(A289="",0,IF(COUNTIF($A$3:A289,A289)=1,1,0))</f>
        <v>0</v>
      </c>
      <c r="W289">
        <f t="shared" si="30"/>
        <v>0</v>
      </c>
      <c r="X289" t="str">
        <f t="shared" si="31"/>
        <v/>
      </c>
      <c r="Y289">
        <f>IF(X289="",0,IF(COUNTIF($X$3:X289,X289)=1,1,0))</f>
        <v>0</v>
      </c>
      <c r="Z289">
        <f>IF(V289&lt;&gt;1,0,IF(X289="",0,IF(COUNTIF($X$3:X288,X289)&gt;0,1,0)))</f>
        <v>0</v>
      </c>
      <c r="AA289">
        <f t="shared" si="28"/>
        <v>0</v>
      </c>
      <c r="AB289">
        <f t="shared" si="29"/>
        <v>0</v>
      </c>
      <c r="AC289">
        <f>IF(I289="",0,L289*IFERROR(INDEX(کاتالوگ_محصولات!$G$4:$G$303,MATCH(I289,کاتالوگ_محصولات!$A$4:$A$303,0)),0))</f>
        <v>0</v>
      </c>
      <c r="AD289">
        <f t="shared" si="32"/>
        <v>0</v>
      </c>
      <c r="AE289" t="str">
        <f t="shared" si="33"/>
        <v/>
      </c>
    </row>
    <row r="290" spans="22:31" ht="18" customHeight="1">
      <c r="V290">
        <f>IF(A290="",0,IF(COUNTIF($A$3:A290,A290)=1,1,0))</f>
        <v>0</v>
      </c>
      <c r="W290">
        <f t="shared" si="30"/>
        <v>0</v>
      </c>
      <c r="X290" t="str">
        <f t="shared" si="31"/>
        <v/>
      </c>
      <c r="Y290">
        <f>IF(X290="",0,IF(COUNTIF($X$3:X290,X290)=1,1,0))</f>
        <v>0</v>
      </c>
      <c r="Z290">
        <f>IF(V290&lt;&gt;1,0,IF(X290="",0,IF(COUNTIF($X$3:X289,X290)&gt;0,1,0)))</f>
        <v>0</v>
      </c>
      <c r="AA290">
        <f t="shared" si="28"/>
        <v>0</v>
      </c>
      <c r="AB290">
        <f t="shared" si="29"/>
        <v>0</v>
      </c>
      <c r="AC290">
        <f>IF(I290="",0,L290*IFERROR(INDEX(کاتالوگ_محصولات!$G$4:$G$303,MATCH(I290,کاتالوگ_محصولات!$A$4:$A$303,0)),0))</f>
        <v>0</v>
      </c>
      <c r="AD290">
        <f t="shared" si="32"/>
        <v>0</v>
      </c>
      <c r="AE290" t="str">
        <f t="shared" si="33"/>
        <v/>
      </c>
    </row>
    <row r="291" spans="22:31" ht="18" customHeight="1">
      <c r="V291">
        <f>IF(A291="",0,IF(COUNTIF($A$3:A291,A291)=1,1,0))</f>
        <v>0</v>
      </c>
      <c r="W291">
        <f t="shared" si="30"/>
        <v>0</v>
      </c>
      <c r="X291" t="str">
        <f t="shared" si="31"/>
        <v/>
      </c>
      <c r="Y291">
        <f>IF(X291="",0,IF(COUNTIF($X$3:X291,X291)=1,1,0))</f>
        <v>0</v>
      </c>
      <c r="Z291">
        <f>IF(V291&lt;&gt;1,0,IF(X291="",0,IF(COUNTIF($X$3:X290,X291)&gt;0,1,0)))</f>
        <v>0</v>
      </c>
      <c r="AA291">
        <f t="shared" si="28"/>
        <v>0</v>
      </c>
      <c r="AB291">
        <f t="shared" si="29"/>
        <v>0</v>
      </c>
      <c r="AC291">
        <f>IF(I291="",0,L291*IFERROR(INDEX(کاتالوگ_محصولات!$G$4:$G$303,MATCH(I291,کاتالوگ_محصولات!$A$4:$A$303,0)),0))</f>
        <v>0</v>
      </c>
      <c r="AD291">
        <f t="shared" si="32"/>
        <v>0</v>
      </c>
      <c r="AE291" t="str">
        <f t="shared" si="33"/>
        <v/>
      </c>
    </row>
    <row r="292" spans="22:31" ht="18" customHeight="1">
      <c r="V292">
        <f>IF(A292="",0,IF(COUNTIF($A$3:A292,A292)=1,1,0))</f>
        <v>0</v>
      </c>
      <c r="W292">
        <f t="shared" si="30"/>
        <v>0</v>
      </c>
      <c r="X292" t="str">
        <f t="shared" si="31"/>
        <v/>
      </c>
      <c r="Y292">
        <f>IF(X292="",0,IF(COUNTIF($X$3:X292,X292)=1,1,0))</f>
        <v>0</v>
      </c>
      <c r="Z292">
        <f>IF(V292&lt;&gt;1,0,IF(X292="",0,IF(COUNTIF($X$3:X291,X292)&gt;0,1,0)))</f>
        <v>0</v>
      </c>
      <c r="AA292">
        <f t="shared" si="28"/>
        <v>0</v>
      </c>
      <c r="AB292">
        <f t="shared" si="29"/>
        <v>0</v>
      </c>
      <c r="AC292">
        <f>IF(I292="",0,L292*IFERROR(INDEX(کاتالوگ_محصولات!$G$4:$G$303,MATCH(I292,کاتالوگ_محصولات!$A$4:$A$303,0)),0))</f>
        <v>0</v>
      </c>
      <c r="AD292">
        <f t="shared" si="32"/>
        <v>0</v>
      </c>
      <c r="AE292" t="str">
        <f t="shared" si="33"/>
        <v/>
      </c>
    </row>
    <row r="293" spans="22:31" ht="18" customHeight="1">
      <c r="V293">
        <f>IF(A293="",0,IF(COUNTIF($A$3:A293,A293)=1,1,0))</f>
        <v>0</v>
      </c>
      <c r="W293">
        <f t="shared" si="30"/>
        <v>0</v>
      </c>
      <c r="X293" t="str">
        <f t="shared" si="31"/>
        <v/>
      </c>
      <c r="Y293">
        <f>IF(X293="",0,IF(COUNTIF($X$3:X293,X293)=1,1,0))</f>
        <v>0</v>
      </c>
      <c r="Z293">
        <f>IF(V293&lt;&gt;1,0,IF(X293="",0,IF(COUNTIF($X$3:X292,X293)&gt;0,1,0)))</f>
        <v>0</v>
      </c>
      <c r="AA293">
        <f t="shared" si="28"/>
        <v>0</v>
      </c>
      <c r="AB293">
        <f t="shared" si="29"/>
        <v>0</v>
      </c>
      <c r="AC293">
        <f>IF(I293="",0,L293*IFERROR(INDEX(کاتالوگ_محصولات!$G$4:$G$303,MATCH(I293,کاتالوگ_محصولات!$A$4:$A$303,0)),0))</f>
        <v>0</v>
      </c>
      <c r="AD293">
        <f t="shared" si="32"/>
        <v>0</v>
      </c>
      <c r="AE293" t="str">
        <f t="shared" si="33"/>
        <v/>
      </c>
    </row>
    <row r="294" spans="22:31" ht="18" customHeight="1">
      <c r="V294">
        <f>IF(A294="",0,IF(COUNTIF($A$3:A294,A294)=1,1,0))</f>
        <v>0</v>
      </c>
      <c r="W294">
        <f t="shared" si="30"/>
        <v>0</v>
      </c>
      <c r="X294" t="str">
        <f t="shared" si="31"/>
        <v/>
      </c>
      <c r="Y294">
        <f>IF(X294="",0,IF(COUNTIF($X$3:X294,X294)=1,1,0))</f>
        <v>0</v>
      </c>
      <c r="Z294">
        <f>IF(V294&lt;&gt;1,0,IF(X294="",0,IF(COUNTIF($X$3:X293,X294)&gt;0,1,0)))</f>
        <v>0</v>
      </c>
      <c r="AA294">
        <f t="shared" si="28"/>
        <v>0</v>
      </c>
      <c r="AB294">
        <f t="shared" si="29"/>
        <v>0</v>
      </c>
      <c r="AC294">
        <f>IF(I294="",0,L294*IFERROR(INDEX(کاتالوگ_محصولات!$G$4:$G$303,MATCH(I294,کاتالوگ_محصولات!$A$4:$A$303,0)),0))</f>
        <v>0</v>
      </c>
      <c r="AD294">
        <f t="shared" si="32"/>
        <v>0</v>
      </c>
      <c r="AE294" t="str">
        <f t="shared" si="33"/>
        <v/>
      </c>
    </row>
    <row r="295" spans="22:31" ht="18" customHeight="1">
      <c r="V295">
        <f>IF(A295="",0,IF(COUNTIF($A$3:A295,A295)=1,1,0))</f>
        <v>0</v>
      </c>
      <c r="W295">
        <f t="shared" si="30"/>
        <v>0</v>
      </c>
      <c r="X295" t="str">
        <f t="shared" si="31"/>
        <v/>
      </c>
      <c r="Y295">
        <f>IF(X295="",0,IF(COUNTIF($X$3:X295,X295)=1,1,0))</f>
        <v>0</v>
      </c>
      <c r="Z295">
        <f>IF(V295&lt;&gt;1,0,IF(X295="",0,IF(COUNTIF($X$3:X294,X295)&gt;0,1,0)))</f>
        <v>0</v>
      </c>
      <c r="AA295">
        <f t="shared" si="28"/>
        <v>0</v>
      </c>
      <c r="AB295">
        <f t="shared" si="29"/>
        <v>0</v>
      </c>
      <c r="AC295">
        <f>IF(I295="",0,L295*IFERROR(INDEX(کاتالوگ_محصولات!$G$4:$G$303,MATCH(I295,کاتالوگ_محصولات!$A$4:$A$303,0)),0))</f>
        <v>0</v>
      </c>
      <c r="AD295">
        <f t="shared" si="32"/>
        <v>0</v>
      </c>
      <c r="AE295" t="str">
        <f t="shared" si="33"/>
        <v/>
      </c>
    </row>
    <row r="296" spans="22:31" ht="18" customHeight="1">
      <c r="V296">
        <f>IF(A296="",0,IF(COUNTIF($A$3:A296,A296)=1,1,0))</f>
        <v>0</v>
      </c>
      <c r="W296">
        <f t="shared" si="30"/>
        <v>0</v>
      </c>
      <c r="X296" t="str">
        <f t="shared" si="31"/>
        <v/>
      </c>
      <c r="Y296">
        <f>IF(X296="",0,IF(COUNTIF($X$3:X296,X296)=1,1,0))</f>
        <v>0</v>
      </c>
      <c r="Z296">
        <f>IF(V296&lt;&gt;1,0,IF(X296="",0,IF(COUNTIF($X$3:X295,X296)&gt;0,1,0)))</f>
        <v>0</v>
      </c>
      <c r="AA296">
        <f t="shared" si="28"/>
        <v>0</v>
      </c>
      <c r="AB296">
        <f t="shared" si="29"/>
        <v>0</v>
      </c>
      <c r="AC296">
        <f>IF(I296="",0,L296*IFERROR(INDEX(کاتالوگ_محصولات!$G$4:$G$303,MATCH(I296,کاتالوگ_محصولات!$A$4:$A$303,0)),0))</f>
        <v>0</v>
      </c>
      <c r="AD296">
        <f t="shared" si="32"/>
        <v>0</v>
      </c>
      <c r="AE296" t="str">
        <f t="shared" si="33"/>
        <v/>
      </c>
    </row>
    <row r="297" spans="22:31" ht="18" customHeight="1">
      <c r="V297">
        <f>IF(A297="",0,IF(COUNTIF($A$3:A297,A297)=1,1,0))</f>
        <v>0</v>
      </c>
      <c r="W297">
        <f t="shared" si="30"/>
        <v>0</v>
      </c>
      <c r="X297" t="str">
        <f t="shared" si="31"/>
        <v/>
      </c>
      <c r="Y297">
        <f>IF(X297="",0,IF(COUNTIF($X$3:X297,X297)=1,1,0))</f>
        <v>0</v>
      </c>
      <c r="Z297">
        <f>IF(V297&lt;&gt;1,0,IF(X297="",0,IF(COUNTIF($X$3:X296,X297)&gt;0,1,0)))</f>
        <v>0</v>
      </c>
      <c r="AA297">
        <f t="shared" si="28"/>
        <v>0</v>
      </c>
      <c r="AB297">
        <f t="shared" si="29"/>
        <v>0</v>
      </c>
      <c r="AC297">
        <f>IF(I297="",0,L297*IFERROR(INDEX(کاتالوگ_محصولات!$G$4:$G$303,MATCH(I297,کاتالوگ_محصولات!$A$4:$A$303,0)),0))</f>
        <v>0</v>
      </c>
      <c r="AD297">
        <f t="shared" si="32"/>
        <v>0</v>
      </c>
      <c r="AE297" t="str">
        <f t="shared" si="33"/>
        <v/>
      </c>
    </row>
    <row r="298" spans="22:31" ht="18" customHeight="1">
      <c r="V298">
        <f>IF(A298="",0,IF(COUNTIF($A$3:A298,A298)=1,1,0))</f>
        <v>0</v>
      </c>
      <c r="W298">
        <f t="shared" si="30"/>
        <v>0</v>
      </c>
      <c r="X298" t="str">
        <f t="shared" si="31"/>
        <v/>
      </c>
      <c r="Y298">
        <f>IF(X298="",0,IF(COUNTIF($X$3:X298,X298)=1,1,0))</f>
        <v>0</v>
      </c>
      <c r="Z298">
        <f>IF(V298&lt;&gt;1,0,IF(X298="",0,IF(COUNTIF($X$3:X297,X298)&gt;0,1,0)))</f>
        <v>0</v>
      </c>
      <c r="AA298">
        <f t="shared" si="28"/>
        <v>0</v>
      </c>
      <c r="AB298">
        <f t="shared" si="29"/>
        <v>0</v>
      </c>
      <c r="AC298">
        <f>IF(I298="",0,L298*IFERROR(INDEX(کاتالوگ_محصولات!$G$4:$G$303,MATCH(I298,کاتالوگ_محصولات!$A$4:$A$303,0)),0))</f>
        <v>0</v>
      </c>
      <c r="AD298">
        <f t="shared" si="32"/>
        <v>0</v>
      </c>
      <c r="AE298" t="str">
        <f t="shared" si="33"/>
        <v/>
      </c>
    </row>
    <row r="299" spans="22:31" ht="18" customHeight="1">
      <c r="V299">
        <f>IF(A299="",0,IF(COUNTIF($A$3:A299,A299)=1,1,0))</f>
        <v>0</v>
      </c>
      <c r="W299">
        <f t="shared" si="30"/>
        <v>0</v>
      </c>
      <c r="X299" t="str">
        <f t="shared" si="31"/>
        <v/>
      </c>
      <c r="Y299">
        <f>IF(X299="",0,IF(COUNTIF($X$3:X299,X299)=1,1,0))</f>
        <v>0</v>
      </c>
      <c r="Z299">
        <f>IF(V299&lt;&gt;1,0,IF(X299="",0,IF(COUNTIF($X$3:X298,X299)&gt;0,1,0)))</f>
        <v>0</v>
      </c>
      <c r="AA299">
        <f t="shared" si="28"/>
        <v>0</v>
      </c>
      <c r="AB299">
        <f t="shared" si="29"/>
        <v>0</v>
      </c>
      <c r="AC299">
        <f>IF(I299="",0,L299*IFERROR(INDEX(کاتالوگ_محصولات!$G$4:$G$303,MATCH(I299,کاتالوگ_محصولات!$A$4:$A$303,0)),0))</f>
        <v>0</v>
      </c>
      <c r="AD299">
        <f t="shared" si="32"/>
        <v>0</v>
      </c>
      <c r="AE299" t="str">
        <f t="shared" si="33"/>
        <v/>
      </c>
    </row>
    <row r="300" spans="22:31" ht="18" customHeight="1">
      <c r="V300">
        <f>IF(A300="",0,IF(COUNTIF($A$3:A300,A300)=1,1,0))</f>
        <v>0</v>
      </c>
      <c r="W300">
        <f t="shared" si="30"/>
        <v>0</v>
      </c>
      <c r="X300" t="str">
        <f t="shared" si="31"/>
        <v/>
      </c>
      <c r="Y300">
        <f>IF(X300="",0,IF(COUNTIF($X$3:X300,X300)=1,1,0))</f>
        <v>0</v>
      </c>
      <c r="Z300">
        <f>IF(V300&lt;&gt;1,0,IF(X300="",0,IF(COUNTIF($X$3:X299,X300)&gt;0,1,0)))</f>
        <v>0</v>
      </c>
      <c r="AA300">
        <f t="shared" si="28"/>
        <v>0</v>
      </c>
      <c r="AB300">
        <f t="shared" si="29"/>
        <v>0</v>
      </c>
      <c r="AC300">
        <f>IF(I300="",0,L300*IFERROR(INDEX(کاتالوگ_محصولات!$G$4:$G$303,MATCH(I300,کاتالوگ_محصولات!$A$4:$A$303,0)),0))</f>
        <v>0</v>
      </c>
      <c r="AD300">
        <f t="shared" si="32"/>
        <v>0</v>
      </c>
      <c r="AE300" t="str">
        <f t="shared" si="33"/>
        <v/>
      </c>
    </row>
    <row r="301" spans="22:31" ht="18" customHeight="1">
      <c r="V301">
        <f>IF(A301="",0,IF(COUNTIF($A$3:A301,A301)=1,1,0))</f>
        <v>0</v>
      </c>
      <c r="W301">
        <f t="shared" si="30"/>
        <v>0</v>
      </c>
      <c r="X301" t="str">
        <f t="shared" si="31"/>
        <v/>
      </c>
      <c r="Y301">
        <f>IF(X301="",0,IF(COUNTIF($X$3:X301,X301)=1,1,0))</f>
        <v>0</v>
      </c>
      <c r="Z301">
        <f>IF(V301&lt;&gt;1,0,IF(X301="",0,IF(COUNTIF($X$3:X300,X301)&gt;0,1,0)))</f>
        <v>0</v>
      </c>
      <c r="AA301">
        <f t="shared" si="28"/>
        <v>0</v>
      </c>
      <c r="AB301">
        <f t="shared" si="29"/>
        <v>0</v>
      </c>
      <c r="AC301">
        <f>IF(I301="",0,L301*IFERROR(INDEX(کاتالوگ_محصولات!$G$4:$G$303,MATCH(I301,کاتالوگ_محصولات!$A$4:$A$303,0)),0))</f>
        <v>0</v>
      </c>
      <c r="AD301">
        <f t="shared" si="32"/>
        <v>0</v>
      </c>
      <c r="AE301" t="str">
        <f t="shared" si="33"/>
        <v/>
      </c>
    </row>
    <row r="302" spans="22:31" ht="18" customHeight="1">
      <c r="V302">
        <f>IF(A302="",0,IF(COUNTIF($A$3:A302,A302)=1,1,0))</f>
        <v>0</v>
      </c>
      <c r="W302">
        <f t="shared" si="30"/>
        <v>0</v>
      </c>
      <c r="X302" t="str">
        <f t="shared" si="31"/>
        <v/>
      </c>
      <c r="Y302">
        <f>IF(X302="",0,IF(COUNTIF($X$3:X302,X302)=1,1,0))</f>
        <v>0</v>
      </c>
      <c r="Z302">
        <f>IF(V302&lt;&gt;1,0,IF(X302="",0,IF(COUNTIF($X$3:X301,X302)&gt;0,1,0)))</f>
        <v>0</v>
      </c>
      <c r="AA302">
        <f t="shared" si="28"/>
        <v>0</v>
      </c>
      <c r="AB302">
        <f t="shared" si="29"/>
        <v>0</v>
      </c>
      <c r="AC302">
        <f>IF(I302="",0,L302*IFERROR(INDEX(کاتالوگ_محصولات!$G$4:$G$303,MATCH(I302,کاتالوگ_محصولات!$A$4:$A$303,0)),0))</f>
        <v>0</v>
      </c>
      <c r="AD302">
        <f t="shared" si="32"/>
        <v>0</v>
      </c>
      <c r="AE302" t="str">
        <f t="shared" si="33"/>
        <v/>
      </c>
    </row>
    <row r="303" spans="22:31" ht="18" customHeight="1">
      <c r="V303">
        <f>IF(A303="",0,IF(COUNTIF($A$3:A303,A303)=1,1,0))</f>
        <v>0</v>
      </c>
      <c r="W303">
        <f t="shared" si="30"/>
        <v>0</v>
      </c>
      <c r="X303" t="str">
        <f t="shared" si="31"/>
        <v/>
      </c>
      <c r="Y303">
        <f>IF(X303="",0,IF(COUNTIF($X$3:X303,X303)=1,1,0))</f>
        <v>0</v>
      </c>
      <c r="Z303">
        <f>IF(V303&lt;&gt;1,0,IF(X303="",0,IF(COUNTIF($X$3:X302,X303)&gt;0,1,0)))</f>
        <v>0</v>
      </c>
      <c r="AA303">
        <f t="shared" si="28"/>
        <v>0</v>
      </c>
      <c r="AB303">
        <f t="shared" si="29"/>
        <v>0</v>
      </c>
      <c r="AC303">
        <f>IF(I303="",0,L303*IFERROR(INDEX(کاتالوگ_محصولات!$G$4:$G$303,MATCH(I303,کاتالوگ_محصولات!$A$4:$A$303,0)),0))</f>
        <v>0</v>
      </c>
      <c r="AD303">
        <f t="shared" si="32"/>
        <v>0</v>
      </c>
      <c r="AE303" t="str">
        <f t="shared" si="33"/>
        <v/>
      </c>
    </row>
    <row r="304" spans="22:31" ht="18" customHeight="1">
      <c r="V304">
        <f>IF(A304="",0,IF(COUNTIF($A$3:A304,A304)=1,1,0))</f>
        <v>0</v>
      </c>
      <c r="W304">
        <f t="shared" si="30"/>
        <v>0</v>
      </c>
      <c r="X304" t="str">
        <f t="shared" si="31"/>
        <v/>
      </c>
      <c r="Y304">
        <f>IF(X304="",0,IF(COUNTIF($X$3:X304,X304)=1,1,0))</f>
        <v>0</v>
      </c>
      <c r="Z304">
        <f>IF(V304&lt;&gt;1,0,IF(X304="",0,IF(COUNTIF($X$3:X303,X304)&gt;0,1,0)))</f>
        <v>0</v>
      </c>
      <c r="AA304">
        <f t="shared" si="28"/>
        <v>0</v>
      </c>
      <c r="AB304">
        <f t="shared" si="29"/>
        <v>0</v>
      </c>
      <c r="AC304">
        <f>IF(I304="",0,L304*IFERROR(INDEX(کاتالوگ_محصولات!$G$4:$G$303,MATCH(I304,کاتالوگ_محصولات!$A$4:$A$303,0)),0))</f>
        <v>0</v>
      </c>
      <c r="AD304">
        <f t="shared" si="32"/>
        <v>0</v>
      </c>
      <c r="AE304" t="str">
        <f t="shared" si="33"/>
        <v/>
      </c>
    </row>
    <row r="305" spans="22:31" ht="18" customHeight="1">
      <c r="V305">
        <f>IF(A305="",0,IF(COUNTIF($A$3:A305,A305)=1,1,0))</f>
        <v>0</v>
      </c>
      <c r="W305">
        <f t="shared" si="30"/>
        <v>0</v>
      </c>
      <c r="X305" t="str">
        <f t="shared" si="31"/>
        <v/>
      </c>
      <c r="Y305">
        <f>IF(X305="",0,IF(COUNTIF($X$3:X305,X305)=1,1,0))</f>
        <v>0</v>
      </c>
      <c r="Z305">
        <f>IF(V305&lt;&gt;1,0,IF(X305="",0,IF(COUNTIF($X$3:X304,X305)&gt;0,1,0)))</f>
        <v>0</v>
      </c>
      <c r="AA305">
        <f t="shared" si="28"/>
        <v>0</v>
      </c>
      <c r="AB305">
        <f t="shared" si="29"/>
        <v>0</v>
      </c>
      <c r="AC305">
        <f>IF(I305="",0,L305*IFERROR(INDEX(کاتالوگ_محصولات!$G$4:$G$303,MATCH(I305,کاتالوگ_محصولات!$A$4:$A$303,0)),0))</f>
        <v>0</v>
      </c>
      <c r="AD305">
        <f t="shared" si="32"/>
        <v>0</v>
      </c>
      <c r="AE305" t="str">
        <f t="shared" si="33"/>
        <v/>
      </c>
    </row>
    <row r="306" spans="22:31" ht="18" customHeight="1">
      <c r="V306">
        <f>IF(A306="",0,IF(COUNTIF($A$3:A306,A306)=1,1,0))</f>
        <v>0</v>
      </c>
      <c r="W306">
        <f t="shared" si="30"/>
        <v>0</v>
      </c>
      <c r="X306" t="str">
        <f t="shared" si="31"/>
        <v/>
      </c>
      <c r="Y306">
        <f>IF(X306="",0,IF(COUNTIF($X$3:X306,X306)=1,1,0))</f>
        <v>0</v>
      </c>
      <c r="Z306">
        <f>IF(V306&lt;&gt;1,0,IF(X306="",0,IF(COUNTIF($X$3:X305,X306)&gt;0,1,0)))</f>
        <v>0</v>
      </c>
      <c r="AA306">
        <f t="shared" si="28"/>
        <v>0</v>
      </c>
      <c r="AB306">
        <f t="shared" si="29"/>
        <v>0</v>
      </c>
      <c r="AC306">
        <f>IF(I306="",0,L306*IFERROR(INDEX(کاتالوگ_محصولات!$G$4:$G$303,MATCH(I306,کاتالوگ_محصولات!$A$4:$A$303,0)),0))</f>
        <v>0</v>
      </c>
      <c r="AD306">
        <f t="shared" si="32"/>
        <v>0</v>
      </c>
      <c r="AE306" t="str">
        <f t="shared" si="33"/>
        <v/>
      </c>
    </row>
    <row r="307" spans="22:31" ht="18" customHeight="1">
      <c r="V307">
        <f>IF(A307="",0,IF(COUNTIF($A$3:A307,A307)=1,1,0))</f>
        <v>0</v>
      </c>
      <c r="W307">
        <f t="shared" si="30"/>
        <v>0</v>
      </c>
      <c r="X307" t="str">
        <f t="shared" si="31"/>
        <v/>
      </c>
      <c r="Y307">
        <f>IF(X307="",0,IF(COUNTIF($X$3:X307,X307)=1,1,0))</f>
        <v>0</v>
      </c>
      <c r="Z307">
        <f>IF(V307&lt;&gt;1,0,IF(X307="",0,IF(COUNTIF($X$3:X306,X307)&gt;0,1,0)))</f>
        <v>0</v>
      </c>
      <c r="AA307">
        <f t="shared" si="28"/>
        <v>0</v>
      </c>
      <c r="AB307">
        <f t="shared" si="29"/>
        <v>0</v>
      </c>
      <c r="AC307">
        <f>IF(I307="",0,L307*IFERROR(INDEX(کاتالوگ_محصولات!$G$4:$G$303,MATCH(I307,کاتالوگ_محصولات!$A$4:$A$303,0)),0))</f>
        <v>0</v>
      </c>
      <c r="AD307">
        <f t="shared" si="32"/>
        <v>0</v>
      </c>
      <c r="AE307" t="str">
        <f t="shared" si="33"/>
        <v/>
      </c>
    </row>
    <row r="308" spans="22:31" ht="18" customHeight="1">
      <c r="V308">
        <f>IF(A308="",0,IF(COUNTIF($A$3:A308,A308)=1,1,0))</f>
        <v>0</v>
      </c>
      <c r="W308">
        <f t="shared" si="30"/>
        <v>0</v>
      </c>
      <c r="X308" t="str">
        <f t="shared" si="31"/>
        <v/>
      </c>
      <c r="Y308">
        <f>IF(X308="",0,IF(COUNTIF($X$3:X308,X308)=1,1,0))</f>
        <v>0</v>
      </c>
      <c r="Z308">
        <f>IF(V308&lt;&gt;1,0,IF(X308="",0,IF(COUNTIF($X$3:X307,X308)&gt;0,1,0)))</f>
        <v>0</v>
      </c>
      <c r="AA308">
        <f t="shared" si="28"/>
        <v>0</v>
      </c>
      <c r="AB308">
        <f t="shared" si="29"/>
        <v>0</v>
      </c>
      <c r="AC308">
        <f>IF(I308="",0,L308*IFERROR(INDEX(کاتالوگ_محصولات!$G$4:$G$303,MATCH(I308,کاتالوگ_محصولات!$A$4:$A$303,0)),0))</f>
        <v>0</v>
      </c>
      <c r="AD308">
        <f t="shared" si="32"/>
        <v>0</v>
      </c>
      <c r="AE308" t="str">
        <f t="shared" si="33"/>
        <v/>
      </c>
    </row>
    <row r="309" spans="22:31" ht="18" customHeight="1">
      <c r="V309">
        <f>IF(A309="",0,IF(COUNTIF($A$3:A309,A309)=1,1,0))</f>
        <v>0</v>
      </c>
      <c r="W309">
        <f t="shared" si="30"/>
        <v>0</v>
      </c>
      <c r="X309" t="str">
        <f t="shared" si="31"/>
        <v/>
      </c>
      <c r="Y309">
        <f>IF(X309="",0,IF(COUNTIF($X$3:X309,X309)=1,1,0))</f>
        <v>0</v>
      </c>
      <c r="Z309">
        <f>IF(V309&lt;&gt;1,0,IF(X309="",0,IF(COUNTIF($X$3:X308,X309)&gt;0,1,0)))</f>
        <v>0</v>
      </c>
      <c r="AA309">
        <f t="shared" si="28"/>
        <v>0</v>
      </c>
      <c r="AB309">
        <f t="shared" si="29"/>
        <v>0</v>
      </c>
      <c r="AC309">
        <f>IF(I309="",0,L309*IFERROR(INDEX(کاتالوگ_محصولات!$G$4:$G$303,MATCH(I309,کاتالوگ_محصولات!$A$4:$A$303,0)),0))</f>
        <v>0</v>
      </c>
      <c r="AD309">
        <f t="shared" si="32"/>
        <v>0</v>
      </c>
      <c r="AE309" t="str">
        <f t="shared" si="33"/>
        <v/>
      </c>
    </row>
    <row r="310" spans="22:31" ht="18" customHeight="1">
      <c r="V310">
        <f>IF(A310="",0,IF(COUNTIF($A$3:A310,A310)=1,1,0))</f>
        <v>0</v>
      </c>
      <c r="W310">
        <f t="shared" si="30"/>
        <v>0</v>
      </c>
      <c r="X310" t="str">
        <f t="shared" si="31"/>
        <v/>
      </c>
      <c r="Y310">
        <f>IF(X310="",0,IF(COUNTIF($X$3:X310,X310)=1,1,0))</f>
        <v>0</v>
      </c>
      <c r="Z310">
        <f>IF(V310&lt;&gt;1,0,IF(X310="",0,IF(COUNTIF($X$3:X309,X310)&gt;0,1,0)))</f>
        <v>0</v>
      </c>
      <c r="AA310">
        <f t="shared" si="28"/>
        <v>0</v>
      </c>
      <c r="AB310">
        <f t="shared" si="29"/>
        <v>0</v>
      </c>
      <c r="AC310">
        <f>IF(I310="",0,L310*IFERROR(INDEX(کاتالوگ_محصولات!$G$4:$G$303,MATCH(I310,کاتالوگ_محصولات!$A$4:$A$303,0)),0))</f>
        <v>0</v>
      </c>
      <c r="AD310">
        <f t="shared" si="32"/>
        <v>0</v>
      </c>
      <c r="AE310" t="str">
        <f t="shared" si="33"/>
        <v/>
      </c>
    </row>
    <row r="311" spans="22:31" ht="18" customHeight="1">
      <c r="V311">
        <f>IF(A311="",0,IF(COUNTIF($A$3:A311,A311)=1,1,0))</f>
        <v>0</v>
      </c>
      <c r="W311">
        <f t="shared" si="30"/>
        <v>0</v>
      </c>
      <c r="X311" t="str">
        <f t="shared" si="31"/>
        <v/>
      </c>
      <c r="Y311">
        <f>IF(X311="",0,IF(COUNTIF($X$3:X311,X311)=1,1,0))</f>
        <v>0</v>
      </c>
      <c r="Z311">
        <f>IF(V311&lt;&gt;1,0,IF(X311="",0,IF(COUNTIF($X$3:X310,X311)&gt;0,1,0)))</f>
        <v>0</v>
      </c>
      <c r="AA311">
        <f t="shared" si="28"/>
        <v>0</v>
      </c>
      <c r="AB311">
        <f t="shared" si="29"/>
        <v>0</v>
      </c>
      <c r="AC311">
        <f>IF(I311="",0,L311*IFERROR(INDEX(کاتالوگ_محصولات!$G$4:$G$303,MATCH(I311,کاتالوگ_محصولات!$A$4:$A$303,0)),0))</f>
        <v>0</v>
      </c>
      <c r="AD311">
        <f t="shared" si="32"/>
        <v>0</v>
      </c>
      <c r="AE311" t="str">
        <f t="shared" si="33"/>
        <v/>
      </c>
    </row>
    <row r="312" spans="22:31" ht="18" customHeight="1">
      <c r="V312">
        <f>IF(A312="",0,IF(COUNTIF($A$3:A312,A312)=1,1,0))</f>
        <v>0</v>
      </c>
      <c r="W312">
        <f t="shared" si="30"/>
        <v>0</v>
      </c>
      <c r="X312" t="str">
        <f t="shared" si="31"/>
        <v/>
      </c>
      <c r="Y312">
        <f>IF(X312="",0,IF(COUNTIF($X$3:X312,X312)=1,1,0))</f>
        <v>0</v>
      </c>
      <c r="Z312">
        <f>IF(V312&lt;&gt;1,0,IF(X312="",0,IF(COUNTIF($X$3:X311,X312)&gt;0,1,0)))</f>
        <v>0</v>
      </c>
      <c r="AA312">
        <f t="shared" si="28"/>
        <v>0</v>
      </c>
      <c r="AB312">
        <f t="shared" si="29"/>
        <v>0</v>
      </c>
      <c r="AC312">
        <f>IF(I312="",0,L312*IFERROR(INDEX(کاتالوگ_محصولات!$G$4:$G$303,MATCH(I312,کاتالوگ_محصولات!$A$4:$A$303,0)),0))</f>
        <v>0</v>
      </c>
      <c r="AD312">
        <f t="shared" si="32"/>
        <v>0</v>
      </c>
      <c r="AE312" t="str">
        <f t="shared" si="33"/>
        <v/>
      </c>
    </row>
    <row r="313" spans="22:31" ht="18" customHeight="1">
      <c r="V313">
        <f>IF(A313="",0,IF(COUNTIF($A$3:A313,A313)=1,1,0))</f>
        <v>0</v>
      </c>
      <c r="W313">
        <f t="shared" si="30"/>
        <v>0</v>
      </c>
      <c r="X313" t="str">
        <f t="shared" si="31"/>
        <v/>
      </c>
      <c r="Y313">
        <f>IF(X313="",0,IF(COUNTIF($X$3:X313,X313)=1,1,0))</f>
        <v>0</v>
      </c>
      <c r="Z313">
        <f>IF(V313&lt;&gt;1,0,IF(X313="",0,IF(COUNTIF($X$3:X312,X313)&gt;0,1,0)))</f>
        <v>0</v>
      </c>
      <c r="AA313">
        <f t="shared" si="28"/>
        <v>0</v>
      </c>
      <c r="AB313">
        <f t="shared" si="29"/>
        <v>0</v>
      </c>
      <c r="AC313">
        <f>IF(I313="",0,L313*IFERROR(INDEX(کاتالوگ_محصولات!$G$4:$G$303,MATCH(I313,کاتالوگ_محصولات!$A$4:$A$303,0)),0))</f>
        <v>0</v>
      </c>
      <c r="AD313">
        <f t="shared" si="32"/>
        <v>0</v>
      </c>
      <c r="AE313" t="str">
        <f t="shared" si="33"/>
        <v/>
      </c>
    </row>
    <row r="314" spans="22:31" ht="18" customHeight="1">
      <c r="V314">
        <f>IF(A314="",0,IF(COUNTIF($A$3:A314,A314)=1,1,0))</f>
        <v>0</v>
      </c>
      <c r="W314">
        <f t="shared" si="30"/>
        <v>0</v>
      </c>
      <c r="X314" t="str">
        <f t="shared" si="31"/>
        <v/>
      </c>
      <c r="Y314">
        <f>IF(X314="",0,IF(COUNTIF($X$3:X314,X314)=1,1,0))</f>
        <v>0</v>
      </c>
      <c r="Z314">
        <f>IF(V314&lt;&gt;1,0,IF(X314="",0,IF(COUNTIF($X$3:X313,X314)&gt;0,1,0)))</f>
        <v>0</v>
      </c>
      <c r="AA314">
        <f t="shared" si="28"/>
        <v>0</v>
      </c>
      <c r="AB314">
        <f t="shared" si="29"/>
        <v>0</v>
      </c>
      <c r="AC314">
        <f>IF(I314="",0,L314*IFERROR(INDEX(کاتالوگ_محصولات!$G$4:$G$303,MATCH(I314,کاتالوگ_محصولات!$A$4:$A$303,0)),0))</f>
        <v>0</v>
      </c>
      <c r="AD314">
        <f t="shared" si="32"/>
        <v>0</v>
      </c>
      <c r="AE314" t="str">
        <f t="shared" si="33"/>
        <v/>
      </c>
    </row>
    <row r="315" spans="22:31" ht="18" customHeight="1">
      <c r="V315">
        <f>IF(A315="",0,IF(COUNTIF($A$3:A315,A315)=1,1,0))</f>
        <v>0</v>
      </c>
      <c r="W315">
        <f t="shared" si="30"/>
        <v>0</v>
      </c>
      <c r="X315" t="str">
        <f t="shared" si="31"/>
        <v/>
      </c>
      <c r="Y315">
        <f>IF(X315="",0,IF(COUNTIF($X$3:X315,X315)=1,1,0))</f>
        <v>0</v>
      </c>
      <c r="Z315">
        <f>IF(V315&lt;&gt;1,0,IF(X315="",0,IF(COUNTIF($X$3:X314,X315)&gt;0,1,0)))</f>
        <v>0</v>
      </c>
      <c r="AA315">
        <f t="shared" si="28"/>
        <v>0</v>
      </c>
      <c r="AB315">
        <f t="shared" si="29"/>
        <v>0</v>
      </c>
      <c r="AC315">
        <f>IF(I315="",0,L315*IFERROR(INDEX(کاتالوگ_محصولات!$G$4:$G$303,MATCH(I315,کاتالوگ_محصولات!$A$4:$A$303,0)),0))</f>
        <v>0</v>
      </c>
      <c r="AD315">
        <f t="shared" si="32"/>
        <v>0</v>
      </c>
      <c r="AE315" t="str">
        <f t="shared" si="33"/>
        <v/>
      </c>
    </row>
    <row r="316" spans="22:31" ht="18" customHeight="1">
      <c r="V316">
        <f>IF(A316="",0,IF(COUNTIF($A$3:A316,A316)=1,1,0))</f>
        <v>0</v>
      </c>
      <c r="W316">
        <f t="shared" si="30"/>
        <v>0</v>
      </c>
      <c r="X316" t="str">
        <f t="shared" si="31"/>
        <v/>
      </c>
      <c r="Y316">
        <f>IF(X316="",0,IF(COUNTIF($X$3:X316,X316)=1,1,0))</f>
        <v>0</v>
      </c>
      <c r="Z316">
        <f>IF(V316&lt;&gt;1,0,IF(X316="",0,IF(COUNTIF($X$3:X315,X316)&gt;0,1,0)))</f>
        <v>0</v>
      </c>
      <c r="AA316">
        <f t="shared" si="28"/>
        <v>0</v>
      </c>
      <c r="AB316">
        <f t="shared" si="29"/>
        <v>0</v>
      </c>
      <c r="AC316">
        <f>IF(I316="",0,L316*IFERROR(INDEX(کاتالوگ_محصولات!$G$4:$G$303,MATCH(I316,کاتالوگ_محصولات!$A$4:$A$303,0)),0))</f>
        <v>0</v>
      </c>
      <c r="AD316">
        <f t="shared" si="32"/>
        <v>0</v>
      </c>
      <c r="AE316" t="str">
        <f t="shared" si="33"/>
        <v/>
      </c>
    </row>
    <row r="317" spans="22:31" ht="18" customHeight="1">
      <c r="V317">
        <f>IF(A317="",0,IF(COUNTIF($A$3:A317,A317)=1,1,0))</f>
        <v>0</v>
      </c>
      <c r="W317">
        <f t="shared" si="30"/>
        <v>0</v>
      </c>
      <c r="X317" t="str">
        <f t="shared" si="31"/>
        <v/>
      </c>
      <c r="Y317">
        <f>IF(X317="",0,IF(COUNTIF($X$3:X317,X317)=1,1,0))</f>
        <v>0</v>
      </c>
      <c r="Z317">
        <f>IF(V317&lt;&gt;1,0,IF(X317="",0,IF(COUNTIF($X$3:X316,X317)&gt;0,1,0)))</f>
        <v>0</v>
      </c>
      <c r="AA317">
        <f t="shared" si="28"/>
        <v>0</v>
      </c>
      <c r="AB317">
        <f t="shared" si="29"/>
        <v>0</v>
      </c>
      <c r="AC317">
        <f>IF(I317="",0,L317*IFERROR(INDEX(کاتالوگ_محصولات!$G$4:$G$303,MATCH(I317,کاتالوگ_محصولات!$A$4:$A$303,0)),0))</f>
        <v>0</v>
      </c>
      <c r="AD317">
        <f t="shared" si="32"/>
        <v>0</v>
      </c>
      <c r="AE317" t="str">
        <f t="shared" si="33"/>
        <v/>
      </c>
    </row>
    <row r="318" spans="22:31" ht="18" customHeight="1">
      <c r="V318">
        <f>IF(A318="",0,IF(COUNTIF($A$3:A318,A318)=1,1,0))</f>
        <v>0</v>
      </c>
      <c r="W318">
        <f t="shared" si="30"/>
        <v>0</v>
      </c>
      <c r="X318" t="str">
        <f t="shared" si="31"/>
        <v/>
      </c>
      <c r="Y318">
        <f>IF(X318="",0,IF(COUNTIF($X$3:X318,X318)=1,1,0))</f>
        <v>0</v>
      </c>
      <c r="Z318">
        <f>IF(V318&lt;&gt;1,0,IF(X318="",0,IF(COUNTIF($X$3:X317,X318)&gt;0,1,0)))</f>
        <v>0</v>
      </c>
      <c r="AA318">
        <f t="shared" si="28"/>
        <v>0</v>
      </c>
      <c r="AB318">
        <f t="shared" si="29"/>
        <v>0</v>
      </c>
      <c r="AC318">
        <f>IF(I318="",0,L318*IFERROR(INDEX(کاتالوگ_محصولات!$G$4:$G$303,MATCH(I318,کاتالوگ_محصولات!$A$4:$A$303,0)),0))</f>
        <v>0</v>
      </c>
      <c r="AD318">
        <f t="shared" si="32"/>
        <v>0</v>
      </c>
      <c r="AE318" t="str">
        <f t="shared" si="33"/>
        <v/>
      </c>
    </row>
    <row r="319" spans="22:31" ht="18" customHeight="1">
      <c r="V319">
        <f>IF(A319="",0,IF(COUNTIF($A$3:A319,A319)=1,1,0))</f>
        <v>0</v>
      </c>
      <c r="W319">
        <f t="shared" si="30"/>
        <v>0</v>
      </c>
      <c r="X319" t="str">
        <f t="shared" si="31"/>
        <v/>
      </c>
      <c r="Y319">
        <f>IF(X319="",0,IF(COUNTIF($X$3:X319,X319)=1,1,0))</f>
        <v>0</v>
      </c>
      <c r="Z319">
        <f>IF(V319&lt;&gt;1,0,IF(X319="",0,IF(COUNTIF($X$3:X318,X319)&gt;0,1,0)))</f>
        <v>0</v>
      </c>
      <c r="AA319">
        <f t="shared" si="28"/>
        <v>0</v>
      </c>
      <c r="AB319">
        <f t="shared" si="29"/>
        <v>0</v>
      </c>
      <c r="AC319">
        <f>IF(I319="",0,L319*IFERROR(INDEX(کاتالوگ_محصولات!$G$4:$G$303,MATCH(I319,کاتالوگ_محصولات!$A$4:$A$303,0)),0))</f>
        <v>0</v>
      </c>
      <c r="AD319">
        <f t="shared" si="32"/>
        <v>0</v>
      </c>
      <c r="AE319" t="str">
        <f t="shared" si="33"/>
        <v/>
      </c>
    </row>
    <row r="320" spans="22:31" ht="18" customHeight="1">
      <c r="V320">
        <f>IF(A320="",0,IF(COUNTIF($A$3:A320,A320)=1,1,0))</f>
        <v>0</v>
      </c>
      <c r="W320">
        <f t="shared" si="30"/>
        <v>0</v>
      </c>
      <c r="X320" t="str">
        <f t="shared" si="31"/>
        <v/>
      </c>
      <c r="Y320">
        <f>IF(X320="",0,IF(COUNTIF($X$3:X320,X320)=1,1,0))</f>
        <v>0</v>
      </c>
      <c r="Z320">
        <f>IF(V320&lt;&gt;1,0,IF(X320="",0,IF(COUNTIF($X$3:X319,X320)&gt;0,1,0)))</f>
        <v>0</v>
      </c>
      <c r="AA320">
        <f t="shared" si="28"/>
        <v>0</v>
      </c>
      <c r="AB320">
        <f t="shared" si="29"/>
        <v>0</v>
      </c>
      <c r="AC320">
        <f>IF(I320="",0,L320*IFERROR(INDEX(کاتالوگ_محصولات!$G$4:$G$303,MATCH(I320,کاتالوگ_محصولات!$A$4:$A$303,0)),0))</f>
        <v>0</v>
      </c>
      <c r="AD320">
        <f t="shared" si="32"/>
        <v>0</v>
      </c>
      <c r="AE320" t="str">
        <f t="shared" si="33"/>
        <v/>
      </c>
    </row>
    <row r="321" spans="22:31" ht="18" customHeight="1">
      <c r="V321">
        <f>IF(A321="",0,IF(COUNTIF($A$3:A321,A321)=1,1,0))</f>
        <v>0</v>
      </c>
      <c r="W321">
        <f t="shared" si="30"/>
        <v>0</v>
      </c>
      <c r="X321" t="str">
        <f t="shared" si="31"/>
        <v/>
      </c>
      <c r="Y321">
        <f>IF(X321="",0,IF(COUNTIF($X$3:X321,X321)=1,1,0))</f>
        <v>0</v>
      </c>
      <c r="Z321">
        <f>IF(V321&lt;&gt;1,0,IF(X321="",0,IF(COUNTIF($X$3:X320,X321)&gt;0,1,0)))</f>
        <v>0</v>
      </c>
      <c r="AA321">
        <f t="shared" si="28"/>
        <v>0</v>
      </c>
      <c r="AB321">
        <f t="shared" si="29"/>
        <v>0</v>
      </c>
      <c r="AC321">
        <f>IF(I321="",0,L321*IFERROR(INDEX(کاتالوگ_محصولات!$G$4:$G$303,MATCH(I321,کاتالوگ_محصولات!$A$4:$A$303,0)),0))</f>
        <v>0</v>
      </c>
      <c r="AD321">
        <f t="shared" si="32"/>
        <v>0</v>
      </c>
      <c r="AE321" t="str">
        <f t="shared" si="33"/>
        <v/>
      </c>
    </row>
    <row r="322" spans="22:31" ht="18" customHeight="1">
      <c r="V322">
        <f>IF(A322="",0,IF(COUNTIF($A$3:A322,A322)=1,1,0))</f>
        <v>0</v>
      </c>
      <c r="W322">
        <f t="shared" si="30"/>
        <v>0</v>
      </c>
      <c r="X322" t="str">
        <f t="shared" si="31"/>
        <v/>
      </c>
      <c r="Y322">
        <f>IF(X322="",0,IF(COUNTIF($X$3:X322,X322)=1,1,0))</f>
        <v>0</v>
      </c>
      <c r="Z322">
        <f>IF(V322&lt;&gt;1,0,IF(X322="",0,IF(COUNTIF($X$3:X321,X322)&gt;0,1,0)))</f>
        <v>0</v>
      </c>
      <c r="AA322">
        <f t="shared" si="28"/>
        <v>0</v>
      </c>
      <c r="AB322">
        <f t="shared" si="29"/>
        <v>0</v>
      </c>
      <c r="AC322">
        <f>IF(I322="",0,L322*IFERROR(INDEX(کاتالوگ_محصولات!$G$4:$G$303,MATCH(I322,کاتالوگ_محصولات!$A$4:$A$303,0)),0))</f>
        <v>0</v>
      </c>
      <c r="AD322">
        <f t="shared" si="32"/>
        <v>0</v>
      </c>
      <c r="AE322" t="str">
        <f t="shared" si="33"/>
        <v/>
      </c>
    </row>
    <row r="323" spans="22:31" ht="18" customHeight="1">
      <c r="V323">
        <f>IF(A323="",0,IF(COUNTIF($A$3:A323,A323)=1,1,0))</f>
        <v>0</v>
      </c>
      <c r="W323">
        <f t="shared" si="30"/>
        <v>0</v>
      </c>
      <c r="X323" t="str">
        <f t="shared" si="31"/>
        <v/>
      </c>
      <c r="Y323">
        <f>IF(X323="",0,IF(COUNTIF($X$3:X323,X323)=1,1,0))</f>
        <v>0</v>
      </c>
      <c r="Z323">
        <f>IF(V323&lt;&gt;1,0,IF(X323="",0,IF(COUNTIF($X$3:X322,X323)&gt;0,1,0)))</f>
        <v>0</v>
      </c>
      <c r="AA323">
        <f t="shared" ref="AA323:AA386" si="34">IF(V323=1,SUMIF($A$3:$A$1622,A323,$O$3:$O$1622),0)</f>
        <v>0</v>
      </c>
      <c r="AB323">
        <f t="shared" ref="AB323:AB386" si="35">IF(V323=1,SUMIF($A$3:$A$1622,A323,$L$3:$L$1622),0)</f>
        <v>0</v>
      </c>
      <c r="AC323">
        <f>IF(I323="",0,L323*IFERROR(INDEX(کاتالوگ_محصولات!$G$4:$G$303,MATCH(I323,کاتالوگ_محصولات!$A$4:$A$303,0)),0))</f>
        <v>0</v>
      </c>
      <c r="AD323">
        <f t="shared" si="32"/>
        <v>0</v>
      </c>
      <c r="AE323" t="str">
        <f t="shared" si="33"/>
        <v/>
      </c>
    </row>
    <row r="324" spans="22:31" ht="18" customHeight="1">
      <c r="V324">
        <f>IF(A324="",0,IF(COUNTIF($A$3:A324,A324)=1,1,0))</f>
        <v>0</v>
      </c>
      <c r="W324">
        <f t="shared" si="30"/>
        <v>0</v>
      </c>
      <c r="X324" t="str">
        <f t="shared" si="31"/>
        <v/>
      </c>
      <c r="Y324">
        <f>IF(X324="",0,IF(COUNTIF($X$3:X324,X324)=1,1,0))</f>
        <v>0</v>
      </c>
      <c r="Z324">
        <f>IF(V324&lt;&gt;1,0,IF(X324="",0,IF(COUNTIF($X$3:X323,X324)&gt;0,1,0)))</f>
        <v>0</v>
      </c>
      <c r="AA324">
        <f t="shared" si="34"/>
        <v>0</v>
      </c>
      <c r="AB324">
        <f t="shared" si="35"/>
        <v>0</v>
      </c>
      <c r="AC324">
        <f>IF(I324="",0,L324*IFERROR(INDEX(کاتالوگ_محصولات!$G$4:$G$303,MATCH(I324,کاتالوگ_محصولات!$A$4:$A$303,0)),0))</f>
        <v>0</v>
      </c>
      <c r="AD324">
        <f t="shared" si="32"/>
        <v>0</v>
      </c>
      <c r="AE324" t="str">
        <f t="shared" si="33"/>
        <v/>
      </c>
    </row>
    <row r="325" spans="22:31" ht="18" customHeight="1">
      <c r="V325">
        <f>IF(A325="",0,IF(COUNTIF($A$3:A325,A325)=1,1,0))</f>
        <v>0</v>
      </c>
      <c r="W325">
        <f t="shared" si="30"/>
        <v>0</v>
      </c>
      <c r="X325" t="str">
        <f t="shared" si="31"/>
        <v/>
      </c>
      <c r="Y325">
        <f>IF(X325="",0,IF(COUNTIF($X$3:X325,X325)=1,1,0))</f>
        <v>0</v>
      </c>
      <c r="Z325">
        <f>IF(V325&lt;&gt;1,0,IF(X325="",0,IF(COUNTIF($X$3:X324,X325)&gt;0,1,0)))</f>
        <v>0</v>
      </c>
      <c r="AA325">
        <f t="shared" si="34"/>
        <v>0</v>
      </c>
      <c r="AB325">
        <f t="shared" si="35"/>
        <v>0</v>
      </c>
      <c r="AC325">
        <f>IF(I325="",0,L325*IFERROR(INDEX(کاتالوگ_محصولات!$G$4:$G$303,MATCH(I325,کاتالوگ_محصولات!$A$4:$A$303,0)),0))</f>
        <v>0</v>
      </c>
      <c r="AD325">
        <f t="shared" si="32"/>
        <v>0</v>
      </c>
      <c r="AE325" t="str">
        <f t="shared" si="33"/>
        <v/>
      </c>
    </row>
    <row r="326" spans="22:31" ht="18" customHeight="1">
      <c r="V326">
        <f>IF(A326="",0,IF(COUNTIF($A$3:A326,A326)=1,1,0))</f>
        <v>0</v>
      </c>
      <c r="W326">
        <f t="shared" si="30"/>
        <v>0</v>
      </c>
      <c r="X326" t="str">
        <f t="shared" si="31"/>
        <v/>
      </c>
      <c r="Y326">
        <f>IF(X326="",0,IF(COUNTIF($X$3:X326,X326)=1,1,0))</f>
        <v>0</v>
      </c>
      <c r="Z326">
        <f>IF(V326&lt;&gt;1,0,IF(X326="",0,IF(COUNTIF($X$3:X325,X326)&gt;0,1,0)))</f>
        <v>0</v>
      </c>
      <c r="AA326">
        <f t="shared" si="34"/>
        <v>0</v>
      </c>
      <c r="AB326">
        <f t="shared" si="35"/>
        <v>0</v>
      </c>
      <c r="AC326">
        <f>IF(I326="",0,L326*IFERROR(INDEX(کاتالوگ_محصولات!$G$4:$G$303,MATCH(I326,کاتالوگ_محصولات!$A$4:$A$303,0)),0))</f>
        <v>0</v>
      </c>
      <c r="AD326">
        <f t="shared" si="32"/>
        <v>0</v>
      </c>
      <c r="AE326" t="str">
        <f t="shared" si="33"/>
        <v/>
      </c>
    </row>
    <row r="327" spans="22:31" ht="18" customHeight="1">
      <c r="V327">
        <f>IF(A327="",0,IF(COUNTIF($A$3:A327,A327)=1,1,0))</f>
        <v>0</v>
      </c>
      <c r="W327">
        <f t="shared" si="30"/>
        <v>0</v>
      </c>
      <c r="X327" t="str">
        <f t="shared" si="31"/>
        <v/>
      </c>
      <c r="Y327">
        <f>IF(X327="",0,IF(COUNTIF($X$3:X327,X327)=1,1,0))</f>
        <v>0</v>
      </c>
      <c r="Z327">
        <f>IF(V327&lt;&gt;1,0,IF(X327="",0,IF(COUNTIF($X$3:X326,X327)&gt;0,1,0)))</f>
        <v>0</v>
      </c>
      <c r="AA327">
        <f t="shared" si="34"/>
        <v>0</v>
      </c>
      <c r="AB327">
        <f t="shared" si="35"/>
        <v>0</v>
      </c>
      <c r="AC327">
        <f>IF(I327="",0,L327*IFERROR(INDEX(کاتالوگ_محصولات!$G$4:$G$303,MATCH(I327,کاتالوگ_محصولات!$A$4:$A$303,0)),0))</f>
        <v>0</v>
      </c>
      <c r="AD327">
        <f t="shared" si="32"/>
        <v>0</v>
      </c>
      <c r="AE327" t="str">
        <f t="shared" si="33"/>
        <v/>
      </c>
    </row>
    <row r="328" spans="22:31" ht="18" customHeight="1">
      <c r="V328">
        <f>IF(A328="",0,IF(COUNTIF($A$3:A328,A328)=1,1,0))</f>
        <v>0</v>
      </c>
      <c r="W328">
        <f t="shared" si="30"/>
        <v>0</v>
      </c>
      <c r="X328" t="str">
        <f t="shared" si="31"/>
        <v/>
      </c>
      <c r="Y328">
        <f>IF(X328="",0,IF(COUNTIF($X$3:X328,X328)=1,1,0))</f>
        <v>0</v>
      </c>
      <c r="Z328">
        <f>IF(V328&lt;&gt;1,0,IF(X328="",0,IF(COUNTIF($X$3:X327,X328)&gt;0,1,0)))</f>
        <v>0</v>
      </c>
      <c r="AA328">
        <f t="shared" si="34"/>
        <v>0</v>
      </c>
      <c r="AB328">
        <f t="shared" si="35"/>
        <v>0</v>
      </c>
      <c r="AC328">
        <f>IF(I328="",0,L328*IFERROR(INDEX(کاتالوگ_محصولات!$G$4:$G$303,MATCH(I328,کاتالوگ_محصولات!$A$4:$A$303,0)),0))</f>
        <v>0</v>
      </c>
      <c r="AD328">
        <f t="shared" si="32"/>
        <v>0</v>
      </c>
      <c r="AE328" t="str">
        <f t="shared" si="33"/>
        <v/>
      </c>
    </row>
    <row r="329" spans="22:31" ht="18" customHeight="1">
      <c r="V329">
        <f>IF(A329="",0,IF(COUNTIF($A$3:A329,A329)=1,1,0))</f>
        <v>0</v>
      </c>
      <c r="W329">
        <f t="shared" ref="W329:W392" si="36">IF(A329="",0,L329*M329)</f>
        <v>0</v>
      </c>
      <c r="X329" t="str">
        <f t="shared" ref="X329:X392" si="37">IF(R329&lt;&gt;"",R329,IF(AND(P329&lt;&gt;"",Q329&lt;&gt;""),P329&amp;"|"&amp;Q329,""))</f>
        <v/>
      </c>
      <c r="Y329">
        <f>IF(X329="",0,IF(COUNTIF($X$3:X329,X329)=1,1,0))</f>
        <v>0</v>
      </c>
      <c r="Z329">
        <f>IF(V329&lt;&gt;1,0,IF(X329="",0,IF(COUNTIF($X$3:X328,X329)&gt;0,1,0)))</f>
        <v>0</v>
      </c>
      <c r="AA329">
        <f t="shared" si="34"/>
        <v>0</v>
      </c>
      <c r="AB329">
        <f t="shared" si="35"/>
        <v>0</v>
      </c>
      <c r="AC329">
        <f>IF(I329="",0,L329*IFERROR(INDEX(کاتالوگ_محصولات!$G$4:$G$303,MATCH(I329,کاتالوگ_محصولات!$A$4:$A$303,0)),0))</f>
        <v>0</v>
      </c>
      <c r="AD329">
        <f t="shared" ref="AD329:AD392" si="38">IF(A329="",0,O329-AC329)</f>
        <v>0</v>
      </c>
      <c r="AE329" t="str">
        <f t="shared" ref="AE329:AE392" si="39">IF(B329="","",LEFT(B329,7))</f>
        <v/>
      </c>
    </row>
    <row r="330" spans="22:31" ht="18" customHeight="1">
      <c r="V330">
        <f>IF(A330="",0,IF(COUNTIF($A$3:A330,A330)=1,1,0))</f>
        <v>0</v>
      </c>
      <c r="W330">
        <f t="shared" si="36"/>
        <v>0</v>
      </c>
      <c r="X330" t="str">
        <f t="shared" si="37"/>
        <v/>
      </c>
      <c r="Y330">
        <f>IF(X330="",0,IF(COUNTIF($X$3:X330,X330)=1,1,0))</f>
        <v>0</v>
      </c>
      <c r="Z330">
        <f>IF(V330&lt;&gt;1,0,IF(X330="",0,IF(COUNTIF($X$3:X329,X330)&gt;0,1,0)))</f>
        <v>0</v>
      </c>
      <c r="AA330">
        <f t="shared" si="34"/>
        <v>0</v>
      </c>
      <c r="AB330">
        <f t="shared" si="35"/>
        <v>0</v>
      </c>
      <c r="AC330">
        <f>IF(I330="",0,L330*IFERROR(INDEX(کاتالوگ_محصولات!$G$4:$G$303,MATCH(I330,کاتالوگ_محصولات!$A$4:$A$303,0)),0))</f>
        <v>0</v>
      </c>
      <c r="AD330">
        <f t="shared" si="38"/>
        <v>0</v>
      </c>
      <c r="AE330" t="str">
        <f t="shared" si="39"/>
        <v/>
      </c>
    </row>
    <row r="331" spans="22:31" ht="18" customHeight="1">
      <c r="V331">
        <f>IF(A331="",0,IF(COUNTIF($A$3:A331,A331)=1,1,0))</f>
        <v>0</v>
      </c>
      <c r="W331">
        <f t="shared" si="36"/>
        <v>0</v>
      </c>
      <c r="X331" t="str">
        <f t="shared" si="37"/>
        <v/>
      </c>
      <c r="Y331">
        <f>IF(X331="",0,IF(COUNTIF($X$3:X331,X331)=1,1,0))</f>
        <v>0</v>
      </c>
      <c r="Z331">
        <f>IF(V331&lt;&gt;1,0,IF(X331="",0,IF(COUNTIF($X$3:X330,X331)&gt;0,1,0)))</f>
        <v>0</v>
      </c>
      <c r="AA331">
        <f t="shared" si="34"/>
        <v>0</v>
      </c>
      <c r="AB331">
        <f t="shared" si="35"/>
        <v>0</v>
      </c>
      <c r="AC331">
        <f>IF(I331="",0,L331*IFERROR(INDEX(کاتالوگ_محصولات!$G$4:$G$303,MATCH(I331,کاتالوگ_محصولات!$A$4:$A$303,0)),0))</f>
        <v>0</v>
      </c>
      <c r="AD331">
        <f t="shared" si="38"/>
        <v>0</v>
      </c>
      <c r="AE331" t="str">
        <f t="shared" si="39"/>
        <v/>
      </c>
    </row>
    <row r="332" spans="22:31" ht="18" customHeight="1">
      <c r="V332">
        <f>IF(A332="",0,IF(COUNTIF($A$3:A332,A332)=1,1,0))</f>
        <v>0</v>
      </c>
      <c r="W332">
        <f t="shared" si="36"/>
        <v>0</v>
      </c>
      <c r="X332" t="str">
        <f t="shared" si="37"/>
        <v/>
      </c>
      <c r="Y332">
        <f>IF(X332="",0,IF(COUNTIF($X$3:X332,X332)=1,1,0))</f>
        <v>0</v>
      </c>
      <c r="Z332">
        <f>IF(V332&lt;&gt;1,0,IF(X332="",0,IF(COUNTIF($X$3:X331,X332)&gt;0,1,0)))</f>
        <v>0</v>
      </c>
      <c r="AA332">
        <f t="shared" si="34"/>
        <v>0</v>
      </c>
      <c r="AB332">
        <f t="shared" si="35"/>
        <v>0</v>
      </c>
      <c r="AC332">
        <f>IF(I332="",0,L332*IFERROR(INDEX(کاتالوگ_محصولات!$G$4:$G$303,MATCH(I332,کاتالوگ_محصولات!$A$4:$A$303,0)),0))</f>
        <v>0</v>
      </c>
      <c r="AD332">
        <f t="shared" si="38"/>
        <v>0</v>
      </c>
      <c r="AE332" t="str">
        <f t="shared" si="39"/>
        <v/>
      </c>
    </row>
    <row r="333" spans="22:31" ht="18" customHeight="1">
      <c r="V333">
        <f>IF(A333="",0,IF(COUNTIF($A$3:A333,A333)=1,1,0))</f>
        <v>0</v>
      </c>
      <c r="W333">
        <f t="shared" si="36"/>
        <v>0</v>
      </c>
      <c r="X333" t="str">
        <f t="shared" si="37"/>
        <v/>
      </c>
      <c r="Y333">
        <f>IF(X333="",0,IF(COUNTIF($X$3:X333,X333)=1,1,0))</f>
        <v>0</v>
      </c>
      <c r="Z333">
        <f>IF(V333&lt;&gt;1,0,IF(X333="",0,IF(COUNTIF($X$3:X332,X333)&gt;0,1,0)))</f>
        <v>0</v>
      </c>
      <c r="AA333">
        <f t="shared" si="34"/>
        <v>0</v>
      </c>
      <c r="AB333">
        <f t="shared" si="35"/>
        <v>0</v>
      </c>
      <c r="AC333">
        <f>IF(I333="",0,L333*IFERROR(INDEX(کاتالوگ_محصولات!$G$4:$G$303,MATCH(I333,کاتالوگ_محصولات!$A$4:$A$303,0)),0))</f>
        <v>0</v>
      </c>
      <c r="AD333">
        <f t="shared" si="38"/>
        <v>0</v>
      </c>
      <c r="AE333" t="str">
        <f t="shared" si="39"/>
        <v/>
      </c>
    </row>
    <row r="334" spans="22:31" ht="18" customHeight="1">
      <c r="V334">
        <f>IF(A334="",0,IF(COUNTIF($A$3:A334,A334)=1,1,0))</f>
        <v>0</v>
      </c>
      <c r="W334">
        <f t="shared" si="36"/>
        <v>0</v>
      </c>
      <c r="X334" t="str">
        <f t="shared" si="37"/>
        <v/>
      </c>
      <c r="Y334">
        <f>IF(X334="",0,IF(COUNTIF($X$3:X334,X334)=1,1,0))</f>
        <v>0</v>
      </c>
      <c r="Z334">
        <f>IF(V334&lt;&gt;1,0,IF(X334="",0,IF(COUNTIF($X$3:X333,X334)&gt;0,1,0)))</f>
        <v>0</v>
      </c>
      <c r="AA334">
        <f t="shared" si="34"/>
        <v>0</v>
      </c>
      <c r="AB334">
        <f t="shared" si="35"/>
        <v>0</v>
      </c>
      <c r="AC334">
        <f>IF(I334="",0,L334*IFERROR(INDEX(کاتالوگ_محصولات!$G$4:$G$303,MATCH(I334,کاتالوگ_محصولات!$A$4:$A$303,0)),0))</f>
        <v>0</v>
      </c>
      <c r="AD334">
        <f t="shared" si="38"/>
        <v>0</v>
      </c>
      <c r="AE334" t="str">
        <f t="shared" si="39"/>
        <v/>
      </c>
    </row>
    <row r="335" spans="22:31" ht="18" customHeight="1">
      <c r="V335">
        <f>IF(A335="",0,IF(COUNTIF($A$3:A335,A335)=1,1,0))</f>
        <v>0</v>
      </c>
      <c r="W335">
        <f t="shared" si="36"/>
        <v>0</v>
      </c>
      <c r="X335" t="str">
        <f t="shared" si="37"/>
        <v/>
      </c>
      <c r="Y335">
        <f>IF(X335="",0,IF(COUNTIF($X$3:X335,X335)=1,1,0))</f>
        <v>0</v>
      </c>
      <c r="Z335">
        <f>IF(V335&lt;&gt;1,0,IF(X335="",0,IF(COUNTIF($X$3:X334,X335)&gt;0,1,0)))</f>
        <v>0</v>
      </c>
      <c r="AA335">
        <f t="shared" si="34"/>
        <v>0</v>
      </c>
      <c r="AB335">
        <f t="shared" si="35"/>
        <v>0</v>
      </c>
      <c r="AC335">
        <f>IF(I335="",0,L335*IFERROR(INDEX(کاتالوگ_محصولات!$G$4:$G$303,MATCH(I335,کاتالوگ_محصولات!$A$4:$A$303,0)),0))</f>
        <v>0</v>
      </c>
      <c r="AD335">
        <f t="shared" si="38"/>
        <v>0</v>
      </c>
      <c r="AE335" t="str">
        <f t="shared" si="39"/>
        <v/>
      </c>
    </row>
    <row r="336" spans="22:31" ht="18" customHeight="1">
      <c r="V336">
        <f>IF(A336="",0,IF(COUNTIF($A$3:A336,A336)=1,1,0))</f>
        <v>0</v>
      </c>
      <c r="W336">
        <f t="shared" si="36"/>
        <v>0</v>
      </c>
      <c r="X336" t="str">
        <f t="shared" si="37"/>
        <v/>
      </c>
      <c r="Y336">
        <f>IF(X336="",0,IF(COUNTIF($X$3:X336,X336)=1,1,0))</f>
        <v>0</v>
      </c>
      <c r="Z336">
        <f>IF(V336&lt;&gt;1,0,IF(X336="",0,IF(COUNTIF($X$3:X335,X336)&gt;0,1,0)))</f>
        <v>0</v>
      </c>
      <c r="AA336">
        <f t="shared" si="34"/>
        <v>0</v>
      </c>
      <c r="AB336">
        <f t="shared" si="35"/>
        <v>0</v>
      </c>
      <c r="AC336">
        <f>IF(I336="",0,L336*IFERROR(INDEX(کاتالوگ_محصولات!$G$4:$G$303,MATCH(I336,کاتالوگ_محصولات!$A$4:$A$303,0)),0))</f>
        <v>0</v>
      </c>
      <c r="AD336">
        <f t="shared" si="38"/>
        <v>0</v>
      </c>
      <c r="AE336" t="str">
        <f t="shared" si="39"/>
        <v/>
      </c>
    </row>
    <row r="337" spans="22:31" ht="18" customHeight="1">
      <c r="V337">
        <f>IF(A337="",0,IF(COUNTIF($A$3:A337,A337)=1,1,0))</f>
        <v>0</v>
      </c>
      <c r="W337">
        <f t="shared" si="36"/>
        <v>0</v>
      </c>
      <c r="X337" t="str">
        <f t="shared" si="37"/>
        <v/>
      </c>
      <c r="Y337">
        <f>IF(X337="",0,IF(COUNTIF($X$3:X337,X337)=1,1,0))</f>
        <v>0</v>
      </c>
      <c r="Z337">
        <f>IF(V337&lt;&gt;1,0,IF(X337="",0,IF(COUNTIF($X$3:X336,X337)&gt;0,1,0)))</f>
        <v>0</v>
      </c>
      <c r="AA337">
        <f t="shared" si="34"/>
        <v>0</v>
      </c>
      <c r="AB337">
        <f t="shared" si="35"/>
        <v>0</v>
      </c>
      <c r="AC337">
        <f>IF(I337="",0,L337*IFERROR(INDEX(کاتالوگ_محصولات!$G$4:$G$303,MATCH(I337,کاتالوگ_محصولات!$A$4:$A$303,0)),0))</f>
        <v>0</v>
      </c>
      <c r="AD337">
        <f t="shared" si="38"/>
        <v>0</v>
      </c>
      <c r="AE337" t="str">
        <f t="shared" si="39"/>
        <v/>
      </c>
    </row>
    <row r="338" spans="22:31" ht="18" customHeight="1">
      <c r="V338">
        <f>IF(A338="",0,IF(COUNTIF($A$3:A338,A338)=1,1,0))</f>
        <v>0</v>
      </c>
      <c r="W338">
        <f t="shared" si="36"/>
        <v>0</v>
      </c>
      <c r="X338" t="str">
        <f t="shared" si="37"/>
        <v/>
      </c>
      <c r="Y338">
        <f>IF(X338="",0,IF(COUNTIF($X$3:X338,X338)=1,1,0))</f>
        <v>0</v>
      </c>
      <c r="Z338">
        <f>IF(V338&lt;&gt;1,0,IF(X338="",0,IF(COUNTIF($X$3:X337,X338)&gt;0,1,0)))</f>
        <v>0</v>
      </c>
      <c r="AA338">
        <f t="shared" si="34"/>
        <v>0</v>
      </c>
      <c r="AB338">
        <f t="shared" si="35"/>
        <v>0</v>
      </c>
      <c r="AC338">
        <f>IF(I338="",0,L338*IFERROR(INDEX(کاتالوگ_محصولات!$G$4:$G$303,MATCH(I338,کاتالوگ_محصولات!$A$4:$A$303,0)),0))</f>
        <v>0</v>
      </c>
      <c r="AD338">
        <f t="shared" si="38"/>
        <v>0</v>
      </c>
      <c r="AE338" t="str">
        <f t="shared" si="39"/>
        <v/>
      </c>
    </row>
    <row r="339" spans="22:31" ht="18" customHeight="1">
      <c r="V339">
        <f>IF(A339="",0,IF(COUNTIF($A$3:A339,A339)=1,1,0))</f>
        <v>0</v>
      </c>
      <c r="W339">
        <f t="shared" si="36"/>
        <v>0</v>
      </c>
      <c r="X339" t="str">
        <f t="shared" si="37"/>
        <v/>
      </c>
      <c r="Y339">
        <f>IF(X339="",0,IF(COUNTIF($X$3:X339,X339)=1,1,0))</f>
        <v>0</v>
      </c>
      <c r="Z339">
        <f>IF(V339&lt;&gt;1,0,IF(X339="",0,IF(COUNTIF($X$3:X338,X339)&gt;0,1,0)))</f>
        <v>0</v>
      </c>
      <c r="AA339">
        <f t="shared" si="34"/>
        <v>0</v>
      </c>
      <c r="AB339">
        <f t="shared" si="35"/>
        <v>0</v>
      </c>
      <c r="AC339">
        <f>IF(I339="",0,L339*IFERROR(INDEX(کاتالوگ_محصولات!$G$4:$G$303,MATCH(I339,کاتالوگ_محصولات!$A$4:$A$303,0)),0))</f>
        <v>0</v>
      </c>
      <c r="AD339">
        <f t="shared" si="38"/>
        <v>0</v>
      </c>
      <c r="AE339" t="str">
        <f t="shared" si="39"/>
        <v/>
      </c>
    </row>
    <row r="340" spans="22:31" ht="18" customHeight="1">
      <c r="V340">
        <f>IF(A340="",0,IF(COUNTIF($A$3:A340,A340)=1,1,0))</f>
        <v>0</v>
      </c>
      <c r="W340">
        <f t="shared" si="36"/>
        <v>0</v>
      </c>
      <c r="X340" t="str">
        <f t="shared" si="37"/>
        <v/>
      </c>
      <c r="Y340">
        <f>IF(X340="",0,IF(COUNTIF($X$3:X340,X340)=1,1,0))</f>
        <v>0</v>
      </c>
      <c r="Z340">
        <f>IF(V340&lt;&gt;1,0,IF(X340="",0,IF(COUNTIF($X$3:X339,X340)&gt;0,1,0)))</f>
        <v>0</v>
      </c>
      <c r="AA340">
        <f t="shared" si="34"/>
        <v>0</v>
      </c>
      <c r="AB340">
        <f t="shared" si="35"/>
        <v>0</v>
      </c>
      <c r="AC340">
        <f>IF(I340="",0,L340*IFERROR(INDEX(کاتالوگ_محصولات!$G$4:$G$303,MATCH(I340,کاتالوگ_محصولات!$A$4:$A$303,0)),0))</f>
        <v>0</v>
      </c>
      <c r="AD340">
        <f t="shared" si="38"/>
        <v>0</v>
      </c>
      <c r="AE340" t="str">
        <f t="shared" si="39"/>
        <v/>
      </c>
    </row>
    <row r="341" spans="22:31" ht="18" customHeight="1">
      <c r="V341">
        <f>IF(A341="",0,IF(COUNTIF($A$3:A341,A341)=1,1,0))</f>
        <v>0</v>
      </c>
      <c r="W341">
        <f t="shared" si="36"/>
        <v>0</v>
      </c>
      <c r="X341" t="str">
        <f t="shared" si="37"/>
        <v/>
      </c>
      <c r="Y341">
        <f>IF(X341="",0,IF(COUNTIF($X$3:X341,X341)=1,1,0))</f>
        <v>0</v>
      </c>
      <c r="Z341">
        <f>IF(V341&lt;&gt;1,0,IF(X341="",0,IF(COUNTIF($X$3:X340,X341)&gt;0,1,0)))</f>
        <v>0</v>
      </c>
      <c r="AA341">
        <f t="shared" si="34"/>
        <v>0</v>
      </c>
      <c r="AB341">
        <f t="shared" si="35"/>
        <v>0</v>
      </c>
      <c r="AC341">
        <f>IF(I341="",0,L341*IFERROR(INDEX(کاتالوگ_محصولات!$G$4:$G$303,MATCH(I341,کاتالوگ_محصولات!$A$4:$A$303,0)),0))</f>
        <v>0</v>
      </c>
      <c r="AD341">
        <f t="shared" si="38"/>
        <v>0</v>
      </c>
      <c r="AE341" t="str">
        <f t="shared" si="39"/>
        <v/>
      </c>
    </row>
    <row r="342" spans="22:31" ht="18" customHeight="1">
      <c r="V342">
        <f>IF(A342="",0,IF(COUNTIF($A$3:A342,A342)=1,1,0))</f>
        <v>0</v>
      </c>
      <c r="W342">
        <f t="shared" si="36"/>
        <v>0</v>
      </c>
      <c r="X342" t="str">
        <f t="shared" si="37"/>
        <v/>
      </c>
      <c r="Y342">
        <f>IF(X342="",0,IF(COUNTIF($X$3:X342,X342)=1,1,0))</f>
        <v>0</v>
      </c>
      <c r="Z342">
        <f>IF(V342&lt;&gt;1,0,IF(X342="",0,IF(COUNTIF($X$3:X341,X342)&gt;0,1,0)))</f>
        <v>0</v>
      </c>
      <c r="AA342">
        <f t="shared" si="34"/>
        <v>0</v>
      </c>
      <c r="AB342">
        <f t="shared" si="35"/>
        <v>0</v>
      </c>
      <c r="AC342">
        <f>IF(I342="",0,L342*IFERROR(INDEX(کاتالوگ_محصولات!$G$4:$G$303,MATCH(I342,کاتالوگ_محصولات!$A$4:$A$303,0)),0))</f>
        <v>0</v>
      </c>
      <c r="AD342">
        <f t="shared" si="38"/>
        <v>0</v>
      </c>
      <c r="AE342" t="str">
        <f t="shared" si="39"/>
        <v/>
      </c>
    </row>
    <row r="343" spans="22:31" ht="18" customHeight="1">
      <c r="V343">
        <f>IF(A343="",0,IF(COUNTIF($A$3:A343,A343)=1,1,0))</f>
        <v>0</v>
      </c>
      <c r="W343">
        <f t="shared" si="36"/>
        <v>0</v>
      </c>
      <c r="X343" t="str">
        <f t="shared" si="37"/>
        <v/>
      </c>
      <c r="Y343">
        <f>IF(X343="",0,IF(COUNTIF($X$3:X343,X343)=1,1,0))</f>
        <v>0</v>
      </c>
      <c r="Z343">
        <f>IF(V343&lt;&gt;1,0,IF(X343="",0,IF(COUNTIF($X$3:X342,X343)&gt;0,1,0)))</f>
        <v>0</v>
      </c>
      <c r="AA343">
        <f t="shared" si="34"/>
        <v>0</v>
      </c>
      <c r="AB343">
        <f t="shared" si="35"/>
        <v>0</v>
      </c>
      <c r="AC343">
        <f>IF(I343="",0,L343*IFERROR(INDEX(کاتالوگ_محصولات!$G$4:$G$303,MATCH(I343,کاتالوگ_محصولات!$A$4:$A$303,0)),0))</f>
        <v>0</v>
      </c>
      <c r="AD343">
        <f t="shared" si="38"/>
        <v>0</v>
      </c>
      <c r="AE343" t="str">
        <f t="shared" si="39"/>
        <v/>
      </c>
    </row>
    <row r="344" spans="22:31" ht="18" customHeight="1">
      <c r="V344">
        <f>IF(A344="",0,IF(COUNTIF($A$3:A344,A344)=1,1,0))</f>
        <v>0</v>
      </c>
      <c r="W344">
        <f t="shared" si="36"/>
        <v>0</v>
      </c>
      <c r="X344" t="str">
        <f t="shared" si="37"/>
        <v/>
      </c>
      <c r="Y344">
        <f>IF(X344="",0,IF(COUNTIF($X$3:X344,X344)=1,1,0))</f>
        <v>0</v>
      </c>
      <c r="Z344">
        <f>IF(V344&lt;&gt;1,0,IF(X344="",0,IF(COUNTIF($X$3:X343,X344)&gt;0,1,0)))</f>
        <v>0</v>
      </c>
      <c r="AA344">
        <f t="shared" si="34"/>
        <v>0</v>
      </c>
      <c r="AB344">
        <f t="shared" si="35"/>
        <v>0</v>
      </c>
      <c r="AC344">
        <f>IF(I344="",0,L344*IFERROR(INDEX(کاتالوگ_محصولات!$G$4:$G$303,MATCH(I344,کاتالوگ_محصولات!$A$4:$A$303,0)),0))</f>
        <v>0</v>
      </c>
      <c r="AD344">
        <f t="shared" si="38"/>
        <v>0</v>
      </c>
      <c r="AE344" t="str">
        <f t="shared" si="39"/>
        <v/>
      </c>
    </row>
    <row r="345" spans="22:31" ht="18" customHeight="1">
      <c r="V345">
        <f>IF(A345="",0,IF(COUNTIF($A$3:A345,A345)=1,1,0))</f>
        <v>0</v>
      </c>
      <c r="W345">
        <f t="shared" si="36"/>
        <v>0</v>
      </c>
      <c r="X345" t="str">
        <f t="shared" si="37"/>
        <v/>
      </c>
      <c r="Y345">
        <f>IF(X345="",0,IF(COUNTIF($X$3:X345,X345)=1,1,0))</f>
        <v>0</v>
      </c>
      <c r="Z345">
        <f>IF(V345&lt;&gt;1,0,IF(X345="",0,IF(COUNTIF($X$3:X344,X345)&gt;0,1,0)))</f>
        <v>0</v>
      </c>
      <c r="AA345">
        <f t="shared" si="34"/>
        <v>0</v>
      </c>
      <c r="AB345">
        <f t="shared" si="35"/>
        <v>0</v>
      </c>
      <c r="AC345">
        <f>IF(I345="",0,L345*IFERROR(INDEX(کاتالوگ_محصولات!$G$4:$G$303,MATCH(I345,کاتالوگ_محصولات!$A$4:$A$303,0)),0))</f>
        <v>0</v>
      </c>
      <c r="AD345">
        <f t="shared" si="38"/>
        <v>0</v>
      </c>
      <c r="AE345" t="str">
        <f t="shared" si="39"/>
        <v/>
      </c>
    </row>
    <row r="346" spans="22:31" ht="18" customHeight="1">
      <c r="V346">
        <f>IF(A346="",0,IF(COUNTIF($A$3:A346,A346)=1,1,0))</f>
        <v>0</v>
      </c>
      <c r="W346">
        <f t="shared" si="36"/>
        <v>0</v>
      </c>
      <c r="X346" t="str">
        <f t="shared" si="37"/>
        <v/>
      </c>
      <c r="Y346">
        <f>IF(X346="",0,IF(COUNTIF($X$3:X346,X346)=1,1,0))</f>
        <v>0</v>
      </c>
      <c r="Z346">
        <f>IF(V346&lt;&gt;1,0,IF(X346="",0,IF(COUNTIF($X$3:X345,X346)&gt;0,1,0)))</f>
        <v>0</v>
      </c>
      <c r="AA346">
        <f t="shared" si="34"/>
        <v>0</v>
      </c>
      <c r="AB346">
        <f t="shared" si="35"/>
        <v>0</v>
      </c>
      <c r="AC346">
        <f>IF(I346="",0,L346*IFERROR(INDEX(کاتالوگ_محصولات!$G$4:$G$303,MATCH(I346,کاتالوگ_محصولات!$A$4:$A$303,0)),0))</f>
        <v>0</v>
      </c>
      <c r="AD346">
        <f t="shared" si="38"/>
        <v>0</v>
      </c>
      <c r="AE346" t="str">
        <f t="shared" si="39"/>
        <v/>
      </c>
    </row>
    <row r="347" spans="22:31" ht="18" customHeight="1">
      <c r="V347">
        <f>IF(A347="",0,IF(COUNTIF($A$3:A347,A347)=1,1,0))</f>
        <v>0</v>
      </c>
      <c r="W347">
        <f t="shared" si="36"/>
        <v>0</v>
      </c>
      <c r="X347" t="str">
        <f t="shared" si="37"/>
        <v/>
      </c>
      <c r="Y347">
        <f>IF(X347="",0,IF(COUNTIF($X$3:X347,X347)=1,1,0))</f>
        <v>0</v>
      </c>
      <c r="Z347">
        <f>IF(V347&lt;&gt;1,0,IF(X347="",0,IF(COUNTIF($X$3:X346,X347)&gt;0,1,0)))</f>
        <v>0</v>
      </c>
      <c r="AA347">
        <f t="shared" si="34"/>
        <v>0</v>
      </c>
      <c r="AB347">
        <f t="shared" si="35"/>
        <v>0</v>
      </c>
      <c r="AC347">
        <f>IF(I347="",0,L347*IFERROR(INDEX(کاتالوگ_محصولات!$G$4:$G$303,MATCH(I347,کاتالوگ_محصولات!$A$4:$A$303,0)),0))</f>
        <v>0</v>
      </c>
      <c r="AD347">
        <f t="shared" si="38"/>
        <v>0</v>
      </c>
      <c r="AE347" t="str">
        <f t="shared" si="39"/>
        <v/>
      </c>
    </row>
    <row r="348" spans="22:31" ht="18" customHeight="1">
      <c r="V348">
        <f>IF(A348="",0,IF(COUNTIF($A$3:A348,A348)=1,1,0))</f>
        <v>0</v>
      </c>
      <c r="W348">
        <f t="shared" si="36"/>
        <v>0</v>
      </c>
      <c r="X348" t="str">
        <f t="shared" si="37"/>
        <v/>
      </c>
      <c r="Y348">
        <f>IF(X348="",0,IF(COUNTIF($X$3:X348,X348)=1,1,0))</f>
        <v>0</v>
      </c>
      <c r="Z348">
        <f>IF(V348&lt;&gt;1,0,IF(X348="",0,IF(COUNTIF($X$3:X347,X348)&gt;0,1,0)))</f>
        <v>0</v>
      </c>
      <c r="AA348">
        <f t="shared" si="34"/>
        <v>0</v>
      </c>
      <c r="AB348">
        <f t="shared" si="35"/>
        <v>0</v>
      </c>
      <c r="AC348">
        <f>IF(I348="",0,L348*IFERROR(INDEX(کاتالوگ_محصولات!$G$4:$G$303,MATCH(I348,کاتالوگ_محصولات!$A$4:$A$303,0)),0))</f>
        <v>0</v>
      </c>
      <c r="AD348">
        <f t="shared" si="38"/>
        <v>0</v>
      </c>
      <c r="AE348" t="str">
        <f t="shared" si="39"/>
        <v/>
      </c>
    </row>
    <row r="349" spans="22:31" ht="18" customHeight="1">
      <c r="V349">
        <f>IF(A349="",0,IF(COUNTIF($A$3:A349,A349)=1,1,0))</f>
        <v>0</v>
      </c>
      <c r="W349">
        <f t="shared" si="36"/>
        <v>0</v>
      </c>
      <c r="X349" t="str">
        <f t="shared" si="37"/>
        <v/>
      </c>
      <c r="Y349">
        <f>IF(X349="",0,IF(COUNTIF($X$3:X349,X349)=1,1,0))</f>
        <v>0</v>
      </c>
      <c r="Z349">
        <f>IF(V349&lt;&gt;1,0,IF(X349="",0,IF(COUNTIF($X$3:X348,X349)&gt;0,1,0)))</f>
        <v>0</v>
      </c>
      <c r="AA349">
        <f t="shared" si="34"/>
        <v>0</v>
      </c>
      <c r="AB349">
        <f t="shared" si="35"/>
        <v>0</v>
      </c>
      <c r="AC349">
        <f>IF(I349="",0,L349*IFERROR(INDEX(کاتالوگ_محصولات!$G$4:$G$303,MATCH(I349,کاتالوگ_محصولات!$A$4:$A$303,0)),0))</f>
        <v>0</v>
      </c>
      <c r="AD349">
        <f t="shared" si="38"/>
        <v>0</v>
      </c>
      <c r="AE349" t="str">
        <f t="shared" si="39"/>
        <v/>
      </c>
    </row>
    <row r="350" spans="22:31" ht="18" customHeight="1">
      <c r="V350">
        <f>IF(A350="",0,IF(COUNTIF($A$3:A350,A350)=1,1,0))</f>
        <v>0</v>
      </c>
      <c r="W350">
        <f t="shared" si="36"/>
        <v>0</v>
      </c>
      <c r="X350" t="str">
        <f t="shared" si="37"/>
        <v/>
      </c>
      <c r="Y350">
        <f>IF(X350="",0,IF(COUNTIF($X$3:X350,X350)=1,1,0))</f>
        <v>0</v>
      </c>
      <c r="Z350">
        <f>IF(V350&lt;&gt;1,0,IF(X350="",0,IF(COUNTIF($X$3:X349,X350)&gt;0,1,0)))</f>
        <v>0</v>
      </c>
      <c r="AA350">
        <f t="shared" si="34"/>
        <v>0</v>
      </c>
      <c r="AB350">
        <f t="shared" si="35"/>
        <v>0</v>
      </c>
      <c r="AC350">
        <f>IF(I350="",0,L350*IFERROR(INDEX(کاتالوگ_محصولات!$G$4:$G$303,MATCH(I350,کاتالوگ_محصولات!$A$4:$A$303,0)),0))</f>
        <v>0</v>
      </c>
      <c r="AD350">
        <f t="shared" si="38"/>
        <v>0</v>
      </c>
      <c r="AE350" t="str">
        <f t="shared" si="39"/>
        <v/>
      </c>
    </row>
    <row r="351" spans="22:31" ht="18" customHeight="1">
      <c r="V351">
        <f>IF(A351="",0,IF(COUNTIF($A$3:A351,A351)=1,1,0))</f>
        <v>0</v>
      </c>
      <c r="W351">
        <f t="shared" si="36"/>
        <v>0</v>
      </c>
      <c r="X351" t="str">
        <f t="shared" si="37"/>
        <v/>
      </c>
      <c r="Y351">
        <f>IF(X351="",0,IF(COUNTIF($X$3:X351,X351)=1,1,0))</f>
        <v>0</v>
      </c>
      <c r="Z351">
        <f>IF(V351&lt;&gt;1,0,IF(X351="",0,IF(COUNTIF($X$3:X350,X351)&gt;0,1,0)))</f>
        <v>0</v>
      </c>
      <c r="AA351">
        <f t="shared" si="34"/>
        <v>0</v>
      </c>
      <c r="AB351">
        <f t="shared" si="35"/>
        <v>0</v>
      </c>
      <c r="AC351">
        <f>IF(I351="",0,L351*IFERROR(INDEX(کاتالوگ_محصولات!$G$4:$G$303,MATCH(I351,کاتالوگ_محصولات!$A$4:$A$303,0)),0))</f>
        <v>0</v>
      </c>
      <c r="AD351">
        <f t="shared" si="38"/>
        <v>0</v>
      </c>
      <c r="AE351" t="str">
        <f t="shared" si="39"/>
        <v/>
      </c>
    </row>
    <row r="352" spans="22:31" ht="18" customHeight="1">
      <c r="V352">
        <f>IF(A352="",0,IF(COUNTIF($A$3:A352,A352)=1,1,0))</f>
        <v>0</v>
      </c>
      <c r="W352">
        <f t="shared" si="36"/>
        <v>0</v>
      </c>
      <c r="X352" t="str">
        <f t="shared" si="37"/>
        <v/>
      </c>
      <c r="Y352">
        <f>IF(X352="",0,IF(COUNTIF($X$3:X352,X352)=1,1,0))</f>
        <v>0</v>
      </c>
      <c r="Z352">
        <f>IF(V352&lt;&gt;1,0,IF(X352="",0,IF(COUNTIF($X$3:X351,X352)&gt;0,1,0)))</f>
        <v>0</v>
      </c>
      <c r="AA352">
        <f t="shared" si="34"/>
        <v>0</v>
      </c>
      <c r="AB352">
        <f t="shared" si="35"/>
        <v>0</v>
      </c>
      <c r="AC352">
        <f>IF(I352="",0,L352*IFERROR(INDEX(کاتالوگ_محصولات!$G$4:$G$303,MATCH(I352,کاتالوگ_محصولات!$A$4:$A$303,0)),0))</f>
        <v>0</v>
      </c>
      <c r="AD352">
        <f t="shared" si="38"/>
        <v>0</v>
      </c>
      <c r="AE352" t="str">
        <f t="shared" si="39"/>
        <v/>
      </c>
    </row>
    <row r="353" spans="22:31" ht="18" customHeight="1">
      <c r="V353">
        <f>IF(A353="",0,IF(COUNTIF($A$3:A353,A353)=1,1,0))</f>
        <v>0</v>
      </c>
      <c r="W353">
        <f t="shared" si="36"/>
        <v>0</v>
      </c>
      <c r="X353" t="str">
        <f t="shared" si="37"/>
        <v/>
      </c>
      <c r="Y353">
        <f>IF(X353="",0,IF(COUNTIF($X$3:X353,X353)=1,1,0))</f>
        <v>0</v>
      </c>
      <c r="Z353">
        <f>IF(V353&lt;&gt;1,0,IF(X353="",0,IF(COUNTIF($X$3:X352,X353)&gt;0,1,0)))</f>
        <v>0</v>
      </c>
      <c r="AA353">
        <f t="shared" si="34"/>
        <v>0</v>
      </c>
      <c r="AB353">
        <f t="shared" si="35"/>
        <v>0</v>
      </c>
      <c r="AC353">
        <f>IF(I353="",0,L353*IFERROR(INDEX(کاتالوگ_محصولات!$G$4:$G$303,MATCH(I353,کاتالوگ_محصولات!$A$4:$A$303,0)),0))</f>
        <v>0</v>
      </c>
      <c r="AD353">
        <f t="shared" si="38"/>
        <v>0</v>
      </c>
      <c r="AE353" t="str">
        <f t="shared" si="39"/>
        <v/>
      </c>
    </row>
    <row r="354" spans="22:31" ht="18" customHeight="1">
      <c r="V354">
        <f>IF(A354="",0,IF(COUNTIF($A$3:A354,A354)=1,1,0))</f>
        <v>0</v>
      </c>
      <c r="W354">
        <f t="shared" si="36"/>
        <v>0</v>
      </c>
      <c r="X354" t="str">
        <f t="shared" si="37"/>
        <v/>
      </c>
      <c r="Y354">
        <f>IF(X354="",0,IF(COUNTIF($X$3:X354,X354)=1,1,0))</f>
        <v>0</v>
      </c>
      <c r="Z354">
        <f>IF(V354&lt;&gt;1,0,IF(X354="",0,IF(COUNTIF($X$3:X353,X354)&gt;0,1,0)))</f>
        <v>0</v>
      </c>
      <c r="AA354">
        <f t="shared" si="34"/>
        <v>0</v>
      </c>
      <c r="AB354">
        <f t="shared" si="35"/>
        <v>0</v>
      </c>
      <c r="AC354">
        <f>IF(I354="",0,L354*IFERROR(INDEX(کاتالوگ_محصولات!$G$4:$G$303,MATCH(I354,کاتالوگ_محصولات!$A$4:$A$303,0)),0))</f>
        <v>0</v>
      </c>
      <c r="AD354">
        <f t="shared" si="38"/>
        <v>0</v>
      </c>
      <c r="AE354" t="str">
        <f t="shared" si="39"/>
        <v/>
      </c>
    </row>
    <row r="355" spans="22:31" ht="18" customHeight="1">
      <c r="V355">
        <f>IF(A355="",0,IF(COUNTIF($A$3:A355,A355)=1,1,0))</f>
        <v>0</v>
      </c>
      <c r="W355">
        <f t="shared" si="36"/>
        <v>0</v>
      </c>
      <c r="X355" t="str">
        <f t="shared" si="37"/>
        <v/>
      </c>
      <c r="Y355">
        <f>IF(X355="",0,IF(COUNTIF($X$3:X355,X355)=1,1,0))</f>
        <v>0</v>
      </c>
      <c r="Z355">
        <f>IF(V355&lt;&gt;1,0,IF(X355="",0,IF(COUNTIF($X$3:X354,X355)&gt;0,1,0)))</f>
        <v>0</v>
      </c>
      <c r="AA355">
        <f t="shared" si="34"/>
        <v>0</v>
      </c>
      <c r="AB355">
        <f t="shared" si="35"/>
        <v>0</v>
      </c>
      <c r="AC355">
        <f>IF(I355="",0,L355*IFERROR(INDEX(کاتالوگ_محصولات!$G$4:$G$303,MATCH(I355,کاتالوگ_محصولات!$A$4:$A$303,0)),0))</f>
        <v>0</v>
      </c>
      <c r="AD355">
        <f t="shared" si="38"/>
        <v>0</v>
      </c>
      <c r="AE355" t="str">
        <f t="shared" si="39"/>
        <v/>
      </c>
    </row>
    <row r="356" spans="22:31" ht="18" customHeight="1">
      <c r="V356">
        <f>IF(A356="",0,IF(COUNTIF($A$3:A356,A356)=1,1,0))</f>
        <v>0</v>
      </c>
      <c r="W356">
        <f t="shared" si="36"/>
        <v>0</v>
      </c>
      <c r="X356" t="str">
        <f t="shared" si="37"/>
        <v/>
      </c>
      <c r="Y356">
        <f>IF(X356="",0,IF(COUNTIF($X$3:X356,X356)=1,1,0))</f>
        <v>0</v>
      </c>
      <c r="Z356">
        <f>IF(V356&lt;&gt;1,0,IF(X356="",0,IF(COUNTIF($X$3:X355,X356)&gt;0,1,0)))</f>
        <v>0</v>
      </c>
      <c r="AA356">
        <f t="shared" si="34"/>
        <v>0</v>
      </c>
      <c r="AB356">
        <f t="shared" si="35"/>
        <v>0</v>
      </c>
      <c r="AC356">
        <f>IF(I356="",0,L356*IFERROR(INDEX(کاتالوگ_محصولات!$G$4:$G$303,MATCH(I356,کاتالوگ_محصولات!$A$4:$A$303,0)),0))</f>
        <v>0</v>
      </c>
      <c r="AD356">
        <f t="shared" si="38"/>
        <v>0</v>
      </c>
      <c r="AE356" t="str">
        <f t="shared" si="39"/>
        <v/>
      </c>
    </row>
    <row r="357" spans="22:31" ht="18" customHeight="1">
      <c r="V357">
        <f>IF(A357="",0,IF(COUNTIF($A$3:A357,A357)=1,1,0))</f>
        <v>0</v>
      </c>
      <c r="W357">
        <f t="shared" si="36"/>
        <v>0</v>
      </c>
      <c r="X357" t="str">
        <f t="shared" si="37"/>
        <v/>
      </c>
      <c r="Y357">
        <f>IF(X357="",0,IF(COUNTIF($X$3:X357,X357)=1,1,0))</f>
        <v>0</v>
      </c>
      <c r="Z357">
        <f>IF(V357&lt;&gt;1,0,IF(X357="",0,IF(COUNTIF($X$3:X356,X357)&gt;0,1,0)))</f>
        <v>0</v>
      </c>
      <c r="AA357">
        <f t="shared" si="34"/>
        <v>0</v>
      </c>
      <c r="AB357">
        <f t="shared" si="35"/>
        <v>0</v>
      </c>
      <c r="AC357">
        <f>IF(I357="",0,L357*IFERROR(INDEX(کاتالوگ_محصولات!$G$4:$G$303,MATCH(I357,کاتالوگ_محصولات!$A$4:$A$303,0)),0))</f>
        <v>0</v>
      </c>
      <c r="AD357">
        <f t="shared" si="38"/>
        <v>0</v>
      </c>
      <c r="AE357" t="str">
        <f t="shared" si="39"/>
        <v/>
      </c>
    </row>
    <row r="358" spans="22:31" ht="18" customHeight="1">
      <c r="V358">
        <f>IF(A358="",0,IF(COUNTIF($A$3:A358,A358)=1,1,0))</f>
        <v>0</v>
      </c>
      <c r="W358">
        <f t="shared" si="36"/>
        <v>0</v>
      </c>
      <c r="X358" t="str">
        <f t="shared" si="37"/>
        <v/>
      </c>
      <c r="Y358">
        <f>IF(X358="",0,IF(COUNTIF($X$3:X358,X358)=1,1,0))</f>
        <v>0</v>
      </c>
      <c r="Z358">
        <f>IF(V358&lt;&gt;1,0,IF(X358="",0,IF(COUNTIF($X$3:X357,X358)&gt;0,1,0)))</f>
        <v>0</v>
      </c>
      <c r="AA358">
        <f t="shared" si="34"/>
        <v>0</v>
      </c>
      <c r="AB358">
        <f t="shared" si="35"/>
        <v>0</v>
      </c>
      <c r="AC358">
        <f>IF(I358="",0,L358*IFERROR(INDEX(کاتالوگ_محصولات!$G$4:$G$303,MATCH(I358,کاتالوگ_محصولات!$A$4:$A$303,0)),0))</f>
        <v>0</v>
      </c>
      <c r="AD358">
        <f t="shared" si="38"/>
        <v>0</v>
      </c>
      <c r="AE358" t="str">
        <f t="shared" si="39"/>
        <v/>
      </c>
    </row>
    <row r="359" spans="22:31" ht="18" customHeight="1">
      <c r="V359">
        <f>IF(A359="",0,IF(COUNTIF($A$3:A359,A359)=1,1,0))</f>
        <v>0</v>
      </c>
      <c r="W359">
        <f t="shared" si="36"/>
        <v>0</v>
      </c>
      <c r="X359" t="str">
        <f t="shared" si="37"/>
        <v/>
      </c>
      <c r="Y359">
        <f>IF(X359="",0,IF(COUNTIF($X$3:X359,X359)=1,1,0))</f>
        <v>0</v>
      </c>
      <c r="Z359">
        <f>IF(V359&lt;&gt;1,0,IF(X359="",0,IF(COUNTIF($X$3:X358,X359)&gt;0,1,0)))</f>
        <v>0</v>
      </c>
      <c r="AA359">
        <f t="shared" si="34"/>
        <v>0</v>
      </c>
      <c r="AB359">
        <f t="shared" si="35"/>
        <v>0</v>
      </c>
      <c r="AC359">
        <f>IF(I359="",0,L359*IFERROR(INDEX(کاتالوگ_محصولات!$G$4:$G$303,MATCH(I359,کاتالوگ_محصولات!$A$4:$A$303,0)),0))</f>
        <v>0</v>
      </c>
      <c r="AD359">
        <f t="shared" si="38"/>
        <v>0</v>
      </c>
      <c r="AE359" t="str">
        <f t="shared" si="39"/>
        <v/>
      </c>
    </row>
    <row r="360" spans="22:31" ht="18" customHeight="1">
      <c r="V360">
        <f>IF(A360="",0,IF(COUNTIF($A$3:A360,A360)=1,1,0))</f>
        <v>0</v>
      </c>
      <c r="W360">
        <f t="shared" si="36"/>
        <v>0</v>
      </c>
      <c r="X360" t="str">
        <f t="shared" si="37"/>
        <v/>
      </c>
      <c r="Y360">
        <f>IF(X360="",0,IF(COUNTIF($X$3:X360,X360)=1,1,0))</f>
        <v>0</v>
      </c>
      <c r="Z360">
        <f>IF(V360&lt;&gt;1,0,IF(X360="",0,IF(COUNTIF($X$3:X359,X360)&gt;0,1,0)))</f>
        <v>0</v>
      </c>
      <c r="AA360">
        <f t="shared" si="34"/>
        <v>0</v>
      </c>
      <c r="AB360">
        <f t="shared" si="35"/>
        <v>0</v>
      </c>
      <c r="AC360">
        <f>IF(I360="",0,L360*IFERROR(INDEX(کاتالوگ_محصولات!$G$4:$G$303,MATCH(I360,کاتالوگ_محصولات!$A$4:$A$303,0)),0))</f>
        <v>0</v>
      </c>
      <c r="AD360">
        <f t="shared" si="38"/>
        <v>0</v>
      </c>
      <c r="AE360" t="str">
        <f t="shared" si="39"/>
        <v/>
      </c>
    </row>
    <row r="361" spans="22:31" ht="18" customHeight="1">
      <c r="V361">
        <f>IF(A361="",0,IF(COUNTIF($A$3:A361,A361)=1,1,0))</f>
        <v>0</v>
      </c>
      <c r="W361">
        <f t="shared" si="36"/>
        <v>0</v>
      </c>
      <c r="X361" t="str">
        <f t="shared" si="37"/>
        <v/>
      </c>
      <c r="Y361">
        <f>IF(X361="",0,IF(COUNTIF($X$3:X361,X361)=1,1,0))</f>
        <v>0</v>
      </c>
      <c r="Z361">
        <f>IF(V361&lt;&gt;1,0,IF(X361="",0,IF(COUNTIF($X$3:X360,X361)&gt;0,1,0)))</f>
        <v>0</v>
      </c>
      <c r="AA361">
        <f t="shared" si="34"/>
        <v>0</v>
      </c>
      <c r="AB361">
        <f t="shared" si="35"/>
        <v>0</v>
      </c>
      <c r="AC361">
        <f>IF(I361="",0,L361*IFERROR(INDEX(کاتالوگ_محصولات!$G$4:$G$303,MATCH(I361,کاتالوگ_محصولات!$A$4:$A$303,0)),0))</f>
        <v>0</v>
      </c>
      <c r="AD361">
        <f t="shared" si="38"/>
        <v>0</v>
      </c>
      <c r="AE361" t="str">
        <f t="shared" si="39"/>
        <v/>
      </c>
    </row>
    <row r="362" spans="22:31" ht="18" customHeight="1">
      <c r="V362">
        <f>IF(A362="",0,IF(COUNTIF($A$3:A362,A362)=1,1,0))</f>
        <v>0</v>
      </c>
      <c r="W362">
        <f t="shared" si="36"/>
        <v>0</v>
      </c>
      <c r="X362" t="str">
        <f t="shared" si="37"/>
        <v/>
      </c>
      <c r="Y362">
        <f>IF(X362="",0,IF(COUNTIF($X$3:X362,X362)=1,1,0))</f>
        <v>0</v>
      </c>
      <c r="Z362">
        <f>IF(V362&lt;&gt;1,0,IF(X362="",0,IF(COUNTIF($X$3:X361,X362)&gt;0,1,0)))</f>
        <v>0</v>
      </c>
      <c r="AA362">
        <f t="shared" si="34"/>
        <v>0</v>
      </c>
      <c r="AB362">
        <f t="shared" si="35"/>
        <v>0</v>
      </c>
      <c r="AC362">
        <f>IF(I362="",0,L362*IFERROR(INDEX(کاتالوگ_محصولات!$G$4:$G$303,MATCH(I362,کاتالوگ_محصولات!$A$4:$A$303,0)),0))</f>
        <v>0</v>
      </c>
      <c r="AD362">
        <f t="shared" si="38"/>
        <v>0</v>
      </c>
      <c r="AE362" t="str">
        <f t="shared" si="39"/>
        <v/>
      </c>
    </row>
    <row r="363" spans="22:31" ht="18" customHeight="1">
      <c r="V363">
        <f>IF(A363="",0,IF(COUNTIF($A$3:A363,A363)=1,1,0))</f>
        <v>0</v>
      </c>
      <c r="W363">
        <f t="shared" si="36"/>
        <v>0</v>
      </c>
      <c r="X363" t="str">
        <f t="shared" si="37"/>
        <v/>
      </c>
      <c r="Y363">
        <f>IF(X363="",0,IF(COUNTIF($X$3:X363,X363)=1,1,0))</f>
        <v>0</v>
      </c>
      <c r="Z363">
        <f>IF(V363&lt;&gt;1,0,IF(X363="",0,IF(COUNTIF($X$3:X362,X363)&gt;0,1,0)))</f>
        <v>0</v>
      </c>
      <c r="AA363">
        <f t="shared" si="34"/>
        <v>0</v>
      </c>
      <c r="AB363">
        <f t="shared" si="35"/>
        <v>0</v>
      </c>
      <c r="AC363">
        <f>IF(I363="",0,L363*IFERROR(INDEX(کاتالوگ_محصولات!$G$4:$G$303,MATCH(I363,کاتالوگ_محصولات!$A$4:$A$303,0)),0))</f>
        <v>0</v>
      </c>
      <c r="AD363">
        <f t="shared" si="38"/>
        <v>0</v>
      </c>
      <c r="AE363" t="str">
        <f t="shared" si="39"/>
        <v/>
      </c>
    </row>
    <row r="364" spans="22:31" ht="18" customHeight="1">
      <c r="V364">
        <f>IF(A364="",0,IF(COUNTIF($A$3:A364,A364)=1,1,0))</f>
        <v>0</v>
      </c>
      <c r="W364">
        <f t="shared" si="36"/>
        <v>0</v>
      </c>
      <c r="X364" t="str">
        <f t="shared" si="37"/>
        <v/>
      </c>
      <c r="Y364">
        <f>IF(X364="",0,IF(COUNTIF($X$3:X364,X364)=1,1,0))</f>
        <v>0</v>
      </c>
      <c r="Z364">
        <f>IF(V364&lt;&gt;1,0,IF(X364="",0,IF(COUNTIF($X$3:X363,X364)&gt;0,1,0)))</f>
        <v>0</v>
      </c>
      <c r="AA364">
        <f t="shared" si="34"/>
        <v>0</v>
      </c>
      <c r="AB364">
        <f t="shared" si="35"/>
        <v>0</v>
      </c>
      <c r="AC364">
        <f>IF(I364="",0,L364*IFERROR(INDEX(کاتالوگ_محصولات!$G$4:$G$303,MATCH(I364,کاتالوگ_محصولات!$A$4:$A$303,0)),0))</f>
        <v>0</v>
      </c>
      <c r="AD364">
        <f t="shared" si="38"/>
        <v>0</v>
      </c>
      <c r="AE364" t="str">
        <f t="shared" si="39"/>
        <v/>
      </c>
    </row>
    <row r="365" spans="22:31" ht="18" customHeight="1">
      <c r="V365">
        <f>IF(A365="",0,IF(COUNTIF($A$3:A365,A365)=1,1,0))</f>
        <v>0</v>
      </c>
      <c r="W365">
        <f t="shared" si="36"/>
        <v>0</v>
      </c>
      <c r="X365" t="str">
        <f t="shared" si="37"/>
        <v/>
      </c>
      <c r="Y365">
        <f>IF(X365="",0,IF(COUNTIF($X$3:X365,X365)=1,1,0))</f>
        <v>0</v>
      </c>
      <c r="Z365">
        <f>IF(V365&lt;&gt;1,0,IF(X365="",0,IF(COUNTIF($X$3:X364,X365)&gt;0,1,0)))</f>
        <v>0</v>
      </c>
      <c r="AA365">
        <f t="shared" si="34"/>
        <v>0</v>
      </c>
      <c r="AB365">
        <f t="shared" si="35"/>
        <v>0</v>
      </c>
      <c r="AC365">
        <f>IF(I365="",0,L365*IFERROR(INDEX(کاتالوگ_محصولات!$G$4:$G$303,MATCH(I365,کاتالوگ_محصولات!$A$4:$A$303,0)),0))</f>
        <v>0</v>
      </c>
      <c r="AD365">
        <f t="shared" si="38"/>
        <v>0</v>
      </c>
      <c r="AE365" t="str">
        <f t="shared" si="39"/>
        <v/>
      </c>
    </row>
    <row r="366" spans="22:31" ht="18" customHeight="1">
      <c r="V366">
        <f>IF(A366="",0,IF(COUNTIF($A$3:A366,A366)=1,1,0))</f>
        <v>0</v>
      </c>
      <c r="W366">
        <f t="shared" si="36"/>
        <v>0</v>
      </c>
      <c r="X366" t="str">
        <f t="shared" si="37"/>
        <v/>
      </c>
      <c r="Y366">
        <f>IF(X366="",0,IF(COUNTIF($X$3:X366,X366)=1,1,0))</f>
        <v>0</v>
      </c>
      <c r="Z366">
        <f>IF(V366&lt;&gt;1,0,IF(X366="",0,IF(COUNTIF($X$3:X365,X366)&gt;0,1,0)))</f>
        <v>0</v>
      </c>
      <c r="AA366">
        <f t="shared" si="34"/>
        <v>0</v>
      </c>
      <c r="AB366">
        <f t="shared" si="35"/>
        <v>0</v>
      </c>
      <c r="AC366">
        <f>IF(I366="",0,L366*IFERROR(INDEX(کاتالوگ_محصولات!$G$4:$G$303,MATCH(I366,کاتالوگ_محصولات!$A$4:$A$303,0)),0))</f>
        <v>0</v>
      </c>
      <c r="AD366">
        <f t="shared" si="38"/>
        <v>0</v>
      </c>
      <c r="AE366" t="str">
        <f t="shared" si="39"/>
        <v/>
      </c>
    </row>
    <row r="367" spans="22:31" ht="18" customHeight="1">
      <c r="V367">
        <f>IF(A367="",0,IF(COUNTIF($A$3:A367,A367)=1,1,0))</f>
        <v>0</v>
      </c>
      <c r="W367">
        <f t="shared" si="36"/>
        <v>0</v>
      </c>
      <c r="X367" t="str">
        <f t="shared" si="37"/>
        <v/>
      </c>
      <c r="Y367">
        <f>IF(X367="",0,IF(COUNTIF($X$3:X367,X367)=1,1,0))</f>
        <v>0</v>
      </c>
      <c r="Z367">
        <f>IF(V367&lt;&gt;1,0,IF(X367="",0,IF(COUNTIF($X$3:X366,X367)&gt;0,1,0)))</f>
        <v>0</v>
      </c>
      <c r="AA367">
        <f t="shared" si="34"/>
        <v>0</v>
      </c>
      <c r="AB367">
        <f t="shared" si="35"/>
        <v>0</v>
      </c>
      <c r="AC367">
        <f>IF(I367="",0,L367*IFERROR(INDEX(کاتالوگ_محصولات!$G$4:$G$303,MATCH(I367,کاتالوگ_محصولات!$A$4:$A$303,0)),0))</f>
        <v>0</v>
      </c>
      <c r="AD367">
        <f t="shared" si="38"/>
        <v>0</v>
      </c>
      <c r="AE367" t="str">
        <f t="shared" si="39"/>
        <v/>
      </c>
    </row>
    <row r="368" spans="22:31" ht="18" customHeight="1">
      <c r="V368">
        <f>IF(A368="",0,IF(COUNTIF($A$3:A368,A368)=1,1,0))</f>
        <v>0</v>
      </c>
      <c r="W368">
        <f t="shared" si="36"/>
        <v>0</v>
      </c>
      <c r="X368" t="str">
        <f t="shared" si="37"/>
        <v/>
      </c>
      <c r="Y368">
        <f>IF(X368="",0,IF(COUNTIF($X$3:X368,X368)=1,1,0))</f>
        <v>0</v>
      </c>
      <c r="Z368">
        <f>IF(V368&lt;&gt;1,0,IF(X368="",0,IF(COUNTIF($X$3:X367,X368)&gt;0,1,0)))</f>
        <v>0</v>
      </c>
      <c r="AA368">
        <f t="shared" si="34"/>
        <v>0</v>
      </c>
      <c r="AB368">
        <f t="shared" si="35"/>
        <v>0</v>
      </c>
      <c r="AC368">
        <f>IF(I368="",0,L368*IFERROR(INDEX(کاتالوگ_محصولات!$G$4:$G$303,MATCH(I368,کاتالوگ_محصولات!$A$4:$A$303,0)),0))</f>
        <v>0</v>
      </c>
      <c r="AD368">
        <f t="shared" si="38"/>
        <v>0</v>
      </c>
      <c r="AE368" t="str">
        <f t="shared" si="39"/>
        <v/>
      </c>
    </row>
    <row r="369" spans="22:31" ht="18" customHeight="1">
      <c r="V369">
        <f>IF(A369="",0,IF(COUNTIF($A$3:A369,A369)=1,1,0))</f>
        <v>0</v>
      </c>
      <c r="W369">
        <f t="shared" si="36"/>
        <v>0</v>
      </c>
      <c r="X369" t="str">
        <f t="shared" si="37"/>
        <v/>
      </c>
      <c r="Y369">
        <f>IF(X369="",0,IF(COUNTIF($X$3:X369,X369)=1,1,0))</f>
        <v>0</v>
      </c>
      <c r="Z369">
        <f>IF(V369&lt;&gt;1,0,IF(X369="",0,IF(COUNTIF($X$3:X368,X369)&gt;0,1,0)))</f>
        <v>0</v>
      </c>
      <c r="AA369">
        <f t="shared" si="34"/>
        <v>0</v>
      </c>
      <c r="AB369">
        <f t="shared" si="35"/>
        <v>0</v>
      </c>
      <c r="AC369">
        <f>IF(I369="",0,L369*IFERROR(INDEX(کاتالوگ_محصولات!$G$4:$G$303,MATCH(I369,کاتالوگ_محصولات!$A$4:$A$303,0)),0))</f>
        <v>0</v>
      </c>
      <c r="AD369">
        <f t="shared" si="38"/>
        <v>0</v>
      </c>
      <c r="AE369" t="str">
        <f t="shared" si="39"/>
        <v/>
      </c>
    </row>
    <row r="370" spans="22:31" ht="18" customHeight="1">
      <c r="V370">
        <f>IF(A370="",0,IF(COUNTIF($A$3:A370,A370)=1,1,0))</f>
        <v>0</v>
      </c>
      <c r="W370">
        <f t="shared" si="36"/>
        <v>0</v>
      </c>
      <c r="X370" t="str">
        <f t="shared" si="37"/>
        <v/>
      </c>
      <c r="Y370">
        <f>IF(X370="",0,IF(COUNTIF($X$3:X370,X370)=1,1,0))</f>
        <v>0</v>
      </c>
      <c r="Z370">
        <f>IF(V370&lt;&gt;1,0,IF(X370="",0,IF(COUNTIF($X$3:X369,X370)&gt;0,1,0)))</f>
        <v>0</v>
      </c>
      <c r="AA370">
        <f t="shared" si="34"/>
        <v>0</v>
      </c>
      <c r="AB370">
        <f t="shared" si="35"/>
        <v>0</v>
      </c>
      <c r="AC370">
        <f>IF(I370="",0,L370*IFERROR(INDEX(کاتالوگ_محصولات!$G$4:$G$303,MATCH(I370,کاتالوگ_محصولات!$A$4:$A$303,0)),0))</f>
        <v>0</v>
      </c>
      <c r="AD370">
        <f t="shared" si="38"/>
        <v>0</v>
      </c>
      <c r="AE370" t="str">
        <f t="shared" si="39"/>
        <v/>
      </c>
    </row>
    <row r="371" spans="22:31" ht="18" customHeight="1">
      <c r="V371">
        <f>IF(A371="",0,IF(COUNTIF($A$3:A371,A371)=1,1,0))</f>
        <v>0</v>
      </c>
      <c r="W371">
        <f t="shared" si="36"/>
        <v>0</v>
      </c>
      <c r="X371" t="str">
        <f t="shared" si="37"/>
        <v/>
      </c>
      <c r="Y371">
        <f>IF(X371="",0,IF(COUNTIF($X$3:X371,X371)=1,1,0))</f>
        <v>0</v>
      </c>
      <c r="Z371">
        <f>IF(V371&lt;&gt;1,0,IF(X371="",0,IF(COUNTIF($X$3:X370,X371)&gt;0,1,0)))</f>
        <v>0</v>
      </c>
      <c r="AA371">
        <f t="shared" si="34"/>
        <v>0</v>
      </c>
      <c r="AB371">
        <f t="shared" si="35"/>
        <v>0</v>
      </c>
      <c r="AC371">
        <f>IF(I371="",0,L371*IFERROR(INDEX(کاتالوگ_محصولات!$G$4:$G$303,MATCH(I371,کاتالوگ_محصولات!$A$4:$A$303,0)),0))</f>
        <v>0</v>
      </c>
      <c r="AD371">
        <f t="shared" si="38"/>
        <v>0</v>
      </c>
      <c r="AE371" t="str">
        <f t="shared" si="39"/>
        <v/>
      </c>
    </row>
    <row r="372" spans="22:31" ht="18" customHeight="1">
      <c r="V372">
        <f>IF(A372="",0,IF(COUNTIF($A$3:A372,A372)=1,1,0))</f>
        <v>0</v>
      </c>
      <c r="W372">
        <f t="shared" si="36"/>
        <v>0</v>
      </c>
      <c r="X372" t="str">
        <f t="shared" si="37"/>
        <v/>
      </c>
      <c r="Y372">
        <f>IF(X372="",0,IF(COUNTIF($X$3:X372,X372)=1,1,0))</f>
        <v>0</v>
      </c>
      <c r="Z372">
        <f>IF(V372&lt;&gt;1,0,IF(X372="",0,IF(COUNTIF($X$3:X371,X372)&gt;0,1,0)))</f>
        <v>0</v>
      </c>
      <c r="AA372">
        <f t="shared" si="34"/>
        <v>0</v>
      </c>
      <c r="AB372">
        <f t="shared" si="35"/>
        <v>0</v>
      </c>
      <c r="AC372">
        <f>IF(I372="",0,L372*IFERROR(INDEX(کاتالوگ_محصولات!$G$4:$G$303,MATCH(I372,کاتالوگ_محصولات!$A$4:$A$303,0)),0))</f>
        <v>0</v>
      </c>
      <c r="AD372">
        <f t="shared" si="38"/>
        <v>0</v>
      </c>
      <c r="AE372" t="str">
        <f t="shared" si="39"/>
        <v/>
      </c>
    </row>
    <row r="373" spans="22:31" ht="18" customHeight="1">
      <c r="V373">
        <f>IF(A373="",0,IF(COUNTIF($A$3:A373,A373)=1,1,0))</f>
        <v>0</v>
      </c>
      <c r="W373">
        <f t="shared" si="36"/>
        <v>0</v>
      </c>
      <c r="X373" t="str">
        <f t="shared" si="37"/>
        <v/>
      </c>
      <c r="Y373">
        <f>IF(X373="",0,IF(COUNTIF($X$3:X373,X373)=1,1,0))</f>
        <v>0</v>
      </c>
      <c r="Z373">
        <f>IF(V373&lt;&gt;1,0,IF(X373="",0,IF(COUNTIF($X$3:X372,X373)&gt;0,1,0)))</f>
        <v>0</v>
      </c>
      <c r="AA373">
        <f t="shared" si="34"/>
        <v>0</v>
      </c>
      <c r="AB373">
        <f t="shared" si="35"/>
        <v>0</v>
      </c>
      <c r="AC373">
        <f>IF(I373="",0,L373*IFERROR(INDEX(کاتالوگ_محصولات!$G$4:$G$303,MATCH(I373,کاتالوگ_محصولات!$A$4:$A$303,0)),0))</f>
        <v>0</v>
      </c>
      <c r="AD373">
        <f t="shared" si="38"/>
        <v>0</v>
      </c>
      <c r="AE373" t="str">
        <f t="shared" si="39"/>
        <v/>
      </c>
    </row>
    <row r="374" spans="22:31" ht="18" customHeight="1">
      <c r="V374">
        <f>IF(A374="",0,IF(COUNTIF($A$3:A374,A374)=1,1,0))</f>
        <v>0</v>
      </c>
      <c r="W374">
        <f t="shared" si="36"/>
        <v>0</v>
      </c>
      <c r="X374" t="str">
        <f t="shared" si="37"/>
        <v/>
      </c>
      <c r="Y374">
        <f>IF(X374="",0,IF(COUNTIF($X$3:X374,X374)=1,1,0))</f>
        <v>0</v>
      </c>
      <c r="Z374">
        <f>IF(V374&lt;&gt;1,0,IF(X374="",0,IF(COUNTIF($X$3:X373,X374)&gt;0,1,0)))</f>
        <v>0</v>
      </c>
      <c r="AA374">
        <f t="shared" si="34"/>
        <v>0</v>
      </c>
      <c r="AB374">
        <f t="shared" si="35"/>
        <v>0</v>
      </c>
      <c r="AC374">
        <f>IF(I374="",0,L374*IFERROR(INDEX(کاتالوگ_محصولات!$G$4:$G$303,MATCH(I374,کاتالوگ_محصولات!$A$4:$A$303,0)),0))</f>
        <v>0</v>
      </c>
      <c r="AD374">
        <f t="shared" si="38"/>
        <v>0</v>
      </c>
      <c r="AE374" t="str">
        <f t="shared" si="39"/>
        <v/>
      </c>
    </row>
    <row r="375" spans="22:31" ht="18" customHeight="1">
      <c r="V375">
        <f>IF(A375="",0,IF(COUNTIF($A$3:A375,A375)=1,1,0))</f>
        <v>0</v>
      </c>
      <c r="W375">
        <f t="shared" si="36"/>
        <v>0</v>
      </c>
      <c r="X375" t="str">
        <f t="shared" si="37"/>
        <v/>
      </c>
      <c r="Y375">
        <f>IF(X375="",0,IF(COUNTIF($X$3:X375,X375)=1,1,0))</f>
        <v>0</v>
      </c>
      <c r="Z375">
        <f>IF(V375&lt;&gt;1,0,IF(X375="",0,IF(COUNTIF($X$3:X374,X375)&gt;0,1,0)))</f>
        <v>0</v>
      </c>
      <c r="AA375">
        <f t="shared" si="34"/>
        <v>0</v>
      </c>
      <c r="AB375">
        <f t="shared" si="35"/>
        <v>0</v>
      </c>
      <c r="AC375">
        <f>IF(I375="",0,L375*IFERROR(INDEX(کاتالوگ_محصولات!$G$4:$G$303,MATCH(I375,کاتالوگ_محصولات!$A$4:$A$303,0)),0))</f>
        <v>0</v>
      </c>
      <c r="AD375">
        <f t="shared" si="38"/>
        <v>0</v>
      </c>
      <c r="AE375" t="str">
        <f t="shared" si="39"/>
        <v/>
      </c>
    </row>
    <row r="376" spans="22:31" ht="18" customHeight="1">
      <c r="V376">
        <f>IF(A376="",0,IF(COUNTIF($A$3:A376,A376)=1,1,0))</f>
        <v>0</v>
      </c>
      <c r="W376">
        <f t="shared" si="36"/>
        <v>0</v>
      </c>
      <c r="X376" t="str">
        <f t="shared" si="37"/>
        <v/>
      </c>
      <c r="Y376">
        <f>IF(X376="",0,IF(COUNTIF($X$3:X376,X376)=1,1,0))</f>
        <v>0</v>
      </c>
      <c r="Z376">
        <f>IF(V376&lt;&gt;1,0,IF(X376="",0,IF(COUNTIF($X$3:X375,X376)&gt;0,1,0)))</f>
        <v>0</v>
      </c>
      <c r="AA376">
        <f t="shared" si="34"/>
        <v>0</v>
      </c>
      <c r="AB376">
        <f t="shared" si="35"/>
        <v>0</v>
      </c>
      <c r="AC376">
        <f>IF(I376="",0,L376*IFERROR(INDEX(کاتالوگ_محصولات!$G$4:$G$303,MATCH(I376,کاتالوگ_محصولات!$A$4:$A$303,0)),0))</f>
        <v>0</v>
      </c>
      <c r="AD376">
        <f t="shared" si="38"/>
        <v>0</v>
      </c>
      <c r="AE376" t="str">
        <f t="shared" si="39"/>
        <v/>
      </c>
    </row>
    <row r="377" spans="22:31" ht="18" customHeight="1">
      <c r="V377">
        <f>IF(A377="",0,IF(COUNTIF($A$3:A377,A377)=1,1,0))</f>
        <v>0</v>
      </c>
      <c r="W377">
        <f t="shared" si="36"/>
        <v>0</v>
      </c>
      <c r="X377" t="str">
        <f t="shared" si="37"/>
        <v/>
      </c>
      <c r="Y377">
        <f>IF(X377="",0,IF(COUNTIF($X$3:X377,X377)=1,1,0))</f>
        <v>0</v>
      </c>
      <c r="Z377">
        <f>IF(V377&lt;&gt;1,0,IF(X377="",0,IF(COUNTIF($X$3:X376,X377)&gt;0,1,0)))</f>
        <v>0</v>
      </c>
      <c r="AA377">
        <f t="shared" si="34"/>
        <v>0</v>
      </c>
      <c r="AB377">
        <f t="shared" si="35"/>
        <v>0</v>
      </c>
      <c r="AC377">
        <f>IF(I377="",0,L377*IFERROR(INDEX(کاتالوگ_محصولات!$G$4:$G$303,MATCH(I377,کاتالوگ_محصولات!$A$4:$A$303,0)),0))</f>
        <v>0</v>
      </c>
      <c r="AD377">
        <f t="shared" si="38"/>
        <v>0</v>
      </c>
      <c r="AE377" t="str">
        <f t="shared" si="39"/>
        <v/>
      </c>
    </row>
    <row r="378" spans="22:31" ht="18" customHeight="1">
      <c r="V378">
        <f>IF(A378="",0,IF(COUNTIF($A$3:A378,A378)=1,1,0))</f>
        <v>0</v>
      </c>
      <c r="W378">
        <f t="shared" si="36"/>
        <v>0</v>
      </c>
      <c r="X378" t="str">
        <f t="shared" si="37"/>
        <v/>
      </c>
      <c r="Y378">
        <f>IF(X378="",0,IF(COUNTIF($X$3:X378,X378)=1,1,0))</f>
        <v>0</v>
      </c>
      <c r="Z378">
        <f>IF(V378&lt;&gt;1,0,IF(X378="",0,IF(COUNTIF($X$3:X377,X378)&gt;0,1,0)))</f>
        <v>0</v>
      </c>
      <c r="AA378">
        <f t="shared" si="34"/>
        <v>0</v>
      </c>
      <c r="AB378">
        <f t="shared" si="35"/>
        <v>0</v>
      </c>
      <c r="AC378">
        <f>IF(I378="",0,L378*IFERROR(INDEX(کاتالوگ_محصولات!$G$4:$G$303,MATCH(I378,کاتالوگ_محصولات!$A$4:$A$303,0)),0))</f>
        <v>0</v>
      </c>
      <c r="AD378">
        <f t="shared" si="38"/>
        <v>0</v>
      </c>
      <c r="AE378" t="str">
        <f t="shared" si="39"/>
        <v/>
      </c>
    </row>
    <row r="379" spans="22:31" ht="18" customHeight="1">
      <c r="V379">
        <f>IF(A379="",0,IF(COUNTIF($A$3:A379,A379)=1,1,0))</f>
        <v>0</v>
      </c>
      <c r="W379">
        <f t="shared" si="36"/>
        <v>0</v>
      </c>
      <c r="X379" t="str">
        <f t="shared" si="37"/>
        <v/>
      </c>
      <c r="Y379">
        <f>IF(X379="",0,IF(COUNTIF($X$3:X379,X379)=1,1,0))</f>
        <v>0</v>
      </c>
      <c r="Z379">
        <f>IF(V379&lt;&gt;1,0,IF(X379="",0,IF(COUNTIF($X$3:X378,X379)&gt;0,1,0)))</f>
        <v>0</v>
      </c>
      <c r="AA379">
        <f t="shared" si="34"/>
        <v>0</v>
      </c>
      <c r="AB379">
        <f t="shared" si="35"/>
        <v>0</v>
      </c>
      <c r="AC379">
        <f>IF(I379="",0,L379*IFERROR(INDEX(کاتالوگ_محصولات!$G$4:$G$303,MATCH(I379,کاتالوگ_محصولات!$A$4:$A$303,0)),0))</f>
        <v>0</v>
      </c>
      <c r="AD379">
        <f t="shared" si="38"/>
        <v>0</v>
      </c>
      <c r="AE379" t="str">
        <f t="shared" si="39"/>
        <v/>
      </c>
    </row>
    <row r="380" spans="22:31" ht="18" customHeight="1">
      <c r="V380">
        <f>IF(A380="",0,IF(COUNTIF($A$3:A380,A380)=1,1,0))</f>
        <v>0</v>
      </c>
      <c r="W380">
        <f t="shared" si="36"/>
        <v>0</v>
      </c>
      <c r="X380" t="str">
        <f t="shared" si="37"/>
        <v/>
      </c>
      <c r="Y380">
        <f>IF(X380="",0,IF(COUNTIF($X$3:X380,X380)=1,1,0))</f>
        <v>0</v>
      </c>
      <c r="Z380">
        <f>IF(V380&lt;&gt;1,0,IF(X380="",0,IF(COUNTIF($X$3:X379,X380)&gt;0,1,0)))</f>
        <v>0</v>
      </c>
      <c r="AA380">
        <f t="shared" si="34"/>
        <v>0</v>
      </c>
      <c r="AB380">
        <f t="shared" si="35"/>
        <v>0</v>
      </c>
      <c r="AC380">
        <f>IF(I380="",0,L380*IFERROR(INDEX(کاتالوگ_محصولات!$G$4:$G$303,MATCH(I380,کاتالوگ_محصولات!$A$4:$A$303,0)),0))</f>
        <v>0</v>
      </c>
      <c r="AD380">
        <f t="shared" si="38"/>
        <v>0</v>
      </c>
      <c r="AE380" t="str">
        <f t="shared" si="39"/>
        <v/>
      </c>
    </row>
    <row r="381" spans="22:31" ht="18" customHeight="1">
      <c r="V381">
        <f>IF(A381="",0,IF(COUNTIF($A$3:A381,A381)=1,1,0))</f>
        <v>0</v>
      </c>
      <c r="W381">
        <f t="shared" si="36"/>
        <v>0</v>
      </c>
      <c r="X381" t="str">
        <f t="shared" si="37"/>
        <v/>
      </c>
      <c r="Y381">
        <f>IF(X381="",0,IF(COUNTIF($X$3:X381,X381)=1,1,0))</f>
        <v>0</v>
      </c>
      <c r="Z381">
        <f>IF(V381&lt;&gt;1,0,IF(X381="",0,IF(COUNTIF($X$3:X380,X381)&gt;0,1,0)))</f>
        <v>0</v>
      </c>
      <c r="AA381">
        <f t="shared" si="34"/>
        <v>0</v>
      </c>
      <c r="AB381">
        <f t="shared" si="35"/>
        <v>0</v>
      </c>
      <c r="AC381">
        <f>IF(I381="",0,L381*IFERROR(INDEX(کاتالوگ_محصولات!$G$4:$G$303,MATCH(I381,کاتالوگ_محصولات!$A$4:$A$303,0)),0))</f>
        <v>0</v>
      </c>
      <c r="AD381">
        <f t="shared" si="38"/>
        <v>0</v>
      </c>
      <c r="AE381" t="str">
        <f t="shared" si="39"/>
        <v/>
      </c>
    </row>
    <row r="382" spans="22:31" ht="18" customHeight="1">
      <c r="V382">
        <f>IF(A382="",0,IF(COUNTIF($A$3:A382,A382)=1,1,0))</f>
        <v>0</v>
      </c>
      <c r="W382">
        <f t="shared" si="36"/>
        <v>0</v>
      </c>
      <c r="X382" t="str">
        <f t="shared" si="37"/>
        <v/>
      </c>
      <c r="Y382">
        <f>IF(X382="",0,IF(COUNTIF($X$3:X382,X382)=1,1,0))</f>
        <v>0</v>
      </c>
      <c r="Z382">
        <f>IF(V382&lt;&gt;1,0,IF(X382="",0,IF(COUNTIF($X$3:X381,X382)&gt;0,1,0)))</f>
        <v>0</v>
      </c>
      <c r="AA382">
        <f t="shared" si="34"/>
        <v>0</v>
      </c>
      <c r="AB382">
        <f t="shared" si="35"/>
        <v>0</v>
      </c>
      <c r="AC382">
        <f>IF(I382="",0,L382*IFERROR(INDEX(کاتالوگ_محصولات!$G$4:$G$303,MATCH(I382,کاتالوگ_محصولات!$A$4:$A$303,0)),0))</f>
        <v>0</v>
      </c>
      <c r="AD382">
        <f t="shared" si="38"/>
        <v>0</v>
      </c>
      <c r="AE382" t="str">
        <f t="shared" si="39"/>
        <v/>
      </c>
    </row>
    <row r="383" spans="22:31" ht="18" customHeight="1">
      <c r="V383">
        <f>IF(A383="",0,IF(COUNTIF($A$3:A383,A383)=1,1,0))</f>
        <v>0</v>
      </c>
      <c r="W383">
        <f t="shared" si="36"/>
        <v>0</v>
      </c>
      <c r="X383" t="str">
        <f t="shared" si="37"/>
        <v/>
      </c>
      <c r="Y383">
        <f>IF(X383="",0,IF(COUNTIF($X$3:X383,X383)=1,1,0))</f>
        <v>0</v>
      </c>
      <c r="Z383">
        <f>IF(V383&lt;&gt;1,0,IF(X383="",0,IF(COUNTIF($X$3:X382,X383)&gt;0,1,0)))</f>
        <v>0</v>
      </c>
      <c r="AA383">
        <f t="shared" si="34"/>
        <v>0</v>
      </c>
      <c r="AB383">
        <f t="shared" si="35"/>
        <v>0</v>
      </c>
      <c r="AC383">
        <f>IF(I383="",0,L383*IFERROR(INDEX(کاتالوگ_محصولات!$G$4:$G$303,MATCH(I383,کاتالوگ_محصولات!$A$4:$A$303,0)),0))</f>
        <v>0</v>
      </c>
      <c r="AD383">
        <f t="shared" si="38"/>
        <v>0</v>
      </c>
      <c r="AE383" t="str">
        <f t="shared" si="39"/>
        <v/>
      </c>
    </row>
    <row r="384" spans="22:31" ht="18" customHeight="1">
      <c r="V384">
        <f>IF(A384="",0,IF(COUNTIF($A$3:A384,A384)=1,1,0))</f>
        <v>0</v>
      </c>
      <c r="W384">
        <f t="shared" si="36"/>
        <v>0</v>
      </c>
      <c r="X384" t="str">
        <f t="shared" si="37"/>
        <v/>
      </c>
      <c r="Y384">
        <f>IF(X384="",0,IF(COUNTIF($X$3:X384,X384)=1,1,0))</f>
        <v>0</v>
      </c>
      <c r="Z384">
        <f>IF(V384&lt;&gt;1,0,IF(X384="",0,IF(COUNTIF($X$3:X383,X384)&gt;0,1,0)))</f>
        <v>0</v>
      </c>
      <c r="AA384">
        <f t="shared" si="34"/>
        <v>0</v>
      </c>
      <c r="AB384">
        <f t="shared" si="35"/>
        <v>0</v>
      </c>
      <c r="AC384">
        <f>IF(I384="",0,L384*IFERROR(INDEX(کاتالوگ_محصولات!$G$4:$G$303,MATCH(I384,کاتالوگ_محصولات!$A$4:$A$303,0)),0))</f>
        <v>0</v>
      </c>
      <c r="AD384">
        <f t="shared" si="38"/>
        <v>0</v>
      </c>
      <c r="AE384" t="str">
        <f t="shared" si="39"/>
        <v/>
      </c>
    </row>
    <row r="385" spans="22:31" ht="18" customHeight="1">
      <c r="V385">
        <f>IF(A385="",0,IF(COUNTIF($A$3:A385,A385)=1,1,0))</f>
        <v>0</v>
      </c>
      <c r="W385">
        <f t="shared" si="36"/>
        <v>0</v>
      </c>
      <c r="X385" t="str">
        <f t="shared" si="37"/>
        <v/>
      </c>
      <c r="Y385">
        <f>IF(X385="",0,IF(COUNTIF($X$3:X385,X385)=1,1,0))</f>
        <v>0</v>
      </c>
      <c r="Z385">
        <f>IF(V385&lt;&gt;1,0,IF(X385="",0,IF(COUNTIF($X$3:X384,X385)&gt;0,1,0)))</f>
        <v>0</v>
      </c>
      <c r="AA385">
        <f t="shared" si="34"/>
        <v>0</v>
      </c>
      <c r="AB385">
        <f t="shared" si="35"/>
        <v>0</v>
      </c>
      <c r="AC385">
        <f>IF(I385="",0,L385*IFERROR(INDEX(کاتالوگ_محصولات!$G$4:$G$303,MATCH(I385,کاتالوگ_محصولات!$A$4:$A$303,0)),0))</f>
        <v>0</v>
      </c>
      <c r="AD385">
        <f t="shared" si="38"/>
        <v>0</v>
      </c>
      <c r="AE385" t="str">
        <f t="shared" si="39"/>
        <v/>
      </c>
    </row>
    <row r="386" spans="22:31" ht="18" customHeight="1">
      <c r="V386">
        <f>IF(A386="",0,IF(COUNTIF($A$3:A386,A386)=1,1,0))</f>
        <v>0</v>
      </c>
      <c r="W386">
        <f t="shared" si="36"/>
        <v>0</v>
      </c>
      <c r="X386" t="str">
        <f t="shared" si="37"/>
        <v/>
      </c>
      <c r="Y386">
        <f>IF(X386="",0,IF(COUNTIF($X$3:X386,X386)=1,1,0))</f>
        <v>0</v>
      </c>
      <c r="Z386">
        <f>IF(V386&lt;&gt;1,0,IF(X386="",0,IF(COUNTIF($X$3:X385,X386)&gt;0,1,0)))</f>
        <v>0</v>
      </c>
      <c r="AA386">
        <f t="shared" si="34"/>
        <v>0</v>
      </c>
      <c r="AB386">
        <f t="shared" si="35"/>
        <v>0</v>
      </c>
      <c r="AC386">
        <f>IF(I386="",0,L386*IFERROR(INDEX(کاتالوگ_محصولات!$G$4:$G$303,MATCH(I386,کاتالوگ_محصولات!$A$4:$A$303,0)),0))</f>
        <v>0</v>
      </c>
      <c r="AD386">
        <f t="shared" si="38"/>
        <v>0</v>
      </c>
      <c r="AE386" t="str">
        <f t="shared" si="39"/>
        <v/>
      </c>
    </row>
    <row r="387" spans="22:31" ht="18" customHeight="1">
      <c r="V387">
        <f>IF(A387="",0,IF(COUNTIF($A$3:A387,A387)=1,1,0))</f>
        <v>0</v>
      </c>
      <c r="W387">
        <f t="shared" si="36"/>
        <v>0</v>
      </c>
      <c r="X387" t="str">
        <f t="shared" si="37"/>
        <v/>
      </c>
      <c r="Y387">
        <f>IF(X387="",0,IF(COUNTIF($X$3:X387,X387)=1,1,0))</f>
        <v>0</v>
      </c>
      <c r="Z387">
        <f>IF(V387&lt;&gt;1,0,IF(X387="",0,IF(COUNTIF($X$3:X386,X387)&gt;0,1,0)))</f>
        <v>0</v>
      </c>
      <c r="AA387">
        <f t="shared" ref="AA387:AA450" si="40">IF(V387=1,SUMIF($A$3:$A$1622,A387,$O$3:$O$1622),0)</f>
        <v>0</v>
      </c>
      <c r="AB387">
        <f t="shared" ref="AB387:AB450" si="41">IF(V387=1,SUMIF($A$3:$A$1622,A387,$L$3:$L$1622),0)</f>
        <v>0</v>
      </c>
      <c r="AC387">
        <f>IF(I387="",0,L387*IFERROR(INDEX(کاتالوگ_محصولات!$G$4:$G$303,MATCH(I387,کاتالوگ_محصولات!$A$4:$A$303,0)),0))</f>
        <v>0</v>
      </c>
      <c r="AD387">
        <f t="shared" si="38"/>
        <v>0</v>
      </c>
      <c r="AE387" t="str">
        <f t="shared" si="39"/>
        <v/>
      </c>
    </row>
    <row r="388" spans="22:31" ht="18" customHeight="1">
      <c r="V388">
        <f>IF(A388="",0,IF(COUNTIF($A$3:A388,A388)=1,1,0))</f>
        <v>0</v>
      </c>
      <c r="W388">
        <f t="shared" si="36"/>
        <v>0</v>
      </c>
      <c r="X388" t="str">
        <f t="shared" si="37"/>
        <v/>
      </c>
      <c r="Y388">
        <f>IF(X388="",0,IF(COUNTIF($X$3:X388,X388)=1,1,0))</f>
        <v>0</v>
      </c>
      <c r="Z388">
        <f>IF(V388&lt;&gt;1,0,IF(X388="",0,IF(COUNTIF($X$3:X387,X388)&gt;0,1,0)))</f>
        <v>0</v>
      </c>
      <c r="AA388">
        <f t="shared" si="40"/>
        <v>0</v>
      </c>
      <c r="AB388">
        <f t="shared" si="41"/>
        <v>0</v>
      </c>
      <c r="AC388">
        <f>IF(I388="",0,L388*IFERROR(INDEX(کاتالوگ_محصولات!$G$4:$G$303,MATCH(I388,کاتالوگ_محصولات!$A$4:$A$303,0)),0))</f>
        <v>0</v>
      </c>
      <c r="AD388">
        <f t="shared" si="38"/>
        <v>0</v>
      </c>
      <c r="AE388" t="str">
        <f t="shared" si="39"/>
        <v/>
      </c>
    </row>
    <row r="389" spans="22:31" ht="18" customHeight="1">
      <c r="V389">
        <f>IF(A389="",0,IF(COUNTIF($A$3:A389,A389)=1,1,0))</f>
        <v>0</v>
      </c>
      <c r="W389">
        <f t="shared" si="36"/>
        <v>0</v>
      </c>
      <c r="X389" t="str">
        <f t="shared" si="37"/>
        <v/>
      </c>
      <c r="Y389">
        <f>IF(X389="",0,IF(COUNTIF($X$3:X389,X389)=1,1,0))</f>
        <v>0</v>
      </c>
      <c r="Z389">
        <f>IF(V389&lt;&gt;1,0,IF(X389="",0,IF(COUNTIF($X$3:X388,X389)&gt;0,1,0)))</f>
        <v>0</v>
      </c>
      <c r="AA389">
        <f t="shared" si="40"/>
        <v>0</v>
      </c>
      <c r="AB389">
        <f t="shared" si="41"/>
        <v>0</v>
      </c>
      <c r="AC389">
        <f>IF(I389="",0,L389*IFERROR(INDEX(کاتالوگ_محصولات!$G$4:$G$303,MATCH(I389,کاتالوگ_محصولات!$A$4:$A$303,0)),0))</f>
        <v>0</v>
      </c>
      <c r="AD389">
        <f t="shared" si="38"/>
        <v>0</v>
      </c>
      <c r="AE389" t="str">
        <f t="shared" si="39"/>
        <v/>
      </c>
    </row>
    <row r="390" spans="22:31" ht="18" customHeight="1">
      <c r="V390">
        <f>IF(A390="",0,IF(COUNTIF($A$3:A390,A390)=1,1,0))</f>
        <v>0</v>
      </c>
      <c r="W390">
        <f t="shared" si="36"/>
        <v>0</v>
      </c>
      <c r="X390" t="str">
        <f t="shared" si="37"/>
        <v/>
      </c>
      <c r="Y390">
        <f>IF(X390="",0,IF(COUNTIF($X$3:X390,X390)=1,1,0))</f>
        <v>0</v>
      </c>
      <c r="Z390">
        <f>IF(V390&lt;&gt;1,0,IF(X390="",0,IF(COUNTIF($X$3:X389,X390)&gt;0,1,0)))</f>
        <v>0</v>
      </c>
      <c r="AA390">
        <f t="shared" si="40"/>
        <v>0</v>
      </c>
      <c r="AB390">
        <f t="shared" si="41"/>
        <v>0</v>
      </c>
      <c r="AC390">
        <f>IF(I390="",0,L390*IFERROR(INDEX(کاتالوگ_محصولات!$G$4:$G$303,MATCH(I390,کاتالوگ_محصولات!$A$4:$A$303,0)),0))</f>
        <v>0</v>
      </c>
      <c r="AD390">
        <f t="shared" si="38"/>
        <v>0</v>
      </c>
      <c r="AE390" t="str">
        <f t="shared" si="39"/>
        <v/>
      </c>
    </row>
    <row r="391" spans="22:31" ht="18" customHeight="1">
      <c r="V391">
        <f>IF(A391="",0,IF(COUNTIF($A$3:A391,A391)=1,1,0))</f>
        <v>0</v>
      </c>
      <c r="W391">
        <f t="shared" si="36"/>
        <v>0</v>
      </c>
      <c r="X391" t="str">
        <f t="shared" si="37"/>
        <v/>
      </c>
      <c r="Y391">
        <f>IF(X391="",0,IF(COUNTIF($X$3:X391,X391)=1,1,0))</f>
        <v>0</v>
      </c>
      <c r="Z391">
        <f>IF(V391&lt;&gt;1,0,IF(X391="",0,IF(COUNTIF($X$3:X390,X391)&gt;0,1,0)))</f>
        <v>0</v>
      </c>
      <c r="AA391">
        <f t="shared" si="40"/>
        <v>0</v>
      </c>
      <c r="AB391">
        <f t="shared" si="41"/>
        <v>0</v>
      </c>
      <c r="AC391">
        <f>IF(I391="",0,L391*IFERROR(INDEX(کاتالوگ_محصولات!$G$4:$G$303,MATCH(I391,کاتالوگ_محصولات!$A$4:$A$303,0)),0))</f>
        <v>0</v>
      </c>
      <c r="AD391">
        <f t="shared" si="38"/>
        <v>0</v>
      </c>
      <c r="AE391" t="str">
        <f t="shared" si="39"/>
        <v/>
      </c>
    </row>
    <row r="392" spans="22:31" ht="18" customHeight="1">
      <c r="V392">
        <f>IF(A392="",0,IF(COUNTIF($A$3:A392,A392)=1,1,0))</f>
        <v>0</v>
      </c>
      <c r="W392">
        <f t="shared" si="36"/>
        <v>0</v>
      </c>
      <c r="X392" t="str">
        <f t="shared" si="37"/>
        <v/>
      </c>
      <c r="Y392">
        <f>IF(X392="",0,IF(COUNTIF($X$3:X392,X392)=1,1,0))</f>
        <v>0</v>
      </c>
      <c r="Z392">
        <f>IF(V392&lt;&gt;1,0,IF(X392="",0,IF(COUNTIF($X$3:X391,X392)&gt;0,1,0)))</f>
        <v>0</v>
      </c>
      <c r="AA392">
        <f t="shared" si="40"/>
        <v>0</v>
      </c>
      <c r="AB392">
        <f t="shared" si="41"/>
        <v>0</v>
      </c>
      <c r="AC392">
        <f>IF(I392="",0,L392*IFERROR(INDEX(کاتالوگ_محصولات!$G$4:$G$303,MATCH(I392,کاتالوگ_محصولات!$A$4:$A$303,0)),0))</f>
        <v>0</v>
      </c>
      <c r="AD392">
        <f t="shared" si="38"/>
        <v>0</v>
      </c>
      <c r="AE392" t="str">
        <f t="shared" si="39"/>
        <v/>
      </c>
    </row>
    <row r="393" spans="22:31" ht="18" customHeight="1">
      <c r="V393">
        <f>IF(A393="",0,IF(COUNTIF($A$3:A393,A393)=1,1,0))</f>
        <v>0</v>
      </c>
      <c r="W393">
        <f t="shared" ref="W393:W456" si="42">IF(A393="",0,L393*M393)</f>
        <v>0</v>
      </c>
      <c r="X393" t="str">
        <f t="shared" ref="X393:X456" si="43">IF(R393&lt;&gt;"",R393,IF(AND(P393&lt;&gt;"",Q393&lt;&gt;""),P393&amp;"|"&amp;Q393,""))</f>
        <v/>
      </c>
      <c r="Y393">
        <f>IF(X393="",0,IF(COUNTIF($X$3:X393,X393)=1,1,0))</f>
        <v>0</v>
      </c>
      <c r="Z393">
        <f>IF(V393&lt;&gt;1,0,IF(X393="",0,IF(COUNTIF($X$3:X392,X393)&gt;0,1,0)))</f>
        <v>0</v>
      </c>
      <c r="AA393">
        <f t="shared" si="40"/>
        <v>0</v>
      </c>
      <c r="AB393">
        <f t="shared" si="41"/>
        <v>0</v>
      </c>
      <c r="AC393">
        <f>IF(I393="",0,L393*IFERROR(INDEX(کاتالوگ_محصولات!$G$4:$G$303,MATCH(I393,کاتالوگ_محصولات!$A$4:$A$303,0)),0))</f>
        <v>0</v>
      </c>
      <c r="AD393">
        <f t="shared" ref="AD393:AD456" si="44">IF(A393="",0,O393-AC393)</f>
        <v>0</v>
      </c>
      <c r="AE393" t="str">
        <f t="shared" ref="AE393:AE456" si="45">IF(B393="","",LEFT(B393,7))</f>
        <v/>
      </c>
    </row>
    <row r="394" spans="22:31" ht="18" customHeight="1">
      <c r="V394">
        <f>IF(A394="",0,IF(COUNTIF($A$3:A394,A394)=1,1,0))</f>
        <v>0</v>
      </c>
      <c r="W394">
        <f t="shared" si="42"/>
        <v>0</v>
      </c>
      <c r="X394" t="str">
        <f t="shared" si="43"/>
        <v/>
      </c>
      <c r="Y394">
        <f>IF(X394="",0,IF(COUNTIF($X$3:X394,X394)=1,1,0))</f>
        <v>0</v>
      </c>
      <c r="Z394">
        <f>IF(V394&lt;&gt;1,0,IF(X394="",0,IF(COUNTIF($X$3:X393,X394)&gt;0,1,0)))</f>
        <v>0</v>
      </c>
      <c r="AA394">
        <f t="shared" si="40"/>
        <v>0</v>
      </c>
      <c r="AB394">
        <f t="shared" si="41"/>
        <v>0</v>
      </c>
      <c r="AC394">
        <f>IF(I394="",0,L394*IFERROR(INDEX(کاتالوگ_محصولات!$G$4:$G$303,MATCH(I394,کاتالوگ_محصولات!$A$4:$A$303,0)),0))</f>
        <v>0</v>
      </c>
      <c r="AD394">
        <f t="shared" si="44"/>
        <v>0</v>
      </c>
      <c r="AE394" t="str">
        <f t="shared" si="45"/>
        <v/>
      </c>
    </row>
    <row r="395" spans="22:31" ht="18" customHeight="1">
      <c r="V395">
        <f>IF(A395="",0,IF(COUNTIF($A$3:A395,A395)=1,1,0))</f>
        <v>0</v>
      </c>
      <c r="W395">
        <f t="shared" si="42"/>
        <v>0</v>
      </c>
      <c r="X395" t="str">
        <f t="shared" si="43"/>
        <v/>
      </c>
      <c r="Y395">
        <f>IF(X395="",0,IF(COUNTIF($X$3:X395,X395)=1,1,0))</f>
        <v>0</v>
      </c>
      <c r="Z395">
        <f>IF(V395&lt;&gt;1,0,IF(X395="",0,IF(COUNTIF($X$3:X394,X395)&gt;0,1,0)))</f>
        <v>0</v>
      </c>
      <c r="AA395">
        <f t="shared" si="40"/>
        <v>0</v>
      </c>
      <c r="AB395">
        <f t="shared" si="41"/>
        <v>0</v>
      </c>
      <c r="AC395">
        <f>IF(I395="",0,L395*IFERROR(INDEX(کاتالوگ_محصولات!$G$4:$G$303,MATCH(I395,کاتالوگ_محصولات!$A$4:$A$303,0)),0))</f>
        <v>0</v>
      </c>
      <c r="AD395">
        <f t="shared" si="44"/>
        <v>0</v>
      </c>
      <c r="AE395" t="str">
        <f t="shared" si="45"/>
        <v/>
      </c>
    </row>
    <row r="396" spans="22:31" ht="18" customHeight="1">
      <c r="V396">
        <f>IF(A396="",0,IF(COUNTIF($A$3:A396,A396)=1,1,0))</f>
        <v>0</v>
      </c>
      <c r="W396">
        <f t="shared" si="42"/>
        <v>0</v>
      </c>
      <c r="X396" t="str">
        <f t="shared" si="43"/>
        <v/>
      </c>
      <c r="Y396">
        <f>IF(X396="",0,IF(COUNTIF($X$3:X396,X396)=1,1,0))</f>
        <v>0</v>
      </c>
      <c r="Z396">
        <f>IF(V396&lt;&gt;1,0,IF(X396="",0,IF(COUNTIF($X$3:X395,X396)&gt;0,1,0)))</f>
        <v>0</v>
      </c>
      <c r="AA396">
        <f t="shared" si="40"/>
        <v>0</v>
      </c>
      <c r="AB396">
        <f t="shared" si="41"/>
        <v>0</v>
      </c>
      <c r="AC396">
        <f>IF(I396="",0,L396*IFERROR(INDEX(کاتالوگ_محصولات!$G$4:$G$303,MATCH(I396,کاتالوگ_محصولات!$A$4:$A$303,0)),0))</f>
        <v>0</v>
      </c>
      <c r="AD396">
        <f t="shared" si="44"/>
        <v>0</v>
      </c>
      <c r="AE396" t="str">
        <f t="shared" si="45"/>
        <v/>
      </c>
    </row>
    <row r="397" spans="22:31" ht="18" customHeight="1">
      <c r="V397">
        <f>IF(A397="",0,IF(COUNTIF($A$3:A397,A397)=1,1,0))</f>
        <v>0</v>
      </c>
      <c r="W397">
        <f t="shared" si="42"/>
        <v>0</v>
      </c>
      <c r="X397" t="str">
        <f t="shared" si="43"/>
        <v/>
      </c>
      <c r="Y397">
        <f>IF(X397="",0,IF(COUNTIF($X$3:X397,X397)=1,1,0))</f>
        <v>0</v>
      </c>
      <c r="Z397">
        <f>IF(V397&lt;&gt;1,0,IF(X397="",0,IF(COUNTIF($X$3:X396,X397)&gt;0,1,0)))</f>
        <v>0</v>
      </c>
      <c r="AA397">
        <f t="shared" si="40"/>
        <v>0</v>
      </c>
      <c r="AB397">
        <f t="shared" si="41"/>
        <v>0</v>
      </c>
      <c r="AC397">
        <f>IF(I397="",0,L397*IFERROR(INDEX(کاتالوگ_محصولات!$G$4:$G$303,MATCH(I397,کاتالوگ_محصولات!$A$4:$A$303,0)),0))</f>
        <v>0</v>
      </c>
      <c r="AD397">
        <f t="shared" si="44"/>
        <v>0</v>
      </c>
      <c r="AE397" t="str">
        <f t="shared" si="45"/>
        <v/>
      </c>
    </row>
    <row r="398" spans="22:31" ht="18" customHeight="1">
      <c r="V398">
        <f>IF(A398="",0,IF(COUNTIF($A$3:A398,A398)=1,1,0))</f>
        <v>0</v>
      </c>
      <c r="W398">
        <f t="shared" si="42"/>
        <v>0</v>
      </c>
      <c r="X398" t="str">
        <f t="shared" si="43"/>
        <v/>
      </c>
      <c r="Y398">
        <f>IF(X398="",0,IF(COUNTIF($X$3:X398,X398)=1,1,0))</f>
        <v>0</v>
      </c>
      <c r="Z398">
        <f>IF(V398&lt;&gt;1,0,IF(X398="",0,IF(COUNTIF($X$3:X397,X398)&gt;0,1,0)))</f>
        <v>0</v>
      </c>
      <c r="AA398">
        <f t="shared" si="40"/>
        <v>0</v>
      </c>
      <c r="AB398">
        <f t="shared" si="41"/>
        <v>0</v>
      </c>
      <c r="AC398">
        <f>IF(I398="",0,L398*IFERROR(INDEX(کاتالوگ_محصولات!$G$4:$G$303,MATCH(I398,کاتالوگ_محصولات!$A$4:$A$303,0)),0))</f>
        <v>0</v>
      </c>
      <c r="AD398">
        <f t="shared" si="44"/>
        <v>0</v>
      </c>
      <c r="AE398" t="str">
        <f t="shared" si="45"/>
        <v/>
      </c>
    </row>
    <row r="399" spans="22:31" ht="18" customHeight="1">
      <c r="V399">
        <f>IF(A399="",0,IF(COUNTIF($A$3:A399,A399)=1,1,0))</f>
        <v>0</v>
      </c>
      <c r="W399">
        <f t="shared" si="42"/>
        <v>0</v>
      </c>
      <c r="X399" t="str">
        <f t="shared" si="43"/>
        <v/>
      </c>
      <c r="Y399">
        <f>IF(X399="",0,IF(COUNTIF($X$3:X399,X399)=1,1,0))</f>
        <v>0</v>
      </c>
      <c r="Z399">
        <f>IF(V399&lt;&gt;1,0,IF(X399="",0,IF(COUNTIF($X$3:X398,X399)&gt;0,1,0)))</f>
        <v>0</v>
      </c>
      <c r="AA399">
        <f t="shared" si="40"/>
        <v>0</v>
      </c>
      <c r="AB399">
        <f t="shared" si="41"/>
        <v>0</v>
      </c>
      <c r="AC399">
        <f>IF(I399="",0,L399*IFERROR(INDEX(کاتالوگ_محصولات!$G$4:$G$303,MATCH(I399,کاتالوگ_محصولات!$A$4:$A$303,0)),0))</f>
        <v>0</v>
      </c>
      <c r="AD399">
        <f t="shared" si="44"/>
        <v>0</v>
      </c>
      <c r="AE399" t="str">
        <f t="shared" si="45"/>
        <v/>
      </c>
    </row>
    <row r="400" spans="22:31" ht="18" customHeight="1">
      <c r="V400">
        <f>IF(A400="",0,IF(COUNTIF($A$3:A400,A400)=1,1,0))</f>
        <v>0</v>
      </c>
      <c r="W400">
        <f t="shared" si="42"/>
        <v>0</v>
      </c>
      <c r="X400" t="str">
        <f t="shared" si="43"/>
        <v/>
      </c>
      <c r="Y400">
        <f>IF(X400="",0,IF(COUNTIF($X$3:X400,X400)=1,1,0))</f>
        <v>0</v>
      </c>
      <c r="Z400">
        <f>IF(V400&lt;&gt;1,0,IF(X400="",0,IF(COUNTIF($X$3:X399,X400)&gt;0,1,0)))</f>
        <v>0</v>
      </c>
      <c r="AA400">
        <f t="shared" si="40"/>
        <v>0</v>
      </c>
      <c r="AB400">
        <f t="shared" si="41"/>
        <v>0</v>
      </c>
      <c r="AC400">
        <f>IF(I400="",0,L400*IFERROR(INDEX(کاتالوگ_محصولات!$G$4:$G$303,MATCH(I400,کاتالوگ_محصولات!$A$4:$A$303,0)),0))</f>
        <v>0</v>
      </c>
      <c r="AD400">
        <f t="shared" si="44"/>
        <v>0</v>
      </c>
      <c r="AE400" t="str">
        <f t="shared" si="45"/>
        <v/>
      </c>
    </row>
    <row r="401" spans="22:31" ht="18" customHeight="1">
      <c r="V401">
        <f>IF(A401="",0,IF(COUNTIF($A$3:A401,A401)=1,1,0))</f>
        <v>0</v>
      </c>
      <c r="W401">
        <f t="shared" si="42"/>
        <v>0</v>
      </c>
      <c r="X401" t="str">
        <f t="shared" si="43"/>
        <v/>
      </c>
      <c r="Y401">
        <f>IF(X401="",0,IF(COUNTIF($X$3:X401,X401)=1,1,0))</f>
        <v>0</v>
      </c>
      <c r="Z401">
        <f>IF(V401&lt;&gt;1,0,IF(X401="",0,IF(COUNTIF($X$3:X400,X401)&gt;0,1,0)))</f>
        <v>0</v>
      </c>
      <c r="AA401">
        <f t="shared" si="40"/>
        <v>0</v>
      </c>
      <c r="AB401">
        <f t="shared" si="41"/>
        <v>0</v>
      </c>
      <c r="AC401">
        <f>IF(I401="",0,L401*IFERROR(INDEX(کاتالوگ_محصولات!$G$4:$G$303,MATCH(I401,کاتالوگ_محصولات!$A$4:$A$303,0)),0))</f>
        <v>0</v>
      </c>
      <c r="AD401">
        <f t="shared" si="44"/>
        <v>0</v>
      </c>
      <c r="AE401" t="str">
        <f t="shared" si="45"/>
        <v/>
      </c>
    </row>
    <row r="402" spans="22:31" ht="18" customHeight="1">
      <c r="V402">
        <f>IF(A402="",0,IF(COUNTIF($A$3:A402,A402)=1,1,0))</f>
        <v>0</v>
      </c>
      <c r="W402">
        <f t="shared" si="42"/>
        <v>0</v>
      </c>
      <c r="X402" t="str">
        <f t="shared" si="43"/>
        <v/>
      </c>
      <c r="Y402">
        <f>IF(X402="",0,IF(COUNTIF($X$3:X402,X402)=1,1,0))</f>
        <v>0</v>
      </c>
      <c r="Z402">
        <f>IF(V402&lt;&gt;1,0,IF(X402="",0,IF(COUNTIF($X$3:X401,X402)&gt;0,1,0)))</f>
        <v>0</v>
      </c>
      <c r="AA402">
        <f t="shared" si="40"/>
        <v>0</v>
      </c>
      <c r="AB402">
        <f t="shared" si="41"/>
        <v>0</v>
      </c>
      <c r="AC402">
        <f>IF(I402="",0,L402*IFERROR(INDEX(کاتالوگ_محصولات!$G$4:$G$303,MATCH(I402,کاتالوگ_محصولات!$A$4:$A$303,0)),0))</f>
        <v>0</v>
      </c>
      <c r="AD402">
        <f t="shared" si="44"/>
        <v>0</v>
      </c>
      <c r="AE402" t="str">
        <f t="shared" si="45"/>
        <v/>
      </c>
    </row>
    <row r="403" spans="22:31" ht="18" customHeight="1">
      <c r="V403">
        <f>IF(A403="",0,IF(COUNTIF($A$3:A403,A403)=1,1,0))</f>
        <v>0</v>
      </c>
      <c r="W403">
        <f t="shared" si="42"/>
        <v>0</v>
      </c>
      <c r="X403" t="str">
        <f t="shared" si="43"/>
        <v/>
      </c>
      <c r="Y403">
        <f>IF(X403="",0,IF(COUNTIF($X$3:X403,X403)=1,1,0))</f>
        <v>0</v>
      </c>
      <c r="Z403">
        <f>IF(V403&lt;&gt;1,0,IF(X403="",0,IF(COUNTIF($X$3:X402,X403)&gt;0,1,0)))</f>
        <v>0</v>
      </c>
      <c r="AA403">
        <f t="shared" si="40"/>
        <v>0</v>
      </c>
      <c r="AB403">
        <f t="shared" si="41"/>
        <v>0</v>
      </c>
      <c r="AC403">
        <f>IF(I403="",0,L403*IFERROR(INDEX(کاتالوگ_محصولات!$G$4:$G$303,MATCH(I403,کاتالوگ_محصولات!$A$4:$A$303,0)),0))</f>
        <v>0</v>
      </c>
      <c r="AD403">
        <f t="shared" si="44"/>
        <v>0</v>
      </c>
      <c r="AE403" t="str">
        <f t="shared" si="45"/>
        <v/>
      </c>
    </row>
    <row r="404" spans="22:31" ht="18" customHeight="1">
      <c r="V404">
        <f>IF(A404="",0,IF(COUNTIF($A$3:A404,A404)=1,1,0))</f>
        <v>0</v>
      </c>
      <c r="W404">
        <f t="shared" si="42"/>
        <v>0</v>
      </c>
      <c r="X404" t="str">
        <f t="shared" si="43"/>
        <v/>
      </c>
      <c r="Y404">
        <f>IF(X404="",0,IF(COUNTIF($X$3:X404,X404)=1,1,0))</f>
        <v>0</v>
      </c>
      <c r="Z404">
        <f>IF(V404&lt;&gt;1,0,IF(X404="",0,IF(COUNTIF($X$3:X403,X404)&gt;0,1,0)))</f>
        <v>0</v>
      </c>
      <c r="AA404">
        <f t="shared" si="40"/>
        <v>0</v>
      </c>
      <c r="AB404">
        <f t="shared" si="41"/>
        <v>0</v>
      </c>
      <c r="AC404">
        <f>IF(I404="",0,L404*IFERROR(INDEX(کاتالوگ_محصولات!$G$4:$G$303,MATCH(I404,کاتالوگ_محصولات!$A$4:$A$303,0)),0))</f>
        <v>0</v>
      </c>
      <c r="AD404">
        <f t="shared" si="44"/>
        <v>0</v>
      </c>
      <c r="AE404" t="str">
        <f t="shared" si="45"/>
        <v/>
      </c>
    </row>
    <row r="405" spans="22:31" ht="18" customHeight="1">
      <c r="V405">
        <f>IF(A405="",0,IF(COUNTIF($A$3:A405,A405)=1,1,0))</f>
        <v>0</v>
      </c>
      <c r="W405">
        <f t="shared" si="42"/>
        <v>0</v>
      </c>
      <c r="X405" t="str">
        <f t="shared" si="43"/>
        <v/>
      </c>
      <c r="Y405">
        <f>IF(X405="",0,IF(COUNTIF($X$3:X405,X405)=1,1,0))</f>
        <v>0</v>
      </c>
      <c r="Z405">
        <f>IF(V405&lt;&gt;1,0,IF(X405="",0,IF(COUNTIF($X$3:X404,X405)&gt;0,1,0)))</f>
        <v>0</v>
      </c>
      <c r="AA405">
        <f t="shared" si="40"/>
        <v>0</v>
      </c>
      <c r="AB405">
        <f t="shared" si="41"/>
        <v>0</v>
      </c>
      <c r="AC405">
        <f>IF(I405="",0,L405*IFERROR(INDEX(کاتالوگ_محصولات!$G$4:$G$303,MATCH(I405,کاتالوگ_محصولات!$A$4:$A$303,0)),0))</f>
        <v>0</v>
      </c>
      <c r="AD405">
        <f t="shared" si="44"/>
        <v>0</v>
      </c>
      <c r="AE405" t="str">
        <f t="shared" si="45"/>
        <v/>
      </c>
    </row>
    <row r="406" spans="22:31" ht="18" customHeight="1">
      <c r="V406">
        <f>IF(A406="",0,IF(COUNTIF($A$3:A406,A406)=1,1,0))</f>
        <v>0</v>
      </c>
      <c r="W406">
        <f t="shared" si="42"/>
        <v>0</v>
      </c>
      <c r="X406" t="str">
        <f t="shared" si="43"/>
        <v/>
      </c>
      <c r="Y406">
        <f>IF(X406="",0,IF(COUNTIF($X$3:X406,X406)=1,1,0))</f>
        <v>0</v>
      </c>
      <c r="Z406">
        <f>IF(V406&lt;&gt;1,0,IF(X406="",0,IF(COUNTIF($X$3:X405,X406)&gt;0,1,0)))</f>
        <v>0</v>
      </c>
      <c r="AA406">
        <f t="shared" si="40"/>
        <v>0</v>
      </c>
      <c r="AB406">
        <f t="shared" si="41"/>
        <v>0</v>
      </c>
      <c r="AC406">
        <f>IF(I406="",0,L406*IFERROR(INDEX(کاتالوگ_محصولات!$G$4:$G$303,MATCH(I406,کاتالوگ_محصولات!$A$4:$A$303,0)),0))</f>
        <v>0</v>
      </c>
      <c r="AD406">
        <f t="shared" si="44"/>
        <v>0</v>
      </c>
      <c r="AE406" t="str">
        <f t="shared" si="45"/>
        <v/>
      </c>
    </row>
    <row r="407" spans="22:31" ht="18" customHeight="1">
      <c r="V407">
        <f>IF(A407="",0,IF(COUNTIF($A$3:A407,A407)=1,1,0))</f>
        <v>0</v>
      </c>
      <c r="W407">
        <f t="shared" si="42"/>
        <v>0</v>
      </c>
      <c r="X407" t="str">
        <f t="shared" si="43"/>
        <v/>
      </c>
      <c r="Y407">
        <f>IF(X407="",0,IF(COUNTIF($X$3:X407,X407)=1,1,0))</f>
        <v>0</v>
      </c>
      <c r="Z407">
        <f>IF(V407&lt;&gt;1,0,IF(X407="",0,IF(COUNTIF($X$3:X406,X407)&gt;0,1,0)))</f>
        <v>0</v>
      </c>
      <c r="AA407">
        <f t="shared" si="40"/>
        <v>0</v>
      </c>
      <c r="AB407">
        <f t="shared" si="41"/>
        <v>0</v>
      </c>
      <c r="AC407">
        <f>IF(I407="",0,L407*IFERROR(INDEX(کاتالوگ_محصولات!$G$4:$G$303,MATCH(I407,کاتالوگ_محصولات!$A$4:$A$303,0)),0))</f>
        <v>0</v>
      </c>
      <c r="AD407">
        <f t="shared" si="44"/>
        <v>0</v>
      </c>
      <c r="AE407" t="str">
        <f t="shared" si="45"/>
        <v/>
      </c>
    </row>
    <row r="408" spans="22:31" ht="18" customHeight="1">
      <c r="V408">
        <f>IF(A408="",0,IF(COUNTIF($A$3:A408,A408)=1,1,0))</f>
        <v>0</v>
      </c>
      <c r="W408">
        <f t="shared" si="42"/>
        <v>0</v>
      </c>
      <c r="X408" t="str">
        <f t="shared" si="43"/>
        <v/>
      </c>
      <c r="Y408">
        <f>IF(X408="",0,IF(COUNTIF($X$3:X408,X408)=1,1,0))</f>
        <v>0</v>
      </c>
      <c r="Z408">
        <f>IF(V408&lt;&gt;1,0,IF(X408="",0,IF(COUNTIF($X$3:X407,X408)&gt;0,1,0)))</f>
        <v>0</v>
      </c>
      <c r="AA408">
        <f t="shared" si="40"/>
        <v>0</v>
      </c>
      <c r="AB408">
        <f t="shared" si="41"/>
        <v>0</v>
      </c>
      <c r="AC408">
        <f>IF(I408="",0,L408*IFERROR(INDEX(کاتالوگ_محصولات!$G$4:$G$303,MATCH(I408,کاتالوگ_محصولات!$A$4:$A$303,0)),0))</f>
        <v>0</v>
      </c>
      <c r="AD408">
        <f t="shared" si="44"/>
        <v>0</v>
      </c>
      <c r="AE408" t="str">
        <f t="shared" si="45"/>
        <v/>
      </c>
    </row>
    <row r="409" spans="22:31" ht="18" customHeight="1">
      <c r="V409">
        <f>IF(A409="",0,IF(COUNTIF($A$3:A409,A409)=1,1,0))</f>
        <v>0</v>
      </c>
      <c r="W409">
        <f t="shared" si="42"/>
        <v>0</v>
      </c>
      <c r="X409" t="str">
        <f t="shared" si="43"/>
        <v/>
      </c>
      <c r="Y409">
        <f>IF(X409="",0,IF(COUNTIF($X$3:X409,X409)=1,1,0))</f>
        <v>0</v>
      </c>
      <c r="Z409">
        <f>IF(V409&lt;&gt;1,0,IF(X409="",0,IF(COUNTIF($X$3:X408,X409)&gt;0,1,0)))</f>
        <v>0</v>
      </c>
      <c r="AA409">
        <f t="shared" si="40"/>
        <v>0</v>
      </c>
      <c r="AB409">
        <f t="shared" si="41"/>
        <v>0</v>
      </c>
      <c r="AC409">
        <f>IF(I409="",0,L409*IFERROR(INDEX(کاتالوگ_محصولات!$G$4:$G$303,MATCH(I409,کاتالوگ_محصولات!$A$4:$A$303,0)),0))</f>
        <v>0</v>
      </c>
      <c r="AD409">
        <f t="shared" si="44"/>
        <v>0</v>
      </c>
      <c r="AE409" t="str">
        <f t="shared" si="45"/>
        <v/>
      </c>
    </row>
    <row r="410" spans="22:31" ht="18" customHeight="1">
      <c r="V410">
        <f>IF(A410="",0,IF(COUNTIF($A$3:A410,A410)=1,1,0))</f>
        <v>0</v>
      </c>
      <c r="W410">
        <f t="shared" si="42"/>
        <v>0</v>
      </c>
      <c r="X410" t="str">
        <f t="shared" si="43"/>
        <v/>
      </c>
      <c r="Y410">
        <f>IF(X410="",0,IF(COUNTIF($X$3:X410,X410)=1,1,0))</f>
        <v>0</v>
      </c>
      <c r="Z410">
        <f>IF(V410&lt;&gt;1,0,IF(X410="",0,IF(COUNTIF($X$3:X409,X410)&gt;0,1,0)))</f>
        <v>0</v>
      </c>
      <c r="AA410">
        <f t="shared" si="40"/>
        <v>0</v>
      </c>
      <c r="AB410">
        <f t="shared" si="41"/>
        <v>0</v>
      </c>
      <c r="AC410">
        <f>IF(I410="",0,L410*IFERROR(INDEX(کاتالوگ_محصولات!$G$4:$G$303,MATCH(I410,کاتالوگ_محصولات!$A$4:$A$303,0)),0))</f>
        <v>0</v>
      </c>
      <c r="AD410">
        <f t="shared" si="44"/>
        <v>0</v>
      </c>
      <c r="AE410" t="str">
        <f t="shared" si="45"/>
        <v/>
      </c>
    </row>
    <row r="411" spans="22:31" ht="18" customHeight="1">
      <c r="V411">
        <f>IF(A411="",0,IF(COUNTIF($A$3:A411,A411)=1,1,0))</f>
        <v>0</v>
      </c>
      <c r="W411">
        <f t="shared" si="42"/>
        <v>0</v>
      </c>
      <c r="X411" t="str">
        <f t="shared" si="43"/>
        <v/>
      </c>
      <c r="Y411">
        <f>IF(X411="",0,IF(COUNTIF($X$3:X411,X411)=1,1,0))</f>
        <v>0</v>
      </c>
      <c r="Z411">
        <f>IF(V411&lt;&gt;1,0,IF(X411="",0,IF(COUNTIF($X$3:X410,X411)&gt;0,1,0)))</f>
        <v>0</v>
      </c>
      <c r="AA411">
        <f t="shared" si="40"/>
        <v>0</v>
      </c>
      <c r="AB411">
        <f t="shared" si="41"/>
        <v>0</v>
      </c>
      <c r="AC411">
        <f>IF(I411="",0,L411*IFERROR(INDEX(کاتالوگ_محصولات!$G$4:$G$303,MATCH(I411,کاتالوگ_محصولات!$A$4:$A$303,0)),0))</f>
        <v>0</v>
      </c>
      <c r="AD411">
        <f t="shared" si="44"/>
        <v>0</v>
      </c>
      <c r="AE411" t="str">
        <f t="shared" si="45"/>
        <v/>
      </c>
    </row>
    <row r="412" spans="22:31" ht="18" customHeight="1">
      <c r="V412">
        <f>IF(A412="",0,IF(COUNTIF($A$3:A412,A412)=1,1,0))</f>
        <v>0</v>
      </c>
      <c r="W412">
        <f t="shared" si="42"/>
        <v>0</v>
      </c>
      <c r="X412" t="str">
        <f t="shared" si="43"/>
        <v/>
      </c>
      <c r="Y412">
        <f>IF(X412="",0,IF(COUNTIF($X$3:X412,X412)=1,1,0))</f>
        <v>0</v>
      </c>
      <c r="Z412">
        <f>IF(V412&lt;&gt;1,0,IF(X412="",0,IF(COUNTIF($X$3:X411,X412)&gt;0,1,0)))</f>
        <v>0</v>
      </c>
      <c r="AA412">
        <f t="shared" si="40"/>
        <v>0</v>
      </c>
      <c r="AB412">
        <f t="shared" si="41"/>
        <v>0</v>
      </c>
      <c r="AC412">
        <f>IF(I412="",0,L412*IFERROR(INDEX(کاتالوگ_محصولات!$G$4:$G$303,MATCH(I412,کاتالوگ_محصولات!$A$4:$A$303,0)),0))</f>
        <v>0</v>
      </c>
      <c r="AD412">
        <f t="shared" si="44"/>
        <v>0</v>
      </c>
      <c r="AE412" t="str">
        <f t="shared" si="45"/>
        <v/>
      </c>
    </row>
    <row r="413" spans="22:31" ht="18" customHeight="1">
      <c r="V413">
        <f>IF(A413="",0,IF(COUNTIF($A$3:A413,A413)=1,1,0))</f>
        <v>0</v>
      </c>
      <c r="W413">
        <f t="shared" si="42"/>
        <v>0</v>
      </c>
      <c r="X413" t="str">
        <f t="shared" si="43"/>
        <v/>
      </c>
      <c r="Y413">
        <f>IF(X413="",0,IF(COUNTIF($X$3:X413,X413)=1,1,0))</f>
        <v>0</v>
      </c>
      <c r="Z413">
        <f>IF(V413&lt;&gt;1,0,IF(X413="",0,IF(COUNTIF($X$3:X412,X413)&gt;0,1,0)))</f>
        <v>0</v>
      </c>
      <c r="AA413">
        <f t="shared" si="40"/>
        <v>0</v>
      </c>
      <c r="AB413">
        <f t="shared" si="41"/>
        <v>0</v>
      </c>
      <c r="AC413">
        <f>IF(I413="",0,L413*IFERROR(INDEX(کاتالوگ_محصولات!$G$4:$G$303,MATCH(I413,کاتالوگ_محصولات!$A$4:$A$303,0)),0))</f>
        <v>0</v>
      </c>
      <c r="AD413">
        <f t="shared" si="44"/>
        <v>0</v>
      </c>
      <c r="AE413" t="str">
        <f t="shared" si="45"/>
        <v/>
      </c>
    </row>
    <row r="414" spans="22:31" ht="18" customHeight="1">
      <c r="V414">
        <f>IF(A414="",0,IF(COUNTIF($A$3:A414,A414)=1,1,0))</f>
        <v>0</v>
      </c>
      <c r="W414">
        <f t="shared" si="42"/>
        <v>0</v>
      </c>
      <c r="X414" t="str">
        <f t="shared" si="43"/>
        <v/>
      </c>
      <c r="Y414">
        <f>IF(X414="",0,IF(COUNTIF($X$3:X414,X414)=1,1,0))</f>
        <v>0</v>
      </c>
      <c r="Z414">
        <f>IF(V414&lt;&gt;1,0,IF(X414="",0,IF(COUNTIF($X$3:X413,X414)&gt;0,1,0)))</f>
        <v>0</v>
      </c>
      <c r="AA414">
        <f t="shared" si="40"/>
        <v>0</v>
      </c>
      <c r="AB414">
        <f t="shared" si="41"/>
        <v>0</v>
      </c>
      <c r="AC414">
        <f>IF(I414="",0,L414*IFERROR(INDEX(کاتالوگ_محصولات!$G$4:$G$303,MATCH(I414,کاتالوگ_محصولات!$A$4:$A$303,0)),0))</f>
        <v>0</v>
      </c>
      <c r="AD414">
        <f t="shared" si="44"/>
        <v>0</v>
      </c>
      <c r="AE414" t="str">
        <f t="shared" si="45"/>
        <v/>
      </c>
    </row>
    <row r="415" spans="22:31" ht="18" customHeight="1">
      <c r="V415">
        <f>IF(A415="",0,IF(COUNTIF($A$3:A415,A415)=1,1,0))</f>
        <v>0</v>
      </c>
      <c r="W415">
        <f t="shared" si="42"/>
        <v>0</v>
      </c>
      <c r="X415" t="str">
        <f t="shared" si="43"/>
        <v/>
      </c>
      <c r="Y415">
        <f>IF(X415="",0,IF(COUNTIF($X$3:X415,X415)=1,1,0))</f>
        <v>0</v>
      </c>
      <c r="Z415">
        <f>IF(V415&lt;&gt;1,0,IF(X415="",0,IF(COUNTIF($X$3:X414,X415)&gt;0,1,0)))</f>
        <v>0</v>
      </c>
      <c r="AA415">
        <f t="shared" si="40"/>
        <v>0</v>
      </c>
      <c r="AB415">
        <f t="shared" si="41"/>
        <v>0</v>
      </c>
      <c r="AC415">
        <f>IF(I415="",0,L415*IFERROR(INDEX(کاتالوگ_محصولات!$G$4:$G$303,MATCH(I415,کاتالوگ_محصولات!$A$4:$A$303,0)),0))</f>
        <v>0</v>
      </c>
      <c r="AD415">
        <f t="shared" si="44"/>
        <v>0</v>
      </c>
      <c r="AE415" t="str">
        <f t="shared" si="45"/>
        <v/>
      </c>
    </row>
    <row r="416" spans="22:31" ht="18" customHeight="1">
      <c r="V416">
        <f>IF(A416="",0,IF(COUNTIF($A$3:A416,A416)=1,1,0))</f>
        <v>0</v>
      </c>
      <c r="W416">
        <f t="shared" si="42"/>
        <v>0</v>
      </c>
      <c r="X416" t="str">
        <f t="shared" si="43"/>
        <v/>
      </c>
      <c r="Y416">
        <f>IF(X416="",0,IF(COUNTIF($X$3:X416,X416)=1,1,0))</f>
        <v>0</v>
      </c>
      <c r="Z416">
        <f>IF(V416&lt;&gt;1,0,IF(X416="",0,IF(COUNTIF($X$3:X415,X416)&gt;0,1,0)))</f>
        <v>0</v>
      </c>
      <c r="AA416">
        <f t="shared" si="40"/>
        <v>0</v>
      </c>
      <c r="AB416">
        <f t="shared" si="41"/>
        <v>0</v>
      </c>
      <c r="AC416">
        <f>IF(I416="",0,L416*IFERROR(INDEX(کاتالوگ_محصولات!$G$4:$G$303,MATCH(I416,کاتالوگ_محصولات!$A$4:$A$303,0)),0))</f>
        <v>0</v>
      </c>
      <c r="AD416">
        <f t="shared" si="44"/>
        <v>0</v>
      </c>
      <c r="AE416" t="str">
        <f t="shared" si="45"/>
        <v/>
      </c>
    </row>
    <row r="417" spans="22:31" ht="18" customHeight="1">
      <c r="V417">
        <f>IF(A417="",0,IF(COUNTIF($A$3:A417,A417)=1,1,0))</f>
        <v>0</v>
      </c>
      <c r="W417">
        <f t="shared" si="42"/>
        <v>0</v>
      </c>
      <c r="X417" t="str">
        <f t="shared" si="43"/>
        <v/>
      </c>
      <c r="Y417">
        <f>IF(X417="",0,IF(COUNTIF($X$3:X417,X417)=1,1,0))</f>
        <v>0</v>
      </c>
      <c r="Z417">
        <f>IF(V417&lt;&gt;1,0,IF(X417="",0,IF(COUNTIF($X$3:X416,X417)&gt;0,1,0)))</f>
        <v>0</v>
      </c>
      <c r="AA417">
        <f t="shared" si="40"/>
        <v>0</v>
      </c>
      <c r="AB417">
        <f t="shared" si="41"/>
        <v>0</v>
      </c>
      <c r="AC417">
        <f>IF(I417="",0,L417*IFERROR(INDEX(کاتالوگ_محصولات!$G$4:$G$303,MATCH(I417,کاتالوگ_محصولات!$A$4:$A$303,0)),0))</f>
        <v>0</v>
      </c>
      <c r="AD417">
        <f t="shared" si="44"/>
        <v>0</v>
      </c>
      <c r="AE417" t="str">
        <f t="shared" si="45"/>
        <v/>
      </c>
    </row>
    <row r="418" spans="22:31" ht="18" customHeight="1">
      <c r="V418">
        <f>IF(A418="",0,IF(COUNTIF($A$3:A418,A418)=1,1,0))</f>
        <v>0</v>
      </c>
      <c r="W418">
        <f t="shared" si="42"/>
        <v>0</v>
      </c>
      <c r="X418" t="str">
        <f t="shared" si="43"/>
        <v/>
      </c>
      <c r="Y418">
        <f>IF(X418="",0,IF(COUNTIF($X$3:X418,X418)=1,1,0))</f>
        <v>0</v>
      </c>
      <c r="Z418">
        <f>IF(V418&lt;&gt;1,0,IF(X418="",0,IF(COUNTIF($X$3:X417,X418)&gt;0,1,0)))</f>
        <v>0</v>
      </c>
      <c r="AA418">
        <f t="shared" si="40"/>
        <v>0</v>
      </c>
      <c r="AB418">
        <f t="shared" si="41"/>
        <v>0</v>
      </c>
      <c r="AC418">
        <f>IF(I418="",0,L418*IFERROR(INDEX(کاتالوگ_محصولات!$G$4:$G$303,MATCH(I418,کاتالوگ_محصولات!$A$4:$A$303,0)),0))</f>
        <v>0</v>
      </c>
      <c r="AD418">
        <f t="shared" si="44"/>
        <v>0</v>
      </c>
      <c r="AE418" t="str">
        <f t="shared" si="45"/>
        <v/>
      </c>
    </row>
    <row r="419" spans="22:31" ht="18" customHeight="1">
      <c r="V419">
        <f>IF(A419="",0,IF(COUNTIF($A$3:A419,A419)=1,1,0))</f>
        <v>0</v>
      </c>
      <c r="W419">
        <f t="shared" si="42"/>
        <v>0</v>
      </c>
      <c r="X419" t="str">
        <f t="shared" si="43"/>
        <v/>
      </c>
      <c r="Y419">
        <f>IF(X419="",0,IF(COUNTIF($X$3:X419,X419)=1,1,0))</f>
        <v>0</v>
      </c>
      <c r="Z419">
        <f>IF(V419&lt;&gt;1,0,IF(X419="",0,IF(COUNTIF($X$3:X418,X419)&gt;0,1,0)))</f>
        <v>0</v>
      </c>
      <c r="AA419">
        <f t="shared" si="40"/>
        <v>0</v>
      </c>
      <c r="AB419">
        <f t="shared" si="41"/>
        <v>0</v>
      </c>
      <c r="AC419">
        <f>IF(I419="",0,L419*IFERROR(INDEX(کاتالوگ_محصولات!$G$4:$G$303,MATCH(I419,کاتالوگ_محصولات!$A$4:$A$303,0)),0))</f>
        <v>0</v>
      </c>
      <c r="AD419">
        <f t="shared" si="44"/>
        <v>0</v>
      </c>
      <c r="AE419" t="str">
        <f t="shared" si="45"/>
        <v/>
      </c>
    </row>
    <row r="420" spans="22:31" ht="18" customHeight="1">
      <c r="V420">
        <f>IF(A420="",0,IF(COUNTIF($A$3:A420,A420)=1,1,0))</f>
        <v>0</v>
      </c>
      <c r="W420">
        <f t="shared" si="42"/>
        <v>0</v>
      </c>
      <c r="X420" t="str">
        <f t="shared" si="43"/>
        <v/>
      </c>
      <c r="Y420">
        <f>IF(X420="",0,IF(COUNTIF($X$3:X420,X420)=1,1,0))</f>
        <v>0</v>
      </c>
      <c r="Z420">
        <f>IF(V420&lt;&gt;1,0,IF(X420="",0,IF(COUNTIF($X$3:X419,X420)&gt;0,1,0)))</f>
        <v>0</v>
      </c>
      <c r="AA420">
        <f t="shared" si="40"/>
        <v>0</v>
      </c>
      <c r="AB420">
        <f t="shared" si="41"/>
        <v>0</v>
      </c>
      <c r="AC420">
        <f>IF(I420="",0,L420*IFERROR(INDEX(کاتالوگ_محصولات!$G$4:$G$303,MATCH(I420,کاتالوگ_محصولات!$A$4:$A$303,0)),0))</f>
        <v>0</v>
      </c>
      <c r="AD420">
        <f t="shared" si="44"/>
        <v>0</v>
      </c>
      <c r="AE420" t="str">
        <f t="shared" si="45"/>
        <v/>
      </c>
    </row>
    <row r="421" spans="22:31" ht="18" customHeight="1">
      <c r="V421">
        <f>IF(A421="",0,IF(COUNTIF($A$3:A421,A421)=1,1,0))</f>
        <v>0</v>
      </c>
      <c r="W421">
        <f t="shared" si="42"/>
        <v>0</v>
      </c>
      <c r="X421" t="str">
        <f t="shared" si="43"/>
        <v/>
      </c>
      <c r="Y421">
        <f>IF(X421="",0,IF(COUNTIF($X$3:X421,X421)=1,1,0))</f>
        <v>0</v>
      </c>
      <c r="Z421">
        <f>IF(V421&lt;&gt;1,0,IF(X421="",0,IF(COUNTIF($X$3:X420,X421)&gt;0,1,0)))</f>
        <v>0</v>
      </c>
      <c r="AA421">
        <f t="shared" si="40"/>
        <v>0</v>
      </c>
      <c r="AB421">
        <f t="shared" si="41"/>
        <v>0</v>
      </c>
      <c r="AC421">
        <f>IF(I421="",0,L421*IFERROR(INDEX(کاتالوگ_محصولات!$G$4:$G$303,MATCH(I421,کاتالوگ_محصولات!$A$4:$A$303,0)),0))</f>
        <v>0</v>
      </c>
      <c r="AD421">
        <f t="shared" si="44"/>
        <v>0</v>
      </c>
      <c r="AE421" t="str">
        <f t="shared" si="45"/>
        <v/>
      </c>
    </row>
    <row r="422" spans="22:31" ht="18" customHeight="1">
      <c r="V422">
        <f>IF(A422="",0,IF(COUNTIF($A$3:A422,A422)=1,1,0))</f>
        <v>0</v>
      </c>
      <c r="W422">
        <f t="shared" si="42"/>
        <v>0</v>
      </c>
      <c r="X422" t="str">
        <f t="shared" si="43"/>
        <v/>
      </c>
      <c r="Y422">
        <f>IF(X422="",0,IF(COUNTIF($X$3:X422,X422)=1,1,0))</f>
        <v>0</v>
      </c>
      <c r="Z422">
        <f>IF(V422&lt;&gt;1,0,IF(X422="",0,IF(COUNTIF($X$3:X421,X422)&gt;0,1,0)))</f>
        <v>0</v>
      </c>
      <c r="AA422">
        <f t="shared" si="40"/>
        <v>0</v>
      </c>
      <c r="AB422">
        <f t="shared" si="41"/>
        <v>0</v>
      </c>
      <c r="AC422">
        <f>IF(I422="",0,L422*IFERROR(INDEX(کاتالوگ_محصولات!$G$4:$G$303,MATCH(I422,کاتالوگ_محصولات!$A$4:$A$303,0)),0))</f>
        <v>0</v>
      </c>
      <c r="AD422">
        <f t="shared" si="44"/>
        <v>0</v>
      </c>
      <c r="AE422" t="str">
        <f t="shared" si="45"/>
        <v/>
      </c>
    </row>
    <row r="423" spans="22:31" ht="18" customHeight="1">
      <c r="V423">
        <f>IF(A423="",0,IF(COUNTIF($A$3:A423,A423)=1,1,0))</f>
        <v>0</v>
      </c>
      <c r="W423">
        <f t="shared" si="42"/>
        <v>0</v>
      </c>
      <c r="X423" t="str">
        <f t="shared" si="43"/>
        <v/>
      </c>
      <c r="Y423">
        <f>IF(X423="",0,IF(COUNTIF($X$3:X423,X423)=1,1,0))</f>
        <v>0</v>
      </c>
      <c r="Z423">
        <f>IF(V423&lt;&gt;1,0,IF(X423="",0,IF(COUNTIF($X$3:X422,X423)&gt;0,1,0)))</f>
        <v>0</v>
      </c>
      <c r="AA423">
        <f t="shared" si="40"/>
        <v>0</v>
      </c>
      <c r="AB423">
        <f t="shared" si="41"/>
        <v>0</v>
      </c>
      <c r="AC423">
        <f>IF(I423="",0,L423*IFERROR(INDEX(کاتالوگ_محصولات!$G$4:$G$303,MATCH(I423,کاتالوگ_محصولات!$A$4:$A$303,0)),0))</f>
        <v>0</v>
      </c>
      <c r="AD423">
        <f t="shared" si="44"/>
        <v>0</v>
      </c>
      <c r="AE423" t="str">
        <f t="shared" si="45"/>
        <v/>
      </c>
    </row>
    <row r="424" spans="22:31" ht="18" customHeight="1">
      <c r="V424">
        <f>IF(A424="",0,IF(COUNTIF($A$3:A424,A424)=1,1,0))</f>
        <v>0</v>
      </c>
      <c r="W424">
        <f t="shared" si="42"/>
        <v>0</v>
      </c>
      <c r="X424" t="str">
        <f t="shared" si="43"/>
        <v/>
      </c>
      <c r="Y424">
        <f>IF(X424="",0,IF(COUNTIF($X$3:X424,X424)=1,1,0))</f>
        <v>0</v>
      </c>
      <c r="Z424">
        <f>IF(V424&lt;&gt;1,0,IF(X424="",0,IF(COUNTIF($X$3:X423,X424)&gt;0,1,0)))</f>
        <v>0</v>
      </c>
      <c r="AA424">
        <f t="shared" si="40"/>
        <v>0</v>
      </c>
      <c r="AB424">
        <f t="shared" si="41"/>
        <v>0</v>
      </c>
      <c r="AC424">
        <f>IF(I424="",0,L424*IFERROR(INDEX(کاتالوگ_محصولات!$G$4:$G$303,MATCH(I424,کاتالوگ_محصولات!$A$4:$A$303,0)),0))</f>
        <v>0</v>
      </c>
      <c r="AD424">
        <f t="shared" si="44"/>
        <v>0</v>
      </c>
      <c r="AE424" t="str">
        <f t="shared" si="45"/>
        <v/>
      </c>
    </row>
    <row r="425" spans="22:31" ht="18" customHeight="1">
      <c r="V425">
        <f>IF(A425="",0,IF(COUNTIF($A$3:A425,A425)=1,1,0))</f>
        <v>0</v>
      </c>
      <c r="W425">
        <f t="shared" si="42"/>
        <v>0</v>
      </c>
      <c r="X425" t="str">
        <f t="shared" si="43"/>
        <v/>
      </c>
      <c r="Y425">
        <f>IF(X425="",0,IF(COUNTIF($X$3:X425,X425)=1,1,0))</f>
        <v>0</v>
      </c>
      <c r="Z425">
        <f>IF(V425&lt;&gt;1,0,IF(X425="",0,IF(COUNTIF($X$3:X424,X425)&gt;0,1,0)))</f>
        <v>0</v>
      </c>
      <c r="AA425">
        <f t="shared" si="40"/>
        <v>0</v>
      </c>
      <c r="AB425">
        <f t="shared" si="41"/>
        <v>0</v>
      </c>
      <c r="AC425">
        <f>IF(I425="",0,L425*IFERROR(INDEX(کاتالوگ_محصولات!$G$4:$G$303,MATCH(I425,کاتالوگ_محصولات!$A$4:$A$303,0)),0))</f>
        <v>0</v>
      </c>
      <c r="AD425">
        <f t="shared" si="44"/>
        <v>0</v>
      </c>
      <c r="AE425" t="str">
        <f t="shared" si="45"/>
        <v/>
      </c>
    </row>
    <row r="426" spans="22:31" ht="18" customHeight="1">
      <c r="V426">
        <f>IF(A426="",0,IF(COUNTIF($A$3:A426,A426)=1,1,0))</f>
        <v>0</v>
      </c>
      <c r="W426">
        <f t="shared" si="42"/>
        <v>0</v>
      </c>
      <c r="X426" t="str">
        <f t="shared" si="43"/>
        <v/>
      </c>
      <c r="Y426">
        <f>IF(X426="",0,IF(COUNTIF($X$3:X426,X426)=1,1,0))</f>
        <v>0</v>
      </c>
      <c r="Z426">
        <f>IF(V426&lt;&gt;1,0,IF(X426="",0,IF(COUNTIF($X$3:X425,X426)&gt;0,1,0)))</f>
        <v>0</v>
      </c>
      <c r="AA426">
        <f t="shared" si="40"/>
        <v>0</v>
      </c>
      <c r="AB426">
        <f t="shared" si="41"/>
        <v>0</v>
      </c>
      <c r="AC426">
        <f>IF(I426="",0,L426*IFERROR(INDEX(کاتالوگ_محصولات!$G$4:$G$303,MATCH(I426,کاتالوگ_محصولات!$A$4:$A$303,0)),0))</f>
        <v>0</v>
      </c>
      <c r="AD426">
        <f t="shared" si="44"/>
        <v>0</v>
      </c>
      <c r="AE426" t="str">
        <f t="shared" si="45"/>
        <v/>
      </c>
    </row>
    <row r="427" spans="22:31" ht="18" customHeight="1">
      <c r="V427">
        <f>IF(A427="",0,IF(COUNTIF($A$3:A427,A427)=1,1,0))</f>
        <v>0</v>
      </c>
      <c r="W427">
        <f t="shared" si="42"/>
        <v>0</v>
      </c>
      <c r="X427" t="str">
        <f t="shared" si="43"/>
        <v/>
      </c>
      <c r="Y427">
        <f>IF(X427="",0,IF(COUNTIF($X$3:X427,X427)=1,1,0))</f>
        <v>0</v>
      </c>
      <c r="Z427">
        <f>IF(V427&lt;&gt;1,0,IF(X427="",0,IF(COUNTIF($X$3:X426,X427)&gt;0,1,0)))</f>
        <v>0</v>
      </c>
      <c r="AA427">
        <f t="shared" si="40"/>
        <v>0</v>
      </c>
      <c r="AB427">
        <f t="shared" si="41"/>
        <v>0</v>
      </c>
      <c r="AC427">
        <f>IF(I427="",0,L427*IFERROR(INDEX(کاتالوگ_محصولات!$G$4:$G$303,MATCH(I427,کاتالوگ_محصولات!$A$4:$A$303,0)),0))</f>
        <v>0</v>
      </c>
      <c r="AD427">
        <f t="shared" si="44"/>
        <v>0</v>
      </c>
      <c r="AE427" t="str">
        <f t="shared" si="45"/>
        <v/>
      </c>
    </row>
    <row r="428" spans="22:31" ht="18" customHeight="1">
      <c r="V428">
        <f>IF(A428="",0,IF(COUNTIF($A$3:A428,A428)=1,1,0))</f>
        <v>0</v>
      </c>
      <c r="W428">
        <f t="shared" si="42"/>
        <v>0</v>
      </c>
      <c r="X428" t="str">
        <f t="shared" si="43"/>
        <v/>
      </c>
      <c r="Y428">
        <f>IF(X428="",0,IF(COUNTIF($X$3:X428,X428)=1,1,0))</f>
        <v>0</v>
      </c>
      <c r="Z428">
        <f>IF(V428&lt;&gt;1,0,IF(X428="",0,IF(COUNTIF($X$3:X427,X428)&gt;0,1,0)))</f>
        <v>0</v>
      </c>
      <c r="AA428">
        <f t="shared" si="40"/>
        <v>0</v>
      </c>
      <c r="AB428">
        <f t="shared" si="41"/>
        <v>0</v>
      </c>
      <c r="AC428">
        <f>IF(I428="",0,L428*IFERROR(INDEX(کاتالوگ_محصولات!$G$4:$G$303,MATCH(I428,کاتالوگ_محصولات!$A$4:$A$303,0)),0))</f>
        <v>0</v>
      </c>
      <c r="AD428">
        <f t="shared" si="44"/>
        <v>0</v>
      </c>
      <c r="AE428" t="str">
        <f t="shared" si="45"/>
        <v/>
      </c>
    </row>
    <row r="429" spans="22:31" ht="18" customHeight="1">
      <c r="V429">
        <f>IF(A429="",0,IF(COUNTIF($A$3:A429,A429)=1,1,0))</f>
        <v>0</v>
      </c>
      <c r="W429">
        <f t="shared" si="42"/>
        <v>0</v>
      </c>
      <c r="X429" t="str">
        <f t="shared" si="43"/>
        <v/>
      </c>
      <c r="Y429">
        <f>IF(X429="",0,IF(COUNTIF($X$3:X429,X429)=1,1,0))</f>
        <v>0</v>
      </c>
      <c r="Z429">
        <f>IF(V429&lt;&gt;1,0,IF(X429="",0,IF(COUNTIF($X$3:X428,X429)&gt;0,1,0)))</f>
        <v>0</v>
      </c>
      <c r="AA429">
        <f t="shared" si="40"/>
        <v>0</v>
      </c>
      <c r="AB429">
        <f t="shared" si="41"/>
        <v>0</v>
      </c>
      <c r="AC429">
        <f>IF(I429="",0,L429*IFERROR(INDEX(کاتالوگ_محصولات!$G$4:$G$303,MATCH(I429,کاتالوگ_محصولات!$A$4:$A$303,0)),0))</f>
        <v>0</v>
      </c>
      <c r="AD429">
        <f t="shared" si="44"/>
        <v>0</v>
      </c>
      <c r="AE429" t="str">
        <f t="shared" si="45"/>
        <v/>
      </c>
    </row>
    <row r="430" spans="22:31" ht="18" customHeight="1">
      <c r="V430">
        <f>IF(A430="",0,IF(COUNTIF($A$3:A430,A430)=1,1,0))</f>
        <v>0</v>
      </c>
      <c r="W430">
        <f t="shared" si="42"/>
        <v>0</v>
      </c>
      <c r="X430" t="str">
        <f t="shared" si="43"/>
        <v/>
      </c>
      <c r="Y430">
        <f>IF(X430="",0,IF(COUNTIF($X$3:X430,X430)=1,1,0))</f>
        <v>0</v>
      </c>
      <c r="Z430">
        <f>IF(V430&lt;&gt;1,0,IF(X430="",0,IF(COUNTIF($X$3:X429,X430)&gt;0,1,0)))</f>
        <v>0</v>
      </c>
      <c r="AA430">
        <f t="shared" si="40"/>
        <v>0</v>
      </c>
      <c r="AB430">
        <f t="shared" si="41"/>
        <v>0</v>
      </c>
      <c r="AC430">
        <f>IF(I430="",0,L430*IFERROR(INDEX(کاتالوگ_محصولات!$G$4:$G$303,MATCH(I430,کاتالوگ_محصولات!$A$4:$A$303,0)),0))</f>
        <v>0</v>
      </c>
      <c r="AD430">
        <f t="shared" si="44"/>
        <v>0</v>
      </c>
      <c r="AE430" t="str">
        <f t="shared" si="45"/>
        <v/>
      </c>
    </row>
    <row r="431" spans="22:31" ht="18" customHeight="1">
      <c r="V431">
        <f>IF(A431="",0,IF(COUNTIF($A$3:A431,A431)=1,1,0))</f>
        <v>0</v>
      </c>
      <c r="W431">
        <f t="shared" si="42"/>
        <v>0</v>
      </c>
      <c r="X431" t="str">
        <f t="shared" si="43"/>
        <v/>
      </c>
      <c r="Y431">
        <f>IF(X431="",0,IF(COUNTIF($X$3:X431,X431)=1,1,0))</f>
        <v>0</v>
      </c>
      <c r="Z431">
        <f>IF(V431&lt;&gt;1,0,IF(X431="",0,IF(COUNTIF($X$3:X430,X431)&gt;0,1,0)))</f>
        <v>0</v>
      </c>
      <c r="AA431">
        <f t="shared" si="40"/>
        <v>0</v>
      </c>
      <c r="AB431">
        <f t="shared" si="41"/>
        <v>0</v>
      </c>
      <c r="AC431">
        <f>IF(I431="",0,L431*IFERROR(INDEX(کاتالوگ_محصولات!$G$4:$G$303,MATCH(I431,کاتالوگ_محصولات!$A$4:$A$303,0)),0))</f>
        <v>0</v>
      </c>
      <c r="AD431">
        <f t="shared" si="44"/>
        <v>0</v>
      </c>
      <c r="AE431" t="str">
        <f t="shared" si="45"/>
        <v/>
      </c>
    </row>
    <row r="432" spans="22:31" ht="18" customHeight="1">
      <c r="V432">
        <f>IF(A432="",0,IF(COUNTIF($A$3:A432,A432)=1,1,0))</f>
        <v>0</v>
      </c>
      <c r="W432">
        <f t="shared" si="42"/>
        <v>0</v>
      </c>
      <c r="X432" t="str">
        <f t="shared" si="43"/>
        <v/>
      </c>
      <c r="Y432">
        <f>IF(X432="",0,IF(COUNTIF($X$3:X432,X432)=1,1,0))</f>
        <v>0</v>
      </c>
      <c r="Z432">
        <f>IF(V432&lt;&gt;1,0,IF(X432="",0,IF(COUNTIF($X$3:X431,X432)&gt;0,1,0)))</f>
        <v>0</v>
      </c>
      <c r="AA432">
        <f t="shared" si="40"/>
        <v>0</v>
      </c>
      <c r="AB432">
        <f t="shared" si="41"/>
        <v>0</v>
      </c>
      <c r="AC432">
        <f>IF(I432="",0,L432*IFERROR(INDEX(کاتالوگ_محصولات!$G$4:$G$303,MATCH(I432,کاتالوگ_محصولات!$A$4:$A$303,0)),0))</f>
        <v>0</v>
      </c>
      <c r="AD432">
        <f t="shared" si="44"/>
        <v>0</v>
      </c>
      <c r="AE432" t="str">
        <f t="shared" si="45"/>
        <v/>
      </c>
    </row>
    <row r="433" spans="22:31" ht="18" customHeight="1">
      <c r="V433">
        <f>IF(A433="",0,IF(COUNTIF($A$3:A433,A433)=1,1,0))</f>
        <v>0</v>
      </c>
      <c r="W433">
        <f t="shared" si="42"/>
        <v>0</v>
      </c>
      <c r="X433" t="str">
        <f t="shared" si="43"/>
        <v/>
      </c>
      <c r="Y433">
        <f>IF(X433="",0,IF(COUNTIF($X$3:X433,X433)=1,1,0))</f>
        <v>0</v>
      </c>
      <c r="Z433">
        <f>IF(V433&lt;&gt;1,0,IF(X433="",0,IF(COUNTIF($X$3:X432,X433)&gt;0,1,0)))</f>
        <v>0</v>
      </c>
      <c r="AA433">
        <f t="shared" si="40"/>
        <v>0</v>
      </c>
      <c r="AB433">
        <f t="shared" si="41"/>
        <v>0</v>
      </c>
      <c r="AC433">
        <f>IF(I433="",0,L433*IFERROR(INDEX(کاتالوگ_محصولات!$G$4:$G$303,MATCH(I433,کاتالوگ_محصولات!$A$4:$A$303,0)),0))</f>
        <v>0</v>
      </c>
      <c r="AD433">
        <f t="shared" si="44"/>
        <v>0</v>
      </c>
      <c r="AE433" t="str">
        <f t="shared" si="45"/>
        <v/>
      </c>
    </row>
    <row r="434" spans="22:31" ht="18" customHeight="1">
      <c r="V434">
        <f>IF(A434="",0,IF(COUNTIF($A$3:A434,A434)=1,1,0))</f>
        <v>0</v>
      </c>
      <c r="W434">
        <f t="shared" si="42"/>
        <v>0</v>
      </c>
      <c r="X434" t="str">
        <f t="shared" si="43"/>
        <v/>
      </c>
      <c r="Y434">
        <f>IF(X434="",0,IF(COUNTIF($X$3:X434,X434)=1,1,0))</f>
        <v>0</v>
      </c>
      <c r="Z434">
        <f>IF(V434&lt;&gt;1,0,IF(X434="",0,IF(COUNTIF($X$3:X433,X434)&gt;0,1,0)))</f>
        <v>0</v>
      </c>
      <c r="AA434">
        <f t="shared" si="40"/>
        <v>0</v>
      </c>
      <c r="AB434">
        <f t="shared" si="41"/>
        <v>0</v>
      </c>
      <c r="AC434">
        <f>IF(I434="",0,L434*IFERROR(INDEX(کاتالوگ_محصولات!$G$4:$G$303,MATCH(I434,کاتالوگ_محصولات!$A$4:$A$303,0)),0))</f>
        <v>0</v>
      </c>
      <c r="AD434">
        <f t="shared" si="44"/>
        <v>0</v>
      </c>
      <c r="AE434" t="str">
        <f t="shared" si="45"/>
        <v/>
      </c>
    </row>
    <row r="435" spans="22:31" ht="18" customHeight="1">
      <c r="V435">
        <f>IF(A435="",0,IF(COUNTIF($A$3:A435,A435)=1,1,0))</f>
        <v>0</v>
      </c>
      <c r="W435">
        <f t="shared" si="42"/>
        <v>0</v>
      </c>
      <c r="X435" t="str">
        <f t="shared" si="43"/>
        <v/>
      </c>
      <c r="Y435">
        <f>IF(X435="",0,IF(COUNTIF($X$3:X435,X435)=1,1,0))</f>
        <v>0</v>
      </c>
      <c r="Z435">
        <f>IF(V435&lt;&gt;1,0,IF(X435="",0,IF(COUNTIF($X$3:X434,X435)&gt;0,1,0)))</f>
        <v>0</v>
      </c>
      <c r="AA435">
        <f t="shared" si="40"/>
        <v>0</v>
      </c>
      <c r="AB435">
        <f t="shared" si="41"/>
        <v>0</v>
      </c>
      <c r="AC435">
        <f>IF(I435="",0,L435*IFERROR(INDEX(کاتالوگ_محصولات!$G$4:$G$303,MATCH(I435,کاتالوگ_محصولات!$A$4:$A$303,0)),0))</f>
        <v>0</v>
      </c>
      <c r="AD435">
        <f t="shared" si="44"/>
        <v>0</v>
      </c>
      <c r="AE435" t="str">
        <f t="shared" si="45"/>
        <v/>
      </c>
    </row>
    <row r="436" spans="22:31" ht="18" customHeight="1">
      <c r="V436">
        <f>IF(A436="",0,IF(COUNTIF($A$3:A436,A436)=1,1,0))</f>
        <v>0</v>
      </c>
      <c r="W436">
        <f t="shared" si="42"/>
        <v>0</v>
      </c>
      <c r="X436" t="str">
        <f t="shared" si="43"/>
        <v/>
      </c>
      <c r="Y436">
        <f>IF(X436="",0,IF(COUNTIF($X$3:X436,X436)=1,1,0))</f>
        <v>0</v>
      </c>
      <c r="Z436">
        <f>IF(V436&lt;&gt;1,0,IF(X436="",0,IF(COUNTIF($X$3:X435,X436)&gt;0,1,0)))</f>
        <v>0</v>
      </c>
      <c r="AA436">
        <f t="shared" si="40"/>
        <v>0</v>
      </c>
      <c r="AB436">
        <f t="shared" si="41"/>
        <v>0</v>
      </c>
      <c r="AC436">
        <f>IF(I436="",0,L436*IFERROR(INDEX(کاتالوگ_محصولات!$G$4:$G$303,MATCH(I436,کاتالوگ_محصولات!$A$4:$A$303,0)),0))</f>
        <v>0</v>
      </c>
      <c r="AD436">
        <f t="shared" si="44"/>
        <v>0</v>
      </c>
      <c r="AE436" t="str">
        <f t="shared" si="45"/>
        <v/>
      </c>
    </row>
    <row r="437" spans="22:31" ht="18" customHeight="1">
      <c r="V437">
        <f>IF(A437="",0,IF(COUNTIF($A$3:A437,A437)=1,1,0))</f>
        <v>0</v>
      </c>
      <c r="W437">
        <f t="shared" si="42"/>
        <v>0</v>
      </c>
      <c r="X437" t="str">
        <f t="shared" si="43"/>
        <v/>
      </c>
      <c r="Y437">
        <f>IF(X437="",0,IF(COUNTIF($X$3:X437,X437)=1,1,0))</f>
        <v>0</v>
      </c>
      <c r="Z437">
        <f>IF(V437&lt;&gt;1,0,IF(X437="",0,IF(COUNTIF($X$3:X436,X437)&gt;0,1,0)))</f>
        <v>0</v>
      </c>
      <c r="AA437">
        <f t="shared" si="40"/>
        <v>0</v>
      </c>
      <c r="AB437">
        <f t="shared" si="41"/>
        <v>0</v>
      </c>
      <c r="AC437">
        <f>IF(I437="",0,L437*IFERROR(INDEX(کاتالوگ_محصولات!$G$4:$G$303,MATCH(I437,کاتالوگ_محصولات!$A$4:$A$303,0)),0))</f>
        <v>0</v>
      </c>
      <c r="AD437">
        <f t="shared" si="44"/>
        <v>0</v>
      </c>
      <c r="AE437" t="str">
        <f t="shared" si="45"/>
        <v/>
      </c>
    </row>
    <row r="438" spans="22:31" ht="18" customHeight="1">
      <c r="V438">
        <f>IF(A438="",0,IF(COUNTIF($A$3:A438,A438)=1,1,0))</f>
        <v>0</v>
      </c>
      <c r="W438">
        <f t="shared" si="42"/>
        <v>0</v>
      </c>
      <c r="X438" t="str">
        <f t="shared" si="43"/>
        <v/>
      </c>
      <c r="Y438">
        <f>IF(X438="",0,IF(COUNTIF($X$3:X438,X438)=1,1,0))</f>
        <v>0</v>
      </c>
      <c r="Z438">
        <f>IF(V438&lt;&gt;1,0,IF(X438="",0,IF(COUNTIF($X$3:X437,X438)&gt;0,1,0)))</f>
        <v>0</v>
      </c>
      <c r="AA438">
        <f t="shared" si="40"/>
        <v>0</v>
      </c>
      <c r="AB438">
        <f t="shared" si="41"/>
        <v>0</v>
      </c>
      <c r="AC438">
        <f>IF(I438="",0,L438*IFERROR(INDEX(کاتالوگ_محصولات!$G$4:$G$303,MATCH(I438,کاتالوگ_محصولات!$A$4:$A$303,0)),0))</f>
        <v>0</v>
      </c>
      <c r="AD438">
        <f t="shared" si="44"/>
        <v>0</v>
      </c>
      <c r="AE438" t="str">
        <f t="shared" si="45"/>
        <v/>
      </c>
    </row>
    <row r="439" spans="22:31" ht="18" customHeight="1">
      <c r="V439">
        <f>IF(A439="",0,IF(COUNTIF($A$3:A439,A439)=1,1,0))</f>
        <v>0</v>
      </c>
      <c r="W439">
        <f t="shared" si="42"/>
        <v>0</v>
      </c>
      <c r="X439" t="str">
        <f t="shared" si="43"/>
        <v/>
      </c>
      <c r="Y439">
        <f>IF(X439="",0,IF(COUNTIF($X$3:X439,X439)=1,1,0))</f>
        <v>0</v>
      </c>
      <c r="Z439">
        <f>IF(V439&lt;&gt;1,0,IF(X439="",0,IF(COUNTIF($X$3:X438,X439)&gt;0,1,0)))</f>
        <v>0</v>
      </c>
      <c r="AA439">
        <f t="shared" si="40"/>
        <v>0</v>
      </c>
      <c r="AB439">
        <f t="shared" si="41"/>
        <v>0</v>
      </c>
      <c r="AC439">
        <f>IF(I439="",0,L439*IFERROR(INDEX(کاتالوگ_محصولات!$G$4:$G$303,MATCH(I439,کاتالوگ_محصولات!$A$4:$A$303,0)),0))</f>
        <v>0</v>
      </c>
      <c r="AD439">
        <f t="shared" si="44"/>
        <v>0</v>
      </c>
      <c r="AE439" t="str">
        <f t="shared" si="45"/>
        <v/>
      </c>
    </row>
    <row r="440" spans="22:31" ht="18" customHeight="1">
      <c r="V440">
        <f>IF(A440="",0,IF(COUNTIF($A$3:A440,A440)=1,1,0))</f>
        <v>0</v>
      </c>
      <c r="W440">
        <f t="shared" si="42"/>
        <v>0</v>
      </c>
      <c r="X440" t="str">
        <f t="shared" si="43"/>
        <v/>
      </c>
      <c r="Y440">
        <f>IF(X440="",0,IF(COUNTIF($X$3:X440,X440)=1,1,0))</f>
        <v>0</v>
      </c>
      <c r="Z440">
        <f>IF(V440&lt;&gt;1,0,IF(X440="",0,IF(COUNTIF($X$3:X439,X440)&gt;0,1,0)))</f>
        <v>0</v>
      </c>
      <c r="AA440">
        <f t="shared" si="40"/>
        <v>0</v>
      </c>
      <c r="AB440">
        <f t="shared" si="41"/>
        <v>0</v>
      </c>
      <c r="AC440">
        <f>IF(I440="",0,L440*IFERROR(INDEX(کاتالوگ_محصولات!$G$4:$G$303,MATCH(I440,کاتالوگ_محصولات!$A$4:$A$303,0)),0))</f>
        <v>0</v>
      </c>
      <c r="AD440">
        <f t="shared" si="44"/>
        <v>0</v>
      </c>
      <c r="AE440" t="str">
        <f t="shared" si="45"/>
        <v/>
      </c>
    </row>
    <row r="441" spans="22:31" ht="18" customHeight="1">
      <c r="V441">
        <f>IF(A441="",0,IF(COUNTIF($A$3:A441,A441)=1,1,0))</f>
        <v>0</v>
      </c>
      <c r="W441">
        <f t="shared" si="42"/>
        <v>0</v>
      </c>
      <c r="X441" t="str">
        <f t="shared" si="43"/>
        <v/>
      </c>
      <c r="Y441">
        <f>IF(X441="",0,IF(COUNTIF($X$3:X441,X441)=1,1,0))</f>
        <v>0</v>
      </c>
      <c r="Z441">
        <f>IF(V441&lt;&gt;1,0,IF(X441="",0,IF(COUNTIF($X$3:X440,X441)&gt;0,1,0)))</f>
        <v>0</v>
      </c>
      <c r="AA441">
        <f t="shared" si="40"/>
        <v>0</v>
      </c>
      <c r="AB441">
        <f t="shared" si="41"/>
        <v>0</v>
      </c>
      <c r="AC441">
        <f>IF(I441="",0,L441*IFERROR(INDEX(کاتالوگ_محصولات!$G$4:$G$303,MATCH(I441,کاتالوگ_محصولات!$A$4:$A$303,0)),0))</f>
        <v>0</v>
      </c>
      <c r="AD441">
        <f t="shared" si="44"/>
        <v>0</v>
      </c>
      <c r="AE441" t="str">
        <f t="shared" si="45"/>
        <v/>
      </c>
    </row>
    <row r="442" spans="22:31" ht="18" customHeight="1">
      <c r="V442">
        <f>IF(A442="",0,IF(COUNTIF($A$3:A442,A442)=1,1,0))</f>
        <v>0</v>
      </c>
      <c r="W442">
        <f t="shared" si="42"/>
        <v>0</v>
      </c>
      <c r="X442" t="str">
        <f t="shared" si="43"/>
        <v/>
      </c>
      <c r="Y442">
        <f>IF(X442="",0,IF(COUNTIF($X$3:X442,X442)=1,1,0))</f>
        <v>0</v>
      </c>
      <c r="Z442">
        <f>IF(V442&lt;&gt;1,0,IF(X442="",0,IF(COUNTIF($X$3:X441,X442)&gt;0,1,0)))</f>
        <v>0</v>
      </c>
      <c r="AA442">
        <f t="shared" si="40"/>
        <v>0</v>
      </c>
      <c r="AB442">
        <f t="shared" si="41"/>
        <v>0</v>
      </c>
      <c r="AC442">
        <f>IF(I442="",0,L442*IFERROR(INDEX(کاتالوگ_محصولات!$G$4:$G$303,MATCH(I442,کاتالوگ_محصولات!$A$4:$A$303,0)),0))</f>
        <v>0</v>
      </c>
      <c r="AD442">
        <f t="shared" si="44"/>
        <v>0</v>
      </c>
      <c r="AE442" t="str">
        <f t="shared" si="45"/>
        <v/>
      </c>
    </row>
    <row r="443" spans="22:31" ht="18" customHeight="1">
      <c r="V443">
        <f>IF(A443="",0,IF(COUNTIF($A$3:A443,A443)=1,1,0))</f>
        <v>0</v>
      </c>
      <c r="W443">
        <f t="shared" si="42"/>
        <v>0</v>
      </c>
      <c r="X443" t="str">
        <f t="shared" si="43"/>
        <v/>
      </c>
      <c r="Y443">
        <f>IF(X443="",0,IF(COUNTIF($X$3:X443,X443)=1,1,0))</f>
        <v>0</v>
      </c>
      <c r="Z443">
        <f>IF(V443&lt;&gt;1,0,IF(X443="",0,IF(COUNTIF($X$3:X442,X443)&gt;0,1,0)))</f>
        <v>0</v>
      </c>
      <c r="AA443">
        <f t="shared" si="40"/>
        <v>0</v>
      </c>
      <c r="AB443">
        <f t="shared" si="41"/>
        <v>0</v>
      </c>
      <c r="AC443">
        <f>IF(I443="",0,L443*IFERROR(INDEX(کاتالوگ_محصولات!$G$4:$G$303,MATCH(I443,کاتالوگ_محصولات!$A$4:$A$303,0)),0))</f>
        <v>0</v>
      </c>
      <c r="AD443">
        <f t="shared" si="44"/>
        <v>0</v>
      </c>
      <c r="AE443" t="str">
        <f t="shared" si="45"/>
        <v/>
      </c>
    </row>
    <row r="444" spans="22:31" ht="18" customHeight="1">
      <c r="V444">
        <f>IF(A444="",0,IF(COUNTIF($A$3:A444,A444)=1,1,0))</f>
        <v>0</v>
      </c>
      <c r="W444">
        <f t="shared" si="42"/>
        <v>0</v>
      </c>
      <c r="X444" t="str">
        <f t="shared" si="43"/>
        <v/>
      </c>
      <c r="Y444">
        <f>IF(X444="",0,IF(COUNTIF($X$3:X444,X444)=1,1,0))</f>
        <v>0</v>
      </c>
      <c r="Z444">
        <f>IF(V444&lt;&gt;1,0,IF(X444="",0,IF(COUNTIF($X$3:X443,X444)&gt;0,1,0)))</f>
        <v>0</v>
      </c>
      <c r="AA444">
        <f t="shared" si="40"/>
        <v>0</v>
      </c>
      <c r="AB444">
        <f t="shared" si="41"/>
        <v>0</v>
      </c>
      <c r="AC444">
        <f>IF(I444="",0,L444*IFERROR(INDEX(کاتالوگ_محصولات!$G$4:$G$303,MATCH(I444,کاتالوگ_محصولات!$A$4:$A$303,0)),0))</f>
        <v>0</v>
      </c>
      <c r="AD444">
        <f t="shared" si="44"/>
        <v>0</v>
      </c>
      <c r="AE444" t="str">
        <f t="shared" si="45"/>
        <v/>
      </c>
    </row>
    <row r="445" spans="22:31" ht="18" customHeight="1">
      <c r="V445">
        <f>IF(A445="",0,IF(COUNTIF($A$3:A445,A445)=1,1,0))</f>
        <v>0</v>
      </c>
      <c r="W445">
        <f t="shared" si="42"/>
        <v>0</v>
      </c>
      <c r="X445" t="str">
        <f t="shared" si="43"/>
        <v/>
      </c>
      <c r="Y445">
        <f>IF(X445="",0,IF(COUNTIF($X$3:X445,X445)=1,1,0))</f>
        <v>0</v>
      </c>
      <c r="Z445">
        <f>IF(V445&lt;&gt;1,0,IF(X445="",0,IF(COUNTIF($X$3:X444,X445)&gt;0,1,0)))</f>
        <v>0</v>
      </c>
      <c r="AA445">
        <f t="shared" si="40"/>
        <v>0</v>
      </c>
      <c r="AB445">
        <f t="shared" si="41"/>
        <v>0</v>
      </c>
      <c r="AC445">
        <f>IF(I445="",0,L445*IFERROR(INDEX(کاتالوگ_محصولات!$G$4:$G$303,MATCH(I445,کاتالوگ_محصولات!$A$4:$A$303,0)),0))</f>
        <v>0</v>
      </c>
      <c r="AD445">
        <f t="shared" si="44"/>
        <v>0</v>
      </c>
      <c r="AE445" t="str">
        <f t="shared" si="45"/>
        <v/>
      </c>
    </row>
    <row r="446" spans="22:31" ht="18" customHeight="1">
      <c r="V446">
        <f>IF(A446="",0,IF(COUNTIF($A$3:A446,A446)=1,1,0))</f>
        <v>0</v>
      </c>
      <c r="W446">
        <f t="shared" si="42"/>
        <v>0</v>
      </c>
      <c r="X446" t="str">
        <f t="shared" si="43"/>
        <v/>
      </c>
      <c r="Y446">
        <f>IF(X446="",0,IF(COUNTIF($X$3:X446,X446)=1,1,0))</f>
        <v>0</v>
      </c>
      <c r="Z446">
        <f>IF(V446&lt;&gt;1,0,IF(X446="",0,IF(COUNTIF($X$3:X445,X446)&gt;0,1,0)))</f>
        <v>0</v>
      </c>
      <c r="AA446">
        <f t="shared" si="40"/>
        <v>0</v>
      </c>
      <c r="AB446">
        <f t="shared" si="41"/>
        <v>0</v>
      </c>
      <c r="AC446">
        <f>IF(I446="",0,L446*IFERROR(INDEX(کاتالوگ_محصولات!$G$4:$G$303,MATCH(I446,کاتالوگ_محصولات!$A$4:$A$303,0)),0))</f>
        <v>0</v>
      </c>
      <c r="AD446">
        <f t="shared" si="44"/>
        <v>0</v>
      </c>
      <c r="AE446" t="str">
        <f t="shared" si="45"/>
        <v/>
      </c>
    </row>
    <row r="447" spans="22:31" ht="18" customHeight="1">
      <c r="V447">
        <f>IF(A447="",0,IF(COUNTIF($A$3:A447,A447)=1,1,0))</f>
        <v>0</v>
      </c>
      <c r="W447">
        <f t="shared" si="42"/>
        <v>0</v>
      </c>
      <c r="X447" t="str">
        <f t="shared" si="43"/>
        <v/>
      </c>
      <c r="Y447">
        <f>IF(X447="",0,IF(COUNTIF($X$3:X447,X447)=1,1,0))</f>
        <v>0</v>
      </c>
      <c r="Z447">
        <f>IF(V447&lt;&gt;1,0,IF(X447="",0,IF(COUNTIF($X$3:X446,X447)&gt;0,1,0)))</f>
        <v>0</v>
      </c>
      <c r="AA447">
        <f t="shared" si="40"/>
        <v>0</v>
      </c>
      <c r="AB447">
        <f t="shared" si="41"/>
        <v>0</v>
      </c>
      <c r="AC447">
        <f>IF(I447="",0,L447*IFERROR(INDEX(کاتالوگ_محصولات!$G$4:$G$303,MATCH(I447,کاتالوگ_محصولات!$A$4:$A$303,0)),0))</f>
        <v>0</v>
      </c>
      <c r="AD447">
        <f t="shared" si="44"/>
        <v>0</v>
      </c>
      <c r="AE447" t="str">
        <f t="shared" si="45"/>
        <v/>
      </c>
    </row>
    <row r="448" spans="22:31" ht="18" customHeight="1">
      <c r="V448">
        <f>IF(A448="",0,IF(COUNTIF($A$3:A448,A448)=1,1,0))</f>
        <v>0</v>
      </c>
      <c r="W448">
        <f t="shared" si="42"/>
        <v>0</v>
      </c>
      <c r="X448" t="str">
        <f t="shared" si="43"/>
        <v/>
      </c>
      <c r="Y448">
        <f>IF(X448="",0,IF(COUNTIF($X$3:X448,X448)=1,1,0))</f>
        <v>0</v>
      </c>
      <c r="Z448">
        <f>IF(V448&lt;&gt;1,0,IF(X448="",0,IF(COUNTIF($X$3:X447,X448)&gt;0,1,0)))</f>
        <v>0</v>
      </c>
      <c r="AA448">
        <f t="shared" si="40"/>
        <v>0</v>
      </c>
      <c r="AB448">
        <f t="shared" si="41"/>
        <v>0</v>
      </c>
      <c r="AC448">
        <f>IF(I448="",0,L448*IFERROR(INDEX(کاتالوگ_محصولات!$G$4:$G$303,MATCH(I448,کاتالوگ_محصولات!$A$4:$A$303,0)),0))</f>
        <v>0</v>
      </c>
      <c r="AD448">
        <f t="shared" si="44"/>
        <v>0</v>
      </c>
      <c r="AE448" t="str">
        <f t="shared" si="45"/>
        <v/>
      </c>
    </row>
    <row r="449" spans="22:31" ht="18" customHeight="1">
      <c r="V449">
        <f>IF(A449="",0,IF(COUNTIF($A$3:A449,A449)=1,1,0))</f>
        <v>0</v>
      </c>
      <c r="W449">
        <f t="shared" si="42"/>
        <v>0</v>
      </c>
      <c r="X449" t="str">
        <f t="shared" si="43"/>
        <v/>
      </c>
      <c r="Y449">
        <f>IF(X449="",0,IF(COUNTIF($X$3:X449,X449)=1,1,0))</f>
        <v>0</v>
      </c>
      <c r="Z449">
        <f>IF(V449&lt;&gt;1,0,IF(X449="",0,IF(COUNTIF($X$3:X448,X449)&gt;0,1,0)))</f>
        <v>0</v>
      </c>
      <c r="AA449">
        <f t="shared" si="40"/>
        <v>0</v>
      </c>
      <c r="AB449">
        <f t="shared" si="41"/>
        <v>0</v>
      </c>
      <c r="AC449">
        <f>IF(I449="",0,L449*IFERROR(INDEX(کاتالوگ_محصولات!$G$4:$G$303,MATCH(I449,کاتالوگ_محصولات!$A$4:$A$303,0)),0))</f>
        <v>0</v>
      </c>
      <c r="AD449">
        <f t="shared" si="44"/>
        <v>0</v>
      </c>
      <c r="AE449" t="str">
        <f t="shared" si="45"/>
        <v/>
      </c>
    </row>
    <row r="450" spans="22:31" ht="18" customHeight="1">
      <c r="V450">
        <f>IF(A450="",0,IF(COUNTIF($A$3:A450,A450)=1,1,0))</f>
        <v>0</v>
      </c>
      <c r="W450">
        <f t="shared" si="42"/>
        <v>0</v>
      </c>
      <c r="X450" t="str">
        <f t="shared" si="43"/>
        <v/>
      </c>
      <c r="Y450">
        <f>IF(X450="",0,IF(COUNTIF($X$3:X450,X450)=1,1,0))</f>
        <v>0</v>
      </c>
      <c r="Z450">
        <f>IF(V450&lt;&gt;1,0,IF(X450="",0,IF(COUNTIF($X$3:X449,X450)&gt;0,1,0)))</f>
        <v>0</v>
      </c>
      <c r="AA450">
        <f t="shared" si="40"/>
        <v>0</v>
      </c>
      <c r="AB450">
        <f t="shared" si="41"/>
        <v>0</v>
      </c>
      <c r="AC450">
        <f>IF(I450="",0,L450*IFERROR(INDEX(کاتالوگ_محصولات!$G$4:$G$303,MATCH(I450,کاتالوگ_محصولات!$A$4:$A$303,0)),0))</f>
        <v>0</v>
      </c>
      <c r="AD450">
        <f t="shared" si="44"/>
        <v>0</v>
      </c>
      <c r="AE450" t="str">
        <f t="shared" si="45"/>
        <v/>
      </c>
    </row>
    <row r="451" spans="22:31" ht="18" customHeight="1">
      <c r="V451">
        <f>IF(A451="",0,IF(COUNTIF($A$3:A451,A451)=1,1,0))</f>
        <v>0</v>
      </c>
      <c r="W451">
        <f t="shared" si="42"/>
        <v>0</v>
      </c>
      <c r="X451" t="str">
        <f t="shared" si="43"/>
        <v/>
      </c>
      <c r="Y451">
        <f>IF(X451="",0,IF(COUNTIF($X$3:X451,X451)=1,1,0))</f>
        <v>0</v>
      </c>
      <c r="Z451">
        <f>IF(V451&lt;&gt;1,0,IF(X451="",0,IF(COUNTIF($X$3:X450,X451)&gt;0,1,0)))</f>
        <v>0</v>
      </c>
      <c r="AA451">
        <f t="shared" ref="AA451:AA514" si="46">IF(V451=1,SUMIF($A$3:$A$1622,A451,$O$3:$O$1622),0)</f>
        <v>0</v>
      </c>
      <c r="AB451">
        <f t="shared" ref="AB451:AB514" si="47">IF(V451=1,SUMIF($A$3:$A$1622,A451,$L$3:$L$1622),0)</f>
        <v>0</v>
      </c>
      <c r="AC451">
        <f>IF(I451="",0,L451*IFERROR(INDEX(کاتالوگ_محصولات!$G$4:$G$303,MATCH(I451,کاتالوگ_محصولات!$A$4:$A$303,0)),0))</f>
        <v>0</v>
      </c>
      <c r="AD451">
        <f t="shared" si="44"/>
        <v>0</v>
      </c>
      <c r="AE451" t="str">
        <f t="shared" si="45"/>
        <v/>
      </c>
    </row>
    <row r="452" spans="22:31" ht="18" customHeight="1">
      <c r="V452">
        <f>IF(A452="",0,IF(COUNTIF($A$3:A452,A452)=1,1,0))</f>
        <v>0</v>
      </c>
      <c r="W452">
        <f t="shared" si="42"/>
        <v>0</v>
      </c>
      <c r="X452" t="str">
        <f t="shared" si="43"/>
        <v/>
      </c>
      <c r="Y452">
        <f>IF(X452="",0,IF(COUNTIF($X$3:X452,X452)=1,1,0))</f>
        <v>0</v>
      </c>
      <c r="Z452">
        <f>IF(V452&lt;&gt;1,0,IF(X452="",0,IF(COUNTIF($X$3:X451,X452)&gt;0,1,0)))</f>
        <v>0</v>
      </c>
      <c r="AA452">
        <f t="shared" si="46"/>
        <v>0</v>
      </c>
      <c r="AB452">
        <f t="shared" si="47"/>
        <v>0</v>
      </c>
      <c r="AC452">
        <f>IF(I452="",0,L452*IFERROR(INDEX(کاتالوگ_محصولات!$G$4:$G$303,MATCH(I452,کاتالوگ_محصولات!$A$4:$A$303,0)),0))</f>
        <v>0</v>
      </c>
      <c r="AD452">
        <f t="shared" si="44"/>
        <v>0</v>
      </c>
      <c r="AE452" t="str">
        <f t="shared" si="45"/>
        <v/>
      </c>
    </row>
    <row r="453" spans="22:31" ht="18" customHeight="1">
      <c r="V453">
        <f>IF(A453="",0,IF(COUNTIF($A$3:A453,A453)=1,1,0))</f>
        <v>0</v>
      </c>
      <c r="W453">
        <f t="shared" si="42"/>
        <v>0</v>
      </c>
      <c r="X453" t="str">
        <f t="shared" si="43"/>
        <v/>
      </c>
      <c r="Y453">
        <f>IF(X453="",0,IF(COUNTIF($X$3:X453,X453)=1,1,0))</f>
        <v>0</v>
      </c>
      <c r="Z453">
        <f>IF(V453&lt;&gt;1,0,IF(X453="",0,IF(COUNTIF($X$3:X452,X453)&gt;0,1,0)))</f>
        <v>0</v>
      </c>
      <c r="AA453">
        <f t="shared" si="46"/>
        <v>0</v>
      </c>
      <c r="AB453">
        <f t="shared" si="47"/>
        <v>0</v>
      </c>
      <c r="AC453">
        <f>IF(I453="",0,L453*IFERROR(INDEX(کاتالوگ_محصولات!$G$4:$G$303,MATCH(I453,کاتالوگ_محصولات!$A$4:$A$303,0)),0))</f>
        <v>0</v>
      </c>
      <c r="AD453">
        <f t="shared" si="44"/>
        <v>0</v>
      </c>
      <c r="AE453" t="str">
        <f t="shared" si="45"/>
        <v/>
      </c>
    </row>
    <row r="454" spans="22:31" ht="18" customHeight="1">
      <c r="V454">
        <f>IF(A454="",0,IF(COUNTIF($A$3:A454,A454)=1,1,0))</f>
        <v>0</v>
      </c>
      <c r="W454">
        <f t="shared" si="42"/>
        <v>0</v>
      </c>
      <c r="X454" t="str">
        <f t="shared" si="43"/>
        <v/>
      </c>
      <c r="Y454">
        <f>IF(X454="",0,IF(COUNTIF($X$3:X454,X454)=1,1,0))</f>
        <v>0</v>
      </c>
      <c r="Z454">
        <f>IF(V454&lt;&gt;1,0,IF(X454="",0,IF(COUNTIF($X$3:X453,X454)&gt;0,1,0)))</f>
        <v>0</v>
      </c>
      <c r="AA454">
        <f t="shared" si="46"/>
        <v>0</v>
      </c>
      <c r="AB454">
        <f t="shared" si="47"/>
        <v>0</v>
      </c>
      <c r="AC454">
        <f>IF(I454="",0,L454*IFERROR(INDEX(کاتالوگ_محصولات!$G$4:$G$303,MATCH(I454,کاتالوگ_محصولات!$A$4:$A$303,0)),0))</f>
        <v>0</v>
      </c>
      <c r="AD454">
        <f t="shared" si="44"/>
        <v>0</v>
      </c>
      <c r="AE454" t="str">
        <f t="shared" si="45"/>
        <v/>
      </c>
    </row>
    <row r="455" spans="22:31" ht="18" customHeight="1">
      <c r="V455">
        <f>IF(A455="",0,IF(COUNTIF($A$3:A455,A455)=1,1,0))</f>
        <v>0</v>
      </c>
      <c r="W455">
        <f t="shared" si="42"/>
        <v>0</v>
      </c>
      <c r="X455" t="str">
        <f t="shared" si="43"/>
        <v/>
      </c>
      <c r="Y455">
        <f>IF(X455="",0,IF(COUNTIF($X$3:X455,X455)=1,1,0))</f>
        <v>0</v>
      </c>
      <c r="Z455">
        <f>IF(V455&lt;&gt;1,0,IF(X455="",0,IF(COUNTIF($X$3:X454,X455)&gt;0,1,0)))</f>
        <v>0</v>
      </c>
      <c r="AA455">
        <f t="shared" si="46"/>
        <v>0</v>
      </c>
      <c r="AB455">
        <f t="shared" si="47"/>
        <v>0</v>
      </c>
      <c r="AC455">
        <f>IF(I455="",0,L455*IFERROR(INDEX(کاتالوگ_محصولات!$G$4:$G$303,MATCH(I455,کاتالوگ_محصولات!$A$4:$A$303,0)),0))</f>
        <v>0</v>
      </c>
      <c r="AD455">
        <f t="shared" si="44"/>
        <v>0</v>
      </c>
      <c r="AE455" t="str">
        <f t="shared" si="45"/>
        <v/>
      </c>
    </row>
    <row r="456" spans="22:31" ht="18" customHeight="1">
      <c r="V456">
        <f>IF(A456="",0,IF(COUNTIF($A$3:A456,A456)=1,1,0))</f>
        <v>0</v>
      </c>
      <c r="W456">
        <f t="shared" si="42"/>
        <v>0</v>
      </c>
      <c r="X456" t="str">
        <f t="shared" si="43"/>
        <v/>
      </c>
      <c r="Y456">
        <f>IF(X456="",0,IF(COUNTIF($X$3:X456,X456)=1,1,0))</f>
        <v>0</v>
      </c>
      <c r="Z456">
        <f>IF(V456&lt;&gt;1,0,IF(X456="",0,IF(COUNTIF($X$3:X455,X456)&gt;0,1,0)))</f>
        <v>0</v>
      </c>
      <c r="AA456">
        <f t="shared" si="46"/>
        <v>0</v>
      </c>
      <c r="AB456">
        <f t="shared" si="47"/>
        <v>0</v>
      </c>
      <c r="AC456">
        <f>IF(I456="",0,L456*IFERROR(INDEX(کاتالوگ_محصولات!$G$4:$G$303,MATCH(I456,کاتالوگ_محصولات!$A$4:$A$303,0)),0))</f>
        <v>0</v>
      </c>
      <c r="AD456">
        <f t="shared" si="44"/>
        <v>0</v>
      </c>
      <c r="AE456" t="str">
        <f t="shared" si="45"/>
        <v/>
      </c>
    </row>
    <row r="457" spans="22:31" ht="18" customHeight="1">
      <c r="V457">
        <f>IF(A457="",0,IF(COUNTIF($A$3:A457,A457)=1,1,0))</f>
        <v>0</v>
      </c>
      <c r="W457">
        <f t="shared" ref="W457:W520" si="48">IF(A457="",0,L457*M457)</f>
        <v>0</v>
      </c>
      <c r="X457" t="str">
        <f t="shared" ref="X457:X520" si="49">IF(R457&lt;&gt;"",R457,IF(AND(P457&lt;&gt;"",Q457&lt;&gt;""),P457&amp;"|"&amp;Q457,""))</f>
        <v/>
      </c>
      <c r="Y457">
        <f>IF(X457="",0,IF(COUNTIF($X$3:X457,X457)=1,1,0))</f>
        <v>0</v>
      </c>
      <c r="Z457">
        <f>IF(V457&lt;&gt;1,0,IF(X457="",0,IF(COUNTIF($X$3:X456,X457)&gt;0,1,0)))</f>
        <v>0</v>
      </c>
      <c r="AA457">
        <f t="shared" si="46"/>
        <v>0</v>
      </c>
      <c r="AB457">
        <f t="shared" si="47"/>
        <v>0</v>
      </c>
      <c r="AC457">
        <f>IF(I457="",0,L457*IFERROR(INDEX(کاتالوگ_محصولات!$G$4:$G$303,MATCH(I457,کاتالوگ_محصولات!$A$4:$A$303,0)),0))</f>
        <v>0</v>
      </c>
      <c r="AD457">
        <f t="shared" ref="AD457:AD520" si="50">IF(A457="",0,O457-AC457)</f>
        <v>0</v>
      </c>
      <c r="AE457" t="str">
        <f t="shared" ref="AE457:AE520" si="51">IF(B457="","",LEFT(B457,7))</f>
        <v/>
      </c>
    </row>
    <row r="458" spans="22:31" ht="18" customHeight="1">
      <c r="V458">
        <f>IF(A458="",0,IF(COUNTIF($A$3:A458,A458)=1,1,0))</f>
        <v>0</v>
      </c>
      <c r="W458">
        <f t="shared" si="48"/>
        <v>0</v>
      </c>
      <c r="X458" t="str">
        <f t="shared" si="49"/>
        <v/>
      </c>
      <c r="Y458">
        <f>IF(X458="",0,IF(COUNTIF($X$3:X458,X458)=1,1,0))</f>
        <v>0</v>
      </c>
      <c r="Z458">
        <f>IF(V458&lt;&gt;1,0,IF(X458="",0,IF(COUNTIF($X$3:X457,X458)&gt;0,1,0)))</f>
        <v>0</v>
      </c>
      <c r="AA458">
        <f t="shared" si="46"/>
        <v>0</v>
      </c>
      <c r="AB458">
        <f t="shared" si="47"/>
        <v>0</v>
      </c>
      <c r="AC458">
        <f>IF(I458="",0,L458*IFERROR(INDEX(کاتالوگ_محصولات!$G$4:$G$303,MATCH(I458,کاتالوگ_محصولات!$A$4:$A$303,0)),0))</f>
        <v>0</v>
      </c>
      <c r="AD458">
        <f t="shared" si="50"/>
        <v>0</v>
      </c>
      <c r="AE458" t="str">
        <f t="shared" si="51"/>
        <v/>
      </c>
    </row>
    <row r="459" spans="22:31" ht="18" customHeight="1">
      <c r="V459">
        <f>IF(A459="",0,IF(COUNTIF($A$3:A459,A459)=1,1,0))</f>
        <v>0</v>
      </c>
      <c r="W459">
        <f t="shared" si="48"/>
        <v>0</v>
      </c>
      <c r="X459" t="str">
        <f t="shared" si="49"/>
        <v/>
      </c>
      <c r="Y459">
        <f>IF(X459="",0,IF(COUNTIF($X$3:X459,X459)=1,1,0))</f>
        <v>0</v>
      </c>
      <c r="Z459">
        <f>IF(V459&lt;&gt;1,0,IF(X459="",0,IF(COUNTIF($X$3:X458,X459)&gt;0,1,0)))</f>
        <v>0</v>
      </c>
      <c r="AA459">
        <f t="shared" si="46"/>
        <v>0</v>
      </c>
      <c r="AB459">
        <f t="shared" si="47"/>
        <v>0</v>
      </c>
      <c r="AC459">
        <f>IF(I459="",0,L459*IFERROR(INDEX(کاتالوگ_محصولات!$G$4:$G$303,MATCH(I459,کاتالوگ_محصولات!$A$4:$A$303,0)),0))</f>
        <v>0</v>
      </c>
      <c r="AD459">
        <f t="shared" si="50"/>
        <v>0</v>
      </c>
      <c r="AE459" t="str">
        <f t="shared" si="51"/>
        <v/>
      </c>
    </row>
    <row r="460" spans="22:31" ht="18" customHeight="1">
      <c r="V460">
        <f>IF(A460="",0,IF(COUNTIF($A$3:A460,A460)=1,1,0))</f>
        <v>0</v>
      </c>
      <c r="W460">
        <f t="shared" si="48"/>
        <v>0</v>
      </c>
      <c r="X460" t="str">
        <f t="shared" si="49"/>
        <v/>
      </c>
      <c r="Y460">
        <f>IF(X460="",0,IF(COUNTIF($X$3:X460,X460)=1,1,0))</f>
        <v>0</v>
      </c>
      <c r="Z460">
        <f>IF(V460&lt;&gt;1,0,IF(X460="",0,IF(COUNTIF($X$3:X459,X460)&gt;0,1,0)))</f>
        <v>0</v>
      </c>
      <c r="AA460">
        <f t="shared" si="46"/>
        <v>0</v>
      </c>
      <c r="AB460">
        <f t="shared" si="47"/>
        <v>0</v>
      </c>
      <c r="AC460">
        <f>IF(I460="",0,L460*IFERROR(INDEX(کاتالوگ_محصولات!$G$4:$G$303,MATCH(I460,کاتالوگ_محصولات!$A$4:$A$303,0)),0))</f>
        <v>0</v>
      </c>
      <c r="AD460">
        <f t="shared" si="50"/>
        <v>0</v>
      </c>
      <c r="AE460" t="str">
        <f t="shared" si="51"/>
        <v/>
      </c>
    </row>
    <row r="461" spans="22:31" ht="18" customHeight="1">
      <c r="V461">
        <f>IF(A461="",0,IF(COUNTIF($A$3:A461,A461)=1,1,0))</f>
        <v>0</v>
      </c>
      <c r="W461">
        <f t="shared" si="48"/>
        <v>0</v>
      </c>
      <c r="X461" t="str">
        <f t="shared" si="49"/>
        <v/>
      </c>
      <c r="Y461">
        <f>IF(X461="",0,IF(COUNTIF($X$3:X461,X461)=1,1,0))</f>
        <v>0</v>
      </c>
      <c r="Z461">
        <f>IF(V461&lt;&gt;1,0,IF(X461="",0,IF(COUNTIF($X$3:X460,X461)&gt;0,1,0)))</f>
        <v>0</v>
      </c>
      <c r="AA461">
        <f t="shared" si="46"/>
        <v>0</v>
      </c>
      <c r="AB461">
        <f t="shared" si="47"/>
        <v>0</v>
      </c>
      <c r="AC461">
        <f>IF(I461="",0,L461*IFERROR(INDEX(کاتالوگ_محصولات!$G$4:$G$303,MATCH(I461,کاتالوگ_محصولات!$A$4:$A$303,0)),0))</f>
        <v>0</v>
      </c>
      <c r="AD461">
        <f t="shared" si="50"/>
        <v>0</v>
      </c>
      <c r="AE461" t="str">
        <f t="shared" si="51"/>
        <v/>
      </c>
    </row>
    <row r="462" spans="22:31" ht="18" customHeight="1">
      <c r="V462">
        <f>IF(A462="",0,IF(COUNTIF($A$3:A462,A462)=1,1,0))</f>
        <v>0</v>
      </c>
      <c r="W462">
        <f t="shared" si="48"/>
        <v>0</v>
      </c>
      <c r="X462" t="str">
        <f t="shared" si="49"/>
        <v/>
      </c>
      <c r="Y462">
        <f>IF(X462="",0,IF(COUNTIF($X$3:X462,X462)=1,1,0))</f>
        <v>0</v>
      </c>
      <c r="Z462">
        <f>IF(V462&lt;&gt;1,0,IF(X462="",0,IF(COUNTIF($X$3:X461,X462)&gt;0,1,0)))</f>
        <v>0</v>
      </c>
      <c r="AA462">
        <f t="shared" si="46"/>
        <v>0</v>
      </c>
      <c r="AB462">
        <f t="shared" si="47"/>
        <v>0</v>
      </c>
      <c r="AC462">
        <f>IF(I462="",0,L462*IFERROR(INDEX(کاتالوگ_محصولات!$G$4:$G$303,MATCH(I462,کاتالوگ_محصولات!$A$4:$A$303,0)),0))</f>
        <v>0</v>
      </c>
      <c r="AD462">
        <f t="shared" si="50"/>
        <v>0</v>
      </c>
      <c r="AE462" t="str">
        <f t="shared" si="51"/>
        <v/>
      </c>
    </row>
    <row r="463" spans="22:31" ht="18" customHeight="1">
      <c r="V463">
        <f>IF(A463="",0,IF(COUNTIF($A$3:A463,A463)=1,1,0))</f>
        <v>0</v>
      </c>
      <c r="W463">
        <f t="shared" si="48"/>
        <v>0</v>
      </c>
      <c r="X463" t="str">
        <f t="shared" si="49"/>
        <v/>
      </c>
      <c r="Y463">
        <f>IF(X463="",0,IF(COUNTIF($X$3:X463,X463)=1,1,0))</f>
        <v>0</v>
      </c>
      <c r="Z463">
        <f>IF(V463&lt;&gt;1,0,IF(X463="",0,IF(COUNTIF($X$3:X462,X463)&gt;0,1,0)))</f>
        <v>0</v>
      </c>
      <c r="AA463">
        <f t="shared" si="46"/>
        <v>0</v>
      </c>
      <c r="AB463">
        <f t="shared" si="47"/>
        <v>0</v>
      </c>
      <c r="AC463">
        <f>IF(I463="",0,L463*IFERROR(INDEX(کاتالوگ_محصولات!$G$4:$G$303,MATCH(I463,کاتالوگ_محصولات!$A$4:$A$303,0)),0))</f>
        <v>0</v>
      </c>
      <c r="AD463">
        <f t="shared" si="50"/>
        <v>0</v>
      </c>
      <c r="AE463" t="str">
        <f t="shared" si="51"/>
        <v/>
      </c>
    </row>
    <row r="464" spans="22:31" ht="18" customHeight="1">
      <c r="V464">
        <f>IF(A464="",0,IF(COUNTIF($A$3:A464,A464)=1,1,0))</f>
        <v>0</v>
      </c>
      <c r="W464">
        <f t="shared" si="48"/>
        <v>0</v>
      </c>
      <c r="X464" t="str">
        <f t="shared" si="49"/>
        <v/>
      </c>
      <c r="Y464">
        <f>IF(X464="",0,IF(COUNTIF($X$3:X464,X464)=1,1,0))</f>
        <v>0</v>
      </c>
      <c r="Z464">
        <f>IF(V464&lt;&gt;1,0,IF(X464="",0,IF(COUNTIF($X$3:X463,X464)&gt;0,1,0)))</f>
        <v>0</v>
      </c>
      <c r="AA464">
        <f t="shared" si="46"/>
        <v>0</v>
      </c>
      <c r="AB464">
        <f t="shared" si="47"/>
        <v>0</v>
      </c>
      <c r="AC464">
        <f>IF(I464="",0,L464*IFERROR(INDEX(کاتالوگ_محصولات!$G$4:$G$303,MATCH(I464,کاتالوگ_محصولات!$A$4:$A$303,0)),0))</f>
        <v>0</v>
      </c>
      <c r="AD464">
        <f t="shared" si="50"/>
        <v>0</v>
      </c>
      <c r="AE464" t="str">
        <f t="shared" si="51"/>
        <v/>
      </c>
    </row>
    <row r="465" spans="22:31" ht="18" customHeight="1">
      <c r="V465">
        <f>IF(A465="",0,IF(COUNTIF($A$3:A465,A465)=1,1,0))</f>
        <v>0</v>
      </c>
      <c r="W465">
        <f t="shared" si="48"/>
        <v>0</v>
      </c>
      <c r="X465" t="str">
        <f t="shared" si="49"/>
        <v/>
      </c>
      <c r="Y465">
        <f>IF(X465="",0,IF(COUNTIF($X$3:X465,X465)=1,1,0))</f>
        <v>0</v>
      </c>
      <c r="Z465">
        <f>IF(V465&lt;&gt;1,0,IF(X465="",0,IF(COUNTIF($X$3:X464,X465)&gt;0,1,0)))</f>
        <v>0</v>
      </c>
      <c r="AA465">
        <f t="shared" si="46"/>
        <v>0</v>
      </c>
      <c r="AB465">
        <f t="shared" si="47"/>
        <v>0</v>
      </c>
      <c r="AC465">
        <f>IF(I465="",0,L465*IFERROR(INDEX(کاتالوگ_محصولات!$G$4:$G$303,MATCH(I465,کاتالوگ_محصولات!$A$4:$A$303,0)),0))</f>
        <v>0</v>
      </c>
      <c r="AD465">
        <f t="shared" si="50"/>
        <v>0</v>
      </c>
      <c r="AE465" t="str">
        <f t="shared" si="51"/>
        <v/>
      </c>
    </row>
    <row r="466" spans="22:31" ht="18" customHeight="1">
      <c r="V466">
        <f>IF(A466="",0,IF(COUNTIF($A$3:A466,A466)=1,1,0))</f>
        <v>0</v>
      </c>
      <c r="W466">
        <f t="shared" si="48"/>
        <v>0</v>
      </c>
      <c r="X466" t="str">
        <f t="shared" si="49"/>
        <v/>
      </c>
      <c r="Y466">
        <f>IF(X466="",0,IF(COUNTIF($X$3:X466,X466)=1,1,0))</f>
        <v>0</v>
      </c>
      <c r="Z466">
        <f>IF(V466&lt;&gt;1,0,IF(X466="",0,IF(COUNTIF($X$3:X465,X466)&gt;0,1,0)))</f>
        <v>0</v>
      </c>
      <c r="AA466">
        <f t="shared" si="46"/>
        <v>0</v>
      </c>
      <c r="AB466">
        <f t="shared" si="47"/>
        <v>0</v>
      </c>
      <c r="AC466">
        <f>IF(I466="",0,L466*IFERROR(INDEX(کاتالوگ_محصولات!$G$4:$G$303,MATCH(I466,کاتالوگ_محصولات!$A$4:$A$303,0)),0))</f>
        <v>0</v>
      </c>
      <c r="AD466">
        <f t="shared" si="50"/>
        <v>0</v>
      </c>
      <c r="AE466" t="str">
        <f t="shared" si="51"/>
        <v/>
      </c>
    </row>
    <row r="467" spans="22:31" ht="18" customHeight="1">
      <c r="V467">
        <f>IF(A467="",0,IF(COUNTIF($A$3:A467,A467)=1,1,0))</f>
        <v>0</v>
      </c>
      <c r="W467">
        <f t="shared" si="48"/>
        <v>0</v>
      </c>
      <c r="X467" t="str">
        <f t="shared" si="49"/>
        <v/>
      </c>
      <c r="Y467">
        <f>IF(X467="",0,IF(COUNTIF($X$3:X467,X467)=1,1,0))</f>
        <v>0</v>
      </c>
      <c r="Z467">
        <f>IF(V467&lt;&gt;1,0,IF(X467="",0,IF(COUNTIF($X$3:X466,X467)&gt;0,1,0)))</f>
        <v>0</v>
      </c>
      <c r="AA467">
        <f t="shared" si="46"/>
        <v>0</v>
      </c>
      <c r="AB467">
        <f t="shared" si="47"/>
        <v>0</v>
      </c>
      <c r="AC467">
        <f>IF(I467="",0,L467*IFERROR(INDEX(کاتالوگ_محصولات!$G$4:$G$303,MATCH(I467,کاتالوگ_محصولات!$A$4:$A$303,0)),0))</f>
        <v>0</v>
      </c>
      <c r="AD467">
        <f t="shared" si="50"/>
        <v>0</v>
      </c>
      <c r="AE467" t="str">
        <f t="shared" si="51"/>
        <v/>
      </c>
    </row>
    <row r="468" spans="22:31" ht="18" customHeight="1">
      <c r="V468">
        <f>IF(A468="",0,IF(COUNTIF($A$3:A468,A468)=1,1,0))</f>
        <v>0</v>
      </c>
      <c r="W468">
        <f t="shared" si="48"/>
        <v>0</v>
      </c>
      <c r="X468" t="str">
        <f t="shared" si="49"/>
        <v/>
      </c>
      <c r="Y468">
        <f>IF(X468="",0,IF(COUNTIF($X$3:X468,X468)=1,1,0))</f>
        <v>0</v>
      </c>
      <c r="Z468">
        <f>IF(V468&lt;&gt;1,0,IF(X468="",0,IF(COUNTIF($X$3:X467,X468)&gt;0,1,0)))</f>
        <v>0</v>
      </c>
      <c r="AA468">
        <f t="shared" si="46"/>
        <v>0</v>
      </c>
      <c r="AB468">
        <f t="shared" si="47"/>
        <v>0</v>
      </c>
      <c r="AC468">
        <f>IF(I468="",0,L468*IFERROR(INDEX(کاتالوگ_محصولات!$G$4:$G$303,MATCH(I468,کاتالوگ_محصولات!$A$4:$A$303,0)),0))</f>
        <v>0</v>
      </c>
      <c r="AD468">
        <f t="shared" si="50"/>
        <v>0</v>
      </c>
      <c r="AE468" t="str">
        <f t="shared" si="51"/>
        <v/>
      </c>
    </row>
    <row r="469" spans="22:31" ht="18" customHeight="1">
      <c r="V469">
        <f>IF(A469="",0,IF(COUNTIF($A$3:A469,A469)=1,1,0))</f>
        <v>0</v>
      </c>
      <c r="W469">
        <f t="shared" si="48"/>
        <v>0</v>
      </c>
      <c r="X469" t="str">
        <f t="shared" si="49"/>
        <v/>
      </c>
      <c r="Y469">
        <f>IF(X469="",0,IF(COUNTIF($X$3:X469,X469)=1,1,0))</f>
        <v>0</v>
      </c>
      <c r="Z469">
        <f>IF(V469&lt;&gt;1,0,IF(X469="",0,IF(COUNTIF($X$3:X468,X469)&gt;0,1,0)))</f>
        <v>0</v>
      </c>
      <c r="AA469">
        <f t="shared" si="46"/>
        <v>0</v>
      </c>
      <c r="AB469">
        <f t="shared" si="47"/>
        <v>0</v>
      </c>
      <c r="AC469">
        <f>IF(I469="",0,L469*IFERROR(INDEX(کاتالوگ_محصولات!$G$4:$G$303,MATCH(I469,کاتالوگ_محصولات!$A$4:$A$303,0)),0))</f>
        <v>0</v>
      </c>
      <c r="AD469">
        <f t="shared" si="50"/>
        <v>0</v>
      </c>
      <c r="AE469" t="str">
        <f t="shared" si="51"/>
        <v/>
      </c>
    </row>
    <row r="470" spans="22:31" ht="18" customHeight="1">
      <c r="V470">
        <f>IF(A470="",0,IF(COUNTIF($A$3:A470,A470)=1,1,0))</f>
        <v>0</v>
      </c>
      <c r="W470">
        <f t="shared" si="48"/>
        <v>0</v>
      </c>
      <c r="X470" t="str">
        <f t="shared" si="49"/>
        <v/>
      </c>
      <c r="Y470">
        <f>IF(X470="",0,IF(COUNTIF($X$3:X470,X470)=1,1,0))</f>
        <v>0</v>
      </c>
      <c r="Z470">
        <f>IF(V470&lt;&gt;1,0,IF(X470="",0,IF(COUNTIF($X$3:X469,X470)&gt;0,1,0)))</f>
        <v>0</v>
      </c>
      <c r="AA470">
        <f t="shared" si="46"/>
        <v>0</v>
      </c>
      <c r="AB470">
        <f t="shared" si="47"/>
        <v>0</v>
      </c>
      <c r="AC470">
        <f>IF(I470="",0,L470*IFERROR(INDEX(کاتالوگ_محصولات!$G$4:$G$303,MATCH(I470,کاتالوگ_محصولات!$A$4:$A$303,0)),0))</f>
        <v>0</v>
      </c>
      <c r="AD470">
        <f t="shared" si="50"/>
        <v>0</v>
      </c>
      <c r="AE470" t="str">
        <f t="shared" si="51"/>
        <v/>
      </c>
    </row>
    <row r="471" spans="22:31" ht="18" customHeight="1">
      <c r="V471">
        <f>IF(A471="",0,IF(COUNTIF($A$3:A471,A471)=1,1,0))</f>
        <v>0</v>
      </c>
      <c r="W471">
        <f t="shared" si="48"/>
        <v>0</v>
      </c>
      <c r="X471" t="str">
        <f t="shared" si="49"/>
        <v/>
      </c>
      <c r="Y471">
        <f>IF(X471="",0,IF(COUNTIF($X$3:X471,X471)=1,1,0))</f>
        <v>0</v>
      </c>
      <c r="Z471">
        <f>IF(V471&lt;&gt;1,0,IF(X471="",0,IF(COUNTIF($X$3:X470,X471)&gt;0,1,0)))</f>
        <v>0</v>
      </c>
      <c r="AA471">
        <f t="shared" si="46"/>
        <v>0</v>
      </c>
      <c r="AB471">
        <f t="shared" si="47"/>
        <v>0</v>
      </c>
      <c r="AC471">
        <f>IF(I471="",0,L471*IFERROR(INDEX(کاتالوگ_محصولات!$G$4:$G$303,MATCH(I471,کاتالوگ_محصولات!$A$4:$A$303,0)),0))</f>
        <v>0</v>
      </c>
      <c r="AD471">
        <f t="shared" si="50"/>
        <v>0</v>
      </c>
      <c r="AE471" t="str">
        <f t="shared" si="51"/>
        <v/>
      </c>
    </row>
    <row r="472" spans="22:31" ht="18" customHeight="1">
      <c r="V472">
        <f>IF(A472="",0,IF(COUNTIF($A$3:A472,A472)=1,1,0))</f>
        <v>0</v>
      </c>
      <c r="W472">
        <f t="shared" si="48"/>
        <v>0</v>
      </c>
      <c r="X472" t="str">
        <f t="shared" si="49"/>
        <v/>
      </c>
      <c r="Y472">
        <f>IF(X472="",0,IF(COUNTIF($X$3:X472,X472)=1,1,0))</f>
        <v>0</v>
      </c>
      <c r="Z472">
        <f>IF(V472&lt;&gt;1,0,IF(X472="",0,IF(COUNTIF($X$3:X471,X472)&gt;0,1,0)))</f>
        <v>0</v>
      </c>
      <c r="AA472">
        <f t="shared" si="46"/>
        <v>0</v>
      </c>
      <c r="AB472">
        <f t="shared" si="47"/>
        <v>0</v>
      </c>
      <c r="AC472">
        <f>IF(I472="",0,L472*IFERROR(INDEX(کاتالوگ_محصولات!$G$4:$G$303,MATCH(I472,کاتالوگ_محصولات!$A$4:$A$303,0)),0))</f>
        <v>0</v>
      </c>
      <c r="AD472">
        <f t="shared" si="50"/>
        <v>0</v>
      </c>
      <c r="AE472" t="str">
        <f t="shared" si="51"/>
        <v/>
      </c>
    </row>
    <row r="473" spans="22:31" ht="18" customHeight="1">
      <c r="V473">
        <f>IF(A473="",0,IF(COUNTIF($A$3:A473,A473)=1,1,0))</f>
        <v>0</v>
      </c>
      <c r="W473">
        <f t="shared" si="48"/>
        <v>0</v>
      </c>
      <c r="X473" t="str">
        <f t="shared" si="49"/>
        <v/>
      </c>
      <c r="Y473">
        <f>IF(X473="",0,IF(COUNTIF($X$3:X473,X473)=1,1,0))</f>
        <v>0</v>
      </c>
      <c r="Z473">
        <f>IF(V473&lt;&gt;1,0,IF(X473="",0,IF(COUNTIF($X$3:X472,X473)&gt;0,1,0)))</f>
        <v>0</v>
      </c>
      <c r="AA473">
        <f t="shared" si="46"/>
        <v>0</v>
      </c>
      <c r="AB473">
        <f t="shared" si="47"/>
        <v>0</v>
      </c>
      <c r="AC473">
        <f>IF(I473="",0,L473*IFERROR(INDEX(کاتالوگ_محصولات!$G$4:$G$303,MATCH(I473,کاتالوگ_محصولات!$A$4:$A$303,0)),0))</f>
        <v>0</v>
      </c>
      <c r="AD473">
        <f t="shared" si="50"/>
        <v>0</v>
      </c>
      <c r="AE473" t="str">
        <f t="shared" si="51"/>
        <v/>
      </c>
    </row>
    <row r="474" spans="22:31" ht="18" customHeight="1">
      <c r="V474">
        <f>IF(A474="",0,IF(COUNTIF($A$3:A474,A474)=1,1,0))</f>
        <v>0</v>
      </c>
      <c r="W474">
        <f t="shared" si="48"/>
        <v>0</v>
      </c>
      <c r="X474" t="str">
        <f t="shared" si="49"/>
        <v/>
      </c>
      <c r="Y474">
        <f>IF(X474="",0,IF(COUNTIF($X$3:X474,X474)=1,1,0))</f>
        <v>0</v>
      </c>
      <c r="Z474">
        <f>IF(V474&lt;&gt;1,0,IF(X474="",0,IF(COUNTIF($X$3:X473,X474)&gt;0,1,0)))</f>
        <v>0</v>
      </c>
      <c r="AA474">
        <f t="shared" si="46"/>
        <v>0</v>
      </c>
      <c r="AB474">
        <f t="shared" si="47"/>
        <v>0</v>
      </c>
      <c r="AC474">
        <f>IF(I474="",0,L474*IFERROR(INDEX(کاتالوگ_محصولات!$G$4:$G$303,MATCH(I474,کاتالوگ_محصولات!$A$4:$A$303,0)),0))</f>
        <v>0</v>
      </c>
      <c r="AD474">
        <f t="shared" si="50"/>
        <v>0</v>
      </c>
      <c r="AE474" t="str">
        <f t="shared" si="51"/>
        <v/>
      </c>
    </row>
    <row r="475" spans="22:31" ht="18" customHeight="1">
      <c r="V475">
        <f>IF(A475="",0,IF(COUNTIF($A$3:A475,A475)=1,1,0))</f>
        <v>0</v>
      </c>
      <c r="W475">
        <f t="shared" si="48"/>
        <v>0</v>
      </c>
      <c r="X475" t="str">
        <f t="shared" si="49"/>
        <v/>
      </c>
      <c r="Y475">
        <f>IF(X475="",0,IF(COUNTIF($X$3:X475,X475)=1,1,0))</f>
        <v>0</v>
      </c>
      <c r="Z475">
        <f>IF(V475&lt;&gt;1,0,IF(X475="",0,IF(COUNTIF($X$3:X474,X475)&gt;0,1,0)))</f>
        <v>0</v>
      </c>
      <c r="AA475">
        <f t="shared" si="46"/>
        <v>0</v>
      </c>
      <c r="AB475">
        <f t="shared" si="47"/>
        <v>0</v>
      </c>
      <c r="AC475">
        <f>IF(I475="",0,L475*IFERROR(INDEX(کاتالوگ_محصولات!$G$4:$G$303,MATCH(I475,کاتالوگ_محصولات!$A$4:$A$303,0)),0))</f>
        <v>0</v>
      </c>
      <c r="AD475">
        <f t="shared" si="50"/>
        <v>0</v>
      </c>
      <c r="AE475" t="str">
        <f t="shared" si="51"/>
        <v/>
      </c>
    </row>
    <row r="476" spans="22:31" ht="18" customHeight="1">
      <c r="V476">
        <f>IF(A476="",0,IF(COUNTIF($A$3:A476,A476)=1,1,0))</f>
        <v>0</v>
      </c>
      <c r="W476">
        <f t="shared" si="48"/>
        <v>0</v>
      </c>
      <c r="X476" t="str">
        <f t="shared" si="49"/>
        <v/>
      </c>
      <c r="Y476">
        <f>IF(X476="",0,IF(COUNTIF($X$3:X476,X476)=1,1,0))</f>
        <v>0</v>
      </c>
      <c r="Z476">
        <f>IF(V476&lt;&gt;1,0,IF(X476="",0,IF(COUNTIF($X$3:X475,X476)&gt;0,1,0)))</f>
        <v>0</v>
      </c>
      <c r="AA476">
        <f t="shared" si="46"/>
        <v>0</v>
      </c>
      <c r="AB476">
        <f t="shared" si="47"/>
        <v>0</v>
      </c>
      <c r="AC476">
        <f>IF(I476="",0,L476*IFERROR(INDEX(کاتالوگ_محصولات!$G$4:$G$303,MATCH(I476,کاتالوگ_محصولات!$A$4:$A$303,0)),0))</f>
        <v>0</v>
      </c>
      <c r="AD476">
        <f t="shared" si="50"/>
        <v>0</v>
      </c>
      <c r="AE476" t="str">
        <f t="shared" si="51"/>
        <v/>
      </c>
    </row>
    <row r="477" spans="22:31" ht="18" customHeight="1">
      <c r="V477">
        <f>IF(A477="",0,IF(COUNTIF($A$3:A477,A477)=1,1,0))</f>
        <v>0</v>
      </c>
      <c r="W477">
        <f t="shared" si="48"/>
        <v>0</v>
      </c>
      <c r="X477" t="str">
        <f t="shared" si="49"/>
        <v/>
      </c>
      <c r="Y477">
        <f>IF(X477="",0,IF(COUNTIF($X$3:X477,X477)=1,1,0))</f>
        <v>0</v>
      </c>
      <c r="Z477">
        <f>IF(V477&lt;&gt;1,0,IF(X477="",0,IF(COUNTIF($X$3:X476,X477)&gt;0,1,0)))</f>
        <v>0</v>
      </c>
      <c r="AA477">
        <f t="shared" si="46"/>
        <v>0</v>
      </c>
      <c r="AB477">
        <f t="shared" si="47"/>
        <v>0</v>
      </c>
      <c r="AC477">
        <f>IF(I477="",0,L477*IFERROR(INDEX(کاتالوگ_محصولات!$G$4:$G$303,MATCH(I477,کاتالوگ_محصولات!$A$4:$A$303,0)),0))</f>
        <v>0</v>
      </c>
      <c r="AD477">
        <f t="shared" si="50"/>
        <v>0</v>
      </c>
      <c r="AE477" t="str">
        <f t="shared" si="51"/>
        <v/>
      </c>
    </row>
    <row r="478" spans="22:31" ht="18" customHeight="1">
      <c r="V478">
        <f>IF(A478="",0,IF(COUNTIF($A$3:A478,A478)=1,1,0))</f>
        <v>0</v>
      </c>
      <c r="W478">
        <f t="shared" si="48"/>
        <v>0</v>
      </c>
      <c r="X478" t="str">
        <f t="shared" si="49"/>
        <v/>
      </c>
      <c r="Y478">
        <f>IF(X478="",0,IF(COUNTIF($X$3:X478,X478)=1,1,0))</f>
        <v>0</v>
      </c>
      <c r="Z478">
        <f>IF(V478&lt;&gt;1,0,IF(X478="",0,IF(COUNTIF($X$3:X477,X478)&gt;0,1,0)))</f>
        <v>0</v>
      </c>
      <c r="AA478">
        <f t="shared" si="46"/>
        <v>0</v>
      </c>
      <c r="AB478">
        <f t="shared" si="47"/>
        <v>0</v>
      </c>
      <c r="AC478">
        <f>IF(I478="",0,L478*IFERROR(INDEX(کاتالوگ_محصولات!$G$4:$G$303,MATCH(I478,کاتالوگ_محصولات!$A$4:$A$303,0)),0))</f>
        <v>0</v>
      </c>
      <c r="AD478">
        <f t="shared" si="50"/>
        <v>0</v>
      </c>
      <c r="AE478" t="str">
        <f t="shared" si="51"/>
        <v/>
      </c>
    </row>
    <row r="479" spans="22:31" ht="18" customHeight="1">
      <c r="V479">
        <f>IF(A479="",0,IF(COUNTIF($A$3:A479,A479)=1,1,0))</f>
        <v>0</v>
      </c>
      <c r="W479">
        <f t="shared" si="48"/>
        <v>0</v>
      </c>
      <c r="X479" t="str">
        <f t="shared" si="49"/>
        <v/>
      </c>
      <c r="Y479">
        <f>IF(X479="",0,IF(COUNTIF($X$3:X479,X479)=1,1,0))</f>
        <v>0</v>
      </c>
      <c r="Z479">
        <f>IF(V479&lt;&gt;1,0,IF(X479="",0,IF(COUNTIF($X$3:X478,X479)&gt;0,1,0)))</f>
        <v>0</v>
      </c>
      <c r="AA479">
        <f t="shared" si="46"/>
        <v>0</v>
      </c>
      <c r="AB479">
        <f t="shared" si="47"/>
        <v>0</v>
      </c>
      <c r="AC479">
        <f>IF(I479="",0,L479*IFERROR(INDEX(کاتالوگ_محصولات!$G$4:$G$303,MATCH(I479,کاتالوگ_محصولات!$A$4:$A$303,0)),0))</f>
        <v>0</v>
      </c>
      <c r="AD479">
        <f t="shared" si="50"/>
        <v>0</v>
      </c>
      <c r="AE479" t="str">
        <f t="shared" si="51"/>
        <v/>
      </c>
    </row>
    <row r="480" spans="22:31" ht="18" customHeight="1">
      <c r="V480">
        <f>IF(A480="",0,IF(COUNTIF($A$3:A480,A480)=1,1,0))</f>
        <v>0</v>
      </c>
      <c r="W480">
        <f t="shared" si="48"/>
        <v>0</v>
      </c>
      <c r="X480" t="str">
        <f t="shared" si="49"/>
        <v/>
      </c>
      <c r="Y480">
        <f>IF(X480="",0,IF(COUNTIF($X$3:X480,X480)=1,1,0))</f>
        <v>0</v>
      </c>
      <c r="Z480">
        <f>IF(V480&lt;&gt;1,0,IF(X480="",0,IF(COUNTIF($X$3:X479,X480)&gt;0,1,0)))</f>
        <v>0</v>
      </c>
      <c r="AA480">
        <f t="shared" si="46"/>
        <v>0</v>
      </c>
      <c r="AB480">
        <f t="shared" si="47"/>
        <v>0</v>
      </c>
      <c r="AC480">
        <f>IF(I480="",0,L480*IFERROR(INDEX(کاتالوگ_محصولات!$G$4:$G$303,MATCH(I480,کاتالوگ_محصولات!$A$4:$A$303,0)),0))</f>
        <v>0</v>
      </c>
      <c r="AD480">
        <f t="shared" si="50"/>
        <v>0</v>
      </c>
      <c r="AE480" t="str">
        <f t="shared" si="51"/>
        <v/>
      </c>
    </row>
    <row r="481" spans="22:31" ht="18" customHeight="1">
      <c r="V481">
        <f>IF(A481="",0,IF(COUNTIF($A$3:A481,A481)=1,1,0))</f>
        <v>0</v>
      </c>
      <c r="W481">
        <f t="shared" si="48"/>
        <v>0</v>
      </c>
      <c r="X481" t="str">
        <f t="shared" si="49"/>
        <v/>
      </c>
      <c r="Y481">
        <f>IF(X481="",0,IF(COUNTIF($X$3:X481,X481)=1,1,0))</f>
        <v>0</v>
      </c>
      <c r="Z481">
        <f>IF(V481&lt;&gt;1,0,IF(X481="",0,IF(COUNTIF($X$3:X480,X481)&gt;0,1,0)))</f>
        <v>0</v>
      </c>
      <c r="AA481">
        <f t="shared" si="46"/>
        <v>0</v>
      </c>
      <c r="AB481">
        <f t="shared" si="47"/>
        <v>0</v>
      </c>
      <c r="AC481">
        <f>IF(I481="",0,L481*IFERROR(INDEX(کاتالوگ_محصولات!$G$4:$G$303,MATCH(I481,کاتالوگ_محصولات!$A$4:$A$303,0)),0))</f>
        <v>0</v>
      </c>
      <c r="AD481">
        <f t="shared" si="50"/>
        <v>0</v>
      </c>
      <c r="AE481" t="str">
        <f t="shared" si="51"/>
        <v/>
      </c>
    </row>
    <row r="482" spans="22:31" ht="18" customHeight="1">
      <c r="V482">
        <f>IF(A482="",0,IF(COUNTIF($A$3:A482,A482)=1,1,0))</f>
        <v>0</v>
      </c>
      <c r="W482">
        <f t="shared" si="48"/>
        <v>0</v>
      </c>
      <c r="X482" t="str">
        <f t="shared" si="49"/>
        <v/>
      </c>
      <c r="Y482">
        <f>IF(X482="",0,IF(COUNTIF($X$3:X482,X482)=1,1,0))</f>
        <v>0</v>
      </c>
      <c r="Z482">
        <f>IF(V482&lt;&gt;1,0,IF(X482="",0,IF(COUNTIF($X$3:X481,X482)&gt;0,1,0)))</f>
        <v>0</v>
      </c>
      <c r="AA482">
        <f t="shared" si="46"/>
        <v>0</v>
      </c>
      <c r="AB482">
        <f t="shared" si="47"/>
        <v>0</v>
      </c>
      <c r="AC482">
        <f>IF(I482="",0,L482*IFERROR(INDEX(کاتالوگ_محصولات!$G$4:$G$303,MATCH(I482,کاتالوگ_محصولات!$A$4:$A$303,0)),0))</f>
        <v>0</v>
      </c>
      <c r="AD482">
        <f t="shared" si="50"/>
        <v>0</v>
      </c>
      <c r="AE482" t="str">
        <f t="shared" si="51"/>
        <v/>
      </c>
    </row>
    <row r="483" spans="22:31" ht="18" customHeight="1">
      <c r="V483">
        <f>IF(A483="",0,IF(COUNTIF($A$3:A483,A483)=1,1,0))</f>
        <v>0</v>
      </c>
      <c r="W483">
        <f t="shared" si="48"/>
        <v>0</v>
      </c>
      <c r="X483" t="str">
        <f t="shared" si="49"/>
        <v/>
      </c>
      <c r="Y483">
        <f>IF(X483="",0,IF(COUNTIF($X$3:X483,X483)=1,1,0))</f>
        <v>0</v>
      </c>
      <c r="Z483">
        <f>IF(V483&lt;&gt;1,0,IF(X483="",0,IF(COUNTIF($X$3:X482,X483)&gt;0,1,0)))</f>
        <v>0</v>
      </c>
      <c r="AA483">
        <f t="shared" si="46"/>
        <v>0</v>
      </c>
      <c r="AB483">
        <f t="shared" si="47"/>
        <v>0</v>
      </c>
      <c r="AC483">
        <f>IF(I483="",0,L483*IFERROR(INDEX(کاتالوگ_محصولات!$G$4:$G$303,MATCH(I483,کاتالوگ_محصولات!$A$4:$A$303,0)),0))</f>
        <v>0</v>
      </c>
      <c r="AD483">
        <f t="shared" si="50"/>
        <v>0</v>
      </c>
      <c r="AE483" t="str">
        <f t="shared" si="51"/>
        <v/>
      </c>
    </row>
    <row r="484" spans="22:31" ht="18" customHeight="1">
      <c r="V484">
        <f>IF(A484="",0,IF(COUNTIF($A$3:A484,A484)=1,1,0))</f>
        <v>0</v>
      </c>
      <c r="W484">
        <f t="shared" si="48"/>
        <v>0</v>
      </c>
      <c r="X484" t="str">
        <f t="shared" si="49"/>
        <v/>
      </c>
      <c r="Y484">
        <f>IF(X484="",0,IF(COUNTIF($X$3:X484,X484)=1,1,0))</f>
        <v>0</v>
      </c>
      <c r="Z484">
        <f>IF(V484&lt;&gt;1,0,IF(X484="",0,IF(COUNTIF($X$3:X483,X484)&gt;0,1,0)))</f>
        <v>0</v>
      </c>
      <c r="AA484">
        <f t="shared" si="46"/>
        <v>0</v>
      </c>
      <c r="AB484">
        <f t="shared" si="47"/>
        <v>0</v>
      </c>
      <c r="AC484">
        <f>IF(I484="",0,L484*IFERROR(INDEX(کاتالوگ_محصولات!$G$4:$G$303,MATCH(I484,کاتالوگ_محصولات!$A$4:$A$303,0)),0))</f>
        <v>0</v>
      </c>
      <c r="AD484">
        <f t="shared" si="50"/>
        <v>0</v>
      </c>
      <c r="AE484" t="str">
        <f t="shared" si="51"/>
        <v/>
      </c>
    </row>
    <row r="485" spans="22:31" ht="18" customHeight="1">
      <c r="V485">
        <f>IF(A485="",0,IF(COUNTIF($A$3:A485,A485)=1,1,0))</f>
        <v>0</v>
      </c>
      <c r="W485">
        <f t="shared" si="48"/>
        <v>0</v>
      </c>
      <c r="X485" t="str">
        <f t="shared" si="49"/>
        <v/>
      </c>
      <c r="Y485">
        <f>IF(X485="",0,IF(COUNTIF($X$3:X485,X485)=1,1,0))</f>
        <v>0</v>
      </c>
      <c r="Z485">
        <f>IF(V485&lt;&gt;1,0,IF(X485="",0,IF(COUNTIF($X$3:X484,X485)&gt;0,1,0)))</f>
        <v>0</v>
      </c>
      <c r="AA485">
        <f t="shared" si="46"/>
        <v>0</v>
      </c>
      <c r="AB485">
        <f t="shared" si="47"/>
        <v>0</v>
      </c>
      <c r="AC485">
        <f>IF(I485="",0,L485*IFERROR(INDEX(کاتالوگ_محصولات!$G$4:$G$303,MATCH(I485,کاتالوگ_محصولات!$A$4:$A$303,0)),0))</f>
        <v>0</v>
      </c>
      <c r="AD485">
        <f t="shared" si="50"/>
        <v>0</v>
      </c>
      <c r="AE485" t="str">
        <f t="shared" si="51"/>
        <v/>
      </c>
    </row>
    <row r="486" spans="22:31" ht="18" customHeight="1">
      <c r="V486">
        <f>IF(A486="",0,IF(COUNTIF($A$3:A486,A486)=1,1,0))</f>
        <v>0</v>
      </c>
      <c r="W486">
        <f t="shared" si="48"/>
        <v>0</v>
      </c>
      <c r="X486" t="str">
        <f t="shared" si="49"/>
        <v/>
      </c>
      <c r="Y486">
        <f>IF(X486="",0,IF(COUNTIF($X$3:X486,X486)=1,1,0))</f>
        <v>0</v>
      </c>
      <c r="Z486">
        <f>IF(V486&lt;&gt;1,0,IF(X486="",0,IF(COUNTIF($X$3:X485,X486)&gt;0,1,0)))</f>
        <v>0</v>
      </c>
      <c r="AA486">
        <f t="shared" si="46"/>
        <v>0</v>
      </c>
      <c r="AB486">
        <f t="shared" si="47"/>
        <v>0</v>
      </c>
      <c r="AC486">
        <f>IF(I486="",0,L486*IFERROR(INDEX(کاتالوگ_محصولات!$G$4:$G$303,MATCH(I486,کاتالوگ_محصولات!$A$4:$A$303,0)),0))</f>
        <v>0</v>
      </c>
      <c r="AD486">
        <f t="shared" si="50"/>
        <v>0</v>
      </c>
      <c r="AE486" t="str">
        <f t="shared" si="51"/>
        <v/>
      </c>
    </row>
    <row r="487" spans="22:31" ht="18" customHeight="1">
      <c r="V487">
        <f>IF(A487="",0,IF(COUNTIF($A$3:A487,A487)=1,1,0))</f>
        <v>0</v>
      </c>
      <c r="W487">
        <f t="shared" si="48"/>
        <v>0</v>
      </c>
      <c r="X487" t="str">
        <f t="shared" si="49"/>
        <v/>
      </c>
      <c r="Y487">
        <f>IF(X487="",0,IF(COUNTIF($X$3:X487,X487)=1,1,0))</f>
        <v>0</v>
      </c>
      <c r="Z487">
        <f>IF(V487&lt;&gt;1,0,IF(X487="",0,IF(COUNTIF($X$3:X486,X487)&gt;0,1,0)))</f>
        <v>0</v>
      </c>
      <c r="AA487">
        <f t="shared" si="46"/>
        <v>0</v>
      </c>
      <c r="AB487">
        <f t="shared" si="47"/>
        <v>0</v>
      </c>
      <c r="AC487">
        <f>IF(I487="",0,L487*IFERROR(INDEX(کاتالوگ_محصولات!$G$4:$G$303,MATCH(I487,کاتالوگ_محصولات!$A$4:$A$303,0)),0))</f>
        <v>0</v>
      </c>
      <c r="AD487">
        <f t="shared" si="50"/>
        <v>0</v>
      </c>
      <c r="AE487" t="str">
        <f t="shared" si="51"/>
        <v/>
      </c>
    </row>
    <row r="488" spans="22:31" ht="18" customHeight="1">
      <c r="V488">
        <f>IF(A488="",0,IF(COUNTIF($A$3:A488,A488)=1,1,0))</f>
        <v>0</v>
      </c>
      <c r="W488">
        <f t="shared" si="48"/>
        <v>0</v>
      </c>
      <c r="X488" t="str">
        <f t="shared" si="49"/>
        <v/>
      </c>
      <c r="Y488">
        <f>IF(X488="",0,IF(COUNTIF($X$3:X488,X488)=1,1,0))</f>
        <v>0</v>
      </c>
      <c r="Z488">
        <f>IF(V488&lt;&gt;1,0,IF(X488="",0,IF(COUNTIF($X$3:X487,X488)&gt;0,1,0)))</f>
        <v>0</v>
      </c>
      <c r="AA488">
        <f t="shared" si="46"/>
        <v>0</v>
      </c>
      <c r="AB488">
        <f t="shared" si="47"/>
        <v>0</v>
      </c>
      <c r="AC488">
        <f>IF(I488="",0,L488*IFERROR(INDEX(کاتالوگ_محصولات!$G$4:$G$303,MATCH(I488,کاتالوگ_محصولات!$A$4:$A$303,0)),0))</f>
        <v>0</v>
      </c>
      <c r="AD488">
        <f t="shared" si="50"/>
        <v>0</v>
      </c>
      <c r="AE488" t="str">
        <f t="shared" si="51"/>
        <v/>
      </c>
    </row>
    <row r="489" spans="22:31" ht="18" customHeight="1">
      <c r="V489">
        <f>IF(A489="",0,IF(COUNTIF($A$3:A489,A489)=1,1,0))</f>
        <v>0</v>
      </c>
      <c r="W489">
        <f t="shared" si="48"/>
        <v>0</v>
      </c>
      <c r="X489" t="str">
        <f t="shared" si="49"/>
        <v/>
      </c>
      <c r="Y489">
        <f>IF(X489="",0,IF(COUNTIF($X$3:X489,X489)=1,1,0))</f>
        <v>0</v>
      </c>
      <c r="Z489">
        <f>IF(V489&lt;&gt;1,0,IF(X489="",0,IF(COUNTIF($X$3:X488,X489)&gt;0,1,0)))</f>
        <v>0</v>
      </c>
      <c r="AA489">
        <f t="shared" si="46"/>
        <v>0</v>
      </c>
      <c r="AB489">
        <f t="shared" si="47"/>
        <v>0</v>
      </c>
      <c r="AC489">
        <f>IF(I489="",0,L489*IFERROR(INDEX(کاتالوگ_محصولات!$G$4:$G$303,MATCH(I489,کاتالوگ_محصولات!$A$4:$A$303,0)),0))</f>
        <v>0</v>
      </c>
      <c r="AD489">
        <f t="shared" si="50"/>
        <v>0</v>
      </c>
      <c r="AE489" t="str">
        <f t="shared" si="51"/>
        <v/>
      </c>
    </row>
    <row r="490" spans="22:31" ht="18" customHeight="1">
      <c r="V490">
        <f>IF(A490="",0,IF(COUNTIF($A$3:A490,A490)=1,1,0))</f>
        <v>0</v>
      </c>
      <c r="W490">
        <f t="shared" si="48"/>
        <v>0</v>
      </c>
      <c r="X490" t="str">
        <f t="shared" si="49"/>
        <v/>
      </c>
      <c r="Y490">
        <f>IF(X490="",0,IF(COUNTIF($X$3:X490,X490)=1,1,0))</f>
        <v>0</v>
      </c>
      <c r="Z490">
        <f>IF(V490&lt;&gt;1,0,IF(X490="",0,IF(COUNTIF($X$3:X489,X490)&gt;0,1,0)))</f>
        <v>0</v>
      </c>
      <c r="AA490">
        <f t="shared" si="46"/>
        <v>0</v>
      </c>
      <c r="AB490">
        <f t="shared" si="47"/>
        <v>0</v>
      </c>
      <c r="AC490">
        <f>IF(I490="",0,L490*IFERROR(INDEX(کاتالوگ_محصولات!$G$4:$G$303,MATCH(I490,کاتالوگ_محصولات!$A$4:$A$303,0)),0))</f>
        <v>0</v>
      </c>
      <c r="AD490">
        <f t="shared" si="50"/>
        <v>0</v>
      </c>
      <c r="AE490" t="str">
        <f t="shared" si="51"/>
        <v/>
      </c>
    </row>
    <row r="491" spans="22:31" ht="18" customHeight="1">
      <c r="V491">
        <f>IF(A491="",0,IF(COUNTIF($A$3:A491,A491)=1,1,0))</f>
        <v>0</v>
      </c>
      <c r="W491">
        <f t="shared" si="48"/>
        <v>0</v>
      </c>
      <c r="X491" t="str">
        <f t="shared" si="49"/>
        <v/>
      </c>
      <c r="Y491">
        <f>IF(X491="",0,IF(COUNTIF($X$3:X491,X491)=1,1,0))</f>
        <v>0</v>
      </c>
      <c r="Z491">
        <f>IF(V491&lt;&gt;1,0,IF(X491="",0,IF(COUNTIF($X$3:X490,X491)&gt;0,1,0)))</f>
        <v>0</v>
      </c>
      <c r="AA491">
        <f t="shared" si="46"/>
        <v>0</v>
      </c>
      <c r="AB491">
        <f t="shared" si="47"/>
        <v>0</v>
      </c>
      <c r="AC491">
        <f>IF(I491="",0,L491*IFERROR(INDEX(کاتالوگ_محصولات!$G$4:$G$303,MATCH(I491,کاتالوگ_محصولات!$A$4:$A$303,0)),0))</f>
        <v>0</v>
      </c>
      <c r="AD491">
        <f t="shared" si="50"/>
        <v>0</v>
      </c>
      <c r="AE491" t="str">
        <f t="shared" si="51"/>
        <v/>
      </c>
    </row>
    <row r="492" spans="22:31" ht="18" customHeight="1">
      <c r="V492">
        <f>IF(A492="",0,IF(COUNTIF($A$3:A492,A492)=1,1,0))</f>
        <v>0</v>
      </c>
      <c r="W492">
        <f t="shared" si="48"/>
        <v>0</v>
      </c>
      <c r="X492" t="str">
        <f t="shared" si="49"/>
        <v/>
      </c>
      <c r="Y492">
        <f>IF(X492="",0,IF(COUNTIF($X$3:X492,X492)=1,1,0))</f>
        <v>0</v>
      </c>
      <c r="Z492">
        <f>IF(V492&lt;&gt;1,0,IF(X492="",0,IF(COUNTIF($X$3:X491,X492)&gt;0,1,0)))</f>
        <v>0</v>
      </c>
      <c r="AA492">
        <f t="shared" si="46"/>
        <v>0</v>
      </c>
      <c r="AB492">
        <f t="shared" si="47"/>
        <v>0</v>
      </c>
      <c r="AC492">
        <f>IF(I492="",0,L492*IFERROR(INDEX(کاتالوگ_محصولات!$G$4:$G$303,MATCH(I492,کاتالوگ_محصولات!$A$4:$A$303,0)),0))</f>
        <v>0</v>
      </c>
      <c r="AD492">
        <f t="shared" si="50"/>
        <v>0</v>
      </c>
      <c r="AE492" t="str">
        <f t="shared" si="51"/>
        <v/>
      </c>
    </row>
    <row r="493" spans="22:31" ht="18" customHeight="1">
      <c r="V493">
        <f>IF(A493="",0,IF(COUNTIF($A$3:A493,A493)=1,1,0))</f>
        <v>0</v>
      </c>
      <c r="W493">
        <f t="shared" si="48"/>
        <v>0</v>
      </c>
      <c r="X493" t="str">
        <f t="shared" si="49"/>
        <v/>
      </c>
      <c r="Y493">
        <f>IF(X493="",0,IF(COUNTIF($X$3:X493,X493)=1,1,0))</f>
        <v>0</v>
      </c>
      <c r="Z493">
        <f>IF(V493&lt;&gt;1,0,IF(X493="",0,IF(COUNTIF($X$3:X492,X493)&gt;0,1,0)))</f>
        <v>0</v>
      </c>
      <c r="AA493">
        <f t="shared" si="46"/>
        <v>0</v>
      </c>
      <c r="AB493">
        <f t="shared" si="47"/>
        <v>0</v>
      </c>
      <c r="AC493">
        <f>IF(I493="",0,L493*IFERROR(INDEX(کاتالوگ_محصولات!$G$4:$G$303,MATCH(I493,کاتالوگ_محصولات!$A$4:$A$303,0)),0))</f>
        <v>0</v>
      </c>
      <c r="AD493">
        <f t="shared" si="50"/>
        <v>0</v>
      </c>
      <c r="AE493" t="str">
        <f t="shared" si="51"/>
        <v/>
      </c>
    </row>
    <row r="494" spans="22:31" ht="18" customHeight="1">
      <c r="V494">
        <f>IF(A494="",0,IF(COUNTIF($A$3:A494,A494)=1,1,0))</f>
        <v>0</v>
      </c>
      <c r="W494">
        <f t="shared" si="48"/>
        <v>0</v>
      </c>
      <c r="X494" t="str">
        <f t="shared" si="49"/>
        <v/>
      </c>
      <c r="Y494">
        <f>IF(X494="",0,IF(COUNTIF($X$3:X494,X494)=1,1,0))</f>
        <v>0</v>
      </c>
      <c r="Z494">
        <f>IF(V494&lt;&gt;1,0,IF(X494="",0,IF(COUNTIF($X$3:X493,X494)&gt;0,1,0)))</f>
        <v>0</v>
      </c>
      <c r="AA494">
        <f t="shared" si="46"/>
        <v>0</v>
      </c>
      <c r="AB494">
        <f t="shared" si="47"/>
        <v>0</v>
      </c>
      <c r="AC494">
        <f>IF(I494="",0,L494*IFERROR(INDEX(کاتالوگ_محصولات!$G$4:$G$303,MATCH(I494,کاتالوگ_محصولات!$A$4:$A$303,0)),0))</f>
        <v>0</v>
      </c>
      <c r="AD494">
        <f t="shared" si="50"/>
        <v>0</v>
      </c>
      <c r="AE494" t="str">
        <f t="shared" si="51"/>
        <v/>
      </c>
    </row>
    <row r="495" spans="22:31" ht="18" customHeight="1">
      <c r="V495">
        <f>IF(A495="",0,IF(COUNTIF($A$3:A495,A495)=1,1,0))</f>
        <v>0</v>
      </c>
      <c r="W495">
        <f t="shared" si="48"/>
        <v>0</v>
      </c>
      <c r="X495" t="str">
        <f t="shared" si="49"/>
        <v/>
      </c>
      <c r="Y495">
        <f>IF(X495="",0,IF(COUNTIF($X$3:X495,X495)=1,1,0))</f>
        <v>0</v>
      </c>
      <c r="Z495">
        <f>IF(V495&lt;&gt;1,0,IF(X495="",0,IF(COUNTIF($X$3:X494,X495)&gt;0,1,0)))</f>
        <v>0</v>
      </c>
      <c r="AA495">
        <f t="shared" si="46"/>
        <v>0</v>
      </c>
      <c r="AB495">
        <f t="shared" si="47"/>
        <v>0</v>
      </c>
      <c r="AC495">
        <f>IF(I495="",0,L495*IFERROR(INDEX(کاتالوگ_محصولات!$G$4:$G$303,MATCH(I495,کاتالوگ_محصولات!$A$4:$A$303,0)),0))</f>
        <v>0</v>
      </c>
      <c r="AD495">
        <f t="shared" si="50"/>
        <v>0</v>
      </c>
      <c r="AE495" t="str">
        <f t="shared" si="51"/>
        <v/>
      </c>
    </row>
    <row r="496" spans="22:31" ht="18" customHeight="1">
      <c r="V496">
        <f>IF(A496="",0,IF(COUNTIF($A$3:A496,A496)=1,1,0))</f>
        <v>0</v>
      </c>
      <c r="W496">
        <f t="shared" si="48"/>
        <v>0</v>
      </c>
      <c r="X496" t="str">
        <f t="shared" si="49"/>
        <v/>
      </c>
      <c r="Y496">
        <f>IF(X496="",0,IF(COUNTIF($X$3:X496,X496)=1,1,0))</f>
        <v>0</v>
      </c>
      <c r="Z496">
        <f>IF(V496&lt;&gt;1,0,IF(X496="",0,IF(COUNTIF($X$3:X495,X496)&gt;0,1,0)))</f>
        <v>0</v>
      </c>
      <c r="AA496">
        <f t="shared" si="46"/>
        <v>0</v>
      </c>
      <c r="AB496">
        <f t="shared" si="47"/>
        <v>0</v>
      </c>
      <c r="AC496">
        <f>IF(I496="",0,L496*IFERROR(INDEX(کاتالوگ_محصولات!$G$4:$G$303,MATCH(I496,کاتالوگ_محصولات!$A$4:$A$303,0)),0))</f>
        <v>0</v>
      </c>
      <c r="AD496">
        <f t="shared" si="50"/>
        <v>0</v>
      </c>
      <c r="AE496" t="str">
        <f t="shared" si="51"/>
        <v/>
      </c>
    </row>
    <row r="497" spans="22:31" ht="18" customHeight="1">
      <c r="V497">
        <f>IF(A497="",0,IF(COUNTIF($A$3:A497,A497)=1,1,0))</f>
        <v>0</v>
      </c>
      <c r="W497">
        <f t="shared" si="48"/>
        <v>0</v>
      </c>
      <c r="X497" t="str">
        <f t="shared" si="49"/>
        <v/>
      </c>
      <c r="Y497">
        <f>IF(X497="",0,IF(COUNTIF($X$3:X497,X497)=1,1,0))</f>
        <v>0</v>
      </c>
      <c r="Z497">
        <f>IF(V497&lt;&gt;1,0,IF(X497="",0,IF(COUNTIF($X$3:X496,X497)&gt;0,1,0)))</f>
        <v>0</v>
      </c>
      <c r="AA497">
        <f t="shared" si="46"/>
        <v>0</v>
      </c>
      <c r="AB497">
        <f t="shared" si="47"/>
        <v>0</v>
      </c>
      <c r="AC497">
        <f>IF(I497="",0,L497*IFERROR(INDEX(کاتالوگ_محصولات!$G$4:$G$303,MATCH(I497,کاتالوگ_محصولات!$A$4:$A$303,0)),0))</f>
        <v>0</v>
      </c>
      <c r="AD497">
        <f t="shared" si="50"/>
        <v>0</v>
      </c>
      <c r="AE497" t="str">
        <f t="shared" si="51"/>
        <v/>
      </c>
    </row>
    <row r="498" spans="22:31" ht="18" customHeight="1">
      <c r="V498">
        <f>IF(A498="",0,IF(COUNTIF($A$3:A498,A498)=1,1,0))</f>
        <v>0</v>
      </c>
      <c r="W498">
        <f t="shared" si="48"/>
        <v>0</v>
      </c>
      <c r="X498" t="str">
        <f t="shared" si="49"/>
        <v/>
      </c>
      <c r="Y498">
        <f>IF(X498="",0,IF(COUNTIF($X$3:X498,X498)=1,1,0))</f>
        <v>0</v>
      </c>
      <c r="Z498">
        <f>IF(V498&lt;&gt;1,0,IF(X498="",0,IF(COUNTIF($X$3:X497,X498)&gt;0,1,0)))</f>
        <v>0</v>
      </c>
      <c r="AA498">
        <f t="shared" si="46"/>
        <v>0</v>
      </c>
      <c r="AB498">
        <f t="shared" si="47"/>
        <v>0</v>
      </c>
      <c r="AC498">
        <f>IF(I498="",0,L498*IFERROR(INDEX(کاتالوگ_محصولات!$G$4:$G$303,MATCH(I498,کاتالوگ_محصولات!$A$4:$A$303,0)),0))</f>
        <v>0</v>
      </c>
      <c r="AD498">
        <f t="shared" si="50"/>
        <v>0</v>
      </c>
      <c r="AE498" t="str">
        <f t="shared" si="51"/>
        <v/>
      </c>
    </row>
    <row r="499" spans="22:31" ht="18" customHeight="1">
      <c r="V499">
        <f>IF(A499="",0,IF(COUNTIF($A$3:A499,A499)=1,1,0))</f>
        <v>0</v>
      </c>
      <c r="W499">
        <f t="shared" si="48"/>
        <v>0</v>
      </c>
      <c r="X499" t="str">
        <f t="shared" si="49"/>
        <v/>
      </c>
      <c r="Y499">
        <f>IF(X499="",0,IF(COUNTIF($X$3:X499,X499)=1,1,0))</f>
        <v>0</v>
      </c>
      <c r="Z499">
        <f>IF(V499&lt;&gt;1,0,IF(X499="",0,IF(COUNTIF($X$3:X498,X499)&gt;0,1,0)))</f>
        <v>0</v>
      </c>
      <c r="AA499">
        <f t="shared" si="46"/>
        <v>0</v>
      </c>
      <c r="AB499">
        <f t="shared" si="47"/>
        <v>0</v>
      </c>
      <c r="AC499">
        <f>IF(I499="",0,L499*IFERROR(INDEX(کاتالوگ_محصولات!$G$4:$G$303,MATCH(I499,کاتالوگ_محصولات!$A$4:$A$303,0)),0))</f>
        <v>0</v>
      </c>
      <c r="AD499">
        <f t="shared" si="50"/>
        <v>0</v>
      </c>
      <c r="AE499" t="str">
        <f t="shared" si="51"/>
        <v/>
      </c>
    </row>
    <row r="500" spans="22:31" ht="18" customHeight="1">
      <c r="V500">
        <f>IF(A500="",0,IF(COUNTIF($A$3:A500,A500)=1,1,0))</f>
        <v>0</v>
      </c>
      <c r="W500">
        <f t="shared" si="48"/>
        <v>0</v>
      </c>
      <c r="X500" t="str">
        <f t="shared" si="49"/>
        <v/>
      </c>
      <c r="Y500">
        <f>IF(X500="",0,IF(COUNTIF($X$3:X500,X500)=1,1,0))</f>
        <v>0</v>
      </c>
      <c r="Z500">
        <f>IF(V500&lt;&gt;1,0,IF(X500="",0,IF(COUNTIF($X$3:X499,X500)&gt;0,1,0)))</f>
        <v>0</v>
      </c>
      <c r="AA500">
        <f t="shared" si="46"/>
        <v>0</v>
      </c>
      <c r="AB500">
        <f t="shared" si="47"/>
        <v>0</v>
      </c>
      <c r="AC500">
        <f>IF(I500="",0,L500*IFERROR(INDEX(کاتالوگ_محصولات!$G$4:$G$303,MATCH(I500,کاتالوگ_محصولات!$A$4:$A$303,0)),0))</f>
        <v>0</v>
      </c>
      <c r="AD500">
        <f t="shared" si="50"/>
        <v>0</v>
      </c>
      <c r="AE500" t="str">
        <f t="shared" si="51"/>
        <v/>
      </c>
    </row>
    <row r="501" spans="22:31" ht="18" customHeight="1">
      <c r="V501">
        <f>IF(A501="",0,IF(COUNTIF($A$3:A501,A501)=1,1,0))</f>
        <v>0</v>
      </c>
      <c r="W501">
        <f t="shared" si="48"/>
        <v>0</v>
      </c>
      <c r="X501" t="str">
        <f t="shared" si="49"/>
        <v/>
      </c>
      <c r="Y501">
        <f>IF(X501="",0,IF(COUNTIF($X$3:X501,X501)=1,1,0))</f>
        <v>0</v>
      </c>
      <c r="Z501">
        <f>IF(V501&lt;&gt;1,0,IF(X501="",0,IF(COUNTIF($X$3:X500,X501)&gt;0,1,0)))</f>
        <v>0</v>
      </c>
      <c r="AA501">
        <f t="shared" si="46"/>
        <v>0</v>
      </c>
      <c r="AB501">
        <f t="shared" si="47"/>
        <v>0</v>
      </c>
      <c r="AC501">
        <f>IF(I501="",0,L501*IFERROR(INDEX(کاتالوگ_محصولات!$G$4:$G$303,MATCH(I501,کاتالوگ_محصولات!$A$4:$A$303,0)),0))</f>
        <v>0</v>
      </c>
      <c r="AD501">
        <f t="shared" si="50"/>
        <v>0</v>
      </c>
      <c r="AE501" t="str">
        <f t="shared" si="51"/>
        <v/>
      </c>
    </row>
    <row r="502" spans="22:31" ht="18" customHeight="1">
      <c r="V502">
        <f>IF(A502="",0,IF(COUNTIF($A$3:A502,A502)=1,1,0))</f>
        <v>0</v>
      </c>
      <c r="W502">
        <f t="shared" si="48"/>
        <v>0</v>
      </c>
      <c r="X502" t="str">
        <f t="shared" si="49"/>
        <v/>
      </c>
      <c r="Y502">
        <f>IF(X502="",0,IF(COUNTIF($X$3:X502,X502)=1,1,0))</f>
        <v>0</v>
      </c>
      <c r="Z502">
        <f>IF(V502&lt;&gt;1,0,IF(X502="",0,IF(COUNTIF($X$3:X501,X502)&gt;0,1,0)))</f>
        <v>0</v>
      </c>
      <c r="AA502">
        <f t="shared" si="46"/>
        <v>0</v>
      </c>
      <c r="AB502">
        <f t="shared" si="47"/>
        <v>0</v>
      </c>
      <c r="AC502">
        <f>IF(I502="",0,L502*IFERROR(INDEX(کاتالوگ_محصولات!$G$4:$G$303,MATCH(I502,کاتالوگ_محصولات!$A$4:$A$303,0)),0))</f>
        <v>0</v>
      </c>
      <c r="AD502">
        <f t="shared" si="50"/>
        <v>0</v>
      </c>
      <c r="AE502" t="str">
        <f t="shared" si="51"/>
        <v/>
      </c>
    </row>
    <row r="503" spans="22:31" ht="18" customHeight="1">
      <c r="V503">
        <f>IF(A503="",0,IF(COUNTIF($A$3:A503,A503)=1,1,0))</f>
        <v>0</v>
      </c>
      <c r="W503">
        <f t="shared" si="48"/>
        <v>0</v>
      </c>
      <c r="X503" t="str">
        <f t="shared" si="49"/>
        <v/>
      </c>
      <c r="Y503">
        <f>IF(X503="",0,IF(COUNTIF($X$3:X503,X503)=1,1,0))</f>
        <v>0</v>
      </c>
      <c r="Z503">
        <f>IF(V503&lt;&gt;1,0,IF(X503="",0,IF(COUNTIF($X$3:X502,X503)&gt;0,1,0)))</f>
        <v>0</v>
      </c>
      <c r="AA503">
        <f t="shared" si="46"/>
        <v>0</v>
      </c>
      <c r="AB503">
        <f t="shared" si="47"/>
        <v>0</v>
      </c>
      <c r="AC503">
        <f>IF(I503="",0,L503*IFERROR(INDEX(کاتالوگ_محصولات!$G$4:$G$303,MATCH(I503,کاتالوگ_محصولات!$A$4:$A$303,0)),0))</f>
        <v>0</v>
      </c>
      <c r="AD503">
        <f t="shared" si="50"/>
        <v>0</v>
      </c>
      <c r="AE503" t="str">
        <f t="shared" si="51"/>
        <v/>
      </c>
    </row>
    <row r="504" spans="22:31" ht="18" customHeight="1">
      <c r="V504">
        <f>IF(A504="",0,IF(COUNTIF($A$3:A504,A504)=1,1,0))</f>
        <v>0</v>
      </c>
      <c r="W504">
        <f t="shared" si="48"/>
        <v>0</v>
      </c>
      <c r="X504" t="str">
        <f t="shared" si="49"/>
        <v/>
      </c>
      <c r="Y504">
        <f>IF(X504="",0,IF(COUNTIF($X$3:X504,X504)=1,1,0))</f>
        <v>0</v>
      </c>
      <c r="Z504">
        <f>IF(V504&lt;&gt;1,0,IF(X504="",0,IF(COUNTIF($X$3:X503,X504)&gt;0,1,0)))</f>
        <v>0</v>
      </c>
      <c r="AA504">
        <f t="shared" si="46"/>
        <v>0</v>
      </c>
      <c r="AB504">
        <f t="shared" si="47"/>
        <v>0</v>
      </c>
      <c r="AC504">
        <f>IF(I504="",0,L504*IFERROR(INDEX(کاتالوگ_محصولات!$G$4:$G$303,MATCH(I504,کاتالوگ_محصولات!$A$4:$A$303,0)),0))</f>
        <v>0</v>
      </c>
      <c r="AD504">
        <f t="shared" si="50"/>
        <v>0</v>
      </c>
      <c r="AE504" t="str">
        <f t="shared" si="51"/>
        <v/>
      </c>
    </row>
    <row r="505" spans="22:31" ht="18" customHeight="1">
      <c r="V505">
        <f>IF(A505="",0,IF(COUNTIF($A$3:A505,A505)=1,1,0))</f>
        <v>0</v>
      </c>
      <c r="W505">
        <f t="shared" si="48"/>
        <v>0</v>
      </c>
      <c r="X505" t="str">
        <f t="shared" si="49"/>
        <v/>
      </c>
      <c r="Y505">
        <f>IF(X505="",0,IF(COUNTIF($X$3:X505,X505)=1,1,0))</f>
        <v>0</v>
      </c>
      <c r="Z505">
        <f>IF(V505&lt;&gt;1,0,IF(X505="",0,IF(COUNTIF($X$3:X504,X505)&gt;0,1,0)))</f>
        <v>0</v>
      </c>
      <c r="AA505">
        <f t="shared" si="46"/>
        <v>0</v>
      </c>
      <c r="AB505">
        <f t="shared" si="47"/>
        <v>0</v>
      </c>
      <c r="AC505">
        <f>IF(I505="",0,L505*IFERROR(INDEX(کاتالوگ_محصولات!$G$4:$G$303,MATCH(I505,کاتالوگ_محصولات!$A$4:$A$303,0)),0))</f>
        <v>0</v>
      </c>
      <c r="AD505">
        <f t="shared" si="50"/>
        <v>0</v>
      </c>
      <c r="AE505" t="str">
        <f t="shared" si="51"/>
        <v/>
      </c>
    </row>
    <row r="506" spans="22:31" ht="18" customHeight="1">
      <c r="V506">
        <f>IF(A506="",0,IF(COUNTIF($A$3:A506,A506)=1,1,0))</f>
        <v>0</v>
      </c>
      <c r="W506">
        <f t="shared" si="48"/>
        <v>0</v>
      </c>
      <c r="X506" t="str">
        <f t="shared" si="49"/>
        <v/>
      </c>
      <c r="Y506">
        <f>IF(X506="",0,IF(COUNTIF($X$3:X506,X506)=1,1,0))</f>
        <v>0</v>
      </c>
      <c r="Z506">
        <f>IF(V506&lt;&gt;1,0,IF(X506="",0,IF(COUNTIF($X$3:X505,X506)&gt;0,1,0)))</f>
        <v>0</v>
      </c>
      <c r="AA506">
        <f t="shared" si="46"/>
        <v>0</v>
      </c>
      <c r="AB506">
        <f t="shared" si="47"/>
        <v>0</v>
      </c>
      <c r="AC506">
        <f>IF(I506="",0,L506*IFERROR(INDEX(کاتالوگ_محصولات!$G$4:$G$303,MATCH(I506,کاتالوگ_محصولات!$A$4:$A$303,0)),0))</f>
        <v>0</v>
      </c>
      <c r="AD506">
        <f t="shared" si="50"/>
        <v>0</v>
      </c>
      <c r="AE506" t="str">
        <f t="shared" si="51"/>
        <v/>
      </c>
    </row>
    <row r="507" spans="22:31" ht="18" customHeight="1">
      <c r="V507">
        <f>IF(A507="",0,IF(COUNTIF($A$3:A507,A507)=1,1,0))</f>
        <v>0</v>
      </c>
      <c r="W507">
        <f t="shared" si="48"/>
        <v>0</v>
      </c>
      <c r="X507" t="str">
        <f t="shared" si="49"/>
        <v/>
      </c>
      <c r="Y507">
        <f>IF(X507="",0,IF(COUNTIF($X$3:X507,X507)=1,1,0))</f>
        <v>0</v>
      </c>
      <c r="Z507">
        <f>IF(V507&lt;&gt;1,0,IF(X507="",0,IF(COUNTIF($X$3:X506,X507)&gt;0,1,0)))</f>
        <v>0</v>
      </c>
      <c r="AA507">
        <f t="shared" si="46"/>
        <v>0</v>
      </c>
      <c r="AB507">
        <f t="shared" si="47"/>
        <v>0</v>
      </c>
      <c r="AC507">
        <f>IF(I507="",0,L507*IFERROR(INDEX(کاتالوگ_محصولات!$G$4:$G$303,MATCH(I507,کاتالوگ_محصولات!$A$4:$A$303,0)),0))</f>
        <v>0</v>
      </c>
      <c r="AD507">
        <f t="shared" si="50"/>
        <v>0</v>
      </c>
      <c r="AE507" t="str">
        <f t="shared" si="51"/>
        <v/>
      </c>
    </row>
    <row r="508" spans="22:31" ht="18" customHeight="1">
      <c r="V508">
        <f>IF(A508="",0,IF(COUNTIF($A$3:A508,A508)=1,1,0))</f>
        <v>0</v>
      </c>
      <c r="W508">
        <f t="shared" si="48"/>
        <v>0</v>
      </c>
      <c r="X508" t="str">
        <f t="shared" si="49"/>
        <v/>
      </c>
      <c r="Y508">
        <f>IF(X508="",0,IF(COUNTIF($X$3:X508,X508)=1,1,0))</f>
        <v>0</v>
      </c>
      <c r="Z508">
        <f>IF(V508&lt;&gt;1,0,IF(X508="",0,IF(COUNTIF($X$3:X507,X508)&gt;0,1,0)))</f>
        <v>0</v>
      </c>
      <c r="AA508">
        <f t="shared" si="46"/>
        <v>0</v>
      </c>
      <c r="AB508">
        <f t="shared" si="47"/>
        <v>0</v>
      </c>
      <c r="AC508">
        <f>IF(I508="",0,L508*IFERROR(INDEX(کاتالوگ_محصولات!$G$4:$G$303,MATCH(I508,کاتالوگ_محصولات!$A$4:$A$303,0)),0))</f>
        <v>0</v>
      </c>
      <c r="AD508">
        <f t="shared" si="50"/>
        <v>0</v>
      </c>
      <c r="AE508" t="str">
        <f t="shared" si="51"/>
        <v/>
      </c>
    </row>
    <row r="509" spans="22:31" ht="18" customHeight="1">
      <c r="V509">
        <f>IF(A509="",0,IF(COUNTIF($A$3:A509,A509)=1,1,0))</f>
        <v>0</v>
      </c>
      <c r="W509">
        <f t="shared" si="48"/>
        <v>0</v>
      </c>
      <c r="X509" t="str">
        <f t="shared" si="49"/>
        <v/>
      </c>
      <c r="Y509">
        <f>IF(X509="",0,IF(COUNTIF($X$3:X509,X509)=1,1,0))</f>
        <v>0</v>
      </c>
      <c r="Z509">
        <f>IF(V509&lt;&gt;1,0,IF(X509="",0,IF(COUNTIF($X$3:X508,X509)&gt;0,1,0)))</f>
        <v>0</v>
      </c>
      <c r="AA509">
        <f t="shared" si="46"/>
        <v>0</v>
      </c>
      <c r="AB509">
        <f t="shared" si="47"/>
        <v>0</v>
      </c>
      <c r="AC509">
        <f>IF(I509="",0,L509*IFERROR(INDEX(کاتالوگ_محصولات!$G$4:$G$303,MATCH(I509,کاتالوگ_محصولات!$A$4:$A$303,0)),0))</f>
        <v>0</v>
      </c>
      <c r="AD509">
        <f t="shared" si="50"/>
        <v>0</v>
      </c>
      <c r="AE509" t="str">
        <f t="shared" si="51"/>
        <v/>
      </c>
    </row>
    <row r="510" spans="22:31" ht="18" customHeight="1">
      <c r="V510">
        <f>IF(A510="",0,IF(COUNTIF($A$3:A510,A510)=1,1,0))</f>
        <v>0</v>
      </c>
      <c r="W510">
        <f t="shared" si="48"/>
        <v>0</v>
      </c>
      <c r="X510" t="str">
        <f t="shared" si="49"/>
        <v/>
      </c>
      <c r="Y510">
        <f>IF(X510="",0,IF(COUNTIF($X$3:X510,X510)=1,1,0))</f>
        <v>0</v>
      </c>
      <c r="Z510">
        <f>IF(V510&lt;&gt;1,0,IF(X510="",0,IF(COUNTIF($X$3:X509,X510)&gt;0,1,0)))</f>
        <v>0</v>
      </c>
      <c r="AA510">
        <f t="shared" si="46"/>
        <v>0</v>
      </c>
      <c r="AB510">
        <f t="shared" si="47"/>
        <v>0</v>
      </c>
      <c r="AC510">
        <f>IF(I510="",0,L510*IFERROR(INDEX(کاتالوگ_محصولات!$G$4:$G$303,MATCH(I510,کاتالوگ_محصولات!$A$4:$A$303,0)),0))</f>
        <v>0</v>
      </c>
      <c r="AD510">
        <f t="shared" si="50"/>
        <v>0</v>
      </c>
      <c r="AE510" t="str">
        <f t="shared" si="51"/>
        <v/>
      </c>
    </row>
    <row r="511" spans="22:31" ht="18" customHeight="1">
      <c r="V511">
        <f>IF(A511="",0,IF(COUNTIF($A$3:A511,A511)=1,1,0))</f>
        <v>0</v>
      </c>
      <c r="W511">
        <f t="shared" si="48"/>
        <v>0</v>
      </c>
      <c r="X511" t="str">
        <f t="shared" si="49"/>
        <v/>
      </c>
      <c r="Y511">
        <f>IF(X511="",0,IF(COUNTIF($X$3:X511,X511)=1,1,0))</f>
        <v>0</v>
      </c>
      <c r="Z511">
        <f>IF(V511&lt;&gt;1,0,IF(X511="",0,IF(COUNTIF($X$3:X510,X511)&gt;0,1,0)))</f>
        <v>0</v>
      </c>
      <c r="AA511">
        <f t="shared" si="46"/>
        <v>0</v>
      </c>
      <c r="AB511">
        <f t="shared" si="47"/>
        <v>0</v>
      </c>
      <c r="AC511">
        <f>IF(I511="",0,L511*IFERROR(INDEX(کاتالوگ_محصولات!$G$4:$G$303,MATCH(I511,کاتالوگ_محصولات!$A$4:$A$303,0)),0))</f>
        <v>0</v>
      </c>
      <c r="AD511">
        <f t="shared" si="50"/>
        <v>0</v>
      </c>
      <c r="AE511" t="str">
        <f t="shared" si="51"/>
        <v/>
      </c>
    </row>
    <row r="512" spans="22:31" ht="18" customHeight="1">
      <c r="V512">
        <f>IF(A512="",0,IF(COUNTIF($A$3:A512,A512)=1,1,0))</f>
        <v>0</v>
      </c>
      <c r="W512">
        <f t="shared" si="48"/>
        <v>0</v>
      </c>
      <c r="X512" t="str">
        <f t="shared" si="49"/>
        <v/>
      </c>
      <c r="Y512">
        <f>IF(X512="",0,IF(COUNTIF($X$3:X512,X512)=1,1,0))</f>
        <v>0</v>
      </c>
      <c r="Z512">
        <f>IF(V512&lt;&gt;1,0,IF(X512="",0,IF(COUNTIF($X$3:X511,X512)&gt;0,1,0)))</f>
        <v>0</v>
      </c>
      <c r="AA512">
        <f t="shared" si="46"/>
        <v>0</v>
      </c>
      <c r="AB512">
        <f t="shared" si="47"/>
        <v>0</v>
      </c>
      <c r="AC512">
        <f>IF(I512="",0,L512*IFERROR(INDEX(کاتالوگ_محصولات!$G$4:$G$303,MATCH(I512,کاتالوگ_محصولات!$A$4:$A$303,0)),0))</f>
        <v>0</v>
      </c>
      <c r="AD512">
        <f t="shared" si="50"/>
        <v>0</v>
      </c>
      <c r="AE512" t="str">
        <f t="shared" si="51"/>
        <v/>
      </c>
    </row>
    <row r="513" spans="22:31" ht="18" customHeight="1">
      <c r="V513">
        <f>IF(A513="",0,IF(COUNTIF($A$3:A513,A513)=1,1,0))</f>
        <v>0</v>
      </c>
      <c r="W513">
        <f t="shared" si="48"/>
        <v>0</v>
      </c>
      <c r="X513" t="str">
        <f t="shared" si="49"/>
        <v/>
      </c>
      <c r="Y513">
        <f>IF(X513="",0,IF(COUNTIF($X$3:X513,X513)=1,1,0))</f>
        <v>0</v>
      </c>
      <c r="Z513">
        <f>IF(V513&lt;&gt;1,0,IF(X513="",0,IF(COUNTIF($X$3:X512,X513)&gt;0,1,0)))</f>
        <v>0</v>
      </c>
      <c r="AA513">
        <f t="shared" si="46"/>
        <v>0</v>
      </c>
      <c r="AB513">
        <f t="shared" si="47"/>
        <v>0</v>
      </c>
      <c r="AC513">
        <f>IF(I513="",0,L513*IFERROR(INDEX(کاتالوگ_محصولات!$G$4:$G$303,MATCH(I513,کاتالوگ_محصولات!$A$4:$A$303,0)),0))</f>
        <v>0</v>
      </c>
      <c r="AD513">
        <f t="shared" si="50"/>
        <v>0</v>
      </c>
      <c r="AE513" t="str">
        <f t="shared" si="51"/>
        <v/>
      </c>
    </row>
    <row r="514" spans="22:31" ht="18" customHeight="1">
      <c r="V514">
        <f>IF(A514="",0,IF(COUNTIF($A$3:A514,A514)=1,1,0))</f>
        <v>0</v>
      </c>
      <c r="W514">
        <f t="shared" si="48"/>
        <v>0</v>
      </c>
      <c r="X514" t="str">
        <f t="shared" si="49"/>
        <v/>
      </c>
      <c r="Y514">
        <f>IF(X514="",0,IF(COUNTIF($X$3:X514,X514)=1,1,0))</f>
        <v>0</v>
      </c>
      <c r="Z514">
        <f>IF(V514&lt;&gt;1,0,IF(X514="",0,IF(COUNTIF($X$3:X513,X514)&gt;0,1,0)))</f>
        <v>0</v>
      </c>
      <c r="AA514">
        <f t="shared" si="46"/>
        <v>0</v>
      </c>
      <c r="AB514">
        <f t="shared" si="47"/>
        <v>0</v>
      </c>
      <c r="AC514">
        <f>IF(I514="",0,L514*IFERROR(INDEX(کاتالوگ_محصولات!$G$4:$G$303,MATCH(I514,کاتالوگ_محصولات!$A$4:$A$303,0)),0))</f>
        <v>0</v>
      </c>
      <c r="AD514">
        <f t="shared" si="50"/>
        <v>0</v>
      </c>
      <c r="AE514" t="str">
        <f t="shared" si="51"/>
        <v/>
      </c>
    </row>
    <row r="515" spans="22:31" ht="18" customHeight="1">
      <c r="V515">
        <f>IF(A515="",0,IF(COUNTIF($A$3:A515,A515)=1,1,0))</f>
        <v>0</v>
      </c>
      <c r="W515">
        <f t="shared" si="48"/>
        <v>0</v>
      </c>
      <c r="X515" t="str">
        <f t="shared" si="49"/>
        <v/>
      </c>
      <c r="Y515">
        <f>IF(X515="",0,IF(COUNTIF($X$3:X515,X515)=1,1,0))</f>
        <v>0</v>
      </c>
      <c r="Z515">
        <f>IF(V515&lt;&gt;1,0,IF(X515="",0,IF(COUNTIF($X$3:X514,X515)&gt;0,1,0)))</f>
        <v>0</v>
      </c>
      <c r="AA515">
        <f t="shared" ref="AA515:AA578" si="52">IF(V515=1,SUMIF($A$3:$A$1622,A515,$O$3:$O$1622),0)</f>
        <v>0</v>
      </c>
      <c r="AB515">
        <f t="shared" ref="AB515:AB578" si="53">IF(V515=1,SUMIF($A$3:$A$1622,A515,$L$3:$L$1622),0)</f>
        <v>0</v>
      </c>
      <c r="AC515">
        <f>IF(I515="",0,L515*IFERROR(INDEX(کاتالوگ_محصولات!$G$4:$G$303,MATCH(I515,کاتالوگ_محصولات!$A$4:$A$303,0)),0))</f>
        <v>0</v>
      </c>
      <c r="AD515">
        <f t="shared" si="50"/>
        <v>0</v>
      </c>
      <c r="AE515" t="str">
        <f t="shared" si="51"/>
        <v/>
      </c>
    </row>
    <row r="516" spans="22:31" ht="18" customHeight="1">
      <c r="V516">
        <f>IF(A516="",0,IF(COUNTIF($A$3:A516,A516)=1,1,0))</f>
        <v>0</v>
      </c>
      <c r="W516">
        <f t="shared" si="48"/>
        <v>0</v>
      </c>
      <c r="X516" t="str">
        <f t="shared" si="49"/>
        <v/>
      </c>
      <c r="Y516">
        <f>IF(X516="",0,IF(COUNTIF($X$3:X516,X516)=1,1,0))</f>
        <v>0</v>
      </c>
      <c r="Z516">
        <f>IF(V516&lt;&gt;1,0,IF(X516="",0,IF(COUNTIF($X$3:X515,X516)&gt;0,1,0)))</f>
        <v>0</v>
      </c>
      <c r="AA516">
        <f t="shared" si="52"/>
        <v>0</v>
      </c>
      <c r="AB516">
        <f t="shared" si="53"/>
        <v>0</v>
      </c>
      <c r="AC516">
        <f>IF(I516="",0,L516*IFERROR(INDEX(کاتالوگ_محصولات!$G$4:$G$303,MATCH(I516,کاتالوگ_محصولات!$A$4:$A$303,0)),0))</f>
        <v>0</v>
      </c>
      <c r="AD516">
        <f t="shared" si="50"/>
        <v>0</v>
      </c>
      <c r="AE516" t="str">
        <f t="shared" si="51"/>
        <v/>
      </c>
    </row>
    <row r="517" spans="22:31" ht="18" customHeight="1">
      <c r="V517">
        <f>IF(A517="",0,IF(COUNTIF($A$3:A517,A517)=1,1,0))</f>
        <v>0</v>
      </c>
      <c r="W517">
        <f t="shared" si="48"/>
        <v>0</v>
      </c>
      <c r="X517" t="str">
        <f t="shared" si="49"/>
        <v/>
      </c>
      <c r="Y517">
        <f>IF(X517="",0,IF(COUNTIF($X$3:X517,X517)=1,1,0))</f>
        <v>0</v>
      </c>
      <c r="Z517">
        <f>IF(V517&lt;&gt;1,0,IF(X517="",0,IF(COUNTIF($X$3:X516,X517)&gt;0,1,0)))</f>
        <v>0</v>
      </c>
      <c r="AA517">
        <f t="shared" si="52"/>
        <v>0</v>
      </c>
      <c r="AB517">
        <f t="shared" si="53"/>
        <v>0</v>
      </c>
      <c r="AC517">
        <f>IF(I517="",0,L517*IFERROR(INDEX(کاتالوگ_محصولات!$G$4:$G$303,MATCH(I517,کاتالوگ_محصولات!$A$4:$A$303,0)),0))</f>
        <v>0</v>
      </c>
      <c r="AD517">
        <f t="shared" si="50"/>
        <v>0</v>
      </c>
      <c r="AE517" t="str">
        <f t="shared" si="51"/>
        <v/>
      </c>
    </row>
    <row r="518" spans="22:31" ht="18" customHeight="1">
      <c r="V518">
        <f>IF(A518="",0,IF(COUNTIF($A$3:A518,A518)=1,1,0))</f>
        <v>0</v>
      </c>
      <c r="W518">
        <f t="shared" si="48"/>
        <v>0</v>
      </c>
      <c r="X518" t="str">
        <f t="shared" si="49"/>
        <v/>
      </c>
      <c r="Y518">
        <f>IF(X518="",0,IF(COUNTIF($X$3:X518,X518)=1,1,0))</f>
        <v>0</v>
      </c>
      <c r="Z518">
        <f>IF(V518&lt;&gt;1,0,IF(X518="",0,IF(COUNTIF($X$3:X517,X518)&gt;0,1,0)))</f>
        <v>0</v>
      </c>
      <c r="AA518">
        <f t="shared" si="52"/>
        <v>0</v>
      </c>
      <c r="AB518">
        <f t="shared" si="53"/>
        <v>0</v>
      </c>
      <c r="AC518">
        <f>IF(I518="",0,L518*IFERROR(INDEX(کاتالوگ_محصولات!$G$4:$G$303,MATCH(I518,کاتالوگ_محصولات!$A$4:$A$303,0)),0))</f>
        <v>0</v>
      </c>
      <c r="AD518">
        <f t="shared" si="50"/>
        <v>0</v>
      </c>
      <c r="AE518" t="str">
        <f t="shared" si="51"/>
        <v/>
      </c>
    </row>
    <row r="519" spans="22:31" ht="18" customHeight="1">
      <c r="V519">
        <f>IF(A519="",0,IF(COUNTIF($A$3:A519,A519)=1,1,0))</f>
        <v>0</v>
      </c>
      <c r="W519">
        <f t="shared" si="48"/>
        <v>0</v>
      </c>
      <c r="X519" t="str">
        <f t="shared" si="49"/>
        <v/>
      </c>
      <c r="Y519">
        <f>IF(X519="",0,IF(COUNTIF($X$3:X519,X519)=1,1,0))</f>
        <v>0</v>
      </c>
      <c r="Z519">
        <f>IF(V519&lt;&gt;1,0,IF(X519="",0,IF(COUNTIF($X$3:X518,X519)&gt;0,1,0)))</f>
        <v>0</v>
      </c>
      <c r="AA519">
        <f t="shared" si="52"/>
        <v>0</v>
      </c>
      <c r="AB519">
        <f t="shared" si="53"/>
        <v>0</v>
      </c>
      <c r="AC519">
        <f>IF(I519="",0,L519*IFERROR(INDEX(کاتالوگ_محصولات!$G$4:$G$303,MATCH(I519,کاتالوگ_محصولات!$A$4:$A$303,0)),0))</f>
        <v>0</v>
      </c>
      <c r="AD519">
        <f t="shared" si="50"/>
        <v>0</v>
      </c>
      <c r="AE519" t="str">
        <f t="shared" si="51"/>
        <v/>
      </c>
    </row>
    <row r="520" spans="22:31" ht="18" customHeight="1">
      <c r="V520">
        <f>IF(A520="",0,IF(COUNTIF($A$3:A520,A520)=1,1,0))</f>
        <v>0</v>
      </c>
      <c r="W520">
        <f t="shared" si="48"/>
        <v>0</v>
      </c>
      <c r="X520" t="str">
        <f t="shared" si="49"/>
        <v/>
      </c>
      <c r="Y520">
        <f>IF(X520="",0,IF(COUNTIF($X$3:X520,X520)=1,1,0))</f>
        <v>0</v>
      </c>
      <c r="Z520">
        <f>IF(V520&lt;&gt;1,0,IF(X520="",0,IF(COUNTIF($X$3:X519,X520)&gt;0,1,0)))</f>
        <v>0</v>
      </c>
      <c r="AA520">
        <f t="shared" si="52"/>
        <v>0</v>
      </c>
      <c r="AB520">
        <f t="shared" si="53"/>
        <v>0</v>
      </c>
      <c r="AC520">
        <f>IF(I520="",0,L520*IFERROR(INDEX(کاتالوگ_محصولات!$G$4:$G$303,MATCH(I520,کاتالوگ_محصولات!$A$4:$A$303,0)),0))</f>
        <v>0</v>
      </c>
      <c r="AD520">
        <f t="shared" si="50"/>
        <v>0</v>
      </c>
      <c r="AE520" t="str">
        <f t="shared" si="51"/>
        <v/>
      </c>
    </row>
    <row r="521" spans="22:31" ht="18" customHeight="1">
      <c r="V521">
        <f>IF(A521="",0,IF(COUNTIF($A$3:A521,A521)=1,1,0))</f>
        <v>0</v>
      </c>
      <c r="W521">
        <f t="shared" ref="W521:W584" si="54">IF(A521="",0,L521*M521)</f>
        <v>0</v>
      </c>
      <c r="X521" t="str">
        <f t="shared" ref="X521:X584" si="55">IF(R521&lt;&gt;"",R521,IF(AND(P521&lt;&gt;"",Q521&lt;&gt;""),P521&amp;"|"&amp;Q521,""))</f>
        <v/>
      </c>
      <c r="Y521">
        <f>IF(X521="",0,IF(COUNTIF($X$3:X521,X521)=1,1,0))</f>
        <v>0</v>
      </c>
      <c r="Z521">
        <f>IF(V521&lt;&gt;1,0,IF(X521="",0,IF(COUNTIF($X$3:X520,X521)&gt;0,1,0)))</f>
        <v>0</v>
      </c>
      <c r="AA521">
        <f t="shared" si="52"/>
        <v>0</v>
      </c>
      <c r="AB521">
        <f t="shared" si="53"/>
        <v>0</v>
      </c>
      <c r="AC521">
        <f>IF(I521="",0,L521*IFERROR(INDEX(کاتالوگ_محصولات!$G$4:$G$303,MATCH(I521,کاتالوگ_محصولات!$A$4:$A$303,0)),0))</f>
        <v>0</v>
      </c>
      <c r="AD521">
        <f t="shared" ref="AD521:AD584" si="56">IF(A521="",0,O521-AC521)</f>
        <v>0</v>
      </c>
      <c r="AE521" t="str">
        <f t="shared" ref="AE521:AE584" si="57">IF(B521="","",LEFT(B521,7))</f>
        <v/>
      </c>
    </row>
    <row r="522" spans="22:31" ht="18" customHeight="1">
      <c r="V522">
        <f>IF(A522="",0,IF(COUNTIF($A$3:A522,A522)=1,1,0))</f>
        <v>0</v>
      </c>
      <c r="W522">
        <f t="shared" si="54"/>
        <v>0</v>
      </c>
      <c r="X522" t="str">
        <f t="shared" si="55"/>
        <v/>
      </c>
      <c r="Y522">
        <f>IF(X522="",0,IF(COUNTIF($X$3:X522,X522)=1,1,0))</f>
        <v>0</v>
      </c>
      <c r="Z522">
        <f>IF(V522&lt;&gt;1,0,IF(X522="",0,IF(COUNTIF($X$3:X521,X522)&gt;0,1,0)))</f>
        <v>0</v>
      </c>
      <c r="AA522">
        <f t="shared" si="52"/>
        <v>0</v>
      </c>
      <c r="AB522">
        <f t="shared" si="53"/>
        <v>0</v>
      </c>
      <c r="AC522">
        <f>IF(I522="",0,L522*IFERROR(INDEX(کاتالوگ_محصولات!$G$4:$G$303,MATCH(I522,کاتالوگ_محصولات!$A$4:$A$303,0)),0))</f>
        <v>0</v>
      </c>
      <c r="AD522">
        <f t="shared" si="56"/>
        <v>0</v>
      </c>
      <c r="AE522" t="str">
        <f t="shared" si="57"/>
        <v/>
      </c>
    </row>
    <row r="523" spans="22:31" ht="18" customHeight="1">
      <c r="V523">
        <f>IF(A523="",0,IF(COUNTIF($A$3:A523,A523)=1,1,0))</f>
        <v>0</v>
      </c>
      <c r="W523">
        <f t="shared" si="54"/>
        <v>0</v>
      </c>
      <c r="X523" t="str">
        <f t="shared" si="55"/>
        <v/>
      </c>
      <c r="Y523">
        <f>IF(X523="",0,IF(COUNTIF($X$3:X523,X523)=1,1,0))</f>
        <v>0</v>
      </c>
      <c r="Z523">
        <f>IF(V523&lt;&gt;1,0,IF(X523="",0,IF(COUNTIF($X$3:X522,X523)&gt;0,1,0)))</f>
        <v>0</v>
      </c>
      <c r="AA523">
        <f t="shared" si="52"/>
        <v>0</v>
      </c>
      <c r="AB523">
        <f t="shared" si="53"/>
        <v>0</v>
      </c>
      <c r="AC523">
        <f>IF(I523="",0,L523*IFERROR(INDEX(کاتالوگ_محصولات!$G$4:$G$303,MATCH(I523,کاتالوگ_محصولات!$A$4:$A$303,0)),0))</f>
        <v>0</v>
      </c>
      <c r="AD523">
        <f t="shared" si="56"/>
        <v>0</v>
      </c>
      <c r="AE523" t="str">
        <f t="shared" si="57"/>
        <v/>
      </c>
    </row>
    <row r="524" spans="22:31" ht="18" customHeight="1">
      <c r="V524">
        <f>IF(A524="",0,IF(COUNTIF($A$3:A524,A524)=1,1,0))</f>
        <v>0</v>
      </c>
      <c r="W524">
        <f t="shared" si="54"/>
        <v>0</v>
      </c>
      <c r="X524" t="str">
        <f t="shared" si="55"/>
        <v/>
      </c>
      <c r="Y524">
        <f>IF(X524="",0,IF(COUNTIF($X$3:X524,X524)=1,1,0))</f>
        <v>0</v>
      </c>
      <c r="Z524">
        <f>IF(V524&lt;&gt;1,0,IF(X524="",0,IF(COUNTIF($X$3:X523,X524)&gt;0,1,0)))</f>
        <v>0</v>
      </c>
      <c r="AA524">
        <f t="shared" si="52"/>
        <v>0</v>
      </c>
      <c r="AB524">
        <f t="shared" si="53"/>
        <v>0</v>
      </c>
      <c r="AC524">
        <f>IF(I524="",0,L524*IFERROR(INDEX(کاتالوگ_محصولات!$G$4:$G$303,MATCH(I524,کاتالوگ_محصولات!$A$4:$A$303,0)),0))</f>
        <v>0</v>
      </c>
      <c r="AD524">
        <f t="shared" si="56"/>
        <v>0</v>
      </c>
      <c r="AE524" t="str">
        <f t="shared" si="57"/>
        <v/>
      </c>
    </row>
    <row r="525" spans="22:31" ht="18" customHeight="1">
      <c r="V525">
        <f>IF(A525="",0,IF(COUNTIF($A$3:A525,A525)=1,1,0))</f>
        <v>0</v>
      </c>
      <c r="W525">
        <f t="shared" si="54"/>
        <v>0</v>
      </c>
      <c r="X525" t="str">
        <f t="shared" si="55"/>
        <v/>
      </c>
      <c r="Y525">
        <f>IF(X525="",0,IF(COUNTIF($X$3:X525,X525)=1,1,0))</f>
        <v>0</v>
      </c>
      <c r="Z525">
        <f>IF(V525&lt;&gt;1,0,IF(X525="",0,IF(COUNTIF($X$3:X524,X525)&gt;0,1,0)))</f>
        <v>0</v>
      </c>
      <c r="AA525">
        <f t="shared" si="52"/>
        <v>0</v>
      </c>
      <c r="AB525">
        <f t="shared" si="53"/>
        <v>0</v>
      </c>
      <c r="AC525">
        <f>IF(I525="",0,L525*IFERROR(INDEX(کاتالوگ_محصولات!$G$4:$G$303,MATCH(I525,کاتالوگ_محصولات!$A$4:$A$303,0)),0))</f>
        <v>0</v>
      </c>
      <c r="AD525">
        <f t="shared" si="56"/>
        <v>0</v>
      </c>
      <c r="AE525" t="str">
        <f t="shared" si="57"/>
        <v/>
      </c>
    </row>
    <row r="526" spans="22:31" ht="18" customHeight="1">
      <c r="V526">
        <f>IF(A526="",0,IF(COUNTIF($A$3:A526,A526)=1,1,0))</f>
        <v>0</v>
      </c>
      <c r="W526">
        <f t="shared" si="54"/>
        <v>0</v>
      </c>
      <c r="X526" t="str">
        <f t="shared" si="55"/>
        <v/>
      </c>
      <c r="Y526">
        <f>IF(X526="",0,IF(COUNTIF($X$3:X526,X526)=1,1,0))</f>
        <v>0</v>
      </c>
      <c r="Z526">
        <f>IF(V526&lt;&gt;1,0,IF(X526="",0,IF(COUNTIF($X$3:X525,X526)&gt;0,1,0)))</f>
        <v>0</v>
      </c>
      <c r="AA526">
        <f t="shared" si="52"/>
        <v>0</v>
      </c>
      <c r="AB526">
        <f t="shared" si="53"/>
        <v>0</v>
      </c>
      <c r="AC526">
        <f>IF(I526="",0,L526*IFERROR(INDEX(کاتالوگ_محصولات!$G$4:$G$303,MATCH(I526,کاتالوگ_محصولات!$A$4:$A$303,0)),0))</f>
        <v>0</v>
      </c>
      <c r="AD526">
        <f t="shared" si="56"/>
        <v>0</v>
      </c>
      <c r="AE526" t="str">
        <f t="shared" si="57"/>
        <v/>
      </c>
    </row>
    <row r="527" spans="22:31" ht="18" customHeight="1">
      <c r="V527">
        <f>IF(A527="",0,IF(COUNTIF($A$3:A527,A527)=1,1,0))</f>
        <v>0</v>
      </c>
      <c r="W527">
        <f t="shared" si="54"/>
        <v>0</v>
      </c>
      <c r="X527" t="str">
        <f t="shared" si="55"/>
        <v/>
      </c>
      <c r="Y527">
        <f>IF(X527="",0,IF(COUNTIF($X$3:X527,X527)=1,1,0))</f>
        <v>0</v>
      </c>
      <c r="Z527">
        <f>IF(V527&lt;&gt;1,0,IF(X527="",0,IF(COUNTIF($X$3:X526,X527)&gt;0,1,0)))</f>
        <v>0</v>
      </c>
      <c r="AA527">
        <f t="shared" si="52"/>
        <v>0</v>
      </c>
      <c r="AB527">
        <f t="shared" si="53"/>
        <v>0</v>
      </c>
      <c r="AC527">
        <f>IF(I527="",0,L527*IFERROR(INDEX(کاتالوگ_محصولات!$G$4:$G$303,MATCH(I527,کاتالوگ_محصولات!$A$4:$A$303,0)),0))</f>
        <v>0</v>
      </c>
      <c r="AD527">
        <f t="shared" si="56"/>
        <v>0</v>
      </c>
      <c r="AE527" t="str">
        <f t="shared" si="57"/>
        <v/>
      </c>
    </row>
    <row r="528" spans="22:31" ht="18" customHeight="1">
      <c r="V528">
        <f>IF(A528="",0,IF(COUNTIF($A$3:A528,A528)=1,1,0))</f>
        <v>0</v>
      </c>
      <c r="W528">
        <f t="shared" si="54"/>
        <v>0</v>
      </c>
      <c r="X528" t="str">
        <f t="shared" si="55"/>
        <v/>
      </c>
      <c r="Y528">
        <f>IF(X528="",0,IF(COUNTIF($X$3:X528,X528)=1,1,0))</f>
        <v>0</v>
      </c>
      <c r="Z528">
        <f>IF(V528&lt;&gt;1,0,IF(X528="",0,IF(COUNTIF($X$3:X527,X528)&gt;0,1,0)))</f>
        <v>0</v>
      </c>
      <c r="AA528">
        <f t="shared" si="52"/>
        <v>0</v>
      </c>
      <c r="AB528">
        <f t="shared" si="53"/>
        <v>0</v>
      </c>
      <c r="AC528">
        <f>IF(I528="",0,L528*IFERROR(INDEX(کاتالوگ_محصولات!$G$4:$G$303,MATCH(I528,کاتالوگ_محصولات!$A$4:$A$303,0)),0))</f>
        <v>0</v>
      </c>
      <c r="AD528">
        <f t="shared" si="56"/>
        <v>0</v>
      </c>
      <c r="AE528" t="str">
        <f t="shared" si="57"/>
        <v/>
      </c>
    </row>
    <row r="529" spans="22:31" ht="18" customHeight="1">
      <c r="V529">
        <f>IF(A529="",0,IF(COUNTIF($A$3:A529,A529)=1,1,0))</f>
        <v>0</v>
      </c>
      <c r="W529">
        <f t="shared" si="54"/>
        <v>0</v>
      </c>
      <c r="X529" t="str">
        <f t="shared" si="55"/>
        <v/>
      </c>
      <c r="Y529">
        <f>IF(X529="",0,IF(COUNTIF($X$3:X529,X529)=1,1,0))</f>
        <v>0</v>
      </c>
      <c r="Z529">
        <f>IF(V529&lt;&gt;1,0,IF(X529="",0,IF(COUNTIF($X$3:X528,X529)&gt;0,1,0)))</f>
        <v>0</v>
      </c>
      <c r="AA529">
        <f t="shared" si="52"/>
        <v>0</v>
      </c>
      <c r="AB529">
        <f t="shared" si="53"/>
        <v>0</v>
      </c>
      <c r="AC529">
        <f>IF(I529="",0,L529*IFERROR(INDEX(کاتالوگ_محصولات!$G$4:$G$303,MATCH(I529,کاتالوگ_محصولات!$A$4:$A$303,0)),0))</f>
        <v>0</v>
      </c>
      <c r="AD529">
        <f t="shared" si="56"/>
        <v>0</v>
      </c>
      <c r="AE529" t="str">
        <f t="shared" si="57"/>
        <v/>
      </c>
    </row>
    <row r="530" spans="22:31" ht="18" customHeight="1">
      <c r="V530">
        <f>IF(A530="",0,IF(COUNTIF($A$3:A530,A530)=1,1,0))</f>
        <v>0</v>
      </c>
      <c r="W530">
        <f t="shared" si="54"/>
        <v>0</v>
      </c>
      <c r="X530" t="str">
        <f t="shared" si="55"/>
        <v/>
      </c>
      <c r="Y530">
        <f>IF(X530="",0,IF(COUNTIF($X$3:X530,X530)=1,1,0))</f>
        <v>0</v>
      </c>
      <c r="Z530">
        <f>IF(V530&lt;&gt;1,0,IF(X530="",0,IF(COUNTIF($X$3:X529,X530)&gt;0,1,0)))</f>
        <v>0</v>
      </c>
      <c r="AA530">
        <f t="shared" si="52"/>
        <v>0</v>
      </c>
      <c r="AB530">
        <f t="shared" si="53"/>
        <v>0</v>
      </c>
      <c r="AC530">
        <f>IF(I530="",0,L530*IFERROR(INDEX(کاتالوگ_محصولات!$G$4:$G$303,MATCH(I530,کاتالوگ_محصولات!$A$4:$A$303,0)),0))</f>
        <v>0</v>
      </c>
      <c r="AD530">
        <f t="shared" si="56"/>
        <v>0</v>
      </c>
      <c r="AE530" t="str">
        <f t="shared" si="57"/>
        <v/>
      </c>
    </row>
    <row r="531" spans="22:31" ht="18" customHeight="1">
      <c r="V531">
        <f>IF(A531="",0,IF(COUNTIF($A$3:A531,A531)=1,1,0))</f>
        <v>0</v>
      </c>
      <c r="W531">
        <f t="shared" si="54"/>
        <v>0</v>
      </c>
      <c r="X531" t="str">
        <f t="shared" si="55"/>
        <v/>
      </c>
      <c r="Y531">
        <f>IF(X531="",0,IF(COUNTIF($X$3:X531,X531)=1,1,0))</f>
        <v>0</v>
      </c>
      <c r="Z531">
        <f>IF(V531&lt;&gt;1,0,IF(X531="",0,IF(COUNTIF($X$3:X530,X531)&gt;0,1,0)))</f>
        <v>0</v>
      </c>
      <c r="AA531">
        <f t="shared" si="52"/>
        <v>0</v>
      </c>
      <c r="AB531">
        <f t="shared" si="53"/>
        <v>0</v>
      </c>
      <c r="AC531">
        <f>IF(I531="",0,L531*IFERROR(INDEX(کاتالوگ_محصولات!$G$4:$G$303,MATCH(I531,کاتالوگ_محصولات!$A$4:$A$303,0)),0))</f>
        <v>0</v>
      </c>
      <c r="AD531">
        <f t="shared" si="56"/>
        <v>0</v>
      </c>
      <c r="AE531" t="str">
        <f t="shared" si="57"/>
        <v/>
      </c>
    </row>
    <row r="532" spans="22:31" ht="18" customHeight="1">
      <c r="V532">
        <f>IF(A532="",0,IF(COUNTIF($A$3:A532,A532)=1,1,0))</f>
        <v>0</v>
      </c>
      <c r="W532">
        <f t="shared" si="54"/>
        <v>0</v>
      </c>
      <c r="X532" t="str">
        <f t="shared" si="55"/>
        <v/>
      </c>
      <c r="Y532">
        <f>IF(X532="",0,IF(COUNTIF($X$3:X532,X532)=1,1,0))</f>
        <v>0</v>
      </c>
      <c r="Z532">
        <f>IF(V532&lt;&gt;1,0,IF(X532="",0,IF(COUNTIF($X$3:X531,X532)&gt;0,1,0)))</f>
        <v>0</v>
      </c>
      <c r="AA532">
        <f t="shared" si="52"/>
        <v>0</v>
      </c>
      <c r="AB532">
        <f t="shared" si="53"/>
        <v>0</v>
      </c>
      <c r="AC532">
        <f>IF(I532="",0,L532*IFERROR(INDEX(کاتالوگ_محصولات!$G$4:$G$303,MATCH(I532,کاتالوگ_محصولات!$A$4:$A$303,0)),0))</f>
        <v>0</v>
      </c>
      <c r="AD532">
        <f t="shared" si="56"/>
        <v>0</v>
      </c>
      <c r="AE532" t="str">
        <f t="shared" si="57"/>
        <v/>
      </c>
    </row>
    <row r="533" spans="22:31" ht="18" customHeight="1">
      <c r="V533">
        <f>IF(A533="",0,IF(COUNTIF($A$3:A533,A533)=1,1,0))</f>
        <v>0</v>
      </c>
      <c r="W533">
        <f t="shared" si="54"/>
        <v>0</v>
      </c>
      <c r="X533" t="str">
        <f t="shared" si="55"/>
        <v/>
      </c>
      <c r="Y533">
        <f>IF(X533="",0,IF(COUNTIF($X$3:X533,X533)=1,1,0))</f>
        <v>0</v>
      </c>
      <c r="Z533">
        <f>IF(V533&lt;&gt;1,0,IF(X533="",0,IF(COUNTIF($X$3:X532,X533)&gt;0,1,0)))</f>
        <v>0</v>
      </c>
      <c r="AA533">
        <f t="shared" si="52"/>
        <v>0</v>
      </c>
      <c r="AB533">
        <f t="shared" si="53"/>
        <v>0</v>
      </c>
      <c r="AC533">
        <f>IF(I533="",0,L533*IFERROR(INDEX(کاتالوگ_محصولات!$G$4:$G$303,MATCH(I533,کاتالوگ_محصولات!$A$4:$A$303,0)),0))</f>
        <v>0</v>
      </c>
      <c r="AD533">
        <f t="shared" si="56"/>
        <v>0</v>
      </c>
      <c r="AE533" t="str">
        <f t="shared" si="57"/>
        <v/>
      </c>
    </row>
    <row r="534" spans="22:31" ht="18" customHeight="1">
      <c r="V534">
        <f>IF(A534="",0,IF(COUNTIF($A$3:A534,A534)=1,1,0))</f>
        <v>0</v>
      </c>
      <c r="W534">
        <f t="shared" si="54"/>
        <v>0</v>
      </c>
      <c r="X534" t="str">
        <f t="shared" si="55"/>
        <v/>
      </c>
      <c r="Y534">
        <f>IF(X534="",0,IF(COUNTIF($X$3:X534,X534)=1,1,0))</f>
        <v>0</v>
      </c>
      <c r="Z534">
        <f>IF(V534&lt;&gt;1,0,IF(X534="",0,IF(COUNTIF($X$3:X533,X534)&gt;0,1,0)))</f>
        <v>0</v>
      </c>
      <c r="AA534">
        <f t="shared" si="52"/>
        <v>0</v>
      </c>
      <c r="AB534">
        <f t="shared" si="53"/>
        <v>0</v>
      </c>
      <c r="AC534">
        <f>IF(I534="",0,L534*IFERROR(INDEX(کاتالوگ_محصولات!$G$4:$G$303,MATCH(I534,کاتالوگ_محصولات!$A$4:$A$303,0)),0))</f>
        <v>0</v>
      </c>
      <c r="AD534">
        <f t="shared" si="56"/>
        <v>0</v>
      </c>
      <c r="AE534" t="str">
        <f t="shared" si="57"/>
        <v/>
      </c>
    </row>
    <row r="535" spans="22:31" ht="18" customHeight="1">
      <c r="V535">
        <f>IF(A535="",0,IF(COUNTIF($A$3:A535,A535)=1,1,0))</f>
        <v>0</v>
      </c>
      <c r="W535">
        <f t="shared" si="54"/>
        <v>0</v>
      </c>
      <c r="X535" t="str">
        <f t="shared" si="55"/>
        <v/>
      </c>
      <c r="Y535">
        <f>IF(X535="",0,IF(COUNTIF($X$3:X535,X535)=1,1,0))</f>
        <v>0</v>
      </c>
      <c r="Z535">
        <f>IF(V535&lt;&gt;1,0,IF(X535="",0,IF(COUNTIF($X$3:X534,X535)&gt;0,1,0)))</f>
        <v>0</v>
      </c>
      <c r="AA535">
        <f t="shared" si="52"/>
        <v>0</v>
      </c>
      <c r="AB535">
        <f t="shared" si="53"/>
        <v>0</v>
      </c>
      <c r="AC535">
        <f>IF(I535="",0,L535*IFERROR(INDEX(کاتالوگ_محصولات!$G$4:$G$303,MATCH(I535,کاتالوگ_محصولات!$A$4:$A$303,0)),0))</f>
        <v>0</v>
      </c>
      <c r="AD535">
        <f t="shared" si="56"/>
        <v>0</v>
      </c>
      <c r="AE535" t="str">
        <f t="shared" si="57"/>
        <v/>
      </c>
    </row>
    <row r="536" spans="22:31" ht="18" customHeight="1">
      <c r="V536">
        <f>IF(A536="",0,IF(COUNTIF($A$3:A536,A536)=1,1,0))</f>
        <v>0</v>
      </c>
      <c r="W536">
        <f t="shared" si="54"/>
        <v>0</v>
      </c>
      <c r="X536" t="str">
        <f t="shared" si="55"/>
        <v/>
      </c>
      <c r="Y536">
        <f>IF(X536="",0,IF(COUNTIF($X$3:X536,X536)=1,1,0))</f>
        <v>0</v>
      </c>
      <c r="Z536">
        <f>IF(V536&lt;&gt;1,0,IF(X536="",0,IF(COUNTIF($X$3:X535,X536)&gt;0,1,0)))</f>
        <v>0</v>
      </c>
      <c r="AA536">
        <f t="shared" si="52"/>
        <v>0</v>
      </c>
      <c r="AB536">
        <f t="shared" si="53"/>
        <v>0</v>
      </c>
      <c r="AC536">
        <f>IF(I536="",0,L536*IFERROR(INDEX(کاتالوگ_محصولات!$G$4:$G$303,MATCH(I536,کاتالوگ_محصولات!$A$4:$A$303,0)),0))</f>
        <v>0</v>
      </c>
      <c r="AD536">
        <f t="shared" si="56"/>
        <v>0</v>
      </c>
      <c r="AE536" t="str">
        <f t="shared" si="57"/>
        <v/>
      </c>
    </row>
    <row r="537" spans="22:31" ht="18" customHeight="1">
      <c r="V537">
        <f>IF(A537="",0,IF(COUNTIF($A$3:A537,A537)=1,1,0))</f>
        <v>0</v>
      </c>
      <c r="W537">
        <f t="shared" si="54"/>
        <v>0</v>
      </c>
      <c r="X537" t="str">
        <f t="shared" si="55"/>
        <v/>
      </c>
      <c r="Y537">
        <f>IF(X537="",0,IF(COUNTIF($X$3:X537,X537)=1,1,0))</f>
        <v>0</v>
      </c>
      <c r="Z537">
        <f>IF(V537&lt;&gt;1,0,IF(X537="",0,IF(COUNTIF($X$3:X536,X537)&gt;0,1,0)))</f>
        <v>0</v>
      </c>
      <c r="AA537">
        <f t="shared" si="52"/>
        <v>0</v>
      </c>
      <c r="AB537">
        <f t="shared" si="53"/>
        <v>0</v>
      </c>
      <c r="AC537">
        <f>IF(I537="",0,L537*IFERROR(INDEX(کاتالوگ_محصولات!$G$4:$G$303,MATCH(I537,کاتالوگ_محصولات!$A$4:$A$303,0)),0))</f>
        <v>0</v>
      </c>
      <c r="AD537">
        <f t="shared" si="56"/>
        <v>0</v>
      </c>
      <c r="AE537" t="str">
        <f t="shared" si="57"/>
        <v/>
      </c>
    </row>
    <row r="538" spans="22:31" ht="18" customHeight="1">
      <c r="V538">
        <f>IF(A538="",0,IF(COUNTIF($A$3:A538,A538)=1,1,0))</f>
        <v>0</v>
      </c>
      <c r="W538">
        <f t="shared" si="54"/>
        <v>0</v>
      </c>
      <c r="X538" t="str">
        <f t="shared" si="55"/>
        <v/>
      </c>
      <c r="Y538">
        <f>IF(X538="",0,IF(COUNTIF($X$3:X538,X538)=1,1,0))</f>
        <v>0</v>
      </c>
      <c r="Z538">
        <f>IF(V538&lt;&gt;1,0,IF(X538="",0,IF(COUNTIF($X$3:X537,X538)&gt;0,1,0)))</f>
        <v>0</v>
      </c>
      <c r="AA538">
        <f t="shared" si="52"/>
        <v>0</v>
      </c>
      <c r="AB538">
        <f t="shared" si="53"/>
        <v>0</v>
      </c>
      <c r="AC538">
        <f>IF(I538="",0,L538*IFERROR(INDEX(کاتالوگ_محصولات!$G$4:$G$303,MATCH(I538,کاتالوگ_محصولات!$A$4:$A$303,0)),0))</f>
        <v>0</v>
      </c>
      <c r="AD538">
        <f t="shared" si="56"/>
        <v>0</v>
      </c>
      <c r="AE538" t="str">
        <f t="shared" si="57"/>
        <v/>
      </c>
    </row>
    <row r="539" spans="22:31" ht="18" customHeight="1">
      <c r="V539">
        <f>IF(A539="",0,IF(COUNTIF($A$3:A539,A539)=1,1,0))</f>
        <v>0</v>
      </c>
      <c r="W539">
        <f t="shared" si="54"/>
        <v>0</v>
      </c>
      <c r="X539" t="str">
        <f t="shared" si="55"/>
        <v/>
      </c>
      <c r="Y539">
        <f>IF(X539="",0,IF(COUNTIF($X$3:X539,X539)=1,1,0))</f>
        <v>0</v>
      </c>
      <c r="Z539">
        <f>IF(V539&lt;&gt;1,0,IF(X539="",0,IF(COUNTIF($X$3:X538,X539)&gt;0,1,0)))</f>
        <v>0</v>
      </c>
      <c r="AA539">
        <f t="shared" si="52"/>
        <v>0</v>
      </c>
      <c r="AB539">
        <f t="shared" si="53"/>
        <v>0</v>
      </c>
      <c r="AC539">
        <f>IF(I539="",0,L539*IFERROR(INDEX(کاتالوگ_محصولات!$G$4:$G$303,MATCH(I539,کاتالوگ_محصولات!$A$4:$A$303,0)),0))</f>
        <v>0</v>
      </c>
      <c r="AD539">
        <f t="shared" si="56"/>
        <v>0</v>
      </c>
      <c r="AE539" t="str">
        <f t="shared" si="57"/>
        <v/>
      </c>
    </row>
    <row r="540" spans="22:31" ht="18" customHeight="1">
      <c r="V540">
        <f>IF(A540="",0,IF(COUNTIF($A$3:A540,A540)=1,1,0))</f>
        <v>0</v>
      </c>
      <c r="W540">
        <f t="shared" si="54"/>
        <v>0</v>
      </c>
      <c r="X540" t="str">
        <f t="shared" si="55"/>
        <v/>
      </c>
      <c r="Y540">
        <f>IF(X540="",0,IF(COUNTIF($X$3:X540,X540)=1,1,0))</f>
        <v>0</v>
      </c>
      <c r="Z540">
        <f>IF(V540&lt;&gt;1,0,IF(X540="",0,IF(COUNTIF($X$3:X539,X540)&gt;0,1,0)))</f>
        <v>0</v>
      </c>
      <c r="AA540">
        <f t="shared" si="52"/>
        <v>0</v>
      </c>
      <c r="AB540">
        <f t="shared" si="53"/>
        <v>0</v>
      </c>
      <c r="AC540">
        <f>IF(I540="",0,L540*IFERROR(INDEX(کاتالوگ_محصولات!$G$4:$G$303,MATCH(I540,کاتالوگ_محصولات!$A$4:$A$303,0)),0))</f>
        <v>0</v>
      </c>
      <c r="AD540">
        <f t="shared" si="56"/>
        <v>0</v>
      </c>
      <c r="AE540" t="str">
        <f t="shared" si="57"/>
        <v/>
      </c>
    </row>
    <row r="541" spans="22:31" ht="18" customHeight="1">
      <c r="V541">
        <f>IF(A541="",0,IF(COUNTIF($A$3:A541,A541)=1,1,0))</f>
        <v>0</v>
      </c>
      <c r="W541">
        <f t="shared" si="54"/>
        <v>0</v>
      </c>
      <c r="X541" t="str">
        <f t="shared" si="55"/>
        <v/>
      </c>
      <c r="Y541">
        <f>IF(X541="",0,IF(COUNTIF($X$3:X541,X541)=1,1,0))</f>
        <v>0</v>
      </c>
      <c r="Z541">
        <f>IF(V541&lt;&gt;1,0,IF(X541="",0,IF(COUNTIF($X$3:X540,X541)&gt;0,1,0)))</f>
        <v>0</v>
      </c>
      <c r="AA541">
        <f t="shared" si="52"/>
        <v>0</v>
      </c>
      <c r="AB541">
        <f t="shared" si="53"/>
        <v>0</v>
      </c>
      <c r="AC541">
        <f>IF(I541="",0,L541*IFERROR(INDEX(کاتالوگ_محصولات!$G$4:$G$303,MATCH(I541,کاتالوگ_محصولات!$A$4:$A$303,0)),0))</f>
        <v>0</v>
      </c>
      <c r="AD541">
        <f t="shared" si="56"/>
        <v>0</v>
      </c>
      <c r="AE541" t="str">
        <f t="shared" si="57"/>
        <v/>
      </c>
    </row>
    <row r="542" spans="22:31" ht="18" customHeight="1">
      <c r="V542">
        <f>IF(A542="",0,IF(COUNTIF($A$3:A542,A542)=1,1,0))</f>
        <v>0</v>
      </c>
      <c r="W542">
        <f t="shared" si="54"/>
        <v>0</v>
      </c>
      <c r="X542" t="str">
        <f t="shared" si="55"/>
        <v/>
      </c>
      <c r="Y542">
        <f>IF(X542="",0,IF(COUNTIF($X$3:X542,X542)=1,1,0))</f>
        <v>0</v>
      </c>
      <c r="Z542">
        <f>IF(V542&lt;&gt;1,0,IF(X542="",0,IF(COUNTIF($X$3:X541,X542)&gt;0,1,0)))</f>
        <v>0</v>
      </c>
      <c r="AA542">
        <f t="shared" si="52"/>
        <v>0</v>
      </c>
      <c r="AB542">
        <f t="shared" si="53"/>
        <v>0</v>
      </c>
      <c r="AC542">
        <f>IF(I542="",0,L542*IFERROR(INDEX(کاتالوگ_محصولات!$G$4:$G$303,MATCH(I542,کاتالوگ_محصولات!$A$4:$A$303,0)),0))</f>
        <v>0</v>
      </c>
      <c r="AD542">
        <f t="shared" si="56"/>
        <v>0</v>
      </c>
      <c r="AE542" t="str">
        <f t="shared" si="57"/>
        <v/>
      </c>
    </row>
    <row r="543" spans="22:31" ht="18" customHeight="1">
      <c r="V543">
        <f>IF(A543="",0,IF(COUNTIF($A$3:A543,A543)=1,1,0))</f>
        <v>0</v>
      </c>
      <c r="W543">
        <f t="shared" si="54"/>
        <v>0</v>
      </c>
      <c r="X543" t="str">
        <f t="shared" si="55"/>
        <v/>
      </c>
      <c r="Y543">
        <f>IF(X543="",0,IF(COUNTIF($X$3:X543,X543)=1,1,0))</f>
        <v>0</v>
      </c>
      <c r="Z543">
        <f>IF(V543&lt;&gt;1,0,IF(X543="",0,IF(COUNTIF($X$3:X542,X543)&gt;0,1,0)))</f>
        <v>0</v>
      </c>
      <c r="AA543">
        <f t="shared" si="52"/>
        <v>0</v>
      </c>
      <c r="AB543">
        <f t="shared" si="53"/>
        <v>0</v>
      </c>
      <c r="AC543">
        <f>IF(I543="",0,L543*IFERROR(INDEX(کاتالوگ_محصولات!$G$4:$G$303,MATCH(I543,کاتالوگ_محصولات!$A$4:$A$303,0)),0))</f>
        <v>0</v>
      </c>
      <c r="AD543">
        <f t="shared" si="56"/>
        <v>0</v>
      </c>
      <c r="AE543" t="str">
        <f t="shared" si="57"/>
        <v/>
      </c>
    </row>
    <row r="544" spans="22:31" ht="18" customHeight="1">
      <c r="V544">
        <f>IF(A544="",0,IF(COUNTIF($A$3:A544,A544)=1,1,0))</f>
        <v>0</v>
      </c>
      <c r="W544">
        <f t="shared" si="54"/>
        <v>0</v>
      </c>
      <c r="X544" t="str">
        <f t="shared" si="55"/>
        <v/>
      </c>
      <c r="Y544">
        <f>IF(X544="",0,IF(COUNTIF($X$3:X544,X544)=1,1,0))</f>
        <v>0</v>
      </c>
      <c r="Z544">
        <f>IF(V544&lt;&gt;1,0,IF(X544="",0,IF(COUNTIF($X$3:X543,X544)&gt;0,1,0)))</f>
        <v>0</v>
      </c>
      <c r="AA544">
        <f t="shared" si="52"/>
        <v>0</v>
      </c>
      <c r="AB544">
        <f t="shared" si="53"/>
        <v>0</v>
      </c>
      <c r="AC544">
        <f>IF(I544="",0,L544*IFERROR(INDEX(کاتالوگ_محصولات!$G$4:$G$303,MATCH(I544,کاتالوگ_محصولات!$A$4:$A$303,0)),0))</f>
        <v>0</v>
      </c>
      <c r="AD544">
        <f t="shared" si="56"/>
        <v>0</v>
      </c>
      <c r="AE544" t="str">
        <f t="shared" si="57"/>
        <v/>
      </c>
    </row>
    <row r="545" spans="22:31" ht="18" customHeight="1">
      <c r="V545">
        <f>IF(A545="",0,IF(COUNTIF($A$3:A545,A545)=1,1,0))</f>
        <v>0</v>
      </c>
      <c r="W545">
        <f t="shared" si="54"/>
        <v>0</v>
      </c>
      <c r="X545" t="str">
        <f t="shared" si="55"/>
        <v/>
      </c>
      <c r="Y545">
        <f>IF(X545="",0,IF(COUNTIF($X$3:X545,X545)=1,1,0))</f>
        <v>0</v>
      </c>
      <c r="Z545">
        <f>IF(V545&lt;&gt;1,0,IF(X545="",0,IF(COUNTIF($X$3:X544,X545)&gt;0,1,0)))</f>
        <v>0</v>
      </c>
      <c r="AA545">
        <f t="shared" si="52"/>
        <v>0</v>
      </c>
      <c r="AB545">
        <f t="shared" si="53"/>
        <v>0</v>
      </c>
      <c r="AC545">
        <f>IF(I545="",0,L545*IFERROR(INDEX(کاتالوگ_محصولات!$G$4:$G$303,MATCH(I545,کاتالوگ_محصولات!$A$4:$A$303,0)),0))</f>
        <v>0</v>
      </c>
      <c r="AD545">
        <f t="shared" si="56"/>
        <v>0</v>
      </c>
      <c r="AE545" t="str">
        <f t="shared" si="57"/>
        <v/>
      </c>
    </row>
    <row r="546" spans="22:31" ht="18" customHeight="1">
      <c r="V546">
        <f>IF(A546="",0,IF(COUNTIF($A$3:A546,A546)=1,1,0))</f>
        <v>0</v>
      </c>
      <c r="W546">
        <f t="shared" si="54"/>
        <v>0</v>
      </c>
      <c r="X546" t="str">
        <f t="shared" si="55"/>
        <v/>
      </c>
      <c r="Y546">
        <f>IF(X546="",0,IF(COUNTIF($X$3:X546,X546)=1,1,0))</f>
        <v>0</v>
      </c>
      <c r="Z546">
        <f>IF(V546&lt;&gt;1,0,IF(X546="",0,IF(COUNTIF($X$3:X545,X546)&gt;0,1,0)))</f>
        <v>0</v>
      </c>
      <c r="AA546">
        <f t="shared" si="52"/>
        <v>0</v>
      </c>
      <c r="AB546">
        <f t="shared" si="53"/>
        <v>0</v>
      </c>
      <c r="AC546">
        <f>IF(I546="",0,L546*IFERROR(INDEX(کاتالوگ_محصولات!$G$4:$G$303,MATCH(I546,کاتالوگ_محصولات!$A$4:$A$303,0)),0))</f>
        <v>0</v>
      </c>
      <c r="AD546">
        <f t="shared" si="56"/>
        <v>0</v>
      </c>
      <c r="AE546" t="str">
        <f t="shared" si="57"/>
        <v/>
      </c>
    </row>
    <row r="547" spans="22:31" ht="18" customHeight="1">
      <c r="V547">
        <f>IF(A547="",0,IF(COUNTIF($A$3:A547,A547)=1,1,0))</f>
        <v>0</v>
      </c>
      <c r="W547">
        <f t="shared" si="54"/>
        <v>0</v>
      </c>
      <c r="X547" t="str">
        <f t="shared" si="55"/>
        <v/>
      </c>
      <c r="Y547">
        <f>IF(X547="",0,IF(COUNTIF($X$3:X547,X547)=1,1,0))</f>
        <v>0</v>
      </c>
      <c r="Z547">
        <f>IF(V547&lt;&gt;1,0,IF(X547="",0,IF(COUNTIF($X$3:X546,X547)&gt;0,1,0)))</f>
        <v>0</v>
      </c>
      <c r="AA547">
        <f t="shared" si="52"/>
        <v>0</v>
      </c>
      <c r="AB547">
        <f t="shared" si="53"/>
        <v>0</v>
      </c>
      <c r="AC547">
        <f>IF(I547="",0,L547*IFERROR(INDEX(کاتالوگ_محصولات!$G$4:$G$303,MATCH(I547,کاتالوگ_محصولات!$A$4:$A$303,0)),0))</f>
        <v>0</v>
      </c>
      <c r="AD547">
        <f t="shared" si="56"/>
        <v>0</v>
      </c>
      <c r="AE547" t="str">
        <f t="shared" si="57"/>
        <v/>
      </c>
    </row>
    <row r="548" spans="22:31" ht="18" customHeight="1">
      <c r="V548">
        <f>IF(A548="",0,IF(COUNTIF($A$3:A548,A548)=1,1,0))</f>
        <v>0</v>
      </c>
      <c r="W548">
        <f t="shared" si="54"/>
        <v>0</v>
      </c>
      <c r="X548" t="str">
        <f t="shared" si="55"/>
        <v/>
      </c>
      <c r="Y548">
        <f>IF(X548="",0,IF(COUNTIF($X$3:X548,X548)=1,1,0))</f>
        <v>0</v>
      </c>
      <c r="Z548">
        <f>IF(V548&lt;&gt;1,0,IF(X548="",0,IF(COUNTIF($X$3:X547,X548)&gt;0,1,0)))</f>
        <v>0</v>
      </c>
      <c r="AA548">
        <f t="shared" si="52"/>
        <v>0</v>
      </c>
      <c r="AB548">
        <f t="shared" si="53"/>
        <v>0</v>
      </c>
      <c r="AC548">
        <f>IF(I548="",0,L548*IFERROR(INDEX(کاتالوگ_محصولات!$G$4:$G$303,MATCH(I548,کاتالوگ_محصولات!$A$4:$A$303,0)),0))</f>
        <v>0</v>
      </c>
      <c r="AD548">
        <f t="shared" si="56"/>
        <v>0</v>
      </c>
      <c r="AE548" t="str">
        <f t="shared" si="57"/>
        <v/>
      </c>
    </row>
    <row r="549" spans="22:31" ht="18" customHeight="1">
      <c r="V549">
        <f>IF(A549="",0,IF(COUNTIF($A$3:A549,A549)=1,1,0))</f>
        <v>0</v>
      </c>
      <c r="W549">
        <f t="shared" si="54"/>
        <v>0</v>
      </c>
      <c r="X549" t="str">
        <f t="shared" si="55"/>
        <v/>
      </c>
      <c r="Y549">
        <f>IF(X549="",0,IF(COUNTIF($X$3:X549,X549)=1,1,0))</f>
        <v>0</v>
      </c>
      <c r="Z549">
        <f>IF(V549&lt;&gt;1,0,IF(X549="",0,IF(COUNTIF($X$3:X548,X549)&gt;0,1,0)))</f>
        <v>0</v>
      </c>
      <c r="AA549">
        <f t="shared" si="52"/>
        <v>0</v>
      </c>
      <c r="AB549">
        <f t="shared" si="53"/>
        <v>0</v>
      </c>
      <c r="AC549">
        <f>IF(I549="",0,L549*IFERROR(INDEX(کاتالوگ_محصولات!$G$4:$G$303,MATCH(I549,کاتالوگ_محصولات!$A$4:$A$303,0)),0))</f>
        <v>0</v>
      </c>
      <c r="AD549">
        <f t="shared" si="56"/>
        <v>0</v>
      </c>
      <c r="AE549" t="str">
        <f t="shared" si="57"/>
        <v/>
      </c>
    </row>
    <row r="550" spans="22:31" ht="18" customHeight="1">
      <c r="V550">
        <f>IF(A550="",0,IF(COUNTIF($A$3:A550,A550)=1,1,0))</f>
        <v>0</v>
      </c>
      <c r="W550">
        <f t="shared" si="54"/>
        <v>0</v>
      </c>
      <c r="X550" t="str">
        <f t="shared" si="55"/>
        <v/>
      </c>
      <c r="Y550">
        <f>IF(X550="",0,IF(COUNTIF($X$3:X550,X550)=1,1,0))</f>
        <v>0</v>
      </c>
      <c r="Z550">
        <f>IF(V550&lt;&gt;1,0,IF(X550="",0,IF(COUNTIF($X$3:X549,X550)&gt;0,1,0)))</f>
        <v>0</v>
      </c>
      <c r="AA550">
        <f t="shared" si="52"/>
        <v>0</v>
      </c>
      <c r="AB550">
        <f t="shared" si="53"/>
        <v>0</v>
      </c>
      <c r="AC550">
        <f>IF(I550="",0,L550*IFERROR(INDEX(کاتالوگ_محصولات!$G$4:$G$303,MATCH(I550,کاتالوگ_محصولات!$A$4:$A$303,0)),0))</f>
        <v>0</v>
      </c>
      <c r="AD550">
        <f t="shared" si="56"/>
        <v>0</v>
      </c>
      <c r="AE550" t="str">
        <f t="shared" si="57"/>
        <v/>
      </c>
    </row>
    <row r="551" spans="22:31" ht="18" customHeight="1">
      <c r="V551">
        <f>IF(A551="",0,IF(COUNTIF($A$3:A551,A551)=1,1,0))</f>
        <v>0</v>
      </c>
      <c r="W551">
        <f t="shared" si="54"/>
        <v>0</v>
      </c>
      <c r="X551" t="str">
        <f t="shared" si="55"/>
        <v/>
      </c>
      <c r="Y551">
        <f>IF(X551="",0,IF(COUNTIF($X$3:X551,X551)=1,1,0))</f>
        <v>0</v>
      </c>
      <c r="Z551">
        <f>IF(V551&lt;&gt;1,0,IF(X551="",0,IF(COUNTIF($X$3:X550,X551)&gt;0,1,0)))</f>
        <v>0</v>
      </c>
      <c r="AA551">
        <f t="shared" si="52"/>
        <v>0</v>
      </c>
      <c r="AB551">
        <f t="shared" si="53"/>
        <v>0</v>
      </c>
      <c r="AC551">
        <f>IF(I551="",0,L551*IFERROR(INDEX(کاتالوگ_محصولات!$G$4:$G$303,MATCH(I551,کاتالوگ_محصولات!$A$4:$A$303,0)),0))</f>
        <v>0</v>
      </c>
      <c r="AD551">
        <f t="shared" si="56"/>
        <v>0</v>
      </c>
      <c r="AE551" t="str">
        <f t="shared" si="57"/>
        <v/>
      </c>
    </row>
    <row r="552" spans="22:31" ht="18" customHeight="1">
      <c r="V552">
        <f>IF(A552="",0,IF(COUNTIF($A$3:A552,A552)=1,1,0))</f>
        <v>0</v>
      </c>
      <c r="W552">
        <f t="shared" si="54"/>
        <v>0</v>
      </c>
      <c r="X552" t="str">
        <f t="shared" si="55"/>
        <v/>
      </c>
      <c r="Y552">
        <f>IF(X552="",0,IF(COUNTIF($X$3:X552,X552)=1,1,0))</f>
        <v>0</v>
      </c>
      <c r="Z552">
        <f>IF(V552&lt;&gt;1,0,IF(X552="",0,IF(COUNTIF($X$3:X551,X552)&gt;0,1,0)))</f>
        <v>0</v>
      </c>
      <c r="AA552">
        <f t="shared" si="52"/>
        <v>0</v>
      </c>
      <c r="AB552">
        <f t="shared" si="53"/>
        <v>0</v>
      </c>
      <c r="AC552">
        <f>IF(I552="",0,L552*IFERROR(INDEX(کاتالوگ_محصولات!$G$4:$G$303,MATCH(I552,کاتالوگ_محصولات!$A$4:$A$303,0)),0))</f>
        <v>0</v>
      </c>
      <c r="AD552">
        <f t="shared" si="56"/>
        <v>0</v>
      </c>
      <c r="AE552" t="str">
        <f t="shared" si="57"/>
        <v/>
      </c>
    </row>
    <row r="553" spans="22:31" ht="18" customHeight="1">
      <c r="V553">
        <f>IF(A553="",0,IF(COUNTIF($A$3:A553,A553)=1,1,0))</f>
        <v>0</v>
      </c>
      <c r="W553">
        <f t="shared" si="54"/>
        <v>0</v>
      </c>
      <c r="X553" t="str">
        <f t="shared" si="55"/>
        <v/>
      </c>
      <c r="Y553">
        <f>IF(X553="",0,IF(COUNTIF($X$3:X553,X553)=1,1,0))</f>
        <v>0</v>
      </c>
      <c r="Z553">
        <f>IF(V553&lt;&gt;1,0,IF(X553="",0,IF(COUNTIF($X$3:X552,X553)&gt;0,1,0)))</f>
        <v>0</v>
      </c>
      <c r="AA553">
        <f t="shared" si="52"/>
        <v>0</v>
      </c>
      <c r="AB553">
        <f t="shared" si="53"/>
        <v>0</v>
      </c>
      <c r="AC553">
        <f>IF(I553="",0,L553*IFERROR(INDEX(کاتالوگ_محصولات!$G$4:$G$303,MATCH(I553,کاتالوگ_محصولات!$A$4:$A$303,0)),0))</f>
        <v>0</v>
      </c>
      <c r="AD553">
        <f t="shared" si="56"/>
        <v>0</v>
      </c>
      <c r="AE553" t="str">
        <f t="shared" si="57"/>
        <v/>
      </c>
    </row>
    <row r="554" spans="22:31" ht="18" customHeight="1">
      <c r="V554">
        <f>IF(A554="",0,IF(COUNTIF($A$3:A554,A554)=1,1,0))</f>
        <v>0</v>
      </c>
      <c r="W554">
        <f t="shared" si="54"/>
        <v>0</v>
      </c>
      <c r="X554" t="str">
        <f t="shared" si="55"/>
        <v/>
      </c>
      <c r="Y554">
        <f>IF(X554="",0,IF(COUNTIF($X$3:X554,X554)=1,1,0))</f>
        <v>0</v>
      </c>
      <c r="Z554">
        <f>IF(V554&lt;&gt;1,0,IF(X554="",0,IF(COUNTIF($X$3:X553,X554)&gt;0,1,0)))</f>
        <v>0</v>
      </c>
      <c r="AA554">
        <f t="shared" si="52"/>
        <v>0</v>
      </c>
      <c r="AB554">
        <f t="shared" si="53"/>
        <v>0</v>
      </c>
      <c r="AC554">
        <f>IF(I554="",0,L554*IFERROR(INDEX(کاتالوگ_محصولات!$G$4:$G$303,MATCH(I554,کاتالوگ_محصولات!$A$4:$A$303,0)),0))</f>
        <v>0</v>
      </c>
      <c r="AD554">
        <f t="shared" si="56"/>
        <v>0</v>
      </c>
      <c r="AE554" t="str">
        <f t="shared" si="57"/>
        <v/>
      </c>
    </row>
    <row r="555" spans="22:31" ht="18" customHeight="1">
      <c r="V555">
        <f>IF(A555="",0,IF(COUNTIF($A$3:A555,A555)=1,1,0))</f>
        <v>0</v>
      </c>
      <c r="W555">
        <f t="shared" si="54"/>
        <v>0</v>
      </c>
      <c r="X555" t="str">
        <f t="shared" si="55"/>
        <v/>
      </c>
      <c r="Y555">
        <f>IF(X555="",0,IF(COUNTIF($X$3:X555,X555)=1,1,0))</f>
        <v>0</v>
      </c>
      <c r="Z555">
        <f>IF(V555&lt;&gt;1,0,IF(X555="",0,IF(COUNTIF($X$3:X554,X555)&gt;0,1,0)))</f>
        <v>0</v>
      </c>
      <c r="AA555">
        <f t="shared" si="52"/>
        <v>0</v>
      </c>
      <c r="AB555">
        <f t="shared" si="53"/>
        <v>0</v>
      </c>
      <c r="AC555">
        <f>IF(I555="",0,L555*IFERROR(INDEX(کاتالوگ_محصولات!$G$4:$G$303,MATCH(I555,کاتالوگ_محصولات!$A$4:$A$303,0)),0))</f>
        <v>0</v>
      </c>
      <c r="AD555">
        <f t="shared" si="56"/>
        <v>0</v>
      </c>
      <c r="AE555" t="str">
        <f t="shared" si="57"/>
        <v/>
      </c>
    </row>
    <row r="556" spans="22:31" ht="18" customHeight="1">
      <c r="V556">
        <f>IF(A556="",0,IF(COUNTIF($A$3:A556,A556)=1,1,0))</f>
        <v>0</v>
      </c>
      <c r="W556">
        <f t="shared" si="54"/>
        <v>0</v>
      </c>
      <c r="X556" t="str">
        <f t="shared" si="55"/>
        <v/>
      </c>
      <c r="Y556">
        <f>IF(X556="",0,IF(COUNTIF($X$3:X556,X556)=1,1,0))</f>
        <v>0</v>
      </c>
      <c r="Z556">
        <f>IF(V556&lt;&gt;1,0,IF(X556="",0,IF(COUNTIF($X$3:X555,X556)&gt;0,1,0)))</f>
        <v>0</v>
      </c>
      <c r="AA556">
        <f t="shared" si="52"/>
        <v>0</v>
      </c>
      <c r="AB556">
        <f t="shared" si="53"/>
        <v>0</v>
      </c>
      <c r="AC556">
        <f>IF(I556="",0,L556*IFERROR(INDEX(کاتالوگ_محصولات!$G$4:$G$303,MATCH(I556,کاتالوگ_محصولات!$A$4:$A$303,0)),0))</f>
        <v>0</v>
      </c>
      <c r="AD556">
        <f t="shared" si="56"/>
        <v>0</v>
      </c>
      <c r="AE556" t="str">
        <f t="shared" si="57"/>
        <v/>
      </c>
    </row>
    <row r="557" spans="22:31" ht="18" customHeight="1">
      <c r="V557">
        <f>IF(A557="",0,IF(COUNTIF($A$3:A557,A557)=1,1,0))</f>
        <v>0</v>
      </c>
      <c r="W557">
        <f t="shared" si="54"/>
        <v>0</v>
      </c>
      <c r="X557" t="str">
        <f t="shared" si="55"/>
        <v/>
      </c>
      <c r="Y557">
        <f>IF(X557="",0,IF(COUNTIF($X$3:X557,X557)=1,1,0))</f>
        <v>0</v>
      </c>
      <c r="Z557">
        <f>IF(V557&lt;&gt;1,0,IF(X557="",0,IF(COUNTIF($X$3:X556,X557)&gt;0,1,0)))</f>
        <v>0</v>
      </c>
      <c r="AA557">
        <f t="shared" si="52"/>
        <v>0</v>
      </c>
      <c r="AB557">
        <f t="shared" si="53"/>
        <v>0</v>
      </c>
      <c r="AC557">
        <f>IF(I557="",0,L557*IFERROR(INDEX(کاتالوگ_محصولات!$G$4:$G$303,MATCH(I557,کاتالوگ_محصولات!$A$4:$A$303,0)),0))</f>
        <v>0</v>
      </c>
      <c r="AD557">
        <f t="shared" si="56"/>
        <v>0</v>
      </c>
      <c r="AE557" t="str">
        <f t="shared" si="57"/>
        <v/>
      </c>
    </row>
    <row r="558" spans="22:31" ht="18" customHeight="1">
      <c r="V558">
        <f>IF(A558="",0,IF(COUNTIF($A$3:A558,A558)=1,1,0))</f>
        <v>0</v>
      </c>
      <c r="W558">
        <f t="shared" si="54"/>
        <v>0</v>
      </c>
      <c r="X558" t="str">
        <f t="shared" si="55"/>
        <v/>
      </c>
      <c r="Y558">
        <f>IF(X558="",0,IF(COUNTIF($X$3:X558,X558)=1,1,0))</f>
        <v>0</v>
      </c>
      <c r="Z558">
        <f>IF(V558&lt;&gt;1,0,IF(X558="",0,IF(COUNTIF($X$3:X557,X558)&gt;0,1,0)))</f>
        <v>0</v>
      </c>
      <c r="AA558">
        <f t="shared" si="52"/>
        <v>0</v>
      </c>
      <c r="AB558">
        <f t="shared" si="53"/>
        <v>0</v>
      </c>
      <c r="AC558">
        <f>IF(I558="",0,L558*IFERROR(INDEX(کاتالوگ_محصولات!$G$4:$G$303,MATCH(I558,کاتالوگ_محصولات!$A$4:$A$303,0)),0))</f>
        <v>0</v>
      </c>
      <c r="AD558">
        <f t="shared" si="56"/>
        <v>0</v>
      </c>
      <c r="AE558" t="str">
        <f t="shared" si="57"/>
        <v/>
      </c>
    </row>
    <row r="559" spans="22:31" ht="18" customHeight="1">
      <c r="V559">
        <f>IF(A559="",0,IF(COUNTIF($A$3:A559,A559)=1,1,0))</f>
        <v>0</v>
      </c>
      <c r="W559">
        <f t="shared" si="54"/>
        <v>0</v>
      </c>
      <c r="X559" t="str">
        <f t="shared" si="55"/>
        <v/>
      </c>
      <c r="Y559">
        <f>IF(X559="",0,IF(COUNTIF($X$3:X559,X559)=1,1,0))</f>
        <v>0</v>
      </c>
      <c r="Z559">
        <f>IF(V559&lt;&gt;1,0,IF(X559="",0,IF(COUNTIF($X$3:X558,X559)&gt;0,1,0)))</f>
        <v>0</v>
      </c>
      <c r="AA559">
        <f t="shared" si="52"/>
        <v>0</v>
      </c>
      <c r="AB559">
        <f t="shared" si="53"/>
        <v>0</v>
      </c>
      <c r="AC559">
        <f>IF(I559="",0,L559*IFERROR(INDEX(کاتالوگ_محصولات!$G$4:$G$303,MATCH(I559,کاتالوگ_محصولات!$A$4:$A$303,0)),0))</f>
        <v>0</v>
      </c>
      <c r="AD559">
        <f t="shared" si="56"/>
        <v>0</v>
      </c>
      <c r="AE559" t="str">
        <f t="shared" si="57"/>
        <v/>
      </c>
    </row>
    <row r="560" spans="22:31" ht="18" customHeight="1">
      <c r="V560">
        <f>IF(A560="",0,IF(COUNTIF($A$3:A560,A560)=1,1,0))</f>
        <v>0</v>
      </c>
      <c r="W560">
        <f t="shared" si="54"/>
        <v>0</v>
      </c>
      <c r="X560" t="str">
        <f t="shared" si="55"/>
        <v/>
      </c>
      <c r="Y560">
        <f>IF(X560="",0,IF(COUNTIF($X$3:X560,X560)=1,1,0))</f>
        <v>0</v>
      </c>
      <c r="Z560">
        <f>IF(V560&lt;&gt;1,0,IF(X560="",0,IF(COUNTIF($X$3:X559,X560)&gt;0,1,0)))</f>
        <v>0</v>
      </c>
      <c r="AA560">
        <f t="shared" si="52"/>
        <v>0</v>
      </c>
      <c r="AB560">
        <f t="shared" si="53"/>
        <v>0</v>
      </c>
      <c r="AC560">
        <f>IF(I560="",0,L560*IFERROR(INDEX(کاتالوگ_محصولات!$G$4:$G$303,MATCH(I560,کاتالوگ_محصولات!$A$4:$A$303,0)),0))</f>
        <v>0</v>
      </c>
      <c r="AD560">
        <f t="shared" si="56"/>
        <v>0</v>
      </c>
      <c r="AE560" t="str">
        <f t="shared" si="57"/>
        <v/>
      </c>
    </row>
    <row r="561" spans="22:31" ht="18" customHeight="1">
      <c r="V561">
        <f>IF(A561="",0,IF(COUNTIF($A$3:A561,A561)=1,1,0))</f>
        <v>0</v>
      </c>
      <c r="W561">
        <f t="shared" si="54"/>
        <v>0</v>
      </c>
      <c r="X561" t="str">
        <f t="shared" si="55"/>
        <v/>
      </c>
      <c r="Y561">
        <f>IF(X561="",0,IF(COUNTIF($X$3:X561,X561)=1,1,0))</f>
        <v>0</v>
      </c>
      <c r="Z561">
        <f>IF(V561&lt;&gt;1,0,IF(X561="",0,IF(COUNTIF($X$3:X560,X561)&gt;0,1,0)))</f>
        <v>0</v>
      </c>
      <c r="AA561">
        <f t="shared" si="52"/>
        <v>0</v>
      </c>
      <c r="AB561">
        <f t="shared" si="53"/>
        <v>0</v>
      </c>
      <c r="AC561">
        <f>IF(I561="",0,L561*IFERROR(INDEX(کاتالوگ_محصولات!$G$4:$G$303,MATCH(I561,کاتالوگ_محصولات!$A$4:$A$303,0)),0))</f>
        <v>0</v>
      </c>
      <c r="AD561">
        <f t="shared" si="56"/>
        <v>0</v>
      </c>
      <c r="AE561" t="str">
        <f t="shared" si="57"/>
        <v/>
      </c>
    </row>
    <row r="562" spans="22:31" ht="18" customHeight="1">
      <c r="V562">
        <f>IF(A562="",0,IF(COUNTIF($A$3:A562,A562)=1,1,0))</f>
        <v>0</v>
      </c>
      <c r="W562">
        <f t="shared" si="54"/>
        <v>0</v>
      </c>
      <c r="X562" t="str">
        <f t="shared" si="55"/>
        <v/>
      </c>
      <c r="Y562">
        <f>IF(X562="",0,IF(COUNTIF($X$3:X562,X562)=1,1,0))</f>
        <v>0</v>
      </c>
      <c r="Z562">
        <f>IF(V562&lt;&gt;1,0,IF(X562="",0,IF(COUNTIF($X$3:X561,X562)&gt;0,1,0)))</f>
        <v>0</v>
      </c>
      <c r="AA562">
        <f t="shared" si="52"/>
        <v>0</v>
      </c>
      <c r="AB562">
        <f t="shared" si="53"/>
        <v>0</v>
      </c>
      <c r="AC562">
        <f>IF(I562="",0,L562*IFERROR(INDEX(کاتالوگ_محصولات!$G$4:$G$303,MATCH(I562,کاتالوگ_محصولات!$A$4:$A$303,0)),0))</f>
        <v>0</v>
      </c>
      <c r="AD562">
        <f t="shared" si="56"/>
        <v>0</v>
      </c>
      <c r="AE562" t="str">
        <f t="shared" si="57"/>
        <v/>
      </c>
    </row>
    <row r="563" spans="22:31" ht="18" customHeight="1">
      <c r="V563">
        <f>IF(A563="",0,IF(COUNTIF($A$3:A563,A563)=1,1,0))</f>
        <v>0</v>
      </c>
      <c r="W563">
        <f t="shared" si="54"/>
        <v>0</v>
      </c>
      <c r="X563" t="str">
        <f t="shared" si="55"/>
        <v/>
      </c>
      <c r="Y563">
        <f>IF(X563="",0,IF(COUNTIF($X$3:X563,X563)=1,1,0))</f>
        <v>0</v>
      </c>
      <c r="Z563">
        <f>IF(V563&lt;&gt;1,0,IF(X563="",0,IF(COUNTIF($X$3:X562,X563)&gt;0,1,0)))</f>
        <v>0</v>
      </c>
      <c r="AA563">
        <f t="shared" si="52"/>
        <v>0</v>
      </c>
      <c r="AB563">
        <f t="shared" si="53"/>
        <v>0</v>
      </c>
      <c r="AC563">
        <f>IF(I563="",0,L563*IFERROR(INDEX(کاتالوگ_محصولات!$G$4:$G$303,MATCH(I563,کاتالوگ_محصولات!$A$4:$A$303,0)),0))</f>
        <v>0</v>
      </c>
      <c r="AD563">
        <f t="shared" si="56"/>
        <v>0</v>
      </c>
      <c r="AE563" t="str">
        <f t="shared" si="57"/>
        <v/>
      </c>
    </row>
    <row r="564" spans="22:31" ht="18" customHeight="1">
      <c r="V564">
        <f>IF(A564="",0,IF(COUNTIF($A$3:A564,A564)=1,1,0))</f>
        <v>0</v>
      </c>
      <c r="W564">
        <f t="shared" si="54"/>
        <v>0</v>
      </c>
      <c r="X564" t="str">
        <f t="shared" si="55"/>
        <v/>
      </c>
      <c r="Y564">
        <f>IF(X564="",0,IF(COUNTIF($X$3:X564,X564)=1,1,0))</f>
        <v>0</v>
      </c>
      <c r="Z564">
        <f>IF(V564&lt;&gt;1,0,IF(X564="",0,IF(COUNTIF($X$3:X563,X564)&gt;0,1,0)))</f>
        <v>0</v>
      </c>
      <c r="AA564">
        <f t="shared" si="52"/>
        <v>0</v>
      </c>
      <c r="AB564">
        <f t="shared" si="53"/>
        <v>0</v>
      </c>
      <c r="AC564">
        <f>IF(I564="",0,L564*IFERROR(INDEX(کاتالوگ_محصولات!$G$4:$G$303,MATCH(I564,کاتالوگ_محصولات!$A$4:$A$303,0)),0))</f>
        <v>0</v>
      </c>
      <c r="AD564">
        <f t="shared" si="56"/>
        <v>0</v>
      </c>
      <c r="AE564" t="str">
        <f t="shared" si="57"/>
        <v/>
      </c>
    </row>
    <row r="565" spans="22:31" ht="18" customHeight="1">
      <c r="V565">
        <f>IF(A565="",0,IF(COUNTIF($A$3:A565,A565)=1,1,0))</f>
        <v>0</v>
      </c>
      <c r="W565">
        <f t="shared" si="54"/>
        <v>0</v>
      </c>
      <c r="X565" t="str">
        <f t="shared" si="55"/>
        <v/>
      </c>
      <c r="Y565">
        <f>IF(X565="",0,IF(COUNTIF($X$3:X565,X565)=1,1,0))</f>
        <v>0</v>
      </c>
      <c r="Z565">
        <f>IF(V565&lt;&gt;1,0,IF(X565="",0,IF(COUNTIF($X$3:X564,X565)&gt;0,1,0)))</f>
        <v>0</v>
      </c>
      <c r="AA565">
        <f t="shared" si="52"/>
        <v>0</v>
      </c>
      <c r="AB565">
        <f t="shared" si="53"/>
        <v>0</v>
      </c>
      <c r="AC565">
        <f>IF(I565="",0,L565*IFERROR(INDEX(کاتالوگ_محصولات!$G$4:$G$303,MATCH(I565,کاتالوگ_محصولات!$A$4:$A$303,0)),0))</f>
        <v>0</v>
      </c>
      <c r="AD565">
        <f t="shared" si="56"/>
        <v>0</v>
      </c>
      <c r="AE565" t="str">
        <f t="shared" si="57"/>
        <v/>
      </c>
    </row>
    <row r="566" spans="22:31" ht="18" customHeight="1">
      <c r="V566">
        <f>IF(A566="",0,IF(COUNTIF($A$3:A566,A566)=1,1,0))</f>
        <v>0</v>
      </c>
      <c r="W566">
        <f t="shared" si="54"/>
        <v>0</v>
      </c>
      <c r="X566" t="str">
        <f t="shared" si="55"/>
        <v/>
      </c>
      <c r="Y566">
        <f>IF(X566="",0,IF(COUNTIF($X$3:X566,X566)=1,1,0))</f>
        <v>0</v>
      </c>
      <c r="Z566">
        <f>IF(V566&lt;&gt;1,0,IF(X566="",0,IF(COUNTIF($X$3:X565,X566)&gt;0,1,0)))</f>
        <v>0</v>
      </c>
      <c r="AA566">
        <f t="shared" si="52"/>
        <v>0</v>
      </c>
      <c r="AB566">
        <f t="shared" si="53"/>
        <v>0</v>
      </c>
      <c r="AC566">
        <f>IF(I566="",0,L566*IFERROR(INDEX(کاتالوگ_محصولات!$G$4:$G$303,MATCH(I566,کاتالوگ_محصولات!$A$4:$A$303,0)),0))</f>
        <v>0</v>
      </c>
      <c r="AD566">
        <f t="shared" si="56"/>
        <v>0</v>
      </c>
      <c r="AE566" t="str">
        <f t="shared" si="57"/>
        <v/>
      </c>
    </row>
    <row r="567" spans="22:31" ht="18" customHeight="1">
      <c r="V567">
        <f>IF(A567="",0,IF(COUNTIF($A$3:A567,A567)=1,1,0))</f>
        <v>0</v>
      </c>
      <c r="W567">
        <f t="shared" si="54"/>
        <v>0</v>
      </c>
      <c r="X567" t="str">
        <f t="shared" si="55"/>
        <v/>
      </c>
      <c r="Y567">
        <f>IF(X567="",0,IF(COUNTIF($X$3:X567,X567)=1,1,0))</f>
        <v>0</v>
      </c>
      <c r="Z567">
        <f>IF(V567&lt;&gt;1,0,IF(X567="",0,IF(COUNTIF($X$3:X566,X567)&gt;0,1,0)))</f>
        <v>0</v>
      </c>
      <c r="AA567">
        <f t="shared" si="52"/>
        <v>0</v>
      </c>
      <c r="AB567">
        <f t="shared" si="53"/>
        <v>0</v>
      </c>
      <c r="AC567">
        <f>IF(I567="",0,L567*IFERROR(INDEX(کاتالوگ_محصولات!$G$4:$G$303,MATCH(I567,کاتالوگ_محصولات!$A$4:$A$303,0)),0))</f>
        <v>0</v>
      </c>
      <c r="AD567">
        <f t="shared" si="56"/>
        <v>0</v>
      </c>
      <c r="AE567" t="str">
        <f t="shared" si="57"/>
        <v/>
      </c>
    </row>
    <row r="568" spans="22:31" ht="18" customHeight="1">
      <c r="V568">
        <f>IF(A568="",0,IF(COUNTIF($A$3:A568,A568)=1,1,0))</f>
        <v>0</v>
      </c>
      <c r="W568">
        <f t="shared" si="54"/>
        <v>0</v>
      </c>
      <c r="X568" t="str">
        <f t="shared" si="55"/>
        <v/>
      </c>
      <c r="Y568">
        <f>IF(X568="",0,IF(COUNTIF($X$3:X568,X568)=1,1,0))</f>
        <v>0</v>
      </c>
      <c r="Z568">
        <f>IF(V568&lt;&gt;1,0,IF(X568="",0,IF(COUNTIF($X$3:X567,X568)&gt;0,1,0)))</f>
        <v>0</v>
      </c>
      <c r="AA568">
        <f t="shared" si="52"/>
        <v>0</v>
      </c>
      <c r="AB568">
        <f t="shared" si="53"/>
        <v>0</v>
      </c>
      <c r="AC568">
        <f>IF(I568="",0,L568*IFERROR(INDEX(کاتالوگ_محصولات!$G$4:$G$303,MATCH(I568,کاتالوگ_محصولات!$A$4:$A$303,0)),0))</f>
        <v>0</v>
      </c>
      <c r="AD568">
        <f t="shared" si="56"/>
        <v>0</v>
      </c>
      <c r="AE568" t="str">
        <f t="shared" si="57"/>
        <v/>
      </c>
    </row>
    <row r="569" spans="22:31" ht="18" customHeight="1">
      <c r="V569">
        <f>IF(A569="",0,IF(COUNTIF($A$3:A569,A569)=1,1,0))</f>
        <v>0</v>
      </c>
      <c r="W569">
        <f t="shared" si="54"/>
        <v>0</v>
      </c>
      <c r="X569" t="str">
        <f t="shared" si="55"/>
        <v/>
      </c>
      <c r="Y569">
        <f>IF(X569="",0,IF(COUNTIF($X$3:X569,X569)=1,1,0))</f>
        <v>0</v>
      </c>
      <c r="Z569">
        <f>IF(V569&lt;&gt;1,0,IF(X569="",0,IF(COUNTIF($X$3:X568,X569)&gt;0,1,0)))</f>
        <v>0</v>
      </c>
      <c r="AA569">
        <f t="shared" si="52"/>
        <v>0</v>
      </c>
      <c r="AB569">
        <f t="shared" si="53"/>
        <v>0</v>
      </c>
      <c r="AC569">
        <f>IF(I569="",0,L569*IFERROR(INDEX(کاتالوگ_محصولات!$G$4:$G$303,MATCH(I569,کاتالوگ_محصولات!$A$4:$A$303,0)),0))</f>
        <v>0</v>
      </c>
      <c r="AD569">
        <f t="shared" si="56"/>
        <v>0</v>
      </c>
      <c r="AE569" t="str">
        <f t="shared" si="57"/>
        <v/>
      </c>
    </row>
    <row r="570" spans="22:31" ht="18" customHeight="1">
      <c r="V570">
        <f>IF(A570="",0,IF(COUNTIF($A$3:A570,A570)=1,1,0))</f>
        <v>0</v>
      </c>
      <c r="W570">
        <f t="shared" si="54"/>
        <v>0</v>
      </c>
      <c r="X570" t="str">
        <f t="shared" si="55"/>
        <v/>
      </c>
      <c r="Y570">
        <f>IF(X570="",0,IF(COUNTIF($X$3:X570,X570)=1,1,0))</f>
        <v>0</v>
      </c>
      <c r="Z570">
        <f>IF(V570&lt;&gt;1,0,IF(X570="",0,IF(COUNTIF($X$3:X569,X570)&gt;0,1,0)))</f>
        <v>0</v>
      </c>
      <c r="AA570">
        <f t="shared" si="52"/>
        <v>0</v>
      </c>
      <c r="AB570">
        <f t="shared" si="53"/>
        <v>0</v>
      </c>
      <c r="AC570">
        <f>IF(I570="",0,L570*IFERROR(INDEX(کاتالوگ_محصولات!$G$4:$G$303,MATCH(I570,کاتالوگ_محصولات!$A$4:$A$303,0)),0))</f>
        <v>0</v>
      </c>
      <c r="AD570">
        <f t="shared" si="56"/>
        <v>0</v>
      </c>
      <c r="AE570" t="str">
        <f t="shared" si="57"/>
        <v/>
      </c>
    </row>
    <row r="571" spans="22:31" ht="18" customHeight="1">
      <c r="V571">
        <f>IF(A571="",0,IF(COUNTIF($A$3:A571,A571)=1,1,0))</f>
        <v>0</v>
      </c>
      <c r="W571">
        <f t="shared" si="54"/>
        <v>0</v>
      </c>
      <c r="X571" t="str">
        <f t="shared" si="55"/>
        <v/>
      </c>
      <c r="Y571">
        <f>IF(X571="",0,IF(COUNTIF($X$3:X571,X571)=1,1,0))</f>
        <v>0</v>
      </c>
      <c r="Z571">
        <f>IF(V571&lt;&gt;1,0,IF(X571="",0,IF(COUNTIF($X$3:X570,X571)&gt;0,1,0)))</f>
        <v>0</v>
      </c>
      <c r="AA571">
        <f t="shared" si="52"/>
        <v>0</v>
      </c>
      <c r="AB571">
        <f t="shared" si="53"/>
        <v>0</v>
      </c>
      <c r="AC571">
        <f>IF(I571="",0,L571*IFERROR(INDEX(کاتالوگ_محصولات!$G$4:$G$303,MATCH(I571,کاتالوگ_محصولات!$A$4:$A$303,0)),0))</f>
        <v>0</v>
      </c>
      <c r="AD571">
        <f t="shared" si="56"/>
        <v>0</v>
      </c>
      <c r="AE571" t="str">
        <f t="shared" si="57"/>
        <v/>
      </c>
    </row>
    <row r="572" spans="22:31" ht="18" customHeight="1">
      <c r="V572">
        <f>IF(A572="",0,IF(COUNTIF($A$3:A572,A572)=1,1,0))</f>
        <v>0</v>
      </c>
      <c r="W572">
        <f t="shared" si="54"/>
        <v>0</v>
      </c>
      <c r="X572" t="str">
        <f t="shared" si="55"/>
        <v/>
      </c>
      <c r="Y572">
        <f>IF(X572="",0,IF(COUNTIF($X$3:X572,X572)=1,1,0))</f>
        <v>0</v>
      </c>
      <c r="Z572">
        <f>IF(V572&lt;&gt;1,0,IF(X572="",0,IF(COUNTIF($X$3:X571,X572)&gt;0,1,0)))</f>
        <v>0</v>
      </c>
      <c r="AA572">
        <f t="shared" si="52"/>
        <v>0</v>
      </c>
      <c r="AB572">
        <f t="shared" si="53"/>
        <v>0</v>
      </c>
      <c r="AC572">
        <f>IF(I572="",0,L572*IFERROR(INDEX(کاتالوگ_محصولات!$G$4:$G$303,MATCH(I572,کاتالوگ_محصولات!$A$4:$A$303,0)),0))</f>
        <v>0</v>
      </c>
      <c r="AD572">
        <f t="shared" si="56"/>
        <v>0</v>
      </c>
      <c r="AE572" t="str">
        <f t="shared" si="57"/>
        <v/>
      </c>
    </row>
    <row r="573" spans="22:31" ht="18" customHeight="1">
      <c r="V573">
        <f>IF(A573="",0,IF(COUNTIF($A$3:A573,A573)=1,1,0))</f>
        <v>0</v>
      </c>
      <c r="W573">
        <f t="shared" si="54"/>
        <v>0</v>
      </c>
      <c r="X573" t="str">
        <f t="shared" si="55"/>
        <v/>
      </c>
      <c r="Y573">
        <f>IF(X573="",0,IF(COUNTIF($X$3:X573,X573)=1,1,0))</f>
        <v>0</v>
      </c>
      <c r="Z573">
        <f>IF(V573&lt;&gt;1,0,IF(X573="",0,IF(COUNTIF($X$3:X572,X573)&gt;0,1,0)))</f>
        <v>0</v>
      </c>
      <c r="AA573">
        <f t="shared" si="52"/>
        <v>0</v>
      </c>
      <c r="AB573">
        <f t="shared" si="53"/>
        <v>0</v>
      </c>
      <c r="AC573">
        <f>IF(I573="",0,L573*IFERROR(INDEX(کاتالوگ_محصولات!$G$4:$G$303,MATCH(I573,کاتالوگ_محصولات!$A$4:$A$303,0)),0))</f>
        <v>0</v>
      </c>
      <c r="AD573">
        <f t="shared" si="56"/>
        <v>0</v>
      </c>
      <c r="AE573" t="str">
        <f t="shared" si="57"/>
        <v/>
      </c>
    </row>
    <row r="574" spans="22:31" ht="18" customHeight="1">
      <c r="V574">
        <f>IF(A574="",0,IF(COUNTIF($A$3:A574,A574)=1,1,0))</f>
        <v>0</v>
      </c>
      <c r="W574">
        <f t="shared" si="54"/>
        <v>0</v>
      </c>
      <c r="X574" t="str">
        <f t="shared" si="55"/>
        <v/>
      </c>
      <c r="Y574">
        <f>IF(X574="",0,IF(COUNTIF($X$3:X574,X574)=1,1,0))</f>
        <v>0</v>
      </c>
      <c r="Z574">
        <f>IF(V574&lt;&gt;1,0,IF(X574="",0,IF(COUNTIF($X$3:X573,X574)&gt;0,1,0)))</f>
        <v>0</v>
      </c>
      <c r="AA574">
        <f t="shared" si="52"/>
        <v>0</v>
      </c>
      <c r="AB574">
        <f t="shared" si="53"/>
        <v>0</v>
      </c>
      <c r="AC574">
        <f>IF(I574="",0,L574*IFERROR(INDEX(کاتالوگ_محصولات!$G$4:$G$303,MATCH(I574,کاتالوگ_محصولات!$A$4:$A$303,0)),0))</f>
        <v>0</v>
      </c>
      <c r="AD574">
        <f t="shared" si="56"/>
        <v>0</v>
      </c>
      <c r="AE574" t="str">
        <f t="shared" si="57"/>
        <v/>
      </c>
    </row>
    <row r="575" spans="22:31" ht="18" customHeight="1">
      <c r="V575">
        <f>IF(A575="",0,IF(COUNTIF($A$3:A575,A575)=1,1,0))</f>
        <v>0</v>
      </c>
      <c r="W575">
        <f t="shared" si="54"/>
        <v>0</v>
      </c>
      <c r="X575" t="str">
        <f t="shared" si="55"/>
        <v/>
      </c>
      <c r="Y575">
        <f>IF(X575="",0,IF(COUNTIF($X$3:X575,X575)=1,1,0))</f>
        <v>0</v>
      </c>
      <c r="Z575">
        <f>IF(V575&lt;&gt;1,0,IF(X575="",0,IF(COUNTIF($X$3:X574,X575)&gt;0,1,0)))</f>
        <v>0</v>
      </c>
      <c r="AA575">
        <f t="shared" si="52"/>
        <v>0</v>
      </c>
      <c r="AB575">
        <f t="shared" si="53"/>
        <v>0</v>
      </c>
      <c r="AC575">
        <f>IF(I575="",0,L575*IFERROR(INDEX(کاتالوگ_محصولات!$G$4:$G$303,MATCH(I575,کاتالوگ_محصولات!$A$4:$A$303,0)),0))</f>
        <v>0</v>
      </c>
      <c r="AD575">
        <f t="shared" si="56"/>
        <v>0</v>
      </c>
      <c r="AE575" t="str">
        <f t="shared" si="57"/>
        <v/>
      </c>
    </row>
    <row r="576" spans="22:31" ht="18" customHeight="1">
      <c r="V576">
        <f>IF(A576="",0,IF(COUNTIF($A$3:A576,A576)=1,1,0))</f>
        <v>0</v>
      </c>
      <c r="W576">
        <f t="shared" si="54"/>
        <v>0</v>
      </c>
      <c r="X576" t="str">
        <f t="shared" si="55"/>
        <v/>
      </c>
      <c r="Y576">
        <f>IF(X576="",0,IF(COUNTIF($X$3:X576,X576)=1,1,0))</f>
        <v>0</v>
      </c>
      <c r="Z576">
        <f>IF(V576&lt;&gt;1,0,IF(X576="",0,IF(COUNTIF($X$3:X575,X576)&gt;0,1,0)))</f>
        <v>0</v>
      </c>
      <c r="AA576">
        <f t="shared" si="52"/>
        <v>0</v>
      </c>
      <c r="AB576">
        <f t="shared" si="53"/>
        <v>0</v>
      </c>
      <c r="AC576">
        <f>IF(I576="",0,L576*IFERROR(INDEX(کاتالوگ_محصولات!$G$4:$G$303,MATCH(I576,کاتالوگ_محصولات!$A$4:$A$303,0)),0))</f>
        <v>0</v>
      </c>
      <c r="AD576">
        <f t="shared" si="56"/>
        <v>0</v>
      </c>
      <c r="AE576" t="str">
        <f t="shared" si="57"/>
        <v/>
      </c>
    </row>
    <row r="577" spans="22:31" ht="18" customHeight="1">
      <c r="V577">
        <f>IF(A577="",0,IF(COUNTIF($A$3:A577,A577)=1,1,0))</f>
        <v>0</v>
      </c>
      <c r="W577">
        <f t="shared" si="54"/>
        <v>0</v>
      </c>
      <c r="X577" t="str">
        <f t="shared" si="55"/>
        <v/>
      </c>
      <c r="Y577">
        <f>IF(X577="",0,IF(COUNTIF($X$3:X577,X577)=1,1,0))</f>
        <v>0</v>
      </c>
      <c r="Z577">
        <f>IF(V577&lt;&gt;1,0,IF(X577="",0,IF(COUNTIF($X$3:X576,X577)&gt;0,1,0)))</f>
        <v>0</v>
      </c>
      <c r="AA577">
        <f t="shared" si="52"/>
        <v>0</v>
      </c>
      <c r="AB577">
        <f t="shared" si="53"/>
        <v>0</v>
      </c>
      <c r="AC577">
        <f>IF(I577="",0,L577*IFERROR(INDEX(کاتالوگ_محصولات!$G$4:$G$303,MATCH(I577,کاتالوگ_محصولات!$A$4:$A$303,0)),0))</f>
        <v>0</v>
      </c>
      <c r="AD577">
        <f t="shared" si="56"/>
        <v>0</v>
      </c>
      <c r="AE577" t="str">
        <f t="shared" si="57"/>
        <v/>
      </c>
    </row>
    <row r="578" spans="22:31" ht="18" customHeight="1">
      <c r="V578">
        <f>IF(A578="",0,IF(COUNTIF($A$3:A578,A578)=1,1,0))</f>
        <v>0</v>
      </c>
      <c r="W578">
        <f t="shared" si="54"/>
        <v>0</v>
      </c>
      <c r="X578" t="str">
        <f t="shared" si="55"/>
        <v/>
      </c>
      <c r="Y578">
        <f>IF(X578="",0,IF(COUNTIF($X$3:X578,X578)=1,1,0))</f>
        <v>0</v>
      </c>
      <c r="Z578">
        <f>IF(V578&lt;&gt;1,0,IF(X578="",0,IF(COUNTIF($X$3:X577,X578)&gt;0,1,0)))</f>
        <v>0</v>
      </c>
      <c r="AA578">
        <f t="shared" si="52"/>
        <v>0</v>
      </c>
      <c r="AB578">
        <f t="shared" si="53"/>
        <v>0</v>
      </c>
      <c r="AC578">
        <f>IF(I578="",0,L578*IFERROR(INDEX(کاتالوگ_محصولات!$G$4:$G$303,MATCH(I578,کاتالوگ_محصولات!$A$4:$A$303,0)),0))</f>
        <v>0</v>
      </c>
      <c r="AD578">
        <f t="shared" si="56"/>
        <v>0</v>
      </c>
      <c r="AE578" t="str">
        <f t="shared" si="57"/>
        <v/>
      </c>
    </row>
    <row r="579" spans="22:31" ht="18" customHeight="1">
      <c r="V579">
        <f>IF(A579="",0,IF(COUNTIF($A$3:A579,A579)=1,1,0))</f>
        <v>0</v>
      </c>
      <c r="W579">
        <f t="shared" si="54"/>
        <v>0</v>
      </c>
      <c r="X579" t="str">
        <f t="shared" si="55"/>
        <v/>
      </c>
      <c r="Y579">
        <f>IF(X579="",0,IF(COUNTIF($X$3:X579,X579)=1,1,0))</f>
        <v>0</v>
      </c>
      <c r="Z579">
        <f>IF(V579&lt;&gt;1,0,IF(X579="",0,IF(COUNTIF($X$3:X578,X579)&gt;0,1,0)))</f>
        <v>0</v>
      </c>
      <c r="AA579">
        <f t="shared" ref="AA579:AA642" si="58">IF(V579=1,SUMIF($A$3:$A$1622,A579,$O$3:$O$1622),0)</f>
        <v>0</v>
      </c>
      <c r="AB579">
        <f t="shared" ref="AB579:AB642" si="59">IF(V579=1,SUMIF($A$3:$A$1622,A579,$L$3:$L$1622),0)</f>
        <v>0</v>
      </c>
      <c r="AC579">
        <f>IF(I579="",0,L579*IFERROR(INDEX(کاتالوگ_محصولات!$G$4:$G$303,MATCH(I579,کاتالوگ_محصولات!$A$4:$A$303,0)),0))</f>
        <v>0</v>
      </c>
      <c r="AD579">
        <f t="shared" si="56"/>
        <v>0</v>
      </c>
      <c r="AE579" t="str">
        <f t="shared" si="57"/>
        <v/>
      </c>
    </row>
    <row r="580" spans="22:31" ht="18" customHeight="1">
      <c r="V580">
        <f>IF(A580="",0,IF(COUNTIF($A$3:A580,A580)=1,1,0))</f>
        <v>0</v>
      </c>
      <c r="W580">
        <f t="shared" si="54"/>
        <v>0</v>
      </c>
      <c r="X580" t="str">
        <f t="shared" si="55"/>
        <v/>
      </c>
      <c r="Y580">
        <f>IF(X580="",0,IF(COUNTIF($X$3:X580,X580)=1,1,0))</f>
        <v>0</v>
      </c>
      <c r="Z580">
        <f>IF(V580&lt;&gt;1,0,IF(X580="",0,IF(COUNTIF($X$3:X579,X580)&gt;0,1,0)))</f>
        <v>0</v>
      </c>
      <c r="AA580">
        <f t="shared" si="58"/>
        <v>0</v>
      </c>
      <c r="AB580">
        <f t="shared" si="59"/>
        <v>0</v>
      </c>
      <c r="AC580">
        <f>IF(I580="",0,L580*IFERROR(INDEX(کاتالوگ_محصولات!$G$4:$G$303,MATCH(I580,کاتالوگ_محصولات!$A$4:$A$303,0)),0))</f>
        <v>0</v>
      </c>
      <c r="AD580">
        <f t="shared" si="56"/>
        <v>0</v>
      </c>
      <c r="AE580" t="str">
        <f t="shared" si="57"/>
        <v/>
      </c>
    </row>
    <row r="581" spans="22:31" ht="18" customHeight="1">
      <c r="V581">
        <f>IF(A581="",0,IF(COUNTIF($A$3:A581,A581)=1,1,0))</f>
        <v>0</v>
      </c>
      <c r="W581">
        <f t="shared" si="54"/>
        <v>0</v>
      </c>
      <c r="X581" t="str">
        <f t="shared" si="55"/>
        <v/>
      </c>
      <c r="Y581">
        <f>IF(X581="",0,IF(COUNTIF($X$3:X581,X581)=1,1,0))</f>
        <v>0</v>
      </c>
      <c r="Z581">
        <f>IF(V581&lt;&gt;1,0,IF(X581="",0,IF(COUNTIF($X$3:X580,X581)&gt;0,1,0)))</f>
        <v>0</v>
      </c>
      <c r="AA581">
        <f t="shared" si="58"/>
        <v>0</v>
      </c>
      <c r="AB581">
        <f t="shared" si="59"/>
        <v>0</v>
      </c>
      <c r="AC581">
        <f>IF(I581="",0,L581*IFERROR(INDEX(کاتالوگ_محصولات!$G$4:$G$303,MATCH(I581,کاتالوگ_محصولات!$A$4:$A$303,0)),0))</f>
        <v>0</v>
      </c>
      <c r="AD581">
        <f t="shared" si="56"/>
        <v>0</v>
      </c>
      <c r="AE581" t="str">
        <f t="shared" si="57"/>
        <v/>
      </c>
    </row>
    <row r="582" spans="22:31" ht="18" customHeight="1">
      <c r="V582">
        <f>IF(A582="",0,IF(COUNTIF($A$3:A582,A582)=1,1,0))</f>
        <v>0</v>
      </c>
      <c r="W582">
        <f t="shared" si="54"/>
        <v>0</v>
      </c>
      <c r="X582" t="str">
        <f t="shared" si="55"/>
        <v/>
      </c>
      <c r="Y582">
        <f>IF(X582="",0,IF(COUNTIF($X$3:X582,X582)=1,1,0))</f>
        <v>0</v>
      </c>
      <c r="Z582">
        <f>IF(V582&lt;&gt;1,0,IF(X582="",0,IF(COUNTIF($X$3:X581,X582)&gt;0,1,0)))</f>
        <v>0</v>
      </c>
      <c r="AA582">
        <f t="shared" si="58"/>
        <v>0</v>
      </c>
      <c r="AB582">
        <f t="shared" si="59"/>
        <v>0</v>
      </c>
      <c r="AC582">
        <f>IF(I582="",0,L582*IFERROR(INDEX(کاتالوگ_محصولات!$G$4:$G$303,MATCH(I582,کاتالوگ_محصولات!$A$4:$A$303,0)),0))</f>
        <v>0</v>
      </c>
      <c r="AD582">
        <f t="shared" si="56"/>
        <v>0</v>
      </c>
      <c r="AE582" t="str">
        <f t="shared" si="57"/>
        <v/>
      </c>
    </row>
    <row r="583" spans="22:31" ht="18" customHeight="1">
      <c r="V583">
        <f>IF(A583="",0,IF(COUNTIF($A$3:A583,A583)=1,1,0))</f>
        <v>0</v>
      </c>
      <c r="W583">
        <f t="shared" si="54"/>
        <v>0</v>
      </c>
      <c r="X583" t="str">
        <f t="shared" si="55"/>
        <v/>
      </c>
      <c r="Y583">
        <f>IF(X583="",0,IF(COUNTIF($X$3:X583,X583)=1,1,0))</f>
        <v>0</v>
      </c>
      <c r="Z583">
        <f>IF(V583&lt;&gt;1,0,IF(X583="",0,IF(COUNTIF($X$3:X582,X583)&gt;0,1,0)))</f>
        <v>0</v>
      </c>
      <c r="AA583">
        <f t="shared" si="58"/>
        <v>0</v>
      </c>
      <c r="AB583">
        <f t="shared" si="59"/>
        <v>0</v>
      </c>
      <c r="AC583">
        <f>IF(I583="",0,L583*IFERROR(INDEX(کاتالوگ_محصولات!$G$4:$G$303,MATCH(I583,کاتالوگ_محصولات!$A$4:$A$303,0)),0))</f>
        <v>0</v>
      </c>
      <c r="AD583">
        <f t="shared" si="56"/>
        <v>0</v>
      </c>
      <c r="AE583" t="str">
        <f t="shared" si="57"/>
        <v/>
      </c>
    </row>
    <row r="584" spans="22:31" ht="18" customHeight="1">
      <c r="V584">
        <f>IF(A584="",0,IF(COUNTIF($A$3:A584,A584)=1,1,0))</f>
        <v>0</v>
      </c>
      <c r="W584">
        <f t="shared" si="54"/>
        <v>0</v>
      </c>
      <c r="X584" t="str">
        <f t="shared" si="55"/>
        <v/>
      </c>
      <c r="Y584">
        <f>IF(X584="",0,IF(COUNTIF($X$3:X584,X584)=1,1,0))</f>
        <v>0</v>
      </c>
      <c r="Z584">
        <f>IF(V584&lt;&gt;1,0,IF(X584="",0,IF(COUNTIF($X$3:X583,X584)&gt;0,1,0)))</f>
        <v>0</v>
      </c>
      <c r="AA584">
        <f t="shared" si="58"/>
        <v>0</v>
      </c>
      <c r="AB584">
        <f t="shared" si="59"/>
        <v>0</v>
      </c>
      <c r="AC584">
        <f>IF(I584="",0,L584*IFERROR(INDEX(کاتالوگ_محصولات!$G$4:$G$303,MATCH(I584,کاتالوگ_محصولات!$A$4:$A$303,0)),0))</f>
        <v>0</v>
      </c>
      <c r="AD584">
        <f t="shared" si="56"/>
        <v>0</v>
      </c>
      <c r="AE584" t="str">
        <f t="shared" si="57"/>
        <v/>
      </c>
    </row>
    <row r="585" spans="22:31" ht="18" customHeight="1">
      <c r="V585">
        <f>IF(A585="",0,IF(COUNTIF($A$3:A585,A585)=1,1,0))</f>
        <v>0</v>
      </c>
      <c r="W585">
        <f t="shared" ref="W585:W648" si="60">IF(A585="",0,L585*M585)</f>
        <v>0</v>
      </c>
      <c r="X585" t="str">
        <f t="shared" ref="X585:X648" si="61">IF(R585&lt;&gt;"",R585,IF(AND(P585&lt;&gt;"",Q585&lt;&gt;""),P585&amp;"|"&amp;Q585,""))</f>
        <v/>
      </c>
      <c r="Y585">
        <f>IF(X585="",0,IF(COUNTIF($X$3:X585,X585)=1,1,0))</f>
        <v>0</v>
      </c>
      <c r="Z585">
        <f>IF(V585&lt;&gt;1,0,IF(X585="",0,IF(COUNTIF($X$3:X584,X585)&gt;0,1,0)))</f>
        <v>0</v>
      </c>
      <c r="AA585">
        <f t="shared" si="58"/>
        <v>0</v>
      </c>
      <c r="AB585">
        <f t="shared" si="59"/>
        <v>0</v>
      </c>
      <c r="AC585">
        <f>IF(I585="",0,L585*IFERROR(INDEX(کاتالوگ_محصولات!$G$4:$G$303,MATCH(I585,کاتالوگ_محصولات!$A$4:$A$303,0)),0))</f>
        <v>0</v>
      </c>
      <c r="AD585">
        <f t="shared" ref="AD585:AD648" si="62">IF(A585="",0,O585-AC585)</f>
        <v>0</v>
      </c>
      <c r="AE585" t="str">
        <f t="shared" ref="AE585:AE648" si="63">IF(B585="","",LEFT(B585,7))</f>
        <v/>
      </c>
    </row>
    <row r="586" spans="22:31" ht="18" customHeight="1">
      <c r="V586">
        <f>IF(A586="",0,IF(COUNTIF($A$3:A586,A586)=1,1,0))</f>
        <v>0</v>
      </c>
      <c r="W586">
        <f t="shared" si="60"/>
        <v>0</v>
      </c>
      <c r="X586" t="str">
        <f t="shared" si="61"/>
        <v/>
      </c>
      <c r="Y586">
        <f>IF(X586="",0,IF(COUNTIF($X$3:X586,X586)=1,1,0))</f>
        <v>0</v>
      </c>
      <c r="Z586">
        <f>IF(V586&lt;&gt;1,0,IF(X586="",0,IF(COUNTIF($X$3:X585,X586)&gt;0,1,0)))</f>
        <v>0</v>
      </c>
      <c r="AA586">
        <f t="shared" si="58"/>
        <v>0</v>
      </c>
      <c r="AB586">
        <f t="shared" si="59"/>
        <v>0</v>
      </c>
      <c r="AC586">
        <f>IF(I586="",0,L586*IFERROR(INDEX(کاتالوگ_محصولات!$G$4:$G$303,MATCH(I586,کاتالوگ_محصولات!$A$4:$A$303,0)),0))</f>
        <v>0</v>
      </c>
      <c r="AD586">
        <f t="shared" si="62"/>
        <v>0</v>
      </c>
      <c r="AE586" t="str">
        <f t="shared" si="63"/>
        <v/>
      </c>
    </row>
    <row r="587" spans="22:31" ht="18" customHeight="1">
      <c r="V587">
        <f>IF(A587="",0,IF(COUNTIF($A$3:A587,A587)=1,1,0))</f>
        <v>0</v>
      </c>
      <c r="W587">
        <f t="shared" si="60"/>
        <v>0</v>
      </c>
      <c r="X587" t="str">
        <f t="shared" si="61"/>
        <v/>
      </c>
      <c r="Y587">
        <f>IF(X587="",0,IF(COUNTIF($X$3:X587,X587)=1,1,0))</f>
        <v>0</v>
      </c>
      <c r="Z587">
        <f>IF(V587&lt;&gt;1,0,IF(X587="",0,IF(COUNTIF($X$3:X586,X587)&gt;0,1,0)))</f>
        <v>0</v>
      </c>
      <c r="AA587">
        <f t="shared" si="58"/>
        <v>0</v>
      </c>
      <c r="AB587">
        <f t="shared" si="59"/>
        <v>0</v>
      </c>
      <c r="AC587">
        <f>IF(I587="",0,L587*IFERROR(INDEX(کاتالوگ_محصولات!$G$4:$G$303,MATCH(I587,کاتالوگ_محصولات!$A$4:$A$303,0)),0))</f>
        <v>0</v>
      </c>
      <c r="AD587">
        <f t="shared" si="62"/>
        <v>0</v>
      </c>
      <c r="AE587" t="str">
        <f t="shared" si="63"/>
        <v/>
      </c>
    </row>
    <row r="588" spans="22:31" ht="18" customHeight="1">
      <c r="V588">
        <f>IF(A588="",0,IF(COUNTIF($A$3:A588,A588)=1,1,0))</f>
        <v>0</v>
      </c>
      <c r="W588">
        <f t="shared" si="60"/>
        <v>0</v>
      </c>
      <c r="X588" t="str">
        <f t="shared" si="61"/>
        <v/>
      </c>
      <c r="Y588">
        <f>IF(X588="",0,IF(COUNTIF($X$3:X588,X588)=1,1,0))</f>
        <v>0</v>
      </c>
      <c r="Z588">
        <f>IF(V588&lt;&gt;1,0,IF(X588="",0,IF(COUNTIF($X$3:X587,X588)&gt;0,1,0)))</f>
        <v>0</v>
      </c>
      <c r="AA588">
        <f t="shared" si="58"/>
        <v>0</v>
      </c>
      <c r="AB588">
        <f t="shared" si="59"/>
        <v>0</v>
      </c>
      <c r="AC588">
        <f>IF(I588="",0,L588*IFERROR(INDEX(کاتالوگ_محصولات!$G$4:$G$303,MATCH(I588,کاتالوگ_محصولات!$A$4:$A$303,0)),0))</f>
        <v>0</v>
      </c>
      <c r="AD588">
        <f t="shared" si="62"/>
        <v>0</v>
      </c>
      <c r="AE588" t="str">
        <f t="shared" si="63"/>
        <v/>
      </c>
    </row>
    <row r="589" spans="22:31" ht="18" customHeight="1">
      <c r="V589">
        <f>IF(A589="",0,IF(COUNTIF($A$3:A589,A589)=1,1,0))</f>
        <v>0</v>
      </c>
      <c r="W589">
        <f t="shared" si="60"/>
        <v>0</v>
      </c>
      <c r="X589" t="str">
        <f t="shared" si="61"/>
        <v/>
      </c>
      <c r="Y589">
        <f>IF(X589="",0,IF(COUNTIF($X$3:X589,X589)=1,1,0))</f>
        <v>0</v>
      </c>
      <c r="Z589">
        <f>IF(V589&lt;&gt;1,0,IF(X589="",0,IF(COUNTIF($X$3:X588,X589)&gt;0,1,0)))</f>
        <v>0</v>
      </c>
      <c r="AA589">
        <f t="shared" si="58"/>
        <v>0</v>
      </c>
      <c r="AB589">
        <f t="shared" si="59"/>
        <v>0</v>
      </c>
      <c r="AC589">
        <f>IF(I589="",0,L589*IFERROR(INDEX(کاتالوگ_محصولات!$G$4:$G$303,MATCH(I589,کاتالوگ_محصولات!$A$4:$A$303,0)),0))</f>
        <v>0</v>
      </c>
      <c r="AD589">
        <f t="shared" si="62"/>
        <v>0</v>
      </c>
      <c r="AE589" t="str">
        <f t="shared" si="63"/>
        <v/>
      </c>
    </row>
    <row r="590" spans="22:31" ht="18" customHeight="1">
      <c r="V590">
        <f>IF(A590="",0,IF(COUNTIF($A$3:A590,A590)=1,1,0))</f>
        <v>0</v>
      </c>
      <c r="W590">
        <f t="shared" si="60"/>
        <v>0</v>
      </c>
      <c r="X590" t="str">
        <f t="shared" si="61"/>
        <v/>
      </c>
      <c r="Y590">
        <f>IF(X590="",0,IF(COUNTIF($X$3:X590,X590)=1,1,0))</f>
        <v>0</v>
      </c>
      <c r="Z590">
        <f>IF(V590&lt;&gt;1,0,IF(X590="",0,IF(COUNTIF($X$3:X589,X590)&gt;0,1,0)))</f>
        <v>0</v>
      </c>
      <c r="AA590">
        <f t="shared" si="58"/>
        <v>0</v>
      </c>
      <c r="AB590">
        <f t="shared" si="59"/>
        <v>0</v>
      </c>
      <c r="AC590">
        <f>IF(I590="",0,L590*IFERROR(INDEX(کاتالوگ_محصولات!$G$4:$G$303,MATCH(I590,کاتالوگ_محصولات!$A$4:$A$303,0)),0))</f>
        <v>0</v>
      </c>
      <c r="AD590">
        <f t="shared" si="62"/>
        <v>0</v>
      </c>
      <c r="AE590" t="str">
        <f t="shared" si="63"/>
        <v/>
      </c>
    </row>
    <row r="591" spans="22:31" ht="18" customHeight="1">
      <c r="V591">
        <f>IF(A591="",0,IF(COUNTIF($A$3:A591,A591)=1,1,0))</f>
        <v>0</v>
      </c>
      <c r="W591">
        <f t="shared" si="60"/>
        <v>0</v>
      </c>
      <c r="X591" t="str">
        <f t="shared" si="61"/>
        <v/>
      </c>
      <c r="Y591">
        <f>IF(X591="",0,IF(COUNTIF($X$3:X591,X591)=1,1,0))</f>
        <v>0</v>
      </c>
      <c r="Z591">
        <f>IF(V591&lt;&gt;1,0,IF(X591="",0,IF(COUNTIF($X$3:X590,X591)&gt;0,1,0)))</f>
        <v>0</v>
      </c>
      <c r="AA591">
        <f t="shared" si="58"/>
        <v>0</v>
      </c>
      <c r="AB591">
        <f t="shared" si="59"/>
        <v>0</v>
      </c>
      <c r="AC591">
        <f>IF(I591="",0,L591*IFERROR(INDEX(کاتالوگ_محصولات!$G$4:$G$303,MATCH(I591,کاتالوگ_محصولات!$A$4:$A$303,0)),0))</f>
        <v>0</v>
      </c>
      <c r="AD591">
        <f t="shared" si="62"/>
        <v>0</v>
      </c>
      <c r="AE591" t="str">
        <f t="shared" si="63"/>
        <v/>
      </c>
    </row>
    <row r="592" spans="22:31" ht="18" customHeight="1">
      <c r="V592">
        <f>IF(A592="",0,IF(COUNTIF($A$3:A592,A592)=1,1,0))</f>
        <v>0</v>
      </c>
      <c r="W592">
        <f t="shared" si="60"/>
        <v>0</v>
      </c>
      <c r="X592" t="str">
        <f t="shared" si="61"/>
        <v/>
      </c>
      <c r="Y592">
        <f>IF(X592="",0,IF(COUNTIF($X$3:X592,X592)=1,1,0))</f>
        <v>0</v>
      </c>
      <c r="Z592">
        <f>IF(V592&lt;&gt;1,0,IF(X592="",0,IF(COUNTIF($X$3:X591,X592)&gt;0,1,0)))</f>
        <v>0</v>
      </c>
      <c r="AA592">
        <f t="shared" si="58"/>
        <v>0</v>
      </c>
      <c r="AB592">
        <f t="shared" si="59"/>
        <v>0</v>
      </c>
      <c r="AC592">
        <f>IF(I592="",0,L592*IFERROR(INDEX(کاتالوگ_محصولات!$G$4:$G$303,MATCH(I592,کاتالوگ_محصولات!$A$4:$A$303,0)),0))</f>
        <v>0</v>
      </c>
      <c r="AD592">
        <f t="shared" si="62"/>
        <v>0</v>
      </c>
      <c r="AE592" t="str">
        <f t="shared" si="63"/>
        <v/>
      </c>
    </row>
    <row r="593" spans="22:31" ht="18" customHeight="1">
      <c r="V593">
        <f>IF(A593="",0,IF(COUNTIF($A$3:A593,A593)=1,1,0))</f>
        <v>0</v>
      </c>
      <c r="W593">
        <f t="shared" si="60"/>
        <v>0</v>
      </c>
      <c r="X593" t="str">
        <f t="shared" si="61"/>
        <v/>
      </c>
      <c r="Y593">
        <f>IF(X593="",0,IF(COUNTIF($X$3:X593,X593)=1,1,0))</f>
        <v>0</v>
      </c>
      <c r="Z593">
        <f>IF(V593&lt;&gt;1,0,IF(X593="",0,IF(COUNTIF($X$3:X592,X593)&gt;0,1,0)))</f>
        <v>0</v>
      </c>
      <c r="AA593">
        <f t="shared" si="58"/>
        <v>0</v>
      </c>
      <c r="AB593">
        <f t="shared" si="59"/>
        <v>0</v>
      </c>
      <c r="AC593">
        <f>IF(I593="",0,L593*IFERROR(INDEX(کاتالوگ_محصولات!$G$4:$G$303,MATCH(I593,کاتالوگ_محصولات!$A$4:$A$303,0)),0))</f>
        <v>0</v>
      </c>
      <c r="AD593">
        <f t="shared" si="62"/>
        <v>0</v>
      </c>
      <c r="AE593" t="str">
        <f t="shared" si="63"/>
        <v/>
      </c>
    </row>
    <row r="594" spans="22:31" ht="18" customHeight="1">
      <c r="V594">
        <f>IF(A594="",0,IF(COUNTIF($A$3:A594,A594)=1,1,0))</f>
        <v>0</v>
      </c>
      <c r="W594">
        <f t="shared" si="60"/>
        <v>0</v>
      </c>
      <c r="X594" t="str">
        <f t="shared" si="61"/>
        <v/>
      </c>
      <c r="Y594">
        <f>IF(X594="",0,IF(COUNTIF($X$3:X594,X594)=1,1,0))</f>
        <v>0</v>
      </c>
      <c r="Z594">
        <f>IF(V594&lt;&gt;1,0,IF(X594="",0,IF(COUNTIF($X$3:X593,X594)&gt;0,1,0)))</f>
        <v>0</v>
      </c>
      <c r="AA594">
        <f t="shared" si="58"/>
        <v>0</v>
      </c>
      <c r="AB594">
        <f t="shared" si="59"/>
        <v>0</v>
      </c>
      <c r="AC594">
        <f>IF(I594="",0,L594*IFERROR(INDEX(کاتالوگ_محصولات!$G$4:$G$303,MATCH(I594,کاتالوگ_محصولات!$A$4:$A$303,0)),0))</f>
        <v>0</v>
      </c>
      <c r="AD594">
        <f t="shared" si="62"/>
        <v>0</v>
      </c>
      <c r="AE594" t="str">
        <f t="shared" si="63"/>
        <v/>
      </c>
    </row>
    <row r="595" spans="22:31" ht="18" customHeight="1">
      <c r="V595">
        <f>IF(A595="",0,IF(COUNTIF($A$3:A595,A595)=1,1,0))</f>
        <v>0</v>
      </c>
      <c r="W595">
        <f t="shared" si="60"/>
        <v>0</v>
      </c>
      <c r="X595" t="str">
        <f t="shared" si="61"/>
        <v/>
      </c>
      <c r="Y595">
        <f>IF(X595="",0,IF(COUNTIF($X$3:X595,X595)=1,1,0))</f>
        <v>0</v>
      </c>
      <c r="Z595">
        <f>IF(V595&lt;&gt;1,0,IF(X595="",0,IF(COUNTIF($X$3:X594,X595)&gt;0,1,0)))</f>
        <v>0</v>
      </c>
      <c r="AA595">
        <f t="shared" si="58"/>
        <v>0</v>
      </c>
      <c r="AB595">
        <f t="shared" si="59"/>
        <v>0</v>
      </c>
      <c r="AC595">
        <f>IF(I595="",0,L595*IFERROR(INDEX(کاتالوگ_محصولات!$G$4:$G$303,MATCH(I595,کاتالوگ_محصولات!$A$4:$A$303,0)),0))</f>
        <v>0</v>
      </c>
      <c r="AD595">
        <f t="shared" si="62"/>
        <v>0</v>
      </c>
      <c r="AE595" t="str">
        <f t="shared" si="63"/>
        <v/>
      </c>
    </row>
    <row r="596" spans="22:31" ht="18" customHeight="1">
      <c r="V596">
        <f>IF(A596="",0,IF(COUNTIF($A$3:A596,A596)=1,1,0))</f>
        <v>0</v>
      </c>
      <c r="W596">
        <f t="shared" si="60"/>
        <v>0</v>
      </c>
      <c r="X596" t="str">
        <f t="shared" si="61"/>
        <v/>
      </c>
      <c r="Y596">
        <f>IF(X596="",0,IF(COUNTIF($X$3:X596,X596)=1,1,0))</f>
        <v>0</v>
      </c>
      <c r="Z596">
        <f>IF(V596&lt;&gt;1,0,IF(X596="",0,IF(COUNTIF($X$3:X595,X596)&gt;0,1,0)))</f>
        <v>0</v>
      </c>
      <c r="AA596">
        <f t="shared" si="58"/>
        <v>0</v>
      </c>
      <c r="AB596">
        <f t="shared" si="59"/>
        <v>0</v>
      </c>
      <c r="AC596">
        <f>IF(I596="",0,L596*IFERROR(INDEX(کاتالوگ_محصولات!$G$4:$G$303,MATCH(I596,کاتالوگ_محصولات!$A$4:$A$303,0)),0))</f>
        <v>0</v>
      </c>
      <c r="AD596">
        <f t="shared" si="62"/>
        <v>0</v>
      </c>
      <c r="AE596" t="str">
        <f t="shared" si="63"/>
        <v/>
      </c>
    </row>
    <row r="597" spans="22:31" ht="18" customHeight="1">
      <c r="V597">
        <f>IF(A597="",0,IF(COUNTIF($A$3:A597,A597)=1,1,0))</f>
        <v>0</v>
      </c>
      <c r="W597">
        <f t="shared" si="60"/>
        <v>0</v>
      </c>
      <c r="X597" t="str">
        <f t="shared" si="61"/>
        <v/>
      </c>
      <c r="Y597">
        <f>IF(X597="",0,IF(COUNTIF($X$3:X597,X597)=1,1,0))</f>
        <v>0</v>
      </c>
      <c r="Z597">
        <f>IF(V597&lt;&gt;1,0,IF(X597="",0,IF(COUNTIF($X$3:X596,X597)&gt;0,1,0)))</f>
        <v>0</v>
      </c>
      <c r="AA597">
        <f t="shared" si="58"/>
        <v>0</v>
      </c>
      <c r="AB597">
        <f t="shared" si="59"/>
        <v>0</v>
      </c>
      <c r="AC597">
        <f>IF(I597="",0,L597*IFERROR(INDEX(کاتالوگ_محصولات!$G$4:$G$303,MATCH(I597,کاتالوگ_محصولات!$A$4:$A$303,0)),0))</f>
        <v>0</v>
      </c>
      <c r="AD597">
        <f t="shared" si="62"/>
        <v>0</v>
      </c>
      <c r="AE597" t="str">
        <f t="shared" si="63"/>
        <v/>
      </c>
    </row>
    <row r="598" spans="22:31" ht="18" customHeight="1">
      <c r="V598">
        <f>IF(A598="",0,IF(COUNTIF($A$3:A598,A598)=1,1,0))</f>
        <v>0</v>
      </c>
      <c r="W598">
        <f t="shared" si="60"/>
        <v>0</v>
      </c>
      <c r="X598" t="str">
        <f t="shared" si="61"/>
        <v/>
      </c>
      <c r="Y598">
        <f>IF(X598="",0,IF(COUNTIF($X$3:X598,X598)=1,1,0))</f>
        <v>0</v>
      </c>
      <c r="Z598">
        <f>IF(V598&lt;&gt;1,0,IF(X598="",0,IF(COUNTIF($X$3:X597,X598)&gt;0,1,0)))</f>
        <v>0</v>
      </c>
      <c r="AA598">
        <f t="shared" si="58"/>
        <v>0</v>
      </c>
      <c r="AB598">
        <f t="shared" si="59"/>
        <v>0</v>
      </c>
      <c r="AC598">
        <f>IF(I598="",0,L598*IFERROR(INDEX(کاتالوگ_محصولات!$G$4:$G$303,MATCH(I598,کاتالوگ_محصولات!$A$4:$A$303,0)),0))</f>
        <v>0</v>
      </c>
      <c r="AD598">
        <f t="shared" si="62"/>
        <v>0</v>
      </c>
      <c r="AE598" t="str">
        <f t="shared" si="63"/>
        <v/>
      </c>
    </row>
    <row r="599" spans="22:31" ht="18" customHeight="1">
      <c r="V599">
        <f>IF(A599="",0,IF(COUNTIF($A$3:A599,A599)=1,1,0))</f>
        <v>0</v>
      </c>
      <c r="W599">
        <f t="shared" si="60"/>
        <v>0</v>
      </c>
      <c r="X599" t="str">
        <f t="shared" si="61"/>
        <v/>
      </c>
      <c r="Y599">
        <f>IF(X599="",0,IF(COUNTIF($X$3:X599,X599)=1,1,0))</f>
        <v>0</v>
      </c>
      <c r="Z599">
        <f>IF(V599&lt;&gt;1,0,IF(X599="",0,IF(COUNTIF($X$3:X598,X599)&gt;0,1,0)))</f>
        <v>0</v>
      </c>
      <c r="AA599">
        <f t="shared" si="58"/>
        <v>0</v>
      </c>
      <c r="AB599">
        <f t="shared" si="59"/>
        <v>0</v>
      </c>
      <c r="AC599">
        <f>IF(I599="",0,L599*IFERROR(INDEX(کاتالوگ_محصولات!$G$4:$G$303,MATCH(I599,کاتالوگ_محصولات!$A$4:$A$303,0)),0))</f>
        <v>0</v>
      </c>
      <c r="AD599">
        <f t="shared" si="62"/>
        <v>0</v>
      </c>
      <c r="AE599" t="str">
        <f t="shared" si="63"/>
        <v/>
      </c>
    </row>
    <row r="600" spans="22:31" ht="18" customHeight="1">
      <c r="V600">
        <f>IF(A600="",0,IF(COUNTIF($A$3:A600,A600)=1,1,0))</f>
        <v>0</v>
      </c>
      <c r="W600">
        <f t="shared" si="60"/>
        <v>0</v>
      </c>
      <c r="X600" t="str">
        <f t="shared" si="61"/>
        <v/>
      </c>
      <c r="Y600">
        <f>IF(X600="",0,IF(COUNTIF($X$3:X600,X600)=1,1,0))</f>
        <v>0</v>
      </c>
      <c r="Z600">
        <f>IF(V600&lt;&gt;1,0,IF(X600="",0,IF(COUNTIF($X$3:X599,X600)&gt;0,1,0)))</f>
        <v>0</v>
      </c>
      <c r="AA600">
        <f t="shared" si="58"/>
        <v>0</v>
      </c>
      <c r="AB600">
        <f t="shared" si="59"/>
        <v>0</v>
      </c>
      <c r="AC600">
        <f>IF(I600="",0,L600*IFERROR(INDEX(کاتالوگ_محصولات!$G$4:$G$303,MATCH(I600,کاتالوگ_محصولات!$A$4:$A$303,0)),0))</f>
        <v>0</v>
      </c>
      <c r="AD600">
        <f t="shared" si="62"/>
        <v>0</v>
      </c>
      <c r="AE600" t="str">
        <f t="shared" si="63"/>
        <v/>
      </c>
    </row>
    <row r="601" spans="22:31" ht="18" customHeight="1">
      <c r="V601">
        <f>IF(A601="",0,IF(COUNTIF($A$3:A601,A601)=1,1,0))</f>
        <v>0</v>
      </c>
      <c r="W601">
        <f t="shared" si="60"/>
        <v>0</v>
      </c>
      <c r="X601" t="str">
        <f t="shared" si="61"/>
        <v/>
      </c>
      <c r="Y601">
        <f>IF(X601="",0,IF(COUNTIF($X$3:X601,X601)=1,1,0))</f>
        <v>0</v>
      </c>
      <c r="Z601">
        <f>IF(V601&lt;&gt;1,0,IF(X601="",0,IF(COUNTIF($X$3:X600,X601)&gt;0,1,0)))</f>
        <v>0</v>
      </c>
      <c r="AA601">
        <f t="shared" si="58"/>
        <v>0</v>
      </c>
      <c r="AB601">
        <f t="shared" si="59"/>
        <v>0</v>
      </c>
      <c r="AC601">
        <f>IF(I601="",0,L601*IFERROR(INDEX(کاتالوگ_محصولات!$G$4:$G$303,MATCH(I601,کاتالوگ_محصولات!$A$4:$A$303,0)),0))</f>
        <v>0</v>
      </c>
      <c r="AD601">
        <f t="shared" si="62"/>
        <v>0</v>
      </c>
      <c r="AE601" t="str">
        <f t="shared" si="63"/>
        <v/>
      </c>
    </row>
    <row r="602" spans="22:31" ht="18" customHeight="1">
      <c r="V602">
        <f>IF(A602="",0,IF(COUNTIF($A$3:A602,A602)=1,1,0))</f>
        <v>0</v>
      </c>
      <c r="W602">
        <f t="shared" si="60"/>
        <v>0</v>
      </c>
      <c r="X602" t="str">
        <f t="shared" si="61"/>
        <v/>
      </c>
      <c r="Y602">
        <f>IF(X602="",0,IF(COUNTIF($X$3:X602,X602)=1,1,0))</f>
        <v>0</v>
      </c>
      <c r="Z602">
        <f>IF(V602&lt;&gt;1,0,IF(X602="",0,IF(COUNTIF($X$3:X601,X602)&gt;0,1,0)))</f>
        <v>0</v>
      </c>
      <c r="AA602">
        <f t="shared" si="58"/>
        <v>0</v>
      </c>
      <c r="AB602">
        <f t="shared" si="59"/>
        <v>0</v>
      </c>
      <c r="AC602">
        <f>IF(I602="",0,L602*IFERROR(INDEX(کاتالوگ_محصولات!$G$4:$G$303,MATCH(I602,کاتالوگ_محصولات!$A$4:$A$303,0)),0))</f>
        <v>0</v>
      </c>
      <c r="AD602">
        <f t="shared" si="62"/>
        <v>0</v>
      </c>
      <c r="AE602" t="str">
        <f t="shared" si="63"/>
        <v/>
      </c>
    </row>
    <row r="603" spans="22:31" ht="18" customHeight="1">
      <c r="V603">
        <f>IF(A603="",0,IF(COUNTIF($A$3:A603,A603)=1,1,0))</f>
        <v>0</v>
      </c>
      <c r="W603">
        <f t="shared" si="60"/>
        <v>0</v>
      </c>
      <c r="X603" t="str">
        <f t="shared" si="61"/>
        <v/>
      </c>
      <c r="Y603">
        <f>IF(X603="",0,IF(COUNTIF($X$3:X603,X603)=1,1,0))</f>
        <v>0</v>
      </c>
      <c r="Z603">
        <f>IF(V603&lt;&gt;1,0,IF(X603="",0,IF(COUNTIF($X$3:X602,X603)&gt;0,1,0)))</f>
        <v>0</v>
      </c>
      <c r="AA603">
        <f t="shared" si="58"/>
        <v>0</v>
      </c>
      <c r="AB603">
        <f t="shared" si="59"/>
        <v>0</v>
      </c>
      <c r="AC603">
        <f>IF(I603="",0,L603*IFERROR(INDEX(کاتالوگ_محصولات!$G$4:$G$303,MATCH(I603,کاتالوگ_محصولات!$A$4:$A$303,0)),0))</f>
        <v>0</v>
      </c>
      <c r="AD603">
        <f t="shared" si="62"/>
        <v>0</v>
      </c>
      <c r="AE603" t="str">
        <f t="shared" si="63"/>
        <v/>
      </c>
    </row>
    <row r="604" spans="22:31" ht="18" customHeight="1">
      <c r="V604">
        <f>IF(A604="",0,IF(COUNTIF($A$3:A604,A604)=1,1,0))</f>
        <v>0</v>
      </c>
      <c r="W604">
        <f t="shared" si="60"/>
        <v>0</v>
      </c>
      <c r="X604" t="str">
        <f t="shared" si="61"/>
        <v/>
      </c>
      <c r="Y604">
        <f>IF(X604="",0,IF(COUNTIF($X$3:X604,X604)=1,1,0))</f>
        <v>0</v>
      </c>
      <c r="Z604">
        <f>IF(V604&lt;&gt;1,0,IF(X604="",0,IF(COUNTIF($X$3:X603,X604)&gt;0,1,0)))</f>
        <v>0</v>
      </c>
      <c r="AA604">
        <f t="shared" si="58"/>
        <v>0</v>
      </c>
      <c r="AB604">
        <f t="shared" si="59"/>
        <v>0</v>
      </c>
      <c r="AC604">
        <f>IF(I604="",0,L604*IFERROR(INDEX(کاتالوگ_محصولات!$G$4:$G$303,MATCH(I604,کاتالوگ_محصولات!$A$4:$A$303,0)),0))</f>
        <v>0</v>
      </c>
      <c r="AD604">
        <f t="shared" si="62"/>
        <v>0</v>
      </c>
      <c r="AE604" t="str">
        <f t="shared" si="63"/>
        <v/>
      </c>
    </row>
    <row r="605" spans="22:31" ht="18" customHeight="1">
      <c r="V605">
        <f>IF(A605="",0,IF(COUNTIF($A$3:A605,A605)=1,1,0))</f>
        <v>0</v>
      </c>
      <c r="W605">
        <f t="shared" si="60"/>
        <v>0</v>
      </c>
      <c r="X605" t="str">
        <f t="shared" si="61"/>
        <v/>
      </c>
      <c r="Y605">
        <f>IF(X605="",0,IF(COUNTIF($X$3:X605,X605)=1,1,0))</f>
        <v>0</v>
      </c>
      <c r="Z605">
        <f>IF(V605&lt;&gt;1,0,IF(X605="",0,IF(COUNTIF($X$3:X604,X605)&gt;0,1,0)))</f>
        <v>0</v>
      </c>
      <c r="AA605">
        <f t="shared" si="58"/>
        <v>0</v>
      </c>
      <c r="AB605">
        <f t="shared" si="59"/>
        <v>0</v>
      </c>
      <c r="AC605">
        <f>IF(I605="",0,L605*IFERROR(INDEX(کاتالوگ_محصولات!$G$4:$G$303,MATCH(I605,کاتالوگ_محصولات!$A$4:$A$303,0)),0))</f>
        <v>0</v>
      </c>
      <c r="AD605">
        <f t="shared" si="62"/>
        <v>0</v>
      </c>
      <c r="AE605" t="str">
        <f t="shared" si="63"/>
        <v/>
      </c>
    </row>
    <row r="606" spans="22:31" ht="18" customHeight="1">
      <c r="V606">
        <f>IF(A606="",0,IF(COUNTIF($A$3:A606,A606)=1,1,0))</f>
        <v>0</v>
      </c>
      <c r="W606">
        <f t="shared" si="60"/>
        <v>0</v>
      </c>
      <c r="X606" t="str">
        <f t="shared" si="61"/>
        <v/>
      </c>
      <c r="Y606">
        <f>IF(X606="",0,IF(COUNTIF($X$3:X606,X606)=1,1,0))</f>
        <v>0</v>
      </c>
      <c r="Z606">
        <f>IF(V606&lt;&gt;1,0,IF(X606="",0,IF(COUNTIF($X$3:X605,X606)&gt;0,1,0)))</f>
        <v>0</v>
      </c>
      <c r="AA606">
        <f t="shared" si="58"/>
        <v>0</v>
      </c>
      <c r="AB606">
        <f t="shared" si="59"/>
        <v>0</v>
      </c>
      <c r="AC606">
        <f>IF(I606="",0,L606*IFERROR(INDEX(کاتالوگ_محصولات!$G$4:$G$303,MATCH(I606,کاتالوگ_محصولات!$A$4:$A$303,0)),0))</f>
        <v>0</v>
      </c>
      <c r="AD606">
        <f t="shared" si="62"/>
        <v>0</v>
      </c>
      <c r="AE606" t="str">
        <f t="shared" si="63"/>
        <v/>
      </c>
    </row>
    <row r="607" spans="22:31" ht="18" customHeight="1">
      <c r="V607">
        <f>IF(A607="",0,IF(COUNTIF($A$3:A607,A607)=1,1,0))</f>
        <v>0</v>
      </c>
      <c r="W607">
        <f t="shared" si="60"/>
        <v>0</v>
      </c>
      <c r="X607" t="str">
        <f t="shared" si="61"/>
        <v/>
      </c>
      <c r="Y607">
        <f>IF(X607="",0,IF(COUNTIF($X$3:X607,X607)=1,1,0))</f>
        <v>0</v>
      </c>
      <c r="Z607">
        <f>IF(V607&lt;&gt;1,0,IF(X607="",0,IF(COUNTIF($X$3:X606,X607)&gt;0,1,0)))</f>
        <v>0</v>
      </c>
      <c r="AA607">
        <f t="shared" si="58"/>
        <v>0</v>
      </c>
      <c r="AB607">
        <f t="shared" si="59"/>
        <v>0</v>
      </c>
      <c r="AC607">
        <f>IF(I607="",0,L607*IFERROR(INDEX(کاتالوگ_محصولات!$G$4:$G$303,MATCH(I607,کاتالوگ_محصولات!$A$4:$A$303,0)),0))</f>
        <v>0</v>
      </c>
      <c r="AD607">
        <f t="shared" si="62"/>
        <v>0</v>
      </c>
      <c r="AE607" t="str">
        <f t="shared" si="63"/>
        <v/>
      </c>
    </row>
    <row r="608" spans="22:31" ht="18" customHeight="1">
      <c r="V608">
        <f>IF(A608="",0,IF(COUNTIF($A$3:A608,A608)=1,1,0))</f>
        <v>0</v>
      </c>
      <c r="W608">
        <f t="shared" si="60"/>
        <v>0</v>
      </c>
      <c r="X608" t="str">
        <f t="shared" si="61"/>
        <v/>
      </c>
      <c r="Y608">
        <f>IF(X608="",0,IF(COUNTIF($X$3:X608,X608)=1,1,0))</f>
        <v>0</v>
      </c>
      <c r="Z608">
        <f>IF(V608&lt;&gt;1,0,IF(X608="",0,IF(COUNTIF($X$3:X607,X608)&gt;0,1,0)))</f>
        <v>0</v>
      </c>
      <c r="AA608">
        <f t="shared" si="58"/>
        <v>0</v>
      </c>
      <c r="AB608">
        <f t="shared" si="59"/>
        <v>0</v>
      </c>
      <c r="AC608">
        <f>IF(I608="",0,L608*IFERROR(INDEX(کاتالوگ_محصولات!$G$4:$G$303,MATCH(I608,کاتالوگ_محصولات!$A$4:$A$303,0)),0))</f>
        <v>0</v>
      </c>
      <c r="AD608">
        <f t="shared" si="62"/>
        <v>0</v>
      </c>
      <c r="AE608" t="str">
        <f t="shared" si="63"/>
        <v/>
      </c>
    </row>
    <row r="609" spans="22:31" ht="18" customHeight="1">
      <c r="V609">
        <f>IF(A609="",0,IF(COUNTIF($A$3:A609,A609)=1,1,0))</f>
        <v>0</v>
      </c>
      <c r="W609">
        <f t="shared" si="60"/>
        <v>0</v>
      </c>
      <c r="X609" t="str">
        <f t="shared" si="61"/>
        <v/>
      </c>
      <c r="Y609">
        <f>IF(X609="",0,IF(COUNTIF($X$3:X609,X609)=1,1,0))</f>
        <v>0</v>
      </c>
      <c r="Z609">
        <f>IF(V609&lt;&gt;1,0,IF(X609="",0,IF(COUNTIF($X$3:X608,X609)&gt;0,1,0)))</f>
        <v>0</v>
      </c>
      <c r="AA609">
        <f t="shared" si="58"/>
        <v>0</v>
      </c>
      <c r="AB609">
        <f t="shared" si="59"/>
        <v>0</v>
      </c>
      <c r="AC609">
        <f>IF(I609="",0,L609*IFERROR(INDEX(کاتالوگ_محصولات!$G$4:$G$303,MATCH(I609,کاتالوگ_محصولات!$A$4:$A$303,0)),0))</f>
        <v>0</v>
      </c>
      <c r="AD609">
        <f t="shared" si="62"/>
        <v>0</v>
      </c>
      <c r="AE609" t="str">
        <f t="shared" si="63"/>
        <v/>
      </c>
    </row>
    <row r="610" spans="22:31" ht="18" customHeight="1">
      <c r="V610">
        <f>IF(A610="",0,IF(COUNTIF($A$3:A610,A610)=1,1,0))</f>
        <v>0</v>
      </c>
      <c r="W610">
        <f t="shared" si="60"/>
        <v>0</v>
      </c>
      <c r="X610" t="str">
        <f t="shared" si="61"/>
        <v/>
      </c>
      <c r="Y610">
        <f>IF(X610="",0,IF(COUNTIF($X$3:X610,X610)=1,1,0))</f>
        <v>0</v>
      </c>
      <c r="Z610">
        <f>IF(V610&lt;&gt;1,0,IF(X610="",0,IF(COUNTIF($X$3:X609,X610)&gt;0,1,0)))</f>
        <v>0</v>
      </c>
      <c r="AA610">
        <f t="shared" si="58"/>
        <v>0</v>
      </c>
      <c r="AB610">
        <f t="shared" si="59"/>
        <v>0</v>
      </c>
      <c r="AC610">
        <f>IF(I610="",0,L610*IFERROR(INDEX(کاتالوگ_محصولات!$G$4:$G$303,MATCH(I610,کاتالوگ_محصولات!$A$4:$A$303,0)),0))</f>
        <v>0</v>
      </c>
      <c r="AD610">
        <f t="shared" si="62"/>
        <v>0</v>
      </c>
      <c r="AE610" t="str">
        <f t="shared" si="63"/>
        <v/>
      </c>
    </row>
    <row r="611" spans="22:31" ht="18" customHeight="1">
      <c r="V611">
        <f>IF(A611="",0,IF(COUNTIF($A$3:A611,A611)=1,1,0))</f>
        <v>0</v>
      </c>
      <c r="W611">
        <f t="shared" si="60"/>
        <v>0</v>
      </c>
      <c r="X611" t="str">
        <f t="shared" si="61"/>
        <v/>
      </c>
      <c r="Y611">
        <f>IF(X611="",0,IF(COUNTIF($X$3:X611,X611)=1,1,0))</f>
        <v>0</v>
      </c>
      <c r="Z611">
        <f>IF(V611&lt;&gt;1,0,IF(X611="",0,IF(COUNTIF($X$3:X610,X611)&gt;0,1,0)))</f>
        <v>0</v>
      </c>
      <c r="AA611">
        <f t="shared" si="58"/>
        <v>0</v>
      </c>
      <c r="AB611">
        <f t="shared" si="59"/>
        <v>0</v>
      </c>
      <c r="AC611">
        <f>IF(I611="",0,L611*IFERROR(INDEX(کاتالوگ_محصولات!$G$4:$G$303,MATCH(I611,کاتالوگ_محصولات!$A$4:$A$303,0)),0))</f>
        <v>0</v>
      </c>
      <c r="AD611">
        <f t="shared" si="62"/>
        <v>0</v>
      </c>
      <c r="AE611" t="str">
        <f t="shared" si="63"/>
        <v/>
      </c>
    </row>
    <row r="612" spans="22:31" ht="18" customHeight="1">
      <c r="V612">
        <f>IF(A612="",0,IF(COUNTIF($A$3:A612,A612)=1,1,0))</f>
        <v>0</v>
      </c>
      <c r="W612">
        <f t="shared" si="60"/>
        <v>0</v>
      </c>
      <c r="X612" t="str">
        <f t="shared" si="61"/>
        <v/>
      </c>
      <c r="Y612">
        <f>IF(X612="",0,IF(COUNTIF($X$3:X612,X612)=1,1,0))</f>
        <v>0</v>
      </c>
      <c r="Z612">
        <f>IF(V612&lt;&gt;1,0,IF(X612="",0,IF(COUNTIF($X$3:X611,X612)&gt;0,1,0)))</f>
        <v>0</v>
      </c>
      <c r="AA612">
        <f t="shared" si="58"/>
        <v>0</v>
      </c>
      <c r="AB612">
        <f t="shared" si="59"/>
        <v>0</v>
      </c>
      <c r="AC612">
        <f>IF(I612="",0,L612*IFERROR(INDEX(کاتالوگ_محصولات!$G$4:$G$303,MATCH(I612,کاتالوگ_محصولات!$A$4:$A$303,0)),0))</f>
        <v>0</v>
      </c>
      <c r="AD612">
        <f t="shared" si="62"/>
        <v>0</v>
      </c>
      <c r="AE612" t="str">
        <f t="shared" si="63"/>
        <v/>
      </c>
    </row>
    <row r="613" spans="22:31" ht="18" customHeight="1">
      <c r="V613">
        <f>IF(A613="",0,IF(COUNTIF($A$3:A613,A613)=1,1,0))</f>
        <v>0</v>
      </c>
      <c r="W613">
        <f t="shared" si="60"/>
        <v>0</v>
      </c>
      <c r="X613" t="str">
        <f t="shared" si="61"/>
        <v/>
      </c>
      <c r="Y613">
        <f>IF(X613="",0,IF(COUNTIF($X$3:X613,X613)=1,1,0))</f>
        <v>0</v>
      </c>
      <c r="Z613">
        <f>IF(V613&lt;&gt;1,0,IF(X613="",0,IF(COUNTIF($X$3:X612,X613)&gt;0,1,0)))</f>
        <v>0</v>
      </c>
      <c r="AA613">
        <f t="shared" si="58"/>
        <v>0</v>
      </c>
      <c r="AB613">
        <f t="shared" si="59"/>
        <v>0</v>
      </c>
      <c r="AC613">
        <f>IF(I613="",0,L613*IFERROR(INDEX(کاتالوگ_محصولات!$G$4:$G$303,MATCH(I613,کاتالوگ_محصولات!$A$4:$A$303,0)),0))</f>
        <v>0</v>
      </c>
      <c r="AD613">
        <f t="shared" si="62"/>
        <v>0</v>
      </c>
      <c r="AE613" t="str">
        <f t="shared" si="63"/>
        <v/>
      </c>
    </row>
    <row r="614" spans="22:31" ht="18" customHeight="1">
      <c r="V614">
        <f>IF(A614="",0,IF(COUNTIF($A$3:A614,A614)=1,1,0))</f>
        <v>0</v>
      </c>
      <c r="W614">
        <f t="shared" si="60"/>
        <v>0</v>
      </c>
      <c r="X614" t="str">
        <f t="shared" si="61"/>
        <v/>
      </c>
      <c r="Y614">
        <f>IF(X614="",0,IF(COUNTIF($X$3:X614,X614)=1,1,0))</f>
        <v>0</v>
      </c>
      <c r="Z614">
        <f>IF(V614&lt;&gt;1,0,IF(X614="",0,IF(COUNTIF($X$3:X613,X614)&gt;0,1,0)))</f>
        <v>0</v>
      </c>
      <c r="AA614">
        <f t="shared" si="58"/>
        <v>0</v>
      </c>
      <c r="AB614">
        <f t="shared" si="59"/>
        <v>0</v>
      </c>
      <c r="AC614">
        <f>IF(I614="",0,L614*IFERROR(INDEX(کاتالوگ_محصولات!$G$4:$G$303,MATCH(I614,کاتالوگ_محصولات!$A$4:$A$303,0)),0))</f>
        <v>0</v>
      </c>
      <c r="AD614">
        <f t="shared" si="62"/>
        <v>0</v>
      </c>
      <c r="AE614" t="str">
        <f t="shared" si="63"/>
        <v/>
      </c>
    </row>
    <row r="615" spans="22:31" ht="18" customHeight="1">
      <c r="V615">
        <f>IF(A615="",0,IF(COUNTIF($A$3:A615,A615)=1,1,0))</f>
        <v>0</v>
      </c>
      <c r="W615">
        <f t="shared" si="60"/>
        <v>0</v>
      </c>
      <c r="X615" t="str">
        <f t="shared" si="61"/>
        <v/>
      </c>
      <c r="Y615">
        <f>IF(X615="",0,IF(COUNTIF($X$3:X615,X615)=1,1,0))</f>
        <v>0</v>
      </c>
      <c r="Z615">
        <f>IF(V615&lt;&gt;1,0,IF(X615="",0,IF(COUNTIF($X$3:X614,X615)&gt;0,1,0)))</f>
        <v>0</v>
      </c>
      <c r="AA615">
        <f t="shared" si="58"/>
        <v>0</v>
      </c>
      <c r="AB615">
        <f t="shared" si="59"/>
        <v>0</v>
      </c>
      <c r="AC615">
        <f>IF(I615="",0,L615*IFERROR(INDEX(کاتالوگ_محصولات!$G$4:$G$303,MATCH(I615,کاتالوگ_محصولات!$A$4:$A$303,0)),0))</f>
        <v>0</v>
      </c>
      <c r="AD615">
        <f t="shared" si="62"/>
        <v>0</v>
      </c>
      <c r="AE615" t="str">
        <f t="shared" si="63"/>
        <v/>
      </c>
    </row>
    <row r="616" spans="22:31" ht="18" customHeight="1">
      <c r="V616">
        <f>IF(A616="",0,IF(COUNTIF($A$3:A616,A616)=1,1,0))</f>
        <v>0</v>
      </c>
      <c r="W616">
        <f t="shared" si="60"/>
        <v>0</v>
      </c>
      <c r="X616" t="str">
        <f t="shared" si="61"/>
        <v/>
      </c>
      <c r="Y616">
        <f>IF(X616="",0,IF(COUNTIF($X$3:X616,X616)=1,1,0))</f>
        <v>0</v>
      </c>
      <c r="Z616">
        <f>IF(V616&lt;&gt;1,0,IF(X616="",0,IF(COUNTIF($X$3:X615,X616)&gt;0,1,0)))</f>
        <v>0</v>
      </c>
      <c r="AA616">
        <f t="shared" si="58"/>
        <v>0</v>
      </c>
      <c r="AB616">
        <f t="shared" si="59"/>
        <v>0</v>
      </c>
      <c r="AC616">
        <f>IF(I616="",0,L616*IFERROR(INDEX(کاتالوگ_محصولات!$G$4:$G$303,MATCH(I616,کاتالوگ_محصولات!$A$4:$A$303,0)),0))</f>
        <v>0</v>
      </c>
      <c r="AD616">
        <f t="shared" si="62"/>
        <v>0</v>
      </c>
      <c r="AE616" t="str">
        <f t="shared" si="63"/>
        <v/>
      </c>
    </row>
    <row r="617" spans="22:31" ht="18" customHeight="1">
      <c r="V617">
        <f>IF(A617="",0,IF(COUNTIF($A$3:A617,A617)=1,1,0))</f>
        <v>0</v>
      </c>
      <c r="W617">
        <f t="shared" si="60"/>
        <v>0</v>
      </c>
      <c r="X617" t="str">
        <f t="shared" si="61"/>
        <v/>
      </c>
      <c r="Y617">
        <f>IF(X617="",0,IF(COUNTIF($X$3:X617,X617)=1,1,0))</f>
        <v>0</v>
      </c>
      <c r="Z617">
        <f>IF(V617&lt;&gt;1,0,IF(X617="",0,IF(COUNTIF($X$3:X616,X617)&gt;0,1,0)))</f>
        <v>0</v>
      </c>
      <c r="AA617">
        <f t="shared" si="58"/>
        <v>0</v>
      </c>
      <c r="AB617">
        <f t="shared" si="59"/>
        <v>0</v>
      </c>
      <c r="AC617">
        <f>IF(I617="",0,L617*IFERROR(INDEX(کاتالوگ_محصولات!$G$4:$G$303,MATCH(I617,کاتالوگ_محصولات!$A$4:$A$303,0)),0))</f>
        <v>0</v>
      </c>
      <c r="AD617">
        <f t="shared" si="62"/>
        <v>0</v>
      </c>
      <c r="AE617" t="str">
        <f t="shared" si="63"/>
        <v/>
      </c>
    </row>
    <row r="618" spans="22:31" ht="18" customHeight="1">
      <c r="V618">
        <f>IF(A618="",0,IF(COUNTIF($A$3:A618,A618)=1,1,0))</f>
        <v>0</v>
      </c>
      <c r="W618">
        <f t="shared" si="60"/>
        <v>0</v>
      </c>
      <c r="X618" t="str">
        <f t="shared" si="61"/>
        <v/>
      </c>
      <c r="Y618">
        <f>IF(X618="",0,IF(COUNTIF($X$3:X618,X618)=1,1,0))</f>
        <v>0</v>
      </c>
      <c r="Z618">
        <f>IF(V618&lt;&gt;1,0,IF(X618="",0,IF(COUNTIF($X$3:X617,X618)&gt;0,1,0)))</f>
        <v>0</v>
      </c>
      <c r="AA618">
        <f t="shared" si="58"/>
        <v>0</v>
      </c>
      <c r="AB618">
        <f t="shared" si="59"/>
        <v>0</v>
      </c>
      <c r="AC618">
        <f>IF(I618="",0,L618*IFERROR(INDEX(کاتالوگ_محصولات!$G$4:$G$303,MATCH(I618,کاتالوگ_محصولات!$A$4:$A$303,0)),0))</f>
        <v>0</v>
      </c>
      <c r="AD618">
        <f t="shared" si="62"/>
        <v>0</v>
      </c>
      <c r="AE618" t="str">
        <f t="shared" si="63"/>
        <v/>
      </c>
    </row>
    <row r="619" spans="22:31" ht="18" customHeight="1">
      <c r="V619">
        <f>IF(A619="",0,IF(COUNTIF($A$3:A619,A619)=1,1,0))</f>
        <v>0</v>
      </c>
      <c r="W619">
        <f t="shared" si="60"/>
        <v>0</v>
      </c>
      <c r="X619" t="str">
        <f t="shared" si="61"/>
        <v/>
      </c>
      <c r="Y619">
        <f>IF(X619="",0,IF(COUNTIF($X$3:X619,X619)=1,1,0))</f>
        <v>0</v>
      </c>
      <c r="Z619">
        <f>IF(V619&lt;&gt;1,0,IF(X619="",0,IF(COUNTIF($X$3:X618,X619)&gt;0,1,0)))</f>
        <v>0</v>
      </c>
      <c r="AA619">
        <f t="shared" si="58"/>
        <v>0</v>
      </c>
      <c r="AB619">
        <f t="shared" si="59"/>
        <v>0</v>
      </c>
      <c r="AC619">
        <f>IF(I619="",0,L619*IFERROR(INDEX(کاتالوگ_محصولات!$G$4:$G$303,MATCH(I619,کاتالوگ_محصولات!$A$4:$A$303,0)),0))</f>
        <v>0</v>
      </c>
      <c r="AD619">
        <f t="shared" si="62"/>
        <v>0</v>
      </c>
      <c r="AE619" t="str">
        <f t="shared" si="63"/>
        <v/>
      </c>
    </row>
    <row r="620" spans="22:31" ht="18" customHeight="1">
      <c r="V620">
        <f>IF(A620="",0,IF(COUNTIF($A$3:A620,A620)=1,1,0))</f>
        <v>0</v>
      </c>
      <c r="W620">
        <f t="shared" si="60"/>
        <v>0</v>
      </c>
      <c r="X620" t="str">
        <f t="shared" si="61"/>
        <v/>
      </c>
      <c r="Y620">
        <f>IF(X620="",0,IF(COUNTIF($X$3:X620,X620)=1,1,0))</f>
        <v>0</v>
      </c>
      <c r="Z620">
        <f>IF(V620&lt;&gt;1,0,IF(X620="",0,IF(COUNTIF($X$3:X619,X620)&gt;0,1,0)))</f>
        <v>0</v>
      </c>
      <c r="AA620">
        <f t="shared" si="58"/>
        <v>0</v>
      </c>
      <c r="AB620">
        <f t="shared" si="59"/>
        <v>0</v>
      </c>
      <c r="AC620">
        <f>IF(I620="",0,L620*IFERROR(INDEX(کاتالوگ_محصولات!$G$4:$G$303,MATCH(I620,کاتالوگ_محصولات!$A$4:$A$303,0)),0))</f>
        <v>0</v>
      </c>
      <c r="AD620">
        <f t="shared" si="62"/>
        <v>0</v>
      </c>
      <c r="AE620" t="str">
        <f t="shared" si="63"/>
        <v/>
      </c>
    </row>
    <row r="621" spans="22:31" ht="18" customHeight="1">
      <c r="V621">
        <f>IF(A621="",0,IF(COUNTIF($A$3:A621,A621)=1,1,0))</f>
        <v>0</v>
      </c>
      <c r="W621">
        <f t="shared" si="60"/>
        <v>0</v>
      </c>
      <c r="X621" t="str">
        <f t="shared" si="61"/>
        <v/>
      </c>
      <c r="Y621">
        <f>IF(X621="",0,IF(COUNTIF($X$3:X621,X621)=1,1,0))</f>
        <v>0</v>
      </c>
      <c r="Z621">
        <f>IF(V621&lt;&gt;1,0,IF(X621="",0,IF(COUNTIF($X$3:X620,X621)&gt;0,1,0)))</f>
        <v>0</v>
      </c>
      <c r="AA621">
        <f t="shared" si="58"/>
        <v>0</v>
      </c>
      <c r="AB621">
        <f t="shared" si="59"/>
        <v>0</v>
      </c>
      <c r="AC621">
        <f>IF(I621="",0,L621*IFERROR(INDEX(کاتالوگ_محصولات!$G$4:$G$303,MATCH(I621,کاتالوگ_محصولات!$A$4:$A$303,0)),0))</f>
        <v>0</v>
      </c>
      <c r="AD621">
        <f t="shared" si="62"/>
        <v>0</v>
      </c>
      <c r="AE621" t="str">
        <f t="shared" si="63"/>
        <v/>
      </c>
    </row>
    <row r="622" spans="22:31" ht="18" customHeight="1">
      <c r="V622">
        <f>IF(A622="",0,IF(COUNTIF($A$3:A622,A622)=1,1,0))</f>
        <v>0</v>
      </c>
      <c r="W622">
        <f t="shared" si="60"/>
        <v>0</v>
      </c>
      <c r="X622" t="str">
        <f t="shared" si="61"/>
        <v/>
      </c>
      <c r="Y622">
        <f>IF(X622="",0,IF(COUNTIF($X$3:X622,X622)=1,1,0))</f>
        <v>0</v>
      </c>
      <c r="Z622">
        <f>IF(V622&lt;&gt;1,0,IF(X622="",0,IF(COUNTIF($X$3:X621,X622)&gt;0,1,0)))</f>
        <v>0</v>
      </c>
      <c r="AA622">
        <f t="shared" si="58"/>
        <v>0</v>
      </c>
      <c r="AB622">
        <f t="shared" si="59"/>
        <v>0</v>
      </c>
      <c r="AC622">
        <f>IF(I622="",0,L622*IFERROR(INDEX(کاتالوگ_محصولات!$G$4:$G$303,MATCH(I622,کاتالوگ_محصولات!$A$4:$A$303,0)),0))</f>
        <v>0</v>
      </c>
      <c r="AD622">
        <f t="shared" si="62"/>
        <v>0</v>
      </c>
      <c r="AE622" t="str">
        <f t="shared" si="63"/>
        <v/>
      </c>
    </row>
    <row r="623" spans="22:31" ht="18" customHeight="1">
      <c r="V623">
        <f>IF(A623="",0,IF(COUNTIF($A$3:A623,A623)=1,1,0))</f>
        <v>0</v>
      </c>
      <c r="W623">
        <f t="shared" si="60"/>
        <v>0</v>
      </c>
      <c r="X623" t="str">
        <f t="shared" si="61"/>
        <v/>
      </c>
      <c r="Y623">
        <f>IF(X623="",0,IF(COUNTIF($X$3:X623,X623)=1,1,0))</f>
        <v>0</v>
      </c>
      <c r="Z623">
        <f>IF(V623&lt;&gt;1,0,IF(X623="",0,IF(COUNTIF($X$3:X622,X623)&gt;0,1,0)))</f>
        <v>0</v>
      </c>
      <c r="AA623">
        <f t="shared" si="58"/>
        <v>0</v>
      </c>
      <c r="AB623">
        <f t="shared" si="59"/>
        <v>0</v>
      </c>
      <c r="AC623">
        <f>IF(I623="",0,L623*IFERROR(INDEX(کاتالوگ_محصولات!$G$4:$G$303,MATCH(I623,کاتالوگ_محصولات!$A$4:$A$303,0)),0))</f>
        <v>0</v>
      </c>
      <c r="AD623">
        <f t="shared" si="62"/>
        <v>0</v>
      </c>
      <c r="AE623" t="str">
        <f t="shared" si="63"/>
        <v/>
      </c>
    </row>
    <row r="624" spans="22:31" ht="18" customHeight="1">
      <c r="V624">
        <f>IF(A624="",0,IF(COUNTIF($A$3:A624,A624)=1,1,0))</f>
        <v>0</v>
      </c>
      <c r="W624">
        <f t="shared" si="60"/>
        <v>0</v>
      </c>
      <c r="X624" t="str">
        <f t="shared" si="61"/>
        <v/>
      </c>
      <c r="Y624">
        <f>IF(X624="",0,IF(COUNTIF($X$3:X624,X624)=1,1,0))</f>
        <v>0</v>
      </c>
      <c r="Z624">
        <f>IF(V624&lt;&gt;1,0,IF(X624="",0,IF(COUNTIF($X$3:X623,X624)&gt;0,1,0)))</f>
        <v>0</v>
      </c>
      <c r="AA624">
        <f t="shared" si="58"/>
        <v>0</v>
      </c>
      <c r="AB624">
        <f t="shared" si="59"/>
        <v>0</v>
      </c>
      <c r="AC624">
        <f>IF(I624="",0,L624*IFERROR(INDEX(کاتالوگ_محصولات!$G$4:$G$303,MATCH(I624,کاتالوگ_محصولات!$A$4:$A$303,0)),0))</f>
        <v>0</v>
      </c>
      <c r="AD624">
        <f t="shared" si="62"/>
        <v>0</v>
      </c>
      <c r="AE624" t="str">
        <f t="shared" si="63"/>
        <v/>
      </c>
    </row>
    <row r="625" spans="22:31" ht="18" customHeight="1">
      <c r="V625">
        <f>IF(A625="",0,IF(COUNTIF($A$3:A625,A625)=1,1,0))</f>
        <v>0</v>
      </c>
      <c r="W625">
        <f t="shared" si="60"/>
        <v>0</v>
      </c>
      <c r="X625" t="str">
        <f t="shared" si="61"/>
        <v/>
      </c>
      <c r="Y625">
        <f>IF(X625="",0,IF(COUNTIF($X$3:X625,X625)=1,1,0))</f>
        <v>0</v>
      </c>
      <c r="Z625">
        <f>IF(V625&lt;&gt;1,0,IF(X625="",0,IF(COUNTIF($X$3:X624,X625)&gt;0,1,0)))</f>
        <v>0</v>
      </c>
      <c r="AA625">
        <f t="shared" si="58"/>
        <v>0</v>
      </c>
      <c r="AB625">
        <f t="shared" si="59"/>
        <v>0</v>
      </c>
      <c r="AC625">
        <f>IF(I625="",0,L625*IFERROR(INDEX(کاتالوگ_محصولات!$G$4:$G$303,MATCH(I625,کاتالوگ_محصولات!$A$4:$A$303,0)),0))</f>
        <v>0</v>
      </c>
      <c r="AD625">
        <f t="shared" si="62"/>
        <v>0</v>
      </c>
      <c r="AE625" t="str">
        <f t="shared" si="63"/>
        <v/>
      </c>
    </row>
    <row r="626" spans="22:31" ht="18" customHeight="1">
      <c r="V626">
        <f>IF(A626="",0,IF(COUNTIF($A$3:A626,A626)=1,1,0))</f>
        <v>0</v>
      </c>
      <c r="W626">
        <f t="shared" si="60"/>
        <v>0</v>
      </c>
      <c r="X626" t="str">
        <f t="shared" si="61"/>
        <v/>
      </c>
      <c r="Y626">
        <f>IF(X626="",0,IF(COUNTIF($X$3:X626,X626)=1,1,0))</f>
        <v>0</v>
      </c>
      <c r="Z626">
        <f>IF(V626&lt;&gt;1,0,IF(X626="",0,IF(COUNTIF($X$3:X625,X626)&gt;0,1,0)))</f>
        <v>0</v>
      </c>
      <c r="AA626">
        <f t="shared" si="58"/>
        <v>0</v>
      </c>
      <c r="AB626">
        <f t="shared" si="59"/>
        <v>0</v>
      </c>
      <c r="AC626">
        <f>IF(I626="",0,L626*IFERROR(INDEX(کاتالوگ_محصولات!$G$4:$G$303,MATCH(I626,کاتالوگ_محصولات!$A$4:$A$303,0)),0))</f>
        <v>0</v>
      </c>
      <c r="AD626">
        <f t="shared" si="62"/>
        <v>0</v>
      </c>
      <c r="AE626" t="str">
        <f t="shared" si="63"/>
        <v/>
      </c>
    </row>
    <row r="627" spans="22:31" ht="18" customHeight="1">
      <c r="V627">
        <f>IF(A627="",0,IF(COUNTIF($A$3:A627,A627)=1,1,0))</f>
        <v>0</v>
      </c>
      <c r="W627">
        <f t="shared" si="60"/>
        <v>0</v>
      </c>
      <c r="X627" t="str">
        <f t="shared" si="61"/>
        <v/>
      </c>
      <c r="Y627">
        <f>IF(X627="",0,IF(COUNTIF($X$3:X627,X627)=1,1,0))</f>
        <v>0</v>
      </c>
      <c r="Z627">
        <f>IF(V627&lt;&gt;1,0,IF(X627="",0,IF(COUNTIF($X$3:X626,X627)&gt;0,1,0)))</f>
        <v>0</v>
      </c>
      <c r="AA627">
        <f t="shared" si="58"/>
        <v>0</v>
      </c>
      <c r="AB627">
        <f t="shared" si="59"/>
        <v>0</v>
      </c>
      <c r="AC627">
        <f>IF(I627="",0,L627*IFERROR(INDEX(کاتالوگ_محصولات!$G$4:$G$303,MATCH(I627,کاتالوگ_محصولات!$A$4:$A$303,0)),0))</f>
        <v>0</v>
      </c>
      <c r="AD627">
        <f t="shared" si="62"/>
        <v>0</v>
      </c>
      <c r="AE627" t="str">
        <f t="shared" si="63"/>
        <v/>
      </c>
    </row>
    <row r="628" spans="22:31" ht="18" customHeight="1">
      <c r="V628">
        <f>IF(A628="",0,IF(COUNTIF($A$3:A628,A628)=1,1,0))</f>
        <v>0</v>
      </c>
      <c r="W628">
        <f t="shared" si="60"/>
        <v>0</v>
      </c>
      <c r="X628" t="str">
        <f t="shared" si="61"/>
        <v/>
      </c>
      <c r="Y628">
        <f>IF(X628="",0,IF(COUNTIF($X$3:X628,X628)=1,1,0))</f>
        <v>0</v>
      </c>
      <c r="Z628">
        <f>IF(V628&lt;&gt;1,0,IF(X628="",0,IF(COUNTIF($X$3:X627,X628)&gt;0,1,0)))</f>
        <v>0</v>
      </c>
      <c r="AA628">
        <f t="shared" si="58"/>
        <v>0</v>
      </c>
      <c r="AB628">
        <f t="shared" si="59"/>
        <v>0</v>
      </c>
      <c r="AC628">
        <f>IF(I628="",0,L628*IFERROR(INDEX(کاتالوگ_محصولات!$G$4:$G$303,MATCH(I628,کاتالوگ_محصولات!$A$4:$A$303,0)),0))</f>
        <v>0</v>
      </c>
      <c r="AD628">
        <f t="shared" si="62"/>
        <v>0</v>
      </c>
      <c r="AE628" t="str">
        <f t="shared" si="63"/>
        <v/>
      </c>
    </row>
    <row r="629" spans="22:31" ht="18" customHeight="1">
      <c r="V629">
        <f>IF(A629="",0,IF(COUNTIF($A$3:A629,A629)=1,1,0))</f>
        <v>0</v>
      </c>
      <c r="W629">
        <f t="shared" si="60"/>
        <v>0</v>
      </c>
      <c r="X629" t="str">
        <f t="shared" si="61"/>
        <v/>
      </c>
      <c r="Y629">
        <f>IF(X629="",0,IF(COUNTIF($X$3:X629,X629)=1,1,0))</f>
        <v>0</v>
      </c>
      <c r="Z629">
        <f>IF(V629&lt;&gt;1,0,IF(X629="",0,IF(COUNTIF($X$3:X628,X629)&gt;0,1,0)))</f>
        <v>0</v>
      </c>
      <c r="AA629">
        <f t="shared" si="58"/>
        <v>0</v>
      </c>
      <c r="AB629">
        <f t="shared" si="59"/>
        <v>0</v>
      </c>
      <c r="AC629">
        <f>IF(I629="",0,L629*IFERROR(INDEX(کاتالوگ_محصولات!$G$4:$G$303,MATCH(I629,کاتالوگ_محصولات!$A$4:$A$303,0)),0))</f>
        <v>0</v>
      </c>
      <c r="AD629">
        <f t="shared" si="62"/>
        <v>0</v>
      </c>
      <c r="AE629" t="str">
        <f t="shared" si="63"/>
        <v/>
      </c>
    </row>
    <row r="630" spans="22:31" ht="18" customHeight="1">
      <c r="V630">
        <f>IF(A630="",0,IF(COUNTIF($A$3:A630,A630)=1,1,0))</f>
        <v>0</v>
      </c>
      <c r="W630">
        <f t="shared" si="60"/>
        <v>0</v>
      </c>
      <c r="X630" t="str">
        <f t="shared" si="61"/>
        <v/>
      </c>
      <c r="Y630">
        <f>IF(X630="",0,IF(COUNTIF($X$3:X630,X630)=1,1,0))</f>
        <v>0</v>
      </c>
      <c r="Z630">
        <f>IF(V630&lt;&gt;1,0,IF(X630="",0,IF(COUNTIF($X$3:X629,X630)&gt;0,1,0)))</f>
        <v>0</v>
      </c>
      <c r="AA630">
        <f t="shared" si="58"/>
        <v>0</v>
      </c>
      <c r="AB630">
        <f t="shared" si="59"/>
        <v>0</v>
      </c>
      <c r="AC630">
        <f>IF(I630="",0,L630*IFERROR(INDEX(کاتالوگ_محصولات!$G$4:$G$303,MATCH(I630,کاتالوگ_محصولات!$A$4:$A$303,0)),0))</f>
        <v>0</v>
      </c>
      <c r="AD630">
        <f t="shared" si="62"/>
        <v>0</v>
      </c>
      <c r="AE630" t="str">
        <f t="shared" si="63"/>
        <v/>
      </c>
    </row>
    <row r="631" spans="22:31" ht="18" customHeight="1">
      <c r="V631">
        <f>IF(A631="",0,IF(COUNTIF($A$3:A631,A631)=1,1,0))</f>
        <v>0</v>
      </c>
      <c r="W631">
        <f t="shared" si="60"/>
        <v>0</v>
      </c>
      <c r="X631" t="str">
        <f t="shared" si="61"/>
        <v/>
      </c>
      <c r="Y631">
        <f>IF(X631="",0,IF(COUNTIF($X$3:X631,X631)=1,1,0))</f>
        <v>0</v>
      </c>
      <c r="Z631">
        <f>IF(V631&lt;&gt;1,0,IF(X631="",0,IF(COUNTIF($X$3:X630,X631)&gt;0,1,0)))</f>
        <v>0</v>
      </c>
      <c r="AA631">
        <f t="shared" si="58"/>
        <v>0</v>
      </c>
      <c r="AB631">
        <f t="shared" si="59"/>
        <v>0</v>
      </c>
      <c r="AC631">
        <f>IF(I631="",0,L631*IFERROR(INDEX(کاتالوگ_محصولات!$G$4:$G$303,MATCH(I631,کاتالوگ_محصولات!$A$4:$A$303,0)),0))</f>
        <v>0</v>
      </c>
      <c r="AD631">
        <f t="shared" si="62"/>
        <v>0</v>
      </c>
      <c r="AE631" t="str">
        <f t="shared" si="63"/>
        <v/>
      </c>
    </row>
    <row r="632" spans="22:31" ht="18" customHeight="1">
      <c r="V632">
        <f>IF(A632="",0,IF(COUNTIF($A$3:A632,A632)=1,1,0))</f>
        <v>0</v>
      </c>
      <c r="W632">
        <f t="shared" si="60"/>
        <v>0</v>
      </c>
      <c r="X632" t="str">
        <f t="shared" si="61"/>
        <v/>
      </c>
      <c r="Y632">
        <f>IF(X632="",0,IF(COUNTIF($X$3:X632,X632)=1,1,0))</f>
        <v>0</v>
      </c>
      <c r="Z632">
        <f>IF(V632&lt;&gt;1,0,IF(X632="",0,IF(COUNTIF($X$3:X631,X632)&gt;0,1,0)))</f>
        <v>0</v>
      </c>
      <c r="AA632">
        <f t="shared" si="58"/>
        <v>0</v>
      </c>
      <c r="AB632">
        <f t="shared" si="59"/>
        <v>0</v>
      </c>
      <c r="AC632">
        <f>IF(I632="",0,L632*IFERROR(INDEX(کاتالوگ_محصولات!$G$4:$G$303,MATCH(I632,کاتالوگ_محصولات!$A$4:$A$303,0)),0))</f>
        <v>0</v>
      </c>
      <c r="AD632">
        <f t="shared" si="62"/>
        <v>0</v>
      </c>
      <c r="AE632" t="str">
        <f t="shared" si="63"/>
        <v/>
      </c>
    </row>
    <row r="633" spans="22:31" ht="18" customHeight="1">
      <c r="V633">
        <f>IF(A633="",0,IF(COUNTIF($A$3:A633,A633)=1,1,0))</f>
        <v>0</v>
      </c>
      <c r="W633">
        <f t="shared" si="60"/>
        <v>0</v>
      </c>
      <c r="X633" t="str">
        <f t="shared" si="61"/>
        <v/>
      </c>
      <c r="Y633">
        <f>IF(X633="",0,IF(COUNTIF($X$3:X633,X633)=1,1,0))</f>
        <v>0</v>
      </c>
      <c r="Z633">
        <f>IF(V633&lt;&gt;1,0,IF(X633="",0,IF(COUNTIF($X$3:X632,X633)&gt;0,1,0)))</f>
        <v>0</v>
      </c>
      <c r="AA633">
        <f t="shared" si="58"/>
        <v>0</v>
      </c>
      <c r="AB633">
        <f t="shared" si="59"/>
        <v>0</v>
      </c>
      <c r="AC633">
        <f>IF(I633="",0,L633*IFERROR(INDEX(کاتالوگ_محصولات!$G$4:$G$303,MATCH(I633,کاتالوگ_محصولات!$A$4:$A$303,0)),0))</f>
        <v>0</v>
      </c>
      <c r="AD633">
        <f t="shared" si="62"/>
        <v>0</v>
      </c>
      <c r="AE633" t="str">
        <f t="shared" si="63"/>
        <v/>
      </c>
    </row>
    <row r="634" spans="22:31" ht="18" customHeight="1">
      <c r="V634">
        <f>IF(A634="",0,IF(COUNTIF($A$3:A634,A634)=1,1,0))</f>
        <v>0</v>
      </c>
      <c r="W634">
        <f t="shared" si="60"/>
        <v>0</v>
      </c>
      <c r="X634" t="str">
        <f t="shared" si="61"/>
        <v/>
      </c>
      <c r="Y634">
        <f>IF(X634="",0,IF(COUNTIF($X$3:X634,X634)=1,1,0))</f>
        <v>0</v>
      </c>
      <c r="Z634">
        <f>IF(V634&lt;&gt;1,0,IF(X634="",0,IF(COUNTIF($X$3:X633,X634)&gt;0,1,0)))</f>
        <v>0</v>
      </c>
      <c r="AA634">
        <f t="shared" si="58"/>
        <v>0</v>
      </c>
      <c r="AB634">
        <f t="shared" si="59"/>
        <v>0</v>
      </c>
      <c r="AC634">
        <f>IF(I634="",0,L634*IFERROR(INDEX(کاتالوگ_محصولات!$G$4:$G$303,MATCH(I634,کاتالوگ_محصولات!$A$4:$A$303,0)),0))</f>
        <v>0</v>
      </c>
      <c r="AD634">
        <f t="shared" si="62"/>
        <v>0</v>
      </c>
      <c r="AE634" t="str">
        <f t="shared" si="63"/>
        <v/>
      </c>
    </row>
    <row r="635" spans="22:31" ht="18" customHeight="1">
      <c r="V635">
        <f>IF(A635="",0,IF(COUNTIF($A$3:A635,A635)=1,1,0))</f>
        <v>0</v>
      </c>
      <c r="W635">
        <f t="shared" si="60"/>
        <v>0</v>
      </c>
      <c r="X635" t="str">
        <f t="shared" si="61"/>
        <v/>
      </c>
      <c r="Y635">
        <f>IF(X635="",0,IF(COUNTIF($X$3:X635,X635)=1,1,0))</f>
        <v>0</v>
      </c>
      <c r="Z635">
        <f>IF(V635&lt;&gt;1,0,IF(X635="",0,IF(COUNTIF($X$3:X634,X635)&gt;0,1,0)))</f>
        <v>0</v>
      </c>
      <c r="AA635">
        <f t="shared" si="58"/>
        <v>0</v>
      </c>
      <c r="AB635">
        <f t="shared" si="59"/>
        <v>0</v>
      </c>
      <c r="AC635">
        <f>IF(I635="",0,L635*IFERROR(INDEX(کاتالوگ_محصولات!$G$4:$G$303,MATCH(I635,کاتالوگ_محصولات!$A$4:$A$303,0)),0))</f>
        <v>0</v>
      </c>
      <c r="AD635">
        <f t="shared" si="62"/>
        <v>0</v>
      </c>
      <c r="AE635" t="str">
        <f t="shared" si="63"/>
        <v/>
      </c>
    </row>
    <row r="636" spans="22:31" ht="18" customHeight="1">
      <c r="V636">
        <f>IF(A636="",0,IF(COUNTIF($A$3:A636,A636)=1,1,0))</f>
        <v>0</v>
      </c>
      <c r="W636">
        <f t="shared" si="60"/>
        <v>0</v>
      </c>
      <c r="X636" t="str">
        <f t="shared" si="61"/>
        <v/>
      </c>
      <c r="Y636">
        <f>IF(X636="",0,IF(COUNTIF($X$3:X636,X636)=1,1,0))</f>
        <v>0</v>
      </c>
      <c r="Z636">
        <f>IF(V636&lt;&gt;1,0,IF(X636="",0,IF(COUNTIF($X$3:X635,X636)&gt;0,1,0)))</f>
        <v>0</v>
      </c>
      <c r="AA636">
        <f t="shared" si="58"/>
        <v>0</v>
      </c>
      <c r="AB636">
        <f t="shared" si="59"/>
        <v>0</v>
      </c>
      <c r="AC636">
        <f>IF(I636="",0,L636*IFERROR(INDEX(کاتالوگ_محصولات!$G$4:$G$303,MATCH(I636,کاتالوگ_محصولات!$A$4:$A$303,0)),0))</f>
        <v>0</v>
      </c>
      <c r="AD636">
        <f t="shared" si="62"/>
        <v>0</v>
      </c>
      <c r="AE636" t="str">
        <f t="shared" si="63"/>
        <v/>
      </c>
    </row>
    <row r="637" spans="22:31" ht="18" customHeight="1">
      <c r="V637">
        <f>IF(A637="",0,IF(COUNTIF($A$3:A637,A637)=1,1,0))</f>
        <v>0</v>
      </c>
      <c r="W637">
        <f t="shared" si="60"/>
        <v>0</v>
      </c>
      <c r="X637" t="str">
        <f t="shared" si="61"/>
        <v/>
      </c>
      <c r="Y637">
        <f>IF(X637="",0,IF(COUNTIF($X$3:X637,X637)=1,1,0))</f>
        <v>0</v>
      </c>
      <c r="Z637">
        <f>IF(V637&lt;&gt;1,0,IF(X637="",0,IF(COUNTIF($X$3:X636,X637)&gt;0,1,0)))</f>
        <v>0</v>
      </c>
      <c r="AA637">
        <f t="shared" si="58"/>
        <v>0</v>
      </c>
      <c r="AB637">
        <f t="shared" si="59"/>
        <v>0</v>
      </c>
      <c r="AC637">
        <f>IF(I637="",0,L637*IFERROR(INDEX(کاتالوگ_محصولات!$G$4:$G$303,MATCH(I637,کاتالوگ_محصولات!$A$4:$A$303,0)),0))</f>
        <v>0</v>
      </c>
      <c r="AD637">
        <f t="shared" si="62"/>
        <v>0</v>
      </c>
      <c r="AE637" t="str">
        <f t="shared" si="63"/>
        <v/>
      </c>
    </row>
    <row r="638" spans="22:31" ht="18" customHeight="1">
      <c r="V638">
        <f>IF(A638="",0,IF(COUNTIF($A$3:A638,A638)=1,1,0))</f>
        <v>0</v>
      </c>
      <c r="W638">
        <f t="shared" si="60"/>
        <v>0</v>
      </c>
      <c r="X638" t="str">
        <f t="shared" si="61"/>
        <v/>
      </c>
      <c r="Y638">
        <f>IF(X638="",0,IF(COUNTIF($X$3:X638,X638)=1,1,0))</f>
        <v>0</v>
      </c>
      <c r="Z638">
        <f>IF(V638&lt;&gt;1,0,IF(X638="",0,IF(COUNTIF($X$3:X637,X638)&gt;0,1,0)))</f>
        <v>0</v>
      </c>
      <c r="AA638">
        <f t="shared" si="58"/>
        <v>0</v>
      </c>
      <c r="AB638">
        <f t="shared" si="59"/>
        <v>0</v>
      </c>
      <c r="AC638">
        <f>IF(I638="",0,L638*IFERROR(INDEX(کاتالوگ_محصولات!$G$4:$G$303,MATCH(I638,کاتالوگ_محصولات!$A$4:$A$303,0)),0))</f>
        <v>0</v>
      </c>
      <c r="AD638">
        <f t="shared" si="62"/>
        <v>0</v>
      </c>
      <c r="AE638" t="str">
        <f t="shared" si="63"/>
        <v/>
      </c>
    </row>
    <row r="639" spans="22:31" ht="18" customHeight="1">
      <c r="V639">
        <f>IF(A639="",0,IF(COUNTIF($A$3:A639,A639)=1,1,0))</f>
        <v>0</v>
      </c>
      <c r="W639">
        <f t="shared" si="60"/>
        <v>0</v>
      </c>
      <c r="X639" t="str">
        <f t="shared" si="61"/>
        <v/>
      </c>
      <c r="Y639">
        <f>IF(X639="",0,IF(COUNTIF($X$3:X639,X639)=1,1,0))</f>
        <v>0</v>
      </c>
      <c r="Z639">
        <f>IF(V639&lt;&gt;1,0,IF(X639="",0,IF(COUNTIF($X$3:X638,X639)&gt;0,1,0)))</f>
        <v>0</v>
      </c>
      <c r="AA639">
        <f t="shared" si="58"/>
        <v>0</v>
      </c>
      <c r="AB639">
        <f t="shared" si="59"/>
        <v>0</v>
      </c>
      <c r="AC639">
        <f>IF(I639="",0,L639*IFERROR(INDEX(کاتالوگ_محصولات!$G$4:$G$303,MATCH(I639,کاتالوگ_محصولات!$A$4:$A$303,0)),0))</f>
        <v>0</v>
      </c>
      <c r="AD639">
        <f t="shared" si="62"/>
        <v>0</v>
      </c>
      <c r="AE639" t="str">
        <f t="shared" si="63"/>
        <v/>
      </c>
    </row>
    <row r="640" spans="22:31" ht="18" customHeight="1">
      <c r="V640">
        <f>IF(A640="",0,IF(COUNTIF($A$3:A640,A640)=1,1,0))</f>
        <v>0</v>
      </c>
      <c r="W640">
        <f t="shared" si="60"/>
        <v>0</v>
      </c>
      <c r="X640" t="str">
        <f t="shared" si="61"/>
        <v/>
      </c>
      <c r="Y640">
        <f>IF(X640="",0,IF(COUNTIF($X$3:X640,X640)=1,1,0))</f>
        <v>0</v>
      </c>
      <c r="Z640">
        <f>IF(V640&lt;&gt;1,0,IF(X640="",0,IF(COUNTIF($X$3:X639,X640)&gt;0,1,0)))</f>
        <v>0</v>
      </c>
      <c r="AA640">
        <f t="shared" si="58"/>
        <v>0</v>
      </c>
      <c r="AB640">
        <f t="shared" si="59"/>
        <v>0</v>
      </c>
      <c r="AC640">
        <f>IF(I640="",0,L640*IFERROR(INDEX(کاتالوگ_محصولات!$G$4:$G$303,MATCH(I640,کاتالوگ_محصولات!$A$4:$A$303,0)),0))</f>
        <v>0</v>
      </c>
      <c r="AD640">
        <f t="shared" si="62"/>
        <v>0</v>
      </c>
      <c r="AE640" t="str">
        <f t="shared" si="63"/>
        <v/>
      </c>
    </row>
    <row r="641" spans="22:31" ht="18" customHeight="1">
      <c r="V641">
        <f>IF(A641="",0,IF(COUNTIF($A$3:A641,A641)=1,1,0))</f>
        <v>0</v>
      </c>
      <c r="W641">
        <f t="shared" si="60"/>
        <v>0</v>
      </c>
      <c r="X641" t="str">
        <f t="shared" si="61"/>
        <v/>
      </c>
      <c r="Y641">
        <f>IF(X641="",0,IF(COUNTIF($X$3:X641,X641)=1,1,0))</f>
        <v>0</v>
      </c>
      <c r="Z641">
        <f>IF(V641&lt;&gt;1,0,IF(X641="",0,IF(COUNTIF($X$3:X640,X641)&gt;0,1,0)))</f>
        <v>0</v>
      </c>
      <c r="AA641">
        <f t="shared" si="58"/>
        <v>0</v>
      </c>
      <c r="AB641">
        <f t="shared" si="59"/>
        <v>0</v>
      </c>
      <c r="AC641">
        <f>IF(I641="",0,L641*IFERROR(INDEX(کاتالوگ_محصولات!$G$4:$G$303,MATCH(I641,کاتالوگ_محصولات!$A$4:$A$303,0)),0))</f>
        <v>0</v>
      </c>
      <c r="AD641">
        <f t="shared" si="62"/>
        <v>0</v>
      </c>
      <c r="AE641" t="str">
        <f t="shared" si="63"/>
        <v/>
      </c>
    </row>
    <row r="642" spans="22:31" ht="18" customHeight="1">
      <c r="V642">
        <f>IF(A642="",0,IF(COUNTIF($A$3:A642,A642)=1,1,0))</f>
        <v>0</v>
      </c>
      <c r="W642">
        <f t="shared" si="60"/>
        <v>0</v>
      </c>
      <c r="X642" t="str">
        <f t="shared" si="61"/>
        <v/>
      </c>
      <c r="Y642">
        <f>IF(X642="",0,IF(COUNTIF($X$3:X642,X642)=1,1,0))</f>
        <v>0</v>
      </c>
      <c r="Z642">
        <f>IF(V642&lt;&gt;1,0,IF(X642="",0,IF(COUNTIF($X$3:X641,X642)&gt;0,1,0)))</f>
        <v>0</v>
      </c>
      <c r="AA642">
        <f t="shared" si="58"/>
        <v>0</v>
      </c>
      <c r="AB642">
        <f t="shared" si="59"/>
        <v>0</v>
      </c>
      <c r="AC642">
        <f>IF(I642="",0,L642*IFERROR(INDEX(کاتالوگ_محصولات!$G$4:$G$303,MATCH(I642,کاتالوگ_محصولات!$A$4:$A$303,0)),0))</f>
        <v>0</v>
      </c>
      <c r="AD642">
        <f t="shared" si="62"/>
        <v>0</v>
      </c>
      <c r="AE642" t="str">
        <f t="shared" si="63"/>
        <v/>
      </c>
    </row>
    <row r="643" spans="22:31" ht="18" customHeight="1">
      <c r="V643">
        <f>IF(A643="",0,IF(COUNTIF($A$3:A643,A643)=1,1,0))</f>
        <v>0</v>
      </c>
      <c r="W643">
        <f t="shared" si="60"/>
        <v>0</v>
      </c>
      <c r="X643" t="str">
        <f t="shared" si="61"/>
        <v/>
      </c>
      <c r="Y643">
        <f>IF(X643="",0,IF(COUNTIF($X$3:X643,X643)=1,1,0))</f>
        <v>0</v>
      </c>
      <c r="Z643">
        <f>IF(V643&lt;&gt;1,0,IF(X643="",0,IF(COUNTIF($X$3:X642,X643)&gt;0,1,0)))</f>
        <v>0</v>
      </c>
      <c r="AA643">
        <f t="shared" ref="AA643:AA706" si="64">IF(V643=1,SUMIF($A$3:$A$1622,A643,$O$3:$O$1622),0)</f>
        <v>0</v>
      </c>
      <c r="AB643">
        <f t="shared" ref="AB643:AB706" si="65">IF(V643=1,SUMIF($A$3:$A$1622,A643,$L$3:$L$1622),0)</f>
        <v>0</v>
      </c>
      <c r="AC643">
        <f>IF(I643="",0,L643*IFERROR(INDEX(کاتالوگ_محصولات!$G$4:$G$303,MATCH(I643,کاتالوگ_محصولات!$A$4:$A$303,0)),0))</f>
        <v>0</v>
      </c>
      <c r="AD643">
        <f t="shared" si="62"/>
        <v>0</v>
      </c>
      <c r="AE643" t="str">
        <f t="shared" si="63"/>
        <v/>
      </c>
    </row>
    <row r="644" spans="22:31" ht="18" customHeight="1">
      <c r="V644">
        <f>IF(A644="",0,IF(COUNTIF($A$3:A644,A644)=1,1,0))</f>
        <v>0</v>
      </c>
      <c r="W644">
        <f t="shared" si="60"/>
        <v>0</v>
      </c>
      <c r="X644" t="str">
        <f t="shared" si="61"/>
        <v/>
      </c>
      <c r="Y644">
        <f>IF(X644="",0,IF(COUNTIF($X$3:X644,X644)=1,1,0))</f>
        <v>0</v>
      </c>
      <c r="Z644">
        <f>IF(V644&lt;&gt;1,0,IF(X644="",0,IF(COUNTIF($X$3:X643,X644)&gt;0,1,0)))</f>
        <v>0</v>
      </c>
      <c r="AA644">
        <f t="shared" si="64"/>
        <v>0</v>
      </c>
      <c r="AB644">
        <f t="shared" si="65"/>
        <v>0</v>
      </c>
      <c r="AC644">
        <f>IF(I644="",0,L644*IFERROR(INDEX(کاتالوگ_محصولات!$G$4:$G$303,MATCH(I644,کاتالوگ_محصولات!$A$4:$A$303,0)),0))</f>
        <v>0</v>
      </c>
      <c r="AD644">
        <f t="shared" si="62"/>
        <v>0</v>
      </c>
      <c r="AE644" t="str">
        <f t="shared" si="63"/>
        <v/>
      </c>
    </row>
    <row r="645" spans="22:31" ht="18" customHeight="1">
      <c r="V645">
        <f>IF(A645="",0,IF(COUNTIF($A$3:A645,A645)=1,1,0))</f>
        <v>0</v>
      </c>
      <c r="W645">
        <f t="shared" si="60"/>
        <v>0</v>
      </c>
      <c r="X645" t="str">
        <f t="shared" si="61"/>
        <v/>
      </c>
      <c r="Y645">
        <f>IF(X645="",0,IF(COUNTIF($X$3:X645,X645)=1,1,0))</f>
        <v>0</v>
      </c>
      <c r="Z645">
        <f>IF(V645&lt;&gt;1,0,IF(X645="",0,IF(COUNTIF($X$3:X644,X645)&gt;0,1,0)))</f>
        <v>0</v>
      </c>
      <c r="AA645">
        <f t="shared" si="64"/>
        <v>0</v>
      </c>
      <c r="AB645">
        <f t="shared" si="65"/>
        <v>0</v>
      </c>
      <c r="AC645">
        <f>IF(I645="",0,L645*IFERROR(INDEX(کاتالوگ_محصولات!$G$4:$G$303,MATCH(I645,کاتالوگ_محصولات!$A$4:$A$303,0)),0))</f>
        <v>0</v>
      </c>
      <c r="AD645">
        <f t="shared" si="62"/>
        <v>0</v>
      </c>
      <c r="AE645" t="str">
        <f t="shared" si="63"/>
        <v/>
      </c>
    </row>
    <row r="646" spans="22:31" ht="18" customHeight="1">
      <c r="V646">
        <f>IF(A646="",0,IF(COUNTIF($A$3:A646,A646)=1,1,0))</f>
        <v>0</v>
      </c>
      <c r="W646">
        <f t="shared" si="60"/>
        <v>0</v>
      </c>
      <c r="X646" t="str">
        <f t="shared" si="61"/>
        <v/>
      </c>
      <c r="Y646">
        <f>IF(X646="",0,IF(COUNTIF($X$3:X646,X646)=1,1,0))</f>
        <v>0</v>
      </c>
      <c r="Z646">
        <f>IF(V646&lt;&gt;1,0,IF(X646="",0,IF(COUNTIF($X$3:X645,X646)&gt;0,1,0)))</f>
        <v>0</v>
      </c>
      <c r="AA646">
        <f t="shared" si="64"/>
        <v>0</v>
      </c>
      <c r="AB646">
        <f t="shared" si="65"/>
        <v>0</v>
      </c>
      <c r="AC646">
        <f>IF(I646="",0,L646*IFERROR(INDEX(کاتالوگ_محصولات!$G$4:$G$303,MATCH(I646,کاتالوگ_محصولات!$A$4:$A$303,0)),0))</f>
        <v>0</v>
      </c>
      <c r="AD646">
        <f t="shared" si="62"/>
        <v>0</v>
      </c>
      <c r="AE646" t="str">
        <f t="shared" si="63"/>
        <v/>
      </c>
    </row>
    <row r="647" spans="22:31" ht="18" customHeight="1">
      <c r="V647">
        <f>IF(A647="",0,IF(COUNTIF($A$3:A647,A647)=1,1,0))</f>
        <v>0</v>
      </c>
      <c r="W647">
        <f t="shared" si="60"/>
        <v>0</v>
      </c>
      <c r="X647" t="str">
        <f t="shared" si="61"/>
        <v/>
      </c>
      <c r="Y647">
        <f>IF(X647="",0,IF(COUNTIF($X$3:X647,X647)=1,1,0))</f>
        <v>0</v>
      </c>
      <c r="Z647">
        <f>IF(V647&lt;&gt;1,0,IF(X647="",0,IF(COUNTIF($X$3:X646,X647)&gt;0,1,0)))</f>
        <v>0</v>
      </c>
      <c r="AA647">
        <f t="shared" si="64"/>
        <v>0</v>
      </c>
      <c r="AB647">
        <f t="shared" si="65"/>
        <v>0</v>
      </c>
      <c r="AC647">
        <f>IF(I647="",0,L647*IFERROR(INDEX(کاتالوگ_محصولات!$G$4:$G$303,MATCH(I647,کاتالوگ_محصولات!$A$4:$A$303,0)),0))</f>
        <v>0</v>
      </c>
      <c r="AD647">
        <f t="shared" si="62"/>
        <v>0</v>
      </c>
      <c r="AE647" t="str">
        <f t="shared" si="63"/>
        <v/>
      </c>
    </row>
    <row r="648" spans="22:31" ht="18" customHeight="1">
      <c r="V648">
        <f>IF(A648="",0,IF(COUNTIF($A$3:A648,A648)=1,1,0))</f>
        <v>0</v>
      </c>
      <c r="W648">
        <f t="shared" si="60"/>
        <v>0</v>
      </c>
      <c r="X648" t="str">
        <f t="shared" si="61"/>
        <v/>
      </c>
      <c r="Y648">
        <f>IF(X648="",0,IF(COUNTIF($X$3:X648,X648)=1,1,0))</f>
        <v>0</v>
      </c>
      <c r="Z648">
        <f>IF(V648&lt;&gt;1,0,IF(X648="",0,IF(COUNTIF($X$3:X647,X648)&gt;0,1,0)))</f>
        <v>0</v>
      </c>
      <c r="AA648">
        <f t="shared" si="64"/>
        <v>0</v>
      </c>
      <c r="AB648">
        <f t="shared" si="65"/>
        <v>0</v>
      </c>
      <c r="AC648">
        <f>IF(I648="",0,L648*IFERROR(INDEX(کاتالوگ_محصولات!$G$4:$G$303,MATCH(I648,کاتالوگ_محصولات!$A$4:$A$303,0)),0))</f>
        <v>0</v>
      </c>
      <c r="AD648">
        <f t="shared" si="62"/>
        <v>0</v>
      </c>
      <c r="AE648" t="str">
        <f t="shared" si="63"/>
        <v/>
      </c>
    </row>
    <row r="649" spans="22:31" ht="18" customHeight="1">
      <c r="V649">
        <f>IF(A649="",0,IF(COUNTIF($A$3:A649,A649)=1,1,0))</f>
        <v>0</v>
      </c>
      <c r="W649">
        <f t="shared" ref="W649:W712" si="66">IF(A649="",0,L649*M649)</f>
        <v>0</v>
      </c>
      <c r="X649" t="str">
        <f t="shared" ref="X649:X712" si="67">IF(R649&lt;&gt;"",R649,IF(AND(P649&lt;&gt;"",Q649&lt;&gt;""),P649&amp;"|"&amp;Q649,""))</f>
        <v/>
      </c>
      <c r="Y649">
        <f>IF(X649="",0,IF(COUNTIF($X$3:X649,X649)=1,1,0))</f>
        <v>0</v>
      </c>
      <c r="Z649">
        <f>IF(V649&lt;&gt;1,0,IF(X649="",0,IF(COUNTIF($X$3:X648,X649)&gt;0,1,0)))</f>
        <v>0</v>
      </c>
      <c r="AA649">
        <f t="shared" si="64"/>
        <v>0</v>
      </c>
      <c r="AB649">
        <f t="shared" si="65"/>
        <v>0</v>
      </c>
      <c r="AC649">
        <f>IF(I649="",0,L649*IFERROR(INDEX(کاتالوگ_محصولات!$G$4:$G$303,MATCH(I649,کاتالوگ_محصولات!$A$4:$A$303,0)),0))</f>
        <v>0</v>
      </c>
      <c r="AD649">
        <f t="shared" ref="AD649:AD712" si="68">IF(A649="",0,O649-AC649)</f>
        <v>0</v>
      </c>
      <c r="AE649" t="str">
        <f t="shared" ref="AE649:AE712" si="69">IF(B649="","",LEFT(B649,7))</f>
        <v/>
      </c>
    </row>
    <row r="650" spans="22:31" ht="18" customHeight="1">
      <c r="V650">
        <f>IF(A650="",0,IF(COUNTIF($A$3:A650,A650)=1,1,0))</f>
        <v>0</v>
      </c>
      <c r="W650">
        <f t="shared" si="66"/>
        <v>0</v>
      </c>
      <c r="X650" t="str">
        <f t="shared" si="67"/>
        <v/>
      </c>
      <c r="Y650">
        <f>IF(X650="",0,IF(COUNTIF($X$3:X650,X650)=1,1,0))</f>
        <v>0</v>
      </c>
      <c r="Z650">
        <f>IF(V650&lt;&gt;1,0,IF(X650="",0,IF(COUNTIF($X$3:X649,X650)&gt;0,1,0)))</f>
        <v>0</v>
      </c>
      <c r="AA650">
        <f t="shared" si="64"/>
        <v>0</v>
      </c>
      <c r="AB650">
        <f t="shared" si="65"/>
        <v>0</v>
      </c>
      <c r="AC650">
        <f>IF(I650="",0,L650*IFERROR(INDEX(کاتالوگ_محصولات!$G$4:$G$303,MATCH(I650,کاتالوگ_محصولات!$A$4:$A$303,0)),0))</f>
        <v>0</v>
      </c>
      <c r="AD650">
        <f t="shared" si="68"/>
        <v>0</v>
      </c>
      <c r="AE650" t="str">
        <f t="shared" si="69"/>
        <v/>
      </c>
    </row>
    <row r="651" spans="22:31" ht="18" customHeight="1">
      <c r="V651">
        <f>IF(A651="",0,IF(COUNTIF($A$3:A651,A651)=1,1,0))</f>
        <v>0</v>
      </c>
      <c r="W651">
        <f t="shared" si="66"/>
        <v>0</v>
      </c>
      <c r="X651" t="str">
        <f t="shared" si="67"/>
        <v/>
      </c>
      <c r="Y651">
        <f>IF(X651="",0,IF(COUNTIF($X$3:X651,X651)=1,1,0))</f>
        <v>0</v>
      </c>
      <c r="Z651">
        <f>IF(V651&lt;&gt;1,0,IF(X651="",0,IF(COUNTIF($X$3:X650,X651)&gt;0,1,0)))</f>
        <v>0</v>
      </c>
      <c r="AA651">
        <f t="shared" si="64"/>
        <v>0</v>
      </c>
      <c r="AB651">
        <f t="shared" si="65"/>
        <v>0</v>
      </c>
      <c r="AC651">
        <f>IF(I651="",0,L651*IFERROR(INDEX(کاتالوگ_محصولات!$G$4:$G$303,MATCH(I651,کاتالوگ_محصولات!$A$4:$A$303,0)),0))</f>
        <v>0</v>
      </c>
      <c r="AD651">
        <f t="shared" si="68"/>
        <v>0</v>
      </c>
      <c r="AE651" t="str">
        <f t="shared" si="69"/>
        <v/>
      </c>
    </row>
    <row r="652" spans="22:31" ht="18" customHeight="1">
      <c r="V652">
        <f>IF(A652="",0,IF(COUNTIF($A$3:A652,A652)=1,1,0))</f>
        <v>0</v>
      </c>
      <c r="W652">
        <f t="shared" si="66"/>
        <v>0</v>
      </c>
      <c r="X652" t="str">
        <f t="shared" si="67"/>
        <v/>
      </c>
      <c r="Y652">
        <f>IF(X652="",0,IF(COUNTIF($X$3:X652,X652)=1,1,0))</f>
        <v>0</v>
      </c>
      <c r="Z652">
        <f>IF(V652&lt;&gt;1,0,IF(X652="",0,IF(COUNTIF($X$3:X651,X652)&gt;0,1,0)))</f>
        <v>0</v>
      </c>
      <c r="AA652">
        <f t="shared" si="64"/>
        <v>0</v>
      </c>
      <c r="AB652">
        <f t="shared" si="65"/>
        <v>0</v>
      </c>
      <c r="AC652">
        <f>IF(I652="",0,L652*IFERROR(INDEX(کاتالوگ_محصولات!$G$4:$G$303,MATCH(I652,کاتالوگ_محصولات!$A$4:$A$303,0)),0))</f>
        <v>0</v>
      </c>
      <c r="AD652">
        <f t="shared" si="68"/>
        <v>0</v>
      </c>
      <c r="AE652" t="str">
        <f t="shared" si="69"/>
        <v/>
      </c>
    </row>
    <row r="653" spans="22:31" ht="18" customHeight="1">
      <c r="V653">
        <f>IF(A653="",0,IF(COUNTIF($A$3:A653,A653)=1,1,0))</f>
        <v>0</v>
      </c>
      <c r="W653">
        <f t="shared" si="66"/>
        <v>0</v>
      </c>
      <c r="X653" t="str">
        <f t="shared" si="67"/>
        <v/>
      </c>
      <c r="Y653">
        <f>IF(X653="",0,IF(COUNTIF($X$3:X653,X653)=1,1,0))</f>
        <v>0</v>
      </c>
      <c r="Z653">
        <f>IF(V653&lt;&gt;1,0,IF(X653="",0,IF(COUNTIF($X$3:X652,X653)&gt;0,1,0)))</f>
        <v>0</v>
      </c>
      <c r="AA653">
        <f t="shared" si="64"/>
        <v>0</v>
      </c>
      <c r="AB653">
        <f t="shared" si="65"/>
        <v>0</v>
      </c>
      <c r="AC653">
        <f>IF(I653="",0,L653*IFERROR(INDEX(کاتالوگ_محصولات!$G$4:$G$303,MATCH(I653,کاتالوگ_محصولات!$A$4:$A$303,0)),0))</f>
        <v>0</v>
      </c>
      <c r="AD653">
        <f t="shared" si="68"/>
        <v>0</v>
      </c>
      <c r="AE653" t="str">
        <f t="shared" si="69"/>
        <v/>
      </c>
    </row>
    <row r="654" spans="22:31" ht="18" customHeight="1">
      <c r="V654">
        <f>IF(A654="",0,IF(COUNTIF($A$3:A654,A654)=1,1,0))</f>
        <v>0</v>
      </c>
      <c r="W654">
        <f t="shared" si="66"/>
        <v>0</v>
      </c>
      <c r="X654" t="str">
        <f t="shared" si="67"/>
        <v/>
      </c>
      <c r="Y654">
        <f>IF(X654="",0,IF(COUNTIF($X$3:X654,X654)=1,1,0))</f>
        <v>0</v>
      </c>
      <c r="Z654">
        <f>IF(V654&lt;&gt;1,0,IF(X654="",0,IF(COUNTIF($X$3:X653,X654)&gt;0,1,0)))</f>
        <v>0</v>
      </c>
      <c r="AA654">
        <f t="shared" si="64"/>
        <v>0</v>
      </c>
      <c r="AB654">
        <f t="shared" si="65"/>
        <v>0</v>
      </c>
      <c r="AC654">
        <f>IF(I654="",0,L654*IFERROR(INDEX(کاتالوگ_محصولات!$G$4:$G$303,MATCH(I654,کاتالوگ_محصولات!$A$4:$A$303,0)),0))</f>
        <v>0</v>
      </c>
      <c r="AD654">
        <f t="shared" si="68"/>
        <v>0</v>
      </c>
      <c r="AE654" t="str">
        <f t="shared" si="69"/>
        <v/>
      </c>
    </row>
    <row r="655" spans="22:31" ht="18" customHeight="1">
      <c r="V655">
        <f>IF(A655="",0,IF(COUNTIF($A$3:A655,A655)=1,1,0))</f>
        <v>0</v>
      </c>
      <c r="W655">
        <f t="shared" si="66"/>
        <v>0</v>
      </c>
      <c r="X655" t="str">
        <f t="shared" si="67"/>
        <v/>
      </c>
      <c r="Y655">
        <f>IF(X655="",0,IF(COUNTIF($X$3:X655,X655)=1,1,0))</f>
        <v>0</v>
      </c>
      <c r="Z655">
        <f>IF(V655&lt;&gt;1,0,IF(X655="",0,IF(COUNTIF($X$3:X654,X655)&gt;0,1,0)))</f>
        <v>0</v>
      </c>
      <c r="AA655">
        <f t="shared" si="64"/>
        <v>0</v>
      </c>
      <c r="AB655">
        <f t="shared" si="65"/>
        <v>0</v>
      </c>
      <c r="AC655">
        <f>IF(I655="",0,L655*IFERROR(INDEX(کاتالوگ_محصولات!$G$4:$G$303,MATCH(I655,کاتالوگ_محصولات!$A$4:$A$303,0)),0))</f>
        <v>0</v>
      </c>
      <c r="AD655">
        <f t="shared" si="68"/>
        <v>0</v>
      </c>
      <c r="AE655" t="str">
        <f t="shared" si="69"/>
        <v/>
      </c>
    </row>
    <row r="656" spans="22:31" ht="18" customHeight="1">
      <c r="V656">
        <f>IF(A656="",0,IF(COUNTIF($A$3:A656,A656)=1,1,0))</f>
        <v>0</v>
      </c>
      <c r="W656">
        <f t="shared" si="66"/>
        <v>0</v>
      </c>
      <c r="X656" t="str">
        <f t="shared" si="67"/>
        <v/>
      </c>
      <c r="Y656">
        <f>IF(X656="",0,IF(COUNTIF($X$3:X656,X656)=1,1,0))</f>
        <v>0</v>
      </c>
      <c r="Z656">
        <f>IF(V656&lt;&gt;1,0,IF(X656="",0,IF(COUNTIF($X$3:X655,X656)&gt;0,1,0)))</f>
        <v>0</v>
      </c>
      <c r="AA656">
        <f t="shared" si="64"/>
        <v>0</v>
      </c>
      <c r="AB656">
        <f t="shared" si="65"/>
        <v>0</v>
      </c>
      <c r="AC656">
        <f>IF(I656="",0,L656*IFERROR(INDEX(کاتالوگ_محصولات!$G$4:$G$303,MATCH(I656,کاتالوگ_محصولات!$A$4:$A$303,0)),0))</f>
        <v>0</v>
      </c>
      <c r="AD656">
        <f t="shared" si="68"/>
        <v>0</v>
      </c>
      <c r="AE656" t="str">
        <f t="shared" si="69"/>
        <v/>
      </c>
    </row>
    <row r="657" spans="22:31" ht="18" customHeight="1">
      <c r="V657">
        <f>IF(A657="",0,IF(COUNTIF($A$3:A657,A657)=1,1,0))</f>
        <v>0</v>
      </c>
      <c r="W657">
        <f t="shared" si="66"/>
        <v>0</v>
      </c>
      <c r="X657" t="str">
        <f t="shared" si="67"/>
        <v/>
      </c>
      <c r="Y657">
        <f>IF(X657="",0,IF(COUNTIF($X$3:X657,X657)=1,1,0))</f>
        <v>0</v>
      </c>
      <c r="Z657">
        <f>IF(V657&lt;&gt;1,0,IF(X657="",0,IF(COUNTIF($X$3:X656,X657)&gt;0,1,0)))</f>
        <v>0</v>
      </c>
      <c r="AA657">
        <f t="shared" si="64"/>
        <v>0</v>
      </c>
      <c r="AB657">
        <f t="shared" si="65"/>
        <v>0</v>
      </c>
      <c r="AC657">
        <f>IF(I657="",0,L657*IFERROR(INDEX(کاتالوگ_محصولات!$G$4:$G$303,MATCH(I657,کاتالوگ_محصولات!$A$4:$A$303,0)),0))</f>
        <v>0</v>
      </c>
      <c r="AD657">
        <f t="shared" si="68"/>
        <v>0</v>
      </c>
      <c r="AE657" t="str">
        <f t="shared" si="69"/>
        <v/>
      </c>
    </row>
    <row r="658" spans="22:31" ht="18" customHeight="1">
      <c r="V658">
        <f>IF(A658="",0,IF(COUNTIF($A$3:A658,A658)=1,1,0))</f>
        <v>0</v>
      </c>
      <c r="W658">
        <f t="shared" si="66"/>
        <v>0</v>
      </c>
      <c r="X658" t="str">
        <f t="shared" si="67"/>
        <v/>
      </c>
      <c r="Y658">
        <f>IF(X658="",0,IF(COUNTIF($X$3:X658,X658)=1,1,0))</f>
        <v>0</v>
      </c>
      <c r="Z658">
        <f>IF(V658&lt;&gt;1,0,IF(X658="",0,IF(COUNTIF($X$3:X657,X658)&gt;0,1,0)))</f>
        <v>0</v>
      </c>
      <c r="AA658">
        <f t="shared" si="64"/>
        <v>0</v>
      </c>
      <c r="AB658">
        <f t="shared" si="65"/>
        <v>0</v>
      </c>
      <c r="AC658">
        <f>IF(I658="",0,L658*IFERROR(INDEX(کاتالوگ_محصولات!$G$4:$G$303,MATCH(I658,کاتالوگ_محصولات!$A$4:$A$303,0)),0))</f>
        <v>0</v>
      </c>
      <c r="AD658">
        <f t="shared" si="68"/>
        <v>0</v>
      </c>
      <c r="AE658" t="str">
        <f t="shared" si="69"/>
        <v/>
      </c>
    </row>
    <row r="659" spans="22:31" ht="18" customHeight="1">
      <c r="V659">
        <f>IF(A659="",0,IF(COUNTIF($A$3:A659,A659)=1,1,0))</f>
        <v>0</v>
      </c>
      <c r="W659">
        <f t="shared" si="66"/>
        <v>0</v>
      </c>
      <c r="X659" t="str">
        <f t="shared" si="67"/>
        <v/>
      </c>
      <c r="Y659">
        <f>IF(X659="",0,IF(COUNTIF($X$3:X659,X659)=1,1,0))</f>
        <v>0</v>
      </c>
      <c r="Z659">
        <f>IF(V659&lt;&gt;1,0,IF(X659="",0,IF(COUNTIF($X$3:X658,X659)&gt;0,1,0)))</f>
        <v>0</v>
      </c>
      <c r="AA659">
        <f t="shared" si="64"/>
        <v>0</v>
      </c>
      <c r="AB659">
        <f t="shared" si="65"/>
        <v>0</v>
      </c>
      <c r="AC659">
        <f>IF(I659="",0,L659*IFERROR(INDEX(کاتالوگ_محصولات!$G$4:$G$303,MATCH(I659,کاتالوگ_محصولات!$A$4:$A$303,0)),0))</f>
        <v>0</v>
      </c>
      <c r="AD659">
        <f t="shared" si="68"/>
        <v>0</v>
      </c>
      <c r="AE659" t="str">
        <f t="shared" si="69"/>
        <v/>
      </c>
    </row>
    <row r="660" spans="22:31" ht="18" customHeight="1">
      <c r="V660">
        <f>IF(A660="",0,IF(COUNTIF($A$3:A660,A660)=1,1,0))</f>
        <v>0</v>
      </c>
      <c r="W660">
        <f t="shared" si="66"/>
        <v>0</v>
      </c>
      <c r="X660" t="str">
        <f t="shared" si="67"/>
        <v/>
      </c>
      <c r="Y660">
        <f>IF(X660="",0,IF(COUNTIF($X$3:X660,X660)=1,1,0))</f>
        <v>0</v>
      </c>
      <c r="Z660">
        <f>IF(V660&lt;&gt;1,0,IF(X660="",0,IF(COUNTIF($X$3:X659,X660)&gt;0,1,0)))</f>
        <v>0</v>
      </c>
      <c r="AA660">
        <f t="shared" si="64"/>
        <v>0</v>
      </c>
      <c r="AB660">
        <f t="shared" si="65"/>
        <v>0</v>
      </c>
      <c r="AC660">
        <f>IF(I660="",0,L660*IFERROR(INDEX(کاتالوگ_محصولات!$G$4:$G$303,MATCH(I660,کاتالوگ_محصولات!$A$4:$A$303,0)),0))</f>
        <v>0</v>
      </c>
      <c r="AD660">
        <f t="shared" si="68"/>
        <v>0</v>
      </c>
      <c r="AE660" t="str">
        <f t="shared" si="69"/>
        <v/>
      </c>
    </row>
    <row r="661" spans="22:31" ht="18" customHeight="1">
      <c r="V661">
        <f>IF(A661="",0,IF(COUNTIF($A$3:A661,A661)=1,1,0))</f>
        <v>0</v>
      </c>
      <c r="W661">
        <f t="shared" si="66"/>
        <v>0</v>
      </c>
      <c r="X661" t="str">
        <f t="shared" si="67"/>
        <v/>
      </c>
      <c r="Y661">
        <f>IF(X661="",0,IF(COUNTIF($X$3:X661,X661)=1,1,0))</f>
        <v>0</v>
      </c>
      <c r="Z661">
        <f>IF(V661&lt;&gt;1,0,IF(X661="",0,IF(COUNTIF($X$3:X660,X661)&gt;0,1,0)))</f>
        <v>0</v>
      </c>
      <c r="AA661">
        <f t="shared" si="64"/>
        <v>0</v>
      </c>
      <c r="AB661">
        <f t="shared" si="65"/>
        <v>0</v>
      </c>
      <c r="AC661">
        <f>IF(I661="",0,L661*IFERROR(INDEX(کاتالوگ_محصولات!$G$4:$G$303,MATCH(I661,کاتالوگ_محصولات!$A$4:$A$303,0)),0))</f>
        <v>0</v>
      </c>
      <c r="AD661">
        <f t="shared" si="68"/>
        <v>0</v>
      </c>
      <c r="AE661" t="str">
        <f t="shared" si="69"/>
        <v/>
      </c>
    </row>
    <row r="662" spans="22:31" ht="18" customHeight="1">
      <c r="V662">
        <f>IF(A662="",0,IF(COUNTIF($A$3:A662,A662)=1,1,0))</f>
        <v>0</v>
      </c>
      <c r="W662">
        <f t="shared" si="66"/>
        <v>0</v>
      </c>
      <c r="X662" t="str">
        <f t="shared" si="67"/>
        <v/>
      </c>
      <c r="Y662">
        <f>IF(X662="",0,IF(COUNTIF($X$3:X662,X662)=1,1,0))</f>
        <v>0</v>
      </c>
      <c r="Z662">
        <f>IF(V662&lt;&gt;1,0,IF(X662="",0,IF(COUNTIF($X$3:X661,X662)&gt;0,1,0)))</f>
        <v>0</v>
      </c>
      <c r="AA662">
        <f t="shared" si="64"/>
        <v>0</v>
      </c>
      <c r="AB662">
        <f t="shared" si="65"/>
        <v>0</v>
      </c>
      <c r="AC662">
        <f>IF(I662="",0,L662*IFERROR(INDEX(کاتالوگ_محصولات!$G$4:$G$303,MATCH(I662,کاتالوگ_محصولات!$A$4:$A$303,0)),0))</f>
        <v>0</v>
      </c>
      <c r="AD662">
        <f t="shared" si="68"/>
        <v>0</v>
      </c>
      <c r="AE662" t="str">
        <f t="shared" si="69"/>
        <v/>
      </c>
    </row>
    <row r="663" spans="22:31" ht="18" customHeight="1">
      <c r="V663">
        <f>IF(A663="",0,IF(COUNTIF($A$3:A663,A663)=1,1,0))</f>
        <v>0</v>
      </c>
      <c r="W663">
        <f t="shared" si="66"/>
        <v>0</v>
      </c>
      <c r="X663" t="str">
        <f t="shared" si="67"/>
        <v/>
      </c>
      <c r="Y663">
        <f>IF(X663="",0,IF(COUNTIF($X$3:X663,X663)=1,1,0))</f>
        <v>0</v>
      </c>
      <c r="Z663">
        <f>IF(V663&lt;&gt;1,0,IF(X663="",0,IF(COUNTIF($X$3:X662,X663)&gt;0,1,0)))</f>
        <v>0</v>
      </c>
      <c r="AA663">
        <f t="shared" si="64"/>
        <v>0</v>
      </c>
      <c r="AB663">
        <f t="shared" si="65"/>
        <v>0</v>
      </c>
      <c r="AC663">
        <f>IF(I663="",0,L663*IFERROR(INDEX(کاتالوگ_محصولات!$G$4:$G$303,MATCH(I663,کاتالوگ_محصولات!$A$4:$A$303,0)),0))</f>
        <v>0</v>
      </c>
      <c r="AD663">
        <f t="shared" si="68"/>
        <v>0</v>
      </c>
      <c r="AE663" t="str">
        <f t="shared" si="69"/>
        <v/>
      </c>
    </row>
    <row r="664" spans="22:31" ht="18" customHeight="1">
      <c r="V664">
        <f>IF(A664="",0,IF(COUNTIF($A$3:A664,A664)=1,1,0))</f>
        <v>0</v>
      </c>
      <c r="W664">
        <f t="shared" si="66"/>
        <v>0</v>
      </c>
      <c r="X664" t="str">
        <f t="shared" si="67"/>
        <v/>
      </c>
      <c r="Y664">
        <f>IF(X664="",0,IF(COUNTIF($X$3:X664,X664)=1,1,0))</f>
        <v>0</v>
      </c>
      <c r="Z664">
        <f>IF(V664&lt;&gt;1,0,IF(X664="",0,IF(COUNTIF($X$3:X663,X664)&gt;0,1,0)))</f>
        <v>0</v>
      </c>
      <c r="AA664">
        <f t="shared" si="64"/>
        <v>0</v>
      </c>
      <c r="AB664">
        <f t="shared" si="65"/>
        <v>0</v>
      </c>
      <c r="AC664">
        <f>IF(I664="",0,L664*IFERROR(INDEX(کاتالوگ_محصولات!$G$4:$G$303,MATCH(I664,کاتالوگ_محصولات!$A$4:$A$303,0)),0))</f>
        <v>0</v>
      </c>
      <c r="AD664">
        <f t="shared" si="68"/>
        <v>0</v>
      </c>
      <c r="AE664" t="str">
        <f t="shared" si="69"/>
        <v/>
      </c>
    </row>
    <row r="665" spans="22:31" ht="18" customHeight="1">
      <c r="V665">
        <f>IF(A665="",0,IF(COUNTIF($A$3:A665,A665)=1,1,0))</f>
        <v>0</v>
      </c>
      <c r="W665">
        <f t="shared" si="66"/>
        <v>0</v>
      </c>
      <c r="X665" t="str">
        <f t="shared" si="67"/>
        <v/>
      </c>
      <c r="Y665">
        <f>IF(X665="",0,IF(COUNTIF($X$3:X665,X665)=1,1,0))</f>
        <v>0</v>
      </c>
      <c r="Z665">
        <f>IF(V665&lt;&gt;1,0,IF(X665="",0,IF(COUNTIF($X$3:X664,X665)&gt;0,1,0)))</f>
        <v>0</v>
      </c>
      <c r="AA665">
        <f t="shared" si="64"/>
        <v>0</v>
      </c>
      <c r="AB665">
        <f t="shared" si="65"/>
        <v>0</v>
      </c>
      <c r="AC665">
        <f>IF(I665="",0,L665*IFERROR(INDEX(کاتالوگ_محصولات!$G$4:$G$303,MATCH(I665,کاتالوگ_محصولات!$A$4:$A$303,0)),0))</f>
        <v>0</v>
      </c>
      <c r="AD665">
        <f t="shared" si="68"/>
        <v>0</v>
      </c>
      <c r="AE665" t="str">
        <f t="shared" si="69"/>
        <v/>
      </c>
    </row>
    <row r="666" spans="22:31" ht="18" customHeight="1">
      <c r="V666">
        <f>IF(A666="",0,IF(COUNTIF($A$3:A666,A666)=1,1,0))</f>
        <v>0</v>
      </c>
      <c r="W666">
        <f t="shared" si="66"/>
        <v>0</v>
      </c>
      <c r="X666" t="str">
        <f t="shared" si="67"/>
        <v/>
      </c>
      <c r="Y666">
        <f>IF(X666="",0,IF(COUNTIF($X$3:X666,X666)=1,1,0))</f>
        <v>0</v>
      </c>
      <c r="Z666">
        <f>IF(V666&lt;&gt;1,0,IF(X666="",0,IF(COUNTIF($X$3:X665,X666)&gt;0,1,0)))</f>
        <v>0</v>
      </c>
      <c r="AA666">
        <f t="shared" si="64"/>
        <v>0</v>
      </c>
      <c r="AB666">
        <f t="shared" si="65"/>
        <v>0</v>
      </c>
      <c r="AC666">
        <f>IF(I666="",0,L666*IFERROR(INDEX(کاتالوگ_محصولات!$G$4:$G$303,MATCH(I666,کاتالوگ_محصولات!$A$4:$A$303,0)),0))</f>
        <v>0</v>
      </c>
      <c r="AD666">
        <f t="shared" si="68"/>
        <v>0</v>
      </c>
      <c r="AE666" t="str">
        <f t="shared" si="69"/>
        <v/>
      </c>
    </row>
    <row r="667" spans="22:31" ht="18" customHeight="1">
      <c r="V667">
        <f>IF(A667="",0,IF(COUNTIF($A$3:A667,A667)=1,1,0))</f>
        <v>0</v>
      </c>
      <c r="W667">
        <f t="shared" si="66"/>
        <v>0</v>
      </c>
      <c r="X667" t="str">
        <f t="shared" si="67"/>
        <v/>
      </c>
      <c r="Y667">
        <f>IF(X667="",0,IF(COUNTIF($X$3:X667,X667)=1,1,0))</f>
        <v>0</v>
      </c>
      <c r="Z667">
        <f>IF(V667&lt;&gt;1,0,IF(X667="",0,IF(COUNTIF($X$3:X666,X667)&gt;0,1,0)))</f>
        <v>0</v>
      </c>
      <c r="AA667">
        <f t="shared" si="64"/>
        <v>0</v>
      </c>
      <c r="AB667">
        <f t="shared" si="65"/>
        <v>0</v>
      </c>
      <c r="AC667">
        <f>IF(I667="",0,L667*IFERROR(INDEX(کاتالوگ_محصولات!$G$4:$G$303,MATCH(I667,کاتالوگ_محصولات!$A$4:$A$303,0)),0))</f>
        <v>0</v>
      </c>
      <c r="AD667">
        <f t="shared" si="68"/>
        <v>0</v>
      </c>
      <c r="AE667" t="str">
        <f t="shared" si="69"/>
        <v/>
      </c>
    </row>
    <row r="668" spans="22:31" ht="18" customHeight="1">
      <c r="V668">
        <f>IF(A668="",0,IF(COUNTIF($A$3:A668,A668)=1,1,0))</f>
        <v>0</v>
      </c>
      <c r="W668">
        <f t="shared" si="66"/>
        <v>0</v>
      </c>
      <c r="X668" t="str">
        <f t="shared" si="67"/>
        <v/>
      </c>
      <c r="Y668">
        <f>IF(X668="",0,IF(COUNTIF($X$3:X668,X668)=1,1,0))</f>
        <v>0</v>
      </c>
      <c r="Z668">
        <f>IF(V668&lt;&gt;1,0,IF(X668="",0,IF(COUNTIF($X$3:X667,X668)&gt;0,1,0)))</f>
        <v>0</v>
      </c>
      <c r="AA668">
        <f t="shared" si="64"/>
        <v>0</v>
      </c>
      <c r="AB668">
        <f t="shared" si="65"/>
        <v>0</v>
      </c>
      <c r="AC668">
        <f>IF(I668="",0,L668*IFERROR(INDEX(کاتالوگ_محصولات!$G$4:$G$303,MATCH(I668,کاتالوگ_محصولات!$A$4:$A$303,0)),0))</f>
        <v>0</v>
      </c>
      <c r="AD668">
        <f t="shared" si="68"/>
        <v>0</v>
      </c>
      <c r="AE668" t="str">
        <f t="shared" si="69"/>
        <v/>
      </c>
    </row>
    <row r="669" spans="22:31" ht="18" customHeight="1">
      <c r="V669">
        <f>IF(A669="",0,IF(COUNTIF($A$3:A669,A669)=1,1,0))</f>
        <v>0</v>
      </c>
      <c r="W669">
        <f t="shared" si="66"/>
        <v>0</v>
      </c>
      <c r="X669" t="str">
        <f t="shared" si="67"/>
        <v/>
      </c>
      <c r="Y669">
        <f>IF(X669="",0,IF(COUNTIF($X$3:X669,X669)=1,1,0))</f>
        <v>0</v>
      </c>
      <c r="Z669">
        <f>IF(V669&lt;&gt;1,0,IF(X669="",0,IF(COUNTIF($X$3:X668,X669)&gt;0,1,0)))</f>
        <v>0</v>
      </c>
      <c r="AA669">
        <f t="shared" si="64"/>
        <v>0</v>
      </c>
      <c r="AB669">
        <f t="shared" si="65"/>
        <v>0</v>
      </c>
      <c r="AC669">
        <f>IF(I669="",0,L669*IFERROR(INDEX(کاتالوگ_محصولات!$G$4:$G$303,MATCH(I669,کاتالوگ_محصولات!$A$4:$A$303,0)),0))</f>
        <v>0</v>
      </c>
      <c r="AD669">
        <f t="shared" si="68"/>
        <v>0</v>
      </c>
      <c r="AE669" t="str">
        <f t="shared" si="69"/>
        <v/>
      </c>
    </row>
    <row r="670" spans="22:31" ht="18" customHeight="1">
      <c r="V670">
        <f>IF(A670="",0,IF(COUNTIF($A$3:A670,A670)=1,1,0))</f>
        <v>0</v>
      </c>
      <c r="W670">
        <f t="shared" si="66"/>
        <v>0</v>
      </c>
      <c r="X670" t="str">
        <f t="shared" si="67"/>
        <v/>
      </c>
      <c r="Y670">
        <f>IF(X670="",0,IF(COUNTIF($X$3:X670,X670)=1,1,0))</f>
        <v>0</v>
      </c>
      <c r="Z670">
        <f>IF(V670&lt;&gt;1,0,IF(X670="",0,IF(COUNTIF($X$3:X669,X670)&gt;0,1,0)))</f>
        <v>0</v>
      </c>
      <c r="AA670">
        <f t="shared" si="64"/>
        <v>0</v>
      </c>
      <c r="AB670">
        <f t="shared" si="65"/>
        <v>0</v>
      </c>
      <c r="AC670">
        <f>IF(I670="",0,L670*IFERROR(INDEX(کاتالوگ_محصولات!$G$4:$G$303,MATCH(I670,کاتالوگ_محصولات!$A$4:$A$303,0)),0))</f>
        <v>0</v>
      </c>
      <c r="AD670">
        <f t="shared" si="68"/>
        <v>0</v>
      </c>
      <c r="AE670" t="str">
        <f t="shared" si="69"/>
        <v/>
      </c>
    </row>
    <row r="671" spans="22:31" ht="18" customHeight="1">
      <c r="V671">
        <f>IF(A671="",0,IF(COUNTIF($A$3:A671,A671)=1,1,0))</f>
        <v>0</v>
      </c>
      <c r="W671">
        <f t="shared" si="66"/>
        <v>0</v>
      </c>
      <c r="X671" t="str">
        <f t="shared" si="67"/>
        <v/>
      </c>
      <c r="Y671">
        <f>IF(X671="",0,IF(COUNTIF($X$3:X671,X671)=1,1,0))</f>
        <v>0</v>
      </c>
      <c r="Z671">
        <f>IF(V671&lt;&gt;1,0,IF(X671="",0,IF(COUNTIF($X$3:X670,X671)&gt;0,1,0)))</f>
        <v>0</v>
      </c>
      <c r="AA671">
        <f t="shared" si="64"/>
        <v>0</v>
      </c>
      <c r="AB671">
        <f t="shared" si="65"/>
        <v>0</v>
      </c>
      <c r="AC671">
        <f>IF(I671="",0,L671*IFERROR(INDEX(کاتالوگ_محصولات!$G$4:$G$303,MATCH(I671,کاتالوگ_محصولات!$A$4:$A$303,0)),0))</f>
        <v>0</v>
      </c>
      <c r="AD671">
        <f t="shared" si="68"/>
        <v>0</v>
      </c>
      <c r="AE671" t="str">
        <f t="shared" si="69"/>
        <v/>
      </c>
    </row>
    <row r="672" spans="22:31" ht="18" customHeight="1">
      <c r="V672">
        <f>IF(A672="",0,IF(COUNTIF($A$3:A672,A672)=1,1,0))</f>
        <v>0</v>
      </c>
      <c r="W672">
        <f t="shared" si="66"/>
        <v>0</v>
      </c>
      <c r="X672" t="str">
        <f t="shared" si="67"/>
        <v/>
      </c>
      <c r="Y672">
        <f>IF(X672="",0,IF(COUNTIF($X$3:X672,X672)=1,1,0))</f>
        <v>0</v>
      </c>
      <c r="Z672">
        <f>IF(V672&lt;&gt;1,0,IF(X672="",0,IF(COUNTIF($X$3:X671,X672)&gt;0,1,0)))</f>
        <v>0</v>
      </c>
      <c r="AA672">
        <f t="shared" si="64"/>
        <v>0</v>
      </c>
      <c r="AB672">
        <f t="shared" si="65"/>
        <v>0</v>
      </c>
      <c r="AC672">
        <f>IF(I672="",0,L672*IFERROR(INDEX(کاتالوگ_محصولات!$G$4:$G$303,MATCH(I672,کاتالوگ_محصولات!$A$4:$A$303,0)),0))</f>
        <v>0</v>
      </c>
      <c r="AD672">
        <f t="shared" si="68"/>
        <v>0</v>
      </c>
      <c r="AE672" t="str">
        <f t="shared" si="69"/>
        <v/>
      </c>
    </row>
    <row r="673" spans="22:31" ht="18" customHeight="1">
      <c r="V673">
        <f>IF(A673="",0,IF(COUNTIF($A$3:A673,A673)=1,1,0))</f>
        <v>0</v>
      </c>
      <c r="W673">
        <f t="shared" si="66"/>
        <v>0</v>
      </c>
      <c r="X673" t="str">
        <f t="shared" si="67"/>
        <v/>
      </c>
      <c r="Y673">
        <f>IF(X673="",0,IF(COUNTIF($X$3:X673,X673)=1,1,0))</f>
        <v>0</v>
      </c>
      <c r="Z673">
        <f>IF(V673&lt;&gt;1,0,IF(X673="",0,IF(COUNTIF($X$3:X672,X673)&gt;0,1,0)))</f>
        <v>0</v>
      </c>
      <c r="AA673">
        <f t="shared" si="64"/>
        <v>0</v>
      </c>
      <c r="AB673">
        <f t="shared" si="65"/>
        <v>0</v>
      </c>
      <c r="AC673">
        <f>IF(I673="",0,L673*IFERROR(INDEX(کاتالوگ_محصولات!$G$4:$G$303,MATCH(I673,کاتالوگ_محصولات!$A$4:$A$303,0)),0))</f>
        <v>0</v>
      </c>
      <c r="AD673">
        <f t="shared" si="68"/>
        <v>0</v>
      </c>
      <c r="AE673" t="str">
        <f t="shared" si="69"/>
        <v/>
      </c>
    </row>
    <row r="674" spans="22:31" ht="18" customHeight="1">
      <c r="V674">
        <f>IF(A674="",0,IF(COUNTIF($A$3:A674,A674)=1,1,0))</f>
        <v>0</v>
      </c>
      <c r="W674">
        <f t="shared" si="66"/>
        <v>0</v>
      </c>
      <c r="X674" t="str">
        <f t="shared" si="67"/>
        <v/>
      </c>
      <c r="Y674">
        <f>IF(X674="",0,IF(COUNTIF($X$3:X674,X674)=1,1,0))</f>
        <v>0</v>
      </c>
      <c r="Z674">
        <f>IF(V674&lt;&gt;1,0,IF(X674="",0,IF(COUNTIF($X$3:X673,X674)&gt;0,1,0)))</f>
        <v>0</v>
      </c>
      <c r="AA674">
        <f t="shared" si="64"/>
        <v>0</v>
      </c>
      <c r="AB674">
        <f t="shared" si="65"/>
        <v>0</v>
      </c>
      <c r="AC674">
        <f>IF(I674="",0,L674*IFERROR(INDEX(کاتالوگ_محصولات!$G$4:$G$303,MATCH(I674,کاتالوگ_محصولات!$A$4:$A$303,0)),0))</f>
        <v>0</v>
      </c>
      <c r="AD674">
        <f t="shared" si="68"/>
        <v>0</v>
      </c>
      <c r="AE674" t="str">
        <f t="shared" si="69"/>
        <v/>
      </c>
    </row>
    <row r="675" spans="22:31" ht="18" customHeight="1">
      <c r="V675">
        <f>IF(A675="",0,IF(COUNTIF($A$3:A675,A675)=1,1,0))</f>
        <v>0</v>
      </c>
      <c r="W675">
        <f t="shared" si="66"/>
        <v>0</v>
      </c>
      <c r="X675" t="str">
        <f t="shared" si="67"/>
        <v/>
      </c>
      <c r="Y675">
        <f>IF(X675="",0,IF(COUNTIF($X$3:X675,X675)=1,1,0))</f>
        <v>0</v>
      </c>
      <c r="Z675">
        <f>IF(V675&lt;&gt;1,0,IF(X675="",0,IF(COUNTIF($X$3:X674,X675)&gt;0,1,0)))</f>
        <v>0</v>
      </c>
      <c r="AA675">
        <f t="shared" si="64"/>
        <v>0</v>
      </c>
      <c r="AB675">
        <f t="shared" si="65"/>
        <v>0</v>
      </c>
      <c r="AC675">
        <f>IF(I675="",0,L675*IFERROR(INDEX(کاتالوگ_محصولات!$G$4:$G$303,MATCH(I675,کاتالوگ_محصولات!$A$4:$A$303,0)),0))</f>
        <v>0</v>
      </c>
      <c r="AD675">
        <f t="shared" si="68"/>
        <v>0</v>
      </c>
      <c r="AE675" t="str">
        <f t="shared" si="69"/>
        <v/>
      </c>
    </row>
    <row r="676" spans="22:31" ht="18" customHeight="1">
      <c r="V676">
        <f>IF(A676="",0,IF(COUNTIF($A$3:A676,A676)=1,1,0))</f>
        <v>0</v>
      </c>
      <c r="W676">
        <f t="shared" si="66"/>
        <v>0</v>
      </c>
      <c r="X676" t="str">
        <f t="shared" si="67"/>
        <v/>
      </c>
      <c r="Y676">
        <f>IF(X676="",0,IF(COUNTIF($X$3:X676,X676)=1,1,0))</f>
        <v>0</v>
      </c>
      <c r="Z676">
        <f>IF(V676&lt;&gt;1,0,IF(X676="",0,IF(COUNTIF($X$3:X675,X676)&gt;0,1,0)))</f>
        <v>0</v>
      </c>
      <c r="AA676">
        <f t="shared" si="64"/>
        <v>0</v>
      </c>
      <c r="AB676">
        <f t="shared" si="65"/>
        <v>0</v>
      </c>
      <c r="AC676">
        <f>IF(I676="",0,L676*IFERROR(INDEX(کاتالوگ_محصولات!$G$4:$G$303,MATCH(I676,کاتالوگ_محصولات!$A$4:$A$303,0)),0))</f>
        <v>0</v>
      </c>
      <c r="AD676">
        <f t="shared" si="68"/>
        <v>0</v>
      </c>
      <c r="AE676" t="str">
        <f t="shared" si="69"/>
        <v/>
      </c>
    </row>
    <row r="677" spans="22:31" ht="18" customHeight="1">
      <c r="V677">
        <f>IF(A677="",0,IF(COUNTIF($A$3:A677,A677)=1,1,0))</f>
        <v>0</v>
      </c>
      <c r="W677">
        <f t="shared" si="66"/>
        <v>0</v>
      </c>
      <c r="X677" t="str">
        <f t="shared" si="67"/>
        <v/>
      </c>
      <c r="Y677">
        <f>IF(X677="",0,IF(COUNTIF($X$3:X677,X677)=1,1,0))</f>
        <v>0</v>
      </c>
      <c r="Z677">
        <f>IF(V677&lt;&gt;1,0,IF(X677="",0,IF(COUNTIF($X$3:X676,X677)&gt;0,1,0)))</f>
        <v>0</v>
      </c>
      <c r="AA677">
        <f t="shared" si="64"/>
        <v>0</v>
      </c>
      <c r="AB677">
        <f t="shared" si="65"/>
        <v>0</v>
      </c>
      <c r="AC677">
        <f>IF(I677="",0,L677*IFERROR(INDEX(کاتالوگ_محصولات!$G$4:$G$303,MATCH(I677,کاتالوگ_محصولات!$A$4:$A$303,0)),0))</f>
        <v>0</v>
      </c>
      <c r="AD677">
        <f t="shared" si="68"/>
        <v>0</v>
      </c>
      <c r="AE677" t="str">
        <f t="shared" si="69"/>
        <v/>
      </c>
    </row>
    <row r="678" spans="22:31" ht="18" customHeight="1">
      <c r="V678">
        <f>IF(A678="",0,IF(COUNTIF($A$3:A678,A678)=1,1,0))</f>
        <v>0</v>
      </c>
      <c r="W678">
        <f t="shared" si="66"/>
        <v>0</v>
      </c>
      <c r="X678" t="str">
        <f t="shared" si="67"/>
        <v/>
      </c>
      <c r="Y678">
        <f>IF(X678="",0,IF(COUNTIF($X$3:X678,X678)=1,1,0))</f>
        <v>0</v>
      </c>
      <c r="Z678">
        <f>IF(V678&lt;&gt;1,0,IF(X678="",0,IF(COUNTIF($X$3:X677,X678)&gt;0,1,0)))</f>
        <v>0</v>
      </c>
      <c r="AA678">
        <f t="shared" si="64"/>
        <v>0</v>
      </c>
      <c r="AB678">
        <f t="shared" si="65"/>
        <v>0</v>
      </c>
      <c r="AC678">
        <f>IF(I678="",0,L678*IFERROR(INDEX(کاتالوگ_محصولات!$G$4:$G$303,MATCH(I678,کاتالوگ_محصولات!$A$4:$A$303,0)),0))</f>
        <v>0</v>
      </c>
      <c r="AD678">
        <f t="shared" si="68"/>
        <v>0</v>
      </c>
      <c r="AE678" t="str">
        <f t="shared" si="69"/>
        <v/>
      </c>
    </row>
    <row r="679" spans="22:31" ht="18" customHeight="1">
      <c r="V679">
        <f>IF(A679="",0,IF(COUNTIF($A$3:A679,A679)=1,1,0))</f>
        <v>0</v>
      </c>
      <c r="W679">
        <f t="shared" si="66"/>
        <v>0</v>
      </c>
      <c r="X679" t="str">
        <f t="shared" si="67"/>
        <v/>
      </c>
      <c r="Y679">
        <f>IF(X679="",0,IF(COUNTIF($X$3:X679,X679)=1,1,0))</f>
        <v>0</v>
      </c>
      <c r="Z679">
        <f>IF(V679&lt;&gt;1,0,IF(X679="",0,IF(COUNTIF($X$3:X678,X679)&gt;0,1,0)))</f>
        <v>0</v>
      </c>
      <c r="AA679">
        <f t="shared" si="64"/>
        <v>0</v>
      </c>
      <c r="AB679">
        <f t="shared" si="65"/>
        <v>0</v>
      </c>
      <c r="AC679">
        <f>IF(I679="",0,L679*IFERROR(INDEX(کاتالوگ_محصولات!$G$4:$G$303,MATCH(I679,کاتالوگ_محصولات!$A$4:$A$303,0)),0))</f>
        <v>0</v>
      </c>
      <c r="AD679">
        <f t="shared" si="68"/>
        <v>0</v>
      </c>
      <c r="AE679" t="str">
        <f t="shared" si="69"/>
        <v/>
      </c>
    </row>
    <row r="680" spans="22:31" ht="18" customHeight="1">
      <c r="V680">
        <f>IF(A680="",0,IF(COUNTIF($A$3:A680,A680)=1,1,0))</f>
        <v>0</v>
      </c>
      <c r="W680">
        <f t="shared" si="66"/>
        <v>0</v>
      </c>
      <c r="X680" t="str">
        <f t="shared" si="67"/>
        <v/>
      </c>
      <c r="Y680">
        <f>IF(X680="",0,IF(COUNTIF($X$3:X680,X680)=1,1,0))</f>
        <v>0</v>
      </c>
      <c r="Z680">
        <f>IF(V680&lt;&gt;1,0,IF(X680="",0,IF(COUNTIF($X$3:X679,X680)&gt;0,1,0)))</f>
        <v>0</v>
      </c>
      <c r="AA680">
        <f t="shared" si="64"/>
        <v>0</v>
      </c>
      <c r="AB680">
        <f t="shared" si="65"/>
        <v>0</v>
      </c>
      <c r="AC680">
        <f>IF(I680="",0,L680*IFERROR(INDEX(کاتالوگ_محصولات!$G$4:$G$303,MATCH(I680,کاتالوگ_محصولات!$A$4:$A$303,0)),0))</f>
        <v>0</v>
      </c>
      <c r="AD680">
        <f t="shared" si="68"/>
        <v>0</v>
      </c>
      <c r="AE680" t="str">
        <f t="shared" si="69"/>
        <v/>
      </c>
    </row>
    <row r="681" spans="22:31" ht="18" customHeight="1">
      <c r="V681">
        <f>IF(A681="",0,IF(COUNTIF($A$3:A681,A681)=1,1,0))</f>
        <v>0</v>
      </c>
      <c r="W681">
        <f t="shared" si="66"/>
        <v>0</v>
      </c>
      <c r="X681" t="str">
        <f t="shared" si="67"/>
        <v/>
      </c>
      <c r="Y681">
        <f>IF(X681="",0,IF(COUNTIF($X$3:X681,X681)=1,1,0))</f>
        <v>0</v>
      </c>
      <c r="Z681">
        <f>IF(V681&lt;&gt;1,0,IF(X681="",0,IF(COUNTIF($X$3:X680,X681)&gt;0,1,0)))</f>
        <v>0</v>
      </c>
      <c r="AA681">
        <f t="shared" si="64"/>
        <v>0</v>
      </c>
      <c r="AB681">
        <f t="shared" si="65"/>
        <v>0</v>
      </c>
      <c r="AC681">
        <f>IF(I681="",0,L681*IFERROR(INDEX(کاتالوگ_محصولات!$G$4:$G$303,MATCH(I681,کاتالوگ_محصولات!$A$4:$A$303,0)),0))</f>
        <v>0</v>
      </c>
      <c r="AD681">
        <f t="shared" si="68"/>
        <v>0</v>
      </c>
      <c r="AE681" t="str">
        <f t="shared" si="69"/>
        <v/>
      </c>
    </row>
    <row r="682" spans="22:31" ht="18" customHeight="1">
      <c r="V682">
        <f>IF(A682="",0,IF(COUNTIF($A$3:A682,A682)=1,1,0))</f>
        <v>0</v>
      </c>
      <c r="W682">
        <f t="shared" si="66"/>
        <v>0</v>
      </c>
      <c r="X682" t="str">
        <f t="shared" si="67"/>
        <v/>
      </c>
      <c r="Y682">
        <f>IF(X682="",0,IF(COUNTIF($X$3:X682,X682)=1,1,0))</f>
        <v>0</v>
      </c>
      <c r="Z682">
        <f>IF(V682&lt;&gt;1,0,IF(X682="",0,IF(COUNTIF($X$3:X681,X682)&gt;0,1,0)))</f>
        <v>0</v>
      </c>
      <c r="AA682">
        <f t="shared" si="64"/>
        <v>0</v>
      </c>
      <c r="AB682">
        <f t="shared" si="65"/>
        <v>0</v>
      </c>
      <c r="AC682">
        <f>IF(I682="",0,L682*IFERROR(INDEX(کاتالوگ_محصولات!$G$4:$G$303,MATCH(I682,کاتالوگ_محصولات!$A$4:$A$303,0)),0))</f>
        <v>0</v>
      </c>
      <c r="AD682">
        <f t="shared" si="68"/>
        <v>0</v>
      </c>
      <c r="AE682" t="str">
        <f t="shared" si="69"/>
        <v/>
      </c>
    </row>
    <row r="683" spans="22:31" ht="18" customHeight="1">
      <c r="V683">
        <f>IF(A683="",0,IF(COUNTIF($A$3:A683,A683)=1,1,0))</f>
        <v>0</v>
      </c>
      <c r="W683">
        <f t="shared" si="66"/>
        <v>0</v>
      </c>
      <c r="X683" t="str">
        <f t="shared" si="67"/>
        <v/>
      </c>
      <c r="Y683">
        <f>IF(X683="",0,IF(COUNTIF($X$3:X683,X683)=1,1,0))</f>
        <v>0</v>
      </c>
      <c r="Z683">
        <f>IF(V683&lt;&gt;1,0,IF(X683="",0,IF(COUNTIF($X$3:X682,X683)&gt;0,1,0)))</f>
        <v>0</v>
      </c>
      <c r="AA683">
        <f t="shared" si="64"/>
        <v>0</v>
      </c>
      <c r="AB683">
        <f t="shared" si="65"/>
        <v>0</v>
      </c>
      <c r="AC683">
        <f>IF(I683="",0,L683*IFERROR(INDEX(کاتالوگ_محصولات!$G$4:$G$303,MATCH(I683,کاتالوگ_محصولات!$A$4:$A$303,0)),0))</f>
        <v>0</v>
      </c>
      <c r="AD683">
        <f t="shared" si="68"/>
        <v>0</v>
      </c>
      <c r="AE683" t="str">
        <f t="shared" si="69"/>
        <v/>
      </c>
    </row>
    <row r="684" spans="22:31" ht="18" customHeight="1">
      <c r="V684">
        <f>IF(A684="",0,IF(COUNTIF($A$3:A684,A684)=1,1,0))</f>
        <v>0</v>
      </c>
      <c r="W684">
        <f t="shared" si="66"/>
        <v>0</v>
      </c>
      <c r="X684" t="str">
        <f t="shared" si="67"/>
        <v/>
      </c>
      <c r="Y684">
        <f>IF(X684="",0,IF(COUNTIF($X$3:X684,X684)=1,1,0))</f>
        <v>0</v>
      </c>
      <c r="Z684">
        <f>IF(V684&lt;&gt;1,0,IF(X684="",0,IF(COUNTIF($X$3:X683,X684)&gt;0,1,0)))</f>
        <v>0</v>
      </c>
      <c r="AA684">
        <f t="shared" si="64"/>
        <v>0</v>
      </c>
      <c r="AB684">
        <f t="shared" si="65"/>
        <v>0</v>
      </c>
      <c r="AC684">
        <f>IF(I684="",0,L684*IFERROR(INDEX(کاتالوگ_محصولات!$G$4:$G$303,MATCH(I684,کاتالوگ_محصولات!$A$4:$A$303,0)),0))</f>
        <v>0</v>
      </c>
      <c r="AD684">
        <f t="shared" si="68"/>
        <v>0</v>
      </c>
      <c r="AE684" t="str">
        <f t="shared" si="69"/>
        <v/>
      </c>
    </row>
    <row r="685" spans="22:31" ht="18" customHeight="1">
      <c r="V685">
        <f>IF(A685="",0,IF(COUNTIF($A$3:A685,A685)=1,1,0))</f>
        <v>0</v>
      </c>
      <c r="W685">
        <f t="shared" si="66"/>
        <v>0</v>
      </c>
      <c r="X685" t="str">
        <f t="shared" si="67"/>
        <v/>
      </c>
      <c r="Y685">
        <f>IF(X685="",0,IF(COUNTIF($X$3:X685,X685)=1,1,0))</f>
        <v>0</v>
      </c>
      <c r="Z685">
        <f>IF(V685&lt;&gt;1,0,IF(X685="",0,IF(COUNTIF($X$3:X684,X685)&gt;0,1,0)))</f>
        <v>0</v>
      </c>
      <c r="AA685">
        <f t="shared" si="64"/>
        <v>0</v>
      </c>
      <c r="AB685">
        <f t="shared" si="65"/>
        <v>0</v>
      </c>
      <c r="AC685">
        <f>IF(I685="",0,L685*IFERROR(INDEX(کاتالوگ_محصولات!$G$4:$G$303,MATCH(I685,کاتالوگ_محصولات!$A$4:$A$303,0)),0))</f>
        <v>0</v>
      </c>
      <c r="AD685">
        <f t="shared" si="68"/>
        <v>0</v>
      </c>
      <c r="AE685" t="str">
        <f t="shared" si="69"/>
        <v/>
      </c>
    </row>
    <row r="686" spans="22:31" ht="18" customHeight="1">
      <c r="V686">
        <f>IF(A686="",0,IF(COUNTIF($A$3:A686,A686)=1,1,0))</f>
        <v>0</v>
      </c>
      <c r="W686">
        <f t="shared" si="66"/>
        <v>0</v>
      </c>
      <c r="X686" t="str">
        <f t="shared" si="67"/>
        <v/>
      </c>
      <c r="Y686">
        <f>IF(X686="",0,IF(COUNTIF($X$3:X686,X686)=1,1,0))</f>
        <v>0</v>
      </c>
      <c r="Z686">
        <f>IF(V686&lt;&gt;1,0,IF(X686="",0,IF(COUNTIF($X$3:X685,X686)&gt;0,1,0)))</f>
        <v>0</v>
      </c>
      <c r="AA686">
        <f t="shared" si="64"/>
        <v>0</v>
      </c>
      <c r="AB686">
        <f t="shared" si="65"/>
        <v>0</v>
      </c>
      <c r="AC686">
        <f>IF(I686="",0,L686*IFERROR(INDEX(کاتالوگ_محصولات!$G$4:$G$303,MATCH(I686,کاتالوگ_محصولات!$A$4:$A$303,0)),0))</f>
        <v>0</v>
      </c>
      <c r="AD686">
        <f t="shared" si="68"/>
        <v>0</v>
      </c>
      <c r="AE686" t="str">
        <f t="shared" si="69"/>
        <v/>
      </c>
    </row>
    <row r="687" spans="22:31" ht="18" customHeight="1">
      <c r="V687">
        <f>IF(A687="",0,IF(COUNTIF($A$3:A687,A687)=1,1,0))</f>
        <v>0</v>
      </c>
      <c r="W687">
        <f t="shared" si="66"/>
        <v>0</v>
      </c>
      <c r="X687" t="str">
        <f t="shared" si="67"/>
        <v/>
      </c>
      <c r="Y687">
        <f>IF(X687="",0,IF(COUNTIF($X$3:X687,X687)=1,1,0))</f>
        <v>0</v>
      </c>
      <c r="Z687">
        <f>IF(V687&lt;&gt;1,0,IF(X687="",0,IF(COUNTIF($X$3:X686,X687)&gt;0,1,0)))</f>
        <v>0</v>
      </c>
      <c r="AA687">
        <f t="shared" si="64"/>
        <v>0</v>
      </c>
      <c r="AB687">
        <f t="shared" si="65"/>
        <v>0</v>
      </c>
      <c r="AC687">
        <f>IF(I687="",0,L687*IFERROR(INDEX(کاتالوگ_محصولات!$G$4:$G$303,MATCH(I687,کاتالوگ_محصولات!$A$4:$A$303,0)),0))</f>
        <v>0</v>
      </c>
      <c r="AD687">
        <f t="shared" si="68"/>
        <v>0</v>
      </c>
      <c r="AE687" t="str">
        <f t="shared" si="69"/>
        <v/>
      </c>
    </row>
    <row r="688" spans="22:31" ht="18" customHeight="1">
      <c r="V688">
        <f>IF(A688="",0,IF(COUNTIF($A$3:A688,A688)=1,1,0))</f>
        <v>0</v>
      </c>
      <c r="W688">
        <f t="shared" si="66"/>
        <v>0</v>
      </c>
      <c r="X688" t="str">
        <f t="shared" si="67"/>
        <v/>
      </c>
      <c r="Y688">
        <f>IF(X688="",0,IF(COUNTIF($X$3:X688,X688)=1,1,0))</f>
        <v>0</v>
      </c>
      <c r="Z688">
        <f>IF(V688&lt;&gt;1,0,IF(X688="",0,IF(COUNTIF($X$3:X687,X688)&gt;0,1,0)))</f>
        <v>0</v>
      </c>
      <c r="AA688">
        <f t="shared" si="64"/>
        <v>0</v>
      </c>
      <c r="AB688">
        <f t="shared" si="65"/>
        <v>0</v>
      </c>
      <c r="AC688">
        <f>IF(I688="",0,L688*IFERROR(INDEX(کاتالوگ_محصولات!$G$4:$G$303,MATCH(I688,کاتالوگ_محصولات!$A$4:$A$303,0)),0))</f>
        <v>0</v>
      </c>
      <c r="AD688">
        <f t="shared" si="68"/>
        <v>0</v>
      </c>
      <c r="AE688" t="str">
        <f t="shared" si="69"/>
        <v/>
      </c>
    </row>
    <row r="689" spans="22:31" ht="18" customHeight="1">
      <c r="V689">
        <f>IF(A689="",0,IF(COUNTIF($A$3:A689,A689)=1,1,0))</f>
        <v>0</v>
      </c>
      <c r="W689">
        <f t="shared" si="66"/>
        <v>0</v>
      </c>
      <c r="X689" t="str">
        <f t="shared" si="67"/>
        <v/>
      </c>
      <c r="Y689">
        <f>IF(X689="",0,IF(COUNTIF($X$3:X689,X689)=1,1,0))</f>
        <v>0</v>
      </c>
      <c r="Z689">
        <f>IF(V689&lt;&gt;1,0,IF(X689="",0,IF(COUNTIF($X$3:X688,X689)&gt;0,1,0)))</f>
        <v>0</v>
      </c>
      <c r="AA689">
        <f t="shared" si="64"/>
        <v>0</v>
      </c>
      <c r="AB689">
        <f t="shared" si="65"/>
        <v>0</v>
      </c>
      <c r="AC689">
        <f>IF(I689="",0,L689*IFERROR(INDEX(کاتالوگ_محصولات!$G$4:$G$303,MATCH(I689,کاتالوگ_محصولات!$A$4:$A$303,0)),0))</f>
        <v>0</v>
      </c>
      <c r="AD689">
        <f t="shared" si="68"/>
        <v>0</v>
      </c>
      <c r="AE689" t="str">
        <f t="shared" si="69"/>
        <v/>
      </c>
    </row>
    <row r="690" spans="22:31" ht="18" customHeight="1">
      <c r="V690">
        <f>IF(A690="",0,IF(COUNTIF($A$3:A690,A690)=1,1,0))</f>
        <v>0</v>
      </c>
      <c r="W690">
        <f t="shared" si="66"/>
        <v>0</v>
      </c>
      <c r="X690" t="str">
        <f t="shared" si="67"/>
        <v/>
      </c>
      <c r="Y690">
        <f>IF(X690="",0,IF(COUNTIF($X$3:X690,X690)=1,1,0))</f>
        <v>0</v>
      </c>
      <c r="Z690">
        <f>IF(V690&lt;&gt;1,0,IF(X690="",0,IF(COUNTIF($X$3:X689,X690)&gt;0,1,0)))</f>
        <v>0</v>
      </c>
      <c r="AA690">
        <f t="shared" si="64"/>
        <v>0</v>
      </c>
      <c r="AB690">
        <f t="shared" si="65"/>
        <v>0</v>
      </c>
      <c r="AC690">
        <f>IF(I690="",0,L690*IFERROR(INDEX(کاتالوگ_محصولات!$G$4:$G$303,MATCH(I690,کاتالوگ_محصولات!$A$4:$A$303,0)),0))</f>
        <v>0</v>
      </c>
      <c r="AD690">
        <f t="shared" si="68"/>
        <v>0</v>
      </c>
      <c r="AE690" t="str">
        <f t="shared" si="69"/>
        <v/>
      </c>
    </row>
    <row r="691" spans="22:31" ht="18" customHeight="1">
      <c r="V691">
        <f>IF(A691="",0,IF(COUNTIF($A$3:A691,A691)=1,1,0))</f>
        <v>0</v>
      </c>
      <c r="W691">
        <f t="shared" si="66"/>
        <v>0</v>
      </c>
      <c r="X691" t="str">
        <f t="shared" si="67"/>
        <v/>
      </c>
      <c r="Y691">
        <f>IF(X691="",0,IF(COUNTIF($X$3:X691,X691)=1,1,0))</f>
        <v>0</v>
      </c>
      <c r="Z691">
        <f>IF(V691&lt;&gt;1,0,IF(X691="",0,IF(COUNTIF($X$3:X690,X691)&gt;0,1,0)))</f>
        <v>0</v>
      </c>
      <c r="AA691">
        <f t="shared" si="64"/>
        <v>0</v>
      </c>
      <c r="AB691">
        <f t="shared" si="65"/>
        <v>0</v>
      </c>
      <c r="AC691">
        <f>IF(I691="",0,L691*IFERROR(INDEX(کاتالوگ_محصولات!$G$4:$G$303,MATCH(I691,کاتالوگ_محصولات!$A$4:$A$303,0)),0))</f>
        <v>0</v>
      </c>
      <c r="AD691">
        <f t="shared" si="68"/>
        <v>0</v>
      </c>
      <c r="AE691" t="str">
        <f t="shared" si="69"/>
        <v/>
      </c>
    </row>
    <row r="692" spans="22:31" ht="18" customHeight="1">
      <c r="V692">
        <f>IF(A692="",0,IF(COUNTIF($A$3:A692,A692)=1,1,0))</f>
        <v>0</v>
      </c>
      <c r="W692">
        <f t="shared" si="66"/>
        <v>0</v>
      </c>
      <c r="X692" t="str">
        <f t="shared" si="67"/>
        <v/>
      </c>
      <c r="Y692">
        <f>IF(X692="",0,IF(COUNTIF($X$3:X692,X692)=1,1,0))</f>
        <v>0</v>
      </c>
      <c r="Z692">
        <f>IF(V692&lt;&gt;1,0,IF(X692="",0,IF(COUNTIF($X$3:X691,X692)&gt;0,1,0)))</f>
        <v>0</v>
      </c>
      <c r="AA692">
        <f t="shared" si="64"/>
        <v>0</v>
      </c>
      <c r="AB692">
        <f t="shared" si="65"/>
        <v>0</v>
      </c>
      <c r="AC692">
        <f>IF(I692="",0,L692*IFERROR(INDEX(کاتالوگ_محصولات!$G$4:$G$303,MATCH(I692,کاتالوگ_محصولات!$A$4:$A$303,0)),0))</f>
        <v>0</v>
      </c>
      <c r="AD692">
        <f t="shared" si="68"/>
        <v>0</v>
      </c>
      <c r="AE692" t="str">
        <f t="shared" si="69"/>
        <v/>
      </c>
    </row>
    <row r="693" spans="22:31" ht="18" customHeight="1">
      <c r="V693">
        <f>IF(A693="",0,IF(COUNTIF($A$3:A693,A693)=1,1,0))</f>
        <v>0</v>
      </c>
      <c r="W693">
        <f t="shared" si="66"/>
        <v>0</v>
      </c>
      <c r="X693" t="str">
        <f t="shared" si="67"/>
        <v/>
      </c>
      <c r="Y693">
        <f>IF(X693="",0,IF(COUNTIF($X$3:X693,X693)=1,1,0))</f>
        <v>0</v>
      </c>
      <c r="Z693">
        <f>IF(V693&lt;&gt;1,0,IF(X693="",0,IF(COUNTIF($X$3:X692,X693)&gt;0,1,0)))</f>
        <v>0</v>
      </c>
      <c r="AA693">
        <f t="shared" si="64"/>
        <v>0</v>
      </c>
      <c r="AB693">
        <f t="shared" si="65"/>
        <v>0</v>
      </c>
      <c r="AC693">
        <f>IF(I693="",0,L693*IFERROR(INDEX(کاتالوگ_محصولات!$G$4:$G$303,MATCH(I693,کاتالوگ_محصولات!$A$4:$A$303,0)),0))</f>
        <v>0</v>
      </c>
      <c r="AD693">
        <f t="shared" si="68"/>
        <v>0</v>
      </c>
      <c r="AE693" t="str">
        <f t="shared" si="69"/>
        <v/>
      </c>
    </row>
    <row r="694" spans="22:31" ht="18" customHeight="1">
      <c r="V694">
        <f>IF(A694="",0,IF(COUNTIF($A$3:A694,A694)=1,1,0))</f>
        <v>0</v>
      </c>
      <c r="W694">
        <f t="shared" si="66"/>
        <v>0</v>
      </c>
      <c r="X694" t="str">
        <f t="shared" si="67"/>
        <v/>
      </c>
      <c r="Y694">
        <f>IF(X694="",0,IF(COUNTIF($X$3:X694,X694)=1,1,0))</f>
        <v>0</v>
      </c>
      <c r="Z694">
        <f>IF(V694&lt;&gt;1,0,IF(X694="",0,IF(COUNTIF($X$3:X693,X694)&gt;0,1,0)))</f>
        <v>0</v>
      </c>
      <c r="AA694">
        <f t="shared" si="64"/>
        <v>0</v>
      </c>
      <c r="AB694">
        <f t="shared" si="65"/>
        <v>0</v>
      </c>
      <c r="AC694">
        <f>IF(I694="",0,L694*IFERROR(INDEX(کاتالوگ_محصولات!$G$4:$G$303,MATCH(I694,کاتالوگ_محصولات!$A$4:$A$303,0)),0))</f>
        <v>0</v>
      </c>
      <c r="AD694">
        <f t="shared" si="68"/>
        <v>0</v>
      </c>
      <c r="AE694" t="str">
        <f t="shared" si="69"/>
        <v/>
      </c>
    </row>
    <row r="695" spans="22:31" ht="18" customHeight="1">
      <c r="V695">
        <f>IF(A695="",0,IF(COUNTIF($A$3:A695,A695)=1,1,0))</f>
        <v>0</v>
      </c>
      <c r="W695">
        <f t="shared" si="66"/>
        <v>0</v>
      </c>
      <c r="X695" t="str">
        <f t="shared" si="67"/>
        <v/>
      </c>
      <c r="Y695">
        <f>IF(X695="",0,IF(COUNTIF($X$3:X695,X695)=1,1,0))</f>
        <v>0</v>
      </c>
      <c r="Z695">
        <f>IF(V695&lt;&gt;1,0,IF(X695="",0,IF(COUNTIF($X$3:X694,X695)&gt;0,1,0)))</f>
        <v>0</v>
      </c>
      <c r="AA695">
        <f t="shared" si="64"/>
        <v>0</v>
      </c>
      <c r="AB695">
        <f t="shared" si="65"/>
        <v>0</v>
      </c>
      <c r="AC695">
        <f>IF(I695="",0,L695*IFERROR(INDEX(کاتالوگ_محصولات!$G$4:$G$303,MATCH(I695,کاتالوگ_محصولات!$A$4:$A$303,0)),0))</f>
        <v>0</v>
      </c>
      <c r="AD695">
        <f t="shared" si="68"/>
        <v>0</v>
      </c>
      <c r="AE695" t="str">
        <f t="shared" si="69"/>
        <v/>
      </c>
    </row>
    <row r="696" spans="22:31" ht="18" customHeight="1">
      <c r="V696">
        <f>IF(A696="",0,IF(COUNTIF($A$3:A696,A696)=1,1,0))</f>
        <v>0</v>
      </c>
      <c r="W696">
        <f t="shared" si="66"/>
        <v>0</v>
      </c>
      <c r="X696" t="str">
        <f t="shared" si="67"/>
        <v/>
      </c>
      <c r="Y696">
        <f>IF(X696="",0,IF(COUNTIF($X$3:X696,X696)=1,1,0))</f>
        <v>0</v>
      </c>
      <c r="Z696">
        <f>IF(V696&lt;&gt;1,0,IF(X696="",0,IF(COUNTIF($X$3:X695,X696)&gt;0,1,0)))</f>
        <v>0</v>
      </c>
      <c r="AA696">
        <f t="shared" si="64"/>
        <v>0</v>
      </c>
      <c r="AB696">
        <f t="shared" si="65"/>
        <v>0</v>
      </c>
      <c r="AC696">
        <f>IF(I696="",0,L696*IFERROR(INDEX(کاتالوگ_محصولات!$G$4:$G$303,MATCH(I696,کاتالوگ_محصولات!$A$4:$A$303,0)),0))</f>
        <v>0</v>
      </c>
      <c r="AD696">
        <f t="shared" si="68"/>
        <v>0</v>
      </c>
      <c r="AE696" t="str">
        <f t="shared" si="69"/>
        <v/>
      </c>
    </row>
    <row r="697" spans="22:31" ht="18" customHeight="1">
      <c r="V697">
        <f>IF(A697="",0,IF(COUNTIF($A$3:A697,A697)=1,1,0))</f>
        <v>0</v>
      </c>
      <c r="W697">
        <f t="shared" si="66"/>
        <v>0</v>
      </c>
      <c r="X697" t="str">
        <f t="shared" si="67"/>
        <v/>
      </c>
      <c r="Y697">
        <f>IF(X697="",0,IF(COUNTIF($X$3:X697,X697)=1,1,0))</f>
        <v>0</v>
      </c>
      <c r="Z697">
        <f>IF(V697&lt;&gt;1,0,IF(X697="",0,IF(COUNTIF($X$3:X696,X697)&gt;0,1,0)))</f>
        <v>0</v>
      </c>
      <c r="AA697">
        <f t="shared" si="64"/>
        <v>0</v>
      </c>
      <c r="AB697">
        <f t="shared" si="65"/>
        <v>0</v>
      </c>
      <c r="AC697">
        <f>IF(I697="",0,L697*IFERROR(INDEX(کاتالوگ_محصولات!$G$4:$G$303,MATCH(I697,کاتالوگ_محصولات!$A$4:$A$303,0)),0))</f>
        <v>0</v>
      </c>
      <c r="AD697">
        <f t="shared" si="68"/>
        <v>0</v>
      </c>
      <c r="AE697" t="str">
        <f t="shared" si="69"/>
        <v/>
      </c>
    </row>
    <row r="698" spans="22:31" ht="18" customHeight="1">
      <c r="V698">
        <f>IF(A698="",0,IF(COUNTIF($A$3:A698,A698)=1,1,0))</f>
        <v>0</v>
      </c>
      <c r="W698">
        <f t="shared" si="66"/>
        <v>0</v>
      </c>
      <c r="X698" t="str">
        <f t="shared" si="67"/>
        <v/>
      </c>
      <c r="Y698">
        <f>IF(X698="",0,IF(COUNTIF($X$3:X698,X698)=1,1,0))</f>
        <v>0</v>
      </c>
      <c r="Z698">
        <f>IF(V698&lt;&gt;1,0,IF(X698="",0,IF(COUNTIF($X$3:X697,X698)&gt;0,1,0)))</f>
        <v>0</v>
      </c>
      <c r="AA698">
        <f t="shared" si="64"/>
        <v>0</v>
      </c>
      <c r="AB698">
        <f t="shared" si="65"/>
        <v>0</v>
      </c>
      <c r="AC698">
        <f>IF(I698="",0,L698*IFERROR(INDEX(کاتالوگ_محصولات!$G$4:$G$303,MATCH(I698,کاتالوگ_محصولات!$A$4:$A$303,0)),0))</f>
        <v>0</v>
      </c>
      <c r="AD698">
        <f t="shared" si="68"/>
        <v>0</v>
      </c>
      <c r="AE698" t="str">
        <f t="shared" si="69"/>
        <v/>
      </c>
    </row>
    <row r="699" spans="22:31" ht="18" customHeight="1">
      <c r="V699">
        <f>IF(A699="",0,IF(COUNTIF($A$3:A699,A699)=1,1,0))</f>
        <v>0</v>
      </c>
      <c r="W699">
        <f t="shared" si="66"/>
        <v>0</v>
      </c>
      <c r="X699" t="str">
        <f t="shared" si="67"/>
        <v/>
      </c>
      <c r="Y699">
        <f>IF(X699="",0,IF(COUNTIF($X$3:X699,X699)=1,1,0))</f>
        <v>0</v>
      </c>
      <c r="Z699">
        <f>IF(V699&lt;&gt;1,0,IF(X699="",0,IF(COUNTIF($X$3:X698,X699)&gt;0,1,0)))</f>
        <v>0</v>
      </c>
      <c r="AA699">
        <f t="shared" si="64"/>
        <v>0</v>
      </c>
      <c r="AB699">
        <f t="shared" si="65"/>
        <v>0</v>
      </c>
      <c r="AC699">
        <f>IF(I699="",0,L699*IFERROR(INDEX(کاتالوگ_محصولات!$G$4:$G$303,MATCH(I699,کاتالوگ_محصولات!$A$4:$A$303,0)),0))</f>
        <v>0</v>
      </c>
      <c r="AD699">
        <f t="shared" si="68"/>
        <v>0</v>
      </c>
      <c r="AE699" t="str">
        <f t="shared" si="69"/>
        <v/>
      </c>
    </row>
    <row r="700" spans="22:31" ht="18" customHeight="1">
      <c r="V700">
        <f>IF(A700="",0,IF(COUNTIF($A$3:A700,A700)=1,1,0))</f>
        <v>0</v>
      </c>
      <c r="W700">
        <f t="shared" si="66"/>
        <v>0</v>
      </c>
      <c r="X700" t="str">
        <f t="shared" si="67"/>
        <v/>
      </c>
      <c r="Y700">
        <f>IF(X700="",0,IF(COUNTIF($X$3:X700,X700)=1,1,0))</f>
        <v>0</v>
      </c>
      <c r="Z700">
        <f>IF(V700&lt;&gt;1,0,IF(X700="",0,IF(COUNTIF($X$3:X699,X700)&gt;0,1,0)))</f>
        <v>0</v>
      </c>
      <c r="AA700">
        <f t="shared" si="64"/>
        <v>0</v>
      </c>
      <c r="AB700">
        <f t="shared" si="65"/>
        <v>0</v>
      </c>
      <c r="AC700">
        <f>IF(I700="",0,L700*IFERROR(INDEX(کاتالوگ_محصولات!$G$4:$G$303,MATCH(I700,کاتالوگ_محصولات!$A$4:$A$303,0)),0))</f>
        <v>0</v>
      </c>
      <c r="AD700">
        <f t="shared" si="68"/>
        <v>0</v>
      </c>
      <c r="AE700" t="str">
        <f t="shared" si="69"/>
        <v/>
      </c>
    </row>
    <row r="701" spans="22:31" ht="18" customHeight="1">
      <c r="V701">
        <f>IF(A701="",0,IF(COUNTIF($A$3:A701,A701)=1,1,0))</f>
        <v>0</v>
      </c>
      <c r="W701">
        <f t="shared" si="66"/>
        <v>0</v>
      </c>
      <c r="X701" t="str">
        <f t="shared" si="67"/>
        <v/>
      </c>
      <c r="Y701">
        <f>IF(X701="",0,IF(COUNTIF($X$3:X701,X701)=1,1,0))</f>
        <v>0</v>
      </c>
      <c r="Z701">
        <f>IF(V701&lt;&gt;1,0,IF(X701="",0,IF(COUNTIF($X$3:X700,X701)&gt;0,1,0)))</f>
        <v>0</v>
      </c>
      <c r="AA701">
        <f t="shared" si="64"/>
        <v>0</v>
      </c>
      <c r="AB701">
        <f t="shared" si="65"/>
        <v>0</v>
      </c>
      <c r="AC701">
        <f>IF(I701="",0,L701*IFERROR(INDEX(کاتالوگ_محصولات!$G$4:$G$303,MATCH(I701,کاتالوگ_محصولات!$A$4:$A$303,0)),0))</f>
        <v>0</v>
      </c>
      <c r="AD701">
        <f t="shared" si="68"/>
        <v>0</v>
      </c>
      <c r="AE701" t="str">
        <f t="shared" si="69"/>
        <v/>
      </c>
    </row>
    <row r="702" spans="22:31" ht="18" customHeight="1">
      <c r="V702">
        <f>IF(A702="",0,IF(COUNTIF($A$3:A702,A702)=1,1,0))</f>
        <v>0</v>
      </c>
      <c r="W702">
        <f t="shared" si="66"/>
        <v>0</v>
      </c>
      <c r="X702" t="str">
        <f t="shared" si="67"/>
        <v/>
      </c>
      <c r="Y702">
        <f>IF(X702="",0,IF(COUNTIF($X$3:X702,X702)=1,1,0))</f>
        <v>0</v>
      </c>
      <c r="Z702">
        <f>IF(V702&lt;&gt;1,0,IF(X702="",0,IF(COUNTIF($X$3:X701,X702)&gt;0,1,0)))</f>
        <v>0</v>
      </c>
      <c r="AA702">
        <f t="shared" si="64"/>
        <v>0</v>
      </c>
      <c r="AB702">
        <f t="shared" si="65"/>
        <v>0</v>
      </c>
      <c r="AC702">
        <f>IF(I702="",0,L702*IFERROR(INDEX(کاتالوگ_محصولات!$G$4:$G$303,MATCH(I702,کاتالوگ_محصولات!$A$4:$A$303,0)),0))</f>
        <v>0</v>
      </c>
      <c r="AD702">
        <f t="shared" si="68"/>
        <v>0</v>
      </c>
      <c r="AE702" t="str">
        <f t="shared" si="69"/>
        <v/>
      </c>
    </row>
    <row r="703" spans="22:31" ht="18" customHeight="1">
      <c r="V703">
        <f>IF(A703="",0,IF(COUNTIF($A$3:A703,A703)=1,1,0))</f>
        <v>0</v>
      </c>
      <c r="W703">
        <f t="shared" si="66"/>
        <v>0</v>
      </c>
      <c r="X703" t="str">
        <f t="shared" si="67"/>
        <v/>
      </c>
      <c r="Y703">
        <f>IF(X703="",0,IF(COUNTIF($X$3:X703,X703)=1,1,0))</f>
        <v>0</v>
      </c>
      <c r="Z703">
        <f>IF(V703&lt;&gt;1,0,IF(X703="",0,IF(COUNTIF($X$3:X702,X703)&gt;0,1,0)))</f>
        <v>0</v>
      </c>
      <c r="AA703">
        <f t="shared" si="64"/>
        <v>0</v>
      </c>
      <c r="AB703">
        <f t="shared" si="65"/>
        <v>0</v>
      </c>
      <c r="AC703">
        <f>IF(I703="",0,L703*IFERROR(INDEX(کاتالوگ_محصولات!$G$4:$G$303,MATCH(I703,کاتالوگ_محصولات!$A$4:$A$303,0)),0))</f>
        <v>0</v>
      </c>
      <c r="AD703">
        <f t="shared" si="68"/>
        <v>0</v>
      </c>
      <c r="AE703" t="str">
        <f t="shared" si="69"/>
        <v/>
      </c>
    </row>
    <row r="704" spans="22:31" ht="18" customHeight="1">
      <c r="V704">
        <f>IF(A704="",0,IF(COUNTIF($A$3:A704,A704)=1,1,0))</f>
        <v>0</v>
      </c>
      <c r="W704">
        <f t="shared" si="66"/>
        <v>0</v>
      </c>
      <c r="X704" t="str">
        <f t="shared" si="67"/>
        <v/>
      </c>
      <c r="Y704">
        <f>IF(X704="",0,IF(COUNTIF($X$3:X704,X704)=1,1,0))</f>
        <v>0</v>
      </c>
      <c r="Z704">
        <f>IF(V704&lt;&gt;1,0,IF(X704="",0,IF(COUNTIF($X$3:X703,X704)&gt;0,1,0)))</f>
        <v>0</v>
      </c>
      <c r="AA704">
        <f t="shared" si="64"/>
        <v>0</v>
      </c>
      <c r="AB704">
        <f t="shared" si="65"/>
        <v>0</v>
      </c>
      <c r="AC704">
        <f>IF(I704="",0,L704*IFERROR(INDEX(کاتالوگ_محصولات!$G$4:$G$303,MATCH(I704,کاتالوگ_محصولات!$A$4:$A$303,0)),0))</f>
        <v>0</v>
      </c>
      <c r="AD704">
        <f t="shared" si="68"/>
        <v>0</v>
      </c>
      <c r="AE704" t="str">
        <f t="shared" si="69"/>
        <v/>
      </c>
    </row>
    <row r="705" spans="22:31" ht="18" customHeight="1">
      <c r="V705">
        <f>IF(A705="",0,IF(COUNTIF($A$3:A705,A705)=1,1,0))</f>
        <v>0</v>
      </c>
      <c r="W705">
        <f t="shared" si="66"/>
        <v>0</v>
      </c>
      <c r="X705" t="str">
        <f t="shared" si="67"/>
        <v/>
      </c>
      <c r="Y705">
        <f>IF(X705="",0,IF(COUNTIF($X$3:X705,X705)=1,1,0))</f>
        <v>0</v>
      </c>
      <c r="Z705">
        <f>IF(V705&lt;&gt;1,0,IF(X705="",0,IF(COUNTIF($X$3:X704,X705)&gt;0,1,0)))</f>
        <v>0</v>
      </c>
      <c r="AA705">
        <f t="shared" si="64"/>
        <v>0</v>
      </c>
      <c r="AB705">
        <f t="shared" si="65"/>
        <v>0</v>
      </c>
      <c r="AC705">
        <f>IF(I705="",0,L705*IFERROR(INDEX(کاتالوگ_محصولات!$G$4:$G$303,MATCH(I705,کاتالوگ_محصولات!$A$4:$A$303,0)),0))</f>
        <v>0</v>
      </c>
      <c r="AD705">
        <f t="shared" si="68"/>
        <v>0</v>
      </c>
      <c r="AE705" t="str">
        <f t="shared" si="69"/>
        <v/>
      </c>
    </row>
    <row r="706" spans="22:31" ht="18" customHeight="1">
      <c r="V706">
        <f>IF(A706="",0,IF(COUNTIF($A$3:A706,A706)=1,1,0))</f>
        <v>0</v>
      </c>
      <c r="W706">
        <f t="shared" si="66"/>
        <v>0</v>
      </c>
      <c r="X706" t="str">
        <f t="shared" si="67"/>
        <v/>
      </c>
      <c r="Y706">
        <f>IF(X706="",0,IF(COUNTIF($X$3:X706,X706)=1,1,0))</f>
        <v>0</v>
      </c>
      <c r="Z706">
        <f>IF(V706&lt;&gt;1,0,IF(X706="",0,IF(COUNTIF($X$3:X705,X706)&gt;0,1,0)))</f>
        <v>0</v>
      </c>
      <c r="AA706">
        <f t="shared" si="64"/>
        <v>0</v>
      </c>
      <c r="AB706">
        <f t="shared" si="65"/>
        <v>0</v>
      </c>
      <c r="AC706">
        <f>IF(I706="",0,L706*IFERROR(INDEX(کاتالوگ_محصولات!$G$4:$G$303,MATCH(I706,کاتالوگ_محصولات!$A$4:$A$303,0)),0))</f>
        <v>0</v>
      </c>
      <c r="AD706">
        <f t="shared" si="68"/>
        <v>0</v>
      </c>
      <c r="AE706" t="str">
        <f t="shared" si="69"/>
        <v/>
      </c>
    </row>
    <row r="707" spans="22:31" ht="18" customHeight="1">
      <c r="V707">
        <f>IF(A707="",0,IF(COUNTIF($A$3:A707,A707)=1,1,0))</f>
        <v>0</v>
      </c>
      <c r="W707">
        <f t="shared" si="66"/>
        <v>0</v>
      </c>
      <c r="X707" t="str">
        <f t="shared" si="67"/>
        <v/>
      </c>
      <c r="Y707">
        <f>IF(X707="",0,IF(COUNTIF($X$3:X707,X707)=1,1,0))</f>
        <v>0</v>
      </c>
      <c r="Z707">
        <f>IF(V707&lt;&gt;1,0,IF(X707="",0,IF(COUNTIF($X$3:X706,X707)&gt;0,1,0)))</f>
        <v>0</v>
      </c>
      <c r="AA707">
        <f t="shared" ref="AA707:AA770" si="70">IF(V707=1,SUMIF($A$3:$A$1622,A707,$O$3:$O$1622),0)</f>
        <v>0</v>
      </c>
      <c r="AB707">
        <f t="shared" ref="AB707:AB770" si="71">IF(V707=1,SUMIF($A$3:$A$1622,A707,$L$3:$L$1622),0)</f>
        <v>0</v>
      </c>
      <c r="AC707">
        <f>IF(I707="",0,L707*IFERROR(INDEX(کاتالوگ_محصولات!$G$4:$G$303,MATCH(I707,کاتالوگ_محصولات!$A$4:$A$303,0)),0))</f>
        <v>0</v>
      </c>
      <c r="AD707">
        <f t="shared" si="68"/>
        <v>0</v>
      </c>
      <c r="AE707" t="str">
        <f t="shared" si="69"/>
        <v/>
      </c>
    </row>
    <row r="708" spans="22:31" ht="18" customHeight="1">
      <c r="V708">
        <f>IF(A708="",0,IF(COUNTIF($A$3:A708,A708)=1,1,0))</f>
        <v>0</v>
      </c>
      <c r="W708">
        <f t="shared" si="66"/>
        <v>0</v>
      </c>
      <c r="X708" t="str">
        <f t="shared" si="67"/>
        <v/>
      </c>
      <c r="Y708">
        <f>IF(X708="",0,IF(COUNTIF($X$3:X708,X708)=1,1,0))</f>
        <v>0</v>
      </c>
      <c r="Z708">
        <f>IF(V708&lt;&gt;1,0,IF(X708="",0,IF(COUNTIF($X$3:X707,X708)&gt;0,1,0)))</f>
        <v>0</v>
      </c>
      <c r="AA708">
        <f t="shared" si="70"/>
        <v>0</v>
      </c>
      <c r="AB708">
        <f t="shared" si="71"/>
        <v>0</v>
      </c>
      <c r="AC708">
        <f>IF(I708="",0,L708*IFERROR(INDEX(کاتالوگ_محصولات!$G$4:$G$303,MATCH(I708,کاتالوگ_محصولات!$A$4:$A$303,0)),0))</f>
        <v>0</v>
      </c>
      <c r="AD708">
        <f t="shared" si="68"/>
        <v>0</v>
      </c>
      <c r="AE708" t="str">
        <f t="shared" si="69"/>
        <v/>
      </c>
    </row>
    <row r="709" spans="22:31" ht="18" customHeight="1">
      <c r="V709">
        <f>IF(A709="",0,IF(COUNTIF($A$3:A709,A709)=1,1,0))</f>
        <v>0</v>
      </c>
      <c r="W709">
        <f t="shared" si="66"/>
        <v>0</v>
      </c>
      <c r="X709" t="str">
        <f t="shared" si="67"/>
        <v/>
      </c>
      <c r="Y709">
        <f>IF(X709="",0,IF(COUNTIF($X$3:X709,X709)=1,1,0))</f>
        <v>0</v>
      </c>
      <c r="Z709">
        <f>IF(V709&lt;&gt;1,0,IF(X709="",0,IF(COUNTIF($X$3:X708,X709)&gt;0,1,0)))</f>
        <v>0</v>
      </c>
      <c r="AA709">
        <f t="shared" si="70"/>
        <v>0</v>
      </c>
      <c r="AB709">
        <f t="shared" si="71"/>
        <v>0</v>
      </c>
      <c r="AC709">
        <f>IF(I709="",0,L709*IFERROR(INDEX(کاتالوگ_محصولات!$G$4:$G$303,MATCH(I709,کاتالوگ_محصولات!$A$4:$A$303,0)),0))</f>
        <v>0</v>
      </c>
      <c r="AD709">
        <f t="shared" si="68"/>
        <v>0</v>
      </c>
      <c r="AE709" t="str">
        <f t="shared" si="69"/>
        <v/>
      </c>
    </row>
    <row r="710" spans="22:31" ht="18" customHeight="1">
      <c r="V710">
        <f>IF(A710="",0,IF(COUNTIF($A$3:A710,A710)=1,1,0))</f>
        <v>0</v>
      </c>
      <c r="W710">
        <f t="shared" si="66"/>
        <v>0</v>
      </c>
      <c r="X710" t="str">
        <f t="shared" si="67"/>
        <v/>
      </c>
      <c r="Y710">
        <f>IF(X710="",0,IF(COUNTIF($X$3:X710,X710)=1,1,0))</f>
        <v>0</v>
      </c>
      <c r="Z710">
        <f>IF(V710&lt;&gt;1,0,IF(X710="",0,IF(COUNTIF($X$3:X709,X710)&gt;0,1,0)))</f>
        <v>0</v>
      </c>
      <c r="AA710">
        <f t="shared" si="70"/>
        <v>0</v>
      </c>
      <c r="AB710">
        <f t="shared" si="71"/>
        <v>0</v>
      </c>
      <c r="AC710">
        <f>IF(I710="",0,L710*IFERROR(INDEX(کاتالوگ_محصولات!$G$4:$G$303,MATCH(I710,کاتالوگ_محصولات!$A$4:$A$303,0)),0))</f>
        <v>0</v>
      </c>
      <c r="AD710">
        <f t="shared" si="68"/>
        <v>0</v>
      </c>
      <c r="AE710" t="str">
        <f t="shared" si="69"/>
        <v/>
      </c>
    </row>
    <row r="711" spans="22:31" ht="18" customHeight="1">
      <c r="V711">
        <f>IF(A711="",0,IF(COUNTIF($A$3:A711,A711)=1,1,0))</f>
        <v>0</v>
      </c>
      <c r="W711">
        <f t="shared" si="66"/>
        <v>0</v>
      </c>
      <c r="X711" t="str">
        <f t="shared" si="67"/>
        <v/>
      </c>
      <c r="Y711">
        <f>IF(X711="",0,IF(COUNTIF($X$3:X711,X711)=1,1,0))</f>
        <v>0</v>
      </c>
      <c r="Z711">
        <f>IF(V711&lt;&gt;1,0,IF(X711="",0,IF(COUNTIF($X$3:X710,X711)&gt;0,1,0)))</f>
        <v>0</v>
      </c>
      <c r="AA711">
        <f t="shared" si="70"/>
        <v>0</v>
      </c>
      <c r="AB711">
        <f t="shared" si="71"/>
        <v>0</v>
      </c>
      <c r="AC711">
        <f>IF(I711="",0,L711*IFERROR(INDEX(کاتالوگ_محصولات!$G$4:$G$303,MATCH(I711,کاتالوگ_محصولات!$A$4:$A$303,0)),0))</f>
        <v>0</v>
      </c>
      <c r="AD711">
        <f t="shared" si="68"/>
        <v>0</v>
      </c>
      <c r="AE711" t="str">
        <f t="shared" si="69"/>
        <v/>
      </c>
    </row>
    <row r="712" spans="22:31" ht="18" customHeight="1">
      <c r="V712">
        <f>IF(A712="",0,IF(COUNTIF($A$3:A712,A712)=1,1,0))</f>
        <v>0</v>
      </c>
      <c r="W712">
        <f t="shared" si="66"/>
        <v>0</v>
      </c>
      <c r="X712" t="str">
        <f t="shared" si="67"/>
        <v/>
      </c>
      <c r="Y712">
        <f>IF(X712="",0,IF(COUNTIF($X$3:X712,X712)=1,1,0))</f>
        <v>0</v>
      </c>
      <c r="Z712">
        <f>IF(V712&lt;&gt;1,0,IF(X712="",0,IF(COUNTIF($X$3:X711,X712)&gt;0,1,0)))</f>
        <v>0</v>
      </c>
      <c r="AA712">
        <f t="shared" si="70"/>
        <v>0</v>
      </c>
      <c r="AB712">
        <f t="shared" si="71"/>
        <v>0</v>
      </c>
      <c r="AC712">
        <f>IF(I712="",0,L712*IFERROR(INDEX(کاتالوگ_محصولات!$G$4:$G$303,MATCH(I712,کاتالوگ_محصولات!$A$4:$A$303,0)),0))</f>
        <v>0</v>
      </c>
      <c r="AD712">
        <f t="shared" si="68"/>
        <v>0</v>
      </c>
      <c r="AE712" t="str">
        <f t="shared" si="69"/>
        <v/>
      </c>
    </row>
    <row r="713" spans="22:31" ht="18" customHeight="1">
      <c r="V713">
        <f>IF(A713="",0,IF(COUNTIF($A$3:A713,A713)=1,1,0))</f>
        <v>0</v>
      </c>
      <c r="W713">
        <f t="shared" ref="W713:W776" si="72">IF(A713="",0,L713*M713)</f>
        <v>0</v>
      </c>
      <c r="X713" t="str">
        <f t="shared" ref="X713:X776" si="73">IF(R713&lt;&gt;"",R713,IF(AND(P713&lt;&gt;"",Q713&lt;&gt;""),P713&amp;"|"&amp;Q713,""))</f>
        <v/>
      </c>
      <c r="Y713">
        <f>IF(X713="",0,IF(COUNTIF($X$3:X713,X713)=1,1,0))</f>
        <v>0</v>
      </c>
      <c r="Z713">
        <f>IF(V713&lt;&gt;1,0,IF(X713="",0,IF(COUNTIF($X$3:X712,X713)&gt;0,1,0)))</f>
        <v>0</v>
      </c>
      <c r="AA713">
        <f t="shared" si="70"/>
        <v>0</v>
      </c>
      <c r="AB713">
        <f t="shared" si="71"/>
        <v>0</v>
      </c>
      <c r="AC713">
        <f>IF(I713="",0,L713*IFERROR(INDEX(کاتالوگ_محصولات!$G$4:$G$303,MATCH(I713,کاتالوگ_محصولات!$A$4:$A$303,0)),0))</f>
        <v>0</v>
      </c>
      <c r="AD713">
        <f t="shared" ref="AD713:AD776" si="74">IF(A713="",0,O713-AC713)</f>
        <v>0</v>
      </c>
      <c r="AE713" t="str">
        <f t="shared" ref="AE713:AE776" si="75">IF(B713="","",LEFT(B713,7))</f>
        <v/>
      </c>
    </row>
    <row r="714" spans="22:31" ht="18" customHeight="1">
      <c r="V714">
        <f>IF(A714="",0,IF(COUNTIF($A$3:A714,A714)=1,1,0))</f>
        <v>0</v>
      </c>
      <c r="W714">
        <f t="shared" si="72"/>
        <v>0</v>
      </c>
      <c r="X714" t="str">
        <f t="shared" si="73"/>
        <v/>
      </c>
      <c r="Y714">
        <f>IF(X714="",0,IF(COUNTIF($X$3:X714,X714)=1,1,0))</f>
        <v>0</v>
      </c>
      <c r="Z714">
        <f>IF(V714&lt;&gt;1,0,IF(X714="",0,IF(COUNTIF($X$3:X713,X714)&gt;0,1,0)))</f>
        <v>0</v>
      </c>
      <c r="AA714">
        <f t="shared" si="70"/>
        <v>0</v>
      </c>
      <c r="AB714">
        <f t="shared" si="71"/>
        <v>0</v>
      </c>
      <c r="AC714">
        <f>IF(I714="",0,L714*IFERROR(INDEX(کاتالوگ_محصولات!$G$4:$G$303,MATCH(I714,کاتالوگ_محصولات!$A$4:$A$303,0)),0))</f>
        <v>0</v>
      </c>
      <c r="AD714">
        <f t="shared" si="74"/>
        <v>0</v>
      </c>
      <c r="AE714" t="str">
        <f t="shared" si="75"/>
        <v/>
      </c>
    </row>
    <row r="715" spans="22:31" ht="18" customHeight="1">
      <c r="V715">
        <f>IF(A715="",0,IF(COUNTIF($A$3:A715,A715)=1,1,0))</f>
        <v>0</v>
      </c>
      <c r="W715">
        <f t="shared" si="72"/>
        <v>0</v>
      </c>
      <c r="X715" t="str">
        <f t="shared" si="73"/>
        <v/>
      </c>
      <c r="Y715">
        <f>IF(X715="",0,IF(COUNTIF($X$3:X715,X715)=1,1,0))</f>
        <v>0</v>
      </c>
      <c r="Z715">
        <f>IF(V715&lt;&gt;1,0,IF(X715="",0,IF(COUNTIF($X$3:X714,X715)&gt;0,1,0)))</f>
        <v>0</v>
      </c>
      <c r="AA715">
        <f t="shared" si="70"/>
        <v>0</v>
      </c>
      <c r="AB715">
        <f t="shared" si="71"/>
        <v>0</v>
      </c>
      <c r="AC715">
        <f>IF(I715="",0,L715*IFERROR(INDEX(کاتالوگ_محصولات!$G$4:$G$303,MATCH(I715,کاتالوگ_محصولات!$A$4:$A$303,0)),0))</f>
        <v>0</v>
      </c>
      <c r="AD715">
        <f t="shared" si="74"/>
        <v>0</v>
      </c>
      <c r="AE715" t="str">
        <f t="shared" si="75"/>
        <v/>
      </c>
    </row>
    <row r="716" spans="22:31" ht="18" customHeight="1">
      <c r="V716">
        <f>IF(A716="",0,IF(COUNTIF($A$3:A716,A716)=1,1,0))</f>
        <v>0</v>
      </c>
      <c r="W716">
        <f t="shared" si="72"/>
        <v>0</v>
      </c>
      <c r="X716" t="str">
        <f t="shared" si="73"/>
        <v/>
      </c>
      <c r="Y716">
        <f>IF(X716="",0,IF(COUNTIF($X$3:X716,X716)=1,1,0))</f>
        <v>0</v>
      </c>
      <c r="Z716">
        <f>IF(V716&lt;&gt;1,0,IF(X716="",0,IF(COUNTIF($X$3:X715,X716)&gt;0,1,0)))</f>
        <v>0</v>
      </c>
      <c r="AA716">
        <f t="shared" si="70"/>
        <v>0</v>
      </c>
      <c r="AB716">
        <f t="shared" si="71"/>
        <v>0</v>
      </c>
      <c r="AC716">
        <f>IF(I716="",0,L716*IFERROR(INDEX(کاتالوگ_محصولات!$G$4:$G$303,MATCH(I716,کاتالوگ_محصولات!$A$4:$A$303,0)),0))</f>
        <v>0</v>
      </c>
      <c r="AD716">
        <f t="shared" si="74"/>
        <v>0</v>
      </c>
      <c r="AE716" t="str">
        <f t="shared" si="75"/>
        <v/>
      </c>
    </row>
    <row r="717" spans="22:31" ht="18" customHeight="1">
      <c r="V717">
        <f>IF(A717="",0,IF(COUNTIF($A$3:A717,A717)=1,1,0))</f>
        <v>0</v>
      </c>
      <c r="W717">
        <f t="shared" si="72"/>
        <v>0</v>
      </c>
      <c r="X717" t="str">
        <f t="shared" si="73"/>
        <v/>
      </c>
      <c r="Y717">
        <f>IF(X717="",0,IF(COUNTIF($X$3:X717,X717)=1,1,0))</f>
        <v>0</v>
      </c>
      <c r="Z717">
        <f>IF(V717&lt;&gt;1,0,IF(X717="",0,IF(COUNTIF($X$3:X716,X717)&gt;0,1,0)))</f>
        <v>0</v>
      </c>
      <c r="AA717">
        <f t="shared" si="70"/>
        <v>0</v>
      </c>
      <c r="AB717">
        <f t="shared" si="71"/>
        <v>0</v>
      </c>
      <c r="AC717">
        <f>IF(I717="",0,L717*IFERROR(INDEX(کاتالوگ_محصولات!$G$4:$G$303,MATCH(I717,کاتالوگ_محصولات!$A$4:$A$303,0)),0))</f>
        <v>0</v>
      </c>
      <c r="AD717">
        <f t="shared" si="74"/>
        <v>0</v>
      </c>
      <c r="AE717" t="str">
        <f t="shared" si="75"/>
        <v/>
      </c>
    </row>
    <row r="718" spans="22:31" ht="18" customHeight="1">
      <c r="V718">
        <f>IF(A718="",0,IF(COUNTIF($A$3:A718,A718)=1,1,0))</f>
        <v>0</v>
      </c>
      <c r="W718">
        <f t="shared" si="72"/>
        <v>0</v>
      </c>
      <c r="X718" t="str">
        <f t="shared" si="73"/>
        <v/>
      </c>
      <c r="Y718">
        <f>IF(X718="",0,IF(COUNTIF($X$3:X718,X718)=1,1,0))</f>
        <v>0</v>
      </c>
      <c r="Z718">
        <f>IF(V718&lt;&gt;1,0,IF(X718="",0,IF(COUNTIF($X$3:X717,X718)&gt;0,1,0)))</f>
        <v>0</v>
      </c>
      <c r="AA718">
        <f t="shared" si="70"/>
        <v>0</v>
      </c>
      <c r="AB718">
        <f t="shared" si="71"/>
        <v>0</v>
      </c>
      <c r="AC718">
        <f>IF(I718="",0,L718*IFERROR(INDEX(کاتالوگ_محصولات!$G$4:$G$303,MATCH(I718,کاتالوگ_محصولات!$A$4:$A$303,0)),0))</f>
        <v>0</v>
      </c>
      <c r="AD718">
        <f t="shared" si="74"/>
        <v>0</v>
      </c>
      <c r="AE718" t="str">
        <f t="shared" si="75"/>
        <v/>
      </c>
    </row>
    <row r="719" spans="22:31" ht="18" customHeight="1">
      <c r="V719">
        <f>IF(A719="",0,IF(COUNTIF($A$3:A719,A719)=1,1,0))</f>
        <v>0</v>
      </c>
      <c r="W719">
        <f t="shared" si="72"/>
        <v>0</v>
      </c>
      <c r="X719" t="str">
        <f t="shared" si="73"/>
        <v/>
      </c>
      <c r="Y719">
        <f>IF(X719="",0,IF(COUNTIF($X$3:X719,X719)=1,1,0))</f>
        <v>0</v>
      </c>
      <c r="Z719">
        <f>IF(V719&lt;&gt;1,0,IF(X719="",0,IF(COUNTIF($X$3:X718,X719)&gt;0,1,0)))</f>
        <v>0</v>
      </c>
      <c r="AA719">
        <f t="shared" si="70"/>
        <v>0</v>
      </c>
      <c r="AB719">
        <f t="shared" si="71"/>
        <v>0</v>
      </c>
      <c r="AC719">
        <f>IF(I719="",0,L719*IFERROR(INDEX(کاتالوگ_محصولات!$G$4:$G$303,MATCH(I719,کاتالوگ_محصولات!$A$4:$A$303,0)),0))</f>
        <v>0</v>
      </c>
      <c r="AD719">
        <f t="shared" si="74"/>
        <v>0</v>
      </c>
      <c r="AE719" t="str">
        <f t="shared" si="75"/>
        <v/>
      </c>
    </row>
    <row r="720" spans="22:31" ht="18" customHeight="1">
      <c r="V720">
        <f>IF(A720="",0,IF(COUNTIF($A$3:A720,A720)=1,1,0))</f>
        <v>0</v>
      </c>
      <c r="W720">
        <f t="shared" si="72"/>
        <v>0</v>
      </c>
      <c r="X720" t="str">
        <f t="shared" si="73"/>
        <v/>
      </c>
      <c r="Y720">
        <f>IF(X720="",0,IF(COUNTIF($X$3:X720,X720)=1,1,0))</f>
        <v>0</v>
      </c>
      <c r="Z720">
        <f>IF(V720&lt;&gt;1,0,IF(X720="",0,IF(COUNTIF($X$3:X719,X720)&gt;0,1,0)))</f>
        <v>0</v>
      </c>
      <c r="AA720">
        <f t="shared" si="70"/>
        <v>0</v>
      </c>
      <c r="AB720">
        <f t="shared" si="71"/>
        <v>0</v>
      </c>
      <c r="AC720">
        <f>IF(I720="",0,L720*IFERROR(INDEX(کاتالوگ_محصولات!$G$4:$G$303,MATCH(I720,کاتالوگ_محصولات!$A$4:$A$303,0)),0))</f>
        <v>0</v>
      </c>
      <c r="AD720">
        <f t="shared" si="74"/>
        <v>0</v>
      </c>
      <c r="AE720" t="str">
        <f t="shared" si="75"/>
        <v/>
      </c>
    </row>
    <row r="721" spans="22:31" ht="18" customHeight="1">
      <c r="V721">
        <f>IF(A721="",0,IF(COUNTIF($A$3:A721,A721)=1,1,0))</f>
        <v>0</v>
      </c>
      <c r="W721">
        <f t="shared" si="72"/>
        <v>0</v>
      </c>
      <c r="X721" t="str">
        <f t="shared" si="73"/>
        <v/>
      </c>
      <c r="Y721">
        <f>IF(X721="",0,IF(COUNTIF($X$3:X721,X721)=1,1,0))</f>
        <v>0</v>
      </c>
      <c r="Z721">
        <f>IF(V721&lt;&gt;1,0,IF(X721="",0,IF(COUNTIF($X$3:X720,X721)&gt;0,1,0)))</f>
        <v>0</v>
      </c>
      <c r="AA721">
        <f t="shared" si="70"/>
        <v>0</v>
      </c>
      <c r="AB721">
        <f t="shared" si="71"/>
        <v>0</v>
      </c>
      <c r="AC721">
        <f>IF(I721="",0,L721*IFERROR(INDEX(کاتالوگ_محصولات!$G$4:$G$303,MATCH(I721,کاتالوگ_محصولات!$A$4:$A$303,0)),0))</f>
        <v>0</v>
      </c>
      <c r="AD721">
        <f t="shared" si="74"/>
        <v>0</v>
      </c>
      <c r="AE721" t="str">
        <f t="shared" si="75"/>
        <v/>
      </c>
    </row>
    <row r="722" spans="22:31" ht="18" customHeight="1">
      <c r="V722">
        <f>IF(A722="",0,IF(COUNTIF($A$3:A722,A722)=1,1,0))</f>
        <v>0</v>
      </c>
      <c r="W722">
        <f t="shared" si="72"/>
        <v>0</v>
      </c>
      <c r="X722" t="str">
        <f t="shared" si="73"/>
        <v/>
      </c>
      <c r="Y722">
        <f>IF(X722="",0,IF(COUNTIF($X$3:X722,X722)=1,1,0))</f>
        <v>0</v>
      </c>
      <c r="Z722">
        <f>IF(V722&lt;&gt;1,0,IF(X722="",0,IF(COUNTIF($X$3:X721,X722)&gt;0,1,0)))</f>
        <v>0</v>
      </c>
      <c r="AA722">
        <f t="shared" si="70"/>
        <v>0</v>
      </c>
      <c r="AB722">
        <f t="shared" si="71"/>
        <v>0</v>
      </c>
      <c r="AC722">
        <f>IF(I722="",0,L722*IFERROR(INDEX(کاتالوگ_محصولات!$G$4:$G$303,MATCH(I722,کاتالوگ_محصولات!$A$4:$A$303,0)),0))</f>
        <v>0</v>
      </c>
      <c r="AD722">
        <f t="shared" si="74"/>
        <v>0</v>
      </c>
      <c r="AE722" t="str">
        <f t="shared" si="75"/>
        <v/>
      </c>
    </row>
    <row r="723" spans="22:31" ht="18" customHeight="1">
      <c r="V723">
        <f>IF(A723="",0,IF(COUNTIF($A$3:A723,A723)=1,1,0))</f>
        <v>0</v>
      </c>
      <c r="W723">
        <f t="shared" si="72"/>
        <v>0</v>
      </c>
      <c r="X723" t="str">
        <f t="shared" si="73"/>
        <v/>
      </c>
      <c r="Y723">
        <f>IF(X723="",0,IF(COUNTIF($X$3:X723,X723)=1,1,0))</f>
        <v>0</v>
      </c>
      <c r="Z723">
        <f>IF(V723&lt;&gt;1,0,IF(X723="",0,IF(COUNTIF($X$3:X722,X723)&gt;0,1,0)))</f>
        <v>0</v>
      </c>
      <c r="AA723">
        <f t="shared" si="70"/>
        <v>0</v>
      </c>
      <c r="AB723">
        <f t="shared" si="71"/>
        <v>0</v>
      </c>
      <c r="AC723">
        <f>IF(I723="",0,L723*IFERROR(INDEX(کاتالوگ_محصولات!$G$4:$G$303,MATCH(I723,کاتالوگ_محصولات!$A$4:$A$303,0)),0))</f>
        <v>0</v>
      </c>
      <c r="AD723">
        <f t="shared" si="74"/>
        <v>0</v>
      </c>
      <c r="AE723" t="str">
        <f t="shared" si="75"/>
        <v/>
      </c>
    </row>
    <row r="724" spans="22:31" ht="18" customHeight="1">
      <c r="V724">
        <f>IF(A724="",0,IF(COUNTIF($A$3:A724,A724)=1,1,0))</f>
        <v>0</v>
      </c>
      <c r="W724">
        <f t="shared" si="72"/>
        <v>0</v>
      </c>
      <c r="X724" t="str">
        <f t="shared" si="73"/>
        <v/>
      </c>
      <c r="Y724">
        <f>IF(X724="",0,IF(COUNTIF($X$3:X724,X724)=1,1,0))</f>
        <v>0</v>
      </c>
      <c r="Z724">
        <f>IF(V724&lt;&gt;1,0,IF(X724="",0,IF(COUNTIF($X$3:X723,X724)&gt;0,1,0)))</f>
        <v>0</v>
      </c>
      <c r="AA724">
        <f t="shared" si="70"/>
        <v>0</v>
      </c>
      <c r="AB724">
        <f t="shared" si="71"/>
        <v>0</v>
      </c>
      <c r="AC724">
        <f>IF(I724="",0,L724*IFERROR(INDEX(کاتالوگ_محصولات!$G$4:$G$303,MATCH(I724,کاتالوگ_محصولات!$A$4:$A$303,0)),0))</f>
        <v>0</v>
      </c>
      <c r="AD724">
        <f t="shared" si="74"/>
        <v>0</v>
      </c>
      <c r="AE724" t="str">
        <f t="shared" si="75"/>
        <v/>
      </c>
    </row>
    <row r="725" spans="22:31" ht="18" customHeight="1">
      <c r="V725">
        <f>IF(A725="",0,IF(COUNTIF($A$3:A725,A725)=1,1,0))</f>
        <v>0</v>
      </c>
      <c r="W725">
        <f t="shared" si="72"/>
        <v>0</v>
      </c>
      <c r="X725" t="str">
        <f t="shared" si="73"/>
        <v/>
      </c>
      <c r="Y725">
        <f>IF(X725="",0,IF(COUNTIF($X$3:X725,X725)=1,1,0))</f>
        <v>0</v>
      </c>
      <c r="Z725">
        <f>IF(V725&lt;&gt;1,0,IF(X725="",0,IF(COUNTIF($X$3:X724,X725)&gt;0,1,0)))</f>
        <v>0</v>
      </c>
      <c r="AA725">
        <f t="shared" si="70"/>
        <v>0</v>
      </c>
      <c r="AB725">
        <f t="shared" si="71"/>
        <v>0</v>
      </c>
      <c r="AC725">
        <f>IF(I725="",0,L725*IFERROR(INDEX(کاتالوگ_محصولات!$G$4:$G$303,MATCH(I725,کاتالوگ_محصولات!$A$4:$A$303,0)),0))</f>
        <v>0</v>
      </c>
      <c r="AD725">
        <f t="shared" si="74"/>
        <v>0</v>
      </c>
      <c r="AE725" t="str">
        <f t="shared" si="75"/>
        <v/>
      </c>
    </row>
    <row r="726" spans="22:31" ht="18" customHeight="1">
      <c r="V726">
        <f>IF(A726="",0,IF(COUNTIF($A$3:A726,A726)=1,1,0))</f>
        <v>0</v>
      </c>
      <c r="W726">
        <f t="shared" si="72"/>
        <v>0</v>
      </c>
      <c r="X726" t="str">
        <f t="shared" si="73"/>
        <v/>
      </c>
      <c r="Y726">
        <f>IF(X726="",0,IF(COUNTIF($X$3:X726,X726)=1,1,0))</f>
        <v>0</v>
      </c>
      <c r="Z726">
        <f>IF(V726&lt;&gt;1,0,IF(X726="",0,IF(COUNTIF($X$3:X725,X726)&gt;0,1,0)))</f>
        <v>0</v>
      </c>
      <c r="AA726">
        <f t="shared" si="70"/>
        <v>0</v>
      </c>
      <c r="AB726">
        <f t="shared" si="71"/>
        <v>0</v>
      </c>
      <c r="AC726">
        <f>IF(I726="",0,L726*IFERROR(INDEX(کاتالوگ_محصولات!$G$4:$G$303,MATCH(I726,کاتالوگ_محصولات!$A$4:$A$303,0)),0))</f>
        <v>0</v>
      </c>
      <c r="AD726">
        <f t="shared" si="74"/>
        <v>0</v>
      </c>
      <c r="AE726" t="str">
        <f t="shared" si="75"/>
        <v/>
      </c>
    </row>
    <row r="727" spans="22:31" ht="18" customHeight="1">
      <c r="V727">
        <f>IF(A727="",0,IF(COUNTIF($A$3:A727,A727)=1,1,0))</f>
        <v>0</v>
      </c>
      <c r="W727">
        <f t="shared" si="72"/>
        <v>0</v>
      </c>
      <c r="X727" t="str">
        <f t="shared" si="73"/>
        <v/>
      </c>
      <c r="Y727">
        <f>IF(X727="",0,IF(COUNTIF($X$3:X727,X727)=1,1,0))</f>
        <v>0</v>
      </c>
      <c r="Z727">
        <f>IF(V727&lt;&gt;1,0,IF(X727="",0,IF(COUNTIF($X$3:X726,X727)&gt;0,1,0)))</f>
        <v>0</v>
      </c>
      <c r="AA727">
        <f t="shared" si="70"/>
        <v>0</v>
      </c>
      <c r="AB727">
        <f t="shared" si="71"/>
        <v>0</v>
      </c>
      <c r="AC727">
        <f>IF(I727="",0,L727*IFERROR(INDEX(کاتالوگ_محصولات!$G$4:$G$303,MATCH(I727,کاتالوگ_محصولات!$A$4:$A$303,0)),0))</f>
        <v>0</v>
      </c>
      <c r="AD727">
        <f t="shared" si="74"/>
        <v>0</v>
      </c>
      <c r="AE727" t="str">
        <f t="shared" si="75"/>
        <v/>
      </c>
    </row>
    <row r="728" spans="22:31" ht="18" customHeight="1">
      <c r="V728">
        <f>IF(A728="",0,IF(COUNTIF($A$3:A728,A728)=1,1,0))</f>
        <v>0</v>
      </c>
      <c r="W728">
        <f t="shared" si="72"/>
        <v>0</v>
      </c>
      <c r="X728" t="str">
        <f t="shared" si="73"/>
        <v/>
      </c>
      <c r="Y728">
        <f>IF(X728="",0,IF(COUNTIF($X$3:X728,X728)=1,1,0))</f>
        <v>0</v>
      </c>
      <c r="Z728">
        <f>IF(V728&lt;&gt;1,0,IF(X728="",0,IF(COUNTIF($X$3:X727,X728)&gt;0,1,0)))</f>
        <v>0</v>
      </c>
      <c r="AA728">
        <f t="shared" si="70"/>
        <v>0</v>
      </c>
      <c r="AB728">
        <f t="shared" si="71"/>
        <v>0</v>
      </c>
      <c r="AC728">
        <f>IF(I728="",0,L728*IFERROR(INDEX(کاتالوگ_محصولات!$G$4:$G$303,MATCH(I728,کاتالوگ_محصولات!$A$4:$A$303,0)),0))</f>
        <v>0</v>
      </c>
      <c r="AD728">
        <f t="shared" si="74"/>
        <v>0</v>
      </c>
      <c r="AE728" t="str">
        <f t="shared" si="75"/>
        <v/>
      </c>
    </row>
    <row r="729" spans="22:31" ht="18" customHeight="1">
      <c r="V729">
        <f>IF(A729="",0,IF(COUNTIF($A$3:A729,A729)=1,1,0))</f>
        <v>0</v>
      </c>
      <c r="W729">
        <f t="shared" si="72"/>
        <v>0</v>
      </c>
      <c r="X729" t="str">
        <f t="shared" si="73"/>
        <v/>
      </c>
      <c r="Y729">
        <f>IF(X729="",0,IF(COUNTIF($X$3:X729,X729)=1,1,0))</f>
        <v>0</v>
      </c>
      <c r="Z729">
        <f>IF(V729&lt;&gt;1,0,IF(X729="",0,IF(COUNTIF($X$3:X728,X729)&gt;0,1,0)))</f>
        <v>0</v>
      </c>
      <c r="AA729">
        <f t="shared" si="70"/>
        <v>0</v>
      </c>
      <c r="AB729">
        <f t="shared" si="71"/>
        <v>0</v>
      </c>
      <c r="AC729">
        <f>IF(I729="",0,L729*IFERROR(INDEX(کاتالوگ_محصولات!$G$4:$G$303,MATCH(I729,کاتالوگ_محصولات!$A$4:$A$303,0)),0))</f>
        <v>0</v>
      </c>
      <c r="AD729">
        <f t="shared" si="74"/>
        <v>0</v>
      </c>
      <c r="AE729" t="str">
        <f t="shared" si="75"/>
        <v/>
      </c>
    </row>
    <row r="730" spans="22:31" ht="18" customHeight="1">
      <c r="V730">
        <f>IF(A730="",0,IF(COUNTIF($A$3:A730,A730)=1,1,0))</f>
        <v>0</v>
      </c>
      <c r="W730">
        <f t="shared" si="72"/>
        <v>0</v>
      </c>
      <c r="X730" t="str">
        <f t="shared" si="73"/>
        <v/>
      </c>
      <c r="Y730">
        <f>IF(X730="",0,IF(COUNTIF($X$3:X730,X730)=1,1,0))</f>
        <v>0</v>
      </c>
      <c r="Z730">
        <f>IF(V730&lt;&gt;1,0,IF(X730="",0,IF(COUNTIF($X$3:X729,X730)&gt;0,1,0)))</f>
        <v>0</v>
      </c>
      <c r="AA730">
        <f t="shared" si="70"/>
        <v>0</v>
      </c>
      <c r="AB730">
        <f t="shared" si="71"/>
        <v>0</v>
      </c>
      <c r="AC730">
        <f>IF(I730="",0,L730*IFERROR(INDEX(کاتالوگ_محصولات!$G$4:$G$303,MATCH(I730,کاتالوگ_محصولات!$A$4:$A$303,0)),0))</f>
        <v>0</v>
      </c>
      <c r="AD730">
        <f t="shared" si="74"/>
        <v>0</v>
      </c>
      <c r="AE730" t="str">
        <f t="shared" si="75"/>
        <v/>
      </c>
    </row>
    <row r="731" spans="22:31" ht="18" customHeight="1">
      <c r="V731">
        <f>IF(A731="",0,IF(COUNTIF($A$3:A731,A731)=1,1,0))</f>
        <v>0</v>
      </c>
      <c r="W731">
        <f t="shared" si="72"/>
        <v>0</v>
      </c>
      <c r="X731" t="str">
        <f t="shared" si="73"/>
        <v/>
      </c>
      <c r="Y731">
        <f>IF(X731="",0,IF(COUNTIF($X$3:X731,X731)=1,1,0))</f>
        <v>0</v>
      </c>
      <c r="Z731">
        <f>IF(V731&lt;&gt;1,0,IF(X731="",0,IF(COUNTIF($X$3:X730,X731)&gt;0,1,0)))</f>
        <v>0</v>
      </c>
      <c r="AA731">
        <f t="shared" si="70"/>
        <v>0</v>
      </c>
      <c r="AB731">
        <f t="shared" si="71"/>
        <v>0</v>
      </c>
      <c r="AC731">
        <f>IF(I731="",0,L731*IFERROR(INDEX(کاتالوگ_محصولات!$G$4:$G$303,MATCH(I731,کاتالوگ_محصولات!$A$4:$A$303,0)),0))</f>
        <v>0</v>
      </c>
      <c r="AD731">
        <f t="shared" si="74"/>
        <v>0</v>
      </c>
      <c r="AE731" t="str">
        <f t="shared" si="75"/>
        <v/>
      </c>
    </row>
    <row r="732" spans="22:31" ht="18" customHeight="1">
      <c r="V732">
        <f>IF(A732="",0,IF(COUNTIF($A$3:A732,A732)=1,1,0))</f>
        <v>0</v>
      </c>
      <c r="W732">
        <f t="shared" si="72"/>
        <v>0</v>
      </c>
      <c r="X732" t="str">
        <f t="shared" si="73"/>
        <v/>
      </c>
      <c r="Y732">
        <f>IF(X732="",0,IF(COUNTIF($X$3:X732,X732)=1,1,0))</f>
        <v>0</v>
      </c>
      <c r="Z732">
        <f>IF(V732&lt;&gt;1,0,IF(X732="",0,IF(COUNTIF($X$3:X731,X732)&gt;0,1,0)))</f>
        <v>0</v>
      </c>
      <c r="AA732">
        <f t="shared" si="70"/>
        <v>0</v>
      </c>
      <c r="AB732">
        <f t="shared" si="71"/>
        <v>0</v>
      </c>
      <c r="AC732">
        <f>IF(I732="",0,L732*IFERROR(INDEX(کاتالوگ_محصولات!$G$4:$G$303,MATCH(I732,کاتالوگ_محصولات!$A$4:$A$303,0)),0))</f>
        <v>0</v>
      </c>
      <c r="AD732">
        <f t="shared" si="74"/>
        <v>0</v>
      </c>
      <c r="AE732" t="str">
        <f t="shared" si="75"/>
        <v/>
      </c>
    </row>
    <row r="733" spans="22:31" ht="18" customHeight="1">
      <c r="V733">
        <f>IF(A733="",0,IF(COUNTIF($A$3:A733,A733)=1,1,0))</f>
        <v>0</v>
      </c>
      <c r="W733">
        <f t="shared" si="72"/>
        <v>0</v>
      </c>
      <c r="X733" t="str">
        <f t="shared" si="73"/>
        <v/>
      </c>
      <c r="Y733">
        <f>IF(X733="",0,IF(COUNTIF($X$3:X733,X733)=1,1,0))</f>
        <v>0</v>
      </c>
      <c r="Z733">
        <f>IF(V733&lt;&gt;1,0,IF(X733="",0,IF(COUNTIF($X$3:X732,X733)&gt;0,1,0)))</f>
        <v>0</v>
      </c>
      <c r="AA733">
        <f t="shared" si="70"/>
        <v>0</v>
      </c>
      <c r="AB733">
        <f t="shared" si="71"/>
        <v>0</v>
      </c>
      <c r="AC733">
        <f>IF(I733="",0,L733*IFERROR(INDEX(کاتالوگ_محصولات!$G$4:$G$303,MATCH(I733,کاتالوگ_محصولات!$A$4:$A$303,0)),0))</f>
        <v>0</v>
      </c>
      <c r="AD733">
        <f t="shared" si="74"/>
        <v>0</v>
      </c>
      <c r="AE733" t="str">
        <f t="shared" si="75"/>
        <v/>
      </c>
    </row>
    <row r="734" spans="22:31" ht="18" customHeight="1">
      <c r="V734">
        <f>IF(A734="",0,IF(COUNTIF($A$3:A734,A734)=1,1,0))</f>
        <v>0</v>
      </c>
      <c r="W734">
        <f t="shared" si="72"/>
        <v>0</v>
      </c>
      <c r="X734" t="str">
        <f t="shared" si="73"/>
        <v/>
      </c>
      <c r="Y734">
        <f>IF(X734="",0,IF(COUNTIF($X$3:X734,X734)=1,1,0))</f>
        <v>0</v>
      </c>
      <c r="Z734">
        <f>IF(V734&lt;&gt;1,0,IF(X734="",0,IF(COUNTIF($X$3:X733,X734)&gt;0,1,0)))</f>
        <v>0</v>
      </c>
      <c r="AA734">
        <f t="shared" si="70"/>
        <v>0</v>
      </c>
      <c r="AB734">
        <f t="shared" si="71"/>
        <v>0</v>
      </c>
      <c r="AC734">
        <f>IF(I734="",0,L734*IFERROR(INDEX(کاتالوگ_محصولات!$G$4:$G$303,MATCH(I734,کاتالوگ_محصولات!$A$4:$A$303,0)),0))</f>
        <v>0</v>
      </c>
      <c r="AD734">
        <f t="shared" si="74"/>
        <v>0</v>
      </c>
      <c r="AE734" t="str">
        <f t="shared" si="75"/>
        <v/>
      </c>
    </row>
    <row r="735" spans="22:31" ht="18" customHeight="1">
      <c r="V735">
        <f>IF(A735="",0,IF(COUNTIF($A$3:A735,A735)=1,1,0))</f>
        <v>0</v>
      </c>
      <c r="W735">
        <f t="shared" si="72"/>
        <v>0</v>
      </c>
      <c r="X735" t="str">
        <f t="shared" si="73"/>
        <v/>
      </c>
      <c r="Y735">
        <f>IF(X735="",0,IF(COUNTIF($X$3:X735,X735)=1,1,0))</f>
        <v>0</v>
      </c>
      <c r="Z735">
        <f>IF(V735&lt;&gt;1,0,IF(X735="",0,IF(COUNTIF($X$3:X734,X735)&gt;0,1,0)))</f>
        <v>0</v>
      </c>
      <c r="AA735">
        <f t="shared" si="70"/>
        <v>0</v>
      </c>
      <c r="AB735">
        <f t="shared" si="71"/>
        <v>0</v>
      </c>
      <c r="AC735">
        <f>IF(I735="",0,L735*IFERROR(INDEX(کاتالوگ_محصولات!$G$4:$G$303,MATCH(I735,کاتالوگ_محصولات!$A$4:$A$303,0)),0))</f>
        <v>0</v>
      </c>
      <c r="AD735">
        <f t="shared" si="74"/>
        <v>0</v>
      </c>
      <c r="AE735" t="str">
        <f t="shared" si="75"/>
        <v/>
      </c>
    </row>
    <row r="736" spans="22:31" ht="18" customHeight="1">
      <c r="V736">
        <f>IF(A736="",0,IF(COUNTIF($A$3:A736,A736)=1,1,0))</f>
        <v>0</v>
      </c>
      <c r="W736">
        <f t="shared" si="72"/>
        <v>0</v>
      </c>
      <c r="X736" t="str">
        <f t="shared" si="73"/>
        <v/>
      </c>
      <c r="Y736">
        <f>IF(X736="",0,IF(COUNTIF($X$3:X736,X736)=1,1,0))</f>
        <v>0</v>
      </c>
      <c r="Z736">
        <f>IF(V736&lt;&gt;1,0,IF(X736="",0,IF(COUNTIF($X$3:X735,X736)&gt;0,1,0)))</f>
        <v>0</v>
      </c>
      <c r="AA736">
        <f t="shared" si="70"/>
        <v>0</v>
      </c>
      <c r="AB736">
        <f t="shared" si="71"/>
        <v>0</v>
      </c>
      <c r="AC736">
        <f>IF(I736="",0,L736*IFERROR(INDEX(کاتالوگ_محصولات!$G$4:$G$303,MATCH(I736,کاتالوگ_محصولات!$A$4:$A$303,0)),0))</f>
        <v>0</v>
      </c>
      <c r="AD736">
        <f t="shared" si="74"/>
        <v>0</v>
      </c>
      <c r="AE736" t="str">
        <f t="shared" si="75"/>
        <v/>
      </c>
    </row>
    <row r="737" spans="22:31" ht="18" customHeight="1">
      <c r="V737">
        <f>IF(A737="",0,IF(COUNTIF($A$3:A737,A737)=1,1,0))</f>
        <v>0</v>
      </c>
      <c r="W737">
        <f t="shared" si="72"/>
        <v>0</v>
      </c>
      <c r="X737" t="str">
        <f t="shared" si="73"/>
        <v/>
      </c>
      <c r="Y737">
        <f>IF(X737="",0,IF(COUNTIF($X$3:X737,X737)=1,1,0))</f>
        <v>0</v>
      </c>
      <c r="Z737">
        <f>IF(V737&lt;&gt;1,0,IF(X737="",0,IF(COUNTIF($X$3:X736,X737)&gt;0,1,0)))</f>
        <v>0</v>
      </c>
      <c r="AA737">
        <f t="shared" si="70"/>
        <v>0</v>
      </c>
      <c r="AB737">
        <f t="shared" si="71"/>
        <v>0</v>
      </c>
      <c r="AC737">
        <f>IF(I737="",0,L737*IFERROR(INDEX(کاتالوگ_محصولات!$G$4:$G$303,MATCH(I737,کاتالوگ_محصولات!$A$4:$A$303,0)),0))</f>
        <v>0</v>
      </c>
      <c r="AD737">
        <f t="shared" si="74"/>
        <v>0</v>
      </c>
      <c r="AE737" t="str">
        <f t="shared" si="75"/>
        <v/>
      </c>
    </row>
    <row r="738" spans="22:31" ht="18" customHeight="1">
      <c r="V738">
        <f>IF(A738="",0,IF(COUNTIF($A$3:A738,A738)=1,1,0))</f>
        <v>0</v>
      </c>
      <c r="W738">
        <f t="shared" si="72"/>
        <v>0</v>
      </c>
      <c r="X738" t="str">
        <f t="shared" si="73"/>
        <v/>
      </c>
      <c r="Y738">
        <f>IF(X738="",0,IF(COUNTIF($X$3:X738,X738)=1,1,0))</f>
        <v>0</v>
      </c>
      <c r="Z738">
        <f>IF(V738&lt;&gt;1,0,IF(X738="",0,IF(COUNTIF($X$3:X737,X738)&gt;0,1,0)))</f>
        <v>0</v>
      </c>
      <c r="AA738">
        <f t="shared" si="70"/>
        <v>0</v>
      </c>
      <c r="AB738">
        <f t="shared" si="71"/>
        <v>0</v>
      </c>
      <c r="AC738">
        <f>IF(I738="",0,L738*IFERROR(INDEX(کاتالوگ_محصولات!$G$4:$G$303,MATCH(I738,کاتالوگ_محصولات!$A$4:$A$303,0)),0))</f>
        <v>0</v>
      </c>
      <c r="AD738">
        <f t="shared" si="74"/>
        <v>0</v>
      </c>
      <c r="AE738" t="str">
        <f t="shared" si="75"/>
        <v/>
      </c>
    </row>
    <row r="739" spans="22:31" ht="18" customHeight="1">
      <c r="V739">
        <f>IF(A739="",0,IF(COUNTIF($A$3:A739,A739)=1,1,0))</f>
        <v>0</v>
      </c>
      <c r="W739">
        <f t="shared" si="72"/>
        <v>0</v>
      </c>
      <c r="X739" t="str">
        <f t="shared" si="73"/>
        <v/>
      </c>
      <c r="Y739">
        <f>IF(X739="",0,IF(COUNTIF($X$3:X739,X739)=1,1,0))</f>
        <v>0</v>
      </c>
      <c r="Z739">
        <f>IF(V739&lt;&gt;1,0,IF(X739="",0,IF(COUNTIF($X$3:X738,X739)&gt;0,1,0)))</f>
        <v>0</v>
      </c>
      <c r="AA739">
        <f t="shared" si="70"/>
        <v>0</v>
      </c>
      <c r="AB739">
        <f t="shared" si="71"/>
        <v>0</v>
      </c>
      <c r="AC739">
        <f>IF(I739="",0,L739*IFERROR(INDEX(کاتالوگ_محصولات!$G$4:$G$303,MATCH(I739,کاتالوگ_محصولات!$A$4:$A$303,0)),0))</f>
        <v>0</v>
      </c>
      <c r="AD739">
        <f t="shared" si="74"/>
        <v>0</v>
      </c>
      <c r="AE739" t="str">
        <f t="shared" si="75"/>
        <v/>
      </c>
    </row>
    <row r="740" spans="22:31" ht="18" customHeight="1">
      <c r="V740">
        <f>IF(A740="",0,IF(COUNTIF($A$3:A740,A740)=1,1,0))</f>
        <v>0</v>
      </c>
      <c r="W740">
        <f t="shared" si="72"/>
        <v>0</v>
      </c>
      <c r="X740" t="str">
        <f t="shared" si="73"/>
        <v/>
      </c>
      <c r="Y740">
        <f>IF(X740="",0,IF(COUNTIF($X$3:X740,X740)=1,1,0))</f>
        <v>0</v>
      </c>
      <c r="Z740">
        <f>IF(V740&lt;&gt;1,0,IF(X740="",0,IF(COUNTIF($X$3:X739,X740)&gt;0,1,0)))</f>
        <v>0</v>
      </c>
      <c r="AA740">
        <f t="shared" si="70"/>
        <v>0</v>
      </c>
      <c r="AB740">
        <f t="shared" si="71"/>
        <v>0</v>
      </c>
      <c r="AC740">
        <f>IF(I740="",0,L740*IFERROR(INDEX(کاتالوگ_محصولات!$G$4:$G$303,MATCH(I740,کاتالوگ_محصولات!$A$4:$A$303,0)),0))</f>
        <v>0</v>
      </c>
      <c r="AD740">
        <f t="shared" si="74"/>
        <v>0</v>
      </c>
      <c r="AE740" t="str">
        <f t="shared" si="75"/>
        <v/>
      </c>
    </row>
    <row r="741" spans="22:31" ht="18" customHeight="1">
      <c r="V741">
        <f>IF(A741="",0,IF(COUNTIF($A$3:A741,A741)=1,1,0))</f>
        <v>0</v>
      </c>
      <c r="W741">
        <f t="shared" si="72"/>
        <v>0</v>
      </c>
      <c r="X741" t="str">
        <f t="shared" si="73"/>
        <v/>
      </c>
      <c r="Y741">
        <f>IF(X741="",0,IF(COUNTIF($X$3:X741,X741)=1,1,0))</f>
        <v>0</v>
      </c>
      <c r="Z741">
        <f>IF(V741&lt;&gt;1,0,IF(X741="",0,IF(COUNTIF($X$3:X740,X741)&gt;0,1,0)))</f>
        <v>0</v>
      </c>
      <c r="AA741">
        <f t="shared" si="70"/>
        <v>0</v>
      </c>
      <c r="AB741">
        <f t="shared" si="71"/>
        <v>0</v>
      </c>
      <c r="AC741">
        <f>IF(I741="",0,L741*IFERROR(INDEX(کاتالوگ_محصولات!$G$4:$G$303,MATCH(I741,کاتالوگ_محصولات!$A$4:$A$303,0)),0))</f>
        <v>0</v>
      </c>
      <c r="AD741">
        <f t="shared" si="74"/>
        <v>0</v>
      </c>
      <c r="AE741" t="str">
        <f t="shared" si="75"/>
        <v/>
      </c>
    </row>
    <row r="742" spans="22:31" ht="18" customHeight="1">
      <c r="V742">
        <f>IF(A742="",0,IF(COUNTIF($A$3:A742,A742)=1,1,0))</f>
        <v>0</v>
      </c>
      <c r="W742">
        <f t="shared" si="72"/>
        <v>0</v>
      </c>
      <c r="X742" t="str">
        <f t="shared" si="73"/>
        <v/>
      </c>
      <c r="Y742">
        <f>IF(X742="",0,IF(COUNTIF($X$3:X742,X742)=1,1,0))</f>
        <v>0</v>
      </c>
      <c r="Z742">
        <f>IF(V742&lt;&gt;1,0,IF(X742="",0,IF(COUNTIF($X$3:X741,X742)&gt;0,1,0)))</f>
        <v>0</v>
      </c>
      <c r="AA742">
        <f t="shared" si="70"/>
        <v>0</v>
      </c>
      <c r="AB742">
        <f t="shared" si="71"/>
        <v>0</v>
      </c>
      <c r="AC742">
        <f>IF(I742="",0,L742*IFERROR(INDEX(کاتالوگ_محصولات!$G$4:$G$303,MATCH(I742,کاتالوگ_محصولات!$A$4:$A$303,0)),0))</f>
        <v>0</v>
      </c>
      <c r="AD742">
        <f t="shared" si="74"/>
        <v>0</v>
      </c>
      <c r="AE742" t="str">
        <f t="shared" si="75"/>
        <v/>
      </c>
    </row>
    <row r="743" spans="22:31" ht="18" customHeight="1">
      <c r="V743">
        <f>IF(A743="",0,IF(COUNTIF($A$3:A743,A743)=1,1,0))</f>
        <v>0</v>
      </c>
      <c r="W743">
        <f t="shared" si="72"/>
        <v>0</v>
      </c>
      <c r="X743" t="str">
        <f t="shared" si="73"/>
        <v/>
      </c>
      <c r="Y743">
        <f>IF(X743="",0,IF(COUNTIF($X$3:X743,X743)=1,1,0))</f>
        <v>0</v>
      </c>
      <c r="Z743">
        <f>IF(V743&lt;&gt;1,0,IF(X743="",0,IF(COUNTIF($X$3:X742,X743)&gt;0,1,0)))</f>
        <v>0</v>
      </c>
      <c r="AA743">
        <f t="shared" si="70"/>
        <v>0</v>
      </c>
      <c r="AB743">
        <f t="shared" si="71"/>
        <v>0</v>
      </c>
      <c r="AC743">
        <f>IF(I743="",0,L743*IFERROR(INDEX(کاتالوگ_محصولات!$G$4:$G$303,MATCH(I743,کاتالوگ_محصولات!$A$4:$A$303,0)),0))</f>
        <v>0</v>
      </c>
      <c r="AD743">
        <f t="shared" si="74"/>
        <v>0</v>
      </c>
      <c r="AE743" t="str">
        <f t="shared" si="75"/>
        <v/>
      </c>
    </row>
    <row r="744" spans="22:31" ht="18" customHeight="1">
      <c r="V744">
        <f>IF(A744="",0,IF(COUNTIF($A$3:A744,A744)=1,1,0))</f>
        <v>0</v>
      </c>
      <c r="W744">
        <f t="shared" si="72"/>
        <v>0</v>
      </c>
      <c r="X744" t="str">
        <f t="shared" si="73"/>
        <v/>
      </c>
      <c r="Y744">
        <f>IF(X744="",0,IF(COUNTIF($X$3:X744,X744)=1,1,0))</f>
        <v>0</v>
      </c>
      <c r="Z744">
        <f>IF(V744&lt;&gt;1,0,IF(X744="",0,IF(COUNTIF($X$3:X743,X744)&gt;0,1,0)))</f>
        <v>0</v>
      </c>
      <c r="AA744">
        <f t="shared" si="70"/>
        <v>0</v>
      </c>
      <c r="AB744">
        <f t="shared" si="71"/>
        <v>0</v>
      </c>
      <c r="AC744">
        <f>IF(I744="",0,L744*IFERROR(INDEX(کاتالوگ_محصولات!$G$4:$G$303,MATCH(I744,کاتالوگ_محصولات!$A$4:$A$303,0)),0))</f>
        <v>0</v>
      </c>
      <c r="AD744">
        <f t="shared" si="74"/>
        <v>0</v>
      </c>
      <c r="AE744" t="str">
        <f t="shared" si="75"/>
        <v/>
      </c>
    </row>
    <row r="745" spans="22:31" ht="18" customHeight="1">
      <c r="V745">
        <f>IF(A745="",0,IF(COUNTIF($A$3:A745,A745)=1,1,0))</f>
        <v>0</v>
      </c>
      <c r="W745">
        <f t="shared" si="72"/>
        <v>0</v>
      </c>
      <c r="X745" t="str">
        <f t="shared" si="73"/>
        <v/>
      </c>
      <c r="Y745">
        <f>IF(X745="",0,IF(COUNTIF($X$3:X745,X745)=1,1,0))</f>
        <v>0</v>
      </c>
      <c r="Z745">
        <f>IF(V745&lt;&gt;1,0,IF(X745="",0,IF(COUNTIF($X$3:X744,X745)&gt;0,1,0)))</f>
        <v>0</v>
      </c>
      <c r="AA745">
        <f t="shared" si="70"/>
        <v>0</v>
      </c>
      <c r="AB745">
        <f t="shared" si="71"/>
        <v>0</v>
      </c>
      <c r="AC745">
        <f>IF(I745="",0,L745*IFERROR(INDEX(کاتالوگ_محصولات!$G$4:$G$303,MATCH(I745,کاتالوگ_محصولات!$A$4:$A$303,0)),0))</f>
        <v>0</v>
      </c>
      <c r="AD745">
        <f t="shared" si="74"/>
        <v>0</v>
      </c>
      <c r="AE745" t="str">
        <f t="shared" si="75"/>
        <v/>
      </c>
    </row>
    <row r="746" spans="22:31" ht="18" customHeight="1">
      <c r="V746">
        <f>IF(A746="",0,IF(COUNTIF($A$3:A746,A746)=1,1,0))</f>
        <v>0</v>
      </c>
      <c r="W746">
        <f t="shared" si="72"/>
        <v>0</v>
      </c>
      <c r="X746" t="str">
        <f t="shared" si="73"/>
        <v/>
      </c>
      <c r="Y746">
        <f>IF(X746="",0,IF(COUNTIF($X$3:X746,X746)=1,1,0))</f>
        <v>0</v>
      </c>
      <c r="Z746">
        <f>IF(V746&lt;&gt;1,0,IF(X746="",0,IF(COUNTIF($X$3:X745,X746)&gt;0,1,0)))</f>
        <v>0</v>
      </c>
      <c r="AA746">
        <f t="shared" si="70"/>
        <v>0</v>
      </c>
      <c r="AB746">
        <f t="shared" si="71"/>
        <v>0</v>
      </c>
      <c r="AC746">
        <f>IF(I746="",0,L746*IFERROR(INDEX(کاتالوگ_محصولات!$G$4:$G$303,MATCH(I746,کاتالوگ_محصولات!$A$4:$A$303,0)),0))</f>
        <v>0</v>
      </c>
      <c r="AD746">
        <f t="shared" si="74"/>
        <v>0</v>
      </c>
      <c r="AE746" t="str">
        <f t="shared" si="75"/>
        <v/>
      </c>
    </row>
    <row r="747" spans="22:31" ht="18" customHeight="1">
      <c r="V747">
        <f>IF(A747="",0,IF(COUNTIF($A$3:A747,A747)=1,1,0))</f>
        <v>0</v>
      </c>
      <c r="W747">
        <f t="shared" si="72"/>
        <v>0</v>
      </c>
      <c r="X747" t="str">
        <f t="shared" si="73"/>
        <v/>
      </c>
      <c r="Y747">
        <f>IF(X747="",0,IF(COUNTIF($X$3:X747,X747)=1,1,0))</f>
        <v>0</v>
      </c>
      <c r="Z747">
        <f>IF(V747&lt;&gt;1,0,IF(X747="",0,IF(COUNTIF($X$3:X746,X747)&gt;0,1,0)))</f>
        <v>0</v>
      </c>
      <c r="AA747">
        <f t="shared" si="70"/>
        <v>0</v>
      </c>
      <c r="AB747">
        <f t="shared" si="71"/>
        <v>0</v>
      </c>
      <c r="AC747">
        <f>IF(I747="",0,L747*IFERROR(INDEX(کاتالوگ_محصولات!$G$4:$G$303,MATCH(I747,کاتالوگ_محصولات!$A$4:$A$303,0)),0))</f>
        <v>0</v>
      </c>
      <c r="AD747">
        <f t="shared" si="74"/>
        <v>0</v>
      </c>
      <c r="AE747" t="str">
        <f t="shared" si="75"/>
        <v/>
      </c>
    </row>
    <row r="748" spans="22:31" ht="18" customHeight="1">
      <c r="V748">
        <f>IF(A748="",0,IF(COUNTIF($A$3:A748,A748)=1,1,0))</f>
        <v>0</v>
      </c>
      <c r="W748">
        <f t="shared" si="72"/>
        <v>0</v>
      </c>
      <c r="X748" t="str">
        <f t="shared" si="73"/>
        <v/>
      </c>
      <c r="Y748">
        <f>IF(X748="",0,IF(COUNTIF($X$3:X748,X748)=1,1,0))</f>
        <v>0</v>
      </c>
      <c r="Z748">
        <f>IF(V748&lt;&gt;1,0,IF(X748="",0,IF(COUNTIF($X$3:X747,X748)&gt;0,1,0)))</f>
        <v>0</v>
      </c>
      <c r="AA748">
        <f t="shared" si="70"/>
        <v>0</v>
      </c>
      <c r="AB748">
        <f t="shared" si="71"/>
        <v>0</v>
      </c>
      <c r="AC748">
        <f>IF(I748="",0,L748*IFERROR(INDEX(کاتالوگ_محصولات!$G$4:$G$303,MATCH(I748,کاتالوگ_محصولات!$A$4:$A$303,0)),0))</f>
        <v>0</v>
      </c>
      <c r="AD748">
        <f t="shared" si="74"/>
        <v>0</v>
      </c>
      <c r="AE748" t="str">
        <f t="shared" si="75"/>
        <v/>
      </c>
    </row>
    <row r="749" spans="22:31" ht="18" customHeight="1">
      <c r="V749">
        <f>IF(A749="",0,IF(COUNTIF($A$3:A749,A749)=1,1,0))</f>
        <v>0</v>
      </c>
      <c r="W749">
        <f t="shared" si="72"/>
        <v>0</v>
      </c>
      <c r="X749" t="str">
        <f t="shared" si="73"/>
        <v/>
      </c>
      <c r="Y749">
        <f>IF(X749="",0,IF(COUNTIF($X$3:X749,X749)=1,1,0))</f>
        <v>0</v>
      </c>
      <c r="Z749">
        <f>IF(V749&lt;&gt;1,0,IF(X749="",0,IF(COUNTIF($X$3:X748,X749)&gt;0,1,0)))</f>
        <v>0</v>
      </c>
      <c r="AA749">
        <f t="shared" si="70"/>
        <v>0</v>
      </c>
      <c r="AB749">
        <f t="shared" si="71"/>
        <v>0</v>
      </c>
      <c r="AC749">
        <f>IF(I749="",0,L749*IFERROR(INDEX(کاتالوگ_محصولات!$G$4:$G$303,MATCH(I749,کاتالوگ_محصولات!$A$4:$A$303,0)),0))</f>
        <v>0</v>
      </c>
      <c r="AD749">
        <f t="shared" si="74"/>
        <v>0</v>
      </c>
      <c r="AE749" t="str">
        <f t="shared" si="75"/>
        <v/>
      </c>
    </row>
    <row r="750" spans="22:31" ht="18" customHeight="1">
      <c r="V750">
        <f>IF(A750="",0,IF(COUNTIF($A$3:A750,A750)=1,1,0))</f>
        <v>0</v>
      </c>
      <c r="W750">
        <f t="shared" si="72"/>
        <v>0</v>
      </c>
      <c r="X750" t="str">
        <f t="shared" si="73"/>
        <v/>
      </c>
      <c r="Y750">
        <f>IF(X750="",0,IF(COUNTIF($X$3:X750,X750)=1,1,0))</f>
        <v>0</v>
      </c>
      <c r="Z750">
        <f>IF(V750&lt;&gt;1,0,IF(X750="",0,IF(COUNTIF($X$3:X749,X750)&gt;0,1,0)))</f>
        <v>0</v>
      </c>
      <c r="AA750">
        <f t="shared" si="70"/>
        <v>0</v>
      </c>
      <c r="AB750">
        <f t="shared" si="71"/>
        <v>0</v>
      </c>
      <c r="AC750">
        <f>IF(I750="",0,L750*IFERROR(INDEX(کاتالوگ_محصولات!$G$4:$G$303,MATCH(I750,کاتالوگ_محصولات!$A$4:$A$303,0)),0))</f>
        <v>0</v>
      </c>
      <c r="AD750">
        <f t="shared" si="74"/>
        <v>0</v>
      </c>
      <c r="AE750" t="str">
        <f t="shared" si="75"/>
        <v/>
      </c>
    </row>
    <row r="751" spans="22:31" ht="18" customHeight="1">
      <c r="V751">
        <f>IF(A751="",0,IF(COUNTIF($A$3:A751,A751)=1,1,0))</f>
        <v>0</v>
      </c>
      <c r="W751">
        <f t="shared" si="72"/>
        <v>0</v>
      </c>
      <c r="X751" t="str">
        <f t="shared" si="73"/>
        <v/>
      </c>
      <c r="Y751">
        <f>IF(X751="",0,IF(COUNTIF($X$3:X751,X751)=1,1,0))</f>
        <v>0</v>
      </c>
      <c r="Z751">
        <f>IF(V751&lt;&gt;1,0,IF(X751="",0,IF(COUNTIF($X$3:X750,X751)&gt;0,1,0)))</f>
        <v>0</v>
      </c>
      <c r="AA751">
        <f t="shared" si="70"/>
        <v>0</v>
      </c>
      <c r="AB751">
        <f t="shared" si="71"/>
        <v>0</v>
      </c>
      <c r="AC751">
        <f>IF(I751="",0,L751*IFERROR(INDEX(کاتالوگ_محصولات!$G$4:$G$303,MATCH(I751,کاتالوگ_محصولات!$A$4:$A$303,0)),0))</f>
        <v>0</v>
      </c>
      <c r="AD751">
        <f t="shared" si="74"/>
        <v>0</v>
      </c>
      <c r="AE751" t="str">
        <f t="shared" si="75"/>
        <v/>
      </c>
    </row>
    <row r="752" spans="22:31" ht="18" customHeight="1">
      <c r="V752">
        <f>IF(A752="",0,IF(COUNTIF($A$3:A752,A752)=1,1,0))</f>
        <v>0</v>
      </c>
      <c r="W752">
        <f t="shared" si="72"/>
        <v>0</v>
      </c>
      <c r="X752" t="str">
        <f t="shared" si="73"/>
        <v/>
      </c>
      <c r="Y752">
        <f>IF(X752="",0,IF(COUNTIF($X$3:X752,X752)=1,1,0))</f>
        <v>0</v>
      </c>
      <c r="Z752">
        <f>IF(V752&lt;&gt;1,0,IF(X752="",0,IF(COUNTIF($X$3:X751,X752)&gt;0,1,0)))</f>
        <v>0</v>
      </c>
      <c r="AA752">
        <f t="shared" si="70"/>
        <v>0</v>
      </c>
      <c r="AB752">
        <f t="shared" si="71"/>
        <v>0</v>
      </c>
      <c r="AC752">
        <f>IF(I752="",0,L752*IFERROR(INDEX(کاتالوگ_محصولات!$G$4:$G$303,MATCH(I752,کاتالوگ_محصولات!$A$4:$A$303,0)),0))</f>
        <v>0</v>
      </c>
      <c r="AD752">
        <f t="shared" si="74"/>
        <v>0</v>
      </c>
      <c r="AE752" t="str">
        <f t="shared" si="75"/>
        <v/>
      </c>
    </row>
    <row r="753" spans="22:31" ht="18" customHeight="1">
      <c r="V753">
        <f>IF(A753="",0,IF(COUNTIF($A$3:A753,A753)=1,1,0))</f>
        <v>0</v>
      </c>
      <c r="W753">
        <f t="shared" si="72"/>
        <v>0</v>
      </c>
      <c r="X753" t="str">
        <f t="shared" si="73"/>
        <v/>
      </c>
      <c r="Y753">
        <f>IF(X753="",0,IF(COUNTIF($X$3:X753,X753)=1,1,0))</f>
        <v>0</v>
      </c>
      <c r="Z753">
        <f>IF(V753&lt;&gt;1,0,IF(X753="",0,IF(COUNTIF($X$3:X752,X753)&gt;0,1,0)))</f>
        <v>0</v>
      </c>
      <c r="AA753">
        <f t="shared" si="70"/>
        <v>0</v>
      </c>
      <c r="AB753">
        <f t="shared" si="71"/>
        <v>0</v>
      </c>
      <c r="AC753">
        <f>IF(I753="",0,L753*IFERROR(INDEX(کاتالوگ_محصولات!$G$4:$G$303,MATCH(I753,کاتالوگ_محصولات!$A$4:$A$303,0)),0))</f>
        <v>0</v>
      </c>
      <c r="AD753">
        <f t="shared" si="74"/>
        <v>0</v>
      </c>
      <c r="AE753" t="str">
        <f t="shared" si="75"/>
        <v/>
      </c>
    </row>
    <row r="754" spans="22:31" ht="18" customHeight="1">
      <c r="V754">
        <f>IF(A754="",0,IF(COUNTIF($A$3:A754,A754)=1,1,0))</f>
        <v>0</v>
      </c>
      <c r="W754">
        <f t="shared" si="72"/>
        <v>0</v>
      </c>
      <c r="X754" t="str">
        <f t="shared" si="73"/>
        <v/>
      </c>
      <c r="Y754">
        <f>IF(X754="",0,IF(COUNTIF($X$3:X754,X754)=1,1,0))</f>
        <v>0</v>
      </c>
      <c r="Z754">
        <f>IF(V754&lt;&gt;1,0,IF(X754="",0,IF(COUNTIF($X$3:X753,X754)&gt;0,1,0)))</f>
        <v>0</v>
      </c>
      <c r="AA754">
        <f t="shared" si="70"/>
        <v>0</v>
      </c>
      <c r="AB754">
        <f t="shared" si="71"/>
        <v>0</v>
      </c>
      <c r="AC754">
        <f>IF(I754="",0,L754*IFERROR(INDEX(کاتالوگ_محصولات!$G$4:$G$303,MATCH(I754,کاتالوگ_محصولات!$A$4:$A$303,0)),0))</f>
        <v>0</v>
      </c>
      <c r="AD754">
        <f t="shared" si="74"/>
        <v>0</v>
      </c>
      <c r="AE754" t="str">
        <f t="shared" si="75"/>
        <v/>
      </c>
    </row>
    <row r="755" spans="22:31" ht="18" customHeight="1">
      <c r="V755">
        <f>IF(A755="",0,IF(COUNTIF($A$3:A755,A755)=1,1,0))</f>
        <v>0</v>
      </c>
      <c r="W755">
        <f t="shared" si="72"/>
        <v>0</v>
      </c>
      <c r="X755" t="str">
        <f t="shared" si="73"/>
        <v/>
      </c>
      <c r="Y755">
        <f>IF(X755="",0,IF(COUNTIF($X$3:X755,X755)=1,1,0))</f>
        <v>0</v>
      </c>
      <c r="Z755">
        <f>IF(V755&lt;&gt;1,0,IF(X755="",0,IF(COUNTIF($X$3:X754,X755)&gt;0,1,0)))</f>
        <v>0</v>
      </c>
      <c r="AA755">
        <f t="shared" si="70"/>
        <v>0</v>
      </c>
      <c r="AB755">
        <f t="shared" si="71"/>
        <v>0</v>
      </c>
      <c r="AC755">
        <f>IF(I755="",0,L755*IFERROR(INDEX(کاتالوگ_محصولات!$G$4:$G$303,MATCH(I755,کاتالوگ_محصولات!$A$4:$A$303,0)),0))</f>
        <v>0</v>
      </c>
      <c r="AD755">
        <f t="shared" si="74"/>
        <v>0</v>
      </c>
      <c r="AE755" t="str">
        <f t="shared" si="75"/>
        <v/>
      </c>
    </row>
    <row r="756" spans="22:31" ht="18" customHeight="1">
      <c r="V756">
        <f>IF(A756="",0,IF(COUNTIF($A$3:A756,A756)=1,1,0))</f>
        <v>0</v>
      </c>
      <c r="W756">
        <f t="shared" si="72"/>
        <v>0</v>
      </c>
      <c r="X756" t="str">
        <f t="shared" si="73"/>
        <v/>
      </c>
      <c r="Y756">
        <f>IF(X756="",0,IF(COUNTIF($X$3:X756,X756)=1,1,0))</f>
        <v>0</v>
      </c>
      <c r="Z756">
        <f>IF(V756&lt;&gt;1,0,IF(X756="",0,IF(COUNTIF($X$3:X755,X756)&gt;0,1,0)))</f>
        <v>0</v>
      </c>
      <c r="AA756">
        <f t="shared" si="70"/>
        <v>0</v>
      </c>
      <c r="AB756">
        <f t="shared" si="71"/>
        <v>0</v>
      </c>
      <c r="AC756">
        <f>IF(I756="",0,L756*IFERROR(INDEX(کاتالوگ_محصولات!$G$4:$G$303,MATCH(I756,کاتالوگ_محصولات!$A$4:$A$303,0)),0))</f>
        <v>0</v>
      </c>
      <c r="AD756">
        <f t="shared" si="74"/>
        <v>0</v>
      </c>
      <c r="AE756" t="str">
        <f t="shared" si="75"/>
        <v/>
      </c>
    </row>
    <row r="757" spans="22:31" ht="18" customHeight="1">
      <c r="V757">
        <f>IF(A757="",0,IF(COUNTIF($A$3:A757,A757)=1,1,0))</f>
        <v>0</v>
      </c>
      <c r="W757">
        <f t="shared" si="72"/>
        <v>0</v>
      </c>
      <c r="X757" t="str">
        <f t="shared" si="73"/>
        <v/>
      </c>
      <c r="Y757">
        <f>IF(X757="",0,IF(COUNTIF($X$3:X757,X757)=1,1,0))</f>
        <v>0</v>
      </c>
      <c r="Z757">
        <f>IF(V757&lt;&gt;1,0,IF(X757="",0,IF(COUNTIF($X$3:X756,X757)&gt;0,1,0)))</f>
        <v>0</v>
      </c>
      <c r="AA757">
        <f t="shared" si="70"/>
        <v>0</v>
      </c>
      <c r="AB757">
        <f t="shared" si="71"/>
        <v>0</v>
      </c>
      <c r="AC757">
        <f>IF(I757="",0,L757*IFERROR(INDEX(کاتالوگ_محصولات!$G$4:$G$303,MATCH(I757,کاتالوگ_محصولات!$A$4:$A$303,0)),0))</f>
        <v>0</v>
      </c>
      <c r="AD757">
        <f t="shared" si="74"/>
        <v>0</v>
      </c>
      <c r="AE757" t="str">
        <f t="shared" si="75"/>
        <v/>
      </c>
    </row>
    <row r="758" spans="22:31" ht="18" customHeight="1">
      <c r="V758">
        <f>IF(A758="",0,IF(COUNTIF($A$3:A758,A758)=1,1,0))</f>
        <v>0</v>
      </c>
      <c r="W758">
        <f t="shared" si="72"/>
        <v>0</v>
      </c>
      <c r="X758" t="str">
        <f t="shared" si="73"/>
        <v/>
      </c>
      <c r="Y758">
        <f>IF(X758="",0,IF(COUNTIF($X$3:X758,X758)=1,1,0))</f>
        <v>0</v>
      </c>
      <c r="Z758">
        <f>IF(V758&lt;&gt;1,0,IF(X758="",0,IF(COUNTIF($X$3:X757,X758)&gt;0,1,0)))</f>
        <v>0</v>
      </c>
      <c r="AA758">
        <f t="shared" si="70"/>
        <v>0</v>
      </c>
      <c r="AB758">
        <f t="shared" si="71"/>
        <v>0</v>
      </c>
      <c r="AC758">
        <f>IF(I758="",0,L758*IFERROR(INDEX(کاتالوگ_محصولات!$G$4:$G$303,MATCH(I758,کاتالوگ_محصولات!$A$4:$A$303,0)),0))</f>
        <v>0</v>
      </c>
      <c r="AD758">
        <f t="shared" si="74"/>
        <v>0</v>
      </c>
      <c r="AE758" t="str">
        <f t="shared" si="75"/>
        <v/>
      </c>
    </row>
    <row r="759" spans="22:31" ht="18" customHeight="1">
      <c r="V759">
        <f>IF(A759="",0,IF(COUNTIF($A$3:A759,A759)=1,1,0))</f>
        <v>0</v>
      </c>
      <c r="W759">
        <f t="shared" si="72"/>
        <v>0</v>
      </c>
      <c r="X759" t="str">
        <f t="shared" si="73"/>
        <v/>
      </c>
      <c r="Y759">
        <f>IF(X759="",0,IF(COUNTIF($X$3:X759,X759)=1,1,0))</f>
        <v>0</v>
      </c>
      <c r="Z759">
        <f>IF(V759&lt;&gt;1,0,IF(X759="",0,IF(COUNTIF($X$3:X758,X759)&gt;0,1,0)))</f>
        <v>0</v>
      </c>
      <c r="AA759">
        <f t="shared" si="70"/>
        <v>0</v>
      </c>
      <c r="AB759">
        <f t="shared" si="71"/>
        <v>0</v>
      </c>
      <c r="AC759">
        <f>IF(I759="",0,L759*IFERROR(INDEX(کاتالوگ_محصولات!$G$4:$G$303,MATCH(I759,کاتالوگ_محصولات!$A$4:$A$303,0)),0))</f>
        <v>0</v>
      </c>
      <c r="AD759">
        <f t="shared" si="74"/>
        <v>0</v>
      </c>
      <c r="AE759" t="str">
        <f t="shared" si="75"/>
        <v/>
      </c>
    </row>
    <row r="760" spans="22:31" ht="18" customHeight="1">
      <c r="V760">
        <f>IF(A760="",0,IF(COUNTIF($A$3:A760,A760)=1,1,0))</f>
        <v>0</v>
      </c>
      <c r="W760">
        <f t="shared" si="72"/>
        <v>0</v>
      </c>
      <c r="X760" t="str">
        <f t="shared" si="73"/>
        <v/>
      </c>
      <c r="Y760">
        <f>IF(X760="",0,IF(COUNTIF($X$3:X760,X760)=1,1,0))</f>
        <v>0</v>
      </c>
      <c r="Z760">
        <f>IF(V760&lt;&gt;1,0,IF(X760="",0,IF(COUNTIF($X$3:X759,X760)&gt;0,1,0)))</f>
        <v>0</v>
      </c>
      <c r="AA760">
        <f t="shared" si="70"/>
        <v>0</v>
      </c>
      <c r="AB760">
        <f t="shared" si="71"/>
        <v>0</v>
      </c>
      <c r="AC760">
        <f>IF(I760="",0,L760*IFERROR(INDEX(کاتالوگ_محصولات!$G$4:$G$303,MATCH(I760,کاتالوگ_محصولات!$A$4:$A$303,0)),0))</f>
        <v>0</v>
      </c>
      <c r="AD760">
        <f t="shared" si="74"/>
        <v>0</v>
      </c>
      <c r="AE760" t="str">
        <f t="shared" si="75"/>
        <v/>
      </c>
    </row>
    <row r="761" spans="22:31" ht="18" customHeight="1">
      <c r="V761">
        <f>IF(A761="",0,IF(COUNTIF($A$3:A761,A761)=1,1,0))</f>
        <v>0</v>
      </c>
      <c r="W761">
        <f t="shared" si="72"/>
        <v>0</v>
      </c>
      <c r="X761" t="str">
        <f t="shared" si="73"/>
        <v/>
      </c>
      <c r="Y761">
        <f>IF(X761="",0,IF(COUNTIF($X$3:X761,X761)=1,1,0))</f>
        <v>0</v>
      </c>
      <c r="Z761">
        <f>IF(V761&lt;&gt;1,0,IF(X761="",0,IF(COUNTIF($X$3:X760,X761)&gt;0,1,0)))</f>
        <v>0</v>
      </c>
      <c r="AA761">
        <f t="shared" si="70"/>
        <v>0</v>
      </c>
      <c r="AB761">
        <f t="shared" si="71"/>
        <v>0</v>
      </c>
      <c r="AC761">
        <f>IF(I761="",0,L761*IFERROR(INDEX(کاتالوگ_محصولات!$G$4:$G$303,MATCH(I761,کاتالوگ_محصولات!$A$4:$A$303,0)),0))</f>
        <v>0</v>
      </c>
      <c r="AD761">
        <f t="shared" si="74"/>
        <v>0</v>
      </c>
      <c r="AE761" t="str">
        <f t="shared" si="75"/>
        <v/>
      </c>
    </row>
    <row r="762" spans="22:31" ht="18" customHeight="1">
      <c r="V762">
        <f>IF(A762="",0,IF(COUNTIF($A$3:A762,A762)=1,1,0))</f>
        <v>0</v>
      </c>
      <c r="W762">
        <f t="shared" si="72"/>
        <v>0</v>
      </c>
      <c r="X762" t="str">
        <f t="shared" si="73"/>
        <v/>
      </c>
      <c r="Y762">
        <f>IF(X762="",0,IF(COUNTIF($X$3:X762,X762)=1,1,0))</f>
        <v>0</v>
      </c>
      <c r="Z762">
        <f>IF(V762&lt;&gt;1,0,IF(X762="",0,IF(COUNTIF($X$3:X761,X762)&gt;0,1,0)))</f>
        <v>0</v>
      </c>
      <c r="AA762">
        <f t="shared" si="70"/>
        <v>0</v>
      </c>
      <c r="AB762">
        <f t="shared" si="71"/>
        <v>0</v>
      </c>
      <c r="AC762">
        <f>IF(I762="",0,L762*IFERROR(INDEX(کاتالوگ_محصولات!$G$4:$G$303,MATCH(I762,کاتالوگ_محصولات!$A$4:$A$303,0)),0))</f>
        <v>0</v>
      </c>
      <c r="AD762">
        <f t="shared" si="74"/>
        <v>0</v>
      </c>
      <c r="AE762" t="str">
        <f t="shared" si="75"/>
        <v/>
      </c>
    </row>
    <row r="763" spans="22:31" ht="18" customHeight="1">
      <c r="V763">
        <f>IF(A763="",0,IF(COUNTIF($A$3:A763,A763)=1,1,0))</f>
        <v>0</v>
      </c>
      <c r="W763">
        <f t="shared" si="72"/>
        <v>0</v>
      </c>
      <c r="X763" t="str">
        <f t="shared" si="73"/>
        <v/>
      </c>
      <c r="Y763">
        <f>IF(X763="",0,IF(COUNTIF($X$3:X763,X763)=1,1,0))</f>
        <v>0</v>
      </c>
      <c r="Z763">
        <f>IF(V763&lt;&gt;1,0,IF(X763="",0,IF(COUNTIF($X$3:X762,X763)&gt;0,1,0)))</f>
        <v>0</v>
      </c>
      <c r="AA763">
        <f t="shared" si="70"/>
        <v>0</v>
      </c>
      <c r="AB763">
        <f t="shared" si="71"/>
        <v>0</v>
      </c>
      <c r="AC763">
        <f>IF(I763="",0,L763*IFERROR(INDEX(کاتالوگ_محصولات!$G$4:$G$303,MATCH(I763,کاتالوگ_محصولات!$A$4:$A$303,0)),0))</f>
        <v>0</v>
      </c>
      <c r="AD763">
        <f t="shared" si="74"/>
        <v>0</v>
      </c>
      <c r="AE763" t="str">
        <f t="shared" si="75"/>
        <v/>
      </c>
    </row>
    <row r="764" spans="22:31" ht="18" customHeight="1">
      <c r="V764">
        <f>IF(A764="",0,IF(COUNTIF($A$3:A764,A764)=1,1,0))</f>
        <v>0</v>
      </c>
      <c r="W764">
        <f t="shared" si="72"/>
        <v>0</v>
      </c>
      <c r="X764" t="str">
        <f t="shared" si="73"/>
        <v/>
      </c>
      <c r="Y764">
        <f>IF(X764="",0,IF(COUNTIF($X$3:X764,X764)=1,1,0))</f>
        <v>0</v>
      </c>
      <c r="Z764">
        <f>IF(V764&lt;&gt;1,0,IF(X764="",0,IF(COUNTIF($X$3:X763,X764)&gt;0,1,0)))</f>
        <v>0</v>
      </c>
      <c r="AA764">
        <f t="shared" si="70"/>
        <v>0</v>
      </c>
      <c r="AB764">
        <f t="shared" si="71"/>
        <v>0</v>
      </c>
      <c r="AC764">
        <f>IF(I764="",0,L764*IFERROR(INDEX(کاتالوگ_محصولات!$G$4:$G$303,MATCH(I764,کاتالوگ_محصولات!$A$4:$A$303,0)),0))</f>
        <v>0</v>
      </c>
      <c r="AD764">
        <f t="shared" si="74"/>
        <v>0</v>
      </c>
      <c r="AE764" t="str">
        <f t="shared" si="75"/>
        <v/>
      </c>
    </row>
    <row r="765" spans="22:31" ht="18" customHeight="1">
      <c r="V765">
        <f>IF(A765="",0,IF(COUNTIF($A$3:A765,A765)=1,1,0))</f>
        <v>0</v>
      </c>
      <c r="W765">
        <f t="shared" si="72"/>
        <v>0</v>
      </c>
      <c r="X765" t="str">
        <f t="shared" si="73"/>
        <v/>
      </c>
      <c r="Y765">
        <f>IF(X765="",0,IF(COUNTIF($X$3:X765,X765)=1,1,0))</f>
        <v>0</v>
      </c>
      <c r="Z765">
        <f>IF(V765&lt;&gt;1,0,IF(X765="",0,IF(COUNTIF($X$3:X764,X765)&gt;0,1,0)))</f>
        <v>0</v>
      </c>
      <c r="AA765">
        <f t="shared" si="70"/>
        <v>0</v>
      </c>
      <c r="AB765">
        <f t="shared" si="71"/>
        <v>0</v>
      </c>
      <c r="AC765">
        <f>IF(I765="",0,L765*IFERROR(INDEX(کاتالوگ_محصولات!$G$4:$G$303,MATCH(I765,کاتالوگ_محصولات!$A$4:$A$303,0)),0))</f>
        <v>0</v>
      </c>
      <c r="AD765">
        <f t="shared" si="74"/>
        <v>0</v>
      </c>
      <c r="AE765" t="str">
        <f t="shared" si="75"/>
        <v/>
      </c>
    </row>
    <row r="766" spans="22:31" ht="18" customHeight="1">
      <c r="V766">
        <f>IF(A766="",0,IF(COUNTIF($A$3:A766,A766)=1,1,0))</f>
        <v>0</v>
      </c>
      <c r="W766">
        <f t="shared" si="72"/>
        <v>0</v>
      </c>
      <c r="X766" t="str">
        <f t="shared" si="73"/>
        <v/>
      </c>
      <c r="Y766">
        <f>IF(X766="",0,IF(COUNTIF($X$3:X766,X766)=1,1,0))</f>
        <v>0</v>
      </c>
      <c r="Z766">
        <f>IF(V766&lt;&gt;1,0,IF(X766="",0,IF(COUNTIF($X$3:X765,X766)&gt;0,1,0)))</f>
        <v>0</v>
      </c>
      <c r="AA766">
        <f t="shared" si="70"/>
        <v>0</v>
      </c>
      <c r="AB766">
        <f t="shared" si="71"/>
        <v>0</v>
      </c>
      <c r="AC766">
        <f>IF(I766="",0,L766*IFERROR(INDEX(کاتالوگ_محصولات!$G$4:$G$303,MATCH(I766,کاتالوگ_محصولات!$A$4:$A$303,0)),0))</f>
        <v>0</v>
      </c>
      <c r="AD766">
        <f t="shared" si="74"/>
        <v>0</v>
      </c>
      <c r="AE766" t="str">
        <f t="shared" si="75"/>
        <v/>
      </c>
    </row>
    <row r="767" spans="22:31" ht="18" customHeight="1">
      <c r="V767">
        <f>IF(A767="",0,IF(COUNTIF($A$3:A767,A767)=1,1,0))</f>
        <v>0</v>
      </c>
      <c r="W767">
        <f t="shared" si="72"/>
        <v>0</v>
      </c>
      <c r="X767" t="str">
        <f t="shared" si="73"/>
        <v/>
      </c>
      <c r="Y767">
        <f>IF(X767="",0,IF(COUNTIF($X$3:X767,X767)=1,1,0))</f>
        <v>0</v>
      </c>
      <c r="Z767">
        <f>IF(V767&lt;&gt;1,0,IF(X767="",0,IF(COUNTIF($X$3:X766,X767)&gt;0,1,0)))</f>
        <v>0</v>
      </c>
      <c r="AA767">
        <f t="shared" si="70"/>
        <v>0</v>
      </c>
      <c r="AB767">
        <f t="shared" si="71"/>
        <v>0</v>
      </c>
      <c r="AC767">
        <f>IF(I767="",0,L767*IFERROR(INDEX(کاتالوگ_محصولات!$G$4:$G$303,MATCH(I767,کاتالوگ_محصولات!$A$4:$A$303,0)),0))</f>
        <v>0</v>
      </c>
      <c r="AD767">
        <f t="shared" si="74"/>
        <v>0</v>
      </c>
      <c r="AE767" t="str">
        <f t="shared" si="75"/>
        <v/>
      </c>
    </row>
    <row r="768" spans="22:31" ht="18" customHeight="1">
      <c r="V768">
        <f>IF(A768="",0,IF(COUNTIF($A$3:A768,A768)=1,1,0))</f>
        <v>0</v>
      </c>
      <c r="W768">
        <f t="shared" si="72"/>
        <v>0</v>
      </c>
      <c r="X768" t="str">
        <f t="shared" si="73"/>
        <v/>
      </c>
      <c r="Y768">
        <f>IF(X768="",0,IF(COUNTIF($X$3:X768,X768)=1,1,0))</f>
        <v>0</v>
      </c>
      <c r="Z768">
        <f>IF(V768&lt;&gt;1,0,IF(X768="",0,IF(COUNTIF($X$3:X767,X768)&gt;0,1,0)))</f>
        <v>0</v>
      </c>
      <c r="AA768">
        <f t="shared" si="70"/>
        <v>0</v>
      </c>
      <c r="AB768">
        <f t="shared" si="71"/>
        <v>0</v>
      </c>
      <c r="AC768">
        <f>IF(I768="",0,L768*IFERROR(INDEX(کاتالوگ_محصولات!$G$4:$G$303,MATCH(I768,کاتالوگ_محصولات!$A$4:$A$303,0)),0))</f>
        <v>0</v>
      </c>
      <c r="AD768">
        <f t="shared" si="74"/>
        <v>0</v>
      </c>
      <c r="AE768" t="str">
        <f t="shared" si="75"/>
        <v/>
      </c>
    </row>
    <row r="769" spans="22:31" ht="18" customHeight="1">
      <c r="V769">
        <f>IF(A769="",0,IF(COUNTIF($A$3:A769,A769)=1,1,0))</f>
        <v>0</v>
      </c>
      <c r="W769">
        <f t="shared" si="72"/>
        <v>0</v>
      </c>
      <c r="X769" t="str">
        <f t="shared" si="73"/>
        <v/>
      </c>
      <c r="Y769">
        <f>IF(X769="",0,IF(COUNTIF($X$3:X769,X769)=1,1,0))</f>
        <v>0</v>
      </c>
      <c r="Z769">
        <f>IF(V769&lt;&gt;1,0,IF(X769="",0,IF(COUNTIF($X$3:X768,X769)&gt;0,1,0)))</f>
        <v>0</v>
      </c>
      <c r="AA769">
        <f t="shared" si="70"/>
        <v>0</v>
      </c>
      <c r="AB769">
        <f t="shared" si="71"/>
        <v>0</v>
      </c>
      <c r="AC769">
        <f>IF(I769="",0,L769*IFERROR(INDEX(کاتالوگ_محصولات!$G$4:$G$303,MATCH(I769,کاتالوگ_محصولات!$A$4:$A$303,0)),0))</f>
        <v>0</v>
      </c>
      <c r="AD769">
        <f t="shared" si="74"/>
        <v>0</v>
      </c>
      <c r="AE769" t="str">
        <f t="shared" si="75"/>
        <v/>
      </c>
    </row>
    <row r="770" spans="22:31" ht="18" customHeight="1">
      <c r="V770">
        <f>IF(A770="",0,IF(COUNTIF($A$3:A770,A770)=1,1,0))</f>
        <v>0</v>
      </c>
      <c r="W770">
        <f t="shared" si="72"/>
        <v>0</v>
      </c>
      <c r="X770" t="str">
        <f t="shared" si="73"/>
        <v/>
      </c>
      <c r="Y770">
        <f>IF(X770="",0,IF(COUNTIF($X$3:X770,X770)=1,1,0))</f>
        <v>0</v>
      </c>
      <c r="Z770">
        <f>IF(V770&lt;&gt;1,0,IF(X770="",0,IF(COUNTIF($X$3:X769,X770)&gt;0,1,0)))</f>
        <v>0</v>
      </c>
      <c r="AA770">
        <f t="shared" si="70"/>
        <v>0</v>
      </c>
      <c r="AB770">
        <f t="shared" si="71"/>
        <v>0</v>
      </c>
      <c r="AC770">
        <f>IF(I770="",0,L770*IFERROR(INDEX(کاتالوگ_محصولات!$G$4:$G$303,MATCH(I770,کاتالوگ_محصولات!$A$4:$A$303,0)),0))</f>
        <v>0</v>
      </c>
      <c r="AD770">
        <f t="shared" si="74"/>
        <v>0</v>
      </c>
      <c r="AE770" t="str">
        <f t="shared" si="75"/>
        <v/>
      </c>
    </row>
    <row r="771" spans="22:31" ht="18" customHeight="1">
      <c r="V771">
        <f>IF(A771="",0,IF(COUNTIF($A$3:A771,A771)=1,1,0))</f>
        <v>0</v>
      </c>
      <c r="W771">
        <f t="shared" si="72"/>
        <v>0</v>
      </c>
      <c r="X771" t="str">
        <f t="shared" si="73"/>
        <v/>
      </c>
      <c r="Y771">
        <f>IF(X771="",0,IF(COUNTIF($X$3:X771,X771)=1,1,0))</f>
        <v>0</v>
      </c>
      <c r="Z771">
        <f>IF(V771&lt;&gt;1,0,IF(X771="",0,IF(COUNTIF($X$3:X770,X771)&gt;0,1,0)))</f>
        <v>0</v>
      </c>
      <c r="AA771">
        <f t="shared" ref="AA771:AA834" si="76">IF(V771=1,SUMIF($A$3:$A$1622,A771,$O$3:$O$1622),0)</f>
        <v>0</v>
      </c>
      <c r="AB771">
        <f t="shared" ref="AB771:AB834" si="77">IF(V771=1,SUMIF($A$3:$A$1622,A771,$L$3:$L$1622),0)</f>
        <v>0</v>
      </c>
      <c r="AC771">
        <f>IF(I771="",0,L771*IFERROR(INDEX(کاتالوگ_محصولات!$G$4:$G$303,MATCH(I771,کاتالوگ_محصولات!$A$4:$A$303,0)),0))</f>
        <v>0</v>
      </c>
      <c r="AD771">
        <f t="shared" si="74"/>
        <v>0</v>
      </c>
      <c r="AE771" t="str">
        <f t="shared" si="75"/>
        <v/>
      </c>
    </row>
    <row r="772" spans="22:31" ht="18" customHeight="1">
      <c r="V772">
        <f>IF(A772="",0,IF(COUNTIF($A$3:A772,A772)=1,1,0))</f>
        <v>0</v>
      </c>
      <c r="W772">
        <f t="shared" si="72"/>
        <v>0</v>
      </c>
      <c r="X772" t="str">
        <f t="shared" si="73"/>
        <v/>
      </c>
      <c r="Y772">
        <f>IF(X772="",0,IF(COUNTIF($X$3:X772,X772)=1,1,0))</f>
        <v>0</v>
      </c>
      <c r="Z772">
        <f>IF(V772&lt;&gt;1,0,IF(X772="",0,IF(COUNTIF($X$3:X771,X772)&gt;0,1,0)))</f>
        <v>0</v>
      </c>
      <c r="AA772">
        <f t="shared" si="76"/>
        <v>0</v>
      </c>
      <c r="AB772">
        <f t="shared" si="77"/>
        <v>0</v>
      </c>
      <c r="AC772">
        <f>IF(I772="",0,L772*IFERROR(INDEX(کاتالوگ_محصولات!$G$4:$G$303,MATCH(I772,کاتالوگ_محصولات!$A$4:$A$303,0)),0))</f>
        <v>0</v>
      </c>
      <c r="AD772">
        <f t="shared" si="74"/>
        <v>0</v>
      </c>
      <c r="AE772" t="str">
        <f t="shared" si="75"/>
        <v/>
      </c>
    </row>
    <row r="773" spans="22:31" ht="18" customHeight="1">
      <c r="V773">
        <f>IF(A773="",0,IF(COUNTIF($A$3:A773,A773)=1,1,0))</f>
        <v>0</v>
      </c>
      <c r="W773">
        <f t="shared" si="72"/>
        <v>0</v>
      </c>
      <c r="X773" t="str">
        <f t="shared" si="73"/>
        <v/>
      </c>
      <c r="Y773">
        <f>IF(X773="",0,IF(COUNTIF($X$3:X773,X773)=1,1,0))</f>
        <v>0</v>
      </c>
      <c r="Z773">
        <f>IF(V773&lt;&gt;1,0,IF(X773="",0,IF(COUNTIF($X$3:X772,X773)&gt;0,1,0)))</f>
        <v>0</v>
      </c>
      <c r="AA773">
        <f t="shared" si="76"/>
        <v>0</v>
      </c>
      <c r="AB773">
        <f t="shared" si="77"/>
        <v>0</v>
      </c>
      <c r="AC773">
        <f>IF(I773="",0,L773*IFERROR(INDEX(کاتالوگ_محصولات!$G$4:$G$303,MATCH(I773,کاتالوگ_محصولات!$A$4:$A$303,0)),0))</f>
        <v>0</v>
      </c>
      <c r="AD773">
        <f t="shared" si="74"/>
        <v>0</v>
      </c>
      <c r="AE773" t="str">
        <f t="shared" si="75"/>
        <v/>
      </c>
    </row>
    <row r="774" spans="22:31" ht="18" customHeight="1">
      <c r="V774">
        <f>IF(A774="",0,IF(COUNTIF($A$3:A774,A774)=1,1,0))</f>
        <v>0</v>
      </c>
      <c r="W774">
        <f t="shared" si="72"/>
        <v>0</v>
      </c>
      <c r="X774" t="str">
        <f t="shared" si="73"/>
        <v/>
      </c>
      <c r="Y774">
        <f>IF(X774="",0,IF(COUNTIF($X$3:X774,X774)=1,1,0))</f>
        <v>0</v>
      </c>
      <c r="Z774">
        <f>IF(V774&lt;&gt;1,0,IF(X774="",0,IF(COUNTIF($X$3:X773,X774)&gt;0,1,0)))</f>
        <v>0</v>
      </c>
      <c r="AA774">
        <f t="shared" si="76"/>
        <v>0</v>
      </c>
      <c r="AB774">
        <f t="shared" si="77"/>
        <v>0</v>
      </c>
      <c r="AC774">
        <f>IF(I774="",0,L774*IFERROR(INDEX(کاتالوگ_محصولات!$G$4:$G$303,MATCH(I774,کاتالوگ_محصولات!$A$4:$A$303,0)),0))</f>
        <v>0</v>
      </c>
      <c r="AD774">
        <f t="shared" si="74"/>
        <v>0</v>
      </c>
      <c r="AE774" t="str">
        <f t="shared" si="75"/>
        <v/>
      </c>
    </row>
    <row r="775" spans="22:31" ht="18" customHeight="1">
      <c r="V775">
        <f>IF(A775="",0,IF(COUNTIF($A$3:A775,A775)=1,1,0))</f>
        <v>0</v>
      </c>
      <c r="W775">
        <f t="shared" si="72"/>
        <v>0</v>
      </c>
      <c r="X775" t="str">
        <f t="shared" si="73"/>
        <v/>
      </c>
      <c r="Y775">
        <f>IF(X775="",0,IF(COUNTIF($X$3:X775,X775)=1,1,0))</f>
        <v>0</v>
      </c>
      <c r="Z775">
        <f>IF(V775&lt;&gt;1,0,IF(X775="",0,IF(COUNTIF($X$3:X774,X775)&gt;0,1,0)))</f>
        <v>0</v>
      </c>
      <c r="AA775">
        <f t="shared" si="76"/>
        <v>0</v>
      </c>
      <c r="AB775">
        <f t="shared" si="77"/>
        <v>0</v>
      </c>
      <c r="AC775">
        <f>IF(I775="",0,L775*IFERROR(INDEX(کاتالوگ_محصولات!$G$4:$G$303,MATCH(I775,کاتالوگ_محصولات!$A$4:$A$303,0)),0))</f>
        <v>0</v>
      </c>
      <c r="AD775">
        <f t="shared" si="74"/>
        <v>0</v>
      </c>
      <c r="AE775" t="str">
        <f t="shared" si="75"/>
        <v/>
      </c>
    </row>
    <row r="776" spans="22:31" ht="18" customHeight="1">
      <c r="V776">
        <f>IF(A776="",0,IF(COUNTIF($A$3:A776,A776)=1,1,0))</f>
        <v>0</v>
      </c>
      <c r="W776">
        <f t="shared" si="72"/>
        <v>0</v>
      </c>
      <c r="X776" t="str">
        <f t="shared" si="73"/>
        <v/>
      </c>
      <c r="Y776">
        <f>IF(X776="",0,IF(COUNTIF($X$3:X776,X776)=1,1,0))</f>
        <v>0</v>
      </c>
      <c r="Z776">
        <f>IF(V776&lt;&gt;1,0,IF(X776="",0,IF(COUNTIF($X$3:X775,X776)&gt;0,1,0)))</f>
        <v>0</v>
      </c>
      <c r="AA776">
        <f t="shared" si="76"/>
        <v>0</v>
      </c>
      <c r="AB776">
        <f t="shared" si="77"/>
        <v>0</v>
      </c>
      <c r="AC776">
        <f>IF(I776="",0,L776*IFERROR(INDEX(کاتالوگ_محصولات!$G$4:$G$303,MATCH(I776,کاتالوگ_محصولات!$A$4:$A$303,0)),0))</f>
        <v>0</v>
      </c>
      <c r="AD776">
        <f t="shared" si="74"/>
        <v>0</v>
      </c>
      <c r="AE776" t="str">
        <f t="shared" si="75"/>
        <v/>
      </c>
    </row>
    <row r="777" spans="22:31" ht="18" customHeight="1">
      <c r="V777">
        <f>IF(A777="",0,IF(COUNTIF($A$3:A777,A777)=1,1,0))</f>
        <v>0</v>
      </c>
      <c r="W777">
        <f t="shared" ref="W777:W840" si="78">IF(A777="",0,L777*M777)</f>
        <v>0</v>
      </c>
      <c r="X777" t="str">
        <f t="shared" ref="X777:X840" si="79">IF(R777&lt;&gt;"",R777,IF(AND(P777&lt;&gt;"",Q777&lt;&gt;""),P777&amp;"|"&amp;Q777,""))</f>
        <v/>
      </c>
      <c r="Y777">
        <f>IF(X777="",0,IF(COUNTIF($X$3:X777,X777)=1,1,0))</f>
        <v>0</v>
      </c>
      <c r="Z777">
        <f>IF(V777&lt;&gt;1,0,IF(X777="",0,IF(COUNTIF($X$3:X776,X777)&gt;0,1,0)))</f>
        <v>0</v>
      </c>
      <c r="AA777">
        <f t="shared" si="76"/>
        <v>0</v>
      </c>
      <c r="AB777">
        <f t="shared" si="77"/>
        <v>0</v>
      </c>
      <c r="AC777">
        <f>IF(I777="",0,L777*IFERROR(INDEX(کاتالوگ_محصولات!$G$4:$G$303,MATCH(I777,کاتالوگ_محصولات!$A$4:$A$303,0)),0))</f>
        <v>0</v>
      </c>
      <c r="AD777">
        <f t="shared" ref="AD777:AD840" si="80">IF(A777="",0,O777-AC777)</f>
        <v>0</v>
      </c>
      <c r="AE777" t="str">
        <f t="shared" ref="AE777:AE840" si="81">IF(B777="","",LEFT(B777,7))</f>
        <v/>
      </c>
    </row>
    <row r="778" spans="22:31" ht="18" customHeight="1">
      <c r="V778">
        <f>IF(A778="",0,IF(COUNTIF($A$3:A778,A778)=1,1,0))</f>
        <v>0</v>
      </c>
      <c r="W778">
        <f t="shared" si="78"/>
        <v>0</v>
      </c>
      <c r="X778" t="str">
        <f t="shared" si="79"/>
        <v/>
      </c>
      <c r="Y778">
        <f>IF(X778="",0,IF(COUNTIF($X$3:X778,X778)=1,1,0))</f>
        <v>0</v>
      </c>
      <c r="Z778">
        <f>IF(V778&lt;&gt;1,0,IF(X778="",0,IF(COUNTIF($X$3:X777,X778)&gt;0,1,0)))</f>
        <v>0</v>
      </c>
      <c r="AA778">
        <f t="shared" si="76"/>
        <v>0</v>
      </c>
      <c r="AB778">
        <f t="shared" si="77"/>
        <v>0</v>
      </c>
      <c r="AC778">
        <f>IF(I778="",0,L778*IFERROR(INDEX(کاتالوگ_محصولات!$G$4:$G$303,MATCH(I778,کاتالوگ_محصولات!$A$4:$A$303,0)),0))</f>
        <v>0</v>
      </c>
      <c r="AD778">
        <f t="shared" si="80"/>
        <v>0</v>
      </c>
      <c r="AE778" t="str">
        <f t="shared" si="81"/>
        <v/>
      </c>
    </row>
    <row r="779" spans="22:31" ht="18" customHeight="1">
      <c r="V779">
        <f>IF(A779="",0,IF(COUNTIF($A$3:A779,A779)=1,1,0))</f>
        <v>0</v>
      </c>
      <c r="W779">
        <f t="shared" si="78"/>
        <v>0</v>
      </c>
      <c r="X779" t="str">
        <f t="shared" si="79"/>
        <v/>
      </c>
      <c r="Y779">
        <f>IF(X779="",0,IF(COUNTIF($X$3:X779,X779)=1,1,0))</f>
        <v>0</v>
      </c>
      <c r="Z779">
        <f>IF(V779&lt;&gt;1,0,IF(X779="",0,IF(COUNTIF($X$3:X778,X779)&gt;0,1,0)))</f>
        <v>0</v>
      </c>
      <c r="AA779">
        <f t="shared" si="76"/>
        <v>0</v>
      </c>
      <c r="AB779">
        <f t="shared" si="77"/>
        <v>0</v>
      </c>
      <c r="AC779">
        <f>IF(I779="",0,L779*IFERROR(INDEX(کاتالوگ_محصولات!$G$4:$G$303,MATCH(I779,کاتالوگ_محصولات!$A$4:$A$303,0)),0))</f>
        <v>0</v>
      </c>
      <c r="AD779">
        <f t="shared" si="80"/>
        <v>0</v>
      </c>
      <c r="AE779" t="str">
        <f t="shared" si="81"/>
        <v/>
      </c>
    </row>
    <row r="780" spans="22:31" ht="18" customHeight="1">
      <c r="V780">
        <f>IF(A780="",0,IF(COUNTIF($A$3:A780,A780)=1,1,0))</f>
        <v>0</v>
      </c>
      <c r="W780">
        <f t="shared" si="78"/>
        <v>0</v>
      </c>
      <c r="X780" t="str">
        <f t="shared" si="79"/>
        <v/>
      </c>
      <c r="Y780">
        <f>IF(X780="",0,IF(COUNTIF($X$3:X780,X780)=1,1,0))</f>
        <v>0</v>
      </c>
      <c r="Z780">
        <f>IF(V780&lt;&gt;1,0,IF(X780="",0,IF(COUNTIF($X$3:X779,X780)&gt;0,1,0)))</f>
        <v>0</v>
      </c>
      <c r="AA780">
        <f t="shared" si="76"/>
        <v>0</v>
      </c>
      <c r="AB780">
        <f t="shared" si="77"/>
        <v>0</v>
      </c>
      <c r="AC780">
        <f>IF(I780="",0,L780*IFERROR(INDEX(کاتالوگ_محصولات!$G$4:$G$303,MATCH(I780,کاتالوگ_محصولات!$A$4:$A$303,0)),0))</f>
        <v>0</v>
      </c>
      <c r="AD780">
        <f t="shared" si="80"/>
        <v>0</v>
      </c>
      <c r="AE780" t="str">
        <f t="shared" si="81"/>
        <v/>
      </c>
    </row>
    <row r="781" spans="22:31" ht="18" customHeight="1">
      <c r="V781">
        <f>IF(A781="",0,IF(COUNTIF($A$3:A781,A781)=1,1,0))</f>
        <v>0</v>
      </c>
      <c r="W781">
        <f t="shared" si="78"/>
        <v>0</v>
      </c>
      <c r="X781" t="str">
        <f t="shared" si="79"/>
        <v/>
      </c>
      <c r="Y781">
        <f>IF(X781="",0,IF(COUNTIF($X$3:X781,X781)=1,1,0))</f>
        <v>0</v>
      </c>
      <c r="Z781">
        <f>IF(V781&lt;&gt;1,0,IF(X781="",0,IF(COUNTIF($X$3:X780,X781)&gt;0,1,0)))</f>
        <v>0</v>
      </c>
      <c r="AA781">
        <f t="shared" si="76"/>
        <v>0</v>
      </c>
      <c r="AB781">
        <f t="shared" si="77"/>
        <v>0</v>
      </c>
      <c r="AC781">
        <f>IF(I781="",0,L781*IFERROR(INDEX(کاتالوگ_محصولات!$G$4:$G$303,MATCH(I781,کاتالوگ_محصولات!$A$4:$A$303,0)),0))</f>
        <v>0</v>
      </c>
      <c r="AD781">
        <f t="shared" si="80"/>
        <v>0</v>
      </c>
      <c r="AE781" t="str">
        <f t="shared" si="81"/>
        <v/>
      </c>
    </row>
    <row r="782" spans="22:31" ht="18" customHeight="1">
      <c r="V782">
        <f>IF(A782="",0,IF(COUNTIF($A$3:A782,A782)=1,1,0))</f>
        <v>0</v>
      </c>
      <c r="W782">
        <f t="shared" si="78"/>
        <v>0</v>
      </c>
      <c r="X782" t="str">
        <f t="shared" si="79"/>
        <v/>
      </c>
      <c r="Y782">
        <f>IF(X782="",0,IF(COUNTIF($X$3:X782,X782)=1,1,0))</f>
        <v>0</v>
      </c>
      <c r="Z782">
        <f>IF(V782&lt;&gt;1,0,IF(X782="",0,IF(COUNTIF($X$3:X781,X782)&gt;0,1,0)))</f>
        <v>0</v>
      </c>
      <c r="AA782">
        <f t="shared" si="76"/>
        <v>0</v>
      </c>
      <c r="AB782">
        <f t="shared" si="77"/>
        <v>0</v>
      </c>
      <c r="AC782">
        <f>IF(I782="",0,L782*IFERROR(INDEX(کاتالوگ_محصولات!$G$4:$G$303,MATCH(I782,کاتالوگ_محصولات!$A$4:$A$303,0)),0))</f>
        <v>0</v>
      </c>
      <c r="AD782">
        <f t="shared" si="80"/>
        <v>0</v>
      </c>
      <c r="AE782" t="str">
        <f t="shared" si="81"/>
        <v/>
      </c>
    </row>
    <row r="783" spans="22:31" ht="18" customHeight="1">
      <c r="V783">
        <f>IF(A783="",0,IF(COUNTIF($A$3:A783,A783)=1,1,0))</f>
        <v>0</v>
      </c>
      <c r="W783">
        <f t="shared" si="78"/>
        <v>0</v>
      </c>
      <c r="X783" t="str">
        <f t="shared" si="79"/>
        <v/>
      </c>
      <c r="Y783">
        <f>IF(X783="",0,IF(COUNTIF($X$3:X783,X783)=1,1,0))</f>
        <v>0</v>
      </c>
      <c r="Z783">
        <f>IF(V783&lt;&gt;1,0,IF(X783="",0,IF(COUNTIF($X$3:X782,X783)&gt;0,1,0)))</f>
        <v>0</v>
      </c>
      <c r="AA783">
        <f t="shared" si="76"/>
        <v>0</v>
      </c>
      <c r="AB783">
        <f t="shared" si="77"/>
        <v>0</v>
      </c>
      <c r="AC783">
        <f>IF(I783="",0,L783*IFERROR(INDEX(کاتالوگ_محصولات!$G$4:$G$303,MATCH(I783,کاتالوگ_محصولات!$A$4:$A$303,0)),0))</f>
        <v>0</v>
      </c>
      <c r="AD783">
        <f t="shared" si="80"/>
        <v>0</v>
      </c>
      <c r="AE783" t="str">
        <f t="shared" si="81"/>
        <v/>
      </c>
    </row>
    <row r="784" spans="22:31" ht="18" customHeight="1">
      <c r="V784">
        <f>IF(A784="",0,IF(COUNTIF($A$3:A784,A784)=1,1,0))</f>
        <v>0</v>
      </c>
      <c r="W784">
        <f t="shared" si="78"/>
        <v>0</v>
      </c>
      <c r="X784" t="str">
        <f t="shared" si="79"/>
        <v/>
      </c>
      <c r="Y784">
        <f>IF(X784="",0,IF(COUNTIF($X$3:X784,X784)=1,1,0))</f>
        <v>0</v>
      </c>
      <c r="Z784">
        <f>IF(V784&lt;&gt;1,0,IF(X784="",0,IF(COUNTIF($X$3:X783,X784)&gt;0,1,0)))</f>
        <v>0</v>
      </c>
      <c r="AA784">
        <f t="shared" si="76"/>
        <v>0</v>
      </c>
      <c r="AB784">
        <f t="shared" si="77"/>
        <v>0</v>
      </c>
      <c r="AC784">
        <f>IF(I784="",0,L784*IFERROR(INDEX(کاتالوگ_محصولات!$G$4:$G$303,MATCH(I784,کاتالوگ_محصولات!$A$4:$A$303,0)),0))</f>
        <v>0</v>
      </c>
      <c r="AD784">
        <f t="shared" si="80"/>
        <v>0</v>
      </c>
      <c r="AE784" t="str">
        <f t="shared" si="81"/>
        <v/>
      </c>
    </row>
    <row r="785" spans="22:31" ht="18" customHeight="1">
      <c r="V785">
        <f>IF(A785="",0,IF(COUNTIF($A$3:A785,A785)=1,1,0))</f>
        <v>0</v>
      </c>
      <c r="W785">
        <f t="shared" si="78"/>
        <v>0</v>
      </c>
      <c r="X785" t="str">
        <f t="shared" si="79"/>
        <v/>
      </c>
      <c r="Y785">
        <f>IF(X785="",0,IF(COUNTIF($X$3:X785,X785)=1,1,0))</f>
        <v>0</v>
      </c>
      <c r="Z785">
        <f>IF(V785&lt;&gt;1,0,IF(X785="",0,IF(COUNTIF($X$3:X784,X785)&gt;0,1,0)))</f>
        <v>0</v>
      </c>
      <c r="AA785">
        <f t="shared" si="76"/>
        <v>0</v>
      </c>
      <c r="AB785">
        <f t="shared" si="77"/>
        <v>0</v>
      </c>
      <c r="AC785">
        <f>IF(I785="",0,L785*IFERROR(INDEX(کاتالوگ_محصولات!$G$4:$G$303,MATCH(I785,کاتالوگ_محصولات!$A$4:$A$303,0)),0))</f>
        <v>0</v>
      </c>
      <c r="AD785">
        <f t="shared" si="80"/>
        <v>0</v>
      </c>
      <c r="AE785" t="str">
        <f t="shared" si="81"/>
        <v/>
      </c>
    </row>
    <row r="786" spans="22:31" ht="18" customHeight="1">
      <c r="V786">
        <f>IF(A786="",0,IF(COUNTIF($A$3:A786,A786)=1,1,0))</f>
        <v>0</v>
      </c>
      <c r="W786">
        <f t="shared" si="78"/>
        <v>0</v>
      </c>
      <c r="X786" t="str">
        <f t="shared" si="79"/>
        <v/>
      </c>
      <c r="Y786">
        <f>IF(X786="",0,IF(COUNTIF($X$3:X786,X786)=1,1,0))</f>
        <v>0</v>
      </c>
      <c r="Z786">
        <f>IF(V786&lt;&gt;1,0,IF(X786="",0,IF(COUNTIF($X$3:X785,X786)&gt;0,1,0)))</f>
        <v>0</v>
      </c>
      <c r="AA786">
        <f t="shared" si="76"/>
        <v>0</v>
      </c>
      <c r="AB786">
        <f t="shared" si="77"/>
        <v>0</v>
      </c>
      <c r="AC786">
        <f>IF(I786="",0,L786*IFERROR(INDEX(کاتالوگ_محصولات!$G$4:$G$303,MATCH(I786,کاتالوگ_محصولات!$A$4:$A$303,0)),0))</f>
        <v>0</v>
      </c>
      <c r="AD786">
        <f t="shared" si="80"/>
        <v>0</v>
      </c>
      <c r="AE786" t="str">
        <f t="shared" si="81"/>
        <v/>
      </c>
    </row>
    <row r="787" spans="22:31" ht="18" customHeight="1">
      <c r="V787">
        <f>IF(A787="",0,IF(COUNTIF($A$3:A787,A787)=1,1,0))</f>
        <v>0</v>
      </c>
      <c r="W787">
        <f t="shared" si="78"/>
        <v>0</v>
      </c>
      <c r="X787" t="str">
        <f t="shared" si="79"/>
        <v/>
      </c>
      <c r="Y787">
        <f>IF(X787="",0,IF(COUNTIF($X$3:X787,X787)=1,1,0))</f>
        <v>0</v>
      </c>
      <c r="Z787">
        <f>IF(V787&lt;&gt;1,0,IF(X787="",0,IF(COUNTIF($X$3:X786,X787)&gt;0,1,0)))</f>
        <v>0</v>
      </c>
      <c r="AA787">
        <f t="shared" si="76"/>
        <v>0</v>
      </c>
      <c r="AB787">
        <f t="shared" si="77"/>
        <v>0</v>
      </c>
      <c r="AC787">
        <f>IF(I787="",0,L787*IFERROR(INDEX(کاتالوگ_محصولات!$G$4:$G$303,MATCH(I787,کاتالوگ_محصولات!$A$4:$A$303,0)),0))</f>
        <v>0</v>
      </c>
      <c r="AD787">
        <f t="shared" si="80"/>
        <v>0</v>
      </c>
      <c r="AE787" t="str">
        <f t="shared" si="81"/>
        <v/>
      </c>
    </row>
    <row r="788" spans="22:31" ht="18" customHeight="1">
      <c r="V788">
        <f>IF(A788="",0,IF(COUNTIF($A$3:A788,A788)=1,1,0))</f>
        <v>0</v>
      </c>
      <c r="W788">
        <f t="shared" si="78"/>
        <v>0</v>
      </c>
      <c r="X788" t="str">
        <f t="shared" si="79"/>
        <v/>
      </c>
      <c r="Y788">
        <f>IF(X788="",0,IF(COUNTIF($X$3:X788,X788)=1,1,0))</f>
        <v>0</v>
      </c>
      <c r="Z788">
        <f>IF(V788&lt;&gt;1,0,IF(X788="",0,IF(COUNTIF($X$3:X787,X788)&gt;0,1,0)))</f>
        <v>0</v>
      </c>
      <c r="AA788">
        <f t="shared" si="76"/>
        <v>0</v>
      </c>
      <c r="AB788">
        <f t="shared" si="77"/>
        <v>0</v>
      </c>
      <c r="AC788">
        <f>IF(I788="",0,L788*IFERROR(INDEX(کاتالوگ_محصولات!$G$4:$G$303,MATCH(I788,کاتالوگ_محصولات!$A$4:$A$303,0)),0))</f>
        <v>0</v>
      </c>
      <c r="AD788">
        <f t="shared" si="80"/>
        <v>0</v>
      </c>
      <c r="AE788" t="str">
        <f t="shared" si="81"/>
        <v/>
      </c>
    </row>
    <row r="789" spans="22:31" ht="18" customHeight="1">
      <c r="V789">
        <f>IF(A789="",0,IF(COUNTIF($A$3:A789,A789)=1,1,0))</f>
        <v>0</v>
      </c>
      <c r="W789">
        <f t="shared" si="78"/>
        <v>0</v>
      </c>
      <c r="X789" t="str">
        <f t="shared" si="79"/>
        <v/>
      </c>
      <c r="Y789">
        <f>IF(X789="",0,IF(COUNTIF($X$3:X789,X789)=1,1,0))</f>
        <v>0</v>
      </c>
      <c r="Z789">
        <f>IF(V789&lt;&gt;1,0,IF(X789="",0,IF(COUNTIF($X$3:X788,X789)&gt;0,1,0)))</f>
        <v>0</v>
      </c>
      <c r="AA789">
        <f t="shared" si="76"/>
        <v>0</v>
      </c>
      <c r="AB789">
        <f t="shared" si="77"/>
        <v>0</v>
      </c>
      <c r="AC789">
        <f>IF(I789="",0,L789*IFERROR(INDEX(کاتالوگ_محصولات!$G$4:$G$303,MATCH(I789,کاتالوگ_محصولات!$A$4:$A$303,0)),0))</f>
        <v>0</v>
      </c>
      <c r="AD789">
        <f t="shared" si="80"/>
        <v>0</v>
      </c>
      <c r="AE789" t="str">
        <f t="shared" si="81"/>
        <v/>
      </c>
    </row>
    <row r="790" spans="22:31" ht="18" customHeight="1">
      <c r="V790">
        <f>IF(A790="",0,IF(COUNTIF($A$3:A790,A790)=1,1,0))</f>
        <v>0</v>
      </c>
      <c r="W790">
        <f t="shared" si="78"/>
        <v>0</v>
      </c>
      <c r="X790" t="str">
        <f t="shared" si="79"/>
        <v/>
      </c>
      <c r="Y790">
        <f>IF(X790="",0,IF(COUNTIF($X$3:X790,X790)=1,1,0))</f>
        <v>0</v>
      </c>
      <c r="Z790">
        <f>IF(V790&lt;&gt;1,0,IF(X790="",0,IF(COUNTIF($X$3:X789,X790)&gt;0,1,0)))</f>
        <v>0</v>
      </c>
      <c r="AA790">
        <f t="shared" si="76"/>
        <v>0</v>
      </c>
      <c r="AB790">
        <f t="shared" si="77"/>
        <v>0</v>
      </c>
      <c r="AC790">
        <f>IF(I790="",0,L790*IFERROR(INDEX(کاتالوگ_محصولات!$G$4:$G$303,MATCH(I790,کاتالوگ_محصولات!$A$4:$A$303,0)),0))</f>
        <v>0</v>
      </c>
      <c r="AD790">
        <f t="shared" si="80"/>
        <v>0</v>
      </c>
      <c r="AE790" t="str">
        <f t="shared" si="81"/>
        <v/>
      </c>
    </row>
    <row r="791" spans="22:31" ht="18" customHeight="1">
      <c r="V791">
        <f>IF(A791="",0,IF(COUNTIF($A$3:A791,A791)=1,1,0))</f>
        <v>0</v>
      </c>
      <c r="W791">
        <f t="shared" si="78"/>
        <v>0</v>
      </c>
      <c r="X791" t="str">
        <f t="shared" si="79"/>
        <v/>
      </c>
      <c r="Y791">
        <f>IF(X791="",0,IF(COUNTIF($X$3:X791,X791)=1,1,0))</f>
        <v>0</v>
      </c>
      <c r="Z791">
        <f>IF(V791&lt;&gt;1,0,IF(X791="",0,IF(COUNTIF($X$3:X790,X791)&gt;0,1,0)))</f>
        <v>0</v>
      </c>
      <c r="AA791">
        <f t="shared" si="76"/>
        <v>0</v>
      </c>
      <c r="AB791">
        <f t="shared" si="77"/>
        <v>0</v>
      </c>
      <c r="AC791">
        <f>IF(I791="",0,L791*IFERROR(INDEX(کاتالوگ_محصولات!$G$4:$G$303,MATCH(I791,کاتالوگ_محصولات!$A$4:$A$303,0)),0))</f>
        <v>0</v>
      </c>
      <c r="AD791">
        <f t="shared" si="80"/>
        <v>0</v>
      </c>
      <c r="AE791" t="str">
        <f t="shared" si="81"/>
        <v/>
      </c>
    </row>
    <row r="792" spans="22:31" ht="18" customHeight="1">
      <c r="V792">
        <f>IF(A792="",0,IF(COUNTIF($A$3:A792,A792)=1,1,0))</f>
        <v>0</v>
      </c>
      <c r="W792">
        <f t="shared" si="78"/>
        <v>0</v>
      </c>
      <c r="X792" t="str">
        <f t="shared" si="79"/>
        <v/>
      </c>
      <c r="Y792">
        <f>IF(X792="",0,IF(COUNTIF($X$3:X792,X792)=1,1,0))</f>
        <v>0</v>
      </c>
      <c r="Z792">
        <f>IF(V792&lt;&gt;1,0,IF(X792="",0,IF(COUNTIF($X$3:X791,X792)&gt;0,1,0)))</f>
        <v>0</v>
      </c>
      <c r="AA792">
        <f t="shared" si="76"/>
        <v>0</v>
      </c>
      <c r="AB792">
        <f t="shared" si="77"/>
        <v>0</v>
      </c>
      <c r="AC792">
        <f>IF(I792="",0,L792*IFERROR(INDEX(کاتالوگ_محصولات!$G$4:$G$303,MATCH(I792,کاتالوگ_محصولات!$A$4:$A$303,0)),0))</f>
        <v>0</v>
      </c>
      <c r="AD792">
        <f t="shared" si="80"/>
        <v>0</v>
      </c>
      <c r="AE792" t="str">
        <f t="shared" si="81"/>
        <v/>
      </c>
    </row>
    <row r="793" spans="22:31" ht="18" customHeight="1">
      <c r="V793">
        <f>IF(A793="",0,IF(COUNTIF($A$3:A793,A793)=1,1,0))</f>
        <v>0</v>
      </c>
      <c r="W793">
        <f t="shared" si="78"/>
        <v>0</v>
      </c>
      <c r="X793" t="str">
        <f t="shared" si="79"/>
        <v/>
      </c>
      <c r="Y793">
        <f>IF(X793="",0,IF(COUNTIF($X$3:X793,X793)=1,1,0))</f>
        <v>0</v>
      </c>
      <c r="Z793">
        <f>IF(V793&lt;&gt;1,0,IF(X793="",0,IF(COUNTIF($X$3:X792,X793)&gt;0,1,0)))</f>
        <v>0</v>
      </c>
      <c r="AA793">
        <f t="shared" si="76"/>
        <v>0</v>
      </c>
      <c r="AB793">
        <f t="shared" si="77"/>
        <v>0</v>
      </c>
      <c r="AC793">
        <f>IF(I793="",0,L793*IFERROR(INDEX(کاتالوگ_محصولات!$G$4:$G$303,MATCH(I793,کاتالوگ_محصولات!$A$4:$A$303,0)),0))</f>
        <v>0</v>
      </c>
      <c r="AD793">
        <f t="shared" si="80"/>
        <v>0</v>
      </c>
      <c r="AE793" t="str">
        <f t="shared" si="81"/>
        <v/>
      </c>
    </row>
    <row r="794" spans="22:31" ht="18" customHeight="1">
      <c r="V794">
        <f>IF(A794="",0,IF(COUNTIF($A$3:A794,A794)=1,1,0))</f>
        <v>0</v>
      </c>
      <c r="W794">
        <f t="shared" si="78"/>
        <v>0</v>
      </c>
      <c r="X794" t="str">
        <f t="shared" si="79"/>
        <v/>
      </c>
      <c r="Y794">
        <f>IF(X794="",0,IF(COUNTIF($X$3:X794,X794)=1,1,0))</f>
        <v>0</v>
      </c>
      <c r="Z794">
        <f>IF(V794&lt;&gt;1,0,IF(X794="",0,IF(COUNTIF($X$3:X793,X794)&gt;0,1,0)))</f>
        <v>0</v>
      </c>
      <c r="AA794">
        <f t="shared" si="76"/>
        <v>0</v>
      </c>
      <c r="AB794">
        <f t="shared" si="77"/>
        <v>0</v>
      </c>
      <c r="AC794">
        <f>IF(I794="",0,L794*IFERROR(INDEX(کاتالوگ_محصولات!$G$4:$G$303,MATCH(I794,کاتالوگ_محصولات!$A$4:$A$303,0)),0))</f>
        <v>0</v>
      </c>
      <c r="AD794">
        <f t="shared" si="80"/>
        <v>0</v>
      </c>
      <c r="AE794" t="str">
        <f t="shared" si="81"/>
        <v/>
      </c>
    </row>
    <row r="795" spans="22:31" ht="18" customHeight="1">
      <c r="V795">
        <f>IF(A795="",0,IF(COUNTIF($A$3:A795,A795)=1,1,0))</f>
        <v>0</v>
      </c>
      <c r="W795">
        <f t="shared" si="78"/>
        <v>0</v>
      </c>
      <c r="X795" t="str">
        <f t="shared" si="79"/>
        <v/>
      </c>
      <c r="Y795">
        <f>IF(X795="",0,IF(COUNTIF($X$3:X795,X795)=1,1,0))</f>
        <v>0</v>
      </c>
      <c r="Z795">
        <f>IF(V795&lt;&gt;1,0,IF(X795="",0,IF(COUNTIF($X$3:X794,X795)&gt;0,1,0)))</f>
        <v>0</v>
      </c>
      <c r="AA795">
        <f t="shared" si="76"/>
        <v>0</v>
      </c>
      <c r="AB795">
        <f t="shared" si="77"/>
        <v>0</v>
      </c>
      <c r="AC795">
        <f>IF(I795="",0,L795*IFERROR(INDEX(کاتالوگ_محصولات!$G$4:$G$303,MATCH(I795,کاتالوگ_محصولات!$A$4:$A$303,0)),0))</f>
        <v>0</v>
      </c>
      <c r="AD795">
        <f t="shared" si="80"/>
        <v>0</v>
      </c>
      <c r="AE795" t="str">
        <f t="shared" si="81"/>
        <v/>
      </c>
    </row>
    <row r="796" spans="22:31" ht="18" customHeight="1">
      <c r="V796">
        <f>IF(A796="",0,IF(COUNTIF($A$3:A796,A796)=1,1,0))</f>
        <v>0</v>
      </c>
      <c r="W796">
        <f t="shared" si="78"/>
        <v>0</v>
      </c>
      <c r="X796" t="str">
        <f t="shared" si="79"/>
        <v/>
      </c>
      <c r="Y796">
        <f>IF(X796="",0,IF(COUNTIF($X$3:X796,X796)=1,1,0))</f>
        <v>0</v>
      </c>
      <c r="Z796">
        <f>IF(V796&lt;&gt;1,0,IF(X796="",0,IF(COUNTIF($X$3:X795,X796)&gt;0,1,0)))</f>
        <v>0</v>
      </c>
      <c r="AA796">
        <f t="shared" si="76"/>
        <v>0</v>
      </c>
      <c r="AB796">
        <f t="shared" si="77"/>
        <v>0</v>
      </c>
      <c r="AC796">
        <f>IF(I796="",0,L796*IFERROR(INDEX(کاتالوگ_محصولات!$G$4:$G$303,MATCH(I796,کاتالوگ_محصولات!$A$4:$A$303,0)),0))</f>
        <v>0</v>
      </c>
      <c r="AD796">
        <f t="shared" si="80"/>
        <v>0</v>
      </c>
      <c r="AE796" t="str">
        <f t="shared" si="81"/>
        <v/>
      </c>
    </row>
    <row r="797" spans="22:31" ht="18" customHeight="1">
      <c r="V797">
        <f>IF(A797="",0,IF(COUNTIF($A$3:A797,A797)=1,1,0))</f>
        <v>0</v>
      </c>
      <c r="W797">
        <f t="shared" si="78"/>
        <v>0</v>
      </c>
      <c r="X797" t="str">
        <f t="shared" si="79"/>
        <v/>
      </c>
      <c r="Y797">
        <f>IF(X797="",0,IF(COUNTIF($X$3:X797,X797)=1,1,0))</f>
        <v>0</v>
      </c>
      <c r="Z797">
        <f>IF(V797&lt;&gt;1,0,IF(X797="",0,IF(COUNTIF($X$3:X796,X797)&gt;0,1,0)))</f>
        <v>0</v>
      </c>
      <c r="AA797">
        <f t="shared" si="76"/>
        <v>0</v>
      </c>
      <c r="AB797">
        <f t="shared" si="77"/>
        <v>0</v>
      </c>
      <c r="AC797">
        <f>IF(I797="",0,L797*IFERROR(INDEX(کاتالوگ_محصولات!$G$4:$G$303,MATCH(I797,کاتالوگ_محصولات!$A$4:$A$303,0)),0))</f>
        <v>0</v>
      </c>
      <c r="AD797">
        <f t="shared" si="80"/>
        <v>0</v>
      </c>
      <c r="AE797" t="str">
        <f t="shared" si="81"/>
        <v/>
      </c>
    </row>
    <row r="798" spans="22:31" ht="18" customHeight="1">
      <c r="V798">
        <f>IF(A798="",0,IF(COUNTIF($A$3:A798,A798)=1,1,0))</f>
        <v>0</v>
      </c>
      <c r="W798">
        <f t="shared" si="78"/>
        <v>0</v>
      </c>
      <c r="X798" t="str">
        <f t="shared" si="79"/>
        <v/>
      </c>
      <c r="Y798">
        <f>IF(X798="",0,IF(COUNTIF($X$3:X798,X798)=1,1,0))</f>
        <v>0</v>
      </c>
      <c r="Z798">
        <f>IF(V798&lt;&gt;1,0,IF(X798="",0,IF(COUNTIF($X$3:X797,X798)&gt;0,1,0)))</f>
        <v>0</v>
      </c>
      <c r="AA798">
        <f t="shared" si="76"/>
        <v>0</v>
      </c>
      <c r="AB798">
        <f t="shared" si="77"/>
        <v>0</v>
      </c>
      <c r="AC798">
        <f>IF(I798="",0,L798*IFERROR(INDEX(کاتالوگ_محصولات!$G$4:$G$303,MATCH(I798,کاتالوگ_محصولات!$A$4:$A$303,0)),0))</f>
        <v>0</v>
      </c>
      <c r="AD798">
        <f t="shared" si="80"/>
        <v>0</v>
      </c>
      <c r="AE798" t="str">
        <f t="shared" si="81"/>
        <v/>
      </c>
    </row>
    <row r="799" spans="22:31" ht="18" customHeight="1">
      <c r="V799">
        <f>IF(A799="",0,IF(COUNTIF($A$3:A799,A799)=1,1,0))</f>
        <v>0</v>
      </c>
      <c r="W799">
        <f t="shared" si="78"/>
        <v>0</v>
      </c>
      <c r="X799" t="str">
        <f t="shared" si="79"/>
        <v/>
      </c>
      <c r="Y799">
        <f>IF(X799="",0,IF(COUNTIF($X$3:X799,X799)=1,1,0))</f>
        <v>0</v>
      </c>
      <c r="Z799">
        <f>IF(V799&lt;&gt;1,0,IF(X799="",0,IF(COUNTIF($X$3:X798,X799)&gt;0,1,0)))</f>
        <v>0</v>
      </c>
      <c r="AA799">
        <f t="shared" si="76"/>
        <v>0</v>
      </c>
      <c r="AB799">
        <f t="shared" si="77"/>
        <v>0</v>
      </c>
      <c r="AC799">
        <f>IF(I799="",0,L799*IFERROR(INDEX(کاتالوگ_محصولات!$G$4:$G$303,MATCH(I799,کاتالوگ_محصولات!$A$4:$A$303,0)),0))</f>
        <v>0</v>
      </c>
      <c r="AD799">
        <f t="shared" si="80"/>
        <v>0</v>
      </c>
      <c r="AE799" t="str">
        <f t="shared" si="81"/>
        <v/>
      </c>
    </row>
    <row r="800" spans="22:31" ht="18" customHeight="1">
      <c r="V800">
        <f>IF(A800="",0,IF(COUNTIF($A$3:A800,A800)=1,1,0))</f>
        <v>0</v>
      </c>
      <c r="W800">
        <f t="shared" si="78"/>
        <v>0</v>
      </c>
      <c r="X800" t="str">
        <f t="shared" si="79"/>
        <v/>
      </c>
      <c r="Y800">
        <f>IF(X800="",0,IF(COUNTIF($X$3:X800,X800)=1,1,0))</f>
        <v>0</v>
      </c>
      <c r="Z800">
        <f>IF(V800&lt;&gt;1,0,IF(X800="",0,IF(COUNTIF($X$3:X799,X800)&gt;0,1,0)))</f>
        <v>0</v>
      </c>
      <c r="AA800">
        <f t="shared" si="76"/>
        <v>0</v>
      </c>
      <c r="AB800">
        <f t="shared" si="77"/>
        <v>0</v>
      </c>
      <c r="AC800">
        <f>IF(I800="",0,L800*IFERROR(INDEX(کاتالوگ_محصولات!$G$4:$G$303,MATCH(I800,کاتالوگ_محصولات!$A$4:$A$303,0)),0))</f>
        <v>0</v>
      </c>
      <c r="AD800">
        <f t="shared" si="80"/>
        <v>0</v>
      </c>
      <c r="AE800" t="str">
        <f t="shared" si="81"/>
        <v/>
      </c>
    </row>
    <row r="801" spans="22:31" ht="18" customHeight="1">
      <c r="V801">
        <f>IF(A801="",0,IF(COUNTIF($A$3:A801,A801)=1,1,0))</f>
        <v>0</v>
      </c>
      <c r="W801">
        <f t="shared" si="78"/>
        <v>0</v>
      </c>
      <c r="X801" t="str">
        <f t="shared" si="79"/>
        <v/>
      </c>
      <c r="Y801">
        <f>IF(X801="",0,IF(COUNTIF($X$3:X801,X801)=1,1,0))</f>
        <v>0</v>
      </c>
      <c r="Z801">
        <f>IF(V801&lt;&gt;1,0,IF(X801="",0,IF(COUNTIF($X$3:X800,X801)&gt;0,1,0)))</f>
        <v>0</v>
      </c>
      <c r="AA801">
        <f t="shared" si="76"/>
        <v>0</v>
      </c>
      <c r="AB801">
        <f t="shared" si="77"/>
        <v>0</v>
      </c>
      <c r="AC801">
        <f>IF(I801="",0,L801*IFERROR(INDEX(کاتالوگ_محصولات!$G$4:$G$303,MATCH(I801,کاتالوگ_محصولات!$A$4:$A$303,0)),0))</f>
        <v>0</v>
      </c>
      <c r="AD801">
        <f t="shared" si="80"/>
        <v>0</v>
      </c>
      <c r="AE801" t="str">
        <f t="shared" si="81"/>
        <v/>
      </c>
    </row>
    <row r="802" spans="22:31" ht="18" customHeight="1">
      <c r="V802">
        <f>IF(A802="",0,IF(COUNTIF($A$3:A802,A802)=1,1,0))</f>
        <v>0</v>
      </c>
      <c r="W802">
        <f t="shared" si="78"/>
        <v>0</v>
      </c>
      <c r="X802" t="str">
        <f t="shared" si="79"/>
        <v/>
      </c>
      <c r="Y802">
        <f>IF(X802="",0,IF(COUNTIF($X$3:X802,X802)=1,1,0))</f>
        <v>0</v>
      </c>
      <c r="Z802">
        <f>IF(V802&lt;&gt;1,0,IF(X802="",0,IF(COUNTIF($X$3:X801,X802)&gt;0,1,0)))</f>
        <v>0</v>
      </c>
      <c r="AA802">
        <f t="shared" si="76"/>
        <v>0</v>
      </c>
      <c r="AB802">
        <f t="shared" si="77"/>
        <v>0</v>
      </c>
      <c r="AC802">
        <f>IF(I802="",0,L802*IFERROR(INDEX(کاتالوگ_محصولات!$G$4:$G$303,MATCH(I802,کاتالوگ_محصولات!$A$4:$A$303,0)),0))</f>
        <v>0</v>
      </c>
      <c r="AD802">
        <f t="shared" si="80"/>
        <v>0</v>
      </c>
      <c r="AE802" t="str">
        <f t="shared" si="81"/>
        <v/>
      </c>
    </row>
    <row r="803" spans="22:31" ht="18" customHeight="1">
      <c r="V803">
        <f>IF(A803="",0,IF(COUNTIF($A$3:A803,A803)=1,1,0))</f>
        <v>0</v>
      </c>
      <c r="W803">
        <f t="shared" si="78"/>
        <v>0</v>
      </c>
      <c r="X803" t="str">
        <f t="shared" si="79"/>
        <v/>
      </c>
      <c r="Y803">
        <f>IF(X803="",0,IF(COUNTIF($X$3:X803,X803)=1,1,0))</f>
        <v>0</v>
      </c>
      <c r="Z803">
        <f>IF(V803&lt;&gt;1,0,IF(X803="",0,IF(COUNTIF($X$3:X802,X803)&gt;0,1,0)))</f>
        <v>0</v>
      </c>
      <c r="AA803">
        <f t="shared" si="76"/>
        <v>0</v>
      </c>
      <c r="AB803">
        <f t="shared" si="77"/>
        <v>0</v>
      </c>
      <c r="AC803">
        <f>IF(I803="",0,L803*IFERROR(INDEX(کاتالوگ_محصولات!$G$4:$G$303,MATCH(I803,کاتالوگ_محصولات!$A$4:$A$303,0)),0))</f>
        <v>0</v>
      </c>
      <c r="AD803">
        <f t="shared" si="80"/>
        <v>0</v>
      </c>
      <c r="AE803" t="str">
        <f t="shared" si="81"/>
        <v/>
      </c>
    </row>
    <row r="804" spans="22:31" ht="18" customHeight="1">
      <c r="V804">
        <f>IF(A804="",0,IF(COUNTIF($A$3:A804,A804)=1,1,0))</f>
        <v>0</v>
      </c>
      <c r="W804">
        <f t="shared" si="78"/>
        <v>0</v>
      </c>
      <c r="X804" t="str">
        <f t="shared" si="79"/>
        <v/>
      </c>
      <c r="Y804">
        <f>IF(X804="",0,IF(COUNTIF($X$3:X804,X804)=1,1,0))</f>
        <v>0</v>
      </c>
      <c r="Z804">
        <f>IF(V804&lt;&gt;1,0,IF(X804="",0,IF(COUNTIF($X$3:X803,X804)&gt;0,1,0)))</f>
        <v>0</v>
      </c>
      <c r="AA804">
        <f t="shared" si="76"/>
        <v>0</v>
      </c>
      <c r="AB804">
        <f t="shared" si="77"/>
        <v>0</v>
      </c>
      <c r="AC804">
        <f>IF(I804="",0,L804*IFERROR(INDEX(کاتالوگ_محصولات!$G$4:$G$303,MATCH(I804,کاتالوگ_محصولات!$A$4:$A$303,0)),0))</f>
        <v>0</v>
      </c>
      <c r="AD804">
        <f t="shared" si="80"/>
        <v>0</v>
      </c>
      <c r="AE804" t="str">
        <f t="shared" si="81"/>
        <v/>
      </c>
    </row>
    <row r="805" spans="22:31" ht="18" customHeight="1">
      <c r="V805">
        <f>IF(A805="",0,IF(COUNTIF($A$3:A805,A805)=1,1,0))</f>
        <v>0</v>
      </c>
      <c r="W805">
        <f t="shared" si="78"/>
        <v>0</v>
      </c>
      <c r="X805" t="str">
        <f t="shared" si="79"/>
        <v/>
      </c>
      <c r="Y805">
        <f>IF(X805="",0,IF(COUNTIF($X$3:X805,X805)=1,1,0))</f>
        <v>0</v>
      </c>
      <c r="Z805">
        <f>IF(V805&lt;&gt;1,0,IF(X805="",0,IF(COUNTIF($X$3:X804,X805)&gt;0,1,0)))</f>
        <v>0</v>
      </c>
      <c r="AA805">
        <f t="shared" si="76"/>
        <v>0</v>
      </c>
      <c r="AB805">
        <f t="shared" si="77"/>
        <v>0</v>
      </c>
      <c r="AC805">
        <f>IF(I805="",0,L805*IFERROR(INDEX(کاتالوگ_محصولات!$G$4:$G$303,MATCH(I805,کاتالوگ_محصولات!$A$4:$A$303,0)),0))</f>
        <v>0</v>
      </c>
      <c r="AD805">
        <f t="shared" si="80"/>
        <v>0</v>
      </c>
      <c r="AE805" t="str">
        <f t="shared" si="81"/>
        <v/>
      </c>
    </row>
    <row r="806" spans="22:31" ht="18" customHeight="1">
      <c r="V806">
        <f>IF(A806="",0,IF(COUNTIF($A$3:A806,A806)=1,1,0))</f>
        <v>0</v>
      </c>
      <c r="W806">
        <f t="shared" si="78"/>
        <v>0</v>
      </c>
      <c r="X806" t="str">
        <f t="shared" si="79"/>
        <v/>
      </c>
      <c r="Y806">
        <f>IF(X806="",0,IF(COUNTIF($X$3:X806,X806)=1,1,0))</f>
        <v>0</v>
      </c>
      <c r="Z806">
        <f>IF(V806&lt;&gt;1,0,IF(X806="",0,IF(COUNTIF($X$3:X805,X806)&gt;0,1,0)))</f>
        <v>0</v>
      </c>
      <c r="AA806">
        <f t="shared" si="76"/>
        <v>0</v>
      </c>
      <c r="AB806">
        <f t="shared" si="77"/>
        <v>0</v>
      </c>
      <c r="AC806">
        <f>IF(I806="",0,L806*IFERROR(INDEX(کاتالوگ_محصولات!$G$4:$G$303,MATCH(I806,کاتالوگ_محصولات!$A$4:$A$303,0)),0))</f>
        <v>0</v>
      </c>
      <c r="AD806">
        <f t="shared" si="80"/>
        <v>0</v>
      </c>
      <c r="AE806" t="str">
        <f t="shared" si="81"/>
        <v/>
      </c>
    </row>
    <row r="807" spans="22:31" ht="18" customHeight="1">
      <c r="V807">
        <f>IF(A807="",0,IF(COUNTIF($A$3:A807,A807)=1,1,0))</f>
        <v>0</v>
      </c>
      <c r="W807">
        <f t="shared" si="78"/>
        <v>0</v>
      </c>
      <c r="X807" t="str">
        <f t="shared" si="79"/>
        <v/>
      </c>
      <c r="Y807">
        <f>IF(X807="",0,IF(COUNTIF($X$3:X807,X807)=1,1,0))</f>
        <v>0</v>
      </c>
      <c r="Z807">
        <f>IF(V807&lt;&gt;1,0,IF(X807="",0,IF(COUNTIF($X$3:X806,X807)&gt;0,1,0)))</f>
        <v>0</v>
      </c>
      <c r="AA807">
        <f t="shared" si="76"/>
        <v>0</v>
      </c>
      <c r="AB807">
        <f t="shared" si="77"/>
        <v>0</v>
      </c>
      <c r="AC807">
        <f>IF(I807="",0,L807*IFERROR(INDEX(کاتالوگ_محصولات!$G$4:$G$303,MATCH(I807,کاتالوگ_محصولات!$A$4:$A$303,0)),0))</f>
        <v>0</v>
      </c>
      <c r="AD807">
        <f t="shared" si="80"/>
        <v>0</v>
      </c>
      <c r="AE807" t="str">
        <f t="shared" si="81"/>
        <v/>
      </c>
    </row>
    <row r="808" spans="22:31" ht="18" customHeight="1">
      <c r="V808">
        <f>IF(A808="",0,IF(COUNTIF($A$3:A808,A808)=1,1,0))</f>
        <v>0</v>
      </c>
      <c r="W808">
        <f t="shared" si="78"/>
        <v>0</v>
      </c>
      <c r="X808" t="str">
        <f t="shared" si="79"/>
        <v/>
      </c>
      <c r="Y808">
        <f>IF(X808="",0,IF(COUNTIF($X$3:X808,X808)=1,1,0))</f>
        <v>0</v>
      </c>
      <c r="Z808">
        <f>IF(V808&lt;&gt;1,0,IF(X808="",0,IF(COUNTIF($X$3:X807,X808)&gt;0,1,0)))</f>
        <v>0</v>
      </c>
      <c r="AA808">
        <f t="shared" si="76"/>
        <v>0</v>
      </c>
      <c r="AB808">
        <f t="shared" si="77"/>
        <v>0</v>
      </c>
      <c r="AC808">
        <f>IF(I808="",0,L808*IFERROR(INDEX(کاتالوگ_محصولات!$G$4:$G$303,MATCH(I808,کاتالوگ_محصولات!$A$4:$A$303,0)),0))</f>
        <v>0</v>
      </c>
      <c r="AD808">
        <f t="shared" si="80"/>
        <v>0</v>
      </c>
      <c r="AE808" t="str">
        <f t="shared" si="81"/>
        <v/>
      </c>
    </row>
    <row r="809" spans="22:31" ht="18" customHeight="1">
      <c r="V809">
        <f>IF(A809="",0,IF(COUNTIF($A$3:A809,A809)=1,1,0))</f>
        <v>0</v>
      </c>
      <c r="W809">
        <f t="shared" si="78"/>
        <v>0</v>
      </c>
      <c r="X809" t="str">
        <f t="shared" si="79"/>
        <v/>
      </c>
      <c r="Y809">
        <f>IF(X809="",0,IF(COUNTIF($X$3:X809,X809)=1,1,0))</f>
        <v>0</v>
      </c>
      <c r="Z809">
        <f>IF(V809&lt;&gt;1,0,IF(X809="",0,IF(COUNTIF($X$3:X808,X809)&gt;0,1,0)))</f>
        <v>0</v>
      </c>
      <c r="AA809">
        <f t="shared" si="76"/>
        <v>0</v>
      </c>
      <c r="AB809">
        <f t="shared" si="77"/>
        <v>0</v>
      </c>
      <c r="AC809">
        <f>IF(I809="",0,L809*IFERROR(INDEX(کاتالوگ_محصولات!$G$4:$G$303,MATCH(I809,کاتالوگ_محصولات!$A$4:$A$303,0)),0))</f>
        <v>0</v>
      </c>
      <c r="AD809">
        <f t="shared" si="80"/>
        <v>0</v>
      </c>
      <c r="AE809" t="str">
        <f t="shared" si="81"/>
        <v/>
      </c>
    </row>
    <row r="810" spans="22:31" ht="18" customHeight="1">
      <c r="V810">
        <f>IF(A810="",0,IF(COUNTIF($A$3:A810,A810)=1,1,0))</f>
        <v>0</v>
      </c>
      <c r="W810">
        <f t="shared" si="78"/>
        <v>0</v>
      </c>
      <c r="X810" t="str">
        <f t="shared" si="79"/>
        <v/>
      </c>
      <c r="Y810">
        <f>IF(X810="",0,IF(COUNTIF($X$3:X810,X810)=1,1,0))</f>
        <v>0</v>
      </c>
      <c r="Z810">
        <f>IF(V810&lt;&gt;1,0,IF(X810="",0,IF(COUNTIF($X$3:X809,X810)&gt;0,1,0)))</f>
        <v>0</v>
      </c>
      <c r="AA810">
        <f t="shared" si="76"/>
        <v>0</v>
      </c>
      <c r="AB810">
        <f t="shared" si="77"/>
        <v>0</v>
      </c>
      <c r="AC810">
        <f>IF(I810="",0,L810*IFERROR(INDEX(کاتالوگ_محصولات!$G$4:$G$303,MATCH(I810,کاتالوگ_محصولات!$A$4:$A$303,0)),0))</f>
        <v>0</v>
      </c>
      <c r="AD810">
        <f t="shared" si="80"/>
        <v>0</v>
      </c>
      <c r="AE810" t="str">
        <f t="shared" si="81"/>
        <v/>
      </c>
    </row>
    <row r="811" spans="22:31" ht="18" customHeight="1">
      <c r="V811">
        <f>IF(A811="",0,IF(COUNTIF($A$3:A811,A811)=1,1,0))</f>
        <v>0</v>
      </c>
      <c r="W811">
        <f t="shared" si="78"/>
        <v>0</v>
      </c>
      <c r="X811" t="str">
        <f t="shared" si="79"/>
        <v/>
      </c>
      <c r="Y811">
        <f>IF(X811="",0,IF(COUNTIF($X$3:X811,X811)=1,1,0))</f>
        <v>0</v>
      </c>
      <c r="Z811">
        <f>IF(V811&lt;&gt;1,0,IF(X811="",0,IF(COUNTIF($X$3:X810,X811)&gt;0,1,0)))</f>
        <v>0</v>
      </c>
      <c r="AA811">
        <f t="shared" si="76"/>
        <v>0</v>
      </c>
      <c r="AB811">
        <f t="shared" si="77"/>
        <v>0</v>
      </c>
      <c r="AC811">
        <f>IF(I811="",0,L811*IFERROR(INDEX(کاتالوگ_محصولات!$G$4:$G$303,MATCH(I811,کاتالوگ_محصولات!$A$4:$A$303,0)),0))</f>
        <v>0</v>
      </c>
      <c r="AD811">
        <f t="shared" si="80"/>
        <v>0</v>
      </c>
      <c r="AE811" t="str">
        <f t="shared" si="81"/>
        <v/>
      </c>
    </row>
    <row r="812" spans="22:31" ht="18" customHeight="1">
      <c r="V812">
        <f>IF(A812="",0,IF(COUNTIF($A$3:A812,A812)=1,1,0))</f>
        <v>0</v>
      </c>
      <c r="W812">
        <f t="shared" si="78"/>
        <v>0</v>
      </c>
      <c r="X812" t="str">
        <f t="shared" si="79"/>
        <v/>
      </c>
      <c r="Y812">
        <f>IF(X812="",0,IF(COUNTIF($X$3:X812,X812)=1,1,0))</f>
        <v>0</v>
      </c>
      <c r="Z812">
        <f>IF(V812&lt;&gt;1,0,IF(X812="",0,IF(COUNTIF($X$3:X811,X812)&gt;0,1,0)))</f>
        <v>0</v>
      </c>
      <c r="AA812">
        <f t="shared" si="76"/>
        <v>0</v>
      </c>
      <c r="AB812">
        <f t="shared" si="77"/>
        <v>0</v>
      </c>
      <c r="AC812">
        <f>IF(I812="",0,L812*IFERROR(INDEX(کاتالوگ_محصولات!$G$4:$G$303,MATCH(I812,کاتالوگ_محصولات!$A$4:$A$303,0)),0))</f>
        <v>0</v>
      </c>
      <c r="AD812">
        <f t="shared" si="80"/>
        <v>0</v>
      </c>
      <c r="AE812" t="str">
        <f t="shared" si="81"/>
        <v/>
      </c>
    </row>
    <row r="813" spans="22:31" ht="18" customHeight="1">
      <c r="V813">
        <f>IF(A813="",0,IF(COUNTIF($A$3:A813,A813)=1,1,0))</f>
        <v>0</v>
      </c>
      <c r="W813">
        <f t="shared" si="78"/>
        <v>0</v>
      </c>
      <c r="X813" t="str">
        <f t="shared" si="79"/>
        <v/>
      </c>
      <c r="Y813">
        <f>IF(X813="",0,IF(COUNTIF($X$3:X813,X813)=1,1,0))</f>
        <v>0</v>
      </c>
      <c r="Z813">
        <f>IF(V813&lt;&gt;1,0,IF(X813="",0,IF(COUNTIF($X$3:X812,X813)&gt;0,1,0)))</f>
        <v>0</v>
      </c>
      <c r="AA813">
        <f t="shared" si="76"/>
        <v>0</v>
      </c>
      <c r="AB813">
        <f t="shared" si="77"/>
        <v>0</v>
      </c>
      <c r="AC813">
        <f>IF(I813="",0,L813*IFERROR(INDEX(کاتالوگ_محصولات!$G$4:$G$303,MATCH(I813,کاتالوگ_محصولات!$A$4:$A$303,0)),0))</f>
        <v>0</v>
      </c>
      <c r="AD813">
        <f t="shared" si="80"/>
        <v>0</v>
      </c>
      <c r="AE813" t="str">
        <f t="shared" si="81"/>
        <v/>
      </c>
    </row>
    <row r="814" spans="22:31" ht="18" customHeight="1">
      <c r="V814">
        <f>IF(A814="",0,IF(COUNTIF($A$3:A814,A814)=1,1,0))</f>
        <v>0</v>
      </c>
      <c r="W814">
        <f t="shared" si="78"/>
        <v>0</v>
      </c>
      <c r="X814" t="str">
        <f t="shared" si="79"/>
        <v/>
      </c>
      <c r="Y814">
        <f>IF(X814="",0,IF(COUNTIF($X$3:X814,X814)=1,1,0))</f>
        <v>0</v>
      </c>
      <c r="Z814">
        <f>IF(V814&lt;&gt;1,0,IF(X814="",0,IF(COUNTIF($X$3:X813,X814)&gt;0,1,0)))</f>
        <v>0</v>
      </c>
      <c r="AA814">
        <f t="shared" si="76"/>
        <v>0</v>
      </c>
      <c r="AB814">
        <f t="shared" si="77"/>
        <v>0</v>
      </c>
      <c r="AC814">
        <f>IF(I814="",0,L814*IFERROR(INDEX(کاتالوگ_محصولات!$G$4:$G$303,MATCH(I814,کاتالوگ_محصولات!$A$4:$A$303,0)),0))</f>
        <v>0</v>
      </c>
      <c r="AD814">
        <f t="shared" si="80"/>
        <v>0</v>
      </c>
      <c r="AE814" t="str">
        <f t="shared" si="81"/>
        <v/>
      </c>
    </row>
    <row r="815" spans="22:31" ht="18" customHeight="1">
      <c r="V815">
        <f>IF(A815="",0,IF(COUNTIF($A$3:A815,A815)=1,1,0))</f>
        <v>0</v>
      </c>
      <c r="W815">
        <f t="shared" si="78"/>
        <v>0</v>
      </c>
      <c r="X815" t="str">
        <f t="shared" si="79"/>
        <v/>
      </c>
      <c r="Y815">
        <f>IF(X815="",0,IF(COUNTIF($X$3:X815,X815)=1,1,0))</f>
        <v>0</v>
      </c>
      <c r="Z815">
        <f>IF(V815&lt;&gt;1,0,IF(X815="",0,IF(COUNTIF($X$3:X814,X815)&gt;0,1,0)))</f>
        <v>0</v>
      </c>
      <c r="AA815">
        <f t="shared" si="76"/>
        <v>0</v>
      </c>
      <c r="AB815">
        <f t="shared" si="77"/>
        <v>0</v>
      </c>
      <c r="AC815">
        <f>IF(I815="",0,L815*IFERROR(INDEX(کاتالوگ_محصولات!$G$4:$G$303,MATCH(I815,کاتالوگ_محصولات!$A$4:$A$303,0)),0))</f>
        <v>0</v>
      </c>
      <c r="AD815">
        <f t="shared" si="80"/>
        <v>0</v>
      </c>
      <c r="AE815" t="str">
        <f t="shared" si="81"/>
        <v/>
      </c>
    </row>
    <row r="816" spans="22:31" ht="18" customHeight="1">
      <c r="V816">
        <f>IF(A816="",0,IF(COUNTIF($A$3:A816,A816)=1,1,0))</f>
        <v>0</v>
      </c>
      <c r="W816">
        <f t="shared" si="78"/>
        <v>0</v>
      </c>
      <c r="X816" t="str">
        <f t="shared" si="79"/>
        <v/>
      </c>
      <c r="Y816">
        <f>IF(X816="",0,IF(COUNTIF($X$3:X816,X816)=1,1,0))</f>
        <v>0</v>
      </c>
      <c r="Z816">
        <f>IF(V816&lt;&gt;1,0,IF(X816="",0,IF(COUNTIF($X$3:X815,X816)&gt;0,1,0)))</f>
        <v>0</v>
      </c>
      <c r="AA816">
        <f t="shared" si="76"/>
        <v>0</v>
      </c>
      <c r="AB816">
        <f t="shared" si="77"/>
        <v>0</v>
      </c>
      <c r="AC816">
        <f>IF(I816="",0,L816*IFERROR(INDEX(کاتالوگ_محصولات!$G$4:$G$303,MATCH(I816,کاتالوگ_محصولات!$A$4:$A$303,0)),0))</f>
        <v>0</v>
      </c>
      <c r="AD816">
        <f t="shared" si="80"/>
        <v>0</v>
      </c>
      <c r="AE816" t="str">
        <f t="shared" si="81"/>
        <v/>
      </c>
    </row>
    <row r="817" spans="22:31" ht="18" customHeight="1">
      <c r="V817">
        <f>IF(A817="",0,IF(COUNTIF($A$3:A817,A817)=1,1,0))</f>
        <v>0</v>
      </c>
      <c r="W817">
        <f t="shared" si="78"/>
        <v>0</v>
      </c>
      <c r="X817" t="str">
        <f t="shared" si="79"/>
        <v/>
      </c>
      <c r="Y817">
        <f>IF(X817="",0,IF(COUNTIF($X$3:X817,X817)=1,1,0))</f>
        <v>0</v>
      </c>
      <c r="Z817">
        <f>IF(V817&lt;&gt;1,0,IF(X817="",0,IF(COUNTIF($X$3:X816,X817)&gt;0,1,0)))</f>
        <v>0</v>
      </c>
      <c r="AA817">
        <f t="shared" si="76"/>
        <v>0</v>
      </c>
      <c r="AB817">
        <f t="shared" si="77"/>
        <v>0</v>
      </c>
      <c r="AC817">
        <f>IF(I817="",0,L817*IFERROR(INDEX(کاتالوگ_محصولات!$G$4:$G$303,MATCH(I817,کاتالوگ_محصولات!$A$4:$A$303,0)),0))</f>
        <v>0</v>
      </c>
      <c r="AD817">
        <f t="shared" si="80"/>
        <v>0</v>
      </c>
      <c r="AE817" t="str">
        <f t="shared" si="81"/>
        <v/>
      </c>
    </row>
    <row r="818" spans="22:31" ht="18" customHeight="1">
      <c r="V818">
        <f>IF(A818="",0,IF(COUNTIF($A$3:A818,A818)=1,1,0))</f>
        <v>0</v>
      </c>
      <c r="W818">
        <f t="shared" si="78"/>
        <v>0</v>
      </c>
      <c r="X818" t="str">
        <f t="shared" si="79"/>
        <v/>
      </c>
      <c r="Y818">
        <f>IF(X818="",0,IF(COUNTIF($X$3:X818,X818)=1,1,0))</f>
        <v>0</v>
      </c>
      <c r="Z818">
        <f>IF(V818&lt;&gt;1,0,IF(X818="",0,IF(COUNTIF($X$3:X817,X818)&gt;0,1,0)))</f>
        <v>0</v>
      </c>
      <c r="AA818">
        <f t="shared" si="76"/>
        <v>0</v>
      </c>
      <c r="AB818">
        <f t="shared" si="77"/>
        <v>0</v>
      </c>
      <c r="AC818">
        <f>IF(I818="",0,L818*IFERROR(INDEX(کاتالوگ_محصولات!$G$4:$G$303,MATCH(I818,کاتالوگ_محصولات!$A$4:$A$303,0)),0))</f>
        <v>0</v>
      </c>
      <c r="AD818">
        <f t="shared" si="80"/>
        <v>0</v>
      </c>
      <c r="AE818" t="str">
        <f t="shared" si="81"/>
        <v/>
      </c>
    </row>
    <row r="819" spans="22:31" ht="18" customHeight="1">
      <c r="V819">
        <f>IF(A819="",0,IF(COUNTIF($A$3:A819,A819)=1,1,0))</f>
        <v>0</v>
      </c>
      <c r="W819">
        <f t="shared" si="78"/>
        <v>0</v>
      </c>
      <c r="X819" t="str">
        <f t="shared" si="79"/>
        <v/>
      </c>
      <c r="Y819">
        <f>IF(X819="",0,IF(COUNTIF($X$3:X819,X819)=1,1,0))</f>
        <v>0</v>
      </c>
      <c r="Z819">
        <f>IF(V819&lt;&gt;1,0,IF(X819="",0,IF(COUNTIF($X$3:X818,X819)&gt;0,1,0)))</f>
        <v>0</v>
      </c>
      <c r="AA819">
        <f t="shared" si="76"/>
        <v>0</v>
      </c>
      <c r="AB819">
        <f t="shared" si="77"/>
        <v>0</v>
      </c>
      <c r="AC819">
        <f>IF(I819="",0,L819*IFERROR(INDEX(کاتالوگ_محصولات!$G$4:$G$303,MATCH(I819,کاتالوگ_محصولات!$A$4:$A$303,0)),0))</f>
        <v>0</v>
      </c>
      <c r="AD819">
        <f t="shared" si="80"/>
        <v>0</v>
      </c>
      <c r="AE819" t="str">
        <f t="shared" si="81"/>
        <v/>
      </c>
    </row>
    <row r="820" spans="22:31" ht="18" customHeight="1">
      <c r="V820">
        <f>IF(A820="",0,IF(COUNTIF($A$3:A820,A820)=1,1,0))</f>
        <v>0</v>
      </c>
      <c r="W820">
        <f t="shared" si="78"/>
        <v>0</v>
      </c>
      <c r="X820" t="str">
        <f t="shared" si="79"/>
        <v/>
      </c>
      <c r="Y820">
        <f>IF(X820="",0,IF(COUNTIF($X$3:X820,X820)=1,1,0))</f>
        <v>0</v>
      </c>
      <c r="Z820">
        <f>IF(V820&lt;&gt;1,0,IF(X820="",0,IF(COUNTIF($X$3:X819,X820)&gt;0,1,0)))</f>
        <v>0</v>
      </c>
      <c r="AA820">
        <f t="shared" si="76"/>
        <v>0</v>
      </c>
      <c r="AB820">
        <f t="shared" si="77"/>
        <v>0</v>
      </c>
      <c r="AC820">
        <f>IF(I820="",0,L820*IFERROR(INDEX(کاتالوگ_محصولات!$G$4:$G$303,MATCH(I820,کاتالوگ_محصولات!$A$4:$A$303,0)),0))</f>
        <v>0</v>
      </c>
      <c r="AD820">
        <f t="shared" si="80"/>
        <v>0</v>
      </c>
      <c r="AE820" t="str">
        <f t="shared" si="81"/>
        <v/>
      </c>
    </row>
    <row r="821" spans="22:31" ht="18" customHeight="1">
      <c r="V821">
        <f>IF(A821="",0,IF(COUNTIF($A$3:A821,A821)=1,1,0))</f>
        <v>0</v>
      </c>
      <c r="W821">
        <f t="shared" si="78"/>
        <v>0</v>
      </c>
      <c r="X821" t="str">
        <f t="shared" si="79"/>
        <v/>
      </c>
      <c r="Y821">
        <f>IF(X821="",0,IF(COUNTIF($X$3:X821,X821)=1,1,0))</f>
        <v>0</v>
      </c>
      <c r="Z821">
        <f>IF(V821&lt;&gt;1,0,IF(X821="",0,IF(COUNTIF($X$3:X820,X821)&gt;0,1,0)))</f>
        <v>0</v>
      </c>
      <c r="AA821">
        <f t="shared" si="76"/>
        <v>0</v>
      </c>
      <c r="AB821">
        <f t="shared" si="77"/>
        <v>0</v>
      </c>
      <c r="AC821">
        <f>IF(I821="",0,L821*IFERROR(INDEX(کاتالوگ_محصولات!$G$4:$G$303,MATCH(I821,کاتالوگ_محصولات!$A$4:$A$303,0)),0))</f>
        <v>0</v>
      </c>
      <c r="AD821">
        <f t="shared" si="80"/>
        <v>0</v>
      </c>
      <c r="AE821" t="str">
        <f t="shared" si="81"/>
        <v/>
      </c>
    </row>
    <row r="822" spans="22:31" ht="18" customHeight="1">
      <c r="V822">
        <f>IF(A822="",0,IF(COUNTIF($A$3:A822,A822)=1,1,0))</f>
        <v>0</v>
      </c>
      <c r="W822">
        <f t="shared" si="78"/>
        <v>0</v>
      </c>
      <c r="X822" t="str">
        <f t="shared" si="79"/>
        <v/>
      </c>
      <c r="Y822">
        <f>IF(X822="",0,IF(COUNTIF($X$3:X822,X822)=1,1,0))</f>
        <v>0</v>
      </c>
      <c r="Z822">
        <f>IF(V822&lt;&gt;1,0,IF(X822="",0,IF(COUNTIF($X$3:X821,X822)&gt;0,1,0)))</f>
        <v>0</v>
      </c>
      <c r="AA822">
        <f t="shared" si="76"/>
        <v>0</v>
      </c>
      <c r="AB822">
        <f t="shared" si="77"/>
        <v>0</v>
      </c>
      <c r="AC822">
        <f>IF(I822="",0,L822*IFERROR(INDEX(کاتالوگ_محصولات!$G$4:$G$303,MATCH(I822,کاتالوگ_محصولات!$A$4:$A$303,0)),0))</f>
        <v>0</v>
      </c>
      <c r="AD822">
        <f t="shared" si="80"/>
        <v>0</v>
      </c>
      <c r="AE822" t="str">
        <f t="shared" si="81"/>
        <v/>
      </c>
    </row>
    <row r="823" spans="22:31" ht="18" customHeight="1">
      <c r="V823">
        <f>IF(A823="",0,IF(COUNTIF($A$3:A823,A823)=1,1,0))</f>
        <v>0</v>
      </c>
      <c r="W823">
        <f t="shared" si="78"/>
        <v>0</v>
      </c>
      <c r="X823" t="str">
        <f t="shared" si="79"/>
        <v/>
      </c>
      <c r="Y823">
        <f>IF(X823="",0,IF(COUNTIF($X$3:X823,X823)=1,1,0))</f>
        <v>0</v>
      </c>
      <c r="Z823">
        <f>IF(V823&lt;&gt;1,0,IF(X823="",0,IF(COUNTIF($X$3:X822,X823)&gt;0,1,0)))</f>
        <v>0</v>
      </c>
      <c r="AA823">
        <f t="shared" si="76"/>
        <v>0</v>
      </c>
      <c r="AB823">
        <f t="shared" si="77"/>
        <v>0</v>
      </c>
      <c r="AC823">
        <f>IF(I823="",0,L823*IFERROR(INDEX(کاتالوگ_محصولات!$G$4:$G$303,MATCH(I823,کاتالوگ_محصولات!$A$4:$A$303,0)),0))</f>
        <v>0</v>
      </c>
      <c r="AD823">
        <f t="shared" si="80"/>
        <v>0</v>
      </c>
      <c r="AE823" t="str">
        <f t="shared" si="81"/>
        <v/>
      </c>
    </row>
    <row r="824" spans="22:31" ht="18" customHeight="1">
      <c r="V824">
        <f>IF(A824="",0,IF(COUNTIF($A$3:A824,A824)=1,1,0))</f>
        <v>0</v>
      </c>
      <c r="W824">
        <f t="shared" si="78"/>
        <v>0</v>
      </c>
      <c r="X824" t="str">
        <f t="shared" si="79"/>
        <v/>
      </c>
      <c r="Y824">
        <f>IF(X824="",0,IF(COUNTIF($X$3:X824,X824)=1,1,0))</f>
        <v>0</v>
      </c>
      <c r="Z824">
        <f>IF(V824&lt;&gt;1,0,IF(X824="",0,IF(COUNTIF($X$3:X823,X824)&gt;0,1,0)))</f>
        <v>0</v>
      </c>
      <c r="AA824">
        <f t="shared" si="76"/>
        <v>0</v>
      </c>
      <c r="AB824">
        <f t="shared" si="77"/>
        <v>0</v>
      </c>
      <c r="AC824">
        <f>IF(I824="",0,L824*IFERROR(INDEX(کاتالوگ_محصولات!$G$4:$G$303,MATCH(I824,کاتالوگ_محصولات!$A$4:$A$303,0)),0))</f>
        <v>0</v>
      </c>
      <c r="AD824">
        <f t="shared" si="80"/>
        <v>0</v>
      </c>
      <c r="AE824" t="str">
        <f t="shared" si="81"/>
        <v/>
      </c>
    </row>
    <row r="825" spans="22:31" ht="18" customHeight="1">
      <c r="V825">
        <f>IF(A825="",0,IF(COUNTIF($A$3:A825,A825)=1,1,0))</f>
        <v>0</v>
      </c>
      <c r="W825">
        <f t="shared" si="78"/>
        <v>0</v>
      </c>
      <c r="X825" t="str">
        <f t="shared" si="79"/>
        <v/>
      </c>
      <c r="Y825">
        <f>IF(X825="",0,IF(COUNTIF($X$3:X825,X825)=1,1,0))</f>
        <v>0</v>
      </c>
      <c r="Z825">
        <f>IF(V825&lt;&gt;1,0,IF(X825="",0,IF(COUNTIF($X$3:X824,X825)&gt;0,1,0)))</f>
        <v>0</v>
      </c>
      <c r="AA825">
        <f t="shared" si="76"/>
        <v>0</v>
      </c>
      <c r="AB825">
        <f t="shared" si="77"/>
        <v>0</v>
      </c>
      <c r="AC825">
        <f>IF(I825="",0,L825*IFERROR(INDEX(کاتالوگ_محصولات!$G$4:$G$303,MATCH(I825,کاتالوگ_محصولات!$A$4:$A$303,0)),0))</f>
        <v>0</v>
      </c>
      <c r="AD825">
        <f t="shared" si="80"/>
        <v>0</v>
      </c>
      <c r="AE825" t="str">
        <f t="shared" si="81"/>
        <v/>
      </c>
    </row>
    <row r="826" spans="22:31" ht="18" customHeight="1">
      <c r="V826">
        <f>IF(A826="",0,IF(COUNTIF($A$3:A826,A826)=1,1,0))</f>
        <v>0</v>
      </c>
      <c r="W826">
        <f t="shared" si="78"/>
        <v>0</v>
      </c>
      <c r="X826" t="str">
        <f t="shared" si="79"/>
        <v/>
      </c>
      <c r="Y826">
        <f>IF(X826="",0,IF(COUNTIF($X$3:X826,X826)=1,1,0))</f>
        <v>0</v>
      </c>
      <c r="Z826">
        <f>IF(V826&lt;&gt;1,0,IF(X826="",0,IF(COUNTIF($X$3:X825,X826)&gt;0,1,0)))</f>
        <v>0</v>
      </c>
      <c r="AA826">
        <f t="shared" si="76"/>
        <v>0</v>
      </c>
      <c r="AB826">
        <f t="shared" si="77"/>
        <v>0</v>
      </c>
      <c r="AC826">
        <f>IF(I826="",0,L826*IFERROR(INDEX(کاتالوگ_محصولات!$G$4:$G$303,MATCH(I826,کاتالوگ_محصولات!$A$4:$A$303,0)),0))</f>
        <v>0</v>
      </c>
      <c r="AD826">
        <f t="shared" si="80"/>
        <v>0</v>
      </c>
      <c r="AE826" t="str">
        <f t="shared" si="81"/>
        <v/>
      </c>
    </row>
    <row r="827" spans="22:31" ht="18" customHeight="1">
      <c r="V827">
        <f>IF(A827="",0,IF(COUNTIF($A$3:A827,A827)=1,1,0))</f>
        <v>0</v>
      </c>
      <c r="W827">
        <f t="shared" si="78"/>
        <v>0</v>
      </c>
      <c r="X827" t="str">
        <f t="shared" si="79"/>
        <v/>
      </c>
      <c r="Y827">
        <f>IF(X827="",0,IF(COUNTIF($X$3:X827,X827)=1,1,0))</f>
        <v>0</v>
      </c>
      <c r="Z827">
        <f>IF(V827&lt;&gt;1,0,IF(X827="",0,IF(COUNTIF($X$3:X826,X827)&gt;0,1,0)))</f>
        <v>0</v>
      </c>
      <c r="AA827">
        <f t="shared" si="76"/>
        <v>0</v>
      </c>
      <c r="AB827">
        <f t="shared" si="77"/>
        <v>0</v>
      </c>
      <c r="AC827">
        <f>IF(I827="",0,L827*IFERROR(INDEX(کاتالوگ_محصولات!$G$4:$G$303,MATCH(I827,کاتالوگ_محصولات!$A$4:$A$303,0)),0))</f>
        <v>0</v>
      </c>
      <c r="AD827">
        <f t="shared" si="80"/>
        <v>0</v>
      </c>
      <c r="AE827" t="str">
        <f t="shared" si="81"/>
        <v/>
      </c>
    </row>
    <row r="828" spans="22:31" ht="18" customHeight="1">
      <c r="V828">
        <f>IF(A828="",0,IF(COUNTIF($A$3:A828,A828)=1,1,0))</f>
        <v>0</v>
      </c>
      <c r="W828">
        <f t="shared" si="78"/>
        <v>0</v>
      </c>
      <c r="X828" t="str">
        <f t="shared" si="79"/>
        <v/>
      </c>
      <c r="Y828">
        <f>IF(X828="",0,IF(COUNTIF($X$3:X828,X828)=1,1,0))</f>
        <v>0</v>
      </c>
      <c r="Z828">
        <f>IF(V828&lt;&gt;1,0,IF(X828="",0,IF(COUNTIF($X$3:X827,X828)&gt;0,1,0)))</f>
        <v>0</v>
      </c>
      <c r="AA828">
        <f t="shared" si="76"/>
        <v>0</v>
      </c>
      <c r="AB828">
        <f t="shared" si="77"/>
        <v>0</v>
      </c>
      <c r="AC828">
        <f>IF(I828="",0,L828*IFERROR(INDEX(کاتالوگ_محصولات!$G$4:$G$303,MATCH(I828,کاتالوگ_محصولات!$A$4:$A$303,0)),0))</f>
        <v>0</v>
      </c>
      <c r="AD828">
        <f t="shared" si="80"/>
        <v>0</v>
      </c>
      <c r="AE828" t="str">
        <f t="shared" si="81"/>
        <v/>
      </c>
    </row>
    <row r="829" spans="22:31" ht="18" customHeight="1">
      <c r="V829">
        <f>IF(A829="",0,IF(COUNTIF($A$3:A829,A829)=1,1,0))</f>
        <v>0</v>
      </c>
      <c r="W829">
        <f t="shared" si="78"/>
        <v>0</v>
      </c>
      <c r="X829" t="str">
        <f t="shared" si="79"/>
        <v/>
      </c>
      <c r="Y829">
        <f>IF(X829="",0,IF(COUNTIF($X$3:X829,X829)=1,1,0))</f>
        <v>0</v>
      </c>
      <c r="Z829">
        <f>IF(V829&lt;&gt;1,0,IF(X829="",0,IF(COUNTIF($X$3:X828,X829)&gt;0,1,0)))</f>
        <v>0</v>
      </c>
      <c r="AA829">
        <f t="shared" si="76"/>
        <v>0</v>
      </c>
      <c r="AB829">
        <f t="shared" si="77"/>
        <v>0</v>
      </c>
      <c r="AC829">
        <f>IF(I829="",0,L829*IFERROR(INDEX(کاتالوگ_محصولات!$G$4:$G$303,MATCH(I829,کاتالوگ_محصولات!$A$4:$A$303,0)),0))</f>
        <v>0</v>
      </c>
      <c r="AD829">
        <f t="shared" si="80"/>
        <v>0</v>
      </c>
      <c r="AE829" t="str">
        <f t="shared" si="81"/>
        <v/>
      </c>
    </row>
    <row r="830" spans="22:31" ht="18" customHeight="1">
      <c r="V830">
        <f>IF(A830="",0,IF(COUNTIF($A$3:A830,A830)=1,1,0))</f>
        <v>0</v>
      </c>
      <c r="W830">
        <f t="shared" si="78"/>
        <v>0</v>
      </c>
      <c r="X830" t="str">
        <f t="shared" si="79"/>
        <v/>
      </c>
      <c r="Y830">
        <f>IF(X830="",0,IF(COUNTIF($X$3:X830,X830)=1,1,0))</f>
        <v>0</v>
      </c>
      <c r="Z830">
        <f>IF(V830&lt;&gt;1,0,IF(X830="",0,IF(COUNTIF($X$3:X829,X830)&gt;0,1,0)))</f>
        <v>0</v>
      </c>
      <c r="AA830">
        <f t="shared" si="76"/>
        <v>0</v>
      </c>
      <c r="AB830">
        <f t="shared" si="77"/>
        <v>0</v>
      </c>
      <c r="AC830">
        <f>IF(I830="",0,L830*IFERROR(INDEX(کاتالوگ_محصولات!$G$4:$G$303,MATCH(I830,کاتالوگ_محصولات!$A$4:$A$303,0)),0))</f>
        <v>0</v>
      </c>
      <c r="AD830">
        <f t="shared" si="80"/>
        <v>0</v>
      </c>
      <c r="AE830" t="str">
        <f t="shared" si="81"/>
        <v/>
      </c>
    </row>
    <row r="831" spans="22:31" ht="18" customHeight="1">
      <c r="V831">
        <f>IF(A831="",0,IF(COUNTIF($A$3:A831,A831)=1,1,0))</f>
        <v>0</v>
      </c>
      <c r="W831">
        <f t="shared" si="78"/>
        <v>0</v>
      </c>
      <c r="X831" t="str">
        <f t="shared" si="79"/>
        <v/>
      </c>
      <c r="Y831">
        <f>IF(X831="",0,IF(COUNTIF($X$3:X831,X831)=1,1,0))</f>
        <v>0</v>
      </c>
      <c r="Z831">
        <f>IF(V831&lt;&gt;1,0,IF(X831="",0,IF(COUNTIF($X$3:X830,X831)&gt;0,1,0)))</f>
        <v>0</v>
      </c>
      <c r="AA831">
        <f t="shared" si="76"/>
        <v>0</v>
      </c>
      <c r="AB831">
        <f t="shared" si="77"/>
        <v>0</v>
      </c>
      <c r="AC831">
        <f>IF(I831="",0,L831*IFERROR(INDEX(کاتالوگ_محصولات!$G$4:$G$303,MATCH(I831,کاتالوگ_محصولات!$A$4:$A$303,0)),0))</f>
        <v>0</v>
      </c>
      <c r="AD831">
        <f t="shared" si="80"/>
        <v>0</v>
      </c>
      <c r="AE831" t="str">
        <f t="shared" si="81"/>
        <v/>
      </c>
    </row>
    <row r="832" spans="22:31" ht="18" customHeight="1">
      <c r="V832">
        <f>IF(A832="",0,IF(COUNTIF($A$3:A832,A832)=1,1,0))</f>
        <v>0</v>
      </c>
      <c r="W832">
        <f t="shared" si="78"/>
        <v>0</v>
      </c>
      <c r="X832" t="str">
        <f t="shared" si="79"/>
        <v/>
      </c>
      <c r="Y832">
        <f>IF(X832="",0,IF(COUNTIF($X$3:X832,X832)=1,1,0))</f>
        <v>0</v>
      </c>
      <c r="Z832">
        <f>IF(V832&lt;&gt;1,0,IF(X832="",0,IF(COUNTIF($X$3:X831,X832)&gt;0,1,0)))</f>
        <v>0</v>
      </c>
      <c r="AA832">
        <f t="shared" si="76"/>
        <v>0</v>
      </c>
      <c r="AB832">
        <f t="shared" si="77"/>
        <v>0</v>
      </c>
      <c r="AC832">
        <f>IF(I832="",0,L832*IFERROR(INDEX(کاتالوگ_محصولات!$G$4:$G$303,MATCH(I832,کاتالوگ_محصولات!$A$4:$A$303,0)),0))</f>
        <v>0</v>
      </c>
      <c r="AD832">
        <f t="shared" si="80"/>
        <v>0</v>
      </c>
      <c r="AE832" t="str">
        <f t="shared" si="81"/>
        <v/>
      </c>
    </row>
    <row r="833" spans="22:31" ht="18" customHeight="1">
      <c r="V833">
        <f>IF(A833="",0,IF(COUNTIF($A$3:A833,A833)=1,1,0))</f>
        <v>0</v>
      </c>
      <c r="W833">
        <f t="shared" si="78"/>
        <v>0</v>
      </c>
      <c r="X833" t="str">
        <f t="shared" si="79"/>
        <v/>
      </c>
      <c r="Y833">
        <f>IF(X833="",0,IF(COUNTIF($X$3:X833,X833)=1,1,0))</f>
        <v>0</v>
      </c>
      <c r="Z833">
        <f>IF(V833&lt;&gt;1,0,IF(X833="",0,IF(COUNTIF($X$3:X832,X833)&gt;0,1,0)))</f>
        <v>0</v>
      </c>
      <c r="AA833">
        <f t="shared" si="76"/>
        <v>0</v>
      </c>
      <c r="AB833">
        <f t="shared" si="77"/>
        <v>0</v>
      </c>
      <c r="AC833">
        <f>IF(I833="",0,L833*IFERROR(INDEX(کاتالوگ_محصولات!$G$4:$G$303,MATCH(I833,کاتالوگ_محصولات!$A$4:$A$303,0)),0))</f>
        <v>0</v>
      </c>
      <c r="AD833">
        <f t="shared" si="80"/>
        <v>0</v>
      </c>
      <c r="AE833" t="str">
        <f t="shared" si="81"/>
        <v/>
      </c>
    </row>
    <row r="834" spans="22:31" ht="18" customHeight="1">
      <c r="V834">
        <f>IF(A834="",0,IF(COUNTIF($A$3:A834,A834)=1,1,0))</f>
        <v>0</v>
      </c>
      <c r="W834">
        <f t="shared" si="78"/>
        <v>0</v>
      </c>
      <c r="X834" t="str">
        <f t="shared" si="79"/>
        <v/>
      </c>
      <c r="Y834">
        <f>IF(X834="",0,IF(COUNTIF($X$3:X834,X834)=1,1,0))</f>
        <v>0</v>
      </c>
      <c r="Z834">
        <f>IF(V834&lt;&gt;1,0,IF(X834="",0,IF(COUNTIF($X$3:X833,X834)&gt;0,1,0)))</f>
        <v>0</v>
      </c>
      <c r="AA834">
        <f t="shared" si="76"/>
        <v>0</v>
      </c>
      <c r="AB834">
        <f t="shared" si="77"/>
        <v>0</v>
      </c>
      <c r="AC834">
        <f>IF(I834="",0,L834*IFERROR(INDEX(کاتالوگ_محصولات!$G$4:$G$303,MATCH(I834,کاتالوگ_محصولات!$A$4:$A$303,0)),0))</f>
        <v>0</v>
      </c>
      <c r="AD834">
        <f t="shared" si="80"/>
        <v>0</v>
      </c>
      <c r="AE834" t="str">
        <f t="shared" si="81"/>
        <v/>
      </c>
    </row>
    <row r="835" spans="22:31" ht="18" customHeight="1">
      <c r="V835">
        <f>IF(A835="",0,IF(COUNTIF($A$3:A835,A835)=1,1,0))</f>
        <v>0</v>
      </c>
      <c r="W835">
        <f t="shared" si="78"/>
        <v>0</v>
      </c>
      <c r="X835" t="str">
        <f t="shared" si="79"/>
        <v/>
      </c>
      <c r="Y835">
        <f>IF(X835="",0,IF(COUNTIF($X$3:X835,X835)=1,1,0))</f>
        <v>0</v>
      </c>
      <c r="Z835">
        <f>IF(V835&lt;&gt;1,0,IF(X835="",0,IF(COUNTIF($X$3:X834,X835)&gt;0,1,0)))</f>
        <v>0</v>
      </c>
      <c r="AA835">
        <f t="shared" ref="AA835:AA898" si="82">IF(V835=1,SUMIF($A$3:$A$1622,A835,$O$3:$O$1622),0)</f>
        <v>0</v>
      </c>
      <c r="AB835">
        <f t="shared" ref="AB835:AB898" si="83">IF(V835=1,SUMIF($A$3:$A$1622,A835,$L$3:$L$1622),0)</f>
        <v>0</v>
      </c>
      <c r="AC835">
        <f>IF(I835="",0,L835*IFERROR(INDEX(کاتالوگ_محصولات!$G$4:$G$303,MATCH(I835,کاتالوگ_محصولات!$A$4:$A$303,0)),0))</f>
        <v>0</v>
      </c>
      <c r="AD835">
        <f t="shared" si="80"/>
        <v>0</v>
      </c>
      <c r="AE835" t="str">
        <f t="shared" si="81"/>
        <v/>
      </c>
    </row>
    <row r="836" spans="22:31" ht="18" customHeight="1">
      <c r="V836">
        <f>IF(A836="",0,IF(COUNTIF($A$3:A836,A836)=1,1,0))</f>
        <v>0</v>
      </c>
      <c r="W836">
        <f t="shared" si="78"/>
        <v>0</v>
      </c>
      <c r="X836" t="str">
        <f t="shared" si="79"/>
        <v/>
      </c>
      <c r="Y836">
        <f>IF(X836="",0,IF(COUNTIF($X$3:X836,X836)=1,1,0))</f>
        <v>0</v>
      </c>
      <c r="Z836">
        <f>IF(V836&lt;&gt;1,0,IF(X836="",0,IF(COUNTIF($X$3:X835,X836)&gt;0,1,0)))</f>
        <v>0</v>
      </c>
      <c r="AA836">
        <f t="shared" si="82"/>
        <v>0</v>
      </c>
      <c r="AB836">
        <f t="shared" si="83"/>
        <v>0</v>
      </c>
      <c r="AC836">
        <f>IF(I836="",0,L836*IFERROR(INDEX(کاتالوگ_محصولات!$G$4:$G$303,MATCH(I836,کاتالوگ_محصولات!$A$4:$A$303,0)),0))</f>
        <v>0</v>
      </c>
      <c r="AD836">
        <f t="shared" si="80"/>
        <v>0</v>
      </c>
      <c r="AE836" t="str">
        <f t="shared" si="81"/>
        <v/>
      </c>
    </row>
    <row r="837" spans="22:31" ht="18" customHeight="1">
      <c r="V837">
        <f>IF(A837="",0,IF(COUNTIF($A$3:A837,A837)=1,1,0))</f>
        <v>0</v>
      </c>
      <c r="W837">
        <f t="shared" si="78"/>
        <v>0</v>
      </c>
      <c r="X837" t="str">
        <f t="shared" si="79"/>
        <v/>
      </c>
      <c r="Y837">
        <f>IF(X837="",0,IF(COUNTIF($X$3:X837,X837)=1,1,0))</f>
        <v>0</v>
      </c>
      <c r="Z837">
        <f>IF(V837&lt;&gt;1,0,IF(X837="",0,IF(COUNTIF($X$3:X836,X837)&gt;0,1,0)))</f>
        <v>0</v>
      </c>
      <c r="AA837">
        <f t="shared" si="82"/>
        <v>0</v>
      </c>
      <c r="AB837">
        <f t="shared" si="83"/>
        <v>0</v>
      </c>
      <c r="AC837">
        <f>IF(I837="",0,L837*IFERROR(INDEX(کاتالوگ_محصولات!$G$4:$G$303,MATCH(I837,کاتالوگ_محصولات!$A$4:$A$303,0)),0))</f>
        <v>0</v>
      </c>
      <c r="AD837">
        <f t="shared" si="80"/>
        <v>0</v>
      </c>
      <c r="AE837" t="str">
        <f t="shared" si="81"/>
        <v/>
      </c>
    </row>
    <row r="838" spans="22:31" ht="18" customHeight="1">
      <c r="V838">
        <f>IF(A838="",0,IF(COUNTIF($A$3:A838,A838)=1,1,0))</f>
        <v>0</v>
      </c>
      <c r="W838">
        <f t="shared" si="78"/>
        <v>0</v>
      </c>
      <c r="X838" t="str">
        <f t="shared" si="79"/>
        <v/>
      </c>
      <c r="Y838">
        <f>IF(X838="",0,IF(COUNTIF($X$3:X838,X838)=1,1,0))</f>
        <v>0</v>
      </c>
      <c r="Z838">
        <f>IF(V838&lt;&gt;1,0,IF(X838="",0,IF(COUNTIF($X$3:X837,X838)&gt;0,1,0)))</f>
        <v>0</v>
      </c>
      <c r="AA838">
        <f t="shared" si="82"/>
        <v>0</v>
      </c>
      <c r="AB838">
        <f t="shared" si="83"/>
        <v>0</v>
      </c>
      <c r="AC838">
        <f>IF(I838="",0,L838*IFERROR(INDEX(کاتالوگ_محصولات!$G$4:$G$303,MATCH(I838,کاتالوگ_محصولات!$A$4:$A$303,0)),0))</f>
        <v>0</v>
      </c>
      <c r="AD838">
        <f t="shared" si="80"/>
        <v>0</v>
      </c>
      <c r="AE838" t="str">
        <f t="shared" si="81"/>
        <v/>
      </c>
    </row>
    <row r="839" spans="22:31" ht="18" customHeight="1">
      <c r="V839">
        <f>IF(A839="",0,IF(COUNTIF($A$3:A839,A839)=1,1,0))</f>
        <v>0</v>
      </c>
      <c r="W839">
        <f t="shared" si="78"/>
        <v>0</v>
      </c>
      <c r="X839" t="str">
        <f t="shared" si="79"/>
        <v/>
      </c>
      <c r="Y839">
        <f>IF(X839="",0,IF(COUNTIF($X$3:X839,X839)=1,1,0))</f>
        <v>0</v>
      </c>
      <c r="Z839">
        <f>IF(V839&lt;&gt;1,0,IF(X839="",0,IF(COUNTIF($X$3:X838,X839)&gt;0,1,0)))</f>
        <v>0</v>
      </c>
      <c r="AA839">
        <f t="shared" si="82"/>
        <v>0</v>
      </c>
      <c r="AB839">
        <f t="shared" si="83"/>
        <v>0</v>
      </c>
      <c r="AC839">
        <f>IF(I839="",0,L839*IFERROR(INDEX(کاتالوگ_محصولات!$G$4:$G$303,MATCH(I839,کاتالوگ_محصولات!$A$4:$A$303,0)),0))</f>
        <v>0</v>
      </c>
      <c r="AD839">
        <f t="shared" si="80"/>
        <v>0</v>
      </c>
      <c r="AE839" t="str">
        <f t="shared" si="81"/>
        <v/>
      </c>
    </row>
    <row r="840" spans="22:31" ht="18" customHeight="1">
      <c r="V840">
        <f>IF(A840="",0,IF(COUNTIF($A$3:A840,A840)=1,1,0))</f>
        <v>0</v>
      </c>
      <c r="W840">
        <f t="shared" si="78"/>
        <v>0</v>
      </c>
      <c r="X840" t="str">
        <f t="shared" si="79"/>
        <v/>
      </c>
      <c r="Y840">
        <f>IF(X840="",0,IF(COUNTIF($X$3:X840,X840)=1,1,0))</f>
        <v>0</v>
      </c>
      <c r="Z840">
        <f>IF(V840&lt;&gt;1,0,IF(X840="",0,IF(COUNTIF($X$3:X839,X840)&gt;0,1,0)))</f>
        <v>0</v>
      </c>
      <c r="AA840">
        <f t="shared" si="82"/>
        <v>0</v>
      </c>
      <c r="AB840">
        <f t="shared" si="83"/>
        <v>0</v>
      </c>
      <c r="AC840">
        <f>IF(I840="",0,L840*IFERROR(INDEX(کاتالوگ_محصولات!$G$4:$G$303,MATCH(I840,کاتالوگ_محصولات!$A$4:$A$303,0)),0))</f>
        <v>0</v>
      </c>
      <c r="AD840">
        <f t="shared" si="80"/>
        <v>0</v>
      </c>
      <c r="AE840" t="str">
        <f t="shared" si="81"/>
        <v/>
      </c>
    </row>
    <row r="841" spans="22:31" ht="18" customHeight="1">
      <c r="V841">
        <f>IF(A841="",0,IF(COUNTIF($A$3:A841,A841)=1,1,0))</f>
        <v>0</v>
      </c>
      <c r="W841">
        <f t="shared" ref="W841:W904" si="84">IF(A841="",0,L841*M841)</f>
        <v>0</v>
      </c>
      <c r="X841" t="str">
        <f t="shared" ref="X841:X904" si="85">IF(R841&lt;&gt;"",R841,IF(AND(P841&lt;&gt;"",Q841&lt;&gt;""),P841&amp;"|"&amp;Q841,""))</f>
        <v/>
      </c>
      <c r="Y841">
        <f>IF(X841="",0,IF(COUNTIF($X$3:X841,X841)=1,1,0))</f>
        <v>0</v>
      </c>
      <c r="Z841">
        <f>IF(V841&lt;&gt;1,0,IF(X841="",0,IF(COUNTIF($X$3:X840,X841)&gt;0,1,0)))</f>
        <v>0</v>
      </c>
      <c r="AA841">
        <f t="shared" si="82"/>
        <v>0</v>
      </c>
      <c r="AB841">
        <f t="shared" si="83"/>
        <v>0</v>
      </c>
      <c r="AC841">
        <f>IF(I841="",0,L841*IFERROR(INDEX(کاتالوگ_محصولات!$G$4:$G$303,MATCH(I841,کاتالوگ_محصولات!$A$4:$A$303,0)),0))</f>
        <v>0</v>
      </c>
      <c r="AD841">
        <f t="shared" ref="AD841:AD904" si="86">IF(A841="",0,O841-AC841)</f>
        <v>0</v>
      </c>
      <c r="AE841" t="str">
        <f t="shared" ref="AE841:AE904" si="87">IF(B841="","",LEFT(B841,7))</f>
        <v/>
      </c>
    </row>
    <row r="842" spans="22:31" ht="18" customHeight="1">
      <c r="V842">
        <f>IF(A842="",0,IF(COUNTIF($A$3:A842,A842)=1,1,0))</f>
        <v>0</v>
      </c>
      <c r="W842">
        <f t="shared" si="84"/>
        <v>0</v>
      </c>
      <c r="X842" t="str">
        <f t="shared" si="85"/>
        <v/>
      </c>
      <c r="Y842">
        <f>IF(X842="",0,IF(COUNTIF($X$3:X842,X842)=1,1,0))</f>
        <v>0</v>
      </c>
      <c r="Z842">
        <f>IF(V842&lt;&gt;1,0,IF(X842="",0,IF(COUNTIF($X$3:X841,X842)&gt;0,1,0)))</f>
        <v>0</v>
      </c>
      <c r="AA842">
        <f t="shared" si="82"/>
        <v>0</v>
      </c>
      <c r="AB842">
        <f t="shared" si="83"/>
        <v>0</v>
      </c>
      <c r="AC842">
        <f>IF(I842="",0,L842*IFERROR(INDEX(کاتالوگ_محصولات!$G$4:$G$303,MATCH(I842,کاتالوگ_محصولات!$A$4:$A$303,0)),0))</f>
        <v>0</v>
      </c>
      <c r="AD842">
        <f t="shared" si="86"/>
        <v>0</v>
      </c>
      <c r="AE842" t="str">
        <f t="shared" si="87"/>
        <v/>
      </c>
    </row>
    <row r="843" spans="22:31" ht="18" customHeight="1">
      <c r="V843">
        <f>IF(A843="",0,IF(COUNTIF($A$3:A843,A843)=1,1,0))</f>
        <v>0</v>
      </c>
      <c r="W843">
        <f t="shared" si="84"/>
        <v>0</v>
      </c>
      <c r="X843" t="str">
        <f t="shared" si="85"/>
        <v/>
      </c>
      <c r="Y843">
        <f>IF(X843="",0,IF(COUNTIF($X$3:X843,X843)=1,1,0))</f>
        <v>0</v>
      </c>
      <c r="Z843">
        <f>IF(V843&lt;&gt;1,0,IF(X843="",0,IF(COUNTIF($X$3:X842,X843)&gt;0,1,0)))</f>
        <v>0</v>
      </c>
      <c r="AA843">
        <f t="shared" si="82"/>
        <v>0</v>
      </c>
      <c r="AB843">
        <f t="shared" si="83"/>
        <v>0</v>
      </c>
      <c r="AC843">
        <f>IF(I843="",0,L843*IFERROR(INDEX(کاتالوگ_محصولات!$G$4:$G$303,MATCH(I843,کاتالوگ_محصولات!$A$4:$A$303,0)),0))</f>
        <v>0</v>
      </c>
      <c r="AD843">
        <f t="shared" si="86"/>
        <v>0</v>
      </c>
      <c r="AE843" t="str">
        <f t="shared" si="87"/>
        <v/>
      </c>
    </row>
    <row r="844" spans="22:31" ht="18" customHeight="1">
      <c r="V844">
        <f>IF(A844="",0,IF(COUNTIF($A$3:A844,A844)=1,1,0))</f>
        <v>0</v>
      </c>
      <c r="W844">
        <f t="shared" si="84"/>
        <v>0</v>
      </c>
      <c r="X844" t="str">
        <f t="shared" si="85"/>
        <v/>
      </c>
      <c r="Y844">
        <f>IF(X844="",0,IF(COUNTIF($X$3:X844,X844)=1,1,0))</f>
        <v>0</v>
      </c>
      <c r="Z844">
        <f>IF(V844&lt;&gt;1,0,IF(X844="",0,IF(COUNTIF($X$3:X843,X844)&gt;0,1,0)))</f>
        <v>0</v>
      </c>
      <c r="AA844">
        <f t="shared" si="82"/>
        <v>0</v>
      </c>
      <c r="AB844">
        <f t="shared" si="83"/>
        <v>0</v>
      </c>
      <c r="AC844">
        <f>IF(I844="",0,L844*IFERROR(INDEX(کاتالوگ_محصولات!$G$4:$G$303,MATCH(I844,کاتالوگ_محصولات!$A$4:$A$303,0)),0))</f>
        <v>0</v>
      </c>
      <c r="AD844">
        <f t="shared" si="86"/>
        <v>0</v>
      </c>
      <c r="AE844" t="str">
        <f t="shared" si="87"/>
        <v/>
      </c>
    </row>
    <row r="845" spans="22:31" ht="18" customHeight="1">
      <c r="V845">
        <f>IF(A845="",0,IF(COUNTIF($A$3:A845,A845)=1,1,0))</f>
        <v>0</v>
      </c>
      <c r="W845">
        <f t="shared" si="84"/>
        <v>0</v>
      </c>
      <c r="X845" t="str">
        <f t="shared" si="85"/>
        <v/>
      </c>
      <c r="Y845">
        <f>IF(X845="",0,IF(COUNTIF($X$3:X845,X845)=1,1,0))</f>
        <v>0</v>
      </c>
      <c r="Z845">
        <f>IF(V845&lt;&gt;1,0,IF(X845="",0,IF(COUNTIF($X$3:X844,X845)&gt;0,1,0)))</f>
        <v>0</v>
      </c>
      <c r="AA845">
        <f t="shared" si="82"/>
        <v>0</v>
      </c>
      <c r="AB845">
        <f t="shared" si="83"/>
        <v>0</v>
      </c>
      <c r="AC845">
        <f>IF(I845="",0,L845*IFERROR(INDEX(کاتالوگ_محصولات!$G$4:$G$303,MATCH(I845,کاتالوگ_محصولات!$A$4:$A$303,0)),0))</f>
        <v>0</v>
      </c>
      <c r="AD845">
        <f t="shared" si="86"/>
        <v>0</v>
      </c>
      <c r="AE845" t="str">
        <f t="shared" si="87"/>
        <v/>
      </c>
    </row>
    <row r="846" spans="22:31" ht="18" customHeight="1">
      <c r="V846">
        <f>IF(A846="",0,IF(COUNTIF($A$3:A846,A846)=1,1,0))</f>
        <v>0</v>
      </c>
      <c r="W846">
        <f t="shared" si="84"/>
        <v>0</v>
      </c>
      <c r="X846" t="str">
        <f t="shared" si="85"/>
        <v/>
      </c>
      <c r="Y846">
        <f>IF(X846="",0,IF(COUNTIF($X$3:X846,X846)=1,1,0))</f>
        <v>0</v>
      </c>
      <c r="Z846">
        <f>IF(V846&lt;&gt;1,0,IF(X846="",0,IF(COUNTIF($X$3:X845,X846)&gt;0,1,0)))</f>
        <v>0</v>
      </c>
      <c r="AA846">
        <f t="shared" si="82"/>
        <v>0</v>
      </c>
      <c r="AB846">
        <f t="shared" si="83"/>
        <v>0</v>
      </c>
      <c r="AC846">
        <f>IF(I846="",0,L846*IFERROR(INDEX(کاتالوگ_محصولات!$G$4:$G$303,MATCH(I846,کاتالوگ_محصولات!$A$4:$A$303,0)),0))</f>
        <v>0</v>
      </c>
      <c r="AD846">
        <f t="shared" si="86"/>
        <v>0</v>
      </c>
      <c r="AE846" t="str">
        <f t="shared" si="87"/>
        <v/>
      </c>
    </row>
    <row r="847" spans="22:31" ht="18" customHeight="1">
      <c r="V847">
        <f>IF(A847="",0,IF(COUNTIF($A$3:A847,A847)=1,1,0))</f>
        <v>0</v>
      </c>
      <c r="W847">
        <f t="shared" si="84"/>
        <v>0</v>
      </c>
      <c r="X847" t="str">
        <f t="shared" si="85"/>
        <v/>
      </c>
      <c r="Y847">
        <f>IF(X847="",0,IF(COUNTIF($X$3:X847,X847)=1,1,0))</f>
        <v>0</v>
      </c>
      <c r="Z847">
        <f>IF(V847&lt;&gt;1,0,IF(X847="",0,IF(COUNTIF($X$3:X846,X847)&gt;0,1,0)))</f>
        <v>0</v>
      </c>
      <c r="AA847">
        <f t="shared" si="82"/>
        <v>0</v>
      </c>
      <c r="AB847">
        <f t="shared" si="83"/>
        <v>0</v>
      </c>
      <c r="AC847">
        <f>IF(I847="",0,L847*IFERROR(INDEX(کاتالوگ_محصولات!$G$4:$G$303,MATCH(I847,کاتالوگ_محصولات!$A$4:$A$303,0)),0))</f>
        <v>0</v>
      </c>
      <c r="AD847">
        <f t="shared" si="86"/>
        <v>0</v>
      </c>
      <c r="AE847" t="str">
        <f t="shared" si="87"/>
        <v/>
      </c>
    </row>
    <row r="848" spans="22:31" ht="18" customHeight="1">
      <c r="V848">
        <f>IF(A848="",0,IF(COUNTIF($A$3:A848,A848)=1,1,0))</f>
        <v>0</v>
      </c>
      <c r="W848">
        <f t="shared" si="84"/>
        <v>0</v>
      </c>
      <c r="X848" t="str">
        <f t="shared" si="85"/>
        <v/>
      </c>
      <c r="Y848">
        <f>IF(X848="",0,IF(COUNTIF($X$3:X848,X848)=1,1,0))</f>
        <v>0</v>
      </c>
      <c r="Z848">
        <f>IF(V848&lt;&gt;1,0,IF(X848="",0,IF(COUNTIF($X$3:X847,X848)&gt;0,1,0)))</f>
        <v>0</v>
      </c>
      <c r="AA848">
        <f t="shared" si="82"/>
        <v>0</v>
      </c>
      <c r="AB848">
        <f t="shared" si="83"/>
        <v>0</v>
      </c>
      <c r="AC848">
        <f>IF(I848="",0,L848*IFERROR(INDEX(کاتالوگ_محصولات!$G$4:$G$303,MATCH(I848,کاتالوگ_محصولات!$A$4:$A$303,0)),0))</f>
        <v>0</v>
      </c>
      <c r="AD848">
        <f t="shared" si="86"/>
        <v>0</v>
      </c>
      <c r="AE848" t="str">
        <f t="shared" si="87"/>
        <v/>
      </c>
    </row>
    <row r="849" spans="22:31" ht="18" customHeight="1">
      <c r="V849">
        <f>IF(A849="",0,IF(COUNTIF($A$3:A849,A849)=1,1,0))</f>
        <v>0</v>
      </c>
      <c r="W849">
        <f t="shared" si="84"/>
        <v>0</v>
      </c>
      <c r="X849" t="str">
        <f t="shared" si="85"/>
        <v/>
      </c>
      <c r="Y849">
        <f>IF(X849="",0,IF(COUNTIF($X$3:X849,X849)=1,1,0))</f>
        <v>0</v>
      </c>
      <c r="Z849">
        <f>IF(V849&lt;&gt;1,0,IF(X849="",0,IF(COUNTIF($X$3:X848,X849)&gt;0,1,0)))</f>
        <v>0</v>
      </c>
      <c r="AA849">
        <f t="shared" si="82"/>
        <v>0</v>
      </c>
      <c r="AB849">
        <f t="shared" si="83"/>
        <v>0</v>
      </c>
      <c r="AC849">
        <f>IF(I849="",0,L849*IFERROR(INDEX(کاتالوگ_محصولات!$G$4:$G$303,MATCH(I849,کاتالوگ_محصولات!$A$4:$A$303,0)),0))</f>
        <v>0</v>
      </c>
      <c r="AD849">
        <f t="shared" si="86"/>
        <v>0</v>
      </c>
      <c r="AE849" t="str">
        <f t="shared" si="87"/>
        <v/>
      </c>
    </row>
    <row r="850" spans="22:31" ht="18" customHeight="1">
      <c r="V850">
        <f>IF(A850="",0,IF(COUNTIF($A$3:A850,A850)=1,1,0))</f>
        <v>0</v>
      </c>
      <c r="W850">
        <f t="shared" si="84"/>
        <v>0</v>
      </c>
      <c r="X850" t="str">
        <f t="shared" si="85"/>
        <v/>
      </c>
      <c r="Y850">
        <f>IF(X850="",0,IF(COUNTIF($X$3:X850,X850)=1,1,0))</f>
        <v>0</v>
      </c>
      <c r="Z850">
        <f>IF(V850&lt;&gt;1,0,IF(X850="",0,IF(COUNTIF($X$3:X849,X850)&gt;0,1,0)))</f>
        <v>0</v>
      </c>
      <c r="AA850">
        <f t="shared" si="82"/>
        <v>0</v>
      </c>
      <c r="AB850">
        <f t="shared" si="83"/>
        <v>0</v>
      </c>
      <c r="AC850">
        <f>IF(I850="",0,L850*IFERROR(INDEX(کاتالوگ_محصولات!$G$4:$G$303,MATCH(I850,کاتالوگ_محصولات!$A$4:$A$303,0)),0))</f>
        <v>0</v>
      </c>
      <c r="AD850">
        <f t="shared" si="86"/>
        <v>0</v>
      </c>
      <c r="AE850" t="str">
        <f t="shared" si="87"/>
        <v/>
      </c>
    </row>
    <row r="851" spans="22:31" ht="18" customHeight="1">
      <c r="V851">
        <f>IF(A851="",0,IF(COUNTIF($A$3:A851,A851)=1,1,0))</f>
        <v>0</v>
      </c>
      <c r="W851">
        <f t="shared" si="84"/>
        <v>0</v>
      </c>
      <c r="X851" t="str">
        <f t="shared" si="85"/>
        <v/>
      </c>
      <c r="Y851">
        <f>IF(X851="",0,IF(COUNTIF($X$3:X851,X851)=1,1,0))</f>
        <v>0</v>
      </c>
      <c r="Z851">
        <f>IF(V851&lt;&gt;1,0,IF(X851="",0,IF(COUNTIF($X$3:X850,X851)&gt;0,1,0)))</f>
        <v>0</v>
      </c>
      <c r="AA851">
        <f t="shared" si="82"/>
        <v>0</v>
      </c>
      <c r="AB851">
        <f t="shared" si="83"/>
        <v>0</v>
      </c>
      <c r="AC851">
        <f>IF(I851="",0,L851*IFERROR(INDEX(کاتالوگ_محصولات!$G$4:$G$303,MATCH(I851,کاتالوگ_محصولات!$A$4:$A$303,0)),0))</f>
        <v>0</v>
      </c>
      <c r="AD851">
        <f t="shared" si="86"/>
        <v>0</v>
      </c>
      <c r="AE851" t="str">
        <f t="shared" si="87"/>
        <v/>
      </c>
    </row>
    <row r="852" spans="22:31" ht="18" customHeight="1">
      <c r="V852">
        <f>IF(A852="",0,IF(COUNTIF($A$3:A852,A852)=1,1,0))</f>
        <v>0</v>
      </c>
      <c r="W852">
        <f t="shared" si="84"/>
        <v>0</v>
      </c>
      <c r="X852" t="str">
        <f t="shared" si="85"/>
        <v/>
      </c>
      <c r="Y852">
        <f>IF(X852="",0,IF(COUNTIF($X$3:X852,X852)=1,1,0))</f>
        <v>0</v>
      </c>
      <c r="Z852">
        <f>IF(V852&lt;&gt;1,0,IF(X852="",0,IF(COUNTIF($X$3:X851,X852)&gt;0,1,0)))</f>
        <v>0</v>
      </c>
      <c r="AA852">
        <f t="shared" si="82"/>
        <v>0</v>
      </c>
      <c r="AB852">
        <f t="shared" si="83"/>
        <v>0</v>
      </c>
      <c r="AC852">
        <f>IF(I852="",0,L852*IFERROR(INDEX(کاتالوگ_محصولات!$G$4:$G$303,MATCH(I852,کاتالوگ_محصولات!$A$4:$A$303,0)),0))</f>
        <v>0</v>
      </c>
      <c r="AD852">
        <f t="shared" si="86"/>
        <v>0</v>
      </c>
      <c r="AE852" t="str">
        <f t="shared" si="87"/>
        <v/>
      </c>
    </row>
    <row r="853" spans="22:31" ht="18" customHeight="1">
      <c r="V853">
        <f>IF(A853="",0,IF(COUNTIF($A$3:A853,A853)=1,1,0))</f>
        <v>0</v>
      </c>
      <c r="W853">
        <f t="shared" si="84"/>
        <v>0</v>
      </c>
      <c r="X853" t="str">
        <f t="shared" si="85"/>
        <v/>
      </c>
      <c r="Y853">
        <f>IF(X853="",0,IF(COUNTIF($X$3:X853,X853)=1,1,0))</f>
        <v>0</v>
      </c>
      <c r="Z853">
        <f>IF(V853&lt;&gt;1,0,IF(X853="",0,IF(COUNTIF($X$3:X852,X853)&gt;0,1,0)))</f>
        <v>0</v>
      </c>
      <c r="AA853">
        <f t="shared" si="82"/>
        <v>0</v>
      </c>
      <c r="AB853">
        <f t="shared" si="83"/>
        <v>0</v>
      </c>
      <c r="AC853">
        <f>IF(I853="",0,L853*IFERROR(INDEX(کاتالوگ_محصولات!$G$4:$G$303,MATCH(I853,کاتالوگ_محصولات!$A$4:$A$303,0)),0))</f>
        <v>0</v>
      </c>
      <c r="AD853">
        <f t="shared" si="86"/>
        <v>0</v>
      </c>
      <c r="AE853" t="str">
        <f t="shared" si="87"/>
        <v/>
      </c>
    </row>
    <row r="854" spans="22:31" ht="18" customHeight="1">
      <c r="V854">
        <f>IF(A854="",0,IF(COUNTIF($A$3:A854,A854)=1,1,0))</f>
        <v>0</v>
      </c>
      <c r="W854">
        <f t="shared" si="84"/>
        <v>0</v>
      </c>
      <c r="X854" t="str">
        <f t="shared" si="85"/>
        <v/>
      </c>
      <c r="Y854">
        <f>IF(X854="",0,IF(COUNTIF($X$3:X854,X854)=1,1,0))</f>
        <v>0</v>
      </c>
      <c r="Z854">
        <f>IF(V854&lt;&gt;1,0,IF(X854="",0,IF(COUNTIF($X$3:X853,X854)&gt;0,1,0)))</f>
        <v>0</v>
      </c>
      <c r="AA854">
        <f t="shared" si="82"/>
        <v>0</v>
      </c>
      <c r="AB854">
        <f t="shared" si="83"/>
        <v>0</v>
      </c>
      <c r="AC854">
        <f>IF(I854="",0,L854*IFERROR(INDEX(کاتالوگ_محصولات!$G$4:$G$303,MATCH(I854,کاتالوگ_محصولات!$A$4:$A$303,0)),0))</f>
        <v>0</v>
      </c>
      <c r="AD854">
        <f t="shared" si="86"/>
        <v>0</v>
      </c>
      <c r="AE854" t="str">
        <f t="shared" si="87"/>
        <v/>
      </c>
    </row>
    <row r="855" spans="22:31" ht="18" customHeight="1">
      <c r="V855">
        <f>IF(A855="",0,IF(COUNTIF($A$3:A855,A855)=1,1,0))</f>
        <v>0</v>
      </c>
      <c r="W855">
        <f t="shared" si="84"/>
        <v>0</v>
      </c>
      <c r="X855" t="str">
        <f t="shared" si="85"/>
        <v/>
      </c>
      <c r="Y855">
        <f>IF(X855="",0,IF(COUNTIF($X$3:X855,X855)=1,1,0))</f>
        <v>0</v>
      </c>
      <c r="Z855">
        <f>IF(V855&lt;&gt;1,0,IF(X855="",0,IF(COUNTIF($X$3:X854,X855)&gt;0,1,0)))</f>
        <v>0</v>
      </c>
      <c r="AA855">
        <f t="shared" si="82"/>
        <v>0</v>
      </c>
      <c r="AB855">
        <f t="shared" si="83"/>
        <v>0</v>
      </c>
      <c r="AC855">
        <f>IF(I855="",0,L855*IFERROR(INDEX(کاتالوگ_محصولات!$G$4:$G$303,MATCH(I855,کاتالوگ_محصولات!$A$4:$A$303,0)),0))</f>
        <v>0</v>
      </c>
      <c r="AD855">
        <f t="shared" si="86"/>
        <v>0</v>
      </c>
      <c r="AE855" t="str">
        <f t="shared" si="87"/>
        <v/>
      </c>
    </row>
    <row r="856" spans="22:31" ht="18" customHeight="1">
      <c r="V856">
        <f>IF(A856="",0,IF(COUNTIF($A$3:A856,A856)=1,1,0))</f>
        <v>0</v>
      </c>
      <c r="W856">
        <f t="shared" si="84"/>
        <v>0</v>
      </c>
      <c r="X856" t="str">
        <f t="shared" si="85"/>
        <v/>
      </c>
      <c r="Y856">
        <f>IF(X856="",0,IF(COUNTIF($X$3:X856,X856)=1,1,0))</f>
        <v>0</v>
      </c>
      <c r="Z856">
        <f>IF(V856&lt;&gt;1,0,IF(X856="",0,IF(COUNTIF($X$3:X855,X856)&gt;0,1,0)))</f>
        <v>0</v>
      </c>
      <c r="AA856">
        <f t="shared" si="82"/>
        <v>0</v>
      </c>
      <c r="AB856">
        <f t="shared" si="83"/>
        <v>0</v>
      </c>
      <c r="AC856">
        <f>IF(I856="",0,L856*IFERROR(INDEX(کاتالوگ_محصولات!$G$4:$G$303,MATCH(I856,کاتالوگ_محصولات!$A$4:$A$303,0)),0))</f>
        <v>0</v>
      </c>
      <c r="AD856">
        <f t="shared" si="86"/>
        <v>0</v>
      </c>
      <c r="AE856" t="str">
        <f t="shared" si="87"/>
        <v/>
      </c>
    </row>
    <row r="857" spans="22:31" ht="18" customHeight="1">
      <c r="V857">
        <f>IF(A857="",0,IF(COUNTIF($A$3:A857,A857)=1,1,0))</f>
        <v>0</v>
      </c>
      <c r="W857">
        <f t="shared" si="84"/>
        <v>0</v>
      </c>
      <c r="X857" t="str">
        <f t="shared" si="85"/>
        <v/>
      </c>
      <c r="Y857">
        <f>IF(X857="",0,IF(COUNTIF($X$3:X857,X857)=1,1,0))</f>
        <v>0</v>
      </c>
      <c r="Z857">
        <f>IF(V857&lt;&gt;1,0,IF(X857="",0,IF(COUNTIF($X$3:X856,X857)&gt;0,1,0)))</f>
        <v>0</v>
      </c>
      <c r="AA857">
        <f t="shared" si="82"/>
        <v>0</v>
      </c>
      <c r="AB857">
        <f t="shared" si="83"/>
        <v>0</v>
      </c>
      <c r="AC857">
        <f>IF(I857="",0,L857*IFERROR(INDEX(کاتالوگ_محصولات!$G$4:$G$303,MATCH(I857,کاتالوگ_محصولات!$A$4:$A$303,0)),0))</f>
        <v>0</v>
      </c>
      <c r="AD857">
        <f t="shared" si="86"/>
        <v>0</v>
      </c>
      <c r="AE857" t="str">
        <f t="shared" si="87"/>
        <v/>
      </c>
    </row>
    <row r="858" spans="22:31" ht="18" customHeight="1">
      <c r="V858">
        <f>IF(A858="",0,IF(COUNTIF($A$3:A858,A858)=1,1,0))</f>
        <v>0</v>
      </c>
      <c r="W858">
        <f t="shared" si="84"/>
        <v>0</v>
      </c>
      <c r="X858" t="str">
        <f t="shared" si="85"/>
        <v/>
      </c>
      <c r="Y858">
        <f>IF(X858="",0,IF(COUNTIF($X$3:X858,X858)=1,1,0))</f>
        <v>0</v>
      </c>
      <c r="Z858">
        <f>IF(V858&lt;&gt;1,0,IF(X858="",0,IF(COUNTIF($X$3:X857,X858)&gt;0,1,0)))</f>
        <v>0</v>
      </c>
      <c r="AA858">
        <f t="shared" si="82"/>
        <v>0</v>
      </c>
      <c r="AB858">
        <f t="shared" si="83"/>
        <v>0</v>
      </c>
      <c r="AC858">
        <f>IF(I858="",0,L858*IFERROR(INDEX(کاتالوگ_محصولات!$G$4:$G$303,MATCH(I858,کاتالوگ_محصولات!$A$4:$A$303,0)),0))</f>
        <v>0</v>
      </c>
      <c r="AD858">
        <f t="shared" si="86"/>
        <v>0</v>
      </c>
      <c r="AE858" t="str">
        <f t="shared" si="87"/>
        <v/>
      </c>
    </row>
    <row r="859" spans="22:31" ht="18" customHeight="1">
      <c r="V859">
        <f>IF(A859="",0,IF(COUNTIF($A$3:A859,A859)=1,1,0))</f>
        <v>0</v>
      </c>
      <c r="W859">
        <f t="shared" si="84"/>
        <v>0</v>
      </c>
      <c r="X859" t="str">
        <f t="shared" si="85"/>
        <v/>
      </c>
      <c r="Y859">
        <f>IF(X859="",0,IF(COUNTIF($X$3:X859,X859)=1,1,0))</f>
        <v>0</v>
      </c>
      <c r="Z859">
        <f>IF(V859&lt;&gt;1,0,IF(X859="",0,IF(COUNTIF($X$3:X858,X859)&gt;0,1,0)))</f>
        <v>0</v>
      </c>
      <c r="AA859">
        <f t="shared" si="82"/>
        <v>0</v>
      </c>
      <c r="AB859">
        <f t="shared" si="83"/>
        <v>0</v>
      </c>
      <c r="AC859">
        <f>IF(I859="",0,L859*IFERROR(INDEX(کاتالوگ_محصولات!$G$4:$G$303,MATCH(I859,کاتالوگ_محصولات!$A$4:$A$303,0)),0))</f>
        <v>0</v>
      </c>
      <c r="AD859">
        <f t="shared" si="86"/>
        <v>0</v>
      </c>
      <c r="AE859" t="str">
        <f t="shared" si="87"/>
        <v/>
      </c>
    </row>
    <row r="860" spans="22:31" ht="18" customHeight="1">
      <c r="V860">
        <f>IF(A860="",0,IF(COUNTIF($A$3:A860,A860)=1,1,0))</f>
        <v>0</v>
      </c>
      <c r="W860">
        <f t="shared" si="84"/>
        <v>0</v>
      </c>
      <c r="X860" t="str">
        <f t="shared" si="85"/>
        <v/>
      </c>
      <c r="Y860">
        <f>IF(X860="",0,IF(COUNTIF($X$3:X860,X860)=1,1,0))</f>
        <v>0</v>
      </c>
      <c r="Z860">
        <f>IF(V860&lt;&gt;1,0,IF(X860="",0,IF(COUNTIF($X$3:X859,X860)&gt;0,1,0)))</f>
        <v>0</v>
      </c>
      <c r="AA860">
        <f t="shared" si="82"/>
        <v>0</v>
      </c>
      <c r="AB860">
        <f t="shared" si="83"/>
        <v>0</v>
      </c>
      <c r="AC860">
        <f>IF(I860="",0,L860*IFERROR(INDEX(کاتالوگ_محصولات!$G$4:$G$303,MATCH(I860,کاتالوگ_محصولات!$A$4:$A$303,0)),0))</f>
        <v>0</v>
      </c>
      <c r="AD860">
        <f t="shared" si="86"/>
        <v>0</v>
      </c>
      <c r="AE860" t="str">
        <f t="shared" si="87"/>
        <v/>
      </c>
    </row>
    <row r="861" spans="22:31" ht="18" customHeight="1">
      <c r="V861">
        <f>IF(A861="",0,IF(COUNTIF($A$3:A861,A861)=1,1,0))</f>
        <v>0</v>
      </c>
      <c r="W861">
        <f t="shared" si="84"/>
        <v>0</v>
      </c>
      <c r="X861" t="str">
        <f t="shared" si="85"/>
        <v/>
      </c>
      <c r="Y861">
        <f>IF(X861="",0,IF(COUNTIF($X$3:X861,X861)=1,1,0))</f>
        <v>0</v>
      </c>
      <c r="Z861">
        <f>IF(V861&lt;&gt;1,0,IF(X861="",0,IF(COUNTIF($X$3:X860,X861)&gt;0,1,0)))</f>
        <v>0</v>
      </c>
      <c r="AA861">
        <f t="shared" si="82"/>
        <v>0</v>
      </c>
      <c r="AB861">
        <f t="shared" si="83"/>
        <v>0</v>
      </c>
      <c r="AC861">
        <f>IF(I861="",0,L861*IFERROR(INDEX(کاتالوگ_محصولات!$G$4:$G$303,MATCH(I861,کاتالوگ_محصولات!$A$4:$A$303,0)),0))</f>
        <v>0</v>
      </c>
      <c r="AD861">
        <f t="shared" si="86"/>
        <v>0</v>
      </c>
      <c r="AE861" t="str">
        <f t="shared" si="87"/>
        <v/>
      </c>
    </row>
    <row r="862" spans="22:31" ht="18" customHeight="1">
      <c r="V862">
        <f>IF(A862="",0,IF(COUNTIF($A$3:A862,A862)=1,1,0))</f>
        <v>0</v>
      </c>
      <c r="W862">
        <f t="shared" si="84"/>
        <v>0</v>
      </c>
      <c r="X862" t="str">
        <f t="shared" si="85"/>
        <v/>
      </c>
      <c r="Y862">
        <f>IF(X862="",0,IF(COUNTIF($X$3:X862,X862)=1,1,0))</f>
        <v>0</v>
      </c>
      <c r="Z862">
        <f>IF(V862&lt;&gt;1,0,IF(X862="",0,IF(COUNTIF($X$3:X861,X862)&gt;0,1,0)))</f>
        <v>0</v>
      </c>
      <c r="AA862">
        <f t="shared" si="82"/>
        <v>0</v>
      </c>
      <c r="AB862">
        <f t="shared" si="83"/>
        <v>0</v>
      </c>
      <c r="AC862">
        <f>IF(I862="",0,L862*IFERROR(INDEX(کاتالوگ_محصولات!$G$4:$G$303,MATCH(I862,کاتالوگ_محصولات!$A$4:$A$303,0)),0))</f>
        <v>0</v>
      </c>
      <c r="AD862">
        <f t="shared" si="86"/>
        <v>0</v>
      </c>
      <c r="AE862" t="str">
        <f t="shared" si="87"/>
        <v/>
      </c>
    </row>
    <row r="863" spans="22:31" ht="18" customHeight="1">
      <c r="V863">
        <f>IF(A863="",0,IF(COUNTIF($A$3:A863,A863)=1,1,0))</f>
        <v>0</v>
      </c>
      <c r="W863">
        <f t="shared" si="84"/>
        <v>0</v>
      </c>
      <c r="X863" t="str">
        <f t="shared" si="85"/>
        <v/>
      </c>
      <c r="Y863">
        <f>IF(X863="",0,IF(COUNTIF($X$3:X863,X863)=1,1,0))</f>
        <v>0</v>
      </c>
      <c r="Z863">
        <f>IF(V863&lt;&gt;1,0,IF(X863="",0,IF(COUNTIF($X$3:X862,X863)&gt;0,1,0)))</f>
        <v>0</v>
      </c>
      <c r="AA863">
        <f t="shared" si="82"/>
        <v>0</v>
      </c>
      <c r="AB863">
        <f t="shared" si="83"/>
        <v>0</v>
      </c>
      <c r="AC863">
        <f>IF(I863="",0,L863*IFERROR(INDEX(کاتالوگ_محصولات!$G$4:$G$303,MATCH(I863,کاتالوگ_محصولات!$A$4:$A$303,0)),0))</f>
        <v>0</v>
      </c>
      <c r="AD863">
        <f t="shared" si="86"/>
        <v>0</v>
      </c>
      <c r="AE863" t="str">
        <f t="shared" si="87"/>
        <v/>
      </c>
    </row>
    <row r="864" spans="22:31" ht="18" customHeight="1">
      <c r="V864">
        <f>IF(A864="",0,IF(COUNTIF($A$3:A864,A864)=1,1,0))</f>
        <v>0</v>
      </c>
      <c r="W864">
        <f t="shared" si="84"/>
        <v>0</v>
      </c>
      <c r="X864" t="str">
        <f t="shared" si="85"/>
        <v/>
      </c>
      <c r="Y864">
        <f>IF(X864="",0,IF(COUNTIF($X$3:X864,X864)=1,1,0))</f>
        <v>0</v>
      </c>
      <c r="Z864">
        <f>IF(V864&lt;&gt;1,0,IF(X864="",0,IF(COUNTIF($X$3:X863,X864)&gt;0,1,0)))</f>
        <v>0</v>
      </c>
      <c r="AA864">
        <f t="shared" si="82"/>
        <v>0</v>
      </c>
      <c r="AB864">
        <f t="shared" si="83"/>
        <v>0</v>
      </c>
      <c r="AC864">
        <f>IF(I864="",0,L864*IFERROR(INDEX(کاتالوگ_محصولات!$G$4:$G$303,MATCH(I864,کاتالوگ_محصولات!$A$4:$A$303,0)),0))</f>
        <v>0</v>
      </c>
      <c r="AD864">
        <f t="shared" si="86"/>
        <v>0</v>
      </c>
      <c r="AE864" t="str">
        <f t="shared" si="87"/>
        <v/>
      </c>
    </row>
    <row r="865" spans="22:31" ht="18" customHeight="1">
      <c r="V865">
        <f>IF(A865="",0,IF(COUNTIF($A$3:A865,A865)=1,1,0))</f>
        <v>0</v>
      </c>
      <c r="W865">
        <f t="shared" si="84"/>
        <v>0</v>
      </c>
      <c r="X865" t="str">
        <f t="shared" si="85"/>
        <v/>
      </c>
      <c r="Y865">
        <f>IF(X865="",0,IF(COUNTIF($X$3:X865,X865)=1,1,0))</f>
        <v>0</v>
      </c>
      <c r="Z865">
        <f>IF(V865&lt;&gt;1,0,IF(X865="",0,IF(COUNTIF($X$3:X864,X865)&gt;0,1,0)))</f>
        <v>0</v>
      </c>
      <c r="AA865">
        <f t="shared" si="82"/>
        <v>0</v>
      </c>
      <c r="AB865">
        <f t="shared" si="83"/>
        <v>0</v>
      </c>
      <c r="AC865">
        <f>IF(I865="",0,L865*IFERROR(INDEX(کاتالوگ_محصولات!$G$4:$G$303,MATCH(I865,کاتالوگ_محصولات!$A$4:$A$303,0)),0))</f>
        <v>0</v>
      </c>
      <c r="AD865">
        <f t="shared" si="86"/>
        <v>0</v>
      </c>
      <c r="AE865" t="str">
        <f t="shared" si="87"/>
        <v/>
      </c>
    </row>
    <row r="866" spans="22:31" ht="18" customHeight="1">
      <c r="V866">
        <f>IF(A866="",0,IF(COUNTIF($A$3:A866,A866)=1,1,0))</f>
        <v>0</v>
      </c>
      <c r="W866">
        <f t="shared" si="84"/>
        <v>0</v>
      </c>
      <c r="X866" t="str">
        <f t="shared" si="85"/>
        <v/>
      </c>
      <c r="Y866">
        <f>IF(X866="",0,IF(COUNTIF($X$3:X866,X866)=1,1,0))</f>
        <v>0</v>
      </c>
      <c r="Z866">
        <f>IF(V866&lt;&gt;1,0,IF(X866="",0,IF(COUNTIF($X$3:X865,X866)&gt;0,1,0)))</f>
        <v>0</v>
      </c>
      <c r="AA866">
        <f t="shared" si="82"/>
        <v>0</v>
      </c>
      <c r="AB866">
        <f t="shared" si="83"/>
        <v>0</v>
      </c>
      <c r="AC866">
        <f>IF(I866="",0,L866*IFERROR(INDEX(کاتالوگ_محصولات!$G$4:$G$303,MATCH(I866,کاتالوگ_محصولات!$A$4:$A$303,0)),0))</f>
        <v>0</v>
      </c>
      <c r="AD866">
        <f t="shared" si="86"/>
        <v>0</v>
      </c>
      <c r="AE866" t="str">
        <f t="shared" si="87"/>
        <v/>
      </c>
    </row>
    <row r="867" spans="22:31" ht="18" customHeight="1">
      <c r="V867">
        <f>IF(A867="",0,IF(COUNTIF($A$3:A867,A867)=1,1,0))</f>
        <v>0</v>
      </c>
      <c r="W867">
        <f t="shared" si="84"/>
        <v>0</v>
      </c>
      <c r="X867" t="str">
        <f t="shared" si="85"/>
        <v/>
      </c>
      <c r="Y867">
        <f>IF(X867="",0,IF(COUNTIF($X$3:X867,X867)=1,1,0))</f>
        <v>0</v>
      </c>
      <c r="Z867">
        <f>IF(V867&lt;&gt;1,0,IF(X867="",0,IF(COUNTIF($X$3:X866,X867)&gt;0,1,0)))</f>
        <v>0</v>
      </c>
      <c r="AA867">
        <f t="shared" si="82"/>
        <v>0</v>
      </c>
      <c r="AB867">
        <f t="shared" si="83"/>
        <v>0</v>
      </c>
      <c r="AC867">
        <f>IF(I867="",0,L867*IFERROR(INDEX(کاتالوگ_محصولات!$G$4:$G$303,MATCH(I867,کاتالوگ_محصولات!$A$4:$A$303,0)),0))</f>
        <v>0</v>
      </c>
      <c r="AD867">
        <f t="shared" si="86"/>
        <v>0</v>
      </c>
      <c r="AE867" t="str">
        <f t="shared" si="87"/>
        <v/>
      </c>
    </row>
    <row r="868" spans="22:31" ht="18" customHeight="1">
      <c r="V868">
        <f>IF(A868="",0,IF(COUNTIF($A$3:A868,A868)=1,1,0))</f>
        <v>0</v>
      </c>
      <c r="W868">
        <f t="shared" si="84"/>
        <v>0</v>
      </c>
      <c r="X868" t="str">
        <f t="shared" si="85"/>
        <v/>
      </c>
      <c r="Y868">
        <f>IF(X868="",0,IF(COUNTIF($X$3:X868,X868)=1,1,0))</f>
        <v>0</v>
      </c>
      <c r="Z868">
        <f>IF(V868&lt;&gt;1,0,IF(X868="",0,IF(COUNTIF($X$3:X867,X868)&gt;0,1,0)))</f>
        <v>0</v>
      </c>
      <c r="AA868">
        <f t="shared" si="82"/>
        <v>0</v>
      </c>
      <c r="AB868">
        <f t="shared" si="83"/>
        <v>0</v>
      </c>
      <c r="AC868">
        <f>IF(I868="",0,L868*IFERROR(INDEX(کاتالوگ_محصولات!$G$4:$G$303,MATCH(I868,کاتالوگ_محصولات!$A$4:$A$303,0)),0))</f>
        <v>0</v>
      </c>
      <c r="AD868">
        <f t="shared" si="86"/>
        <v>0</v>
      </c>
      <c r="AE868" t="str">
        <f t="shared" si="87"/>
        <v/>
      </c>
    </row>
    <row r="869" spans="22:31" ht="18" customHeight="1">
      <c r="V869">
        <f>IF(A869="",0,IF(COUNTIF($A$3:A869,A869)=1,1,0))</f>
        <v>0</v>
      </c>
      <c r="W869">
        <f t="shared" si="84"/>
        <v>0</v>
      </c>
      <c r="X869" t="str">
        <f t="shared" si="85"/>
        <v/>
      </c>
      <c r="Y869">
        <f>IF(X869="",0,IF(COUNTIF($X$3:X869,X869)=1,1,0))</f>
        <v>0</v>
      </c>
      <c r="Z869">
        <f>IF(V869&lt;&gt;1,0,IF(X869="",0,IF(COUNTIF($X$3:X868,X869)&gt;0,1,0)))</f>
        <v>0</v>
      </c>
      <c r="AA869">
        <f t="shared" si="82"/>
        <v>0</v>
      </c>
      <c r="AB869">
        <f t="shared" si="83"/>
        <v>0</v>
      </c>
      <c r="AC869">
        <f>IF(I869="",0,L869*IFERROR(INDEX(کاتالوگ_محصولات!$G$4:$G$303,MATCH(I869,کاتالوگ_محصولات!$A$4:$A$303,0)),0))</f>
        <v>0</v>
      </c>
      <c r="AD869">
        <f t="shared" si="86"/>
        <v>0</v>
      </c>
      <c r="AE869" t="str">
        <f t="shared" si="87"/>
        <v/>
      </c>
    </row>
    <row r="870" spans="22:31" ht="18" customHeight="1">
      <c r="V870">
        <f>IF(A870="",0,IF(COUNTIF($A$3:A870,A870)=1,1,0))</f>
        <v>0</v>
      </c>
      <c r="W870">
        <f t="shared" si="84"/>
        <v>0</v>
      </c>
      <c r="X870" t="str">
        <f t="shared" si="85"/>
        <v/>
      </c>
      <c r="Y870">
        <f>IF(X870="",0,IF(COUNTIF($X$3:X870,X870)=1,1,0))</f>
        <v>0</v>
      </c>
      <c r="Z870">
        <f>IF(V870&lt;&gt;1,0,IF(X870="",0,IF(COUNTIF($X$3:X869,X870)&gt;0,1,0)))</f>
        <v>0</v>
      </c>
      <c r="AA870">
        <f t="shared" si="82"/>
        <v>0</v>
      </c>
      <c r="AB870">
        <f t="shared" si="83"/>
        <v>0</v>
      </c>
      <c r="AC870">
        <f>IF(I870="",0,L870*IFERROR(INDEX(کاتالوگ_محصولات!$G$4:$G$303,MATCH(I870,کاتالوگ_محصولات!$A$4:$A$303,0)),0))</f>
        <v>0</v>
      </c>
      <c r="AD870">
        <f t="shared" si="86"/>
        <v>0</v>
      </c>
      <c r="AE870" t="str">
        <f t="shared" si="87"/>
        <v/>
      </c>
    </row>
    <row r="871" spans="22:31" ht="18" customHeight="1">
      <c r="V871">
        <f>IF(A871="",0,IF(COUNTIF($A$3:A871,A871)=1,1,0))</f>
        <v>0</v>
      </c>
      <c r="W871">
        <f t="shared" si="84"/>
        <v>0</v>
      </c>
      <c r="X871" t="str">
        <f t="shared" si="85"/>
        <v/>
      </c>
      <c r="Y871">
        <f>IF(X871="",0,IF(COUNTIF($X$3:X871,X871)=1,1,0))</f>
        <v>0</v>
      </c>
      <c r="Z871">
        <f>IF(V871&lt;&gt;1,0,IF(X871="",0,IF(COUNTIF($X$3:X870,X871)&gt;0,1,0)))</f>
        <v>0</v>
      </c>
      <c r="AA871">
        <f t="shared" si="82"/>
        <v>0</v>
      </c>
      <c r="AB871">
        <f t="shared" si="83"/>
        <v>0</v>
      </c>
      <c r="AC871">
        <f>IF(I871="",0,L871*IFERROR(INDEX(کاتالوگ_محصولات!$G$4:$G$303,MATCH(I871,کاتالوگ_محصولات!$A$4:$A$303,0)),0))</f>
        <v>0</v>
      </c>
      <c r="AD871">
        <f t="shared" si="86"/>
        <v>0</v>
      </c>
      <c r="AE871" t="str">
        <f t="shared" si="87"/>
        <v/>
      </c>
    </row>
    <row r="872" spans="22:31" ht="18" customHeight="1">
      <c r="V872">
        <f>IF(A872="",0,IF(COUNTIF($A$3:A872,A872)=1,1,0))</f>
        <v>0</v>
      </c>
      <c r="W872">
        <f t="shared" si="84"/>
        <v>0</v>
      </c>
      <c r="X872" t="str">
        <f t="shared" si="85"/>
        <v/>
      </c>
      <c r="Y872">
        <f>IF(X872="",0,IF(COUNTIF($X$3:X872,X872)=1,1,0))</f>
        <v>0</v>
      </c>
      <c r="Z872">
        <f>IF(V872&lt;&gt;1,0,IF(X872="",0,IF(COUNTIF($X$3:X871,X872)&gt;0,1,0)))</f>
        <v>0</v>
      </c>
      <c r="AA872">
        <f t="shared" si="82"/>
        <v>0</v>
      </c>
      <c r="AB872">
        <f t="shared" si="83"/>
        <v>0</v>
      </c>
      <c r="AC872">
        <f>IF(I872="",0,L872*IFERROR(INDEX(کاتالوگ_محصولات!$G$4:$G$303,MATCH(I872,کاتالوگ_محصولات!$A$4:$A$303,0)),0))</f>
        <v>0</v>
      </c>
      <c r="AD872">
        <f t="shared" si="86"/>
        <v>0</v>
      </c>
      <c r="AE872" t="str">
        <f t="shared" si="87"/>
        <v/>
      </c>
    </row>
    <row r="873" spans="22:31" ht="18" customHeight="1">
      <c r="V873">
        <f>IF(A873="",0,IF(COUNTIF($A$3:A873,A873)=1,1,0))</f>
        <v>0</v>
      </c>
      <c r="W873">
        <f t="shared" si="84"/>
        <v>0</v>
      </c>
      <c r="X873" t="str">
        <f t="shared" si="85"/>
        <v/>
      </c>
      <c r="Y873">
        <f>IF(X873="",0,IF(COUNTIF($X$3:X873,X873)=1,1,0))</f>
        <v>0</v>
      </c>
      <c r="Z873">
        <f>IF(V873&lt;&gt;1,0,IF(X873="",0,IF(COUNTIF($X$3:X872,X873)&gt;0,1,0)))</f>
        <v>0</v>
      </c>
      <c r="AA873">
        <f t="shared" si="82"/>
        <v>0</v>
      </c>
      <c r="AB873">
        <f t="shared" si="83"/>
        <v>0</v>
      </c>
      <c r="AC873">
        <f>IF(I873="",0,L873*IFERROR(INDEX(کاتالوگ_محصولات!$G$4:$G$303,MATCH(I873,کاتالوگ_محصولات!$A$4:$A$303,0)),0))</f>
        <v>0</v>
      </c>
      <c r="AD873">
        <f t="shared" si="86"/>
        <v>0</v>
      </c>
      <c r="AE873" t="str">
        <f t="shared" si="87"/>
        <v/>
      </c>
    </row>
    <row r="874" spans="22:31" ht="18" customHeight="1">
      <c r="V874">
        <f>IF(A874="",0,IF(COUNTIF($A$3:A874,A874)=1,1,0))</f>
        <v>0</v>
      </c>
      <c r="W874">
        <f t="shared" si="84"/>
        <v>0</v>
      </c>
      <c r="X874" t="str">
        <f t="shared" si="85"/>
        <v/>
      </c>
      <c r="Y874">
        <f>IF(X874="",0,IF(COUNTIF($X$3:X874,X874)=1,1,0))</f>
        <v>0</v>
      </c>
      <c r="Z874">
        <f>IF(V874&lt;&gt;1,0,IF(X874="",0,IF(COUNTIF($X$3:X873,X874)&gt;0,1,0)))</f>
        <v>0</v>
      </c>
      <c r="AA874">
        <f t="shared" si="82"/>
        <v>0</v>
      </c>
      <c r="AB874">
        <f t="shared" si="83"/>
        <v>0</v>
      </c>
      <c r="AC874">
        <f>IF(I874="",0,L874*IFERROR(INDEX(کاتالوگ_محصولات!$G$4:$G$303,MATCH(I874,کاتالوگ_محصولات!$A$4:$A$303,0)),0))</f>
        <v>0</v>
      </c>
      <c r="AD874">
        <f t="shared" si="86"/>
        <v>0</v>
      </c>
      <c r="AE874" t="str">
        <f t="shared" si="87"/>
        <v/>
      </c>
    </row>
    <row r="875" spans="22:31" ht="18" customHeight="1">
      <c r="V875">
        <f>IF(A875="",0,IF(COUNTIF($A$3:A875,A875)=1,1,0))</f>
        <v>0</v>
      </c>
      <c r="W875">
        <f t="shared" si="84"/>
        <v>0</v>
      </c>
      <c r="X875" t="str">
        <f t="shared" si="85"/>
        <v/>
      </c>
      <c r="Y875">
        <f>IF(X875="",0,IF(COUNTIF($X$3:X875,X875)=1,1,0))</f>
        <v>0</v>
      </c>
      <c r="Z875">
        <f>IF(V875&lt;&gt;1,0,IF(X875="",0,IF(COUNTIF($X$3:X874,X875)&gt;0,1,0)))</f>
        <v>0</v>
      </c>
      <c r="AA875">
        <f t="shared" si="82"/>
        <v>0</v>
      </c>
      <c r="AB875">
        <f t="shared" si="83"/>
        <v>0</v>
      </c>
      <c r="AC875">
        <f>IF(I875="",0,L875*IFERROR(INDEX(کاتالوگ_محصولات!$G$4:$G$303,MATCH(I875,کاتالوگ_محصولات!$A$4:$A$303,0)),0))</f>
        <v>0</v>
      </c>
      <c r="AD875">
        <f t="shared" si="86"/>
        <v>0</v>
      </c>
      <c r="AE875" t="str">
        <f t="shared" si="87"/>
        <v/>
      </c>
    </row>
    <row r="876" spans="22:31" ht="18" customHeight="1">
      <c r="V876">
        <f>IF(A876="",0,IF(COUNTIF($A$3:A876,A876)=1,1,0))</f>
        <v>0</v>
      </c>
      <c r="W876">
        <f t="shared" si="84"/>
        <v>0</v>
      </c>
      <c r="X876" t="str">
        <f t="shared" si="85"/>
        <v/>
      </c>
      <c r="Y876">
        <f>IF(X876="",0,IF(COUNTIF($X$3:X876,X876)=1,1,0))</f>
        <v>0</v>
      </c>
      <c r="Z876">
        <f>IF(V876&lt;&gt;1,0,IF(X876="",0,IF(COUNTIF($X$3:X875,X876)&gt;0,1,0)))</f>
        <v>0</v>
      </c>
      <c r="AA876">
        <f t="shared" si="82"/>
        <v>0</v>
      </c>
      <c r="AB876">
        <f t="shared" si="83"/>
        <v>0</v>
      </c>
      <c r="AC876">
        <f>IF(I876="",0,L876*IFERROR(INDEX(کاتالوگ_محصولات!$G$4:$G$303,MATCH(I876,کاتالوگ_محصولات!$A$4:$A$303,0)),0))</f>
        <v>0</v>
      </c>
      <c r="AD876">
        <f t="shared" si="86"/>
        <v>0</v>
      </c>
      <c r="AE876" t="str">
        <f t="shared" si="87"/>
        <v/>
      </c>
    </row>
    <row r="877" spans="22:31" ht="18" customHeight="1">
      <c r="V877">
        <f>IF(A877="",0,IF(COUNTIF($A$3:A877,A877)=1,1,0))</f>
        <v>0</v>
      </c>
      <c r="W877">
        <f t="shared" si="84"/>
        <v>0</v>
      </c>
      <c r="X877" t="str">
        <f t="shared" si="85"/>
        <v/>
      </c>
      <c r="Y877">
        <f>IF(X877="",0,IF(COUNTIF($X$3:X877,X877)=1,1,0))</f>
        <v>0</v>
      </c>
      <c r="Z877">
        <f>IF(V877&lt;&gt;1,0,IF(X877="",0,IF(COUNTIF($X$3:X876,X877)&gt;0,1,0)))</f>
        <v>0</v>
      </c>
      <c r="AA877">
        <f t="shared" si="82"/>
        <v>0</v>
      </c>
      <c r="AB877">
        <f t="shared" si="83"/>
        <v>0</v>
      </c>
      <c r="AC877">
        <f>IF(I877="",0,L877*IFERROR(INDEX(کاتالوگ_محصولات!$G$4:$G$303,MATCH(I877,کاتالوگ_محصولات!$A$4:$A$303,0)),0))</f>
        <v>0</v>
      </c>
      <c r="AD877">
        <f t="shared" si="86"/>
        <v>0</v>
      </c>
      <c r="AE877" t="str">
        <f t="shared" si="87"/>
        <v/>
      </c>
    </row>
    <row r="878" spans="22:31" ht="18" customHeight="1">
      <c r="V878">
        <f>IF(A878="",0,IF(COUNTIF($A$3:A878,A878)=1,1,0))</f>
        <v>0</v>
      </c>
      <c r="W878">
        <f t="shared" si="84"/>
        <v>0</v>
      </c>
      <c r="X878" t="str">
        <f t="shared" si="85"/>
        <v/>
      </c>
      <c r="Y878">
        <f>IF(X878="",0,IF(COUNTIF($X$3:X878,X878)=1,1,0))</f>
        <v>0</v>
      </c>
      <c r="Z878">
        <f>IF(V878&lt;&gt;1,0,IF(X878="",0,IF(COUNTIF($X$3:X877,X878)&gt;0,1,0)))</f>
        <v>0</v>
      </c>
      <c r="AA878">
        <f t="shared" si="82"/>
        <v>0</v>
      </c>
      <c r="AB878">
        <f t="shared" si="83"/>
        <v>0</v>
      </c>
      <c r="AC878">
        <f>IF(I878="",0,L878*IFERROR(INDEX(کاتالوگ_محصولات!$G$4:$G$303,MATCH(I878,کاتالوگ_محصولات!$A$4:$A$303,0)),0))</f>
        <v>0</v>
      </c>
      <c r="AD878">
        <f t="shared" si="86"/>
        <v>0</v>
      </c>
      <c r="AE878" t="str">
        <f t="shared" si="87"/>
        <v/>
      </c>
    </row>
    <row r="879" spans="22:31" ht="18" customHeight="1">
      <c r="V879">
        <f>IF(A879="",0,IF(COUNTIF($A$3:A879,A879)=1,1,0))</f>
        <v>0</v>
      </c>
      <c r="W879">
        <f t="shared" si="84"/>
        <v>0</v>
      </c>
      <c r="X879" t="str">
        <f t="shared" si="85"/>
        <v/>
      </c>
      <c r="Y879">
        <f>IF(X879="",0,IF(COUNTIF($X$3:X879,X879)=1,1,0))</f>
        <v>0</v>
      </c>
      <c r="Z879">
        <f>IF(V879&lt;&gt;1,0,IF(X879="",0,IF(COUNTIF($X$3:X878,X879)&gt;0,1,0)))</f>
        <v>0</v>
      </c>
      <c r="AA879">
        <f t="shared" si="82"/>
        <v>0</v>
      </c>
      <c r="AB879">
        <f t="shared" si="83"/>
        <v>0</v>
      </c>
      <c r="AC879">
        <f>IF(I879="",0,L879*IFERROR(INDEX(کاتالوگ_محصولات!$G$4:$G$303,MATCH(I879,کاتالوگ_محصولات!$A$4:$A$303,0)),0))</f>
        <v>0</v>
      </c>
      <c r="AD879">
        <f t="shared" si="86"/>
        <v>0</v>
      </c>
      <c r="AE879" t="str">
        <f t="shared" si="87"/>
        <v/>
      </c>
    </row>
    <row r="880" spans="22:31" ht="18" customHeight="1">
      <c r="V880">
        <f>IF(A880="",0,IF(COUNTIF($A$3:A880,A880)=1,1,0))</f>
        <v>0</v>
      </c>
      <c r="W880">
        <f t="shared" si="84"/>
        <v>0</v>
      </c>
      <c r="X880" t="str">
        <f t="shared" si="85"/>
        <v/>
      </c>
      <c r="Y880">
        <f>IF(X880="",0,IF(COUNTIF($X$3:X880,X880)=1,1,0))</f>
        <v>0</v>
      </c>
      <c r="Z880">
        <f>IF(V880&lt;&gt;1,0,IF(X880="",0,IF(COUNTIF($X$3:X879,X880)&gt;0,1,0)))</f>
        <v>0</v>
      </c>
      <c r="AA880">
        <f t="shared" si="82"/>
        <v>0</v>
      </c>
      <c r="AB880">
        <f t="shared" si="83"/>
        <v>0</v>
      </c>
      <c r="AC880">
        <f>IF(I880="",0,L880*IFERROR(INDEX(کاتالوگ_محصولات!$G$4:$G$303,MATCH(I880,کاتالوگ_محصولات!$A$4:$A$303,0)),0))</f>
        <v>0</v>
      </c>
      <c r="AD880">
        <f t="shared" si="86"/>
        <v>0</v>
      </c>
      <c r="AE880" t="str">
        <f t="shared" si="87"/>
        <v/>
      </c>
    </row>
    <row r="881" spans="22:31" ht="18" customHeight="1">
      <c r="V881">
        <f>IF(A881="",0,IF(COUNTIF($A$3:A881,A881)=1,1,0))</f>
        <v>0</v>
      </c>
      <c r="W881">
        <f t="shared" si="84"/>
        <v>0</v>
      </c>
      <c r="X881" t="str">
        <f t="shared" si="85"/>
        <v/>
      </c>
      <c r="Y881">
        <f>IF(X881="",0,IF(COUNTIF($X$3:X881,X881)=1,1,0))</f>
        <v>0</v>
      </c>
      <c r="Z881">
        <f>IF(V881&lt;&gt;1,0,IF(X881="",0,IF(COUNTIF($X$3:X880,X881)&gt;0,1,0)))</f>
        <v>0</v>
      </c>
      <c r="AA881">
        <f t="shared" si="82"/>
        <v>0</v>
      </c>
      <c r="AB881">
        <f t="shared" si="83"/>
        <v>0</v>
      </c>
      <c r="AC881">
        <f>IF(I881="",0,L881*IFERROR(INDEX(کاتالوگ_محصولات!$G$4:$G$303,MATCH(I881,کاتالوگ_محصولات!$A$4:$A$303,0)),0))</f>
        <v>0</v>
      </c>
      <c r="AD881">
        <f t="shared" si="86"/>
        <v>0</v>
      </c>
      <c r="AE881" t="str">
        <f t="shared" si="87"/>
        <v/>
      </c>
    </row>
    <row r="882" spans="22:31" ht="18" customHeight="1">
      <c r="V882">
        <f>IF(A882="",0,IF(COUNTIF($A$3:A882,A882)=1,1,0))</f>
        <v>0</v>
      </c>
      <c r="W882">
        <f t="shared" si="84"/>
        <v>0</v>
      </c>
      <c r="X882" t="str">
        <f t="shared" si="85"/>
        <v/>
      </c>
      <c r="Y882">
        <f>IF(X882="",0,IF(COUNTIF($X$3:X882,X882)=1,1,0))</f>
        <v>0</v>
      </c>
      <c r="Z882">
        <f>IF(V882&lt;&gt;1,0,IF(X882="",0,IF(COUNTIF($X$3:X881,X882)&gt;0,1,0)))</f>
        <v>0</v>
      </c>
      <c r="AA882">
        <f t="shared" si="82"/>
        <v>0</v>
      </c>
      <c r="AB882">
        <f t="shared" si="83"/>
        <v>0</v>
      </c>
      <c r="AC882">
        <f>IF(I882="",0,L882*IFERROR(INDEX(کاتالوگ_محصولات!$G$4:$G$303,MATCH(I882,کاتالوگ_محصولات!$A$4:$A$303,0)),0))</f>
        <v>0</v>
      </c>
      <c r="AD882">
        <f t="shared" si="86"/>
        <v>0</v>
      </c>
      <c r="AE882" t="str">
        <f t="shared" si="87"/>
        <v/>
      </c>
    </row>
    <row r="883" spans="22:31" ht="18" customHeight="1">
      <c r="V883">
        <f>IF(A883="",0,IF(COUNTIF($A$3:A883,A883)=1,1,0))</f>
        <v>0</v>
      </c>
      <c r="W883">
        <f t="shared" si="84"/>
        <v>0</v>
      </c>
      <c r="X883" t="str">
        <f t="shared" si="85"/>
        <v/>
      </c>
      <c r="Y883">
        <f>IF(X883="",0,IF(COUNTIF($X$3:X883,X883)=1,1,0))</f>
        <v>0</v>
      </c>
      <c r="Z883">
        <f>IF(V883&lt;&gt;1,0,IF(X883="",0,IF(COUNTIF($X$3:X882,X883)&gt;0,1,0)))</f>
        <v>0</v>
      </c>
      <c r="AA883">
        <f t="shared" si="82"/>
        <v>0</v>
      </c>
      <c r="AB883">
        <f t="shared" si="83"/>
        <v>0</v>
      </c>
      <c r="AC883">
        <f>IF(I883="",0,L883*IFERROR(INDEX(کاتالوگ_محصولات!$G$4:$G$303,MATCH(I883,کاتالوگ_محصولات!$A$4:$A$303,0)),0))</f>
        <v>0</v>
      </c>
      <c r="AD883">
        <f t="shared" si="86"/>
        <v>0</v>
      </c>
      <c r="AE883" t="str">
        <f t="shared" si="87"/>
        <v/>
      </c>
    </row>
    <row r="884" spans="22:31" ht="18" customHeight="1">
      <c r="V884">
        <f>IF(A884="",0,IF(COUNTIF($A$3:A884,A884)=1,1,0))</f>
        <v>0</v>
      </c>
      <c r="W884">
        <f t="shared" si="84"/>
        <v>0</v>
      </c>
      <c r="X884" t="str">
        <f t="shared" si="85"/>
        <v/>
      </c>
      <c r="Y884">
        <f>IF(X884="",0,IF(COUNTIF($X$3:X884,X884)=1,1,0))</f>
        <v>0</v>
      </c>
      <c r="Z884">
        <f>IF(V884&lt;&gt;1,0,IF(X884="",0,IF(COUNTIF($X$3:X883,X884)&gt;0,1,0)))</f>
        <v>0</v>
      </c>
      <c r="AA884">
        <f t="shared" si="82"/>
        <v>0</v>
      </c>
      <c r="AB884">
        <f t="shared" si="83"/>
        <v>0</v>
      </c>
      <c r="AC884">
        <f>IF(I884="",0,L884*IFERROR(INDEX(کاتالوگ_محصولات!$G$4:$G$303,MATCH(I884,کاتالوگ_محصولات!$A$4:$A$303,0)),0))</f>
        <v>0</v>
      </c>
      <c r="AD884">
        <f t="shared" si="86"/>
        <v>0</v>
      </c>
      <c r="AE884" t="str">
        <f t="shared" si="87"/>
        <v/>
      </c>
    </row>
    <row r="885" spans="22:31" ht="18" customHeight="1">
      <c r="V885">
        <f>IF(A885="",0,IF(COUNTIF($A$3:A885,A885)=1,1,0))</f>
        <v>0</v>
      </c>
      <c r="W885">
        <f t="shared" si="84"/>
        <v>0</v>
      </c>
      <c r="X885" t="str">
        <f t="shared" si="85"/>
        <v/>
      </c>
      <c r="Y885">
        <f>IF(X885="",0,IF(COUNTIF($X$3:X885,X885)=1,1,0))</f>
        <v>0</v>
      </c>
      <c r="Z885">
        <f>IF(V885&lt;&gt;1,0,IF(X885="",0,IF(COUNTIF($X$3:X884,X885)&gt;0,1,0)))</f>
        <v>0</v>
      </c>
      <c r="AA885">
        <f t="shared" si="82"/>
        <v>0</v>
      </c>
      <c r="AB885">
        <f t="shared" si="83"/>
        <v>0</v>
      </c>
      <c r="AC885">
        <f>IF(I885="",0,L885*IFERROR(INDEX(کاتالوگ_محصولات!$G$4:$G$303,MATCH(I885,کاتالوگ_محصولات!$A$4:$A$303,0)),0))</f>
        <v>0</v>
      </c>
      <c r="AD885">
        <f t="shared" si="86"/>
        <v>0</v>
      </c>
      <c r="AE885" t="str">
        <f t="shared" si="87"/>
        <v/>
      </c>
    </row>
    <row r="886" spans="22:31" ht="18" customHeight="1">
      <c r="V886">
        <f>IF(A886="",0,IF(COUNTIF($A$3:A886,A886)=1,1,0))</f>
        <v>0</v>
      </c>
      <c r="W886">
        <f t="shared" si="84"/>
        <v>0</v>
      </c>
      <c r="X886" t="str">
        <f t="shared" si="85"/>
        <v/>
      </c>
      <c r="Y886">
        <f>IF(X886="",0,IF(COUNTIF($X$3:X886,X886)=1,1,0))</f>
        <v>0</v>
      </c>
      <c r="Z886">
        <f>IF(V886&lt;&gt;1,0,IF(X886="",0,IF(COUNTIF($X$3:X885,X886)&gt;0,1,0)))</f>
        <v>0</v>
      </c>
      <c r="AA886">
        <f t="shared" si="82"/>
        <v>0</v>
      </c>
      <c r="AB886">
        <f t="shared" si="83"/>
        <v>0</v>
      </c>
      <c r="AC886">
        <f>IF(I886="",0,L886*IFERROR(INDEX(کاتالوگ_محصولات!$G$4:$G$303,MATCH(I886,کاتالوگ_محصولات!$A$4:$A$303,0)),0))</f>
        <v>0</v>
      </c>
      <c r="AD886">
        <f t="shared" si="86"/>
        <v>0</v>
      </c>
      <c r="AE886" t="str">
        <f t="shared" si="87"/>
        <v/>
      </c>
    </row>
    <row r="887" spans="22:31" ht="18" customHeight="1">
      <c r="V887">
        <f>IF(A887="",0,IF(COUNTIF($A$3:A887,A887)=1,1,0))</f>
        <v>0</v>
      </c>
      <c r="W887">
        <f t="shared" si="84"/>
        <v>0</v>
      </c>
      <c r="X887" t="str">
        <f t="shared" si="85"/>
        <v/>
      </c>
      <c r="Y887">
        <f>IF(X887="",0,IF(COUNTIF($X$3:X887,X887)=1,1,0))</f>
        <v>0</v>
      </c>
      <c r="Z887">
        <f>IF(V887&lt;&gt;1,0,IF(X887="",0,IF(COUNTIF($X$3:X886,X887)&gt;0,1,0)))</f>
        <v>0</v>
      </c>
      <c r="AA887">
        <f t="shared" si="82"/>
        <v>0</v>
      </c>
      <c r="AB887">
        <f t="shared" si="83"/>
        <v>0</v>
      </c>
      <c r="AC887">
        <f>IF(I887="",0,L887*IFERROR(INDEX(کاتالوگ_محصولات!$G$4:$G$303,MATCH(I887,کاتالوگ_محصولات!$A$4:$A$303,0)),0))</f>
        <v>0</v>
      </c>
      <c r="AD887">
        <f t="shared" si="86"/>
        <v>0</v>
      </c>
      <c r="AE887" t="str">
        <f t="shared" si="87"/>
        <v/>
      </c>
    </row>
    <row r="888" spans="22:31" ht="18" customHeight="1">
      <c r="V888">
        <f>IF(A888="",0,IF(COUNTIF($A$3:A888,A888)=1,1,0))</f>
        <v>0</v>
      </c>
      <c r="W888">
        <f t="shared" si="84"/>
        <v>0</v>
      </c>
      <c r="X888" t="str">
        <f t="shared" si="85"/>
        <v/>
      </c>
      <c r="Y888">
        <f>IF(X888="",0,IF(COUNTIF($X$3:X888,X888)=1,1,0))</f>
        <v>0</v>
      </c>
      <c r="Z888">
        <f>IF(V888&lt;&gt;1,0,IF(X888="",0,IF(COUNTIF($X$3:X887,X888)&gt;0,1,0)))</f>
        <v>0</v>
      </c>
      <c r="AA888">
        <f t="shared" si="82"/>
        <v>0</v>
      </c>
      <c r="AB888">
        <f t="shared" si="83"/>
        <v>0</v>
      </c>
      <c r="AC888">
        <f>IF(I888="",0,L888*IFERROR(INDEX(کاتالوگ_محصولات!$G$4:$G$303,MATCH(I888,کاتالوگ_محصولات!$A$4:$A$303,0)),0))</f>
        <v>0</v>
      </c>
      <c r="AD888">
        <f t="shared" si="86"/>
        <v>0</v>
      </c>
      <c r="AE888" t="str">
        <f t="shared" si="87"/>
        <v/>
      </c>
    </row>
    <row r="889" spans="22:31" ht="18" customHeight="1">
      <c r="V889">
        <f>IF(A889="",0,IF(COUNTIF($A$3:A889,A889)=1,1,0))</f>
        <v>0</v>
      </c>
      <c r="W889">
        <f t="shared" si="84"/>
        <v>0</v>
      </c>
      <c r="X889" t="str">
        <f t="shared" si="85"/>
        <v/>
      </c>
      <c r="Y889">
        <f>IF(X889="",0,IF(COUNTIF($X$3:X889,X889)=1,1,0))</f>
        <v>0</v>
      </c>
      <c r="Z889">
        <f>IF(V889&lt;&gt;1,0,IF(X889="",0,IF(COUNTIF($X$3:X888,X889)&gt;0,1,0)))</f>
        <v>0</v>
      </c>
      <c r="AA889">
        <f t="shared" si="82"/>
        <v>0</v>
      </c>
      <c r="AB889">
        <f t="shared" si="83"/>
        <v>0</v>
      </c>
      <c r="AC889">
        <f>IF(I889="",0,L889*IFERROR(INDEX(کاتالوگ_محصولات!$G$4:$G$303,MATCH(I889,کاتالوگ_محصولات!$A$4:$A$303,0)),0))</f>
        <v>0</v>
      </c>
      <c r="AD889">
        <f t="shared" si="86"/>
        <v>0</v>
      </c>
      <c r="AE889" t="str">
        <f t="shared" si="87"/>
        <v/>
      </c>
    </row>
    <row r="890" spans="22:31" ht="18" customHeight="1">
      <c r="V890">
        <f>IF(A890="",0,IF(COUNTIF($A$3:A890,A890)=1,1,0))</f>
        <v>0</v>
      </c>
      <c r="W890">
        <f t="shared" si="84"/>
        <v>0</v>
      </c>
      <c r="X890" t="str">
        <f t="shared" si="85"/>
        <v/>
      </c>
      <c r="Y890">
        <f>IF(X890="",0,IF(COUNTIF($X$3:X890,X890)=1,1,0))</f>
        <v>0</v>
      </c>
      <c r="Z890">
        <f>IF(V890&lt;&gt;1,0,IF(X890="",0,IF(COUNTIF($X$3:X889,X890)&gt;0,1,0)))</f>
        <v>0</v>
      </c>
      <c r="AA890">
        <f t="shared" si="82"/>
        <v>0</v>
      </c>
      <c r="AB890">
        <f t="shared" si="83"/>
        <v>0</v>
      </c>
      <c r="AC890">
        <f>IF(I890="",0,L890*IFERROR(INDEX(کاتالوگ_محصولات!$G$4:$G$303,MATCH(I890,کاتالوگ_محصولات!$A$4:$A$303,0)),0))</f>
        <v>0</v>
      </c>
      <c r="AD890">
        <f t="shared" si="86"/>
        <v>0</v>
      </c>
      <c r="AE890" t="str">
        <f t="shared" si="87"/>
        <v/>
      </c>
    </row>
    <row r="891" spans="22:31" ht="18" customHeight="1">
      <c r="V891">
        <f>IF(A891="",0,IF(COUNTIF($A$3:A891,A891)=1,1,0))</f>
        <v>0</v>
      </c>
      <c r="W891">
        <f t="shared" si="84"/>
        <v>0</v>
      </c>
      <c r="X891" t="str">
        <f t="shared" si="85"/>
        <v/>
      </c>
      <c r="Y891">
        <f>IF(X891="",0,IF(COUNTIF($X$3:X891,X891)=1,1,0))</f>
        <v>0</v>
      </c>
      <c r="Z891">
        <f>IF(V891&lt;&gt;1,0,IF(X891="",0,IF(COUNTIF($X$3:X890,X891)&gt;0,1,0)))</f>
        <v>0</v>
      </c>
      <c r="AA891">
        <f t="shared" si="82"/>
        <v>0</v>
      </c>
      <c r="AB891">
        <f t="shared" si="83"/>
        <v>0</v>
      </c>
      <c r="AC891">
        <f>IF(I891="",0,L891*IFERROR(INDEX(کاتالوگ_محصولات!$G$4:$G$303,MATCH(I891,کاتالوگ_محصولات!$A$4:$A$303,0)),0))</f>
        <v>0</v>
      </c>
      <c r="AD891">
        <f t="shared" si="86"/>
        <v>0</v>
      </c>
      <c r="AE891" t="str">
        <f t="shared" si="87"/>
        <v/>
      </c>
    </row>
    <row r="892" spans="22:31" ht="18" customHeight="1">
      <c r="V892">
        <f>IF(A892="",0,IF(COUNTIF($A$3:A892,A892)=1,1,0))</f>
        <v>0</v>
      </c>
      <c r="W892">
        <f t="shared" si="84"/>
        <v>0</v>
      </c>
      <c r="X892" t="str">
        <f t="shared" si="85"/>
        <v/>
      </c>
      <c r="Y892">
        <f>IF(X892="",0,IF(COUNTIF($X$3:X892,X892)=1,1,0))</f>
        <v>0</v>
      </c>
      <c r="Z892">
        <f>IF(V892&lt;&gt;1,0,IF(X892="",0,IF(COUNTIF($X$3:X891,X892)&gt;0,1,0)))</f>
        <v>0</v>
      </c>
      <c r="AA892">
        <f t="shared" si="82"/>
        <v>0</v>
      </c>
      <c r="AB892">
        <f t="shared" si="83"/>
        <v>0</v>
      </c>
      <c r="AC892">
        <f>IF(I892="",0,L892*IFERROR(INDEX(کاتالوگ_محصولات!$G$4:$G$303,MATCH(I892,کاتالوگ_محصولات!$A$4:$A$303,0)),0))</f>
        <v>0</v>
      </c>
      <c r="AD892">
        <f t="shared" si="86"/>
        <v>0</v>
      </c>
      <c r="AE892" t="str">
        <f t="shared" si="87"/>
        <v/>
      </c>
    </row>
    <row r="893" spans="22:31" ht="18" customHeight="1">
      <c r="V893">
        <f>IF(A893="",0,IF(COUNTIF($A$3:A893,A893)=1,1,0))</f>
        <v>0</v>
      </c>
      <c r="W893">
        <f t="shared" si="84"/>
        <v>0</v>
      </c>
      <c r="X893" t="str">
        <f t="shared" si="85"/>
        <v/>
      </c>
      <c r="Y893">
        <f>IF(X893="",0,IF(COUNTIF($X$3:X893,X893)=1,1,0))</f>
        <v>0</v>
      </c>
      <c r="Z893">
        <f>IF(V893&lt;&gt;1,0,IF(X893="",0,IF(COUNTIF($X$3:X892,X893)&gt;0,1,0)))</f>
        <v>0</v>
      </c>
      <c r="AA893">
        <f t="shared" si="82"/>
        <v>0</v>
      </c>
      <c r="AB893">
        <f t="shared" si="83"/>
        <v>0</v>
      </c>
      <c r="AC893">
        <f>IF(I893="",0,L893*IFERROR(INDEX(کاتالوگ_محصولات!$G$4:$G$303,MATCH(I893,کاتالوگ_محصولات!$A$4:$A$303,0)),0))</f>
        <v>0</v>
      </c>
      <c r="AD893">
        <f t="shared" si="86"/>
        <v>0</v>
      </c>
      <c r="AE893" t="str">
        <f t="shared" si="87"/>
        <v/>
      </c>
    </row>
    <row r="894" spans="22:31" ht="18" customHeight="1">
      <c r="V894">
        <f>IF(A894="",0,IF(COUNTIF($A$3:A894,A894)=1,1,0))</f>
        <v>0</v>
      </c>
      <c r="W894">
        <f t="shared" si="84"/>
        <v>0</v>
      </c>
      <c r="X894" t="str">
        <f t="shared" si="85"/>
        <v/>
      </c>
      <c r="Y894">
        <f>IF(X894="",0,IF(COUNTIF($X$3:X894,X894)=1,1,0))</f>
        <v>0</v>
      </c>
      <c r="Z894">
        <f>IF(V894&lt;&gt;1,0,IF(X894="",0,IF(COUNTIF($X$3:X893,X894)&gt;0,1,0)))</f>
        <v>0</v>
      </c>
      <c r="AA894">
        <f t="shared" si="82"/>
        <v>0</v>
      </c>
      <c r="AB894">
        <f t="shared" si="83"/>
        <v>0</v>
      </c>
      <c r="AC894">
        <f>IF(I894="",0,L894*IFERROR(INDEX(کاتالوگ_محصولات!$G$4:$G$303,MATCH(I894,کاتالوگ_محصولات!$A$4:$A$303,0)),0))</f>
        <v>0</v>
      </c>
      <c r="AD894">
        <f t="shared" si="86"/>
        <v>0</v>
      </c>
      <c r="AE894" t="str">
        <f t="shared" si="87"/>
        <v/>
      </c>
    </row>
    <row r="895" spans="22:31" ht="18" customHeight="1">
      <c r="V895">
        <f>IF(A895="",0,IF(COUNTIF($A$3:A895,A895)=1,1,0))</f>
        <v>0</v>
      </c>
      <c r="W895">
        <f t="shared" si="84"/>
        <v>0</v>
      </c>
      <c r="X895" t="str">
        <f t="shared" si="85"/>
        <v/>
      </c>
      <c r="Y895">
        <f>IF(X895="",0,IF(COUNTIF($X$3:X895,X895)=1,1,0))</f>
        <v>0</v>
      </c>
      <c r="Z895">
        <f>IF(V895&lt;&gt;1,0,IF(X895="",0,IF(COUNTIF($X$3:X894,X895)&gt;0,1,0)))</f>
        <v>0</v>
      </c>
      <c r="AA895">
        <f t="shared" si="82"/>
        <v>0</v>
      </c>
      <c r="AB895">
        <f t="shared" si="83"/>
        <v>0</v>
      </c>
      <c r="AC895">
        <f>IF(I895="",0,L895*IFERROR(INDEX(کاتالوگ_محصولات!$G$4:$G$303,MATCH(I895,کاتالوگ_محصولات!$A$4:$A$303,0)),0))</f>
        <v>0</v>
      </c>
      <c r="AD895">
        <f t="shared" si="86"/>
        <v>0</v>
      </c>
      <c r="AE895" t="str">
        <f t="shared" si="87"/>
        <v/>
      </c>
    </row>
    <row r="896" spans="22:31" ht="18" customHeight="1">
      <c r="V896">
        <f>IF(A896="",0,IF(COUNTIF($A$3:A896,A896)=1,1,0))</f>
        <v>0</v>
      </c>
      <c r="W896">
        <f t="shared" si="84"/>
        <v>0</v>
      </c>
      <c r="X896" t="str">
        <f t="shared" si="85"/>
        <v/>
      </c>
      <c r="Y896">
        <f>IF(X896="",0,IF(COUNTIF($X$3:X896,X896)=1,1,0))</f>
        <v>0</v>
      </c>
      <c r="Z896">
        <f>IF(V896&lt;&gt;1,0,IF(X896="",0,IF(COUNTIF($X$3:X895,X896)&gt;0,1,0)))</f>
        <v>0</v>
      </c>
      <c r="AA896">
        <f t="shared" si="82"/>
        <v>0</v>
      </c>
      <c r="AB896">
        <f t="shared" si="83"/>
        <v>0</v>
      </c>
      <c r="AC896">
        <f>IF(I896="",0,L896*IFERROR(INDEX(کاتالوگ_محصولات!$G$4:$G$303,MATCH(I896,کاتالوگ_محصولات!$A$4:$A$303,0)),0))</f>
        <v>0</v>
      </c>
      <c r="AD896">
        <f t="shared" si="86"/>
        <v>0</v>
      </c>
      <c r="AE896" t="str">
        <f t="shared" si="87"/>
        <v/>
      </c>
    </row>
    <row r="897" spans="22:31" ht="18" customHeight="1">
      <c r="V897">
        <f>IF(A897="",0,IF(COUNTIF($A$3:A897,A897)=1,1,0))</f>
        <v>0</v>
      </c>
      <c r="W897">
        <f t="shared" si="84"/>
        <v>0</v>
      </c>
      <c r="X897" t="str">
        <f t="shared" si="85"/>
        <v/>
      </c>
      <c r="Y897">
        <f>IF(X897="",0,IF(COUNTIF($X$3:X897,X897)=1,1,0))</f>
        <v>0</v>
      </c>
      <c r="Z897">
        <f>IF(V897&lt;&gt;1,0,IF(X897="",0,IF(COUNTIF($X$3:X896,X897)&gt;0,1,0)))</f>
        <v>0</v>
      </c>
      <c r="AA897">
        <f t="shared" si="82"/>
        <v>0</v>
      </c>
      <c r="AB897">
        <f t="shared" si="83"/>
        <v>0</v>
      </c>
      <c r="AC897">
        <f>IF(I897="",0,L897*IFERROR(INDEX(کاتالوگ_محصولات!$G$4:$G$303,MATCH(I897,کاتالوگ_محصولات!$A$4:$A$303,0)),0))</f>
        <v>0</v>
      </c>
      <c r="AD897">
        <f t="shared" si="86"/>
        <v>0</v>
      </c>
      <c r="AE897" t="str">
        <f t="shared" si="87"/>
        <v/>
      </c>
    </row>
    <row r="898" spans="22:31" ht="18" customHeight="1">
      <c r="V898">
        <f>IF(A898="",0,IF(COUNTIF($A$3:A898,A898)=1,1,0))</f>
        <v>0</v>
      </c>
      <c r="W898">
        <f t="shared" si="84"/>
        <v>0</v>
      </c>
      <c r="X898" t="str">
        <f t="shared" si="85"/>
        <v/>
      </c>
      <c r="Y898">
        <f>IF(X898="",0,IF(COUNTIF($X$3:X898,X898)=1,1,0))</f>
        <v>0</v>
      </c>
      <c r="Z898">
        <f>IF(V898&lt;&gt;1,0,IF(X898="",0,IF(COUNTIF($X$3:X897,X898)&gt;0,1,0)))</f>
        <v>0</v>
      </c>
      <c r="AA898">
        <f t="shared" si="82"/>
        <v>0</v>
      </c>
      <c r="AB898">
        <f t="shared" si="83"/>
        <v>0</v>
      </c>
      <c r="AC898">
        <f>IF(I898="",0,L898*IFERROR(INDEX(کاتالوگ_محصولات!$G$4:$G$303,MATCH(I898,کاتالوگ_محصولات!$A$4:$A$303,0)),0))</f>
        <v>0</v>
      </c>
      <c r="AD898">
        <f t="shared" si="86"/>
        <v>0</v>
      </c>
      <c r="AE898" t="str">
        <f t="shared" si="87"/>
        <v/>
      </c>
    </row>
    <row r="899" spans="22:31" ht="18" customHeight="1">
      <c r="V899">
        <f>IF(A899="",0,IF(COUNTIF($A$3:A899,A899)=1,1,0))</f>
        <v>0</v>
      </c>
      <c r="W899">
        <f t="shared" si="84"/>
        <v>0</v>
      </c>
      <c r="X899" t="str">
        <f t="shared" si="85"/>
        <v/>
      </c>
      <c r="Y899">
        <f>IF(X899="",0,IF(COUNTIF($X$3:X899,X899)=1,1,0))</f>
        <v>0</v>
      </c>
      <c r="Z899">
        <f>IF(V899&lt;&gt;1,0,IF(X899="",0,IF(COUNTIF($X$3:X898,X899)&gt;0,1,0)))</f>
        <v>0</v>
      </c>
      <c r="AA899">
        <f t="shared" ref="AA899:AA962" si="88">IF(V899=1,SUMIF($A$3:$A$1622,A899,$O$3:$O$1622),0)</f>
        <v>0</v>
      </c>
      <c r="AB899">
        <f t="shared" ref="AB899:AB962" si="89">IF(V899=1,SUMIF($A$3:$A$1622,A899,$L$3:$L$1622),0)</f>
        <v>0</v>
      </c>
      <c r="AC899">
        <f>IF(I899="",0,L899*IFERROR(INDEX(کاتالوگ_محصولات!$G$4:$G$303,MATCH(I899,کاتالوگ_محصولات!$A$4:$A$303,0)),0))</f>
        <v>0</v>
      </c>
      <c r="AD899">
        <f t="shared" si="86"/>
        <v>0</v>
      </c>
      <c r="AE899" t="str">
        <f t="shared" si="87"/>
        <v/>
      </c>
    </row>
    <row r="900" spans="22:31" ht="18" customHeight="1">
      <c r="V900">
        <f>IF(A900="",0,IF(COUNTIF($A$3:A900,A900)=1,1,0))</f>
        <v>0</v>
      </c>
      <c r="W900">
        <f t="shared" si="84"/>
        <v>0</v>
      </c>
      <c r="X900" t="str">
        <f t="shared" si="85"/>
        <v/>
      </c>
      <c r="Y900">
        <f>IF(X900="",0,IF(COUNTIF($X$3:X900,X900)=1,1,0))</f>
        <v>0</v>
      </c>
      <c r="Z900">
        <f>IF(V900&lt;&gt;1,0,IF(X900="",0,IF(COUNTIF($X$3:X899,X900)&gt;0,1,0)))</f>
        <v>0</v>
      </c>
      <c r="AA900">
        <f t="shared" si="88"/>
        <v>0</v>
      </c>
      <c r="AB900">
        <f t="shared" si="89"/>
        <v>0</v>
      </c>
      <c r="AC900">
        <f>IF(I900="",0,L900*IFERROR(INDEX(کاتالوگ_محصولات!$G$4:$G$303,MATCH(I900,کاتالوگ_محصولات!$A$4:$A$303,0)),0))</f>
        <v>0</v>
      </c>
      <c r="AD900">
        <f t="shared" si="86"/>
        <v>0</v>
      </c>
      <c r="AE900" t="str">
        <f t="shared" si="87"/>
        <v/>
      </c>
    </row>
    <row r="901" spans="22:31" ht="18" customHeight="1">
      <c r="V901">
        <f>IF(A901="",0,IF(COUNTIF($A$3:A901,A901)=1,1,0))</f>
        <v>0</v>
      </c>
      <c r="W901">
        <f t="shared" si="84"/>
        <v>0</v>
      </c>
      <c r="X901" t="str">
        <f t="shared" si="85"/>
        <v/>
      </c>
      <c r="Y901">
        <f>IF(X901="",0,IF(COUNTIF($X$3:X901,X901)=1,1,0))</f>
        <v>0</v>
      </c>
      <c r="Z901">
        <f>IF(V901&lt;&gt;1,0,IF(X901="",0,IF(COUNTIF($X$3:X900,X901)&gt;0,1,0)))</f>
        <v>0</v>
      </c>
      <c r="AA901">
        <f t="shared" si="88"/>
        <v>0</v>
      </c>
      <c r="AB901">
        <f t="shared" si="89"/>
        <v>0</v>
      </c>
      <c r="AC901">
        <f>IF(I901="",0,L901*IFERROR(INDEX(کاتالوگ_محصولات!$G$4:$G$303,MATCH(I901,کاتالوگ_محصولات!$A$4:$A$303,0)),0))</f>
        <v>0</v>
      </c>
      <c r="AD901">
        <f t="shared" si="86"/>
        <v>0</v>
      </c>
      <c r="AE901" t="str">
        <f t="shared" si="87"/>
        <v/>
      </c>
    </row>
    <row r="902" spans="22:31" ht="18" customHeight="1">
      <c r="V902">
        <f>IF(A902="",0,IF(COUNTIF($A$3:A902,A902)=1,1,0))</f>
        <v>0</v>
      </c>
      <c r="W902">
        <f t="shared" si="84"/>
        <v>0</v>
      </c>
      <c r="X902" t="str">
        <f t="shared" si="85"/>
        <v/>
      </c>
      <c r="Y902">
        <f>IF(X902="",0,IF(COUNTIF($X$3:X902,X902)=1,1,0))</f>
        <v>0</v>
      </c>
      <c r="Z902">
        <f>IF(V902&lt;&gt;1,0,IF(X902="",0,IF(COUNTIF($X$3:X901,X902)&gt;0,1,0)))</f>
        <v>0</v>
      </c>
      <c r="AA902">
        <f t="shared" si="88"/>
        <v>0</v>
      </c>
      <c r="AB902">
        <f t="shared" si="89"/>
        <v>0</v>
      </c>
      <c r="AC902">
        <f>IF(I902="",0,L902*IFERROR(INDEX(کاتالوگ_محصولات!$G$4:$G$303,MATCH(I902,کاتالوگ_محصولات!$A$4:$A$303,0)),0))</f>
        <v>0</v>
      </c>
      <c r="AD902">
        <f t="shared" si="86"/>
        <v>0</v>
      </c>
      <c r="AE902" t="str">
        <f t="shared" si="87"/>
        <v/>
      </c>
    </row>
    <row r="903" spans="22:31" ht="18" customHeight="1">
      <c r="V903">
        <f>IF(A903="",0,IF(COUNTIF($A$3:A903,A903)=1,1,0))</f>
        <v>0</v>
      </c>
      <c r="W903">
        <f t="shared" si="84"/>
        <v>0</v>
      </c>
      <c r="X903" t="str">
        <f t="shared" si="85"/>
        <v/>
      </c>
      <c r="Y903">
        <f>IF(X903="",0,IF(COUNTIF($X$3:X903,X903)=1,1,0))</f>
        <v>0</v>
      </c>
      <c r="Z903">
        <f>IF(V903&lt;&gt;1,0,IF(X903="",0,IF(COUNTIF($X$3:X902,X903)&gt;0,1,0)))</f>
        <v>0</v>
      </c>
      <c r="AA903">
        <f t="shared" si="88"/>
        <v>0</v>
      </c>
      <c r="AB903">
        <f t="shared" si="89"/>
        <v>0</v>
      </c>
      <c r="AC903">
        <f>IF(I903="",0,L903*IFERROR(INDEX(کاتالوگ_محصولات!$G$4:$G$303,MATCH(I903,کاتالوگ_محصولات!$A$4:$A$303,0)),0))</f>
        <v>0</v>
      </c>
      <c r="AD903">
        <f t="shared" si="86"/>
        <v>0</v>
      </c>
      <c r="AE903" t="str">
        <f t="shared" si="87"/>
        <v/>
      </c>
    </row>
    <row r="904" spans="22:31" ht="18" customHeight="1">
      <c r="V904">
        <f>IF(A904="",0,IF(COUNTIF($A$3:A904,A904)=1,1,0))</f>
        <v>0</v>
      </c>
      <c r="W904">
        <f t="shared" si="84"/>
        <v>0</v>
      </c>
      <c r="X904" t="str">
        <f t="shared" si="85"/>
        <v/>
      </c>
      <c r="Y904">
        <f>IF(X904="",0,IF(COUNTIF($X$3:X904,X904)=1,1,0))</f>
        <v>0</v>
      </c>
      <c r="Z904">
        <f>IF(V904&lt;&gt;1,0,IF(X904="",0,IF(COUNTIF($X$3:X903,X904)&gt;0,1,0)))</f>
        <v>0</v>
      </c>
      <c r="AA904">
        <f t="shared" si="88"/>
        <v>0</v>
      </c>
      <c r="AB904">
        <f t="shared" si="89"/>
        <v>0</v>
      </c>
      <c r="AC904">
        <f>IF(I904="",0,L904*IFERROR(INDEX(کاتالوگ_محصولات!$G$4:$G$303,MATCH(I904,کاتالوگ_محصولات!$A$4:$A$303,0)),0))</f>
        <v>0</v>
      </c>
      <c r="AD904">
        <f t="shared" si="86"/>
        <v>0</v>
      </c>
      <c r="AE904" t="str">
        <f t="shared" si="87"/>
        <v/>
      </c>
    </row>
    <row r="905" spans="22:31" ht="18" customHeight="1">
      <c r="V905">
        <f>IF(A905="",0,IF(COUNTIF($A$3:A905,A905)=1,1,0))</f>
        <v>0</v>
      </c>
      <c r="W905">
        <f t="shared" ref="W905:W968" si="90">IF(A905="",0,L905*M905)</f>
        <v>0</v>
      </c>
      <c r="X905" t="str">
        <f t="shared" ref="X905:X968" si="91">IF(R905&lt;&gt;"",R905,IF(AND(P905&lt;&gt;"",Q905&lt;&gt;""),P905&amp;"|"&amp;Q905,""))</f>
        <v/>
      </c>
      <c r="Y905">
        <f>IF(X905="",0,IF(COUNTIF($X$3:X905,X905)=1,1,0))</f>
        <v>0</v>
      </c>
      <c r="Z905">
        <f>IF(V905&lt;&gt;1,0,IF(X905="",0,IF(COUNTIF($X$3:X904,X905)&gt;0,1,0)))</f>
        <v>0</v>
      </c>
      <c r="AA905">
        <f t="shared" si="88"/>
        <v>0</v>
      </c>
      <c r="AB905">
        <f t="shared" si="89"/>
        <v>0</v>
      </c>
      <c r="AC905">
        <f>IF(I905="",0,L905*IFERROR(INDEX(کاتالوگ_محصولات!$G$4:$G$303,MATCH(I905,کاتالوگ_محصولات!$A$4:$A$303,0)),0))</f>
        <v>0</v>
      </c>
      <c r="AD905">
        <f t="shared" ref="AD905:AD968" si="92">IF(A905="",0,O905-AC905)</f>
        <v>0</v>
      </c>
      <c r="AE905" t="str">
        <f t="shared" ref="AE905:AE968" si="93">IF(B905="","",LEFT(B905,7))</f>
        <v/>
      </c>
    </row>
    <row r="906" spans="22:31" ht="18" customHeight="1">
      <c r="V906">
        <f>IF(A906="",0,IF(COUNTIF($A$3:A906,A906)=1,1,0))</f>
        <v>0</v>
      </c>
      <c r="W906">
        <f t="shared" si="90"/>
        <v>0</v>
      </c>
      <c r="X906" t="str">
        <f t="shared" si="91"/>
        <v/>
      </c>
      <c r="Y906">
        <f>IF(X906="",0,IF(COUNTIF($X$3:X906,X906)=1,1,0))</f>
        <v>0</v>
      </c>
      <c r="Z906">
        <f>IF(V906&lt;&gt;1,0,IF(X906="",0,IF(COUNTIF($X$3:X905,X906)&gt;0,1,0)))</f>
        <v>0</v>
      </c>
      <c r="AA906">
        <f t="shared" si="88"/>
        <v>0</v>
      </c>
      <c r="AB906">
        <f t="shared" si="89"/>
        <v>0</v>
      </c>
      <c r="AC906">
        <f>IF(I906="",0,L906*IFERROR(INDEX(کاتالوگ_محصولات!$G$4:$G$303,MATCH(I906,کاتالوگ_محصولات!$A$4:$A$303,0)),0))</f>
        <v>0</v>
      </c>
      <c r="AD906">
        <f t="shared" si="92"/>
        <v>0</v>
      </c>
      <c r="AE906" t="str">
        <f t="shared" si="93"/>
        <v/>
      </c>
    </row>
    <row r="907" spans="22:31" ht="18" customHeight="1">
      <c r="V907">
        <f>IF(A907="",0,IF(COUNTIF($A$3:A907,A907)=1,1,0))</f>
        <v>0</v>
      </c>
      <c r="W907">
        <f t="shared" si="90"/>
        <v>0</v>
      </c>
      <c r="X907" t="str">
        <f t="shared" si="91"/>
        <v/>
      </c>
      <c r="Y907">
        <f>IF(X907="",0,IF(COUNTIF($X$3:X907,X907)=1,1,0))</f>
        <v>0</v>
      </c>
      <c r="Z907">
        <f>IF(V907&lt;&gt;1,0,IF(X907="",0,IF(COUNTIF($X$3:X906,X907)&gt;0,1,0)))</f>
        <v>0</v>
      </c>
      <c r="AA907">
        <f t="shared" si="88"/>
        <v>0</v>
      </c>
      <c r="AB907">
        <f t="shared" si="89"/>
        <v>0</v>
      </c>
      <c r="AC907">
        <f>IF(I907="",0,L907*IFERROR(INDEX(کاتالوگ_محصولات!$G$4:$G$303,MATCH(I907,کاتالوگ_محصولات!$A$4:$A$303,0)),0))</f>
        <v>0</v>
      </c>
      <c r="AD907">
        <f t="shared" si="92"/>
        <v>0</v>
      </c>
      <c r="AE907" t="str">
        <f t="shared" si="93"/>
        <v/>
      </c>
    </row>
    <row r="908" spans="22:31" ht="18" customHeight="1">
      <c r="V908">
        <f>IF(A908="",0,IF(COUNTIF($A$3:A908,A908)=1,1,0))</f>
        <v>0</v>
      </c>
      <c r="W908">
        <f t="shared" si="90"/>
        <v>0</v>
      </c>
      <c r="X908" t="str">
        <f t="shared" si="91"/>
        <v/>
      </c>
      <c r="Y908">
        <f>IF(X908="",0,IF(COUNTIF($X$3:X908,X908)=1,1,0))</f>
        <v>0</v>
      </c>
      <c r="Z908">
        <f>IF(V908&lt;&gt;1,0,IF(X908="",0,IF(COUNTIF($X$3:X907,X908)&gt;0,1,0)))</f>
        <v>0</v>
      </c>
      <c r="AA908">
        <f t="shared" si="88"/>
        <v>0</v>
      </c>
      <c r="AB908">
        <f t="shared" si="89"/>
        <v>0</v>
      </c>
      <c r="AC908">
        <f>IF(I908="",0,L908*IFERROR(INDEX(کاتالوگ_محصولات!$G$4:$G$303,MATCH(I908,کاتالوگ_محصولات!$A$4:$A$303,0)),0))</f>
        <v>0</v>
      </c>
      <c r="AD908">
        <f t="shared" si="92"/>
        <v>0</v>
      </c>
      <c r="AE908" t="str">
        <f t="shared" si="93"/>
        <v/>
      </c>
    </row>
    <row r="909" spans="22:31" ht="18" customHeight="1">
      <c r="V909">
        <f>IF(A909="",0,IF(COUNTIF($A$3:A909,A909)=1,1,0))</f>
        <v>0</v>
      </c>
      <c r="W909">
        <f t="shared" si="90"/>
        <v>0</v>
      </c>
      <c r="X909" t="str">
        <f t="shared" si="91"/>
        <v/>
      </c>
      <c r="Y909">
        <f>IF(X909="",0,IF(COUNTIF($X$3:X909,X909)=1,1,0))</f>
        <v>0</v>
      </c>
      <c r="Z909">
        <f>IF(V909&lt;&gt;1,0,IF(X909="",0,IF(COUNTIF($X$3:X908,X909)&gt;0,1,0)))</f>
        <v>0</v>
      </c>
      <c r="AA909">
        <f t="shared" si="88"/>
        <v>0</v>
      </c>
      <c r="AB909">
        <f t="shared" si="89"/>
        <v>0</v>
      </c>
      <c r="AC909">
        <f>IF(I909="",0,L909*IFERROR(INDEX(کاتالوگ_محصولات!$G$4:$G$303,MATCH(I909,کاتالوگ_محصولات!$A$4:$A$303,0)),0))</f>
        <v>0</v>
      </c>
      <c r="AD909">
        <f t="shared" si="92"/>
        <v>0</v>
      </c>
      <c r="AE909" t="str">
        <f t="shared" si="93"/>
        <v/>
      </c>
    </row>
    <row r="910" spans="22:31" ht="18" customHeight="1">
      <c r="V910">
        <f>IF(A910="",0,IF(COUNTIF($A$3:A910,A910)=1,1,0))</f>
        <v>0</v>
      </c>
      <c r="W910">
        <f t="shared" si="90"/>
        <v>0</v>
      </c>
      <c r="X910" t="str">
        <f t="shared" si="91"/>
        <v/>
      </c>
      <c r="Y910">
        <f>IF(X910="",0,IF(COUNTIF($X$3:X910,X910)=1,1,0))</f>
        <v>0</v>
      </c>
      <c r="Z910">
        <f>IF(V910&lt;&gt;1,0,IF(X910="",0,IF(COUNTIF($X$3:X909,X910)&gt;0,1,0)))</f>
        <v>0</v>
      </c>
      <c r="AA910">
        <f t="shared" si="88"/>
        <v>0</v>
      </c>
      <c r="AB910">
        <f t="shared" si="89"/>
        <v>0</v>
      </c>
      <c r="AC910">
        <f>IF(I910="",0,L910*IFERROR(INDEX(کاتالوگ_محصولات!$G$4:$G$303,MATCH(I910,کاتالوگ_محصولات!$A$4:$A$303,0)),0))</f>
        <v>0</v>
      </c>
      <c r="AD910">
        <f t="shared" si="92"/>
        <v>0</v>
      </c>
      <c r="AE910" t="str">
        <f t="shared" si="93"/>
        <v/>
      </c>
    </row>
    <row r="911" spans="22:31" ht="18" customHeight="1">
      <c r="V911">
        <f>IF(A911="",0,IF(COUNTIF($A$3:A911,A911)=1,1,0))</f>
        <v>0</v>
      </c>
      <c r="W911">
        <f t="shared" si="90"/>
        <v>0</v>
      </c>
      <c r="X911" t="str">
        <f t="shared" si="91"/>
        <v/>
      </c>
      <c r="Y911">
        <f>IF(X911="",0,IF(COUNTIF($X$3:X911,X911)=1,1,0))</f>
        <v>0</v>
      </c>
      <c r="Z911">
        <f>IF(V911&lt;&gt;1,0,IF(X911="",0,IF(COUNTIF($X$3:X910,X911)&gt;0,1,0)))</f>
        <v>0</v>
      </c>
      <c r="AA911">
        <f t="shared" si="88"/>
        <v>0</v>
      </c>
      <c r="AB911">
        <f t="shared" si="89"/>
        <v>0</v>
      </c>
      <c r="AC911">
        <f>IF(I911="",0,L911*IFERROR(INDEX(کاتالوگ_محصولات!$G$4:$G$303,MATCH(I911,کاتالوگ_محصولات!$A$4:$A$303,0)),0))</f>
        <v>0</v>
      </c>
      <c r="AD911">
        <f t="shared" si="92"/>
        <v>0</v>
      </c>
      <c r="AE911" t="str">
        <f t="shared" si="93"/>
        <v/>
      </c>
    </row>
    <row r="912" spans="22:31" ht="18" customHeight="1">
      <c r="V912">
        <f>IF(A912="",0,IF(COUNTIF($A$3:A912,A912)=1,1,0))</f>
        <v>0</v>
      </c>
      <c r="W912">
        <f t="shared" si="90"/>
        <v>0</v>
      </c>
      <c r="X912" t="str">
        <f t="shared" si="91"/>
        <v/>
      </c>
      <c r="Y912">
        <f>IF(X912="",0,IF(COUNTIF($X$3:X912,X912)=1,1,0))</f>
        <v>0</v>
      </c>
      <c r="Z912">
        <f>IF(V912&lt;&gt;1,0,IF(X912="",0,IF(COUNTIF($X$3:X911,X912)&gt;0,1,0)))</f>
        <v>0</v>
      </c>
      <c r="AA912">
        <f t="shared" si="88"/>
        <v>0</v>
      </c>
      <c r="AB912">
        <f t="shared" si="89"/>
        <v>0</v>
      </c>
      <c r="AC912">
        <f>IF(I912="",0,L912*IFERROR(INDEX(کاتالوگ_محصولات!$G$4:$G$303,MATCH(I912,کاتالوگ_محصولات!$A$4:$A$303,0)),0))</f>
        <v>0</v>
      </c>
      <c r="AD912">
        <f t="shared" si="92"/>
        <v>0</v>
      </c>
      <c r="AE912" t="str">
        <f t="shared" si="93"/>
        <v/>
      </c>
    </row>
    <row r="913" spans="22:31" ht="18" customHeight="1">
      <c r="V913">
        <f>IF(A913="",0,IF(COUNTIF($A$3:A913,A913)=1,1,0))</f>
        <v>0</v>
      </c>
      <c r="W913">
        <f t="shared" si="90"/>
        <v>0</v>
      </c>
      <c r="X913" t="str">
        <f t="shared" si="91"/>
        <v/>
      </c>
      <c r="Y913">
        <f>IF(X913="",0,IF(COUNTIF($X$3:X913,X913)=1,1,0))</f>
        <v>0</v>
      </c>
      <c r="Z913">
        <f>IF(V913&lt;&gt;1,0,IF(X913="",0,IF(COUNTIF($X$3:X912,X913)&gt;0,1,0)))</f>
        <v>0</v>
      </c>
      <c r="AA913">
        <f t="shared" si="88"/>
        <v>0</v>
      </c>
      <c r="AB913">
        <f t="shared" si="89"/>
        <v>0</v>
      </c>
      <c r="AC913">
        <f>IF(I913="",0,L913*IFERROR(INDEX(کاتالوگ_محصولات!$G$4:$G$303,MATCH(I913,کاتالوگ_محصولات!$A$4:$A$303,0)),0))</f>
        <v>0</v>
      </c>
      <c r="AD913">
        <f t="shared" si="92"/>
        <v>0</v>
      </c>
      <c r="AE913" t="str">
        <f t="shared" si="93"/>
        <v/>
      </c>
    </row>
    <row r="914" spans="22:31" ht="18" customHeight="1">
      <c r="V914">
        <f>IF(A914="",0,IF(COUNTIF($A$3:A914,A914)=1,1,0))</f>
        <v>0</v>
      </c>
      <c r="W914">
        <f t="shared" si="90"/>
        <v>0</v>
      </c>
      <c r="X914" t="str">
        <f t="shared" si="91"/>
        <v/>
      </c>
      <c r="Y914">
        <f>IF(X914="",0,IF(COUNTIF($X$3:X914,X914)=1,1,0))</f>
        <v>0</v>
      </c>
      <c r="Z914">
        <f>IF(V914&lt;&gt;1,0,IF(X914="",0,IF(COUNTIF($X$3:X913,X914)&gt;0,1,0)))</f>
        <v>0</v>
      </c>
      <c r="AA914">
        <f t="shared" si="88"/>
        <v>0</v>
      </c>
      <c r="AB914">
        <f t="shared" si="89"/>
        <v>0</v>
      </c>
      <c r="AC914">
        <f>IF(I914="",0,L914*IFERROR(INDEX(کاتالوگ_محصولات!$G$4:$G$303,MATCH(I914,کاتالوگ_محصولات!$A$4:$A$303,0)),0))</f>
        <v>0</v>
      </c>
      <c r="AD914">
        <f t="shared" si="92"/>
        <v>0</v>
      </c>
      <c r="AE914" t="str">
        <f t="shared" si="93"/>
        <v/>
      </c>
    </row>
    <row r="915" spans="22:31" ht="18" customHeight="1">
      <c r="V915">
        <f>IF(A915="",0,IF(COUNTIF($A$3:A915,A915)=1,1,0))</f>
        <v>0</v>
      </c>
      <c r="W915">
        <f t="shared" si="90"/>
        <v>0</v>
      </c>
      <c r="X915" t="str">
        <f t="shared" si="91"/>
        <v/>
      </c>
      <c r="Y915">
        <f>IF(X915="",0,IF(COUNTIF($X$3:X915,X915)=1,1,0))</f>
        <v>0</v>
      </c>
      <c r="Z915">
        <f>IF(V915&lt;&gt;1,0,IF(X915="",0,IF(COUNTIF($X$3:X914,X915)&gt;0,1,0)))</f>
        <v>0</v>
      </c>
      <c r="AA915">
        <f t="shared" si="88"/>
        <v>0</v>
      </c>
      <c r="AB915">
        <f t="shared" si="89"/>
        <v>0</v>
      </c>
      <c r="AC915">
        <f>IF(I915="",0,L915*IFERROR(INDEX(کاتالوگ_محصولات!$G$4:$G$303,MATCH(I915,کاتالوگ_محصولات!$A$4:$A$303,0)),0))</f>
        <v>0</v>
      </c>
      <c r="AD915">
        <f t="shared" si="92"/>
        <v>0</v>
      </c>
      <c r="AE915" t="str">
        <f t="shared" si="93"/>
        <v/>
      </c>
    </row>
    <row r="916" spans="22:31" ht="18" customHeight="1">
      <c r="V916">
        <f>IF(A916="",0,IF(COUNTIF($A$3:A916,A916)=1,1,0))</f>
        <v>0</v>
      </c>
      <c r="W916">
        <f t="shared" si="90"/>
        <v>0</v>
      </c>
      <c r="X916" t="str">
        <f t="shared" si="91"/>
        <v/>
      </c>
      <c r="Y916">
        <f>IF(X916="",0,IF(COUNTIF($X$3:X916,X916)=1,1,0))</f>
        <v>0</v>
      </c>
      <c r="Z916">
        <f>IF(V916&lt;&gt;1,0,IF(X916="",0,IF(COUNTIF($X$3:X915,X916)&gt;0,1,0)))</f>
        <v>0</v>
      </c>
      <c r="AA916">
        <f t="shared" si="88"/>
        <v>0</v>
      </c>
      <c r="AB916">
        <f t="shared" si="89"/>
        <v>0</v>
      </c>
      <c r="AC916">
        <f>IF(I916="",0,L916*IFERROR(INDEX(کاتالوگ_محصولات!$G$4:$G$303,MATCH(I916,کاتالوگ_محصولات!$A$4:$A$303,0)),0))</f>
        <v>0</v>
      </c>
      <c r="AD916">
        <f t="shared" si="92"/>
        <v>0</v>
      </c>
      <c r="AE916" t="str">
        <f t="shared" si="93"/>
        <v/>
      </c>
    </row>
    <row r="917" spans="22:31" ht="18" customHeight="1">
      <c r="V917">
        <f>IF(A917="",0,IF(COUNTIF($A$3:A917,A917)=1,1,0))</f>
        <v>0</v>
      </c>
      <c r="W917">
        <f t="shared" si="90"/>
        <v>0</v>
      </c>
      <c r="X917" t="str">
        <f t="shared" si="91"/>
        <v/>
      </c>
      <c r="Y917">
        <f>IF(X917="",0,IF(COUNTIF($X$3:X917,X917)=1,1,0))</f>
        <v>0</v>
      </c>
      <c r="Z917">
        <f>IF(V917&lt;&gt;1,0,IF(X917="",0,IF(COUNTIF($X$3:X916,X917)&gt;0,1,0)))</f>
        <v>0</v>
      </c>
      <c r="AA917">
        <f t="shared" si="88"/>
        <v>0</v>
      </c>
      <c r="AB917">
        <f t="shared" si="89"/>
        <v>0</v>
      </c>
      <c r="AC917">
        <f>IF(I917="",0,L917*IFERROR(INDEX(کاتالوگ_محصولات!$G$4:$G$303,MATCH(I917,کاتالوگ_محصولات!$A$4:$A$303,0)),0))</f>
        <v>0</v>
      </c>
      <c r="AD917">
        <f t="shared" si="92"/>
        <v>0</v>
      </c>
      <c r="AE917" t="str">
        <f t="shared" si="93"/>
        <v/>
      </c>
    </row>
    <row r="918" spans="22:31" ht="18" customHeight="1">
      <c r="V918">
        <f>IF(A918="",0,IF(COUNTIF($A$3:A918,A918)=1,1,0))</f>
        <v>0</v>
      </c>
      <c r="W918">
        <f t="shared" si="90"/>
        <v>0</v>
      </c>
      <c r="X918" t="str">
        <f t="shared" si="91"/>
        <v/>
      </c>
      <c r="Y918">
        <f>IF(X918="",0,IF(COUNTIF($X$3:X918,X918)=1,1,0))</f>
        <v>0</v>
      </c>
      <c r="Z918">
        <f>IF(V918&lt;&gt;1,0,IF(X918="",0,IF(COUNTIF($X$3:X917,X918)&gt;0,1,0)))</f>
        <v>0</v>
      </c>
      <c r="AA918">
        <f t="shared" si="88"/>
        <v>0</v>
      </c>
      <c r="AB918">
        <f t="shared" si="89"/>
        <v>0</v>
      </c>
      <c r="AC918">
        <f>IF(I918="",0,L918*IFERROR(INDEX(کاتالوگ_محصولات!$G$4:$G$303,MATCH(I918,کاتالوگ_محصولات!$A$4:$A$303,0)),0))</f>
        <v>0</v>
      </c>
      <c r="AD918">
        <f t="shared" si="92"/>
        <v>0</v>
      </c>
      <c r="AE918" t="str">
        <f t="shared" si="93"/>
        <v/>
      </c>
    </row>
    <row r="919" spans="22:31" ht="18" customHeight="1">
      <c r="V919">
        <f>IF(A919="",0,IF(COUNTIF($A$3:A919,A919)=1,1,0))</f>
        <v>0</v>
      </c>
      <c r="W919">
        <f t="shared" si="90"/>
        <v>0</v>
      </c>
      <c r="X919" t="str">
        <f t="shared" si="91"/>
        <v/>
      </c>
      <c r="Y919">
        <f>IF(X919="",0,IF(COUNTIF($X$3:X919,X919)=1,1,0))</f>
        <v>0</v>
      </c>
      <c r="Z919">
        <f>IF(V919&lt;&gt;1,0,IF(X919="",0,IF(COUNTIF($X$3:X918,X919)&gt;0,1,0)))</f>
        <v>0</v>
      </c>
      <c r="AA919">
        <f t="shared" si="88"/>
        <v>0</v>
      </c>
      <c r="AB919">
        <f t="shared" si="89"/>
        <v>0</v>
      </c>
      <c r="AC919">
        <f>IF(I919="",0,L919*IFERROR(INDEX(کاتالوگ_محصولات!$G$4:$G$303,MATCH(I919,کاتالوگ_محصولات!$A$4:$A$303,0)),0))</f>
        <v>0</v>
      </c>
      <c r="AD919">
        <f t="shared" si="92"/>
        <v>0</v>
      </c>
      <c r="AE919" t="str">
        <f t="shared" si="93"/>
        <v/>
      </c>
    </row>
    <row r="920" spans="22:31" ht="18" customHeight="1">
      <c r="V920">
        <f>IF(A920="",0,IF(COUNTIF($A$3:A920,A920)=1,1,0))</f>
        <v>0</v>
      </c>
      <c r="W920">
        <f t="shared" si="90"/>
        <v>0</v>
      </c>
      <c r="X920" t="str">
        <f t="shared" si="91"/>
        <v/>
      </c>
      <c r="Y920">
        <f>IF(X920="",0,IF(COUNTIF($X$3:X920,X920)=1,1,0))</f>
        <v>0</v>
      </c>
      <c r="Z920">
        <f>IF(V920&lt;&gt;1,0,IF(X920="",0,IF(COUNTIF($X$3:X919,X920)&gt;0,1,0)))</f>
        <v>0</v>
      </c>
      <c r="AA920">
        <f t="shared" si="88"/>
        <v>0</v>
      </c>
      <c r="AB920">
        <f t="shared" si="89"/>
        <v>0</v>
      </c>
      <c r="AC920">
        <f>IF(I920="",0,L920*IFERROR(INDEX(کاتالوگ_محصولات!$G$4:$G$303,MATCH(I920,کاتالوگ_محصولات!$A$4:$A$303,0)),0))</f>
        <v>0</v>
      </c>
      <c r="AD920">
        <f t="shared" si="92"/>
        <v>0</v>
      </c>
      <c r="AE920" t="str">
        <f t="shared" si="93"/>
        <v/>
      </c>
    </row>
    <row r="921" spans="22:31" ht="18" customHeight="1">
      <c r="V921">
        <f>IF(A921="",0,IF(COUNTIF($A$3:A921,A921)=1,1,0))</f>
        <v>0</v>
      </c>
      <c r="W921">
        <f t="shared" si="90"/>
        <v>0</v>
      </c>
      <c r="X921" t="str">
        <f t="shared" si="91"/>
        <v/>
      </c>
      <c r="Y921">
        <f>IF(X921="",0,IF(COUNTIF($X$3:X921,X921)=1,1,0))</f>
        <v>0</v>
      </c>
      <c r="Z921">
        <f>IF(V921&lt;&gt;1,0,IF(X921="",0,IF(COUNTIF($X$3:X920,X921)&gt;0,1,0)))</f>
        <v>0</v>
      </c>
      <c r="AA921">
        <f t="shared" si="88"/>
        <v>0</v>
      </c>
      <c r="AB921">
        <f t="shared" si="89"/>
        <v>0</v>
      </c>
      <c r="AC921">
        <f>IF(I921="",0,L921*IFERROR(INDEX(کاتالوگ_محصولات!$G$4:$G$303,MATCH(I921,کاتالوگ_محصولات!$A$4:$A$303,0)),0))</f>
        <v>0</v>
      </c>
      <c r="AD921">
        <f t="shared" si="92"/>
        <v>0</v>
      </c>
      <c r="AE921" t="str">
        <f t="shared" si="93"/>
        <v/>
      </c>
    </row>
    <row r="922" spans="22:31" ht="18" customHeight="1">
      <c r="V922">
        <f>IF(A922="",0,IF(COUNTIF($A$3:A922,A922)=1,1,0))</f>
        <v>0</v>
      </c>
      <c r="W922">
        <f t="shared" si="90"/>
        <v>0</v>
      </c>
      <c r="X922" t="str">
        <f t="shared" si="91"/>
        <v/>
      </c>
      <c r="Y922">
        <f>IF(X922="",0,IF(COUNTIF($X$3:X922,X922)=1,1,0))</f>
        <v>0</v>
      </c>
      <c r="Z922">
        <f>IF(V922&lt;&gt;1,0,IF(X922="",0,IF(COUNTIF($X$3:X921,X922)&gt;0,1,0)))</f>
        <v>0</v>
      </c>
      <c r="AA922">
        <f t="shared" si="88"/>
        <v>0</v>
      </c>
      <c r="AB922">
        <f t="shared" si="89"/>
        <v>0</v>
      </c>
      <c r="AC922">
        <f>IF(I922="",0,L922*IFERROR(INDEX(کاتالوگ_محصولات!$G$4:$G$303,MATCH(I922,کاتالوگ_محصولات!$A$4:$A$303,0)),0))</f>
        <v>0</v>
      </c>
      <c r="AD922">
        <f t="shared" si="92"/>
        <v>0</v>
      </c>
      <c r="AE922" t="str">
        <f t="shared" si="93"/>
        <v/>
      </c>
    </row>
    <row r="923" spans="22:31" ht="18" customHeight="1">
      <c r="V923">
        <f>IF(A923="",0,IF(COUNTIF($A$3:A923,A923)=1,1,0))</f>
        <v>0</v>
      </c>
      <c r="W923">
        <f t="shared" si="90"/>
        <v>0</v>
      </c>
      <c r="X923" t="str">
        <f t="shared" si="91"/>
        <v/>
      </c>
      <c r="Y923">
        <f>IF(X923="",0,IF(COUNTIF($X$3:X923,X923)=1,1,0))</f>
        <v>0</v>
      </c>
      <c r="Z923">
        <f>IF(V923&lt;&gt;1,0,IF(X923="",0,IF(COUNTIF($X$3:X922,X923)&gt;0,1,0)))</f>
        <v>0</v>
      </c>
      <c r="AA923">
        <f t="shared" si="88"/>
        <v>0</v>
      </c>
      <c r="AB923">
        <f t="shared" si="89"/>
        <v>0</v>
      </c>
      <c r="AC923">
        <f>IF(I923="",0,L923*IFERROR(INDEX(کاتالوگ_محصولات!$G$4:$G$303,MATCH(I923,کاتالوگ_محصولات!$A$4:$A$303,0)),0))</f>
        <v>0</v>
      </c>
      <c r="AD923">
        <f t="shared" si="92"/>
        <v>0</v>
      </c>
      <c r="AE923" t="str">
        <f t="shared" si="93"/>
        <v/>
      </c>
    </row>
    <row r="924" spans="22:31" ht="18" customHeight="1">
      <c r="V924">
        <f>IF(A924="",0,IF(COUNTIF($A$3:A924,A924)=1,1,0))</f>
        <v>0</v>
      </c>
      <c r="W924">
        <f t="shared" si="90"/>
        <v>0</v>
      </c>
      <c r="X924" t="str">
        <f t="shared" si="91"/>
        <v/>
      </c>
      <c r="Y924">
        <f>IF(X924="",0,IF(COUNTIF($X$3:X924,X924)=1,1,0))</f>
        <v>0</v>
      </c>
      <c r="Z924">
        <f>IF(V924&lt;&gt;1,0,IF(X924="",0,IF(COUNTIF($X$3:X923,X924)&gt;0,1,0)))</f>
        <v>0</v>
      </c>
      <c r="AA924">
        <f t="shared" si="88"/>
        <v>0</v>
      </c>
      <c r="AB924">
        <f t="shared" si="89"/>
        <v>0</v>
      </c>
      <c r="AC924">
        <f>IF(I924="",0,L924*IFERROR(INDEX(کاتالوگ_محصولات!$G$4:$G$303,MATCH(I924,کاتالوگ_محصولات!$A$4:$A$303,0)),0))</f>
        <v>0</v>
      </c>
      <c r="AD924">
        <f t="shared" si="92"/>
        <v>0</v>
      </c>
      <c r="AE924" t="str">
        <f t="shared" si="93"/>
        <v/>
      </c>
    </row>
    <row r="925" spans="22:31" ht="18" customHeight="1">
      <c r="V925">
        <f>IF(A925="",0,IF(COUNTIF($A$3:A925,A925)=1,1,0))</f>
        <v>0</v>
      </c>
      <c r="W925">
        <f t="shared" si="90"/>
        <v>0</v>
      </c>
      <c r="X925" t="str">
        <f t="shared" si="91"/>
        <v/>
      </c>
      <c r="Y925">
        <f>IF(X925="",0,IF(COUNTIF($X$3:X925,X925)=1,1,0))</f>
        <v>0</v>
      </c>
      <c r="Z925">
        <f>IF(V925&lt;&gt;1,0,IF(X925="",0,IF(COUNTIF($X$3:X924,X925)&gt;0,1,0)))</f>
        <v>0</v>
      </c>
      <c r="AA925">
        <f t="shared" si="88"/>
        <v>0</v>
      </c>
      <c r="AB925">
        <f t="shared" si="89"/>
        <v>0</v>
      </c>
      <c r="AC925">
        <f>IF(I925="",0,L925*IFERROR(INDEX(کاتالوگ_محصولات!$G$4:$G$303,MATCH(I925,کاتالوگ_محصولات!$A$4:$A$303,0)),0))</f>
        <v>0</v>
      </c>
      <c r="AD925">
        <f t="shared" si="92"/>
        <v>0</v>
      </c>
      <c r="AE925" t="str">
        <f t="shared" si="93"/>
        <v/>
      </c>
    </row>
    <row r="926" spans="22:31" ht="18" customHeight="1">
      <c r="V926">
        <f>IF(A926="",0,IF(COUNTIF($A$3:A926,A926)=1,1,0))</f>
        <v>0</v>
      </c>
      <c r="W926">
        <f t="shared" si="90"/>
        <v>0</v>
      </c>
      <c r="X926" t="str">
        <f t="shared" si="91"/>
        <v/>
      </c>
      <c r="Y926">
        <f>IF(X926="",0,IF(COUNTIF($X$3:X926,X926)=1,1,0))</f>
        <v>0</v>
      </c>
      <c r="Z926">
        <f>IF(V926&lt;&gt;1,0,IF(X926="",0,IF(COUNTIF($X$3:X925,X926)&gt;0,1,0)))</f>
        <v>0</v>
      </c>
      <c r="AA926">
        <f t="shared" si="88"/>
        <v>0</v>
      </c>
      <c r="AB926">
        <f t="shared" si="89"/>
        <v>0</v>
      </c>
      <c r="AC926">
        <f>IF(I926="",0,L926*IFERROR(INDEX(کاتالوگ_محصولات!$G$4:$G$303,MATCH(I926,کاتالوگ_محصولات!$A$4:$A$303,0)),0))</f>
        <v>0</v>
      </c>
      <c r="AD926">
        <f t="shared" si="92"/>
        <v>0</v>
      </c>
      <c r="AE926" t="str">
        <f t="shared" si="93"/>
        <v/>
      </c>
    </row>
    <row r="927" spans="22:31" ht="18" customHeight="1">
      <c r="V927">
        <f>IF(A927="",0,IF(COUNTIF($A$3:A927,A927)=1,1,0))</f>
        <v>0</v>
      </c>
      <c r="W927">
        <f t="shared" si="90"/>
        <v>0</v>
      </c>
      <c r="X927" t="str">
        <f t="shared" si="91"/>
        <v/>
      </c>
      <c r="Y927">
        <f>IF(X927="",0,IF(COUNTIF($X$3:X927,X927)=1,1,0))</f>
        <v>0</v>
      </c>
      <c r="Z927">
        <f>IF(V927&lt;&gt;1,0,IF(X927="",0,IF(COUNTIF($X$3:X926,X927)&gt;0,1,0)))</f>
        <v>0</v>
      </c>
      <c r="AA927">
        <f t="shared" si="88"/>
        <v>0</v>
      </c>
      <c r="AB927">
        <f t="shared" si="89"/>
        <v>0</v>
      </c>
      <c r="AC927">
        <f>IF(I927="",0,L927*IFERROR(INDEX(کاتالوگ_محصولات!$G$4:$G$303,MATCH(I927,کاتالوگ_محصولات!$A$4:$A$303,0)),0))</f>
        <v>0</v>
      </c>
      <c r="AD927">
        <f t="shared" si="92"/>
        <v>0</v>
      </c>
      <c r="AE927" t="str">
        <f t="shared" si="93"/>
        <v/>
      </c>
    </row>
    <row r="928" spans="22:31" ht="18" customHeight="1">
      <c r="V928">
        <f>IF(A928="",0,IF(COUNTIF($A$3:A928,A928)=1,1,0))</f>
        <v>0</v>
      </c>
      <c r="W928">
        <f t="shared" si="90"/>
        <v>0</v>
      </c>
      <c r="X928" t="str">
        <f t="shared" si="91"/>
        <v/>
      </c>
      <c r="Y928">
        <f>IF(X928="",0,IF(COUNTIF($X$3:X928,X928)=1,1,0))</f>
        <v>0</v>
      </c>
      <c r="Z928">
        <f>IF(V928&lt;&gt;1,0,IF(X928="",0,IF(COUNTIF($X$3:X927,X928)&gt;0,1,0)))</f>
        <v>0</v>
      </c>
      <c r="AA928">
        <f t="shared" si="88"/>
        <v>0</v>
      </c>
      <c r="AB928">
        <f t="shared" si="89"/>
        <v>0</v>
      </c>
      <c r="AC928">
        <f>IF(I928="",0,L928*IFERROR(INDEX(کاتالوگ_محصولات!$G$4:$G$303,MATCH(I928,کاتالوگ_محصولات!$A$4:$A$303,0)),0))</f>
        <v>0</v>
      </c>
      <c r="AD928">
        <f t="shared" si="92"/>
        <v>0</v>
      </c>
      <c r="AE928" t="str">
        <f t="shared" si="93"/>
        <v/>
      </c>
    </row>
    <row r="929" spans="22:31" ht="18" customHeight="1">
      <c r="V929">
        <f>IF(A929="",0,IF(COUNTIF($A$3:A929,A929)=1,1,0))</f>
        <v>0</v>
      </c>
      <c r="W929">
        <f t="shared" si="90"/>
        <v>0</v>
      </c>
      <c r="X929" t="str">
        <f t="shared" si="91"/>
        <v/>
      </c>
      <c r="Y929">
        <f>IF(X929="",0,IF(COUNTIF($X$3:X929,X929)=1,1,0))</f>
        <v>0</v>
      </c>
      <c r="Z929">
        <f>IF(V929&lt;&gt;1,0,IF(X929="",0,IF(COUNTIF($X$3:X928,X929)&gt;0,1,0)))</f>
        <v>0</v>
      </c>
      <c r="AA929">
        <f t="shared" si="88"/>
        <v>0</v>
      </c>
      <c r="AB929">
        <f t="shared" si="89"/>
        <v>0</v>
      </c>
      <c r="AC929">
        <f>IF(I929="",0,L929*IFERROR(INDEX(کاتالوگ_محصولات!$G$4:$G$303,MATCH(I929,کاتالوگ_محصولات!$A$4:$A$303,0)),0))</f>
        <v>0</v>
      </c>
      <c r="AD929">
        <f t="shared" si="92"/>
        <v>0</v>
      </c>
      <c r="AE929" t="str">
        <f t="shared" si="93"/>
        <v/>
      </c>
    </row>
    <row r="930" spans="22:31" ht="18" customHeight="1">
      <c r="V930">
        <f>IF(A930="",0,IF(COUNTIF($A$3:A930,A930)=1,1,0))</f>
        <v>0</v>
      </c>
      <c r="W930">
        <f t="shared" si="90"/>
        <v>0</v>
      </c>
      <c r="X930" t="str">
        <f t="shared" si="91"/>
        <v/>
      </c>
      <c r="Y930">
        <f>IF(X930="",0,IF(COUNTIF($X$3:X930,X930)=1,1,0))</f>
        <v>0</v>
      </c>
      <c r="Z930">
        <f>IF(V930&lt;&gt;1,0,IF(X930="",0,IF(COUNTIF($X$3:X929,X930)&gt;0,1,0)))</f>
        <v>0</v>
      </c>
      <c r="AA930">
        <f t="shared" si="88"/>
        <v>0</v>
      </c>
      <c r="AB930">
        <f t="shared" si="89"/>
        <v>0</v>
      </c>
      <c r="AC930">
        <f>IF(I930="",0,L930*IFERROR(INDEX(کاتالوگ_محصولات!$G$4:$G$303,MATCH(I930,کاتالوگ_محصولات!$A$4:$A$303,0)),0))</f>
        <v>0</v>
      </c>
      <c r="AD930">
        <f t="shared" si="92"/>
        <v>0</v>
      </c>
      <c r="AE930" t="str">
        <f t="shared" si="93"/>
        <v/>
      </c>
    </row>
    <row r="931" spans="22:31" ht="18" customHeight="1">
      <c r="V931">
        <f>IF(A931="",0,IF(COUNTIF($A$3:A931,A931)=1,1,0))</f>
        <v>0</v>
      </c>
      <c r="W931">
        <f t="shared" si="90"/>
        <v>0</v>
      </c>
      <c r="X931" t="str">
        <f t="shared" si="91"/>
        <v/>
      </c>
      <c r="Y931">
        <f>IF(X931="",0,IF(COUNTIF($X$3:X931,X931)=1,1,0))</f>
        <v>0</v>
      </c>
      <c r="Z931">
        <f>IF(V931&lt;&gt;1,0,IF(X931="",0,IF(COUNTIF($X$3:X930,X931)&gt;0,1,0)))</f>
        <v>0</v>
      </c>
      <c r="AA931">
        <f t="shared" si="88"/>
        <v>0</v>
      </c>
      <c r="AB931">
        <f t="shared" si="89"/>
        <v>0</v>
      </c>
      <c r="AC931">
        <f>IF(I931="",0,L931*IFERROR(INDEX(کاتالوگ_محصولات!$G$4:$G$303,MATCH(I931,کاتالوگ_محصولات!$A$4:$A$303,0)),0))</f>
        <v>0</v>
      </c>
      <c r="AD931">
        <f t="shared" si="92"/>
        <v>0</v>
      </c>
      <c r="AE931" t="str">
        <f t="shared" si="93"/>
        <v/>
      </c>
    </row>
    <row r="932" spans="22:31" ht="18" customHeight="1">
      <c r="V932">
        <f>IF(A932="",0,IF(COUNTIF($A$3:A932,A932)=1,1,0))</f>
        <v>0</v>
      </c>
      <c r="W932">
        <f t="shared" si="90"/>
        <v>0</v>
      </c>
      <c r="X932" t="str">
        <f t="shared" si="91"/>
        <v/>
      </c>
      <c r="Y932">
        <f>IF(X932="",0,IF(COUNTIF($X$3:X932,X932)=1,1,0))</f>
        <v>0</v>
      </c>
      <c r="Z932">
        <f>IF(V932&lt;&gt;1,0,IF(X932="",0,IF(COUNTIF($X$3:X931,X932)&gt;0,1,0)))</f>
        <v>0</v>
      </c>
      <c r="AA932">
        <f t="shared" si="88"/>
        <v>0</v>
      </c>
      <c r="AB932">
        <f t="shared" si="89"/>
        <v>0</v>
      </c>
      <c r="AC932">
        <f>IF(I932="",0,L932*IFERROR(INDEX(کاتالوگ_محصولات!$G$4:$G$303,MATCH(I932,کاتالوگ_محصولات!$A$4:$A$303,0)),0))</f>
        <v>0</v>
      </c>
      <c r="AD932">
        <f t="shared" si="92"/>
        <v>0</v>
      </c>
      <c r="AE932" t="str">
        <f t="shared" si="93"/>
        <v/>
      </c>
    </row>
    <row r="933" spans="22:31" ht="18" customHeight="1">
      <c r="V933">
        <f>IF(A933="",0,IF(COUNTIF($A$3:A933,A933)=1,1,0))</f>
        <v>0</v>
      </c>
      <c r="W933">
        <f t="shared" si="90"/>
        <v>0</v>
      </c>
      <c r="X933" t="str">
        <f t="shared" si="91"/>
        <v/>
      </c>
      <c r="Y933">
        <f>IF(X933="",0,IF(COUNTIF($X$3:X933,X933)=1,1,0))</f>
        <v>0</v>
      </c>
      <c r="Z933">
        <f>IF(V933&lt;&gt;1,0,IF(X933="",0,IF(COUNTIF($X$3:X932,X933)&gt;0,1,0)))</f>
        <v>0</v>
      </c>
      <c r="AA933">
        <f t="shared" si="88"/>
        <v>0</v>
      </c>
      <c r="AB933">
        <f t="shared" si="89"/>
        <v>0</v>
      </c>
      <c r="AC933">
        <f>IF(I933="",0,L933*IFERROR(INDEX(کاتالوگ_محصولات!$G$4:$G$303,MATCH(I933,کاتالوگ_محصولات!$A$4:$A$303,0)),0))</f>
        <v>0</v>
      </c>
      <c r="AD933">
        <f t="shared" si="92"/>
        <v>0</v>
      </c>
      <c r="AE933" t="str">
        <f t="shared" si="93"/>
        <v/>
      </c>
    </row>
    <row r="934" spans="22:31" ht="18" customHeight="1">
      <c r="V934">
        <f>IF(A934="",0,IF(COUNTIF($A$3:A934,A934)=1,1,0))</f>
        <v>0</v>
      </c>
      <c r="W934">
        <f t="shared" si="90"/>
        <v>0</v>
      </c>
      <c r="X934" t="str">
        <f t="shared" si="91"/>
        <v/>
      </c>
      <c r="Y934">
        <f>IF(X934="",0,IF(COUNTIF($X$3:X934,X934)=1,1,0))</f>
        <v>0</v>
      </c>
      <c r="Z934">
        <f>IF(V934&lt;&gt;1,0,IF(X934="",0,IF(COUNTIF($X$3:X933,X934)&gt;0,1,0)))</f>
        <v>0</v>
      </c>
      <c r="AA934">
        <f t="shared" si="88"/>
        <v>0</v>
      </c>
      <c r="AB934">
        <f t="shared" si="89"/>
        <v>0</v>
      </c>
      <c r="AC934">
        <f>IF(I934="",0,L934*IFERROR(INDEX(کاتالوگ_محصولات!$G$4:$G$303,MATCH(I934,کاتالوگ_محصولات!$A$4:$A$303,0)),0))</f>
        <v>0</v>
      </c>
      <c r="AD934">
        <f t="shared" si="92"/>
        <v>0</v>
      </c>
      <c r="AE934" t="str">
        <f t="shared" si="93"/>
        <v/>
      </c>
    </row>
    <row r="935" spans="22:31" ht="18" customHeight="1">
      <c r="V935">
        <f>IF(A935="",0,IF(COUNTIF($A$3:A935,A935)=1,1,0))</f>
        <v>0</v>
      </c>
      <c r="W935">
        <f t="shared" si="90"/>
        <v>0</v>
      </c>
      <c r="X935" t="str">
        <f t="shared" si="91"/>
        <v/>
      </c>
      <c r="Y935">
        <f>IF(X935="",0,IF(COUNTIF($X$3:X935,X935)=1,1,0))</f>
        <v>0</v>
      </c>
      <c r="Z935">
        <f>IF(V935&lt;&gt;1,0,IF(X935="",0,IF(COUNTIF($X$3:X934,X935)&gt;0,1,0)))</f>
        <v>0</v>
      </c>
      <c r="AA935">
        <f t="shared" si="88"/>
        <v>0</v>
      </c>
      <c r="AB935">
        <f t="shared" si="89"/>
        <v>0</v>
      </c>
      <c r="AC935">
        <f>IF(I935="",0,L935*IFERROR(INDEX(کاتالوگ_محصولات!$G$4:$G$303,MATCH(I935,کاتالوگ_محصولات!$A$4:$A$303,0)),0))</f>
        <v>0</v>
      </c>
      <c r="AD935">
        <f t="shared" si="92"/>
        <v>0</v>
      </c>
      <c r="AE935" t="str">
        <f t="shared" si="93"/>
        <v/>
      </c>
    </row>
    <row r="936" spans="22:31" ht="18" customHeight="1">
      <c r="V936">
        <f>IF(A936="",0,IF(COUNTIF($A$3:A936,A936)=1,1,0))</f>
        <v>0</v>
      </c>
      <c r="W936">
        <f t="shared" si="90"/>
        <v>0</v>
      </c>
      <c r="X936" t="str">
        <f t="shared" si="91"/>
        <v/>
      </c>
      <c r="Y936">
        <f>IF(X936="",0,IF(COUNTIF($X$3:X936,X936)=1,1,0))</f>
        <v>0</v>
      </c>
      <c r="Z936">
        <f>IF(V936&lt;&gt;1,0,IF(X936="",0,IF(COUNTIF($X$3:X935,X936)&gt;0,1,0)))</f>
        <v>0</v>
      </c>
      <c r="AA936">
        <f t="shared" si="88"/>
        <v>0</v>
      </c>
      <c r="AB936">
        <f t="shared" si="89"/>
        <v>0</v>
      </c>
      <c r="AC936">
        <f>IF(I936="",0,L936*IFERROR(INDEX(کاتالوگ_محصولات!$G$4:$G$303,MATCH(I936,کاتالوگ_محصولات!$A$4:$A$303,0)),0))</f>
        <v>0</v>
      </c>
      <c r="AD936">
        <f t="shared" si="92"/>
        <v>0</v>
      </c>
      <c r="AE936" t="str">
        <f t="shared" si="93"/>
        <v/>
      </c>
    </row>
    <row r="937" spans="22:31" ht="18" customHeight="1">
      <c r="V937">
        <f>IF(A937="",0,IF(COUNTIF($A$3:A937,A937)=1,1,0))</f>
        <v>0</v>
      </c>
      <c r="W937">
        <f t="shared" si="90"/>
        <v>0</v>
      </c>
      <c r="X937" t="str">
        <f t="shared" si="91"/>
        <v/>
      </c>
      <c r="Y937">
        <f>IF(X937="",0,IF(COUNTIF($X$3:X937,X937)=1,1,0))</f>
        <v>0</v>
      </c>
      <c r="Z937">
        <f>IF(V937&lt;&gt;1,0,IF(X937="",0,IF(COUNTIF($X$3:X936,X937)&gt;0,1,0)))</f>
        <v>0</v>
      </c>
      <c r="AA937">
        <f t="shared" si="88"/>
        <v>0</v>
      </c>
      <c r="AB937">
        <f t="shared" si="89"/>
        <v>0</v>
      </c>
      <c r="AC937">
        <f>IF(I937="",0,L937*IFERROR(INDEX(کاتالوگ_محصولات!$G$4:$G$303,MATCH(I937,کاتالوگ_محصولات!$A$4:$A$303,0)),0))</f>
        <v>0</v>
      </c>
      <c r="AD937">
        <f t="shared" si="92"/>
        <v>0</v>
      </c>
      <c r="AE937" t="str">
        <f t="shared" si="93"/>
        <v/>
      </c>
    </row>
    <row r="938" spans="22:31" ht="18" customHeight="1">
      <c r="V938">
        <f>IF(A938="",0,IF(COUNTIF($A$3:A938,A938)=1,1,0))</f>
        <v>0</v>
      </c>
      <c r="W938">
        <f t="shared" si="90"/>
        <v>0</v>
      </c>
      <c r="X938" t="str">
        <f t="shared" si="91"/>
        <v/>
      </c>
      <c r="Y938">
        <f>IF(X938="",0,IF(COUNTIF($X$3:X938,X938)=1,1,0))</f>
        <v>0</v>
      </c>
      <c r="Z938">
        <f>IF(V938&lt;&gt;1,0,IF(X938="",0,IF(COUNTIF($X$3:X937,X938)&gt;0,1,0)))</f>
        <v>0</v>
      </c>
      <c r="AA938">
        <f t="shared" si="88"/>
        <v>0</v>
      </c>
      <c r="AB938">
        <f t="shared" si="89"/>
        <v>0</v>
      </c>
      <c r="AC938">
        <f>IF(I938="",0,L938*IFERROR(INDEX(کاتالوگ_محصولات!$G$4:$G$303,MATCH(I938,کاتالوگ_محصولات!$A$4:$A$303,0)),0))</f>
        <v>0</v>
      </c>
      <c r="AD938">
        <f t="shared" si="92"/>
        <v>0</v>
      </c>
      <c r="AE938" t="str">
        <f t="shared" si="93"/>
        <v/>
      </c>
    </row>
    <row r="939" spans="22:31" ht="18" customHeight="1">
      <c r="V939">
        <f>IF(A939="",0,IF(COUNTIF($A$3:A939,A939)=1,1,0))</f>
        <v>0</v>
      </c>
      <c r="W939">
        <f t="shared" si="90"/>
        <v>0</v>
      </c>
      <c r="X939" t="str">
        <f t="shared" si="91"/>
        <v/>
      </c>
      <c r="Y939">
        <f>IF(X939="",0,IF(COUNTIF($X$3:X939,X939)=1,1,0))</f>
        <v>0</v>
      </c>
      <c r="Z939">
        <f>IF(V939&lt;&gt;1,0,IF(X939="",0,IF(COUNTIF($X$3:X938,X939)&gt;0,1,0)))</f>
        <v>0</v>
      </c>
      <c r="AA939">
        <f t="shared" si="88"/>
        <v>0</v>
      </c>
      <c r="AB939">
        <f t="shared" si="89"/>
        <v>0</v>
      </c>
      <c r="AC939">
        <f>IF(I939="",0,L939*IFERROR(INDEX(کاتالوگ_محصولات!$G$4:$G$303,MATCH(I939,کاتالوگ_محصولات!$A$4:$A$303,0)),0))</f>
        <v>0</v>
      </c>
      <c r="AD939">
        <f t="shared" si="92"/>
        <v>0</v>
      </c>
      <c r="AE939" t="str">
        <f t="shared" si="93"/>
        <v/>
      </c>
    </row>
    <row r="940" spans="22:31" ht="18" customHeight="1">
      <c r="V940">
        <f>IF(A940="",0,IF(COUNTIF($A$3:A940,A940)=1,1,0))</f>
        <v>0</v>
      </c>
      <c r="W940">
        <f t="shared" si="90"/>
        <v>0</v>
      </c>
      <c r="X940" t="str">
        <f t="shared" si="91"/>
        <v/>
      </c>
      <c r="Y940">
        <f>IF(X940="",0,IF(COUNTIF($X$3:X940,X940)=1,1,0))</f>
        <v>0</v>
      </c>
      <c r="Z940">
        <f>IF(V940&lt;&gt;1,0,IF(X940="",0,IF(COUNTIF($X$3:X939,X940)&gt;0,1,0)))</f>
        <v>0</v>
      </c>
      <c r="AA940">
        <f t="shared" si="88"/>
        <v>0</v>
      </c>
      <c r="AB940">
        <f t="shared" si="89"/>
        <v>0</v>
      </c>
      <c r="AC940">
        <f>IF(I940="",0,L940*IFERROR(INDEX(کاتالوگ_محصولات!$G$4:$G$303,MATCH(I940,کاتالوگ_محصولات!$A$4:$A$303,0)),0))</f>
        <v>0</v>
      </c>
      <c r="AD940">
        <f t="shared" si="92"/>
        <v>0</v>
      </c>
      <c r="AE940" t="str">
        <f t="shared" si="93"/>
        <v/>
      </c>
    </row>
    <row r="941" spans="22:31" ht="18" customHeight="1">
      <c r="V941">
        <f>IF(A941="",0,IF(COUNTIF($A$3:A941,A941)=1,1,0))</f>
        <v>0</v>
      </c>
      <c r="W941">
        <f t="shared" si="90"/>
        <v>0</v>
      </c>
      <c r="X941" t="str">
        <f t="shared" si="91"/>
        <v/>
      </c>
      <c r="Y941">
        <f>IF(X941="",0,IF(COUNTIF($X$3:X941,X941)=1,1,0))</f>
        <v>0</v>
      </c>
      <c r="Z941">
        <f>IF(V941&lt;&gt;1,0,IF(X941="",0,IF(COUNTIF($X$3:X940,X941)&gt;0,1,0)))</f>
        <v>0</v>
      </c>
      <c r="AA941">
        <f t="shared" si="88"/>
        <v>0</v>
      </c>
      <c r="AB941">
        <f t="shared" si="89"/>
        <v>0</v>
      </c>
      <c r="AC941">
        <f>IF(I941="",0,L941*IFERROR(INDEX(کاتالوگ_محصولات!$G$4:$G$303,MATCH(I941,کاتالوگ_محصولات!$A$4:$A$303,0)),0))</f>
        <v>0</v>
      </c>
      <c r="AD941">
        <f t="shared" si="92"/>
        <v>0</v>
      </c>
      <c r="AE941" t="str">
        <f t="shared" si="93"/>
        <v/>
      </c>
    </row>
    <row r="942" spans="22:31" ht="18" customHeight="1">
      <c r="V942">
        <f>IF(A942="",0,IF(COUNTIF($A$3:A942,A942)=1,1,0))</f>
        <v>0</v>
      </c>
      <c r="W942">
        <f t="shared" si="90"/>
        <v>0</v>
      </c>
      <c r="X942" t="str">
        <f t="shared" si="91"/>
        <v/>
      </c>
      <c r="Y942">
        <f>IF(X942="",0,IF(COUNTIF($X$3:X942,X942)=1,1,0))</f>
        <v>0</v>
      </c>
      <c r="Z942">
        <f>IF(V942&lt;&gt;1,0,IF(X942="",0,IF(COUNTIF($X$3:X941,X942)&gt;0,1,0)))</f>
        <v>0</v>
      </c>
      <c r="AA942">
        <f t="shared" si="88"/>
        <v>0</v>
      </c>
      <c r="AB942">
        <f t="shared" si="89"/>
        <v>0</v>
      </c>
      <c r="AC942">
        <f>IF(I942="",0,L942*IFERROR(INDEX(کاتالوگ_محصولات!$G$4:$G$303,MATCH(I942,کاتالوگ_محصولات!$A$4:$A$303,0)),0))</f>
        <v>0</v>
      </c>
      <c r="AD942">
        <f t="shared" si="92"/>
        <v>0</v>
      </c>
      <c r="AE942" t="str">
        <f t="shared" si="93"/>
        <v/>
      </c>
    </row>
    <row r="943" spans="22:31" ht="18" customHeight="1">
      <c r="V943">
        <f>IF(A943="",0,IF(COUNTIF($A$3:A943,A943)=1,1,0))</f>
        <v>0</v>
      </c>
      <c r="W943">
        <f t="shared" si="90"/>
        <v>0</v>
      </c>
      <c r="X943" t="str">
        <f t="shared" si="91"/>
        <v/>
      </c>
      <c r="Y943">
        <f>IF(X943="",0,IF(COUNTIF($X$3:X943,X943)=1,1,0))</f>
        <v>0</v>
      </c>
      <c r="Z943">
        <f>IF(V943&lt;&gt;1,0,IF(X943="",0,IF(COUNTIF($X$3:X942,X943)&gt;0,1,0)))</f>
        <v>0</v>
      </c>
      <c r="AA943">
        <f t="shared" si="88"/>
        <v>0</v>
      </c>
      <c r="AB943">
        <f t="shared" si="89"/>
        <v>0</v>
      </c>
      <c r="AC943">
        <f>IF(I943="",0,L943*IFERROR(INDEX(کاتالوگ_محصولات!$G$4:$G$303,MATCH(I943,کاتالوگ_محصولات!$A$4:$A$303,0)),0))</f>
        <v>0</v>
      </c>
      <c r="AD943">
        <f t="shared" si="92"/>
        <v>0</v>
      </c>
      <c r="AE943" t="str">
        <f t="shared" si="93"/>
        <v/>
      </c>
    </row>
    <row r="944" spans="22:31" ht="18" customHeight="1">
      <c r="V944">
        <f>IF(A944="",0,IF(COUNTIF($A$3:A944,A944)=1,1,0))</f>
        <v>0</v>
      </c>
      <c r="W944">
        <f t="shared" si="90"/>
        <v>0</v>
      </c>
      <c r="X944" t="str">
        <f t="shared" si="91"/>
        <v/>
      </c>
      <c r="Y944">
        <f>IF(X944="",0,IF(COUNTIF($X$3:X944,X944)=1,1,0))</f>
        <v>0</v>
      </c>
      <c r="Z944">
        <f>IF(V944&lt;&gt;1,0,IF(X944="",0,IF(COUNTIF($X$3:X943,X944)&gt;0,1,0)))</f>
        <v>0</v>
      </c>
      <c r="AA944">
        <f t="shared" si="88"/>
        <v>0</v>
      </c>
      <c r="AB944">
        <f t="shared" si="89"/>
        <v>0</v>
      </c>
      <c r="AC944">
        <f>IF(I944="",0,L944*IFERROR(INDEX(کاتالوگ_محصولات!$G$4:$G$303,MATCH(I944,کاتالوگ_محصولات!$A$4:$A$303,0)),0))</f>
        <v>0</v>
      </c>
      <c r="AD944">
        <f t="shared" si="92"/>
        <v>0</v>
      </c>
      <c r="AE944" t="str">
        <f t="shared" si="93"/>
        <v/>
      </c>
    </row>
    <row r="945" spans="22:31" ht="18" customHeight="1">
      <c r="V945">
        <f>IF(A945="",0,IF(COUNTIF($A$3:A945,A945)=1,1,0))</f>
        <v>0</v>
      </c>
      <c r="W945">
        <f t="shared" si="90"/>
        <v>0</v>
      </c>
      <c r="X945" t="str">
        <f t="shared" si="91"/>
        <v/>
      </c>
      <c r="Y945">
        <f>IF(X945="",0,IF(COUNTIF($X$3:X945,X945)=1,1,0))</f>
        <v>0</v>
      </c>
      <c r="Z945">
        <f>IF(V945&lt;&gt;1,0,IF(X945="",0,IF(COUNTIF($X$3:X944,X945)&gt;0,1,0)))</f>
        <v>0</v>
      </c>
      <c r="AA945">
        <f t="shared" si="88"/>
        <v>0</v>
      </c>
      <c r="AB945">
        <f t="shared" si="89"/>
        <v>0</v>
      </c>
      <c r="AC945">
        <f>IF(I945="",0,L945*IFERROR(INDEX(کاتالوگ_محصولات!$G$4:$G$303,MATCH(I945,کاتالوگ_محصولات!$A$4:$A$303,0)),0))</f>
        <v>0</v>
      </c>
      <c r="AD945">
        <f t="shared" si="92"/>
        <v>0</v>
      </c>
      <c r="AE945" t="str">
        <f t="shared" si="93"/>
        <v/>
      </c>
    </row>
    <row r="946" spans="22:31" ht="18" customHeight="1">
      <c r="V946">
        <f>IF(A946="",0,IF(COUNTIF($A$3:A946,A946)=1,1,0))</f>
        <v>0</v>
      </c>
      <c r="W946">
        <f t="shared" si="90"/>
        <v>0</v>
      </c>
      <c r="X946" t="str">
        <f t="shared" si="91"/>
        <v/>
      </c>
      <c r="Y946">
        <f>IF(X946="",0,IF(COUNTIF($X$3:X946,X946)=1,1,0))</f>
        <v>0</v>
      </c>
      <c r="Z946">
        <f>IF(V946&lt;&gt;1,0,IF(X946="",0,IF(COUNTIF($X$3:X945,X946)&gt;0,1,0)))</f>
        <v>0</v>
      </c>
      <c r="AA946">
        <f t="shared" si="88"/>
        <v>0</v>
      </c>
      <c r="AB946">
        <f t="shared" si="89"/>
        <v>0</v>
      </c>
      <c r="AC946">
        <f>IF(I946="",0,L946*IFERROR(INDEX(کاتالوگ_محصولات!$G$4:$G$303,MATCH(I946,کاتالوگ_محصولات!$A$4:$A$303,0)),0))</f>
        <v>0</v>
      </c>
      <c r="AD946">
        <f t="shared" si="92"/>
        <v>0</v>
      </c>
      <c r="AE946" t="str">
        <f t="shared" si="93"/>
        <v/>
      </c>
    </row>
    <row r="947" spans="22:31" ht="18" customHeight="1">
      <c r="V947">
        <f>IF(A947="",0,IF(COUNTIF($A$3:A947,A947)=1,1,0))</f>
        <v>0</v>
      </c>
      <c r="W947">
        <f t="shared" si="90"/>
        <v>0</v>
      </c>
      <c r="X947" t="str">
        <f t="shared" si="91"/>
        <v/>
      </c>
      <c r="Y947">
        <f>IF(X947="",0,IF(COUNTIF($X$3:X947,X947)=1,1,0))</f>
        <v>0</v>
      </c>
      <c r="Z947">
        <f>IF(V947&lt;&gt;1,0,IF(X947="",0,IF(COUNTIF($X$3:X946,X947)&gt;0,1,0)))</f>
        <v>0</v>
      </c>
      <c r="AA947">
        <f t="shared" si="88"/>
        <v>0</v>
      </c>
      <c r="AB947">
        <f t="shared" si="89"/>
        <v>0</v>
      </c>
      <c r="AC947">
        <f>IF(I947="",0,L947*IFERROR(INDEX(کاتالوگ_محصولات!$G$4:$G$303,MATCH(I947,کاتالوگ_محصولات!$A$4:$A$303,0)),0))</f>
        <v>0</v>
      </c>
      <c r="AD947">
        <f t="shared" si="92"/>
        <v>0</v>
      </c>
      <c r="AE947" t="str">
        <f t="shared" si="93"/>
        <v/>
      </c>
    </row>
    <row r="948" spans="22:31" ht="18" customHeight="1">
      <c r="V948">
        <f>IF(A948="",0,IF(COUNTIF($A$3:A948,A948)=1,1,0))</f>
        <v>0</v>
      </c>
      <c r="W948">
        <f t="shared" si="90"/>
        <v>0</v>
      </c>
      <c r="X948" t="str">
        <f t="shared" si="91"/>
        <v/>
      </c>
      <c r="Y948">
        <f>IF(X948="",0,IF(COUNTIF($X$3:X948,X948)=1,1,0))</f>
        <v>0</v>
      </c>
      <c r="Z948">
        <f>IF(V948&lt;&gt;1,0,IF(X948="",0,IF(COUNTIF($X$3:X947,X948)&gt;0,1,0)))</f>
        <v>0</v>
      </c>
      <c r="AA948">
        <f t="shared" si="88"/>
        <v>0</v>
      </c>
      <c r="AB948">
        <f t="shared" si="89"/>
        <v>0</v>
      </c>
      <c r="AC948">
        <f>IF(I948="",0,L948*IFERROR(INDEX(کاتالوگ_محصولات!$G$4:$G$303,MATCH(I948,کاتالوگ_محصولات!$A$4:$A$303,0)),0))</f>
        <v>0</v>
      </c>
      <c r="AD948">
        <f t="shared" si="92"/>
        <v>0</v>
      </c>
      <c r="AE948" t="str">
        <f t="shared" si="93"/>
        <v/>
      </c>
    </row>
    <row r="949" spans="22:31" ht="18" customHeight="1">
      <c r="V949">
        <f>IF(A949="",0,IF(COUNTIF($A$3:A949,A949)=1,1,0))</f>
        <v>0</v>
      </c>
      <c r="W949">
        <f t="shared" si="90"/>
        <v>0</v>
      </c>
      <c r="X949" t="str">
        <f t="shared" si="91"/>
        <v/>
      </c>
      <c r="Y949">
        <f>IF(X949="",0,IF(COUNTIF($X$3:X949,X949)=1,1,0))</f>
        <v>0</v>
      </c>
      <c r="Z949">
        <f>IF(V949&lt;&gt;1,0,IF(X949="",0,IF(COUNTIF($X$3:X948,X949)&gt;0,1,0)))</f>
        <v>0</v>
      </c>
      <c r="AA949">
        <f t="shared" si="88"/>
        <v>0</v>
      </c>
      <c r="AB949">
        <f t="shared" si="89"/>
        <v>0</v>
      </c>
      <c r="AC949">
        <f>IF(I949="",0,L949*IFERROR(INDEX(کاتالوگ_محصولات!$G$4:$G$303,MATCH(I949,کاتالوگ_محصولات!$A$4:$A$303,0)),0))</f>
        <v>0</v>
      </c>
      <c r="AD949">
        <f t="shared" si="92"/>
        <v>0</v>
      </c>
      <c r="AE949" t="str">
        <f t="shared" si="93"/>
        <v/>
      </c>
    </row>
    <row r="950" spans="22:31" ht="18" customHeight="1">
      <c r="V950">
        <f>IF(A950="",0,IF(COUNTIF($A$3:A950,A950)=1,1,0))</f>
        <v>0</v>
      </c>
      <c r="W950">
        <f t="shared" si="90"/>
        <v>0</v>
      </c>
      <c r="X950" t="str">
        <f t="shared" si="91"/>
        <v/>
      </c>
      <c r="Y950">
        <f>IF(X950="",0,IF(COUNTIF($X$3:X950,X950)=1,1,0))</f>
        <v>0</v>
      </c>
      <c r="Z950">
        <f>IF(V950&lt;&gt;1,0,IF(X950="",0,IF(COUNTIF($X$3:X949,X950)&gt;0,1,0)))</f>
        <v>0</v>
      </c>
      <c r="AA950">
        <f t="shared" si="88"/>
        <v>0</v>
      </c>
      <c r="AB950">
        <f t="shared" si="89"/>
        <v>0</v>
      </c>
      <c r="AC950">
        <f>IF(I950="",0,L950*IFERROR(INDEX(کاتالوگ_محصولات!$G$4:$G$303,MATCH(I950,کاتالوگ_محصولات!$A$4:$A$303,0)),0))</f>
        <v>0</v>
      </c>
      <c r="AD950">
        <f t="shared" si="92"/>
        <v>0</v>
      </c>
      <c r="AE950" t="str">
        <f t="shared" si="93"/>
        <v/>
      </c>
    </row>
    <row r="951" spans="22:31" ht="18" customHeight="1">
      <c r="V951">
        <f>IF(A951="",0,IF(COUNTIF($A$3:A951,A951)=1,1,0))</f>
        <v>0</v>
      </c>
      <c r="W951">
        <f t="shared" si="90"/>
        <v>0</v>
      </c>
      <c r="X951" t="str">
        <f t="shared" si="91"/>
        <v/>
      </c>
      <c r="Y951">
        <f>IF(X951="",0,IF(COUNTIF($X$3:X951,X951)=1,1,0))</f>
        <v>0</v>
      </c>
      <c r="Z951">
        <f>IF(V951&lt;&gt;1,0,IF(X951="",0,IF(COUNTIF($X$3:X950,X951)&gt;0,1,0)))</f>
        <v>0</v>
      </c>
      <c r="AA951">
        <f t="shared" si="88"/>
        <v>0</v>
      </c>
      <c r="AB951">
        <f t="shared" si="89"/>
        <v>0</v>
      </c>
      <c r="AC951">
        <f>IF(I951="",0,L951*IFERROR(INDEX(کاتالوگ_محصولات!$G$4:$G$303,MATCH(I951,کاتالوگ_محصولات!$A$4:$A$303,0)),0))</f>
        <v>0</v>
      </c>
      <c r="AD951">
        <f t="shared" si="92"/>
        <v>0</v>
      </c>
      <c r="AE951" t="str">
        <f t="shared" si="93"/>
        <v/>
      </c>
    </row>
    <row r="952" spans="22:31" ht="18" customHeight="1">
      <c r="V952">
        <f>IF(A952="",0,IF(COUNTIF($A$3:A952,A952)=1,1,0))</f>
        <v>0</v>
      </c>
      <c r="W952">
        <f t="shared" si="90"/>
        <v>0</v>
      </c>
      <c r="X952" t="str">
        <f t="shared" si="91"/>
        <v/>
      </c>
      <c r="Y952">
        <f>IF(X952="",0,IF(COUNTIF($X$3:X952,X952)=1,1,0))</f>
        <v>0</v>
      </c>
      <c r="Z952">
        <f>IF(V952&lt;&gt;1,0,IF(X952="",0,IF(COUNTIF($X$3:X951,X952)&gt;0,1,0)))</f>
        <v>0</v>
      </c>
      <c r="AA952">
        <f t="shared" si="88"/>
        <v>0</v>
      </c>
      <c r="AB952">
        <f t="shared" si="89"/>
        <v>0</v>
      </c>
      <c r="AC952">
        <f>IF(I952="",0,L952*IFERROR(INDEX(کاتالوگ_محصولات!$G$4:$G$303,MATCH(I952,کاتالوگ_محصولات!$A$4:$A$303,0)),0))</f>
        <v>0</v>
      </c>
      <c r="AD952">
        <f t="shared" si="92"/>
        <v>0</v>
      </c>
      <c r="AE952" t="str">
        <f t="shared" si="93"/>
        <v/>
      </c>
    </row>
    <row r="953" spans="22:31" ht="18" customHeight="1">
      <c r="V953">
        <f>IF(A953="",0,IF(COUNTIF($A$3:A953,A953)=1,1,0))</f>
        <v>0</v>
      </c>
      <c r="W953">
        <f t="shared" si="90"/>
        <v>0</v>
      </c>
      <c r="X953" t="str">
        <f t="shared" si="91"/>
        <v/>
      </c>
      <c r="Y953">
        <f>IF(X953="",0,IF(COUNTIF($X$3:X953,X953)=1,1,0))</f>
        <v>0</v>
      </c>
      <c r="Z953">
        <f>IF(V953&lt;&gt;1,0,IF(X953="",0,IF(COUNTIF($X$3:X952,X953)&gt;0,1,0)))</f>
        <v>0</v>
      </c>
      <c r="AA953">
        <f t="shared" si="88"/>
        <v>0</v>
      </c>
      <c r="AB953">
        <f t="shared" si="89"/>
        <v>0</v>
      </c>
      <c r="AC953">
        <f>IF(I953="",0,L953*IFERROR(INDEX(کاتالوگ_محصولات!$G$4:$G$303,MATCH(I953,کاتالوگ_محصولات!$A$4:$A$303,0)),0))</f>
        <v>0</v>
      </c>
      <c r="AD953">
        <f t="shared" si="92"/>
        <v>0</v>
      </c>
      <c r="AE953" t="str">
        <f t="shared" si="93"/>
        <v/>
      </c>
    </row>
    <row r="954" spans="22:31" ht="18" customHeight="1">
      <c r="V954">
        <f>IF(A954="",0,IF(COUNTIF($A$3:A954,A954)=1,1,0))</f>
        <v>0</v>
      </c>
      <c r="W954">
        <f t="shared" si="90"/>
        <v>0</v>
      </c>
      <c r="X954" t="str">
        <f t="shared" si="91"/>
        <v/>
      </c>
      <c r="Y954">
        <f>IF(X954="",0,IF(COUNTIF($X$3:X954,X954)=1,1,0))</f>
        <v>0</v>
      </c>
      <c r="Z954">
        <f>IF(V954&lt;&gt;1,0,IF(X954="",0,IF(COUNTIF($X$3:X953,X954)&gt;0,1,0)))</f>
        <v>0</v>
      </c>
      <c r="AA954">
        <f t="shared" si="88"/>
        <v>0</v>
      </c>
      <c r="AB954">
        <f t="shared" si="89"/>
        <v>0</v>
      </c>
      <c r="AC954">
        <f>IF(I954="",0,L954*IFERROR(INDEX(کاتالوگ_محصولات!$G$4:$G$303,MATCH(I954,کاتالوگ_محصولات!$A$4:$A$303,0)),0))</f>
        <v>0</v>
      </c>
      <c r="AD954">
        <f t="shared" si="92"/>
        <v>0</v>
      </c>
      <c r="AE954" t="str">
        <f t="shared" si="93"/>
        <v/>
      </c>
    </row>
    <row r="955" spans="22:31" ht="18" customHeight="1">
      <c r="V955">
        <f>IF(A955="",0,IF(COUNTIF($A$3:A955,A955)=1,1,0))</f>
        <v>0</v>
      </c>
      <c r="W955">
        <f t="shared" si="90"/>
        <v>0</v>
      </c>
      <c r="X955" t="str">
        <f t="shared" si="91"/>
        <v/>
      </c>
      <c r="Y955">
        <f>IF(X955="",0,IF(COUNTIF($X$3:X955,X955)=1,1,0))</f>
        <v>0</v>
      </c>
      <c r="Z955">
        <f>IF(V955&lt;&gt;1,0,IF(X955="",0,IF(COUNTIF($X$3:X954,X955)&gt;0,1,0)))</f>
        <v>0</v>
      </c>
      <c r="AA955">
        <f t="shared" si="88"/>
        <v>0</v>
      </c>
      <c r="AB955">
        <f t="shared" si="89"/>
        <v>0</v>
      </c>
      <c r="AC955">
        <f>IF(I955="",0,L955*IFERROR(INDEX(کاتالوگ_محصولات!$G$4:$G$303,MATCH(I955,کاتالوگ_محصولات!$A$4:$A$303,0)),0))</f>
        <v>0</v>
      </c>
      <c r="AD955">
        <f t="shared" si="92"/>
        <v>0</v>
      </c>
      <c r="AE955" t="str">
        <f t="shared" si="93"/>
        <v/>
      </c>
    </row>
    <row r="956" spans="22:31" ht="18" customHeight="1">
      <c r="V956">
        <f>IF(A956="",0,IF(COUNTIF($A$3:A956,A956)=1,1,0))</f>
        <v>0</v>
      </c>
      <c r="W956">
        <f t="shared" si="90"/>
        <v>0</v>
      </c>
      <c r="X956" t="str">
        <f t="shared" si="91"/>
        <v/>
      </c>
      <c r="Y956">
        <f>IF(X956="",0,IF(COUNTIF($X$3:X956,X956)=1,1,0))</f>
        <v>0</v>
      </c>
      <c r="Z956">
        <f>IF(V956&lt;&gt;1,0,IF(X956="",0,IF(COUNTIF($X$3:X955,X956)&gt;0,1,0)))</f>
        <v>0</v>
      </c>
      <c r="AA956">
        <f t="shared" si="88"/>
        <v>0</v>
      </c>
      <c r="AB956">
        <f t="shared" si="89"/>
        <v>0</v>
      </c>
      <c r="AC956">
        <f>IF(I956="",0,L956*IFERROR(INDEX(کاتالوگ_محصولات!$G$4:$G$303,MATCH(I956,کاتالوگ_محصولات!$A$4:$A$303,0)),0))</f>
        <v>0</v>
      </c>
      <c r="AD956">
        <f t="shared" si="92"/>
        <v>0</v>
      </c>
      <c r="AE956" t="str">
        <f t="shared" si="93"/>
        <v/>
      </c>
    </row>
    <row r="957" spans="22:31" ht="18" customHeight="1">
      <c r="V957">
        <f>IF(A957="",0,IF(COUNTIF($A$3:A957,A957)=1,1,0))</f>
        <v>0</v>
      </c>
      <c r="W957">
        <f t="shared" si="90"/>
        <v>0</v>
      </c>
      <c r="X957" t="str">
        <f t="shared" si="91"/>
        <v/>
      </c>
      <c r="Y957">
        <f>IF(X957="",0,IF(COUNTIF($X$3:X957,X957)=1,1,0))</f>
        <v>0</v>
      </c>
      <c r="Z957">
        <f>IF(V957&lt;&gt;1,0,IF(X957="",0,IF(COUNTIF($X$3:X956,X957)&gt;0,1,0)))</f>
        <v>0</v>
      </c>
      <c r="AA957">
        <f t="shared" si="88"/>
        <v>0</v>
      </c>
      <c r="AB957">
        <f t="shared" si="89"/>
        <v>0</v>
      </c>
      <c r="AC957">
        <f>IF(I957="",0,L957*IFERROR(INDEX(کاتالوگ_محصولات!$G$4:$G$303,MATCH(I957,کاتالوگ_محصولات!$A$4:$A$303,0)),0))</f>
        <v>0</v>
      </c>
      <c r="AD957">
        <f t="shared" si="92"/>
        <v>0</v>
      </c>
      <c r="AE957" t="str">
        <f t="shared" si="93"/>
        <v/>
      </c>
    </row>
    <row r="958" spans="22:31" ht="18" customHeight="1">
      <c r="V958">
        <f>IF(A958="",0,IF(COUNTIF($A$3:A958,A958)=1,1,0))</f>
        <v>0</v>
      </c>
      <c r="W958">
        <f t="shared" si="90"/>
        <v>0</v>
      </c>
      <c r="X958" t="str">
        <f t="shared" si="91"/>
        <v/>
      </c>
      <c r="Y958">
        <f>IF(X958="",0,IF(COUNTIF($X$3:X958,X958)=1,1,0))</f>
        <v>0</v>
      </c>
      <c r="Z958">
        <f>IF(V958&lt;&gt;1,0,IF(X958="",0,IF(COUNTIF($X$3:X957,X958)&gt;0,1,0)))</f>
        <v>0</v>
      </c>
      <c r="AA958">
        <f t="shared" si="88"/>
        <v>0</v>
      </c>
      <c r="AB958">
        <f t="shared" si="89"/>
        <v>0</v>
      </c>
      <c r="AC958">
        <f>IF(I958="",0,L958*IFERROR(INDEX(کاتالوگ_محصولات!$G$4:$G$303,MATCH(I958,کاتالوگ_محصولات!$A$4:$A$303,0)),0))</f>
        <v>0</v>
      </c>
      <c r="AD958">
        <f t="shared" si="92"/>
        <v>0</v>
      </c>
      <c r="AE958" t="str">
        <f t="shared" si="93"/>
        <v/>
      </c>
    </row>
    <row r="959" spans="22:31" ht="18" customHeight="1">
      <c r="V959">
        <f>IF(A959="",0,IF(COUNTIF($A$3:A959,A959)=1,1,0))</f>
        <v>0</v>
      </c>
      <c r="W959">
        <f t="shared" si="90"/>
        <v>0</v>
      </c>
      <c r="X959" t="str">
        <f t="shared" si="91"/>
        <v/>
      </c>
      <c r="Y959">
        <f>IF(X959="",0,IF(COUNTIF($X$3:X959,X959)=1,1,0))</f>
        <v>0</v>
      </c>
      <c r="Z959">
        <f>IF(V959&lt;&gt;1,0,IF(X959="",0,IF(COUNTIF($X$3:X958,X959)&gt;0,1,0)))</f>
        <v>0</v>
      </c>
      <c r="AA959">
        <f t="shared" si="88"/>
        <v>0</v>
      </c>
      <c r="AB959">
        <f t="shared" si="89"/>
        <v>0</v>
      </c>
      <c r="AC959">
        <f>IF(I959="",0,L959*IFERROR(INDEX(کاتالوگ_محصولات!$G$4:$G$303,MATCH(I959,کاتالوگ_محصولات!$A$4:$A$303,0)),0))</f>
        <v>0</v>
      </c>
      <c r="AD959">
        <f t="shared" si="92"/>
        <v>0</v>
      </c>
      <c r="AE959" t="str">
        <f t="shared" si="93"/>
        <v/>
      </c>
    </row>
    <row r="960" spans="22:31" ht="18" customHeight="1">
      <c r="V960">
        <f>IF(A960="",0,IF(COUNTIF($A$3:A960,A960)=1,1,0))</f>
        <v>0</v>
      </c>
      <c r="W960">
        <f t="shared" si="90"/>
        <v>0</v>
      </c>
      <c r="X960" t="str">
        <f t="shared" si="91"/>
        <v/>
      </c>
      <c r="Y960">
        <f>IF(X960="",0,IF(COUNTIF($X$3:X960,X960)=1,1,0))</f>
        <v>0</v>
      </c>
      <c r="Z960">
        <f>IF(V960&lt;&gt;1,0,IF(X960="",0,IF(COUNTIF($X$3:X959,X960)&gt;0,1,0)))</f>
        <v>0</v>
      </c>
      <c r="AA960">
        <f t="shared" si="88"/>
        <v>0</v>
      </c>
      <c r="AB960">
        <f t="shared" si="89"/>
        <v>0</v>
      </c>
      <c r="AC960">
        <f>IF(I960="",0,L960*IFERROR(INDEX(کاتالوگ_محصولات!$G$4:$G$303,MATCH(I960,کاتالوگ_محصولات!$A$4:$A$303,0)),0))</f>
        <v>0</v>
      </c>
      <c r="AD960">
        <f t="shared" si="92"/>
        <v>0</v>
      </c>
      <c r="AE960" t="str">
        <f t="shared" si="93"/>
        <v/>
      </c>
    </row>
    <row r="961" spans="22:31" ht="18" customHeight="1">
      <c r="V961">
        <f>IF(A961="",0,IF(COUNTIF($A$3:A961,A961)=1,1,0))</f>
        <v>0</v>
      </c>
      <c r="W961">
        <f t="shared" si="90"/>
        <v>0</v>
      </c>
      <c r="X961" t="str">
        <f t="shared" si="91"/>
        <v/>
      </c>
      <c r="Y961">
        <f>IF(X961="",0,IF(COUNTIF($X$3:X961,X961)=1,1,0))</f>
        <v>0</v>
      </c>
      <c r="Z961">
        <f>IF(V961&lt;&gt;1,0,IF(X961="",0,IF(COUNTIF($X$3:X960,X961)&gt;0,1,0)))</f>
        <v>0</v>
      </c>
      <c r="AA961">
        <f t="shared" si="88"/>
        <v>0</v>
      </c>
      <c r="AB961">
        <f t="shared" si="89"/>
        <v>0</v>
      </c>
      <c r="AC961">
        <f>IF(I961="",0,L961*IFERROR(INDEX(کاتالوگ_محصولات!$G$4:$G$303,MATCH(I961,کاتالوگ_محصولات!$A$4:$A$303,0)),0))</f>
        <v>0</v>
      </c>
      <c r="AD961">
        <f t="shared" si="92"/>
        <v>0</v>
      </c>
      <c r="AE961" t="str">
        <f t="shared" si="93"/>
        <v/>
      </c>
    </row>
    <row r="962" spans="22:31" ht="18" customHeight="1">
      <c r="V962">
        <f>IF(A962="",0,IF(COUNTIF($A$3:A962,A962)=1,1,0))</f>
        <v>0</v>
      </c>
      <c r="W962">
        <f t="shared" si="90"/>
        <v>0</v>
      </c>
      <c r="X962" t="str">
        <f t="shared" si="91"/>
        <v/>
      </c>
      <c r="Y962">
        <f>IF(X962="",0,IF(COUNTIF($X$3:X962,X962)=1,1,0))</f>
        <v>0</v>
      </c>
      <c r="Z962">
        <f>IF(V962&lt;&gt;1,0,IF(X962="",0,IF(COUNTIF($X$3:X961,X962)&gt;0,1,0)))</f>
        <v>0</v>
      </c>
      <c r="AA962">
        <f t="shared" si="88"/>
        <v>0</v>
      </c>
      <c r="AB962">
        <f t="shared" si="89"/>
        <v>0</v>
      </c>
      <c r="AC962">
        <f>IF(I962="",0,L962*IFERROR(INDEX(کاتالوگ_محصولات!$G$4:$G$303,MATCH(I962,کاتالوگ_محصولات!$A$4:$A$303,0)),0))</f>
        <v>0</v>
      </c>
      <c r="AD962">
        <f t="shared" si="92"/>
        <v>0</v>
      </c>
      <c r="AE962" t="str">
        <f t="shared" si="93"/>
        <v/>
      </c>
    </row>
    <row r="963" spans="22:31" ht="18" customHeight="1">
      <c r="V963">
        <f>IF(A963="",0,IF(COUNTIF($A$3:A963,A963)=1,1,0))</f>
        <v>0</v>
      </c>
      <c r="W963">
        <f t="shared" si="90"/>
        <v>0</v>
      </c>
      <c r="X963" t="str">
        <f t="shared" si="91"/>
        <v/>
      </c>
      <c r="Y963">
        <f>IF(X963="",0,IF(COUNTIF($X$3:X963,X963)=1,1,0))</f>
        <v>0</v>
      </c>
      <c r="Z963">
        <f>IF(V963&lt;&gt;1,0,IF(X963="",0,IF(COUNTIF($X$3:X962,X963)&gt;0,1,0)))</f>
        <v>0</v>
      </c>
      <c r="AA963">
        <f t="shared" ref="AA963:AA1026" si="94">IF(V963=1,SUMIF($A$3:$A$1622,A963,$O$3:$O$1622),0)</f>
        <v>0</v>
      </c>
      <c r="AB963">
        <f t="shared" ref="AB963:AB1026" si="95">IF(V963=1,SUMIF($A$3:$A$1622,A963,$L$3:$L$1622),0)</f>
        <v>0</v>
      </c>
      <c r="AC963">
        <f>IF(I963="",0,L963*IFERROR(INDEX(کاتالوگ_محصولات!$G$4:$G$303,MATCH(I963,کاتالوگ_محصولات!$A$4:$A$303,0)),0))</f>
        <v>0</v>
      </c>
      <c r="AD963">
        <f t="shared" si="92"/>
        <v>0</v>
      </c>
      <c r="AE963" t="str">
        <f t="shared" si="93"/>
        <v/>
      </c>
    </row>
    <row r="964" spans="22:31" ht="18" customHeight="1">
      <c r="V964">
        <f>IF(A964="",0,IF(COUNTIF($A$3:A964,A964)=1,1,0))</f>
        <v>0</v>
      </c>
      <c r="W964">
        <f t="shared" si="90"/>
        <v>0</v>
      </c>
      <c r="X964" t="str">
        <f t="shared" si="91"/>
        <v/>
      </c>
      <c r="Y964">
        <f>IF(X964="",0,IF(COUNTIF($X$3:X964,X964)=1,1,0))</f>
        <v>0</v>
      </c>
      <c r="Z964">
        <f>IF(V964&lt;&gt;1,0,IF(X964="",0,IF(COUNTIF($X$3:X963,X964)&gt;0,1,0)))</f>
        <v>0</v>
      </c>
      <c r="AA964">
        <f t="shared" si="94"/>
        <v>0</v>
      </c>
      <c r="AB964">
        <f t="shared" si="95"/>
        <v>0</v>
      </c>
      <c r="AC964">
        <f>IF(I964="",0,L964*IFERROR(INDEX(کاتالوگ_محصولات!$G$4:$G$303,MATCH(I964,کاتالوگ_محصولات!$A$4:$A$303,0)),0))</f>
        <v>0</v>
      </c>
      <c r="AD964">
        <f t="shared" si="92"/>
        <v>0</v>
      </c>
      <c r="AE964" t="str">
        <f t="shared" si="93"/>
        <v/>
      </c>
    </row>
    <row r="965" spans="22:31" ht="18" customHeight="1">
      <c r="V965">
        <f>IF(A965="",0,IF(COUNTIF($A$3:A965,A965)=1,1,0))</f>
        <v>0</v>
      </c>
      <c r="W965">
        <f t="shared" si="90"/>
        <v>0</v>
      </c>
      <c r="X965" t="str">
        <f t="shared" si="91"/>
        <v/>
      </c>
      <c r="Y965">
        <f>IF(X965="",0,IF(COUNTIF($X$3:X965,X965)=1,1,0))</f>
        <v>0</v>
      </c>
      <c r="Z965">
        <f>IF(V965&lt;&gt;1,0,IF(X965="",0,IF(COUNTIF($X$3:X964,X965)&gt;0,1,0)))</f>
        <v>0</v>
      </c>
      <c r="AA965">
        <f t="shared" si="94"/>
        <v>0</v>
      </c>
      <c r="AB965">
        <f t="shared" si="95"/>
        <v>0</v>
      </c>
      <c r="AC965">
        <f>IF(I965="",0,L965*IFERROR(INDEX(کاتالوگ_محصولات!$G$4:$G$303,MATCH(I965,کاتالوگ_محصولات!$A$4:$A$303,0)),0))</f>
        <v>0</v>
      </c>
      <c r="AD965">
        <f t="shared" si="92"/>
        <v>0</v>
      </c>
      <c r="AE965" t="str">
        <f t="shared" si="93"/>
        <v/>
      </c>
    </row>
    <row r="966" spans="22:31" ht="18" customHeight="1">
      <c r="V966">
        <f>IF(A966="",0,IF(COUNTIF($A$3:A966,A966)=1,1,0))</f>
        <v>0</v>
      </c>
      <c r="W966">
        <f t="shared" si="90"/>
        <v>0</v>
      </c>
      <c r="X966" t="str">
        <f t="shared" si="91"/>
        <v/>
      </c>
      <c r="Y966">
        <f>IF(X966="",0,IF(COUNTIF($X$3:X966,X966)=1,1,0))</f>
        <v>0</v>
      </c>
      <c r="Z966">
        <f>IF(V966&lt;&gt;1,0,IF(X966="",0,IF(COUNTIF($X$3:X965,X966)&gt;0,1,0)))</f>
        <v>0</v>
      </c>
      <c r="AA966">
        <f t="shared" si="94"/>
        <v>0</v>
      </c>
      <c r="AB966">
        <f t="shared" si="95"/>
        <v>0</v>
      </c>
      <c r="AC966">
        <f>IF(I966="",0,L966*IFERROR(INDEX(کاتالوگ_محصولات!$G$4:$G$303,MATCH(I966,کاتالوگ_محصولات!$A$4:$A$303,0)),0))</f>
        <v>0</v>
      </c>
      <c r="AD966">
        <f t="shared" si="92"/>
        <v>0</v>
      </c>
      <c r="AE966" t="str">
        <f t="shared" si="93"/>
        <v/>
      </c>
    </row>
    <row r="967" spans="22:31" ht="18" customHeight="1">
      <c r="V967">
        <f>IF(A967="",0,IF(COUNTIF($A$3:A967,A967)=1,1,0))</f>
        <v>0</v>
      </c>
      <c r="W967">
        <f t="shared" si="90"/>
        <v>0</v>
      </c>
      <c r="X967" t="str">
        <f t="shared" si="91"/>
        <v/>
      </c>
      <c r="Y967">
        <f>IF(X967="",0,IF(COUNTIF($X$3:X967,X967)=1,1,0))</f>
        <v>0</v>
      </c>
      <c r="Z967">
        <f>IF(V967&lt;&gt;1,0,IF(X967="",0,IF(COUNTIF($X$3:X966,X967)&gt;0,1,0)))</f>
        <v>0</v>
      </c>
      <c r="AA967">
        <f t="shared" si="94"/>
        <v>0</v>
      </c>
      <c r="AB967">
        <f t="shared" si="95"/>
        <v>0</v>
      </c>
      <c r="AC967">
        <f>IF(I967="",0,L967*IFERROR(INDEX(کاتالوگ_محصولات!$G$4:$G$303,MATCH(I967,کاتالوگ_محصولات!$A$4:$A$303,0)),0))</f>
        <v>0</v>
      </c>
      <c r="AD967">
        <f t="shared" si="92"/>
        <v>0</v>
      </c>
      <c r="AE967" t="str">
        <f t="shared" si="93"/>
        <v/>
      </c>
    </row>
    <row r="968" spans="22:31" ht="18" customHeight="1">
      <c r="V968">
        <f>IF(A968="",0,IF(COUNTIF($A$3:A968,A968)=1,1,0))</f>
        <v>0</v>
      </c>
      <c r="W968">
        <f t="shared" si="90"/>
        <v>0</v>
      </c>
      <c r="X968" t="str">
        <f t="shared" si="91"/>
        <v/>
      </c>
      <c r="Y968">
        <f>IF(X968="",0,IF(COUNTIF($X$3:X968,X968)=1,1,0))</f>
        <v>0</v>
      </c>
      <c r="Z968">
        <f>IF(V968&lt;&gt;1,0,IF(X968="",0,IF(COUNTIF($X$3:X967,X968)&gt;0,1,0)))</f>
        <v>0</v>
      </c>
      <c r="AA968">
        <f t="shared" si="94"/>
        <v>0</v>
      </c>
      <c r="AB968">
        <f t="shared" si="95"/>
        <v>0</v>
      </c>
      <c r="AC968">
        <f>IF(I968="",0,L968*IFERROR(INDEX(کاتالوگ_محصولات!$G$4:$G$303,MATCH(I968,کاتالوگ_محصولات!$A$4:$A$303,0)),0))</f>
        <v>0</v>
      </c>
      <c r="AD968">
        <f t="shared" si="92"/>
        <v>0</v>
      </c>
      <c r="AE968" t="str">
        <f t="shared" si="93"/>
        <v/>
      </c>
    </row>
    <row r="969" spans="22:31" ht="18" customHeight="1">
      <c r="V969">
        <f>IF(A969="",0,IF(COUNTIF($A$3:A969,A969)=1,1,0))</f>
        <v>0</v>
      </c>
      <c r="W969">
        <f t="shared" ref="W969:W1032" si="96">IF(A969="",0,L969*M969)</f>
        <v>0</v>
      </c>
      <c r="X969" t="str">
        <f t="shared" ref="X969:X1032" si="97">IF(R969&lt;&gt;"",R969,IF(AND(P969&lt;&gt;"",Q969&lt;&gt;""),P969&amp;"|"&amp;Q969,""))</f>
        <v/>
      </c>
      <c r="Y969">
        <f>IF(X969="",0,IF(COUNTIF($X$3:X969,X969)=1,1,0))</f>
        <v>0</v>
      </c>
      <c r="Z969">
        <f>IF(V969&lt;&gt;1,0,IF(X969="",0,IF(COUNTIF($X$3:X968,X969)&gt;0,1,0)))</f>
        <v>0</v>
      </c>
      <c r="AA969">
        <f t="shared" si="94"/>
        <v>0</v>
      </c>
      <c r="AB969">
        <f t="shared" si="95"/>
        <v>0</v>
      </c>
      <c r="AC969">
        <f>IF(I969="",0,L969*IFERROR(INDEX(کاتالوگ_محصولات!$G$4:$G$303,MATCH(I969,کاتالوگ_محصولات!$A$4:$A$303,0)),0))</f>
        <v>0</v>
      </c>
      <c r="AD969">
        <f t="shared" ref="AD969:AD1032" si="98">IF(A969="",0,O969-AC969)</f>
        <v>0</v>
      </c>
      <c r="AE969" t="str">
        <f t="shared" ref="AE969:AE1032" si="99">IF(B969="","",LEFT(B969,7))</f>
        <v/>
      </c>
    </row>
    <row r="970" spans="22:31" ht="18" customHeight="1">
      <c r="V970">
        <f>IF(A970="",0,IF(COUNTIF($A$3:A970,A970)=1,1,0))</f>
        <v>0</v>
      </c>
      <c r="W970">
        <f t="shared" si="96"/>
        <v>0</v>
      </c>
      <c r="X970" t="str">
        <f t="shared" si="97"/>
        <v/>
      </c>
      <c r="Y970">
        <f>IF(X970="",0,IF(COUNTIF($X$3:X970,X970)=1,1,0))</f>
        <v>0</v>
      </c>
      <c r="Z970">
        <f>IF(V970&lt;&gt;1,0,IF(X970="",0,IF(COUNTIF($X$3:X969,X970)&gt;0,1,0)))</f>
        <v>0</v>
      </c>
      <c r="AA970">
        <f t="shared" si="94"/>
        <v>0</v>
      </c>
      <c r="AB970">
        <f t="shared" si="95"/>
        <v>0</v>
      </c>
      <c r="AC970">
        <f>IF(I970="",0,L970*IFERROR(INDEX(کاتالوگ_محصولات!$G$4:$G$303,MATCH(I970,کاتالوگ_محصولات!$A$4:$A$303,0)),0))</f>
        <v>0</v>
      </c>
      <c r="AD970">
        <f t="shared" si="98"/>
        <v>0</v>
      </c>
      <c r="AE970" t="str">
        <f t="shared" si="99"/>
        <v/>
      </c>
    </row>
    <row r="971" spans="22:31" ht="18" customHeight="1">
      <c r="V971">
        <f>IF(A971="",0,IF(COUNTIF($A$3:A971,A971)=1,1,0))</f>
        <v>0</v>
      </c>
      <c r="W971">
        <f t="shared" si="96"/>
        <v>0</v>
      </c>
      <c r="X971" t="str">
        <f t="shared" si="97"/>
        <v/>
      </c>
      <c r="Y971">
        <f>IF(X971="",0,IF(COUNTIF($X$3:X971,X971)=1,1,0))</f>
        <v>0</v>
      </c>
      <c r="Z971">
        <f>IF(V971&lt;&gt;1,0,IF(X971="",0,IF(COUNTIF($X$3:X970,X971)&gt;0,1,0)))</f>
        <v>0</v>
      </c>
      <c r="AA971">
        <f t="shared" si="94"/>
        <v>0</v>
      </c>
      <c r="AB971">
        <f t="shared" si="95"/>
        <v>0</v>
      </c>
      <c r="AC971">
        <f>IF(I971="",0,L971*IFERROR(INDEX(کاتالوگ_محصولات!$G$4:$G$303,MATCH(I971,کاتالوگ_محصولات!$A$4:$A$303,0)),0))</f>
        <v>0</v>
      </c>
      <c r="AD971">
        <f t="shared" si="98"/>
        <v>0</v>
      </c>
      <c r="AE971" t="str">
        <f t="shared" si="99"/>
        <v/>
      </c>
    </row>
    <row r="972" spans="22:31" ht="18" customHeight="1">
      <c r="V972">
        <f>IF(A972="",0,IF(COUNTIF($A$3:A972,A972)=1,1,0))</f>
        <v>0</v>
      </c>
      <c r="W972">
        <f t="shared" si="96"/>
        <v>0</v>
      </c>
      <c r="X972" t="str">
        <f t="shared" si="97"/>
        <v/>
      </c>
      <c r="Y972">
        <f>IF(X972="",0,IF(COUNTIF($X$3:X972,X972)=1,1,0))</f>
        <v>0</v>
      </c>
      <c r="Z972">
        <f>IF(V972&lt;&gt;1,0,IF(X972="",0,IF(COUNTIF($X$3:X971,X972)&gt;0,1,0)))</f>
        <v>0</v>
      </c>
      <c r="AA972">
        <f t="shared" si="94"/>
        <v>0</v>
      </c>
      <c r="AB972">
        <f t="shared" si="95"/>
        <v>0</v>
      </c>
      <c r="AC972">
        <f>IF(I972="",0,L972*IFERROR(INDEX(کاتالوگ_محصولات!$G$4:$G$303,MATCH(I972,کاتالوگ_محصولات!$A$4:$A$303,0)),0))</f>
        <v>0</v>
      </c>
      <c r="AD972">
        <f t="shared" si="98"/>
        <v>0</v>
      </c>
      <c r="AE972" t="str">
        <f t="shared" si="99"/>
        <v/>
      </c>
    </row>
    <row r="973" spans="22:31" ht="18" customHeight="1">
      <c r="V973">
        <f>IF(A973="",0,IF(COUNTIF($A$3:A973,A973)=1,1,0))</f>
        <v>0</v>
      </c>
      <c r="W973">
        <f t="shared" si="96"/>
        <v>0</v>
      </c>
      <c r="X973" t="str">
        <f t="shared" si="97"/>
        <v/>
      </c>
      <c r="Y973">
        <f>IF(X973="",0,IF(COUNTIF($X$3:X973,X973)=1,1,0))</f>
        <v>0</v>
      </c>
      <c r="Z973">
        <f>IF(V973&lt;&gt;1,0,IF(X973="",0,IF(COUNTIF($X$3:X972,X973)&gt;0,1,0)))</f>
        <v>0</v>
      </c>
      <c r="AA973">
        <f t="shared" si="94"/>
        <v>0</v>
      </c>
      <c r="AB973">
        <f t="shared" si="95"/>
        <v>0</v>
      </c>
      <c r="AC973">
        <f>IF(I973="",0,L973*IFERROR(INDEX(کاتالوگ_محصولات!$G$4:$G$303,MATCH(I973,کاتالوگ_محصولات!$A$4:$A$303,0)),0))</f>
        <v>0</v>
      </c>
      <c r="AD973">
        <f t="shared" si="98"/>
        <v>0</v>
      </c>
      <c r="AE973" t="str">
        <f t="shared" si="99"/>
        <v/>
      </c>
    </row>
    <row r="974" spans="22:31" ht="18" customHeight="1">
      <c r="V974">
        <f>IF(A974="",0,IF(COUNTIF($A$3:A974,A974)=1,1,0))</f>
        <v>0</v>
      </c>
      <c r="W974">
        <f t="shared" si="96"/>
        <v>0</v>
      </c>
      <c r="X974" t="str">
        <f t="shared" si="97"/>
        <v/>
      </c>
      <c r="Y974">
        <f>IF(X974="",0,IF(COUNTIF($X$3:X974,X974)=1,1,0))</f>
        <v>0</v>
      </c>
      <c r="Z974">
        <f>IF(V974&lt;&gt;1,0,IF(X974="",0,IF(COUNTIF($X$3:X973,X974)&gt;0,1,0)))</f>
        <v>0</v>
      </c>
      <c r="AA974">
        <f t="shared" si="94"/>
        <v>0</v>
      </c>
      <c r="AB974">
        <f t="shared" si="95"/>
        <v>0</v>
      </c>
      <c r="AC974">
        <f>IF(I974="",0,L974*IFERROR(INDEX(کاتالوگ_محصولات!$G$4:$G$303,MATCH(I974,کاتالوگ_محصولات!$A$4:$A$303,0)),0))</f>
        <v>0</v>
      </c>
      <c r="AD974">
        <f t="shared" si="98"/>
        <v>0</v>
      </c>
      <c r="AE974" t="str">
        <f t="shared" si="99"/>
        <v/>
      </c>
    </row>
    <row r="975" spans="22:31" ht="18" customHeight="1">
      <c r="V975">
        <f>IF(A975="",0,IF(COUNTIF($A$3:A975,A975)=1,1,0))</f>
        <v>0</v>
      </c>
      <c r="W975">
        <f t="shared" si="96"/>
        <v>0</v>
      </c>
      <c r="X975" t="str">
        <f t="shared" si="97"/>
        <v/>
      </c>
      <c r="Y975">
        <f>IF(X975="",0,IF(COUNTIF($X$3:X975,X975)=1,1,0))</f>
        <v>0</v>
      </c>
      <c r="Z975">
        <f>IF(V975&lt;&gt;1,0,IF(X975="",0,IF(COUNTIF($X$3:X974,X975)&gt;0,1,0)))</f>
        <v>0</v>
      </c>
      <c r="AA975">
        <f t="shared" si="94"/>
        <v>0</v>
      </c>
      <c r="AB975">
        <f t="shared" si="95"/>
        <v>0</v>
      </c>
      <c r="AC975">
        <f>IF(I975="",0,L975*IFERROR(INDEX(کاتالوگ_محصولات!$G$4:$G$303,MATCH(I975,کاتالوگ_محصولات!$A$4:$A$303,0)),0))</f>
        <v>0</v>
      </c>
      <c r="AD975">
        <f t="shared" si="98"/>
        <v>0</v>
      </c>
      <c r="AE975" t="str">
        <f t="shared" si="99"/>
        <v/>
      </c>
    </row>
    <row r="976" spans="22:31" ht="18" customHeight="1">
      <c r="V976">
        <f>IF(A976="",0,IF(COUNTIF($A$3:A976,A976)=1,1,0))</f>
        <v>0</v>
      </c>
      <c r="W976">
        <f t="shared" si="96"/>
        <v>0</v>
      </c>
      <c r="X976" t="str">
        <f t="shared" si="97"/>
        <v/>
      </c>
      <c r="Y976">
        <f>IF(X976="",0,IF(COUNTIF($X$3:X976,X976)=1,1,0))</f>
        <v>0</v>
      </c>
      <c r="Z976">
        <f>IF(V976&lt;&gt;1,0,IF(X976="",0,IF(COUNTIF($X$3:X975,X976)&gt;0,1,0)))</f>
        <v>0</v>
      </c>
      <c r="AA976">
        <f t="shared" si="94"/>
        <v>0</v>
      </c>
      <c r="AB976">
        <f t="shared" si="95"/>
        <v>0</v>
      </c>
      <c r="AC976">
        <f>IF(I976="",0,L976*IFERROR(INDEX(کاتالوگ_محصولات!$G$4:$G$303,MATCH(I976,کاتالوگ_محصولات!$A$4:$A$303,0)),0))</f>
        <v>0</v>
      </c>
      <c r="AD976">
        <f t="shared" si="98"/>
        <v>0</v>
      </c>
      <c r="AE976" t="str">
        <f t="shared" si="99"/>
        <v/>
      </c>
    </row>
    <row r="977" spans="22:31" ht="18" customHeight="1">
      <c r="V977">
        <f>IF(A977="",0,IF(COUNTIF($A$3:A977,A977)=1,1,0))</f>
        <v>0</v>
      </c>
      <c r="W977">
        <f t="shared" si="96"/>
        <v>0</v>
      </c>
      <c r="X977" t="str">
        <f t="shared" si="97"/>
        <v/>
      </c>
      <c r="Y977">
        <f>IF(X977="",0,IF(COUNTIF($X$3:X977,X977)=1,1,0))</f>
        <v>0</v>
      </c>
      <c r="Z977">
        <f>IF(V977&lt;&gt;1,0,IF(X977="",0,IF(COUNTIF($X$3:X976,X977)&gt;0,1,0)))</f>
        <v>0</v>
      </c>
      <c r="AA977">
        <f t="shared" si="94"/>
        <v>0</v>
      </c>
      <c r="AB977">
        <f t="shared" si="95"/>
        <v>0</v>
      </c>
      <c r="AC977">
        <f>IF(I977="",0,L977*IFERROR(INDEX(کاتالوگ_محصولات!$G$4:$G$303,MATCH(I977,کاتالوگ_محصولات!$A$4:$A$303,0)),0))</f>
        <v>0</v>
      </c>
      <c r="AD977">
        <f t="shared" si="98"/>
        <v>0</v>
      </c>
      <c r="AE977" t="str">
        <f t="shared" si="99"/>
        <v/>
      </c>
    </row>
    <row r="978" spans="22:31" ht="18" customHeight="1">
      <c r="V978">
        <f>IF(A978="",0,IF(COUNTIF($A$3:A978,A978)=1,1,0))</f>
        <v>0</v>
      </c>
      <c r="W978">
        <f t="shared" si="96"/>
        <v>0</v>
      </c>
      <c r="X978" t="str">
        <f t="shared" si="97"/>
        <v/>
      </c>
      <c r="Y978">
        <f>IF(X978="",0,IF(COUNTIF($X$3:X978,X978)=1,1,0))</f>
        <v>0</v>
      </c>
      <c r="Z978">
        <f>IF(V978&lt;&gt;1,0,IF(X978="",0,IF(COUNTIF($X$3:X977,X978)&gt;0,1,0)))</f>
        <v>0</v>
      </c>
      <c r="AA978">
        <f t="shared" si="94"/>
        <v>0</v>
      </c>
      <c r="AB978">
        <f t="shared" si="95"/>
        <v>0</v>
      </c>
      <c r="AC978">
        <f>IF(I978="",0,L978*IFERROR(INDEX(کاتالوگ_محصولات!$G$4:$G$303,MATCH(I978,کاتالوگ_محصولات!$A$4:$A$303,0)),0))</f>
        <v>0</v>
      </c>
      <c r="AD978">
        <f t="shared" si="98"/>
        <v>0</v>
      </c>
      <c r="AE978" t="str">
        <f t="shared" si="99"/>
        <v/>
      </c>
    </row>
    <row r="979" spans="22:31" ht="18" customHeight="1">
      <c r="V979">
        <f>IF(A979="",0,IF(COUNTIF($A$3:A979,A979)=1,1,0))</f>
        <v>0</v>
      </c>
      <c r="W979">
        <f t="shared" si="96"/>
        <v>0</v>
      </c>
      <c r="X979" t="str">
        <f t="shared" si="97"/>
        <v/>
      </c>
      <c r="Y979">
        <f>IF(X979="",0,IF(COUNTIF($X$3:X979,X979)=1,1,0))</f>
        <v>0</v>
      </c>
      <c r="Z979">
        <f>IF(V979&lt;&gt;1,0,IF(X979="",0,IF(COUNTIF($X$3:X978,X979)&gt;0,1,0)))</f>
        <v>0</v>
      </c>
      <c r="AA979">
        <f t="shared" si="94"/>
        <v>0</v>
      </c>
      <c r="AB979">
        <f t="shared" si="95"/>
        <v>0</v>
      </c>
      <c r="AC979">
        <f>IF(I979="",0,L979*IFERROR(INDEX(کاتالوگ_محصولات!$G$4:$G$303,MATCH(I979,کاتالوگ_محصولات!$A$4:$A$303,0)),0))</f>
        <v>0</v>
      </c>
      <c r="AD979">
        <f t="shared" si="98"/>
        <v>0</v>
      </c>
      <c r="AE979" t="str">
        <f t="shared" si="99"/>
        <v/>
      </c>
    </row>
    <row r="980" spans="22:31" ht="18" customHeight="1">
      <c r="V980">
        <f>IF(A980="",0,IF(COUNTIF($A$3:A980,A980)=1,1,0))</f>
        <v>0</v>
      </c>
      <c r="W980">
        <f t="shared" si="96"/>
        <v>0</v>
      </c>
      <c r="X980" t="str">
        <f t="shared" si="97"/>
        <v/>
      </c>
      <c r="Y980">
        <f>IF(X980="",0,IF(COUNTIF($X$3:X980,X980)=1,1,0))</f>
        <v>0</v>
      </c>
      <c r="Z980">
        <f>IF(V980&lt;&gt;1,0,IF(X980="",0,IF(COUNTIF($X$3:X979,X980)&gt;0,1,0)))</f>
        <v>0</v>
      </c>
      <c r="AA980">
        <f t="shared" si="94"/>
        <v>0</v>
      </c>
      <c r="AB980">
        <f t="shared" si="95"/>
        <v>0</v>
      </c>
      <c r="AC980">
        <f>IF(I980="",0,L980*IFERROR(INDEX(کاتالوگ_محصولات!$G$4:$G$303,MATCH(I980,کاتالوگ_محصولات!$A$4:$A$303,0)),0))</f>
        <v>0</v>
      </c>
      <c r="AD980">
        <f t="shared" si="98"/>
        <v>0</v>
      </c>
      <c r="AE980" t="str">
        <f t="shared" si="99"/>
        <v/>
      </c>
    </row>
    <row r="981" spans="22:31" ht="18" customHeight="1">
      <c r="V981">
        <f>IF(A981="",0,IF(COUNTIF($A$3:A981,A981)=1,1,0))</f>
        <v>0</v>
      </c>
      <c r="W981">
        <f t="shared" si="96"/>
        <v>0</v>
      </c>
      <c r="X981" t="str">
        <f t="shared" si="97"/>
        <v/>
      </c>
      <c r="Y981">
        <f>IF(X981="",0,IF(COUNTIF($X$3:X981,X981)=1,1,0))</f>
        <v>0</v>
      </c>
      <c r="Z981">
        <f>IF(V981&lt;&gt;1,0,IF(X981="",0,IF(COUNTIF($X$3:X980,X981)&gt;0,1,0)))</f>
        <v>0</v>
      </c>
      <c r="AA981">
        <f t="shared" si="94"/>
        <v>0</v>
      </c>
      <c r="AB981">
        <f t="shared" si="95"/>
        <v>0</v>
      </c>
      <c r="AC981">
        <f>IF(I981="",0,L981*IFERROR(INDEX(کاتالوگ_محصولات!$G$4:$G$303,MATCH(I981,کاتالوگ_محصولات!$A$4:$A$303,0)),0))</f>
        <v>0</v>
      </c>
      <c r="AD981">
        <f t="shared" si="98"/>
        <v>0</v>
      </c>
      <c r="AE981" t="str">
        <f t="shared" si="99"/>
        <v/>
      </c>
    </row>
    <row r="982" spans="22:31" ht="18" customHeight="1">
      <c r="V982">
        <f>IF(A982="",0,IF(COUNTIF($A$3:A982,A982)=1,1,0))</f>
        <v>0</v>
      </c>
      <c r="W982">
        <f t="shared" si="96"/>
        <v>0</v>
      </c>
      <c r="X982" t="str">
        <f t="shared" si="97"/>
        <v/>
      </c>
      <c r="Y982">
        <f>IF(X982="",0,IF(COUNTIF($X$3:X982,X982)=1,1,0))</f>
        <v>0</v>
      </c>
      <c r="Z982">
        <f>IF(V982&lt;&gt;1,0,IF(X982="",0,IF(COUNTIF($X$3:X981,X982)&gt;0,1,0)))</f>
        <v>0</v>
      </c>
      <c r="AA982">
        <f t="shared" si="94"/>
        <v>0</v>
      </c>
      <c r="AB982">
        <f t="shared" si="95"/>
        <v>0</v>
      </c>
      <c r="AC982">
        <f>IF(I982="",0,L982*IFERROR(INDEX(کاتالوگ_محصولات!$G$4:$G$303,MATCH(I982,کاتالوگ_محصولات!$A$4:$A$303,0)),0))</f>
        <v>0</v>
      </c>
      <c r="AD982">
        <f t="shared" si="98"/>
        <v>0</v>
      </c>
      <c r="AE982" t="str">
        <f t="shared" si="99"/>
        <v/>
      </c>
    </row>
    <row r="983" spans="22:31" ht="18" customHeight="1">
      <c r="V983">
        <f>IF(A983="",0,IF(COUNTIF($A$3:A983,A983)=1,1,0))</f>
        <v>0</v>
      </c>
      <c r="W983">
        <f t="shared" si="96"/>
        <v>0</v>
      </c>
      <c r="X983" t="str">
        <f t="shared" si="97"/>
        <v/>
      </c>
      <c r="Y983">
        <f>IF(X983="",0,IF(COUNTIF($X$3:X983,X983)=1,1,0))</f>
        <v>0</v>
      </c>
      <c r="Z983">
        <f>IF(V983&lt;&gt;1,0,IF(X983="",0,IF(COUNTIF($X$3:X982,X983)&gt;0,1,0)))</f>
        <v>0</v>
      </c>
      <c r="AA983">
        <f t="shared" si="94"/>
        <v>0</v>
      </c>
      <c r="AB983">
        <f t="shared" si="95"/>
        <v>0</v>
      </c>
      <c r="AC983">
        <f>IF(I983="",0,L983*IFERROR(INDEX(کاتالوگ_محصولات!$G$4:$G$303,MATCH(I983,کاتالوگ_محصولات!$A$4:$A$303,0)),0))</f>
        <v>0</v>
      </c>
      <c r="AD983">
        <f t="shared" si="98"/>
        <v>0</v>
      </c>
      <c r="AE983" t="str">
        <f t="shared" si="99"/>
        <v/>
      </c>
    </row>
    <row r="984" spans="22:31" ht="18" customHeight="1">
      <c r="V984">
        <f>IF(A984="",0,IF(COUNTIF($A$3:A984,A984)=1,1,0))</f>
        <v>0</v>
      </c>
      <c r="W984">
        <f t="shared" si="96"/>
        <v>0</v>
      </c>
      <c r="X984" t="str">
        <f t="shared" si="97"/>
        <v/>
      </c>
      <c r="Y984">
        <f>IF(X984="",0,IF(COUNTIF($X$3:X984,X984)=1,1,0))</f>
        <v>0</v>
      </c>
      <c r="Z984">
        <f>IF(V984&lt;&gt;1,0,IF(X984="",0,IF(COUNTIF($X$3:X983,X984)&gt;0,1,0)))</f>
        <v>0</v>
      </c>
      <c r="AA984">
        <f t="shared" si="94"/>
        <v>0</v>
      </c>
      <c r="AB984">
        <f t="shared" si="95"/>
        <v>0</v>
      </c>
      <c r="AC984">
        <f>IF(I984="",0,L984*IFERROR(INDEX(کاتالوگ_محصولات!$G$4:$G$303,MATCH(I984,کاتالوگ_محصولات!$A$4:$A$303,0)),0))</f>
        <v>0</v>
      </c>
      <c r="AD984">
        <f t="shared" si="98"/>
        <v>0</v>
      </c>
      <c r="AE984" t="str">
        <f t="shared" si="99"/>
        <v/>
      </c>
    </row>
    <row r="985" spans="22:31" ht="18" customHeight="1">
      <c r="V985">
        <f>IF(A985="",0,IF(COUNTIF($A$3:A985,A985)=1,1,0))</f>
        <v>0</v>
      </c>
      <c r="W985">
        <f t="shared" si="96"/>
        <v>0</v>
      </c>
      <c r="X985" t="str">
        <f t="shared" si="97"/>
        <v/>
      </c>
      <c r="Y985">
        <f>IF(X985="",0,IF(COUNTIF($X$3:X985,X985)=1,1,0))</f>
        <v>0</v>
      </c>
      <c r="Z985">
        <f>IF(V985&lt;&gt;1,0,IF(X985="",0,IF(COUNTIF($X$3:X984,X985)&gt;0,1,0)))</f>
        <v>0</v>
      </c>
      <c r="AA985">
        <f t="shared" si="94"/>
        <v>0</v>
      </c>
      <c r="AB985">
        <f t="shared" si="95"/>
        <v>0</v>
      </c>
      <c r="AC985">
        <f>IF(I985="",0,L985*IFERROR(INDEX(کاتالوگ_محصولات!$G$4:$G$303,MATCH(I985,کاتالوگ_محصولات!$A$4:$A$303,0)),0))</f>
        <v>0</v>
      </c>
      <c r="AD985">
        <f t="shared" si="98"/>
        <v>0</v>
      </c>
      <c r="AE985" t="str">
        <f t="shared" si="99"/>
        <v/>
      </c>
    </row>
    <row r="986" spans="22:31" ht="18" customHeight="1">
      <c r="V986">
        <f>IF(A986="",0,IF(COUNTIF($A$3:A986,A986)=1,1,0))</f>
        <v>0</v>
      </c>
      <c r="W986">
        <f t="shared" si="96"/>
        <v>0</v>
      </c>
      <c r="X986" t="str">
        <f t="shared" si="97"/>
        <v/>
      </c>
      <c r="Y986">
        <f>IF(X986="",0,IF(COUNTIF($X$3:X986,X986)=1,1,0))</f>
        <v>0</v>
      </c>
      <c r="Z986">
        <f>IF(V986&lt;&gt;1,0,IF(X986="",0,IF(COUNTIF($X$3:X985,X986)&gt;0,1,0)))</f>
        <v>0</v>
      </c>
      <c r="AA986">
        <f t="shared" si="94"/>
        <v>0</v>
      </c>
      <c r="AB986">
        <f t="shared" si="95"/>
        <v>0</v>
      </c>
      <c r="AC986">
        <f>IF(I986="",0,L986*IFERROR(INDEX(کاتالوگ_محصولات!$G$4:$G$303,MATCH(I986,کاتالوگ_محصولات!$A$4:$A$303,0)),0))</f>
        <v>0</v>
      </c>
      <c r="AD986">
        <f t="shared" si="98"/>
        <v>0</v>
      </c>
      <c r="AE986" t="str">
        <f t="shared" si="99"/>
        <v/>
      </c>
    </row>
    <row r="987" spans="22:31" ht="18" customHeight="1">
      <c r="V987">
        <f>IF(A987="",0,IF(COUNTIF($A$3:A987,A987)=1,1,0))</f>
        <v>0</v>
      </c>
      <c r="W987">
        <f t="shared" si="96"/>
        <v>0</v>
      </c>
      <c r="X987" t="str">
        <f t="shared" si="97"/>
        <v/>
      </c>
      <c r="Y987">
        <f>IF(X987="",0,IF(COUNTIF($X$3:X987,X987)=1,1,0))</f>
        <v>0</v>
      </c>
      <c r="Z987">
        <f>IF(V987&lt;&gt;1,0,IF(X987="",0,IF(COUNTIF($X$3:X986,X987)&gt;0,1,0)))</f>
        <v>0</v>
      </c>
      <c r="AA987">
        <f t="shared" si="94"/>
        <v>0</v>
      </c>
      <c r="AB987">
        <f t="shared" si="95"/>
        <v>0</v>
      </c>
      <c r="AC987">
        <f>IF(I987="",0,L987*IFERROR(INDEX(کاتالوگ_محصولات!$G$4:$G$303,MATCH(I987,کاتالوگ_محصولات!$A$4:$A$303,0)),0))</f>
        <v>0</v>
      </c>
      <c r="AD987">
        <f t="shared" si="98"/>
        <v>0</v>
      </c>
      <c r="AE987" t="str">
        <f t="shared" si="99"/>
        <v/>
      </c>
    </row>
    <row r="988" spans="22:31" ht="18" customHeight="1">
      <c r="V988">
        <f>IF(A988="",0,IF(COUNTIF($A$3:A988,A988)=1,1,0))</f>
        <v>0</v>
      </c>
      <c r="W988">
        <f t="shared" si="96"/>
        <v>0</v>
      </c>
      <c r="X988" t="str">
        <f t="shared" si="97"/>
        <v/>
      </c>
      <c r="Y988">
        <f>IF(X988="",0,IF(COUNTIF($X$3:X988,X988)=1,1,0))</f>
        <v>0</v>
      </c>
      <c r="Z988">
        <f>IF(V988&lt;&gt;1,0,IF(X988="",0,IF(COUNTIF($X$3:X987,X988)&gt;0,1,0)))</f>
        <v>0</v>
      </c>
      <c r="AA988">
        <f t="shared" si="94"/>
        <v>0</v>
      </c>
      <c r="AB988">
        <f t="shared" si="95"/>
        <v>0</v>
      </c>
      <c r="AC988">
        <f>IF(I988="",0,L988*IFERROR(INDEX(کاتالوگ_محصولات!$G$4:$G$303,MATCH(I988,کاتالوگ_محصولات!$A$4:$A$303,0)),0))</f>
        <v>0</v>
      </c>
      <c r="AD988">
        <f t="shared" si="98"/>
        <v>0</v>
      </c>
      <c r="AE988" t="str">
        <f t="shared" si="99"/>
        <v/>
      </c>
    </row>
    <row r="989" spans="22:31" ht="18" customHeight="1">
      <c r="V989">
        <f>IF(A989="",0,IF(COUNTIF($A$3:A989,A989)=1,1,0))</f>
        <v>0</v>
      </c>
      <c r="W989">
        <f t="shared" si="96"/>
        <v>0</v>
      </c>
      <c r="X989" t="str">
        <f t="shared" si="97"/>
        <v/>
      </c>
      <c r="Y989">
        <f>IF(X989="",0,IF(COUNTIF($X$3:X989,X989)=1,1,0))</f>
        <v>0</v>
      </c>
      <c r="Z989">
        <f>IF(V989&lt;&gt;1,0,IF(X989="",0,IF(COUNTIF($X$3:X988,X989)&gt;0,1,0)))</f>
        <v>0</v>
      </c>
      <c r="AA989">
        <f t="shared" si="94"/>
        <v>0</v>
      </c>
      <c r="AB989">
        <f t="shared" si="95"/>
        <v>0</v>
      </c>
      <c r="AC989">
        <f>IF(I989="",0,L989*IFERROR(INDEX(کاتالوگ_محصولات!$G$4:$G$303,MATCH(I989,کاتالوگ_محصولات!$A$4:$A$303,0)),0))</f>
        <v>0</v>
      </c>
      <c r="AD989">
        <f t="shared" si="98"/>
        <v>0</v>
      </c>
      <c r="AE989" t="str">
        <f t="shared" si="99"/>
        <v/>
      </c>
    </row>
    <row r="990" spans="22:31" ht="18" customHeight="1">
      <c r="V990">
        <f>IF(A990="",0,IF(COUNTIF($A$3:A990,A990)=1,1,0))</f>
        <v>0</v>
      </c>
      <c r="W990">
        <f t="shared" si="96"/>
        <v>0</v>
      </c>
      <c r="X990" t="str">
        <f t="shared" si="97"/>
        <v/>
      </c>
      <c r="Y990">
        <f>IF(X990="",0,IF(COUNTIF($X$3:X990,X990)=1,1,0))</f>
        <v>0</v>
      </c>
      <c r="Z990">
        <f>IF(V990&lt;&gt;1,0,IF(X990="",0,IF(COUNTIF($X$3:X989,X990)&gt;0,1,0)))</f>
        <v>0</v>
      </c>
      <c r="AA990">
        <f t="shared" si="94"/>
        <v>0</v>
      </c>
      <c r="AB990">
        <f t="shared" si="95"/>
        <v>0</v>
      </c>
      <c r="AC990">
        <f>IF(I990="",0,L990*IFERROR(INDEX(کاتالوگ_محصولات!$G$4:$G$303,MATCH(I990,کاتالوگ_محصولات!$A$4:$A$303,0)),0))</f>
        <v>0</v>
      </c>
      <c r="AD990">
        <f t="shared" si="98"/>
        <v>0</v>
      </c>
      <c r="AE990" t="str">
        <f t="shared" si="99"/>
        <v/>
      </c>
    </row>
    <row r="991" spans="22:31" ht="18" customHeight="1">
      <c r="V991">
        <f>IF(A991="",0,IF(COUNTIF($A$3:A991,A991)=1,1,0))</f>
        <v>0</v>
      </c>
      <c r="W991">
        <f t="shared" si="96"/>
        <v>0</v>
      </c>
      <c r="X991" t="str">
        <f t="shared" si="97"/>
        <v/>
      </c>
      <c r="Y991">
        <f>IF(X991="",0,IF(COUNTIF($X$3:X991,X991)=1,1,0))</f>
        <v>0</v>
      </c>
      <c r="Z991">
        <f>IF(V991&lt;&gt;1,0,IF(X991="",0,IF(COUNTIF($X$3:X990,X991)&gt;0,1,0)))</f>
        <v>0</v>
      </c>
      <c r="AA991">
        <f t="shared" si="94"/>
        <v>0</v>
      </c>
      <c r="AB991">
        <f t="shared" si="95"/>
        <v>0</v>
      </c>
      <c r="AC991">
        <f>IF(I991="",0,L991*IFERROR(INDEX(کاتالوگ_محصولات!$G$4:$G$303,MATCH(I991,کاتالوگ_محصولات!$A$4:$A$303,0)),0))</f>
        <v>0</v>
      </c>
      <c r="AD991">
        <f t="shared" si="98"/>
        <v>0</v>
      </c>
      <c r="AE991" t="str">
        <f t="shared" si="99"/>
        <v/>
      </c>
    </row>
    <row r="992" spans="22:31" ht="18" customHeight="1">
      <c r="V992">
        <f>IF(A992="",0,IF(COUNTIF($A$3:A992,A992)=1,1,0))</f>
        <v>0</v>
      </c>
      <c r="W992">
        <f t="shared" si="96"/>
        <v>0</v>
      </c>
      <c r="X992" t="str">
        <f t="shared" si="97"/>
        <v/>
      </c>
      <c r="Y992">
        <f>IF(X992="",0,IF(COUNTIF($X$3:X992,X992)=1,1,0))</f>
        <v>0</v>
      </c>
      <c r="Z992">
        <f>IF(V992&lt;&gt;1,0,IF(X992="",0,IF(COUNTIF($X$3:X991,X992)&gt;0,1,0)))</f>
        <v>0</v>
      </c>
      <c r="AA992">
        <f t="shared" si="94"/>
        <v>0</v>
      </c>
      <c r="AB992">
        <f t="shared" si="95"/>
        <v>0</v>
      </c>
      <c r="AC992">
        <f>IF(I992="",0,L992*IFERROR(INDEX(کاتالوگ_محصولات!$G$4:$G$303,MATCH(I992,کاتالوگ_محصولات!$A$4:$A$303,0)),0))</f>
        <v>0</v>
      </c>
      <c r="AD992">
        <f t="shared" si="98"/>
        <v>0</v>
      </c>
      <c r="AE992" t="str">
        <f t="shared" si="99"/>
        <v/>
      </c>
    </row>
    <row r="993" spans="22:31" ht="18" customHeight="1">
      <c r="V993">
        <f>IF(A993="",0,IF(COUNTIF($A$3:A993,A993)=1,1,0))</f>
        <v>0</v>
      </c>
      <c r="W993">
        <f t="shared" si="96"/>
        <v>0</v>
      </c>
      <c r="X993" t="str">
        <f t="shared" si="97"/>
        <v/>
      </c>
      <c r="Y993">
        <f>IF(X993="",0,IF(COUNTIF($X$3:X993,X993)=1,1,0))</f>
        <v>0</v>
      </c>
      <c r="Z993">
        <f>IF(V993&lt;&gt;1,0,IF(X993="",0,IF(COUNTIF($X$3:X992,X993)&gt;0,1,0)))</f>
        <v>0</v>
      </c>
      <c r="AA993">
        <f t="shared" si="94"/>
        <v>0</v>
      </c>
      <c r="AB993">
        <f t="shared" si="95"/>
        <v>0</v>
      </c>
      <c r="AC993">
        <f>IF(I993="",0,L993*IFERROR(INDEX(کاتالوگ_محصولات!$G$4:$G$303,MATCH(I993,کاتالوگ_محصولات!$A$4:$A$303,0)),0))</f>
        <v>0</v>
      </c>
      <c r="AD993">
        <f t="shared" si="98"/>
        <v>0</v>
      </c>
      <c r="AE993" t="str">
        <f t="shared" si="99"/>
        <v/>
      </c>
    </row>
    <row r="994" spans="22:31" ht="18" customHeight="1">
      <c r="V994">
        <f>IF(A994="",0,IF(COUNTIF($A$3:A994,A994)=1,1,0))</f>
        <v>0</v>
      </c>
      <c r="W994">
        <f t="shared" si="96"/>
        <v>0</v>
      </c>
      <c r="X994" t="str">
        <f t="shared" si="97"/>
        <v/>
      </c>
      <c r="Y994">
        <f>IF(X994="",0,IF(COUNTIF($X$3:X994,X994)=1,1,0))</f>
        <v>0</v>
      </c>
      <c r="Z994">
        <f>IF(V994&lt;&gt;1,0,IF(X994="",0,IF(COUNTIF($X$3:X993,X994)&gt;0,1,0)))</f>
        <v>0</v>
      </c>
      <c r="AA994">
        <f t="shared" si="94"/>
        <v>0</v>
      </c>
      <c r="AB994">
        <f t="shared" si="95"/>
        <v>0</v>
      </c>
      <c r="AC994">
        <f>IF(I994="",0,L994*IFERROR(INDEX(کاتالوگ_محصولات!$G$4:$G$303,MATCH(I994,کاتالوگ_محصولات!$A$4:$A$303,0)),0))</f>
        <v>0</v>
      </c>
      <c r="AD994">
        <f t="shared" si="98"/>
        <v>0</v>
      </c>
      <c r="AE994" t="str">
        <f t="shared" si="99"/>
        <v/>
      </c>
    </row>
    <row r="995" spans="22:31" ht="18" customHeight="1">
      <c r="V995">
        <f>IF(A995="",0,IF(COUNTIF($A$3:A995,A995)=1,1,0))</f>
        <v>0</v>
      </c>
      <c r="W995">
        <f t="shared" si="96"/>
        <v>0</v>
      </c>
      <c r="X995" t="str">
        <f t="shared" si="97"/>
        <v/>
      </c>
      <c r="Y995">
        <f>IF(X995="",0,IF(COUNTIF($X$3:X995,X995)=1,1,0))</f>
        <v>0</v>
      </c>
      <c r="Z995">
        <f>IF(V995&lt;&gt;1,0,IF(X995="",0,IF(COUNTIF($X$3:X994,X995)&gt;0,1,0)))</f>
        <v>0</v>
      </c>
      <c r="AA995">
        <f t="shared" si="94"/>
        <v>0</v>
      </c>
      <c r="AB995">
        <f t="shared" si="95"/>
        <v>0</v>
      </c>
      <c r="AC995">
        <f>IF(I995="",0,L995*IFERROR(INDEX(کاتالوگ_محصولات!$G$4:$G$303,MATCH(I995,کاتالوگ_محصولات!$A$4:$A$303,0)),0))</f>
        <v>0</v>
      </c>
      <c r="AD995">
        <f t="shared" si="98"/>
        <v>0</v>
      </c>
      <c r="AE995" t="str">
        <f t="shared" si="99"/>
        <v/>
      </c>
    </row>
    <row r="996" spans="22:31" ht="18" customHeight="1">
      <c r="V996">
        <f>IF(A996="",0,IF(COUNTIF($A$3:A996,A996)=1,1,0))</f>
        <v>0</v>
      </c>
      <c r="W996">
        <f t="shared" si="96"/>
        <v>0</v>
      </c>
      <c r="X996" t="str">
        <f t="shared" si="97"/>
        <v/>
      </c>
      <c r="Y996">
        <f>IF(X996="",0,IF(COUNTIF($X$3:X996,X996)=1,1,0))</f>
        <v>0</v>
      </c>
      <c r="Z996">
        <f>IF(V996&lt;&gt;1,0,IF(X996="",0,IF(COUNTIF($X$3:X995,X996)&gt;0,1,0)))</f>
        <v>0</v>
      </c>
      <c r="AA996">
        <f t="shared" si="94"/>
        <v>0</v>
      </c>
      <c r="AB996">
        <f t="shared" si="95"/>
        <v>0</v>
      </c>
      <c r="AC996">
        <f>IF(I996="",0,L996*IFERROR(INDEX(کاتالوگ_محصولات!$G$4:$G$303,MATCH(I996,کاتالوگ_محصولات!$A$4:$A$303,0)),0))</f>
        <v>0</v>
      </c>
      <c r="AD996">
        <f t="shared" si="98"/>
        <v>0</v>
      </c>
      <c r="AE996" t="str">
        <f t="shared" si="99"/>
        <v/>
      </c>
    </row>
    <row r="997" spans="22:31" ht="18" customHeight="1">
      <c r="V997">
        <f>IF(A997="",0,IF(COUNTIF($A$3:A997,A997)=1,1,0))</f>
        <v>0</v>
      </c>
      <c r="W997">
        <f t="shared" si="96"/>
        <v>0</v>
      </c>
      <c r="X997" t="str">
        <f t="shared" si="97"/>
        <v/>
      </c>
      <c r="Y997">
        <f>IF(X997="",0,IF(COUNTIF($X$3:X997,X997)=1,1,0))</f>
        <v>0</v>
      </c>
      <c r="Z997">
        <f>IF(V997&lt;&gt;1,0,IF(X997="",0,IF(COUNTIF($X$3:X996,X997)&gt;0,1,0)))</f>
        <v>0</v>
      </c>
      <c r="AA997">
        <f t="shared" si="94"/>
        <v>0</v>
      </c>
      <c r="AB997">
        <f t="shared" si="95"/>
        <v>0</v>
      </c>
      <c r="AC997">
        <f>IF(I997="",0,L997*IFERROR(INDEX(کاتالوگ_محصولات!$G$4:$G$303,MATCH(I997,کاتالوگ_محصولات!$A$4:$A$303,0)),0))</f>
        <v>0</v>
      </c>
      <c r="AD997">
        <f t="shared" si="98"/>
        <v>0</v>
      </c>
      <c r="AE997" t="str">
        <f t="shared" si="99"/>
        <v/>
      </c>
    </row>
    <row r="998" spans="22:31" ht="18" customHeight="1">
      <c r="V998">
        <f>IF(A998="",0,IF(COUNTIF($A$3:A998,A998)=1,1,0))</f>
        <v>0</v>
      </c>
      <c r="W998">
        <f t="shared" si="96"/>
        <v>0</v>
      </c>
      <c r="X998" t="str">
        <f t="shared" si="97"/>
        <v/>
      </c>
      <c r="Y998">
        <f>IF(X998="",0,IF(COUNTIF($X$3:X998,X998)=1,1,0))</f>
        <v>0</v>
      </c>
      <c r="Z998">
        <f>IF(V998&lt;&gt;1,0,IF(X998="",0,IF(COUNTIF($X$3:X997,X998)&gt;0,1,0)))</f>
        <v>0</v>
      </c>
      <c r="AA998">
        <f t="shared" si="94"/>
        <v>0</v>
      </c>
      <c r="AB998">
        <f t="shared" si="95"/>
        <v>0</v>
      </c>
      <c r="AC998">
        <f>IF(I998="",0,L998*IFERROR(INDEX(کاتالوگ_محصولات!$G$4:$G$303,MATCH(I998,کاتالوگ_محصولات!$A$4:$A$303,0)),0))</f>
        <v>0</v>
      </c>
      <c r="AD998">
        <f t="shared" si="98"/>
        <v>0</v>
      </c>
      <c r="AE998" t="str">
        <f t="shared" si="99"/>
        <v/>
      </c>
    </row>
    <row r="999" spans="22:31" ht="18" customHeight="1">
      <c r="V999">
        <f>IF(A999="",0,IF(COUNTIF($A$3:A999,A999)=1,1,0))</f>
        <v>0</v>
      </c>
      <c r="W999">
        <f t="shared" si="96"/>
        <v>0</v>
      </c>
      <c r="X999" t="str">
        <f t="shared" si="97"/>
        <v/>
      </c>
      <c r="Y999">
        <f>IF(X999="",0,IF(COUNTIF($X$3:X999,X999)=1,1,0))</f>
        <v>0</v>
      </c>
      <c r="Z999">
        <f>IF(V999&lt;&gt;1,0,IF(X999="",0,IF(COUNTIF($X$3:X998,X999)&gt;0,1,0)))</f>
        <v>0</v>
      </c>
      <c r="AA999">
        <f t="shared" si="94"/>
        <v>0</v>
      </c>
      <c r="AB999">
        <f t="shared" si="95"/>
        <v>0</v>
      </c>
      <c r="AC999">
        <f>IF(I999="",0,L999*IFERROR(INDEX(کاتالوگ_محصولات!$G$4:$G$303,MATCH(I999,کاتالوگ_محصولات!$A$4:$A$303,0)),0))</f>
        <v>0</v>
      </c>
      <c r="AD999">
        <f t="shared" si="98"/>
        <v>0</v>
      </c>
      <c r="AE999" t="str">
        <f t="shared" si="99"/>
        <v/>
      </c>
    </row>
    <row r="1000" spans="22:31" ht="18" customHeight="1">
      <c r="V1000">
        <f>IF(A1000="",0,IF(COUNTIF($A$3:A1000,A1000)=1,1,0))</f>
        <v>0</v>
      </c>
      <c r="W1000">
        <f t="shared" si="96"/>
        <v>0</v>
      </c>
      <c r="X1000" t="str">
        <f t="shared" si="97"/>
        <v/>
      </c>
      <c r="Y1000">
        <f>IF(X1000="",0,IF(COUNTIF($X$3:X1000,X1000)=1,1,0))</f>
        <v>0</v>
      </c>
      <c r="Z1000">
        <f>IF(V1000&lt;&gt;1,0,IF(X1000="",0,IF(COUNTIF($X$3:X999,X1000)&gt;0,1,0)))</f>
        <v>0</v>
      </c>
      <c r="AA1000">
        <f t="shared" si="94"/>
        <v>0</v>
      </c>
      <c r="AB1000">
        <f t="shared" si="95"/>
        <v>0</v>
      </c>
      <c r="AC1000">
        <f>IF(I1000="",0,L1000*IFERROR(INDEX(کاتالوگ_محصولات!$G$4:$G$303,MATCH(I1000,کاتالوگ_محصولات!$A$4:$A$303,0)),0))</f>
        <v>0</v>
      </c>
      <c r="AD1000">
        <f t="shared" si="98"/>
        <v>0</v>
      </c>
      <c r="AE1000" t="str">
        <f t="shared" si="99"/>
        <v/>
      </c>
    </row>
    <row r="1001" spans="22:31" ht="18" customHeight="1">
      <c r="V1001">
        <f>IF(A1001="",0,IF(COUNTIF($A$3:A1001,A1001)=1,1,0))</f>
        <v>0</v>
      </c>
      <c r="W1001">
        <f t="shared" si="96"/>
        <v>0</v>
      </c>
      <c r="X1001" t="str">
        <f t="shared" si="97"/>
        <v/>
      </c>
      <c r="Y1001">
        <f>IF(X1001="",0,IF(COUNTIF($X$3:X1001,X1001)=1,1,0))</f>
        <v>0</v>
      </c>
      <c r="Z1001">
        <f>IF(V1001&lt;&gt;1,0,IF(X1001="",0,IF(COUNTIF($X$3:X1000,X1001)&gt;0,1,0)))</f>
        <v>0</v>
      </c>
      <c r="AA1001">
        <f t="shared" si="94"/>
        <v>0</v>
      </c>
      <c r="AB1001">
        <f t="shared" si="95"/>
        <v>0</v>
      </c>
      <c r="AC1001">
        <f>IF(I1001="",0,L1001*IFERROR(INDEX(کاتالوگ_محصولات!$G$4:$G$303,MATCH(I1001,کاتالوگ_محصولات!$A$4:$A$303,0)),0))</f>
        <v>0</v>
      </c>
      <c r="AD1001">
        <f t="shared" si="98"/>
        <v>0</v>
      </c>
      <c r="AE1001" t="str">
        <f t="shared" si="99"/>
        <v/>
      </c>
    </row>
    <row r="1002" spans="22:31" ht="18" customHeight="1">
      <c r="V1002">
        <f>IF(A1002="",0,IF(COUNTIF($A$3:A1002,A1002)=1,1,0))</f>
        <v>0</v>
      </c>
      <c r="W1002">
        <f t="shared" si="96"/>
        <v>0</v>
      </c>
      <c r="X1002" t="str">
        <f t="shared" si="97"/>
        <v/>
      </c>
      <c r="Y1002">
        <f>IF(X1002="",0,IF(COUNTIF($X$3:X1002,X1002)=1,1,0))</f>
        <v>0</v>
      </c>
      <c r="Z1002">
        <f>IF(V1002&lt;&gt;1,0,IF(X1002="",0,IF(COUNTIF($X$3:X1001,X1002)&gt;0,1,0)))</f>
        <v>0</v>
      </c>
      <c r="AA1002">
        <f t="shared" si="94"/>
        <v>0</v>
      </c>
      <c r="AB1002">
        <f t="shared" si="95"/>
        <v>0</v>
      </c>
      <c r="AC1002">
        <f>IF(I1002="",0,L1002*IFERROR(INDEX(کاتالوگ_محصولات!$G$4:$G$303,MATCH(I1002,کاتالوگ_محصولات!$A$4:$A$303,0)),0))</f>
        <v>0</v>
      </c>
      <c r="AD1002">
        <f t="shared" si="98"/>
        <v>0</v>
      </c>
      <c r="AE1002" t="str">
        <f t="shared" si="99"/>
        <v/>
      </c>
    </row>
    <row r="1003" spans="22:31" ht="18" customHeight="1">
      <c r="V1003">
        <f>IF(A1003="",0,IF(COUNTIF($A$3:A1003,A1003)=1,1,0))</f>
        <v>0</v>
      </c>
      <c r="W1003">
        <f t="shared" si="96"/>
        <v>0</v>
      </c>
      <c r="X1003" t="str">
        <f t="shared" si="97"/>
        <v/>
      </c>
      <c r="Y1003">
        <f>IF(X1003="",0,IF(COUNTIF($X$3:X1003,X1003)=1,1,0))</f>
        <v>0</v>
      </c>
      <c r="Z1003">
        <f>IF(V1003&lt;&gt;1,0,IF(X1003="",0,IF(COUNTIF($X$3:X1002,X1003)&gt;0,1,0)))</f>
        <v>0</v>
      </c>
      <c r="AA1003">
        <f t="shared" si="94"/>
        <v>0</v>
      </c>
      <c r="AB1003">
        <f t="shared" si="95"/>
        <v>0</v>
      </c>
      <c r="AC1003">
        <f>IF(I1003="",0,L1003*IFERROR(INDEX(کاتالوگ_محصولات!$G$4:$G$303,MATCH(I1003,کاتالوگ_محصولات!$A$4:$A$303,0)),0))</f>
        <v>0</v>
      </c>
      <c r="AD1003">
        <f t="shared" si="98"/>
        <v>0</v>
      </c>
      <c r="AE1003" t="str">
        <f t="shared" si="99"/>
        <v/>
      </c>
    </row>
    <row r="1004" spans="22:31" ht="18" customHeight="1">
      <c r="V1004">
        <f>IF(A1004="",0,IF(COUNTIF($A$3:A1004,A1004)=1,1,0))</f>
        <v>0</v>
      </c>
      <c r="W1004">
        <f t="shared" si="96"/>
        <v>0</v>
      </c>
      <c r="X1004" t="str">
        <f t="shared" si="97"/>
        <v/>
      </c>
      <c r="Y1004">
        <f>IF(X1004="",0,IF(COUNTIF($X$3:X1004,X1004)=1,1,0))</f>
        <v>0</v>
      </c>
      <c r="Z1004">
        <f>IF(V1004&lt;&gt;1,0,IF(X1004="",0,IF(COUNTIF($X$3:X1003,X1004)&gt;0,1,0)))</f>
        <v>0</v>
      </c>
      <c r="AA1004">
        <f t="shared" si="94"/>
        <v>0</v>
      </c>
      <c r="AB1004">
        <f t="shared" si="95"/>
        <v>0</v>
      </c>
      <c r="AC1004">
        <f>IF(I1004="",0,L1004*IFERROR(INDEX(کاتالوگ_محصولات!$G$4:$G$303,MATCH(I1004,کاتالوگ_محصولات!$A$4:$A$303,0)),0))</f>
        <v>0</v>
      </c>
      <c r="AD1004">
        <f t="shared" si="98"/>
        <v>0</v>
      </c>
      <c r="AE1004" t="str">
        <f t="shared" si="99"/>
        <v/>
      </c>
    </row>
    <row r="1005" spans="22:31" ht="18" customHeight="1">
      <c r="V1005">
        <f>IF(A1005="",0,IF(COUNTIF($A$3:A1005,A1005)=1,1,0))</f>
        <v>0</v>
      </c>
      <c r="W1005">
        <f t="shared" si="96"/>
        <v>0</v>
      </c>
      <c r="X1005" t="str">
        <f t="shared" si="97"/>
        <v/>
      </c>
      <c r="Y1005">
        <f>IF(X1005="",0,IF(COUNTIF($X$3:X1005,X1005)=1,1,0))</f>
        <v>0</v>
      </c>
      <c r="Z1005">
        <f>IF(V1005&lt;&gt;1,0,IF(X1005="",0,IF(COUNTIF($X$3:X1004,X1005)&gt;0,1,0)))</f>
        <v>0</v>
      </c>
      <c r="AA1005">
        <f t="shared" si="94"/>
        <v>0</v>
      </c>
      <c r="AB1005">
        <f t="shared" si="95"/>
        <v>0</v>
      </c>
      <c r="AC1005">
        <f>IF(I1005="",0,L1005*IFERROR(INDEX(کاتالوگ_محصولات!$G$4:$G$303,MATCH(I1005,کاتالوگ_محصولات!$A$4:$A$303,0)),0))</f>
        <v>0</v>
      </c>
      <c r="AD1005">
        <f t="shared" si="98"/>
        <v>0</v>
      </c>
      <c r="AE1005" t="str">
        <f t="shared" si="99"/>
        <v/>
      </c>
    </row>
    <row r="1006" spans="22:31" ht="18" customHeight="1">
      <c r="V1006">
        <f>IF(A1006="",0,IF(COUNTIF($A$3:A1006,A1006)=1,1,0))</f>
        <v>0</v>
      </c>
      <c r="W1006">
        <f t="shared" si="96"/>
        <v>0</v>
      </c>
      <c r="X1006" t="str">
        <f t="shared" si="97"/>
        <v/>
      </c>
      <c r="Y1006">
        <f>IF(X1006="",0,IF(COUNTIF($X$3:X1006,X1006)=1,1,0))</f>
        <v>0</v>
      </c>
      <c r="Z1006">
        <f>IF(V1006&lt;&gt;1,0,IF(X1006="",0,IF(COUNTIF($X$3:X1005,X1006)&gt;0,1,0)))</f>
        <v>0</v>
      </c>
      <c r="AA1006">
        <f t="shared" si="94"/>
        <v>0</v>
      </c>
      <c r="AB1006">
        <f t="shared" si="95"/>
        <v>0</v>
      </c>
      <c r="AC1006">
        <f>IF(I1006="",0,L1006*IFERROR(INDEX(کاتالوگ_محصولات!$G$4:$G$303,MATCH(I1006,کاتالوگ_محصولات!$A$4:$A$303,0)),0))</f>
        <v>0</v>
      </c>
      <c r="AD1006">
        <f t="shared" si="98"/>
        <v>0</v>
      </c>
      <c r="AE1006" t="str">
        <f t="shared" si="99"/>
        <v/>
      </c>
    </row>
    <row r="1007" spans="22:31" ht="18" customHeight="1">
      <c r="V1007">
        <f>IF(A1007="",0,IF(COUNTIF($A$3:A1007,A1007)=1,1,0))</f>
        <v>0</v>
      </c>
      <c r="W1007">
        <f t="shared" si="96"/>
        <v>0</v>
      </c>
      <c r="X1007" t="str">
        <f t="shared" si="97"/>
        <v/>
      </c>
      <c r="Y1007">
        <f>IF(X1007="",0,IF(COUNTIF($X$3:X1007,X1007)=1,1,0))</f>
        <v>0</v>
      </c>
      <c r="Z1007">
        <f>IF(V1007&lt;&gt;1,0,IF(X1007="",0,IF(COUNTIF($X$3:X1006,X1007)&gt;0,1,0)))</f>
        <v>0</v>
      </c>
      <c r="AA1007">
        <f t="shared" si="94"/>
        <v>0</v>
      </c>
      <c r="AB1007">
        <f t="shared" si="95"/>
        <v>0</v>
      </c>
      <c r="AC1007">
        <f>IF(I1007="",0,L1007*IFERROR(INDEX(کاتالوگ_محصولات!$G$4:$G$303,MATCH(I1007,کاتالوگ_محصولات!$A$4:$A$303,0)),0))</f>
        <v>0</v>
      </c>
      <c r="AD1007">
        <f t="shared" si="98"/>
        <v>0</v>
      </c>
      <c r="AE1007" t="str">
        <f t="shared" si="99"/>
        <v/>
      </c>
    </row>
    <row r="1008" spans="22:31" ht="18" customHeight="1">
      <c r="V1008">
        <f>IF(A1008="",0,IF(COUNTIF($A$3:A1008,A1008)=1,1,0))</f>
        <v>0</v>
      </c>
      <c r="W1008">
        <f t="shared" si="96"/>
        <v>0</v>
      </c>
      <c r="X1008" t="str">
        <f t="shared" si="97"/>
        <v/>
      </c>
      <c r="Y1008">
        <f>IF(X1008="",0,IF(COUNTIF($X$3:X1008,X1008)=1,1,0))</f>
        <v>0</v>
      </c>
      <c r="Z1008">
        <f>IF(V1008&lt;&gt;1,0,IF(X1008="",0,IF(COUNTIF($X$3:X1007,X1008)&gt;0,1,0)))</f>
        <v>0</v>
      </c>
      <c r="AA1008">
        <f t="shared" si="94"/>
        <v>0</v>
      </c>
      <c r="AB1008">
        <f t="shared" si="95"/>
        <v>0</v>
      </c>
      <c r="AC1008">
        <f>IF(I1008="",0,L1008*IFERROR(INDEX(کاتالوگ_محصولات!$G$4:$G$303,MATCH(I1008,کاتالوگ_محصولات!$A$4:$A$303,0)),0))</f>
        <v>0</v>
      </c>
      <c r="AD1008">
        <f t="shared" si="98"/>
        <v>0</v>
      </c>
      <c r="AE1008" t="str">
        <f t="shared" si="99"/>
        <v/>
      </c>
    </row>
    <row r="1009" spans="22:31" ht="18" customHeight="1">
      <c r="V1009">
        <f>IF(A1009="",0,IF(COUNTIF($A$3:A1009,A1009)=1,1,0))</f>
        <v>0</v>
      </c>
      <c r="W1009">
        <f t="shared" si="96"/>
        <v>0</v>
      </c>
      <c r="X1009" t="str">
        <f t="shared" si="97"/>
        <v/>
      </c>
      <c r="Y1009">
        <f>IF(X1009="",0,IF(COUNTIF($X$3:X1009,X1009)=1,1,0))</f>
        <v>0</v>
      </c>
      <c r="Z1009">
        <f>IF(V1009&lt;&gt;1,0,IF(X1009="",0,IF(COUNTIF($X$3:X1008,X1009)&gt;0,1,0)))</f>
        <v>0</v>
      </c>
      <c r="AA1009">
        <f t="shared" si="94"/>
        <v>0</v>
      </c>
      <c r="AB1009">
        <f t="shared" si="95"/>
        <v>0</v>
      </c>
      <c r="AC1009">
        <f>IF(I1009="",0,L1009*IFERROR(INDEX(کاتالوگ_محصولات!$G$4:$G$303,MATCH(I1009,کاتالوگ_محصولات!$A$4:$A$303,0)),0))</f>
        <v>0</v>
      </c>
      <c r="AD1009">
        <f t="shared" si="98"/>
        <v>0</v>
      </c>
      <c r="AE1009" t="str">
        <f t="shared" si="99"/>
        <v/>
      </c>
    </row>
    <row r="1010" spans="22:31" ht="18" customHeight="1">
      <c r="V1010">
        <f>IF(A1010="",0,IF(COUNTIF($A$3:A1010,A1010)=1,1,0))</f>
        <v>0</v>
      </c>
      <c r="W1010">
        <f t="shared" si="96"/>
        <v>0</v>
      </c>
      <c r="X1010" t="str">
        <f t="shared" si="97"/>
        <v/>
      </c>
      <c r="Y1010">
        <f>IF(X1010="",0,IF(COUNTIF($X$3:X1010,X1010)=1,1,0))</f>
        <v>0</v>
      </c>
      <c r="Z1010">
        <f>IF(V1010&lt;&gt;1,0,IF(X1010="",0,IF(COUNTIF($X$3:X1009,X1010)&gt;0,1,0)))</f>
        <v>0</v>
      </c>
      <c r="AA1010">
        <f t="shared" si="94"/>
        <v>0</v>
      </c>
      <c r="AB1010">
        <f t="shared" si="95"/>
        <v>0</v>
      </c>
      <c r="AC1010">
        <f>IF(I1010="",0,L1010*IFERROR(INDEX(کاتالوگ_محصولات!$G$4:$G$303,MATCH(I1010,کاتالوگ_محصولات!$A$4:$A$303,0)),0))</f>
        <v>0</v>
      </c>
      <c r="AD1010">
        <f t="shared" si="98"/>
        <v>0</v>
      </c>
      <c r="AE1010" t="str">
        <f t="shared" si="99"/>
        <v/>
      </c>
    </row>
    <row r="1011" spans="22:31" ht="18" customHeight="1">
      <c r="V1011">
        <f>IF(A1011="",0,IF(COUNTIF($A$3:A1011,A1011)=1,1,0))</f>
        <v>0</v>
      </c>
      <c r="W1011">
        <f t="shared" si="96"/>
        <v>0</v>
      </c>
      <c r="X1011" t="str">
        <f t="shared" si="97"/>
        <v/>
      </c>
      <c r="Y1011">
        <f>IF(X1011="",0,IF(COUNTIF($X$3:X1011,X1011)=1,1,0))</f>
        <v>0</v>
      </c>
      <c r="Z1011">
        <f>IF(V1011&lt;&gt;1,0,IF(X1011="",0,IF(COUNTIF($X$3:X1010,X1011)&gt;0,1,0)))</f>
        <v>0</v>
      </c>
      <c r="AA1011">
        <f t="shared" si="94"/>
        <v>0</v>
      </c>
      <c r="AB1011">
        <f t="shared" si="95"/>
        <v>0</v>
      </c>
      <c r="AC1011">
        <f>IF(I1011="",0,L1011*IFERROR(INDEX(کاتالوگ_محصولات!$G$4:$G$303,MATCH(I1011,کاتالوگ_محصولات!$A$4:$A$303,0)),0))</f>
        <v>0</v>
      </c>
      <c r="AD1011">
        <f t="shared" si="98"/>
        <v>0</v>
      </c>
      <c r="AE1011" t="str">
        <f t="shared" si="99"/>
        <v/>
      </c>
    </row>
    <row r="1012" spans="22:31" ht="18" customHeight="1">
      <c r="V1012">
        <f>IF(A1012="",0,IF(COUNTIF($A$3:A1012,A1012)=1,1,0))</f>
        <v>0</v>
      </c>
      <c r="W1012">
        <f t="shared" si="96"/>
        <v>0</v>
      </c>
      <c r="X1012" t="str">
        <f t="shared" si="97"/>
        <v/>
      </c>
      <c r="Y1012">
        <f>IF(X1012="",0,IF(COUNTIF($X$3:X1012,X1012)=1,1,0))</f>
        <v>0</v>
      </c>
      <c r="Z1012">
        <f>IF(V1012&lt;&gt;1,0,IF(X1012="",0,IF(COUNTIF($X$3:X1011,X1012)&gt;0,1,0)))</f>
        <v>0</v>
      </c>
      <c r="AA1012">
        <f t="shared" si="94"/>
        <v>0</v>
      </c>
      <c r="AB1012">
        <f t="shared" si="95"/>
        <v>0</v>
      </c>
      <c r="AC1012">
        <f>IF(I1012="",0,L1012*IFERROR(INDEX(کاتالوگ_محصولات!$G$4:$G$303,MATCH(I1012,کاتالوگ_محصولات!$A$4:$A$303,0)),0))</f>
        <v>0</v>
      </c>
      <c r="AD1012">
        <f t="shared" si="98"/>
        <v>0</v>
      </c>
      <c r="AE1012" t="str">
        <f t="shared" si="99"/>
        <v/>
      </c>
    </row>
    <row r="1013" spans="22:31" ht="18" customHeight="1">
      <c r="V1013">
        <f>IF(A1013="",0,IF(COUNTIF($A$3:A1013,A1013)=1,1,0))</f>
        <v>0</v>
      </c>
      <c r="W1013">
        <f t="shared" si="96"/>
        <v>0</v>
      </c>
      <c r="X1013" t="str">
        <f t="shared" si="97"/>
        <v/>
      </c>
      <c r="Y1013">
        <f>IF(X1013="",0,IF(COUNTIF($X$3:X1013,X1013)=1,1,0))</f>
        <v>0</v>
      </c>
      <c r="Z1013">
        <f>IF(V1013&lt;&gt;1,0,IF(X1013="",0,IF(COUNTIF($X$3:X1012,X1013)&gt;0,1,0)))</f>
        <v>0</v>
      </c>
      <c r="AA1013">
        <f t="shared" si="94"/>
        <v>0</v>
      </c>
      <c r="AB1013">
        <f t="shared" si="95"/>
        <v>0</v>
      </c>
      <c r="AC1013">
        <f>IF(I1013="",0,L1013*IFERROR(INDEX(کاتالوگ_محصولات!$G$4:$G$303,MATCH(I1013,کاتالوگ_محصولات!$A$4:$A$303,0)),0))</f>
        <v>0</v>
      </c>
      <c r="AD1013">
        <f t="shared" si="98"/>
        <v>0</v>
      </c>
      <c r="AE1013" t="str">
        <f t="shared" si="99"/>
        <v/>
      </c>
    </row>
    <row r="1014" spans="22:31" ht="18" customHeight="1">
      <c r="V1014">
        <f>IF(A1014="",0,IF(COUNTIF($A$3:A1014,A1014)=1,1,0))</f>
        <v>0</v>
      </c>
      <c r="W1014">
        <f t="shared" si="96"/>
        <v>0</v>
      </c>
      <c r="X1014" t="str">
        <f t="shared" si="97"/>
        <v/>
      </c>
      <c r="Y1014">
        <f>IF(X1014="",0,IF(COUNTIF($X$3:X1014,X1014)=1,1,0))</f>
        <v>0</v>
      </c>
      <c r="Z1014">
        <f>IF(V1014&lt;&gt;1,0,IF(X1014="",0,IF(COUNTIF($X$3:X1013,X1014)&gt;0,1,0)))</f>
        <v>0</v>
      </c>
      <c r="AA1014">
        <f t="shared" si="94"/>
        <v>0</v>
      </c>
      <c r="AB1014">
        <f t="shared" si="95"/>
        <v>0</v>
      </c>
      <c r="AC1014">
        <f>IF(I1014="",0,L1014*IFERROR(INDEX(کاتالوگ_محصولات!$G$4:$G$303,MATCH(I1014,کاتالوگ_محصولات!$A$4:$A$303,0)),0))</f>
        <v>0</v>
      </c>
      <c r="AD1014">
        <f t="shared" si="98"/>
        <v>0</v>
      </c>
      <c r="AE1014" t="str">
        <f t="shared" si="99"/>
        <v/>
      </c>
    </row>
    <row r="1015" spans="22:31" ht="18" customHeight="1">
      <c r="V1015">
        <f>IF(A1015="",0,IF(COUNTIF($A$3:A1015,A1015)=1,1,0))</f>
        <v>0</v>
      </c>
      <c r="W1015">
        <f t="shared" si="96"/>
        <v>0</v>
      </c>
      <c r="X1015" t="str">
        <f t="shared" si="97"/>
        <v/>
      </c>
      <c r="Y1015">
        <f>IF(X1015="",0,IF(COUNTIF($X$3:X1015,X1015)=1,1,0))</f>
        <v>0</v>
      </c>
      <c r="Z1015">
        <f>IF(V1015&lt;&gt;1,0,IF(X1015="",0,IF(COUNTIF($X$3:X1014,X1015)&gt;0,1,0)))</f>
        <v>0</v>
      </c>
      <c r="AA1015">
        <f t="shared" si="94"/>
        <v>0</v>
      </c>
      <c r="AB1015">
        <f t="shared" si="95"/>
        <v>0</v>
      </c>
      <c r="AC1015">
        <f>IF(I1015="",0,L1015*IFERROR(INDEX(کاتالوگ_محصولات!$G$4:$G$303,MATCH(I1015,کاتالوگ_محصولات!$A$4:$A$303,0)),0))</f>
        <v>0</v>
      </c>
      <c r="AD1015">
        <f t="shared" si="98"/>
        <v>0</v>
      </c>
      <c r="AE1015" t="str">
        <f t="shared" si="99"/>
        <v/>
      </c>
    </row>
    <row r="1016" spans="22:31" ht="18" customHeight="1">
      <c r="V1016">
        <f>IF(A1016="",0,IF(COUNTIF($A$3:A1016,A1016)=1,1,0))</f>
        <v>0</v>
      </c>
      <c r="W1016">
        <f t="shared" si="96"/>
        <v>0</v>
      </c>
      <c r="X1016" t="str">
        <f t="shared" si="97"/>
        <v/>
      </c>
      <c r="Y1016">
        <f>IF(X1016="",0,IF(COUNTIF($X$3:X1016,X1016)=1,1,0))</f>
        <v>0</v>
      </c>
      <c r="Z1016">
        <f>IF(V1016&lt;&gt;1,0,IF(X1016="",0,IF(COUNTIF($X$3:X1015,X1016)&gt;0,1,0)))</f>
        <v>0</v>
      </c>
      <c r="AA1016">
        <f t="shared" si="94"/>
        <v>0</v>
      </c>
      <c r="AB1016">
        <f t="shared" si="95"/>
        <v>0</v>
      </c>
      <c r="AC1016">
        <f>IF(I1016="",0,L1016*IFERROR(INDEX(کاتالوگ_محصولات!$G$4:$G$303,MATCH(I1016,کاتالوگ_محصولات!$A$4:$A$303,0)),0))</f>
        <v>0</v>
      </c>
      <c r="AD1016">
        <f t="shared" si="98"/>
        <v>0</v>
      </c>
      <c r="AE1016" t="str">
        <f t="shared" si="99"/>
        <v/>
      </c>
    </row>
    <row r="1017" spans="22:31" ht="18" customHeight="1">
      <c r="V1017">
        <f>IF(A1017="",0,IF(COUNTIF($A$3:A1017,A1017)=1,1,0))</f>
        <v>0</v>
      </c>
      <c r="W1017">
        <f t="shared" si="96"/>
        <v>0</v>
      </c>
      <c r="X1017" t="str">
        <f t="shared" si="97"/>
        <v/>
      </c>
      <c r="Y1017">
        <f>IF(X1017="",0,IF(COUNTIF($X$3:X1017,X1017)=1,1,0))</f>
        <v>0</v>
      </c>
      <c r="Z1017">
        <f>IF(V1017&lt;&gt;1,0,IF(X1017="",0,IF(COUNTIF($X$3:X1016,X1017)&gt;0,1,0)))</f>
        <v>0</v>
      </c>
      <c r="AA1017">
        <f t="shared" si="94"/>
        <v>0</v>
      </c>
      <c r="AB1017">
        <f t="shared" si="95"/>
        <v>0</v>
      </c>
      <c r="AC1017">
        <f>IF(I1017="",0,L1017*IFERROR(INDEX(کاتالوگ_محصولات!$G$4:$G$303,MATCH(I1017,کاتالوگ_محصولات!$A$4:$A$303,0)),0))</f>
        <v>0</v>
      </c>
      <c r="AD1017">
        <f t="shared" si="98"/>
        <v>0</v>
      </c>
      <c r="AE1017" t="str">
        <f t="shared" si="99"/>
        <v/>
      </c>
    </row>
    <row r="1018" spans="22:31" ht="18" customHeight="1">
      <c r="V1018">
        <f>IF(A1018="",0,IF(COUNTIF($A$3:A1018,A1018)=1,1,0))</f>
        <v>0</v>
      </c>
      <c r="W1018">
        <f t="shared" si="96"/>
        <v>0</v>
      </c>
      <c r="X1018" t="str">
        <f t="shared" si="97"/>
        <v/>
      </c>
      <c r="Y1018">
        <f>IF(X1018="",0,IF(COUNTIF($X$3:X1018,X1018)=1,1,0))</f>
        <v>0</v>
      </c>
      <c r="Z1018">
        <f>IF(V1018&lt;&gt;1,0,IF(X1018="",0,IF(COUNTIF($X$3:X1017,X1018)&gt;0,1,0)))</f>
        <v>0</v>
      </c>
      <c r="AA1018">
        <f t="shared" si="94"/>
        <v>0</v>
      </c>
      <c r="AB1018">
        <f t="shared" si="95"/>
        <v>0</v>
      </c>
      <c r="AC1018">
        <f>IF(I1018="",0,L1018*IFERROR(INDEX(کاتالوگ_محصولات!$G$4:$G$303,MATCH(I1018,کاتالوگ_محصولات!$A$4:$A$303,0)),0))</f>
        <v>0</v>
      </c>
      <c r="AD1018">
        <f t="shared" si="98"/>
        <v>0</v>
      </c>
      <c r="AE1018" t="str">
        <f t="shared" si="99"/>
        <v/>
      </c>
    </row>
    <row r="1019" spans="22:31" ht="18" customHeight="1">
      <c r="V1019">
        <f>IF(A1019="",0,IF(COUNTIF($A$3:A1019,A1019)=1,1,0))</f>
        <v>0</v>
      </c>
      <c r="W1019">
        <f t="shared" si="96"/>
        <v>0</v>
      </c>
      <c r="X1019" t="str">
        <f t="shared" si="97"/>
        <v/>
      </c>
      <c r="Y1019">
        <f>IF(X1019="",0,IF(COUNTIF($X$3:X1019,X1019)=1,1,0))</f>
        <v>0</v>
      </c>
      <c r="Z1019">
        <f>IF(V1019&lt;&gt;1,0,IF(X1019="",0,IF(COUNTIF($X$3:X1018,X1019)&gt;0,1,0)))</f>
        <v>0</v>
      </c>
      <c r="AA1019">
        <f t="shared" si="94"/>
        <v>0</v>
      </c>
      <c r="AB1019">
        <f t="shared" si="95"/>
        <v>0</v>
      </c>
      <c r="AC1019">
        <f>IF(I1019="",0,L1019*IFERROR(INDEX(کاتالوگ_محصولات!$G$4:$G$303,MATCH(I1019,کاتالوگ_محصولات!$A$4:$A$303,0)),0))</f>
        <v>0</v>
      </c>
      <c r="AD1019">
        <f t="shared" si="98"/>
        <v>0</v>
      </c>
      <c r="AE1019" t="str">
        <f t="shared" si="99"/>
        <v/>
      </c>
    </row>
    <row r="1020" spans="22:31" ht="18" customHeight="1">
      <c r="V1020">
        <f>IF(A1020="",0,IF(COUNTIF($A$3:A1020,A1020)=1,1,0))</f>
        <v>0</v>
      </c>
      <c r="W1020">
        <f t="shared" si="96"/>
        <v>0</v>
      </c>
      <c r="X1020" t="str">
        <f t="shared" si="97"/>
        <v/>
      </c>
      <c r="Y1020">
        <f>IF(X1020="",0,IF(COUNTIF($X$3:X1020,X1020)=1,1,0))</f>
        <v>0</v>
      </c>
      <c r="Z1020">
        <f>IF(V1020&lt;&gt;1,0,IF(X1020="",0,IF(COUNTIF($X$3:X1019,X1020)&gt;0,1,0)))</f>
        <v>0</v>
      </c>
      <c r="AA1020">
        <f t="shared" si="94"/>
        <v>0</v>
      </c>
      <c r="AB1020">
        <f t="shared" si="95"/>
        <v>0</v>
      </c>
      <c r="AC1020">
        <f>IF(I1020="",0,L1020*IFERROR(INDEX(کاتالوگ_محصولات!$G$4:$G$303,MATCH(I1020,کاتالوگ_محصولات!$A$4:$A$303,0)),0))</f>
        <v>0</v>
      </c>
      <c r="AD1020">
        <f t="shared" si="98"/>
        <v>0</v>
      </c>
      <c r="AE1020" t="str">
        <f t="shared" si="99"/>
        <v/>
      </c>
    </row>
    <row r="1021" spans="22:31" ht="18" customHeight="1">
      <c r="V1021">
        <f>IF(A1021="",0,IF(COUNTIF($A$3:A1021,A1021)=1,1,0))</f>
        <v>0</v>
      </c>
      <c r="W1021">
        <f t="shared" si="96"/>
        <v>0</v>
      </c>
      <c r="X1021" t="str">
        <f t="shared" si="97"/>
        <v/>
      </c>
      <c r="Y1021">
        <f>IF(X1021="",0,IF(COUNTIF($X$3:X1021,X1021)=1,1,0))</f>
        <v>0</v>
      </c>
      <c r="Z1021">
        <f>IF(V1021&lt;&gt;1,0,IF(X1021="",0,IF(COUNTIF($X$3:X1020,X1021)&gt;0,1,0)))</f>
        <v>0</v>
      </c>
      <c r="AA1021">
        <f t="shared" si="94"/>
        <v>0</v>
      </c>
      <c r="AB1021">
        <f t="shared" si="95"/>
        <v>0</v>
      </c>
      <c r="AC1021">
        <f>IF(I1021="",0,L1021*IFERROR(INDEX(کاتالوگ_محصولات!$G$4:$G$303,MATCH(I1021,کاتالوگ_محصولات!$A$4:$A$303,0)),0))</f>
        <v>0</v>
      </c>
      <c r="AD1021">
        <f t="shared" si="98"/>
        <v>0</v>
      </c>
      <c r="AE1021" t="str">
        <f t="shared" si="99"/>
        <v/>
      </c>
    </row>
    <row r="1022" spans="22:31" ht="18" customHeight="1">
      <c r="V1022">
        <f>IF(A1022="",0,IF(COUNTIF($A$3:A1022,A1022)=1,1,0))</f>
        <v>0</v>
      </c>
      <c r="W1022">
        <f t="shared" si="96"/>
        <v>0</v>
      </c>
      <c r="X1022" t="str">
        <f t="shared" si="97"/>
        <v/>
      </c>
      <c r="Y1022">
        <f>IF(X1022="",0,IF(COUNTIF($X$3:X1022,X1022)=1,1,0))</f>
        <v>0</v>
      </c>
      <c r="Z1022">
        <f>IF(V1022&lt;&gt;1,0,IF(X1022="",0,IF(COUNTIF($X$3:X1021,X1022)&gt;0,1,0)))</f>
        <v>0</v>
      </c>
      <c r="AA1022">
        <f t="shared" si="94"/>
        <v>0</v>
      </c>
      <c r="AB1022">
        <f t="shared" si="95"/>
        <v>0</v>
      </c>
      <c r="AC1022">
        <f>IF(I1022="",0,L1022*IFERROR(INDEX(کاتالوگ_محصولات!$G$4:$G$303,MATCH(I1022,کاتالوگ_محصولات!$A$4:$A$303,0)),0))</f>
        <v>0</v>
      </c>
      <c r="AD1022">
        <f t="shared" si="98"/>
        <v>0</v>
      </c>
      <c r="AE1022" t="str">
        <f t="shared" si="99"/>
        <v/>
      </c>
    </row>
    <row r="1023" spans="22:31" ht="18" customHeight="1">
      <c r="V1023">
        <f>IF(A1023="",0,IF(COUNTIF($A$3:A1023,A1023)=1,1,0))</f>
        <v>0</v>
      </c>
      <c r="W1023">
        <f t="shared" si="96"/>
        <v>0</v>
      </c>
      <c r="X1023" t="str">
        <f t="shared" si="97"/>
        <v/>
      </c>
      <c r="Y1023">
        <f>IF(X1023="",0,IF(COUNTIF($X$3:X1023,X1023)=1,1,0))</f>
        <v>0</v>
      </c>
      <c r="Z1023">
        <f>IF(V1023&lt;&gt;1,0,IF(X1023="",0,IF(COUNTIF($X$3:X1022,X1023)&gt;0,1,0)))</f>
        <v>0</v>
      </c>
      <c r="AA1023">
        <f t="shared" si="94"/>
        <v>0</v>
      </c>
      <c r="AB1023">
        <f t="shared" si="95"/>
        <v>0</v>
      </c>
      <c r="AC1023">
        <f>IF(I1023="",0,L1023*IFERROR(INDEX(کاتالوگ_محصولات!$G$4:$G$303,MATCH(I1023,کاتالوگ_محصولات!$A$4:$A$303,0)),0))</f>
        <v>0</v>
      </c>
      <c r="AD1023">
        <f t="shared" si="98"/>
        <v>0</v>
      </c>
      <c r="AE1023" t="str">
        <f t="shared" si="99"/>
        <v/>
      </c>
    </row>
    <row r="1024" spans="22:31" ht="18" customHeight="1">
      <c r="V1024">
        <f>IF(A1024="",0,IF(COUNTIF($A$3:A1024,A1024)=1,1,0))</f>
        <v>0</v>
      </c>
      <c r="W1024">
        <f t="shared" si="96"/>
        <v>0</v>
      </c>
      <c r="X1024" t="str">
        <f t="shared" si="97"/>
        <v/>
      </c>
      <c r="Y1024">
        <f>IF(X1024="",0,IF(COUNTIF($X$3:X1024,X1024)=1,1,0))</f>
        <v>0</v>
      </c>
      <c r="Z1024">
        <f>IF(V1024&lt;&gt;1,0,IF(X1024="",0,IF(COUNTIF($X$3:X1023,X1024)&gt;0,1,0)))</f>
        <v>0</v>
      </c>
      <c r="AA1024">
        <f t="shared" si="94"/>
        <v>0</v>
      </c>
      <c r="AB1024">
        <f t="shared" si="95"/>
        <v>0</v>
      </c>
      <c r="AC1024">
        <f>IF(I1024="",0,L1024*IFERROR(INDEX(کاتالوگ_محصولات!$G$4:$G$303,MATCH(I1024,کاتالوگ_محصولات!$A$4:$A$303,0)),0))</f>
        <v>0</v>
      </c>
      <c r="AD1024">
        <f t="shared" si="98"/>
        <v>0</v>
      </c>
      <c r="AE1024" t="str">
        <f t="shared" si="99"/>
        <v/>
      </c>
    </row>
    <row r="1025" spans="22:31" ht="18" customHeight="1">
      <c r="V1025">
        <f>IF(A1025="",0,IF(COUNTIF($A$3:A1025,A1025)=1,1,0))</f>
        <v>0</v>
      </c>
      <c r="W1025">
        <f t="shared" si="96"/>
        <v>0</v>
      </c>
      <c r="X1025" t="str">
        <f t="shared" si="97"/>
        <v/>
      </c>
      <c r="Y1025">
        <f>IF(X1025="",0,IF(COUNTIF($X$3:X1025,X1025)=1,1,0))</f>
        <v>0</v>
      </c>
      <c r="Z1025">
        <f>IF(V1025&lt;&gt;1,0,IF(X1025="",0,IF(COUNTIF($X$3:X1024,X1025)&gt;0,1,0)))</f>
        <v>0</v>
      </c>
      <c r="AA1025">
        <f t="shared" si="94"/>
        <v>0</v>
      </c>
      <c r="AB1025">
        <f t="shared" si="95"/>
        <v>0</v>
      </c>
      <c r="AC1025">
        <f>IF(I1025="",0,L1025*IFERROR(INDEX(کاتالوگ_محصولات!$G$4:$G$303,MATCH(I1025,کاتالوگ_محصولات!$A$4:$A$303,0)),0))</f>
        <v>0</v>
      </c>
      <c r="AD1025">
        <f t="shared" si="98"/>
        <v>0</v>
      </c>
      <c r="AE1025" t="str">
        <f t="shared" si="99"/>
        <v/>
      </c>
    </row>
    <row r="1026" spans="22:31" ht="18" customHeight="1">
      <c r="V1026">
        <f>IF(A1026="",0,IF(COUNTIF($A$3:A1026,A1026)=1,1,0))</f>
        <v>0</v>
      </c>
      <c r="W1026">
        <f t="shared" si="96"/>
        <v>0</v>
      </c>
      <c r="X1026" t="str">
        <f t="shared" si="97"/>
        <v/>
      </c>
      <c r="Y1026">
        <f>IF(X1026="",0,IF(COUNTIF($X$3:X1026,X1026)=1,1,0))</f>
        <v>0</v>
      </c>
      <c r="Z1026">
        <f>IF(V1026&lt;&gt;1,0,IF(X1026="",0,IF(COUNTIF($X$3:X1025,X1026)&gt;0,1,0)))</f>
        <v>0</v>
      </c>
      <c r="AA1026">
        <f t="shared" si="94"/>
        <v>0</v>
      </c>
      <c r="AB1026">
        <f t="shared" si="95"/>
        <v>0</v>
      </c>
      <c r="AC1026">
        <f>IF(I1026="",0,L1026*IFERROR(INDEX(کاتالوگ_محصولات!$G$4:$G$303,MATCH(I1026,کاتالوگ_محصولات!$A$4:$A$303,0)),0))</f>
        <v>0</v>
      </c>
      <c r="AD1026">
        <f t="shared" si="98"/>
        <v>0</v>
      </c>
      <c r="AE1026" t="str">
        <f t="shared" si="99"/>
        <v/>
      </c>
    </row>
    <row r="1027" spans="22:31" ht="18" customHeight="1">
      <c r="V1027">
        <f>IF(A1027="",0,IF(COUNTIF($A$3:A1027,A1027)=1,1,0))</f>
        <v>0</v>
      </c>
      <c r="W1027">
        <f t="shared" si="96"/>
        <v>0</v>
      </c>
      <c r="X1027" t="str">
        <f t="shared" si="97"/>
        <v/>
      </c>
      <c r="Y1027">
        <f>IF(X1027="",0,IF(COUNTIF($X$3:X1027,X1027)=1,1,0))</f>
        <v>0</v>
      </c>
      <c r="Z1027">
        <f>IF(V1027&lt;&gt;1,0,IF(X1027="",0,IF(COUNTIF($X$3:X1026,X1027)&gt;0,1,0)))</f>
        <v>0</v>
      </c>
      <c r="AA1027">
        <f t="shared" ref="AA1027:AA1090" si="100">IF(V1027=1,SUMIF($A$3:$A$1622,A1027,$O$3:$O$1622),0)</f>
        <v>0</v>
      </c>
      <c r="AB1027">
        <f t="shared" ref="AB1027:AB1090" si="101">IF(V1027=1,SUMIF($A$3:$A$1622,A1027,$L$3:$L$1622),0)</f>
        <v>0</v>
      </c>
      <c r="AC1027">
        <f>IF(I1027="",0,L1027*IFERROR(INDEX(کاتالوگ_محصولات!$G$4:$G$303,MATCH(I1027,کاتالوگ_محصولات!$A$4:$A$303,0)),0))</f>
        <v>0</v>
      </c>
      <c r="AD1027">
        <f t="shared" si="98"/>
        <v>0</v>
      </c>
      <c r="AE1027" t="str">
        <f t="shared" si="99"/>
        <v/>
      </c>
    </row>
    <row r="1028" spans="22:31" ht="18" customHeight="1">
      <c r="V1028">
        <f>IF(A1028="",0,IF(COUNTIF($A$3:A1028,A1028)=1,1,0))</f>
        <v>0</v>
      </c>
      <c r="W1028">
        <f t="shared" si="96"/>
        <v>0</v>
      </c>
      <c r="X1028" t="str">
        <f t="shared" si="97"/>
        <v/>
      </c>
      <c r="Y1028">
        <f>IF(X1028="",0,IF(COUNTIF($X$3:X1028,X1028)=1,1,0))</f>
        <v>0</v>
      </c>
      <c r="Z1028">
        <f>IF(V1028&lt;&gt;1,0,IF(X1028="",0,IF(COUNTIF($X$3:X1027,X1028)&gt;0,1,0)))</f>
        <v>0</v>
      </c>
      <c r="AA1028">
        <f t="shared" si="100"/>
        <v>0</v>
      </c>
      <c r="AB1028">
        <f t="shared" si="101"/>
        <v>0</v>
      </c>
      <c r="AC1028">
        <f>IF(I1028="",0,L1028*IFERROR(INDEX(کاتالوگ_محصولات!$G$4:$G$303,MATCH(I1028,کاتالوگ_محصولات!$A$4:$A$303,0)),0))</f>
        <v>0</v>
      </c>
      <c r="AD1028">
        <f t="shared" si="98"/>
        <v>0</v>
      </c>
      <c r="AE1028" t="str">
        <f t="shared" si="99"/>
        <v/>
      </c>
    </row>
    <row r="1029" spans="22:31" ht="18" customHeight="1">
      <c r="V1029">
        <f>IF(A1029="",0,IF(COUNTIF($A$3:A1029,A1029)=1,1,0))</f>
        <v>0</v>
      </c>
      <c r="W1029">
        <f t="shared" si="96"/>
        <v>0</v>
      </c>
      <c r="X1029" t="str">
        <f t="shared" si="97"/>
        <v/>
      </c>
      <c r="Y1029">
        <f>IF(X1029="",0,IF(COUNTIF($X$3:X1029,X1029)=1,1,0))</f>
        <v>0</v>
      </c>
      <c r="Z1029">
        <f>IF(V1029&lt;&gt;1,0,IF(X1029="",0,IF(COUNTIF($X$3:X1028,X1029)&gt;0,1,0)))</f>
        <v>0</v>
      </c>
      <c r="AA1029">
        <f t="shared" si="100"/>
        <v>0</v>
      </c>
      <c r="AB1029">
        <f t="shared" si="101"/>
        <v>0</v>
      </c>
      <c r="AC1029">
        <f>IF(I1029="",0,L1029*IFERROR(INDEX(کاتالوگ_محصولات!$G$4:$G$303,MATCH(I1029,کاتالوگ_محصولات!$A$4:$A$303,0)),0))</f>
        <v>0</v>
      </c>
      <c r="AD1029">
        <f t="shared" si="98"/>
        <v>0</v>
      </c>
      <c r="AE1029" t="str">
        <f t="shared" si="99"/>
        <v/>
      </c>
    </row>
    <row r="1030" spans="22:31" ht="18" customHeight="1">
      <c r="V1030">
        <f>IF(A1030="",0,IF(COUNTIF($A$3:A1030,A1030)=1,1,0))</f>
        <v>0</v>
      </c>
      <c r="W1030">
        <f t="shared" si="96"/>
        <v>0</v>
      </c>
      <c r="X1030" t="str">
        <f t="shared" si="97"/>
        <v/>
      </c>
      <c r="Y1030">
        <f>IF(X1030="",0,IF(COUNTIF($X$3:X1030,X1030)=1,1,0))</f>
        <v>0</v>
      </c>
      <c r="Z1030">
        <f>IF(V1030&lt;&gt;1,0,IF(X1030="",0,IF(COUNTIF($X$3:X1029,X1030)&gt;0,1,0)))</f>
        <v>0</v>
      </c>
      <c r="AA1030">
        <f t="shared" si="100"/>
        <v>0</v>
      </c>
      <c r="AB1030">
        <f t="shared" si="101"/>
        <v>0</v>
      </c>
      <c r="AC1030">
        <f>IF(I1030="",0,L1030*IFERROR(INDEX(کاتالوگ_محصولات!$G$4:$G$303,MATCH(I1030,کاتالوگ_محصولات!$A$4:$A$303,0)),0))</f>
        <v>0</v>
      </c>
      <c r="AD1030">
        <f t="shared" si="98"/>
        <v>0</v>
      </c>
      <c r="AE1030" t="str">
        <f t="shared" si="99"/>
        <v/>
      </c>
    </row>
    <row r="1031" spans="22:31" ht="18" customHeight="1">
      <c r="V1031">
        <f>IF(A1031="",0,IF(COUNTIF($A$3:A1031,A1031)=1,1,0))</f>
        <v>0</v>
      </c>
      <c r="W1031">
        <f t="shared" si="96"/>
        <v>0</v>
      </c>
      <c r="X1031" t="str">
        <f t="shared" si="97"/>
        <v/>
      </c>
      <c r="Y1031">
        <f>IF(X1031="",0,IF(COUNTIF($X$3:X1031,X1031)=1,1,0))</f>
        <v>0</v>
      </c>
      <c r="Z1031">
        <f>IF(V1031&lt;&gt;1,0,IF(X1031="",0,IF(COUNTIF($X$3:X1030,X1031)&gt;0,1,0)))</f>
        <v>0</v>
      </c>
      <c r="AA1031">
        <f t="shared" si="100"/>
        <v>0</v>
      </c>
      <c r="AB1031">
        <f t="shared" si="101"/>
        <v>0</v>
      </c>
      <c r="AC1031">
        <f>IF(I1031="",0,L1031*IFERROR(INDEX(کاتالوگ_محصولات!$G$4:$G$303,MATCH(I1031,کاتالوگ_محصولات!$A$4:$A$303,0)),0))</f>
        <v>0</v>
      </c>
      <c r="AD1031">
        <f t="shared" si="98"/>
        <v>0</v>
      </c>
      <c r="AE1031" t="str">
        <f t="shared" si="99"/>
        <v/>
      </c>
    </row>
    <row r="1032" spans="22:31" ht="18" customHeight="1">
      <c r="V1032">
        <f>IF(A1032="",0,IF(COUNTIF($A$3:A1032,A1032)=1,1,0))</f>
        <v>0</v>
      </c>
      <c r="W1032">
        <f t="shared" si="96"/>
        <v>0</v>
      </c>
      <c r="X1032" t="str">
        <f t="shared" si="97"/>
        <v/>
      </c>
      <c r="Y1032">
        <f>IF(X1032="",0,IF(COUNTIF($X$3:X1032,X1032)=1,1,0))</f>
        <v>0</v>
      </c>
      <c r="Z1032">
        <f>IF(V1032&lt;&gt;1,0,IF(X1032="",0,IF(COUNTIF($X$3:X1031,X1032)&gt;0,1,0)))</f>
        <v>0</v>
      </c>
      <c r="AA1032">
        <f t="shared" si="100"/>
        <v>0</v>
      </c>
      <c r="AB1032">
        <f t="shared" si="101"/>
        <v>0</v>
      </c>
      <c r="AC1032">
        <f>IF(I1032="",0,L1032*IFERROR(INDEX(کاتالوگ_محصولات!$G$4:$G$303,MATCH(I1032,کاتالوگ_محصولات!$A$4:$A$303,0)),0))</f>
        <v>0</v>
      </c>
      <c r="AD1032">
        <f t="shared" si="98"/>
        <v>0</v>
      </c>
      <c r="AE1032" t="str">
        <f t="shared" si="99"/>
        <v/>
      </c>
    </row>
    <row r="1033" spans="22:31" ht="18" customHeight="1">
      <c r="V1033">
        <f>IF(A1033="",0,IF(COUNTIF($A$3:A1033,A1033)=1,1,0))</f>
        <v>0</v>
      </c>
      <c r="W1033">
        <f t="shared" ref="W1033:W1096" si="102">IF(A1033="",0,L1033*M1033)</f>
        <v>0</v>
      </c>
      <c r="X1033" t="str">
        <f t="shared" ref="X1033:X1096" si="103">IF(R1033&lt;&gt;"",R1033,IF(AND(P1033&lt;&gt;"",Q1033&lt;&gt;""),P1033&amp;"|"&amp;Q1033,""))</f>
        <v/>
      </c>
      <c r="Y1033">
        <f>IF(X1033="",0,IF(COUNTIF($X$3:X1033,X1033)=1,1,0))</f>
        <v>0</v>
      </c>
      <c r="Z1033">
        <f>IF(V1033&lt;&gt;1,0,IF(X1033="",0,IF(COUNTIF($X$3:X1032,X1033)&gt;0,1,0)))</f>
        <v>0</v>
      </c>
      <c r="AA1033">
        <f t="shared" si="100"/>
        <v>0</v>
      </c>
      <c r="AB1033">
        <f t="shared" si="101"/>
        <v>0</v>
      </c>
      <c r="AC1033">
        <f>IF(I1033="",0,L1033*IFERROR(INDEX(کاتالوگ_محصولات!$G$4:$G$303,MATCH(I1033,کاتالوگ_محصولات!$A$4:$A$303,0)),0))</f>
        <v>0</v>
      </c>
      <c r="AD1033">
        <f t="shared" ref="AD1033:AD1096" si="104">IF(A1033="",0,O1033-AC1033)</f>
        <v>0</v>
      </c>
      <c r="AE1033" t="str">
        <f t="shared" ref="AE1033:AE1096" si="105">IF(B1033="","",LEFT(B1033,7))</f>
        <v/>
      </c>
    </row>
    <row r="1034" spans="22:31" ht="18" customHeight="1">
      <c r="V1034">
        <f>IF(A1034="",0,IF(COUNTIF($A$3:A1034,A1034)=1,1,0))</f>
        <v>0</v>
      </c>
      <c r="W1034">
        <f t="shared" si="102"/>
        <v>0</v>
      </c>
      <c r="X1034" t="str">
        <f t="shared" si="103"/>
        <v/>
      </c>
      <c r="Y1034">
        <f>IF(X1034="",0,IF(COUNTIF($X$3:X1034,X1034)=1,1,0))</f>
        <v>0</v>
      </c>
      <c r="Z1034">
        <f>IF(V1034&lt;&gt;1,0,IF(X1034="",0,IF(COUNTIF($X$3:X1033,X1034)&gt;0,1,0)))</f>
        <v>0</v>
      </c>
      <c r="AA1034">
        <f t="shared" si="100"/>
        <v>0</v>
      </c>
      <c r="AB1034">
        <f t="shared" si="101"/>
        <v>0</v>
      </c>
      <c r="AC1034">
        <f>IF(I1034="",0,L1034*IFERROR(INDEX(کاتالوگ_محصولات!$G$4:$G$303,MATCH(I1034,کاتالوگ_محصولات!$A$4:$A$303,0)),0))</f>
        <v>0</v>
      </c>
      <c r="AD1034">
        <f t="shared" si="104"/>
        <v>0</v>
      </c>
      <c r="AE1034" t="str">
        <f t="shared" si="105"/>
        <v/>
      </c>
    </row>
    <row r="1035" spans="22:31" ht="18" customHeight="1">
      <c r="V1035">
        <f>IF(A1035="",0,IF(COUNTIF($A$3:A1035,A1035)=1,1,0))</f>
        <v>0</v>
      </c>
      <c r="W1035">
        <f t="shared" si="102"/>
        <v>0</v>
      </c>
      <c r="X1035" t="str">
        <f t="shared" si="103"/>
        <v/>
      </c>
      <c r="Y1035">
        <f>IF(X1035="",0,IF(COUNTIF($X$3:X1035,X1035)=1,1,0))</f>
        <v>0</v>
      </c>
      <c r="Z1035">
        <f>IF(V1035&lt;&gt;1,0,IF(X1035="",0,IF(COUNTIF($X$3:X1034,X1035)&gt;0,1,0)))</f>
        <v>0</v>
      </c>
      <c r="AA1035">
        <f t="shared" si="100"/>
        <v>0</v>
      </c>
      <c r="AB1035">
        <f t="shared" si="101"/>
        <v>0</v>
      </c>
      <c r="AC1035">
        <f>IF(I1035="",0,L1035*IFERROR(INDEX(کاتالوگ_محصولات!$G$4:$G$303,MATCH(I1035,کاتالوگ_محصولات!$A$4:$A$303,0)),0))</f>
        <v>0</v>
      </c>
      <c r="AD1035">
        <f t="shared" si="104"/>
        <v>0</v>
      </c>
      <c r="AE1035" t="str">
        <f t="shared" si="105"/>
        <v/>
      </c>
    </row>
    <row r="1036" spans="22:31" ht="18" customHeight="1">
      <c r="V1036">
        <f>IF(A1036="",0,IF(COUNTIF($A$3:A1036,A1036)=1,1,0))</f>
        <v>0</v>
      </c>
      <c r="W1036">
        <f t="shared" si="102"/>
        <v>0</v>
      </c>
      <c r="X1036" t="str">
        <f t="shared" si="103"/>
        <v/>
      </c>
      <c r="Y1036">
        <f>IF(X1036="",0,IF(COUNTIF($X$3:X1036,X1036)=1,1,0))</f>
        <v>0</v>
      </c>
      <c r="Z1036">
        <f>IF(V1036&lt;&gt;1,0,IF(X1036="",0,IF(COUNTIF($X$3:X1035,X1036)&gt;0,1,0)))</f>
        <v>0</v>
      </c>
      <c r="AA1036">
        <f t="shared" si="100"/>
        <v>0</v>
      </c>
      <c r="AB1036">
        <f t="shared" si="101"/>
        <v>0</v>
      </c>
      <c r="AC1036">
        <f>IF(I1036="",0,L1036*IFERROR(INDEX(کاتالوگ_محصولات!$G$4:$G$303,MATCH(I1036,کاتالوگ_محصولات!$A$4:$A$303,0)),0))</f>
        <v>0</v>
      </c>
      <c r="AD1036">
        <f t="shared" si="104"/>
        <v>0</v>
      </c>
      <c r="AE1036" t="str">
        <f t="shared" si="105"/>
        <v/>
      </c>
    </row>
    <row r="1037" spans="22:31" ht="18" customHeight="1">
      <c r="V1037">
        <f>IF(A1037="",0,IF(COUNTIF($A$3:A1037,A1037)=1,1,0))</f>
        <v>0</v>
      </c>
      <c r="W1037">
        <f t="shared" si="102"/>
        <v>0</v>
      </c>
      <c r="X1037" t="str">
        <f t="shared" si="103"/>
        <v/>
      </c>
      <c r="Y1037">
        <f>IF(X1037="",0,IF(COUNTIF($X$3:X1037,X1037)=1,1,0))</f>
        <v>0</v>
      </c>
      <c r="Z1037">
        <f>IF(V1037&lt;&gt;1,0,IF(X1037="",0,IF(COUNTIF($X$3:X1036,X1037)&gt;0,1,0)))</f>
        <v>0</v>
      </c>
      <c r="AA1037">
        <f t="shared" si="100"/>
        <v>0</v>
      </c>
      <c r="AB1037">
        <f t="shared" si="101"/>
        <v>0</v>
      </c>
      <c r="AC1037">
        <f>IF(I1037="",0,L1037*IFERROR(INDEX(کاتالوگ_محصولات!$G$4:$G$303,MATCH(I1037,کاتالوگ_محصولات!$A$4:$A$303,0)),0))</f>
        <v>0</v>
      </c>
      <c r="AD1037">
        <f t="shared" si="104"/>
        <v>0</v>
      </c>
      <c r="AE1037" t="str">
        <f t="shared" si="105"/>
        <v/>
      </c>
    </row>
    <row r="1038" spans="22:31" ht="18" customHeight="1">
      <c r="V1038">
        <f>IF(A1038="",0,IF(COUNTIF($A$3:A1038,A1038)=1,1,0))</f>
        <v>0</v>
      </c>
      <c r="W1038">
        <f t="shared" si="102"/>
        <v>0</v>
      </c>
      <c r="X1038" t="str">
        <f t="shared" si="103"/>
        <v/>
      </c>
      <c r="Y1038">
        <f>IF(X1038="",0,IF(COUNTIF($X$3:X1038,X1038)=1,1,0))</f>
        <v>0</v>
      </c>
      <c r="Z1038">
        <f>IF(V1038&lt;&gt;1,0,IF(X1038="",0,IF(COUNTIF($X$3:X1037,X1038)&gt;0,1,0)))</f>
        <v>0</v>
      </c>
      <c r="AA1038">
        <f t="shared" si="100"/>
        <v>0</v>
      </c>
      <c r="AB1038">
        <f t="shared" si="101"/>
        <v>0</v>
      </c>
      <c r="AC1038">
        <f>IF(I1038="",0,L1038*IFERROR(INDEX(کاتالوگ_محصولات!$G$4:$G$303,MATCH(I1038,کاتالوگ_محصولات!$A$4:$A$303,0)),0))</f>
        <v>0</v>
      </c>
      <c r="AD1038">
        <f t="shared" si="104"/>
        <v>0</v>
      </c>
      <c r="AE1038" t="str">
        <f t="shared" si="105"/>
        <v/>
      </c>
    </row>
    <row r="1039" spans="22:31" ht="18" customHeight="1">
      <c r="V1039">
        <f>IF(A1039="",0,IF(COUNTIF($A$3:A1039,A1039)=1,1,0))</f>
        <v>0</v>
      </c>
      <c r="W1039">
        <f t="shared" si="102"/>
        <v>0</v>
      </c>
      <c r="X1039" t="str">
        <f t="shared" si="103"/>
        <v/>
      </c>
      <c r="Y1039">
        <f>IF(X1039="",0,IF(COUNTIF($X$3:X1039,X1039)=1,1,0))</f>
        <v>0</v>
      </c>
      <c r="Z1039">
        <f>IF(V1039&lt;&gt;1,0,IF(X1039="",0,IF(COUNTIF($X$3:X1038,X1039)&gt;0,1,0)))</f>
        <v>0</v>
      </c>
      <c r="AA1039">
        <f t="shared" si="100"/>
        <v>0</v>
      </c>
      <c r="AB1039">
        <f t="shared" si="101"/>
        <v>0</v>
      </c>
      <c r="AC1039">
        <f>IF(I1039="",0,L1039*IFERROR(INDEX(کاتالوگ_محصولات!$G$4:$G$303,MATCH(I1039,کاتالوگ_محصولات!$A$4:$A$303,0)),0))</f>
        <v>0</v>
      </c>
      <c r="AD1039">
        <f t="shared" si="104"/>
        <v>0</v>
      </c>
      <c r="AE1039" t="str">
        <f t="shared" si="105"/>
        <v/>
      </c>
    </row>
    <row r="1040" spans="22:31" ht="18" customHeight="1">
      <c r="V1040">
        <f>IF(A1040="",0,IF(COUNTIF($A$3:A1040,A1040)=1,1,0))</f>
        <v>0</v>
      </c>
      <c r="W1040">
        <f t="shared" si="102"/>
        <v>0</v>
      </c>
      <c r="X1040" t="str">
        <f t="shared" si="103"/>
        <v/>
      </c>
      <c r="Y1040">
        <f>IF(X1040="",0,IF(COUNTIF($X$3:X1040,X1040)=1,1,0))</f>
        <v>0</v>
      </c>
      <c r="Z1040">
        <f>IF(V1040&lt;&gt;1,0,IF(X1040="",0,IF(COUNTIF($X$3:X1039,X1040)&gt;0,1,0)))</f>
        <v>0</v>
      </c>
      <c r="AA1040">
        <f t="shared" si="100"/>
        <v>0</v>
      </c>
      <c r="AB1040">
        <f t="shared" si="101"/>
        <v>0</v>
      </c>
      <c r="AC1040">
        <f>IF(I1040="",0,L1040*IFERROR(INDEX(کاتالوگ_محصولات!$G$4:$G$303,MATCH(I1040,کاتالوگ_محصولات!$A$4:$A$303,0)),0))</f>
        <v>0</v>
      </c>
      <c r="AD1040">
        <f t="shared" si="104"/>
        <v>0</v>
      </c>
      <c r="AE1040" t="str">
        <f t="shared" si="105"/>
        <v/>
      </c>
    </row>
    <row r="1041" spans="22:31" ht="18" customHeight="1">
      <c r="V1041">
        <f>IF(A1041="",0,IF(COUNTIF($A$3:A1041,A1041)=1,1,0))</f>
        <v>0</v>
      </c>
      <c r="W1041">
        <f t="shared" si="102"/>
        <v>0</v>
      </c>
      <c r="X1041" t="str">
        <f t="shared" si="103"/>
        <v/>
      </c>
      <c r="Y1041">
        <f>IF(X1041="",0,IF(COUNTIF($X$3:X1041,X1041)=1,1,0))</f>
        <v>0</v>
      </c>
      <c r="Z1041">
        <f>IF(V1041&lt;&gt;1,0,IF(X1041="",0,IF(COUNTIF($X$3:X1040,X1041)&gt;0,1,0)))</f>
        <v>0</v>
      </c>
      <c r="AA1041">
        <f t="shared" si="100"/>
        <v>0</v>
      </c>
      <c r="AB1041">
        <f t="shared" si="101"/>
        <v>0</v>
      </c>
      <c r="AC1041">
        <f>IF(I1041="",0,L1041*IFERROR(INDEX(کاتالوگ_محصولات!$G$4:$G$303,MATCH(I1041,کاتالوگ_محصولات!$A$4:$A$303,0)),0))</f>
        <v>0</v>
      </c>
      <c r="AD1041">
        <f t="shared" si="104"/>
        <v>0</v>
      </c>
      <c r="AE1041" t="str">
        <f t="shared" si="105"/>
        <v/>
      </c>
    </row>
    <row r="1042" spans="22:31" ht="18" customHeight="1">
      <c r="V1042">
        <f>IF(A1042="",0,IF(COUNTIF($A$3:A1042,A1042)=1,1,0))</f>
        <v>0</v>
      </c>
      <c r="W1042">
        <f t="shared" si="102"/>
        <v>0</v>
      </c>
      <c r="X1042" t="str">
        <f t="shared" si="103"/>
        <v/>
      </c>
      <c r="Y1042">
        <f>IF(X1042="",0,IF(COUNTIF($X$3:X1042,X1042)=1,1,0))</f>
        <v>0</v>
      </c>
      <c r="Z1042">
        <f>IF(V1042&lt;&gt;1,0,IF(X1042="",0,IF(COUNTIF($X$3:X1041,X1042)&gt;0,1,0)))</f>
        <v>0</v>
      </c>
      <c r="AA1042">
        <f t="shared" si="100"/>
        <v>0</v>
      </c>
      <c r="AB1042">
        <f t="shared" si="101"/>
        <v>0</v>
      </c>
      <c r="AC1042">
        <f>IF(I1042="",0,L1042*IFERROR(INDEX(کاتالوگ_محصولات!$G$4:$G$303,MATCH(I1042,کاتالوگ_محصولات!$A$4:$A$303,0)),0))</f>
        <v>0</v>
      </c>
      <c r="AD1042">
        <f t="shared" si="104"/>
        <v>0</v>
      </c>
      <c r="AE1042" t="str">
        <f t="shared" si="105"/>
        <v/>
      </c>
    </row>
    <row r="1043" spans="22:31" ht="18" customHeight="1">
      <c r="V1043">
        <f>IF(A1043="",0,IF(COUNTIF($A$3:A1043,A1043)=1,1,0))</f>
        <v>0</v>
      </c>
      <c r="W1043">
        <f t="shared" si="102"/>
        <v>0</v>
      </c>
      <c r="X1043" t="str">
        <f t="shared" si="103"/>
        <v/>
      </c>
      <c r="Y1043">
        <f>IF(X1043="",0,IF(COUNTIF($X$3:X1043,X1043)=1,1,0))</f>
        <v>0</v>
      </c>
      <c r="Z1043">
        <f>IF(V1043&lt;&gt;1,0,IF(X1043="",0,IF(COUNTIF($X$3:X1042,X1043)&gt;0,1,0)))</f>
        <v>0</v>
      </c>
      <c r="AA1043">
        <f t="shared" si="100"/>
        <v>0</v>
      </c>
      <c r="AB1043">
        <f t="shared" si="101"/>
        <v>0</v>
      </c>
      <c r="AC1043">
        <f>IF(I1043="",0,L1043*IFERROR(INDEX(کاتالوگ_محصولات!$G$4:$G$303,MATCH(I1043,کاتالوگ_محصولات!$A$4:$A$303,0)),0))</f>
        <v>0</v>
      </c>
      <c r="AD1043">
        <f t="shared" si="104"/>
        <v>0</v>
      </c>
      <c r="AE1043" t="str">
        <f t="shared" si="105"/>
        <v/>
      </c>
    </row>
    <row r="1044" spans="22:31" ht="18" customHeight="1">
      <c r="V1044">
        <f>IF(A1044="",0,IF(COUNTIF($A$3:A1044,A1044)=1,1,0))</f>
        <v>0</v>
      </c>
      <c r="W1044">
        <f t="shared" si="102"/>
        <v>0</v>
      </c>
      <c r="X1044" t="str">
        <f t="shared" si="103"/>
        <v/>
      </c>
      <c r="Y1044">
        <f>IF(X1044="",0,IF(COUNTIF($X$3:X1044,X1044)=1,1,0))</f>
        <v>0</v>
      </c>
      <c r="Z1044">
        <f>IF(V1044&lt;&gt;1,0,IF(X1044="",0,IF(COUNTIF($X$3:X1043,X1044)&gt;0,1,0)))</f>
        <v>0</v>
      </c>
      <c r="AA1044">
        <f t="shared" si="100"/>
        <v>0</v>
      </c>
      <c r="AB1044">
        <f t="shared" si="101"/>
        <v>0</v>
      </c>
      <c r="AC1044">
        <f>IF(I1044="",0,L1044*IFERROR(INDEX(کاتالوگ_محصولات!$G$4:$G$303,MATCH(I1044,کاتالوگ_محصولات!$A$4:$A$303,0)),0))</f>
        <v>0</v>
      </c>
      <c r="AD1044">
        <f t="shared" si="104"/>
        <v>0</v>
      </c>
      <c r="AE1044" t="str">
        <f t="shared" si="105"/>
        <v/>
      </c>
    </row>
    <row r="1045" spans="22:31" ht="18" customHeight="1">
      <c r="V1045">
        <f>IF(A1045="",0,IF(COUNTIF($A$3:A1045,A1045)=1,1,0))</f>
        <v>0</v>
      </c>
      <c r="W1045">
        <f t="shared" si="102"/>
        <v>0</v>
      </c>
      <c r="X1045" t="str">
        <f t="shared" si="103"/>
        <v/>
      </c>
      <c r="Y1045">
        <f>IF(X1045="",0,IF(COUNTIF($X$3:X1045,X1045)=1,1,0))</f>
        <v>0</v>
      </c>
      <c r="Z1045">
        <f>IF(V1045&lt;&gt;1,0,IF(X1045="",0,IF(COUNTIF($X$3:X1044,X1045)&gt;0,1,0)))</f>
        <v>0</v>
      </c>
      <c r="AA1045">
        <f t="shared" si="100"/>
        <v>0</v>
      </c>
      <c r="AB1045">
        <f t="shared" si="101"/>
        <v>0</v>
      </c>
      <c r="AC1045">
        <f>IF(I1045="",0,L1045*IFERROR(INDEX(کاتالوگ_محصولات!$G$4:$G$303,MATCH(I1045,کاتالوگ_محصولات!$A$4:$A$303,0)),0))</f>
        <v>0</v>
      </c>
      <c r="AD1045">
        <f t="shared" si="104"/>
        <v>0</v>
      </c>
      <c r="AE1045" t="str">
        <f t="shared" si="105"/>
        <v/>
      </c>
    </row>
    <row r="1046" spans="22:31" ht="18" customHeight="1">
      <c r="V1046">
        <f>IF(A1046="",0,IF(COUNTIF($A$3:A1046,A1046)=1,1,0))</f>
        <v>0</v>
      </c>
      <c r="W1046">
        <f t="shared" si="102"/>
        <v>0</v>
      </c>
      <c r="X1046" t="str">
        <f t="shared" si="103"/>
        <v/>
      </c>
      <c r="Y1046">
        <f>IF(X1046="",0,IF(COUNTIF($X$3:X1046,X1046)=1,1,0))</f>
        <v>0</v>
      </c>
      <c r="Z1046">
        <f>IF(V1046&lt;&gt;1,0,IF(X1046="",0,IF(COUNTIF($X$3:X1045,X1046)&gt;0,1,0)))</f>
        <v>0</v>
      </c>
      <c r="AA1046">
        <f t="shared" si="100"/>
        <v>0</v>
      </c>
      <c r="AB1046">
        <f t="shared" si="101"/>
        <v>0</v>
      </c>
      <c r="AC1046">
        <f>IF(I1046="",0,L1046*IFERROR(INDEX(کاتالوگ_محصولات!$G$4:$G$303,MATCH(I1046,کاتالوگ_محصولات!$A$4:$A$303,0)),0))</f>
        <v>0</v>
      </c>
      <c r="AD1046">
        <f t="shared" si="104"/>
        <v>0</v>
      </c>
      <c r="AE1046" t="str">
        <f t="shared" si="105"/>
        <v/>
      </c>
    </row>
    <row r="1047" spans="22:31" ht="18" customHeight="1">
      <c r="V1047">
        <f>IF(A1047="",0,IF(COUNTIF($A$3:A1047,A1047)=1,1,0))</f>
        <v>0</v>
      </c>
      <c r="W1047">
        <f t="shared" si="102"/>
        <v>0</v>
      </c>
      <c r="X1047" t="str">
        <f t="shared" si="103"/>
        <v/>
      </c>
      <c r="Y1047">
        <f>IF(X1047="",0,IF(COUNTIF($X$3:X1047,X1047)=1,1,0))</f>
        <v>0</v>
      </c>
      <c r="Z1047">
        <f>IF(V1047&lt;&gt;1,0,IF(X1047="",0,IF(COUNTIF($X$3:X1046,X1047)&gt;0,1,0)))</f>
        <v>0</v>
      </c>
      <c r="AA1047">
        <f t="shared" si="100"/>
        <v>0</v>
      </c>
      <c r="AB1047">
        <f t="shared" si="101"/>
        <v>0</v>
      </c>
      <c r="AC1047">
        <f>IF(I1047="",0,L1047*IFERROR(INDEX(کاتالوگ_محصولات!$G$4:$G$303,MATCH(I1047,کاتالوگ_محصولات!$A$4:$A$303,0)),0))</f>
        <v>0</v>
      </c>
      <c r="AD1047">
        <f t="shared" si="104"/>
        <v>0</v>
      </c>
      <c r="AE1047" t="str">
        <f t="shared" si="105"/>
        <v/>
      </c>
    </row>
    <row r="1048" spans="22:31" ht="18" customHeight="1">
      <c r="V1048">
        <f>IF(A1048="",0,IF(COUNTIF($A$3:A1048,A1048)=1,1,0))</f>
        <v>0</v>
      </c>
      <c r="W1048">
        <f t="shared" si="102"/>
        <v>0</v>
      </c>
      <c r="X1048" t="str">
        <f t="shared" si="103"/>
        <v/>
      </c>
      <c r="Y1048">
        <f>IF(X1048="",0,IF(COUNTIF($X$3:X1048,X1048)=1,1,0))</f>
        <v>0</v>
      </c>
      <c r="Z1048">
        <f>IF(V1048&lt;&gt;1,0,IF(X1048="",0,IF(COUNTIF($X$3:X1047,X1048)&gt;0,1,0)))</f>
        <v>0</v>
      </c>
      <c r="AA1048">
        <f t="shared" si="100"/>
        <v>0</v>
      </c>
      <c r="AB1048">
        <f t="shared" si="101"/>
        <v>0</v>
      </c>
      <c r="AC1048">
        <f>IF(I1048="",0,L1048*IFERROR(INDEX(کاتالوگ_محصولات!$G$4:$G$303,MATCH(I1048,کاتالوگ_محصولات!$A$4:$A$303,0)),0))</f>
        <v>0</v>
      </c>
      <c r="AD1048">
        <f t="shared" si="104"/>
        <v>0</v>
      </c>
      <c r="AE1048" t="str">
        <f t="shared" si="105"/>
        <v/>
      </c>
    </row>
    <row r="1049" spans="22:31" ht="18" customHeight="1">
      <c r="V1049">
        <f>IF(A1049="",0,IF(COUNTIF($A$3:A1049,A1049)=1,1,0))</f>
        <v>0</v>
      </c>
      <c r="W1049">
        <f t="shared" si="102"/>
        <v>0</v>
      </c>
      <c r="X1049" t="str">
        <f t="shared" si="103"/>
        <v/>
      </c>
      <c r="Y1049">
        <f>IF(X1049="",0,IF(COUNTIF($X$3:X1049,X1049)=1,1,0))</f>
        <v>0</v>
      </c>
      <c r="Z1049">
        <f>IF(V1049&lt;&gt;1,0,IF(X1049="",0,IF(COUNTIF($X$3:X1048,X1049)&gt;0,1,0)))</f>
        <v>0</v>
      </c>
      <c r="AA1049">
        <f t="shared" si="100"/>
        <v>0</v>
      </c>
      <c r="AB1049">
        <f t="shared" si="101"/>
        <v>0</v>
      </c>
      <c r="AC1049">
        <f>IF(I1049="",0,L1049*IFERROR(INDEX(کاتالوگ_محصولات!$G$4:$G$303,MATCH(I1049,کاتالوگ_محصولات!$A$4:$A$303,0)),0))</f>
        <v>0</v>
      </c>
      <c r="AD1049">
        <f t="shared" si="104"/>
        <v>0</v>
      </c>
      <c r="AE1049" t="str">
        <f t="shared" si="105"/>
        <v/>
      </c>
    </row>
    <row r="1050" spans="22:31" ht="18" customHeight="1">
      <c r="V1050">
        <f>IF(A1050="",0,IF(COUNTIF($A$3:A1050,A1050)=1,1,0))</f>
        <v>0</v>
      </c>
      <c r="W1050">
        <f t="shared" si="102"/>
        <v>0</v>
      </c>
      <c r="X1050" t="str">
        <f t="shared" si="103"/>
        <v/>
      </c>
      <c r="Y1050">
        <f>IF(X1050="",0,IF(COUNTIF($X$3:X1050,X1050)=1,1,0))</f>
        <v>0</v>
      </c>
      <c r="Z1050">
        <f>IF(V1050&lt;&gt;1,0,IF(X1050="",0,IF(COUNTIF($X$3:X1049,X1050)&gt;0,1,0)))</f>
        <v>0</v>
      </c>
      <c r="AA1050">
        <f t="shared" si="100"/>
        <v>0</v>
      </c>
      <c r="AB1050">
        <f t="shared" si="101"/>
        <v>0</v>
      </c>
      <c r="AC1050">
        <f>IF(I1050="",0,L1050*IFERROR(INDEX(کاتالوگ_محصولات!$G$4:$G$303,MATCH(I1050,کاتالوگ_محصولات!$A$4:$A$303,0)),0))</f>
        <v>0</v>
      </c>
      <c r="AD1050">
        <f t="shared" si="104"/>
        <v>0</v>
      </c>
      <c r="AE1050" t="str">
        <f t="shared" si="105"/>
        <v/>
      </c>
    </row>
    <row r="1051" spans="22:31" ht="18" customHeight="1">
      <c r="V1051">
        <f>IF(A1051="",0,IF(COUNTIF($A$3:A1051,A1051)=1,1,0))</f>
        <v>0</v>
      </c>
      <c r="W1051">
        <f t="shared" si="102"/>
        <v>0</v>
      </c>
      <c r="X1051" t="str">
        <f t="shared" si="103"/>
        <v/>
      </c>
      <c r="Y1051">
        <f>IF(X1051="",0,IF(COUNTIF($X$3:X1051,X1051)=1,1,0))</f>
        <v>0</v>
      </c>
      <c r="Z1051">
        <f>IF(V1051&lt;&gt;1,0,IF(X1051="",0,IF(COUNTIF($X$3:X1050,X1051)&gt;0,1,0)))</f>
        <v>0</v>
      </c>
      <c r="AA1051">
        <f t="shared" si="100"/>
        <v>0</v>
      </c>
      <c r="AB1051">
        <f t="shared" si="101"/>
        <v>0</v>
      </c>
      <c r="AC1051">
        <f>IF(I1051="",0,L1051*IFERROR(INDEX(کاتالوگ_محصولات!$G$4:$G$303,MATCH(I1051,کاتالوگ_محصولات!$A$4:$A$303,0)),0))</f>
        <v>0</v>
      </c>
      <c r="AD1051">
        <f t="shared" si="104"/>
        <v>0</v>
      </c>
      <c r="AE1051" t="str">
        <f t="shared" si="105"/>
        <v/>
      </c>
    </row>
    <row r="1052" spans="22:31" ht="18" customHeight="1">
      <c r="V1052">
        <f>IF(A1052="",0,IF(COUNTIF($A$3:A1052,A1052)=1,1,0))</f>
        <v>0</v>
      </c>
      <c r="W1052">
        <f t="shared" si="102"/>
        <v>0</v>
      </c>
      <c r="X1052" t="str">
        <f t="shared" si="103"/>
        <v/>
      </c>
      <c r="Y1052">
        <f>IF(X1052="",0,IF(COUNTIF($X$3:X1052,X1052)=1,1,0))</f>
        <v>0</v>
      </c>
      <c r="Z1052">
        <f>IF(V1052&lt;&gt;1,0,IF(X1052="",0,IF(COUNTIF($X$3:X1051,X1052)&gt;0,1,0)))</f>
        <v>0</v>
      </c>
      <c r="AA1052">
        <f t="shared" si="100"/>
        <v>0</v>
      </c>
      <c r="AB1052">
        <f t="shared" si="101"/>
        <v>0</v>
      </c>
      <c r="AC1052">
        <f>IF(I1052="",0,L1052*IFERROR(INDEX(کاتالوگ_محصولات!$G$4:$G$303,MATCH(I1052,کاتالوگ_محصولات!$A$4:$A$303,0)),0))</f>
        <v>0</v>
      </c>
      <c r="AD1052">
        <f t="shared" si="104"/>
        <v>0</v>
      </c>
      <c r="AE1052" t="str">
        <f t="shared" si="105"/>
        <v/>
      </c>
    </row>
    <row r="1053" spans="22:31" ht="18" customHeight="1">
      <c r="V1053">
        <f>IF(A1053="",0,IF(COUNTIF($A$3:A1053,A1053)=1,1,0))</f>
        <v>0</v>
      </c>
      <c r="W1053">
        <f t="shared" si="102"/>
        <v>0</v>
      </c>
      <c r="X1053" t="str">
        <f t="shared" si="103"/>
        <v/>
      </c>
      <c r="Y1053">
        <f>IF(X1053="",0,IF(COUNTIF($X$3:X1053,X1053)=1,1,0))</f>
        <v>0</v>
      </c>
      <c r="Z1053">
        <f>IF(V1053&lt;&gt;1,0,IF(X1053="",0,IF(COUNTIF($X$3:X1052,X1053)&gt;0,1,0)))</f>
        <v>0</v>
      </c>
      <c r="AA1053">
        <f t="shared" si="100"/>
        <v>0</v>
      </c>
      <c r="AB1053">
        <f t="shared" si="101"/>
        <v>0</v>
      </c>
      <c r="AC1053">
        <f>IF(I1053="",0,L1053*IFERROR(INDEX(کاتالوگ_محصولات!$G$4:$G$303,MATCH(I1053,کاتالوگ_محصولات!$A$4:$A$303,0)),0))</f>
        <v>0</v>
      </c>
      <c r="AD1053">
        <f t="shared" si="104"/>
        <v>0</v>
      </c>
      <c r="AE1053" t="str">
        <f t="shared" si="105"/>
        <v/>
      </c>
    </row>
    <row r="1054" spans="22:31" ht="18" customHeight="1">
      <c r="V1054">
        <f>IF(A1054="",0,IF(COUNTIF($A$3:A1054,A1054)=1,1,0))</f>
        <v>0</v>
      </c>
      <c r="W1054">
        <f t="shared" si="102"/>
        <v>0</v>
      </c>
      <c r="X1054" t="str">
        <f t="shared" si="103"/>
        <v/>
      </c>
      <c r="Y1054">
        <f>IF(X1054="",0,IF(COUNTIF($X$3:X1054,X1054)=1,1,0))</f>
        <v>0</v>
      </c>
      <c r="Z1054">
        <f>IF(V1054&lt;&gt;1,0,IF(X1054="",0,IF(COUNTIF($X$3:X1053,X1054)&gt;0,1,0)))</f>
        <v>0</v>
      </c>
      <c r="AA1054">
        <f t="shared" si="100"/>
        <v>0</v>
      </c>
      <c r="AB1054">
        <f t="shared" si="101"/>
        <v>0</v>
      </c>
      <c r="AC1054">
        <f>IF(I1054="",0,L1054*IFERROR(INDEX(کاتالوگ_محصولات!$G$4:$G$303,MATCH(I1054,کاتالوگ_محصولات!$A$4:$A$303,0)),0))</f>
        <v>0</v>
      </c>
      <c r="AD1054">
        <f t="shared" si="104"/>
        <v>0</v>
      </c>
      <c r="AE1054" t="str">
        <f t="shared" si="105"/>
        <v/>
      </c>
    </row>
    <row r="1055" spans="22:31" ht="18" customHeight="1">
      <c r="V1055">
        <f>IF(A1055="",0,IF(COUNTIF($A$3:A1055,A1055)=1,1,0))</f>
        <v>0</v>
      </c>
      <c r="W1055">
        <f t="shared" si="102"/>
        <v>0</v>
      </c>
      <c r="X1055" t="str">
        <f t="shared" si="103"/>
        <v/>
      </c>
      <c r="Y1055">
        <f>IF(X1055="",0,IF(COUNTIF($X$3:X1055,X1055)=1,1,0))</f>
        <v>0</v>
      </c>
      <c r="Z1055">
        <f>IF(V1055&lt;&gt;1,0,IF(X1055="",0,IF(COUNTIF($X$3:X1054,X1055)&gt;0,1,0)))</f>
        <v>0</v>
      </c>
      <c r="AA1055">
        <f t="shared" si="100"/>
        <v>0</v>
      </c>
      <c r="AB1055">
        <f t="shared" si="101"/>
        <v>0</v>
      </c>
      <c r="AC1055">
        <f>IF(I1055="",0,L1055*IFERROR(INDEX(کاتالوگ_محصولات!$G$4:$G$303,MATCH(I1055,کاتالوگ_محصولات!$A$4:$A$303,0)),0))</f>
        <v>0</v>
      </c>
      <c r="AD1055">
        <f t="shared" si="104"/>
        <v>0</v>
      </c>
      <c r="AE1055" t="str">
        <f t="shared" si="105"/>
        <v/>
      </c>
    </row>
    <row r="1056" spans="22:31" ht="18" customHeight="1">
      <c r="V1056">
        <f>IF(A1056="",0,IF(COUNTIF($A$3:A1056,A1056)=1,1,0))</f>
        <v>0</v>
      </c>
      <c r="W1056">
        <f t="shared" si="102"/>
        <v>0</v>
      </c>
      <c r="X1056" t="str">
        <f t="shared" si="103"/>
        <v/>
      </c>
      <c r="Y1056">
        <f>IF(X1056="",0,IF(COUNTIF($X$3:X1056,X1056)=1,1,0))</f>
        <v>0</v>
      </c>
      <c r="Z1056">
        <f>IF(V1056&lt;&gt;1,0,IF(X1056="",0,IF(COUNTIF($X$3:X1055,X1056)&gt;0,1,0)))</f>
        <v>0</v>
      </c>
      <c r="AA1056">
        <f t="shared" si="100"/>
        <v>0</v>
      </c>
      <c r="AB1056">
        <f t="shared" si="101"/>
        <v>0</v>
      </c>
      <c r="AC1056">
        <f>IF(I1056="",0,L1056*IFERROR(INDEX(کاتالوگ_محصولات!$G$4:$G$303,MATCH(I1056,کاتالوگ_محصولات!$A$4:$A$303,0)),0))</f>
        <v>0</v>
      </c>
      <c r="AD1056">
        <f t="shared" si="104"/>
        <v>0</v>
      </c>
      <c r="AE1056" t="str">
        <f t="shared" si="105"/>
        <v/>
      </c>
    </row>
    <row r="1057" spans="22:31" ht="18" customHeight="1">
      <c r="V1057">
        <f>IF(A1057="",0,IF(COUNTIF($A$3:A1057,A1057)=1,1,0))</f>
        <v>0</v>
      </c>
      <c r="W1057">
        <f t="shared" si="102"/>
        <v>0</v>
      </c>
      <c r="X1057" t="str">
        <f t="shared" si="103"/>
        <v/>
      </c>
      <c r="Y1057">
        <f>IF(X1057="",0,IF(COUNTIF($X$3:X1057,X1057)=1,1,0))</f>
        <v>0</v>
      </c>
      <c r="Z1057">
        <f>IF(V1057&lt;&gt;1,0,IF(X1057="",0,IF(COUNTIF($X$3:X1056,X1057)&gt;0,1,0)))</f>
        <v>0</v>
      </c>
      <c r="AA1057">
        <f t="shared" si="100"/>
        <v>0</v>
      </c>
      <c r="AB1057">
        <f t="shared" si="101"/>
        <v>0</v>
      </c>
      <c r="AC1057">
        <f>IF(I1057="",0,L1057*IFERROR(INDEX(کاتالوگ_محصولات!$G$4:$G$303,MATCH(I1057,کاتالوگ_محصولات!$A$4:$A$303,0)),0))</f>
        <v>0</v>
      </c>
      <c r="AD1057">
        <f t="shared" si="104"/>
        <v>0</v>
      </c>
      <c r="AE1057" t="str">
        <f t="shared" si="105"/>
        <v/>
      </c>
    </row>
    <row r="1058" spans="22:31" ht="18" customHeight="1">
      <c r="V1058">
        <f>IF(A1058="",0,IF(COUNTIF($A$3:A1058,A1058)=1,1,0))</f>
        <v>0</v>
      </c>
      <c r="W1058">
        <f t="shared" si="102"/>
        <v>0</v>
      </c>
      <c r="X1058" t="str">
        <f t="shared" si="103"/>
        <v/>
      </c>
      <c r="Y1058">
        <f>IF(X1058="",0,IF(COUNTIF($X$3:X1058,X1058)=1,1,0))</f>
        <v>0</v>
      </c>
      <c r="Z1058">
        <f>IF(V1058&lt;&gt;1,0,IF(X1058="",0,IF(COUNTIF($X$3:X1057,X1058)&gt;0,1,0)))</f>
        <v>0</v>
      </c>
      <c r="AA1058">
        <f t="shared" si="100"/>
        <v>0</v>
      </c>
      <c r="AB1058">
        <f t="shared" si="101"/>
        <v>0</v>
      </c>
      <c r="AC1058">
        <f>IF(I1058="",0,L1058*IFERROR(INDEX(کاتالوگ_محصولات!$G$4:$G$303,MATCH(I1058,کاتالوگ_محصولات!$A$4:$A$303,0)),0))</f>
        <v>0</v>
      </c>
      <c r="AD1058">
        <f t="shared" si="104"/>
        <v>0</v>
      </c>
      <c r="AE1058" t="str">
        <f t="shared" si="105"/>
        <v/>
      </c>
    </row>
    <row r="1059" spans="22:31" ht="18" customHeight="1">
      <c r="V1059">
        <f>IF(A1059="",0,IF(COUNTIF($A$3:A1059,A1059)=1,1,0))</f>
        <v>0</v>
      </c>
      <c r="W1059">
        <f t="shared" si="102"/>
        <v>0</v>
      </c>
      <c r="X1059" t="str">
        <f t="shared" si="103"/>
        <v/>
      </c>
      <c r="Y1059">
        <f>IF(X1059="",0,IF(COUNTIF($X$3:X1059,X1059)=1,1,0))</f>
        <v>0</v>
      </c>
      <c r="Z1059">
        <f>IF(V1059&lt;&gt;1,0,IF(X1059="",0,IF(COUNTIF($X$3:X1058,X1059)&gt;0,1,0)))</f>
        <v>0</v>
      </c>
      <c r="AA1059">
        <f t="shared" si="100"/>
        <v>0</v>
      </c>
      <c r="AB1059">
        <f t="shared" si="101"/>
        <v>0</v>
      </c>
      <c r="AC1059">
        <f>IF(I1059="",0,L1059*IFERROR(INDEX(کاتالوگ_محصولات!$G$4:$G$303,MATCH(I1059,کاتالوگ_محصولات!$A$4:$A$303,0)),0))</f>
        <v>0</v>
      </c>
      <c r="AD1059">
        <f t="shared" si="104"/>
        <v>0</v>
      </c>
      <c r="AE1059" t="str">
        <f t="shared" si="105"/>
        <v/>
      </c>
    </row>
    <row r="1060" spans="22:31" ht="18" customHeight="1">
      <c r="V1060">
        <f>IF(A1060="",0,IF(COUNTIF($A$3:A1060,A1060)=1,1,0))</f>
        <v>0</v>
      </c>
      <c r="W1060">
        <f t="shared" si="102"/>
        <v>0</v>
      </c>
      <c r="X1060" t="str">
        <f t="shared" si="103"/>
        <v/>
      </c>
      <c r="Y1060">
        <f>IF(X1060="",0,IF(COUNTIF($X$3:X1060,X1060)=1,1,0))</f>
        <v>0</v>
      </c>
      <c r="Z1060">
        <f>IF(V1060&lt;&gt;1,0,IF(X1060="",0,IF(COUNTIF($X$3:X1059,X1060)&gt;0,1,0)))</f>
        <v>0</v>
      </c>
      <c r="AA1060">
        <f t="shared" si="100"/>
        <v>0</v>
      </c>
      <c r="AB1060">
        <f t="shared" si="101"/>
        <v>0</v>
      </c>
      <c r="AC1060">
        <f>IF(I1060="",0,L1060*IFERROR(INDEX(کاتالوگ_محصولات!$G$4:$G$303,MATCH(I1060,کاتالوگ_محصولات!$A$4:$A$303,0)),0))</f>
        <v>0</v>
      </c>
      <c r="AD1060">
        <f t="shared" si="104"/>
        <v>0</v>
      </c>
      <c r="AE1060" t="str">
        <f t="shared" si="105"/>
        <v/>
      </c>
    </row>
    <row r="1061" spans="22:31" ht="18" customHeight="1">
      <c r="V1061">
        <f>IF(A1061="",0,IF(COUNTIF($A$3:A1061,A1061)=1,1,0))</f>
        <v>0</v>
      </c>
      <c r="W1061">
        <f t="shared" si="102"/>
        <v>0</v>
      </c>
      <c r="X1061" t="str">
        <f t="shared" si="103"/>
        <v/>
      </c>
      <c r="Y1061">
        <f>IF(X1061="",0,IF(COUNTIF($X$3:X1061,X1061)=1,1,0))</f>
        <v>0</v>
      </c>
      <c r="Z1061">
        <f>IF(V1061&lt;&gt;1,0,IF(X1061="",0,IF(COUNTIF($X$3:X1060,X1061)&gt;0,1,0)))</f>
        <v>0</v>
      </c>
      <c r="AA1061">
        <f t="shared" si="100"/>
        <v>0</v>
      </c>
      <c r="AB1061">
        <f t="shared" si="101"/>
        <v>0</v>
      </c>
      <c r="AC1061">
        <f>IF(I1061="",0,L1061*IFERROR(INDEX(کاتالوگ_محصولات!$G$4:$G$303,MATCH(I1061,کاتالوگ_محصولات!$A$4:$A$303,0)),0))</f>
        <v>0</v>
      </c>
      <c r="AD1061">
        <f t="shared" si="104"/>
        <v>0</v>
      </c>
      <c r="AE1061" t="str">
        <f t="shared" si="105"/>
        <v/>
      </c>
    </row>
    <row r="1062" spans="22:31" ht="18" customHeight="1">
      <c r="V1062">
        <f>IF(A1062="",0,IF(COUNTIF($A$3:A1062,A1062)=1,1,0))</f>
        <v>0</v>
      </c>
      <c r="W1062">
        <f t="shared" si="102"/>
        <v>0</v>
      </c>
      <c r="X1062" t="str">
        <f t="shared" si="103"/>
        <v/>
      </c>
      <c r="Y1062">
        <f>IF(X1062="",0,IF(COUNTIF($X$3:X1062,X1062)=1,1,0))</f>
        <v>0</v>
      </c>
      <c r="Z1062">
        <f>IF(V1062&lt;&gt;1,0,IF(X1062="",0,IF(COUNTIF($X$3:X1061,X1062)&gt;0,1,0)))</f>
        <v>0</v>
      </c>
      <c r="AA1062">
        <f t="shared" si="100"/>
        <v>0</v>
      </c>
      <c r="AB1062">
        <f t="shared" si="101"/>
        <v>0</v>
      </c>
      <c r="AC1062">
        <f>IF(I1062="",0,L1062*IFERROR(INDEX(کاتالوگ_محصولات!$G$4:$G$303,MATCH(I1062,کاتالوگ_محصولات!$A$4:$A$303,0)),0))</f>
        <v>0</v>
      </c>
      <c r="AD1062">
        <f t="shared" si="104"/>
        <v>0</v>
      </c>
      <c r="AE1062" t="str">
        <f t="shared" si="105"/>
        <v/>
      </c>
    </row>
    <row r="1063" spans="22:31" ht="18" customHeight="1">
      <c r="V1063">
        <f>IF(A1063="",0,IF(COUNTIF($A$3:A1063,A1063)=1,1,0))</f>
        <v>0</v>
      </c>
      <c r="W1063">
        <f t="shared" si="102"/>
        <v>0</v>
      </c>
      <c r="X1063" t="str">
        <f t="shared" si="103"/>
        <v/>
      </c>
      <c r="Y1063">
        <f>IF(X1063="",0,IF(COUNTIF($X$3:X1063,X1063)=1,1,0))</f>
        <v>0</v>
      </c>
      <c r="Z1063">
        <f>IF(V1063&lt;&gt;1,0,IF(X1063="",0,IF(COUNTIF($X$3:X1062,X1063)&gt;0,1,0)))</f>
        <v>0</v>
      </c>
      <c r="AA1063">
        <f t="shared" si="100"/>
        <v>0</v>
      </c>
      <c r="AB1063">
        <f t="shared" si="101"/>
        <v>0</v>
      </c>
      <c r="AC1063">
        <f>IF(I1063="",0,L1063*IFERROR(INDEX(کاتالوگ_محصولات!$G$4:$G$303,MATCH(I1063,کاتالوگ_محصولات!$A$4:$A$303,0)),0))</f>
        <v>0</v>
      </c>
      <c r="AD1063">
        <f t="shared" si="104"/>
        <v>0</v>
      </c>
      <c r="AE1063" t="str">
        <f t="shared" si="105"/>
        <v/>
      </c>
    </row>
    <row r="1064" spans="22:31" ht="18" customHeight="1">
      <c r="V1064">
        <f>IF(A1064="",0,IF(COUNTIF($A$3:A1064,A1064)=1,1,0))</f>
        <v>0</v>
      </c>
      <c r="W1064">
        <f t="shared" si="102"/>
        <v>0</v>
      </c>
      <c r="X1064" t="str">
        <f t="shared" si="103"/>
        <v/>
      </c>
      <c r="Y1064">
        <f>IF(X1064="",0,IF(COUNTIF($X$3:X1064,X1064)=1,1,0))</f>
        <v>0</v>
      </c>
      <c r="Z1064">
        <f>IF(V1064&lt;&gt;1,0,IF(X1064="",0,IF(COUNTIF($X$3:X1063,X1064)&gt;0,1,0)))</f>
        <v>0</v>
      </c>
      <c r="AA1064">
        <f t="shared" si="100"/>
        <v>0</v>
      </c>
      <c r="AB1064">
        <f t="shared" si="101"/>
        <v>0</v>
      </c>
      <c r="AC1064">
        <f>IF(I1064="",0,L1064*IFERROR(INDEX(کاتالوگ_محصولات!$G$4:$G$303,MATCH(I1064,کاتالوگ_محصولات!$A$4:$A$303,0)),0))</f>
        <v>0</v>
      </c>
      <c r="AD1064">
        <f t="shared" si="104"/>
        <v>0</v>
      </c>
      <c r="AE1064" t="str">
        <f t="shared" si="105"/>
        <v/>
      </c>
    </row>
    <row r="1065" spans="22:31" ht="18" customHeight="1">
      <c r="V1065">
        <f>IF(A1065="",0,IF(COUNTIF($A$3:A1065,A1065)=1,1,0))</f>
        <v>0</v>
      </c>
      <c r="W1065">
        <f t="shared" si="102"/>
        <v>0</v>
      </c>
      <c r="X1065" t="str">
        <f t="shared" si="103"/>
        <v/>
      </c>
      <c r="Y1065">
        <f>IF(X1065="",0,IF(COUNTIF($X$3:X1065,X1065)=1,1,0))</f>
        <v>0</v>
      </c>
      <c r="Z1065">
        <f>IF(V1065&lt;&gt;1,0,IF(X1065="",0,IF(COUNTIF($X$3:X1064,X1065)&gt;0,1,0)))</f>
        <v>0</v>
      </c>
      <c r="AA1065">
        <f t="shared" si="100"/>
        <v>0</v>
      </c>
      <c r="AB1065">
        <f t="shared" si="101"/>
        <v>0</v>
      </c>
      <c r="AC1065">
        <f>IF(I1065="",0,L1065*IFERROR(INDEX(کاتالوگ_محصولات!$G$4:$G$303,MATCH(I1065,کاتالوگ_محصولات!$A$4:$A$303,0)),0))</f>
        <v>0</v>
      </c>
      <c r="AD1065">
        <f t="shared" si="104"/>
        <v>0</v>
      </c>
      <c r="AE1065" t="str">
        <f t="shared" si="105"/>
        <v/>
      </c>
    </row>
    <row r="1066" spans="22:31" ht="18" customHeight="1">
      <c r="V1066">
        <f>IF(A1066="",0,IF(COUNTIF($A$3:A1066,A1066)=1,1,0))</f>
        <v>0</v>
      </c>
      <c r="W1066">
        <f t="shared" si="102"/>
        <v>0</v>
      </c>
      <c r="X1066" t="str">
        <f t="shared" si="103"/>
        <v/>
      </c>
      <c r="Y1066">
        <f>IF(X1066="",0,IF(COUNTIF($X$3:X1066,X1066)=1,1,0))</f>
        <v>0</v>
      </c>
      <c r="Z1066">
        <f>IF(V1066&lt;&gt;1,0,IF(X1066="",0,IF(COUNTIF($X$3:X1065,X1066)&gt;0,1,0)))</f>
        <v>0</v>
      </c>
      <c r="AA1066">
        <f t="shared" si="100"/>
        <v>0</v>
      </c>
      <c r="AB1066">
        <f t="shared" si="101"/>
        <v>0</v>
      </c>
      <c r="AC1066">
        <f>IF(I1066="",0,L1066*IFERROR(INDEX(کاتالوگ_محصولات!$G$4:$G$303,MATCH(I1066,کاتالوگ_محصولات!$A$4:$A$303,0)),0))</f>
        <v>0</v>
      </c>
      <c r="AD1066">
        <f t="shared" si="104"/>
        <v>0</v>
      </c>
      <c r="AE1066" t="str">
        <f t="shared" si="105"/>
        <v/>
      </c>
    </row>
    <row r="1067" spans="22:31" ht="18" customHeight="1">
      <c r="V1067">
        <f>IF(A1067="",0,IF(COUNTIF($A$3:A1067,A1067)=1,1,0))</f>
        <v>0</v>
      </c>
      <c r="W1067">
        <f t="shared" si="102"/>
        <v>0</v>
      </c>
      <c r="X1067" t="str">
        <f t="shared" si="103"/>
        <v/>
      </c>
      <c r="Y1067">
        <f>IF(X1067="",0,IF(COUNTIF($X$3:X1067,X1067)=1,1,0))</f>
        <v>0</v>
      </c>
      <c r="Z1067">
        <f>IF(V1067&lt;&gt;1,0,IF(X1067="",0,IF(COUNTIF($X$3:X1066,X1067)&gt;0,1,0)))</f>
        <v>0</v>
      </c>
      <c r="AA1067">
        <f t="shared" si="100"/>
        <v>0</v>
      </c>
      <c r="AB1067">
        <f t="shared" si="101"/>
        <v>0</v>
      </c>
      <c r="AC1067">
        <f>IF(I1067="",0,L1067*IFERROR(INDEX(کاتالوگ_محصولات!$G$4:$G$303,MATCH(I1067,کاتالوگ_محصولات!$A$4:$A$303,0)),0))</f>
        <v>0</v>
      </c>
      <c r="AD1067">
        <f t="shared" si="104"/>
        <v>0</v>
      </c>
      <c r="AE1067" t="str">
        <f t="shared" si="105"/>
        <v/>
      </c>
    </row>
    <row r="1068" spans="22:31" ht="18" customHeight="1">
      <c r="V1068">
        <f>IF(A1068="",0,IF(COUNTIF($A$3:A1068,A1068)=1,1,0))</f>
        <v>0</v>
      </c>
      <c r="W1068">
        <f t="shared" si="102"/>
        <v>0</v>
      </c>
      <c r="X1068" t="str">
        <f t="shared" si="103"/>
        <v/>
      </c>
      <c r="Y1068">
        <f>IF(X1068="",0,IF(COUNTIF($X$3:X1068,X1068)=1,1,0))</f>
        <v>0</v>
      </c>
      <c r="Z1068">
        <f>IF(V1068&lt;&gt;1,0,IF(X1068="",0,IF(COUNTIF($X$3:X1067,X1068)&gt;0,1,0)))</f>
        <v>0</v>
      </c>
      <c r="AA1068">
        <f t="shared" si="100"/>
        <v>0</v>
      </c>
      <c r="AB1068">
        <f t="shared" si="101"/>
        <v>0</v>
      </c>
      <c r="AC1068">
        <f>IF(I1068="",0,L1068*IFERROR(INDEX(کاتالوگ_محصولات!$G$4:$G$303,MATCH(I1068,کاتالوگ_محصولات!$A$4:$A$303,0)),0))</f>
        <v>0</v>
      </c>
      <c r="AD1068">
        <f t="shared" si="104"/>
        <v>0</v>
      </c>
      <c r="AE1068" t="str">
        <f t="shared" si="105"/>
        <v/>
      </c>
    </row>
    <row r="1069" spans="22:31" ht="18" customHeight="1">
      <c r="V1069">
        <f>IF(A1069="",0,IF(COUNTIF($A$3:A1069,A1069)=1,1,0))</f>
        <v>0</v>
      </c>
      <c r="W1069">
        <f t="shared" si="102"/>
        <v>0</v>
      </c>
      <c r="X1069" t="str">
        <f t="shared" si="103"/>
        <v/>
      </c>
      <c r="Y1069">
        <f>IF(X1069="",0,IF(COUNTIF($X$3:X1069,X1069)=1,1,0))</f>
        <v>0</v>
      </c>
      <c r="Z1069">
        <f>IF(V1069&lt;&gt;1,0,IF(X1069="",0,IF(COUNTIF($X$3:X1068,X1069)&gt;0,1,0)))</f>
        <v>0</v>
      </c>
      <c r="AA1069">
        <f t="shared" si="100"/>
        <v>0</v>
      </c>
      <c r="AB1069">
        <f t="shared" si="101"/>
        <v>0</v>
      </c>
      <c r="AC1069">
        <f>IF(I1069="",0,L1069*IFERROR(INDEX(کاتالوگ_محصولات!$G$4:$G$303,MATCH(I1069,کاتالوگ_محصولات!$A$4:$A$303,0)),0))</f>
        <v>0</v>
      </c>
      <c r="AD1069">
        <f t="shared" si="104"/>
        <v>0</v>
      </c>
      <c r="AE1069" t="str">
        <f t="shared" si="105"/>
        <v/>
      </c>
    </row>
    <row r="1070" spans="22:31" ht="18" customHeight="1">
      <c r="V1070">
        <f>IF(A1070="",0,IF(COUNTIF($A$3:A1070,A1070)=1,1,0))</f>
        <v>0</v>
      </c>
      <c r="W1070">
        <f t="shared" si="102"/>
        <v>0</v>
      </c>
      <c r="X1070" t="str">
        <f t="shared" si="103"/>
        <v/>
      </c>
      <c r="Y1070">
        <f>IF(X1070="",0,IF(COUNTIF($X$3:X1070,X1070)=1,1,0))</f>
        <v>0</v>
      </c>
      <c r="Z1070">
        <f>IF(V1070&lt;&gt;1,0,IF(X1070="",0,IF(COUNTIF($X$3:X1069,X1070)&gt;0,1,0)))</f>
        <v>0</v>
      </c>
      <c r="AA1070">
        <f t="shared" si="100"/>
        <v>0</v>
      </c>
      <c r="AB1070">
        <f t="shared" si="101"/>
        <v>0</v>
      </c>
      <c r="AC1070">
        <f>IF(I1070="",0,L1070*IFERROR(INDEX(کاتالوگ_محصولات!$G$4:$G$303,MATCH(I1070,کاتالوگ_محصولات!$A$4:$A$303,0)),0))</f>
        <v>0</v>
      </c>
      <c r="AD1070">
        <f t="shared" si="104"/>
        <v>0</v>
      </c>
      <c r="AE1070" t="str">
        <f t="shared" si="105"/>
        <v/>
      </c>
    </row>
    <row r="1071" spans="22:31" ht="18" customHeight="1">
      <c r="V1071">
        <f>IF(A1071="",0,IF(COUNTIF($A$3:A1071,A1071)=1,1,0))</f>
        <v>0</v>
      </c>
      <c r="W1071">
        <f t="shared" si="102"/>
        <v>0</v>
      </c>
      <c r="X1071" t="str">
        <f t="shared" si="103"/>
        <v/>
      </c>
      <c r="Y1071">
        <f>IF(X1071="",0,IF(COUNTIF($X$3:X1071,X1071)=1,1,0))</f>
        <v>0</v>
      </c>
      <c r="Z1071">
        <f>IF(V1071&lt;&gt;1,0,IF(X1071="",0,IF(COUNTIF($X$3:X1070,X1071)&gt;0,1,0)))</f>
        <v>0</v>
      </c>
      <c r="AA1071">
        <f t="shared" si="100"/>
        <v>0</v>
      </c>
      <c r="AB1071">
        <f t="shared" si="101"/>
        <v>0</v>
      </c>
      <c r="AC1071">
        <f>IF(I1071="",0,L1071*IFERROR(INDEX(کاتالوگ_محصولات!$G$4:$G$303,MATCH(I1071,کاتالوگ_محصولات!$A$4:$A$303,0)),0))</f>
        <v>0</v>
      </c>
      <c r="AD1071">
        <f t="shared" si="104"/>
        <v>0</v>
      </c>
      <c r="AE1071" t="str">
        <f t="shared" si="105"/>
        <v/>
      </c>
    </row>
    <row r="1072" spans="22:31" ht="18" customHeight="1">
      <c r="V1072">
        <f>IF(A1072="",0,IF(COUNTIF($A$3:A1072,A1072)=1,1,0))</f>
        <v>0</v>
      </c>
      <c r="W1072">
        <f t="shared" si="102"/>
        <v>0</v>
      </c>
      <c r="X1072" t="str">
        <f t="shared" si="103"/>
        <v/>
      </c>
      <c r="Y1072">
        <f>IF(X1072="",0,IF(COUNTIF($X$3:X1072,X1072)=1,1,0))</f>
        <v>0</v>
      </c>
      <c r="Z1072">
        <f>IF(V1072&lt;&gt;1,0,IF(X1072="",0,IF(COUNTIF($X$3:X1071,X1072)&gt;0,1,0)))</f>
        <v>0</v>
      </c>
      <c r="AA1072">
        <f t="shared" si="100"/>
        <v>0</v>
      </c>
      <c r="AB1072">
        <f t="shared" si="101"/>
        <v>0</v>
      </c>
      <c r="AC1072">
        <f>IF(I1072="",0,L1072*IFERROR(INDEX(کاتالوگ_محصولات!$G$4:$G$303,MATCH(I1072,کاتالوگ_محصولات!$A$4:$A$303,0)),0))</f>
        <v>0</v>
      </c>
      <c r="AD1072">
        <f t="shared" si="104"/>
        <v>0</v>
      </c>
      <c r="AE1072" t="str">
        <f t="shared" si="105"/>
        <v/>
      </c>
    </row>
    <row r="1073" spans="22:31" ht="18" customHeight="1">
      <c r="V1073">
        <f>IF(A1073="",0,IF(COUNTIF($A$3:A1073,A1073)=1,1,0))</f>
        <v>0</v>
      </c>
      <c r="W1073">
        <f t="shared" si="102"/>
        <v>0</v>
      </c>
      <c r="X1073" t="str">
        <f t="shared" si="103"/>
        <v/>
      </c>
      <c r="Y1073">
        <f>IF(X1073="",0,IF(COUNTIF($X$3:X1073,X1073)=1,1,0))</f>
        <v>0</v>
      </c>
      <c r="Z1073">
        <f>IF(V1073&lt;&gt;1,0,IF(X1073="",0,IF(COUNTIF($X$3:X1072,X1073)&gt;0,1,0)))</f>
        <v>0</v>
      </c>
      <c r="AA1073">
        <f t="shared" si="100"/>
        <v>0</v>
      </c>
      <c r="AB1073">
        <f t="shared" si="101"/>
        <v>0</v>
      </c>
      <c r="AC1073">
        <f>IF(I1073="",0,L1073*IFERROR(INDEX(کاتالوگ_محصولات!$G$4:$G$303,MATCH(I1073,کاتالوگ_محصولات!$A$4:$A$303,0)),0))</f>
        <v>0</v>
      </c>
      <c r="AD1073">
        <f t="shared" si="104"/>
        <v>0</v>
      </c>
      <c r="AE1073" t="str">
        <f t="shared" si="105"/>
        <v/>
      </c>
    </row>
    <row r="1074" spans="22:31" ht="18" customHeight="1">
      <c r="V1074">
        <f>IF(A1074="",0,IF(COUNTIF($A$3:A1074,A1074)=1,1,0))</f>
        <v>0</v>
      </c>
      <c r="W1074">
        <f t="shared" si="102"/>
        <v>0</v>
      </c>
      <c r="X1074" t="str">
        <f t="shared" si="103"/>
        <v/>
      </c>
      <c r="Y1074">
        <f>IF(X1074="",0,IF(COUNTIF($X$3:X1074,X1074)=1,1,0))</f>
        <v>0</v>
      </c>
      <c r="Z1074">
        <f>IF(V1074&lt;&gt;1,0,IF(X1074="",0,IF(COUNTIF($X$3:X1073,X1074)&gt;0,1,0)))</f>
        <v>0</v>
      </c>
      <c r="AA1074">
        <f t="shared" si="100"/>
        <v>0</v>
      </c>
      <c r="AB1074">
        <f t="shared" si="101"/>
        <v>0</v>
      </c>
      <c r="AC1074">
        <f>IF(I1074="",0,L1074*IFERROR(INDEX(کاتالوگ_محصولات!$G$4:$G$303,MATCH(I1074,کاتالوگ_محصولات!$A$4:$A$303,0)),0))</f>
        <v>0</v>
      </c>
      <c r="AD1074">
        <f t="shared" si="104"/>
        <v>0</v>
      </c>
      <c r="AE1074" t="str">
        <f t="shared" si="105"/>
        <v/>
      </c>
    </row>
    <row r="1075" spans="22:31" ht="18" customHeight="1">
      <c r="V1075">
        <f>IF(A1075="",0,IF(COUNTIF($A$3:A1075,A1075)=1,1,0))</f>
        <v>0</v>
      </c>
      <c r="W1075">
        <f t="shared" si="102"/>
        <v>0</v>
      </c>
      <c r="X1075" t="str">
        <f t="shared" si="103"/>
        <v/>
      </c>
      <c r="Y1075">
        <f>IF(X1075="",0,IF(COUNTIF($X$3:X1075,X1075)=1,1,0))</f>
        <v>0</v>
      </c>
      <c r="Z1075">
        <f>IF(V1075&lt;&gt;1,0,IF(X1075="",0,IF(COUNTIF($X$3:X1074,X1075)&gt;0,1,0)))</f>
        <v>0</v>
      </c>
      <c r="AA1075">
        <f t="shared" si="100"/>
        <v>0</v>
      </c>
      <c r="AB1075">
        <f t="shared" si="101"/>
        <v>0</v>
      </c>
      <c r="AC1075">
        <f>IF(I1075="",0,L1075*IFERROR(INDEX(کاتالوگ_محصولات!$G$4:$G$303,MATCH(I1075,کاتالوگ_محصولات!$A$4:$A$303,0)),0))</f>
        <v>0</v>
      </c>
      <c r="AD1075">
        <f t="shared" si="104"/>
        <v>0</v>
      </c>
      <c r="AE1075" t="str">
        <f t="shared" si="105"/>
        <v/>
      </c>
    </row>
    <row r="1076" spans="22:31" ht="18" customHeight="1">
      <c r="V1076">
        <f>IF(A1076="",0,IF(COUNTIF($A$3:A1076,A1076)=1,1,0))</f>
        <v>0</v>
      </c>
      <c r="W1076">
        <f t="shared" si="102"/>
        <v>0</v>
      </c>
      <c r="X1076" t="str">
        <f t="shared" si="103"/>
        <v/>
      </c>
      <c r="Y1076">
        <f>IF(X1076="",0,IF(COUNTIF($X$3:X1076,X1076)=1,1,0))</f>
        <v>0</v>
      </c>
      <c r="Z1076">
        <f>IF(V1076&lt;&gt;1,0,IF(X1076="",0,IF(COUNTIF($X$3:X1075,X1076)&gt;0,1,0)))</f>
        <v>0</v>
      </c>
      <c r="AA1076">
        <f t="shared" si="100"/>
        <v>0</v>
      </c>
      <c r="AB1076">
        <f t="shared" si="101"/>
        <v>0</v>
      </c>
      <c r="AC1076">
        <f>IF(I1076="",0,L1076*IFERROR(INDEX(کاتالوگ_محصولات!$G$4:$G$303,MATCH(I1076,کاتالوگ_محصولات!$A$4:$A$303,0)),0))</f>
        <v>0</v>
      </c>
      <c r="AD1076">
        <f t="shared" si="104"/>
        <v>0</v>
      </c>
      <c r="AE1076" t="str">
        <f t="shared" si="105"/>
        <v/>
      </c>
    </row>
    <row r="1077" spans="22:31" ht="18" customHeight="1">
      <c r="V1077">
        <f>IF(A1077="",0,IF(COUNTIF($A$3:A1077,A1077)=1,1,0))</f>
        <v>0</v>
      </c>
      <c r="W1077">
        <f t="shared" si="102"/>
        <v>0</v>
      </c>
      <c r="X1077" t="str">
        <f t="shared" si="103"/>
        <v/>
      </c>
      <c r="Y1077">
        <f>IF(X1077="",0,IF(COUNTIF($X$3:X1077,X1077)=1,1,0))</f>
        <v>0</v>
      </c>
      <c r="Z1077">
        <f>IF(V1077&lt;&gt;1,0,IF(X1077="",0,IF(COUNTIF($X$3:X1076,X1077)&gt;0,1,0)))</f>
        <v>0</v>
      </c>
      <c r="AA1077">
        <f t="shared" si="100"/>
        <v>0</v>
      </c>
      <c r="AB1077">
        <f t="shared" si="101"/>
        <v>0</v>
      </c>
      <c r="AC1077">
        <f>IF(I1077="",0,L1077*IFERROR(INDEX(کاتالوگ_محصولات!$G$4:$G$303,MATCH(I1077,کاتالوگ_محصولات!$A$4:$A$303,0)),0))</f>
        <v>0</v>
      </c>
      <c r="AD1077">
        <f t="shared" si="104"/>
        <v>0</v>
      </c>
      <c r="AE1077" t="str">
        <f t="shared" si="105"/>
        <v/>
      </c>
    </row>
    <row r="1078" spans="22:31" ht="18" customHeight="1">
      <c r="V1078">
        <f>IF(A1078="",0,IF(COUNTIF($A$3:A1078,A1078)=1,1,0))</f>
        <v>0</v>
      </c>
      <c r="W1078">
        <f t="shared" si="102"/>
        <v>0</v>
      </c>
      <c r="X1078" t="str">
        <f t="shared" si="103"/>
        <v/>
      </c>
      <c r="Y1078">
        <f>IF(X1078="",0,IF(COUNTIF($X$3:X1078,X1078)=1,1,0))</f>
        <v>0</v>
      </c>
      <c r="Z1078">
        <f>IF(V1078&lt;&gt;1,0,IF(X1078="",0,IF(COUNTIF($X$3:X1077,X1078)&gt;0,1,0)))</f>
        <v>0</v>
      </c>
      <c r="AA1078">
        <f t="shared" si="100"/>
        <v>0</v>
      </c>
      <c r="AB1078">
        <f t="shared" si="101"/>
        <v>0</v>
      </c>
      <c r="AC1078">
        <f>IF(I1078="",0,L1078*IFERROR(INDEX(کاتالوگ_محصولات!$G$4:$G$303,MATCH(I1078,کاتالوگ_محصولات!$A$4:$A$303,0)),0))</f>
        <v>0</v>
      </c>
      <c r="AD1078">
        <f t="shared" si="104"/>
        <v>0</v>
      </c>
      <c r="AE1078" t="str">
        <f t="shared" si="105"/>
        <v/>
      </c>
    </row>
    <row r="1079" spans="22:31" ht="18" customHeight="1">
      <c r="V1079">
        <f>IF(A1079="",0,IF(COUNTIF($A$3:A1079,A1079)=1,1,0))</f>
        <v>0</v>
      </c>
      <c r="W1079">
        <f t="shared" si="102"/>
        <v>0</v>
      </c>
      <c r="X1079" t="str">
        <f t="shared" si="103"/>
        <v/>
      </c>
      <c r="Y1079">
        <f>IF(X1079="",0,IF(COUNTIF($X$3:X1079,X1079)=1,1,0))</f>
        <v>0</v>
      </c>
      <c r="Z1079">
        <f>IF(V1079&lt;&gt;1,0,IF(X1079="",0,IF(COUNTIF($X$3:X1078,X1079)&gt;0,1,0)))</f>
        <v>0</v>
      </c>
      <c r="AA1079">
        <f t="shared" si="100"/>
        <v>0</v>
      </c>
      <c r="AB1079">
        <f t="shared" si="101"/>
        <v>0</v>
      </c>
      <c r="AC1079">
        <f>IF(I1079="",0,L1079*IFERROR(INDEX(کاتالوگ_محصولات!$G$4:$G$303,MATCH(I1079,کاتالوگ_محصولات!$A$4:$A$303,0)),0))</f>
        <v>0</v>
      </c>
      <c r="AD1079">
        <f t="shared" si="104"/>
        <v>0</v>
      </c>
      <c r="AE1079" t="str">
        <f t="shared" si="105"/>
        <v/>
      </c>
    </row>
    <row r="1080" spans="22:31" ht="18" customHeight="1">
      <c r="V1080">
        <f>IF(A1080="",0,IF(COUNTIF($A$3:A1080,A1080)=1,1,0))</f>
        <v>0</v>
      </c>
      <c r="W1080">
        <f t="shared" si="102"/>
        <v>0</v>
      </c>
      <c r="X1080" t="str">
        <f t="shared" si="103"/>
        <v/>
      </c>
      <c r="Y1080">
        <f>IF(X1080="",0,IF(COUNTIF($X$3:X1080,X1080)=1,1,0))</f>
        <v>0</v>
      </c>
      <c r="Z1080">
        <f>IF(V1080&lt;&gt;1,0,IF(X1080="",0,IF(COUNTIF($X$3:X1079,X1080)&gt;0,1,0)))</f>
        <v>0</v>
      </c>
      <c r="AA1080">
        <f t="shared" si="100"/>
        <v>0</v>
      </c>
      <c r="AB1080">
        <f t="shared" si="101"/>
        <v>0</v>
      </c>
      <c r="AC1080">
        <f>IF(I1080="",0,L1080*IFERROR(INDEX(کاتالوگ_محصولات!$G$4:$G$303,MATCH(I1080,کاتالوگ_محصولات!$A$4:$A$303,0)),0))</f>
        <v>0</v>
      </c>
      <c r="AD1080">
        <f t="shared" si="104"/>
        <v>0</v>
      </c>
      <c r="AE1080" t="str">
        <f t="shared" si="105"/>
        <v/>
      </c>
    </row>
    <row r="1081" spans="22:31" ht="18" customHeight="1">
      <c r="V1081">
        <f>IF(A1081="",0,IF(COUNTIF($A$3:A1081,A1081)=1,1,0))</f>
        <v>0</v>
      </c>
      <c r="W1081">
        <f t="shared" si="102"/>
        <v>0</v>
      </c>
      <c r="X1081" t="str">
        <f t="shared" si="103"/>
        <v/>
      </c>
      <c r="Y1081">
        <f>IF(X1081="",0,IF(COUNTIF($X$3:X1081,X1081)=1,1,0))</f>
        <v>0</v>
      </c>
      <c r="Z1081">
        <f>IF(V1081&lt;&gt;1,0,IF(X1081="",0,IF(COUNTIF($X$3:X1080,X1081)&gt;0,1,0)))</f>
        <v>0</v>
      </c>
      <c r="AA1081">
        <f t="shared" si="100"/>
        <v>0</v>
      </c>
      <c r="AB1081">
        <f t="shared" si="101"/>
        <v>0</v>
      </c>
      <c r="AC1081">
        <f>IF(I1081="",0,L1081*IFERROR(INDEX(کاتالوگ_محصولات!$G$4:$G$303,MATCH(I1081,کاتالوگ_محصولات!$A$4:$A$303,0)),0))</f>
        <v>0</v>
      </c>
      <c r="AD1081">
        <f t="shared" si="104"/>
        <v>0</v>
      </c>
      <c r="AE1081" t="str">
        <f t="shared" si="105"/>
        <v/>
      </c>
    </row>
    <row r="1082" spans="22:31" ht="18" customHeight="1">
      <c r="V1082">
        <f>IF(A1082="",0,IF(COUNTIF($A$3:A1082,A1082)=1,1,0))</f>
        <v>0</v>
      </c>
      <c r="W1082">
        <f t="shared" si="102"/>
        <v>0</v>
      </c>
      <c r="X1082" t="str">
        <f t="shared" si="103"/>
        <v/>
      </c>
      <c r="Y1082">
        <f>IF(X1082="",0,IF(COUNTIF($X$3:X1082,X1082)=1,1,0))</f>
        <v>0</v>
      </c>
      <c r="Z1082">
        <f>IF(V1082&lt;&gt;1,0,IF(X1082="",0,IF(COUNTIF($X$3:X1081,X1082)&gt;0,1,0)))</f>
        <v>0</v>
      </c>
      <c r="AA1082">
        <f t="shared" si="100"/>
        <v>0</v>
      </c>
      <c r="AB1082">
        <f t="shared" si="101"/>
        <v>0</v>
      </c>
      <c r="AC1082">
        <f>IF(I1082="",0,L1082*IFERROR(INDEX(کاتالوگ_محصولات!$G$4:$G$303,MATCH(I1082,کاتالوگ_محصولات!$A$4:$A$303,0)),0))</f>
        <v>0</v>
      </c>
      <c r="AD1082">
        <f t="shared" si="104"/>
        <v>0</v>
      </c>
      <c r="AE1082" t="str">
        <f t="shared" si="105"/>
        <v/>
      </c>
    </row>
    <row r="1083" spans="22:31" ht="18" customHeight="1">
      <c r="V1083">
        <f>IF(A1083="",0,IF(COUNTIF($A$3:A1083,A1083)=1,1,0))</f>
        <v>0</v>
      </c>
      <c r="W1083">
        <f t="shared" si="102"/>
        <v>0</v>
      </c>
      <c r="X1083" t="str">
        <f t="shared" si="103"/>
        <v/>
      </c>
      <c r="Y1083">
        <f>IF(X1083="",0,IF(COUNTIF($X$3:X1083,X1083)=1,1,0))</f>
        <v>0</v>
      </c>
      <c r="Z1083">
        <f>IF(V1083&lt;&gt;1,0,IF(X1083="",0,IF(COUNTIF($X$3:X1082,X1083)&gt;0,1,0)))</f>
        <v>0</v>
      </c>
      <c r="AA1083">
        <f t="shared" si="100"/>
        <v>0</v>
      </c>
      <c r="AB1083">
        <f t="shared" si="101"/>
        <v>0</v>
      </c>
      <c r="AC1083">
        <f>IF(I1083="",0,L1083*IFERROR(INDEX(کاتالوگ_محصولات!$G$4:$G$303,MATCH(I1083,کاتالوگ_محصولات!$A$4:$A$303,0)),0))</f>
        <v>0</v>
      </c>
      <c r="AD1083">
        <f t="shared" si="104"/>
        <v>0</v>
      </c>
      <c r="AE1083" t="str">
        <f t="shared" si="105"/>
        <v/>
      </c>
    </row>
    <row r="1084" spans="22:31" ht="18" customHeight="1">
      <c r="V1084">
        <f>IF(A1084="",0,IF(COUNTIF($A$3:A1084,A1084)=1,1,0))</f>
        <v>0</v>
      </c>
      <c r="W1084">
        <f t="shared" si="102"/>
        <v>0</v>
      </c>
      <c r="X1084" t="str">
        <f t="shared" si="103"/>
        <v/>
      </c>
      <c r="Y1084">
        <f>IF(X1084="",0,IF(COUNTIF($X$3:X1084,X1084)=1,1,0))</f>
        <v>0</v>
      </c>
      <c r="Z1084">
        <f>IF(V1084&lt;&gt;1,0,IF(X1084="",0,IF(COUNTIF($X$3:X1083,X1084)&gt;0,1,0)))</f>
        <v>0</v>
      </c>
      <c r="AA1084">
        <f t="shared" si="100"/>
        <v>0</v>
      </c>
      <c r="AB1084">
        <f t="shared" si="101"/>
        <v>0</v>
      </c>
      <c r="AC1084">
        <f>IF(I1084="",0,L1084*IFERROR(INDEX(کاتالوگ_محصولات!$G$4:$G$303,MATCH(I1084,کاتالوگ_محصولات!$A$4:$A$303,0)),0))</f>
        <v>0</v>
      </c>
      <c r="AD1084">
        <f t="shared" si="104"/>
        <v>0</v>
      </c>
      <c r="AE1084" t="str">
        <f t="shared" si="105"/>
        <v/>
      </c>
    </row>
    <row r="1085" spans="22:31" ht="18" customHeight="1">
      <c r="V1085">
        <f>IF(A1085="",0,IF(COUNTIF($A$3:A1085,A1085)=1,1,0))</f>
        <v>0</v>
      </c>
      <c r="W1085">
        <f t="shared" si="102"/>
        <v>0</v>
      </c>
      <c r="X1085" t="str">
        <f t="shared" si="103"/>
        <v/>
      </c>
      <c r="Y1085">
        <f>IF(X1085="",0,IF(COUNTIF($X$3:X1085,X1085)=1,1,0))</f>
        <v>0</v>
      </c>
      <c r="Z1085">
        <f>IF(V1085&lt;&gt;1,0,IF(X1085="",0,IF(COUNTIF($X$3:X1084,X1085)&gt;0,1,0)))</f>
        <v>0</v>
      </c>
      <c r="AA1085">
        <f t="shared" si="100"/>
        <v>0</v>
      </c>
      <c r="AB1085">
        <f t="shared" si="101"/>
        <v>0</v>
      </c>
      <c r="AC1085">
        <f>IF(I1085="",0,L1085*IFERROR(INDEX(کاتالوگ_محصولات!$G$4:$G$303,MATCH(I1085,کاتالوگ_محصولات!$A$4:$A$303,0)),0))</f>
        <v>0</v>
      </c>
      <c r="AD1085">
        <f t="shared" si="104"/>
        <v>0</v>
      </c>
      <c r="AE1085" t="str">
        <f t="shared" si="105"/>
        <v/>
      </c>
    </row>
    <row r="1086" spans="22:31" ht="18" customHeight="1">
      <c r="V1086">
        <f>IF(A1086="",0,IF(COUNTIF($A$3:A1086,A1086)=1,1,0))</f>
        <v>0</v>
      </c>
      <c r="W1086">
        <f t="shared" si="102"/>
        <v>0</v>
      </c>
      <c r="X1086" t="str">
        <f t="shared" si="103"/>
        <v/>
      </c>
      <c r="Y1086">
        <f>IF(X1086="",0,IF(COUNTIF($X$3:X1086,X1086)=1,1,0))</f>
        <v>0</v>
      </c>
      <c r="Z1086">
        <f>IF(V1086&lt;&gt;1,0,IF(X1086="",0,IF(COUNTIF($X$3:X1085,X1086)&gt;0,1,0)))</f>
        <v>0</v>
      </c>
      <c r="AA1086">
        <f t="shared" si="100"/>
        <v>0</v>
      </c>
      <c r="AB1086">
        <f t="shared" si="101"/>
        <v>0</v>
      </c>
      <c r="AC1086">
        <f>IF(I1086="",0,L1086*IFERROR(INDEX(کاتالوگ_محصولات!$G$4:$G$303,MATCH(I1086,کاتالوگ_محصولات!$A$4:$A$303,0)),0))</f>
        <v>0</v>
      </c>
      <c r="AD1086">
        <f t="shared" si="104"/>
        <v>0</v>
      </c>
      <c r="AE1086" t="str">
        <f t="shared" si="105"/>
        <v/>
      </c>
    </row>
    <row r="1087" spans="22:31" ht="18" customHeight="1">
      <c r="V1087">
        <f>IF(A1087="",0,IF(COUNTIF($A$3:A1087,A1087)=1,1,0))</f>
        <v>0</v>
      </c>
      <c r="W1087">
        <f t="shared" si="102"/>
        <v>0</v>
      </c>
      <c r="X1087" t="str">
        <f t="shared" si="103"/>
        <v/>
      </c>
      <c r="Y1087">
        <f>IF(X1087="",0,IF(COUNTIF($X$3:X1087,X1087)=1,1,0))</f>
        <v>0</v>
      </c>
      <c r="Z1087">
        <f>IF(V1087&lt;&gt;1,0,IF(X1087="",0,IF(COUNTIF($X$3:X1086,X1087)&gt;0,1,0)))</f>
        <v>0</v>
      </c>
      <c r="AA1087">
        <f t="shared" si="100"/>
        <v>0</v>
      </c>
      <c r="AB1087">
        <f t="shared" si="101"/>
        <v>0</v>
      </c>
      <c r="AC1087">
        <f>IF(I1087="",0,L1087*IFERROR(INDEX(کاتالوگ_محصولات!$G$4:$G$303,MATCH(I1087,کاتالوگ_محصولات!$A$4:$A$303,0)),0))</f>
        <v>0</v>
      </c>
      <c r="AD1087">
        <f t="shared" si="104"/>
        <v>0</v>
      </c>
      <c r="AE1087" t="str">
        <f t="shared" si="105"/>
        <v/>
      </c>
    </row>
    <row r="1088" spans="22:31" ht="18" customHeight="1">
      <c r="V1088">
        <f>IF(A1088="",0,IF(COUNTIF($A$3:A1088,A1088)=1,1,0))</f>
        <v>0</v>
      </c>
      <c r="W1088">
        <f t="shared" si="102"/>
        <v>0</v>
      </c>
      <c r="X1088" t="str">
        <f t="shared" si="103"/>
        <v/>
      </c>
      <c r="Y1088">
        <f>IF(X1088="",0,IF(COUNTIF($X$3:X1088,X1088)=1,1,0))</f>
        <v>0</v>
      </c>
      <c r="Z1088">
        <f>IF(V1088&lt;&gt;1,0,IF(X1088="",0,IF(COUNTIF($X$3:X1087,X1088)&gt;0,1,0)))</f>
        <v>0</v>
      </c>
      <c r="AA1088">
        <f t="shared" si="100"/>
        <v>0</v>
      </c>
      <c r="AB1088">
        <f t="shared" si="101"/>
        <v>0</v>
      </c>
      <c r="AC1088">
        <f>IF(I1088="",0,L1088*IFERROR(INDEX(کاتالوگ_محصولات!$G$4:$G$303,MATCH(I1088,کاتالوگ_محصولات!$A$4:$A$303,0)),0))</f>
        <v>0</v>
      </c>
      <c r="AD1088">
        <f t="shared" si="104"/>
        <v>0</v>
      </c>
      <c r="AE1088" t="str">
        <f t="shared" si="105"/>
        <v/>
      </c>
    </row>
    <row r="1089" spans="22:31" ht="18" customHeight="1">
      <c r="V1089">
        <f>IF(A1089="",0,IF(COUNTIF($A$3:A1089,A1089)=1,1,0))</f>
        <v>0</v>
      </c>
      <c r="W1089">
        <f t="shared" si="102"/>
        <v>0</v>
      </c>
      <c r="X1089" t="str">
        <f t="shared" si="103"/>
        <v/>
      </c>
      <c r="Y1089">
        <f>IF(X1089="",0,IF(COUNTIF($X$3:X1089,X1089)=1,1,0))</f>
        <v>0</v>
      </c>
      <c r="Z1089">
        <f>IF(V1089&lt;&gt;1,0,IF(X1089="",0,IF(COUNTIF($X$3:X1088,X1089)&gt;0,1,0)))</f>
        <v>0</v>
      </c>
      <c r="AA1089">
        <f t="shared" si="100"/>
        <v>0</v>
      </c>
      <c r="AB1089">
        <f t="shared" si="101"/>
        <v>0</v>
      </c>
      <c r="AC1089">
        <f>IF(I1089="",0,L1089*IFERROR(INDEX(کاتالوگ_محصولات!$G$4:$G$303,MATCH(I1089,کاتالوگ_محصولات!$A$4:$A$303,0)),0))</f>
        <v>0</v>
      </c>
      <c r="AD1089">
        <f t="shared" si="104"/>
        <v>0</v>
      </c>
      <c r="AE1089" t="str">
        <f t="shared" si="105"/>
        <v/>
      </c>
    </row>
    <row r="1090" spans="22:31" ht="18" customHeight="1">
      <c r="V1090">
        <f>IF(A1090="",0,IF(COUNTIF($A$3:A1090,A1090)=1,1,0))</f>
        <v>0</v>
      </c>
      <c r="W1090">
        <f t="shared" si="102"/>
        <v>0</v>
      </c>
      <c r="X1090" t="str">
        <f t="shared" si="103"/>
        <v/>
      </c>
      <c r="Y1090">
        <f>IF(X1090="",0,IF(COUNTIF($X$3:X1090,X1090)=1,1,0))</f>
        <v>0</v>
      </c>
      <c r="Z1090">
        <f>IF(V1090&lt;&gt;1,0,IF(X1090="",0,IF(COUNTIF($X$3:X1089,X1090)&gt;0,1,0)))</f>
        <v>0</v>
      </c>
      <c r="AA1090">
        <f t="shared" si="100"/>
        <v>0</v>
      </c>
      <c r="AB1090">
        <f t="shared" si="101"/>
        <v>0</v>
      </c>
      <c r="AC1090">
        <f>IF(I1090="",0,L1090*IFERROR(INDEX(کاتالوگ_محصولات!$G$4:$G$303,MATCH(I1090,کاتالوگ_محصولات!$A$4:$A$303,0)),0))</f>
        <v>0</v>
      </c>
      <c r="AD1090">
        <f t="shared" si="104"/>
        <v>0</v>
      </c>
      <c r="AE1090" t="str">
        <f t="shared" si="105"/>
        <v/>
      </c>
    </row>
    <row r="1091" spans="22:31" ht="18" customHeight="1">
      <c r="V1091">
        <f>IF(A1091="",0,IF(COUNTIF($A$3:A1091,A1091)=1,1,0))</f>
        <v>0</v>
      </c>
      <c r="W1091">
        <f t="shared" si="102"/>
        <v>0</v>
      </c>
      <c r="X1091" t="str">
        <f t="shared" si="103"/>
        <v/>
      </c>
      <c r="Y1091">
        <f>IF(X1091="",0,IF(COUNTIF($X$3:X1091,X1091)=1,1,0))</f>
        <v>0</v>
      </c>
      <c r="Z1091">
        <f>IF(V1091&lt;&gt;1,0,IF(X1091="",0,IF(COUNTIF($X$3:X1090,X1091)&gt;0,1,0)))</f>
        <v>0</v>
      </c>
      <c r="AA1091">
        <f t="shared" ref="AA1091:AA1154" si="106">IF(V1091=1,SUMIF($A$3:$A$1622,A1091,$O$3:$O$1622),0)</f>
        <v>0</v>
      </c>
      <c r="AB1091">
        <f t="shared" ref="AB1091:AB1154" si="107">IF(V1091=1,SUMIF($A$3:$A$1622,A1091,$L$3:$L$1622),0)</f>
        <v>0</v>
      </c>
      <c r="AC1091">
        <f>IF(I1091="",0,L1091*IFERROR(INDEX(کاتالوگ_محصولات!$G$4:$G$303,MATCH(I1091,کاتالوگ_محصولات!$A$4:$A$303,0)),0))</f>
        <v>0</v>
      </c>
      <c r="AD1091">
        <f t="shared" si="104"/>
        <v>0</v>
      </c>
      <c r="AE1091" t="str">
        <f t="shared" si="105"/>
        <v/>
      </c>
    </row>
    <row r="1092" spans="22:31" ht="18" customHeight="1">
      <c r="V1092">
        <f>IF(A1092="",0,IF(COUNTIF($A$3:A1092,A1092)=1,1,0))</f>
        <v>0</v>
      </c>
      <c r="W1092">
        <f t="shared" si="102"/>
        <v>0</v>
      </c>
      <c r="X1092" t="str">
        <f t="shared" si="103"/>
        <v/>
      </c>
      <c r="Y1092">
        <f>IF(X1092="",0,IF(COUNTIF($X$3:X1092,X1092)=1,1,0))</f>
        <v>0</v>
      </c>
      <c r="Z1092">
        <f>IF(V1092&lt;&gt;1,0,IF(X1092="",0,IF(COUNTIF($X$3:X1091,X1092)&gt;0,1,0)))</f>
        <v>0</v>
      </c>
      <c r="AA1092">
        <f t="shared" si="106"/>
        <v>0</v>
      </c>
      <c r="AB1092">
        <f t="shared" si="107"/>
        <v>0</v>
      </c>
      <c r="AC1092">
        <f>IF(I1092="",0,L1092*IFERROR(INDEX(کاتالوگ_محصولات!$G$4:$G$303,MATCH(I1092,کاتالوگ_محصولات!$A$4:$A$303,0)),0))</f>
        <v>0</v>
      </c>
      <c r="AD1092">
        <f t="shared" si="104"/>
        <v>0</v>
      </c>
      <c r="AE1092" t="str">
        <f t="shared" si="105"/>
        <v/>
      </c>
    </row>
    <row r="1093" spans="22:31" ht="18" customHeight="1">
      <c r="V1093">
        <f>IF(A1093="",0,IF(COUNTIF($A$3:A1093,A1093)=1,1,0))</f>
        <v>0</v>
      </c>
      <c r="W1093">
        <f t="shared" si="102"/>
        <v>0</v>
      </c>
      <c r="X1093" t="str">
        <f t="shared" si="103"/>
        <v/>
      </c>
      <c r="Y1093">
        <f>IF(X1093="",0,IF(COUNTIF($X$3:X1093,X1093)=1,1,0))</f>
        <v>0</v>
      </c>
      <c r="Z1093">
        <f>IF(V1093&lt;&gt;1,0,IF(X1093="",0,IF(COUNTIF($X$3:X1092,X1093)&gt;0,1,0)))</f>
        <v>0</v>
      </c>
      <c r="AA1093">
        <f t="shared" si="106"/>
        <v>0</v>
      </c>
      <c r="AB1093">
        <f t="shared" si="107"/>
        <v>0</v>
      </c>
      <c r="AC1093">
        <f>IF(I1093="",0,L1093*IFERROR(INDEX(کاتالوگ_محصولات!$G$4:$G$303,MATCH(I1093,کاتالوگ_محصولات!$A$4:$A$303,0)),0))</f>
        <v>0</v>
      </c>
      <c r="AD1093">
        <f t="shared" si="104"/>
        <v>0</v>
      </c>
      <c r="AE1093" t="str">
        <f t="shared" si="105"/>
        <v/>
      </c>
    </row>
    <row r="1094" spans="22:31" ht="18" customHeight="1">
      <c r="V1094">
        <f>IF(A1094="",0,IF(COUNTIF($A$3:A1094,A1094)=1,1,0))</f>
        <v>0</v>
      </c>
      <c r="W1094">
        <f t="shared" si="102"/>
        <v>0</v>
      </c>
      <c r="X1094" t="str">
        <f t="shared" si="103"/>
        <v/>
      </c>
      <c r="Y1094">
        <f>IF(X1094="",0,IF(COUNTIF($X$3:X1094,X1094)=1,1,0))</f>
        <v>0</v>
      </c>
      <c r="Z1094">
        <f>IF(V1094&lt;&gt;1,0,IF(X1094="",0,IF(COUNTIF($X$3:X1093,X1094)&gt;0,1,0)))</f>
        <v>0</v>
      </c>
      <c r="AA1094">
        <f t="shared" si="106"/>
        <v>0</v>
      </c>
      <c r="AB1094">
        <f t="shared" si="107"/>
        <v>0</v>
      </c>
      <c r="AC1094">
        <f>IF(I1094="",0,L1094*IFERROR(INDEX(کاتالوگ_محصولات!$G$4:$G$303,MATCH(I1094,کاتالوگ_محصولات!$A$4:$A$303,0)),0))</f>
        <v>0</v>
      </c>
      <c r="AD1094">
        <f t="shared" si="104"/>
        <v>0</v>
      </c>
      <c r="AE1094" t="str">
        <f t="shared" si="105"/>
        <v/>
      </c>
    </row>
    <row r="1095" spans="22:31" ht="18" customHeight="1">
      <c r="V1095">
        <f>IF(A1095="",0,IF(COUNTIF($A$3:A1095,A1095)=1,1,0))</f>
        <v>0</v>
      </c>
      <c r="W1095">
        <f t="shared" si="102"/>
        <v>0</v>
      </c>
      <c r="X1095" t="str">
        <f t="shared" si="103"/>
        <v/>
      </c>
      <c r="Y1095">
        <f>IF(X1095="",0,IF(COUNTIF($X$3:X1095,X1095)=1,1,0))</f>
        <v>0</v>
      </c>
      <c r="Z1095">
        <f>IF(V1095&lt;&gt;1,0,IF(X1095="",0,IF(COUNTIF($X$3:X1094,X1095)&gt;0,1,0)))</f>
        <v>0</v>
      </c>
      <c r="AA1095">
        <f t="shared" si="106"/>
        <v>0</v>
      </c>
      <c r="AB1095">
        <f t="shared" si="107"/>
        <v>0</v>
      </c>
      <c r="AC1095">
        <f>IF(I1095="",0,L1095*IFERROR(INDEX(کاتالوگ_محصولات!$G$4:$G$303,MATCH(I1095,کاتالوگ_محصولات!$A$4:$A$303,0)),0))</f>
        <v>0</v>
      </c>
      <c r="AD1095">
        <f t="shared" si="104"/>
        <v>0</v>
      </c>
      <c r="AE1095" t="str">
        <f t="shared" si="105"/>
        <v/>
      </c>
    </row>
    <row r="1096" spans="22:31" ht="18" customHeight="1">
      <c r="V1096">
        <f>IF(A1096="",0,IF(COUNTIF($A$3:A1096,A1096)=1,1,0))</f>
        <v>0</v>
      </c>
      <c r="W1096">
        <f t="shared" si="102"/>
        <v>0</v>
      </c>
      <c r="X1096" t="str">
        <f t="shared" si="103"/>
        <v/>
      </c>
      <c r="Y1096">
        <f>IF(X1096="",0,IF(COUNTIF($X$3:X1096,X1096)=1,1,0))</f>
        <v>0</v>
      </c>
      <c r="Z1096">
        <f>IF(V1096&lt;&gt;1,0,IF(X1096="",0,IF(COUNTIF($X$3:X1095,X1096)&gt;0,1,0)))</f>
        <v>0</v>
      </c>
      <c r="AA1096">
        <f t="shared" si="106"/>
        <v>0</v>
      </c>
      <c r="AB1096">
        <f t="shared" si="107"/>
        <v>0</v>
      </c>
      <c r="AC1096">
        <f>IF(I1096="",0,L1096*IFERROR(INDEX(کاتالوگ_محصولات!$G$4:$G$303,MATCH(I1096,کاتالوگ_محصولات!$A$4:$A$303,0)),0))</f>
        <v>0</v>
      </c>
      <c r="AD1096">
        <f t="shared" si="104"/>
        <v>0</v>
      </c>
      <c r="AE1096" t="str">
        <f t="shared" si="105"/>
        <v/>
      </c>
    </row>
    <row r="1097" spans="22:31" ht="18" customHeight="1">
      <c r="V1097">
        <f>IF(A1097="",0,IF(COUNTIF($A$3:A1097,A1097)=1,1,0))</f>
        <v>0</v>
      </c>
      <c r="W1097">
        <f t="shared" ref="W1097:W1160" si="108">IF(A1097="",0,L1097*M1097)</f>
        <v>0</v>
      </c>
      <c r="X1097" t="str">
        <f t="shared" ref="X1097:X1160" si="109">IF(R1097&lt;&gt;"",R1097,IF(AND(P1097&lt;&gt;"",Q1097&lt;&gt;""),P1097&amp;"|"&amp;Q1097,""))</f>
        <v/>
      </c>
      <c r="Y1097">
        <f>IF(X1097="",0,IF(COUNTIF($X$3:X1097,X1097)=1,1,0))</f>
        <v>0</v>
      </c>
      <c r="Z1097">
        <f>IF(V1097&lt;&gt;1,0,IF(X1097="",0,IF(COUNTIF($X$3:X1096,X1097)&gt;0,1,0)))</f>
        <v>0</v>
      </c>
      <c r="AA1097">
        <f t="shared" si="106"/>
        <v>0</v>
      </c>
      <c r="AB1097">
        <f t="shared" si="107"/>
        <v>0</v>
      </c>
      <c r="AC1097">
        <f>IF(I1097="",0,L1097*IFERROR(INDEX(کاتالوگ_محصولات!$G$4:$G$303,MATCH(I1097,کاتالوگ_محصولات!$A$4:$A$303,0)),0))</f>
        <v>0</v>
      </c>
      <c r="AD1097">
        <f t="shared" ref="AD1097:AD1160" si="110">IF(A1097="",0,O1097-AC1097)</f>
        <v>0</v>
      </c>
      <c r="AE1097" t="str">
        <f t="shared" ref="AE1097:AE1160" si="111">IF(B1097="","",LEFT(B1097,7))</f>
        <v/>
      </c>
    </row>
    <row r="1098" spans="22:31" ht="18" customHeight="1">
      <c r="V1098">
        <f>IF(A1098="",0,IF(COUNTIF($A$3:A1098,A1098)=1,1,0))</f>
        <v>0</v>
      </c>
      <c r="W1098">
        <f t="shared" si="108"/>
        <v>0</v>
      </c>
      <c r="X1098" t="str">
        <f t="shared" si="109"/>
        <v/>
      </c>
      <c r="Y1098">
        <f>IF(X1098="",0,IF(COUNTIF($X$3:X1098,X1098)=1,1,0))</f>
        <v>0</v>
      </c>
      <c r="Z1098">
        <f>IF(V1098&lt;&gt;1,0,IF(X1098="",0,IF(COUNTIF($X$3:X1097,X1098)&gt;0,1,0)))</f>
        <v>0</v>
      </c>
      <c r="AA1098">
        <f t="shared" si="106"/>
        <v>0</v>
      </c>
      <c r="AB1098">
        <f t="shared" si="107"/>
        <v>0</v>
      </c>
      <c r="AC1098">
        <f>IF(I1098="",0,L1098*IFERROR(INDEX(کاتالوگ_محصولات!$G$4:$G$303,MATCH(I1098,کاتالوگ_محصولات!$A$4:$A$303,0)),0))</f>
        <v>0</v>
      </c>
      <c r="AD1098">
        <f t="shared" si="110"/>
        <v>0</v>
      </c>
      <c r="AE1098" t="str">
        <f t="shared" si="111"/>
        <v/>
      </c>
    </row>
    <row r="1099" spans="22:31" ht="18" customHeight="1">
      <c r="V1099">
        <f>IF(A1099="",0,IF(COUNTIF($A$3:A1099,A1099)=1,1,0))</f>
        <v>0</v>
      </c>
      <c r="W1099">
        <f t="shared" si="108"/>
        <v>0</v>
      </c>
      <c r="X1099" t="str">
        <f t="shared" si="109"/>
        <v/>
      </c>
      <c r="Y1099">
        <f>IF(X1099="",0,IF(COUNTIF($X$3:X1099,X1099)=1,1,0))</f>
        <v>0</v>
      </c>
      <c r="Z1099">
        <f>IF(V1099&lt;&gt;1,0,IF(X1099="",0,IF(COUNTIF($X$3:X1098,X1099)&gt;0,1,0)))</f>
        <v>0</v>
      </c>
      <c r="AA1099">
        <f t="shared" si="106"/>
        <v>0</v>
      </c>
      <c r="AB1099">
        <f t="shared" si="107"/>
        <v>0</v>
      </c>
      <c r="AC1099">
        <f>IF(I1099="",0,L1099*IFERROR(INDEX(کاتالوگ_محصولات!$G$4:$G$303,MATCH(I1099,کاتالوگ_محصولات!$A$4:$A$303,0)),0))</f>
        <v>0</v>
      </c>
      <c r="AD1099">
        <f t="shared" si="110"/>
        <v>0</v>
      </c>
      <c r="AE1099" t="str">
        <f t="shared" si="111"/>
        <v/>
      </c>
    </row>
    <row r="1100" spans="22:31" ht="18" customHeight="1">
      <c r="V1100">
        <f>IF(A1100="",0,IF(COUNTIF($A$3:A1100,A1100)=1,1,0))</f>
        <v>0</v>
      </c>
      <c r="W1100">
        <f t="shared" si="108"/>
        <v>0</v>
      </c>
      <c r="X1100" t="str">
        <f t="shared" si="109"/>
        <v/>
      </c>
      <c r="Y1100">
        <f>IF(X1100="",0,IF(COUNTIF($X$3:X1100,X1100)=1,1,0))</f>
        <v>0</v>
      </c>
      <c r="Z1100">
        <f>IF(V1100&lt;&gt;1,0,IF(X1100="",0,IF(COUNTIF($X$3:X1099,X1100)&gt;0,1,0)))</f>
        <v>0</v>
      </c>
      <c r="AA1100">
        <f t="shared" si="106"/>
        <v>0</v>
      </c>
      <c r="AB1100">
        <f t="shared" si="107"/>
        <v>0</v>
      </c>
      <c r="AC1100">
        <f>IF(I1100="",0,L1100*IFERROR(INDEX(کاتالوگ_محصولات!$G$4:$G$303,MATCH(I1100,کاتالوگ_محصولات!$A$4:$A$303,0)),0))</f>
        <v>0</v>
      </c>
      <c r="AD1100">
        <f t="shared" si="110"/>
        <v>0</v>
      </c>
      <c r="AE1100" t="str">
        <f t="shared" si="111"/>
        <v/>
      </c>
    </row>
    <row r="1101" spans="22:31" ht="18" customHeight="1">
      <c r="V1101">
        <f>IF(A1101="",0,IF(COUNTIF($A$3:A1101,A1101)=1,1,0))</f>
        <v>0</v>
      </c>
      <c r="W1101">
        <f t="shared" si="108"/>
        <v>0</v>
      </c>
      <c r="X1101" t="str">
        <f t="shared" si="109"/>
        <v/>
      </c>
      <c r="Y1101">
        <f>IF(X1101="",0,IF(COUNTIF($X$3:X1101,X1101)=1,1,0))</f>
        <v>0</v>
      </c>
      <c r="Z1101">
        <f>IF(V1101&lt;&gt;1,0,IF(X1101="",0,IF(COUNTIF($X$3:X1100,X1101)&gt;0,1,0)))</f>
        <v>0</v>
      </c>
      <c r="AA1101">
        <f t="shared" si="106"/>
        <v>0</v>
      </c>
      <c r="AB1101">
        <f t="shared" si="107"/>
        <v>0</v>
      </c>
      <c r="AC1101">
        <f>IF(I1101="",0,L1101*IFERROR(INDEX(کاتالوگ_محصولات!$G$4:$G$303,MATCH(I1101,کاتالوگ_محصولات!$A$4:$A$303,0)),0))</f>
        <v>0</v>
      </c>
      <c r="AD1101">
        <f t="shared" si="110"/>
        <v>0</v>
      </c>
      <c r="AE1101" t="str">
        <f t="shared" si="111"/>
        <v/>
      </c>
    </row>
    <row r="1102" spans="22:31" ht="18" customHeight="1">
      <c r="V1102">
        <f>IF(A1102="",0,IF(COUNTIF($A$3:A1102,A1102)=1,1,0))</f>
        <v>0</v>
      </c>
      <c r="W1102">
        <f t="shared" si="108"/>
        <v>0</v>
      </c>
      <c r="X1102" t="str">
        <f t="shared" si="109"/>
        <v/>
      </c>
      <c r="Y1102">
        <f>IF(X1102="",0,IF(COUNTIF($X$3:X1102,X1102)=1,1,0))</f>
        <v>0</v>
      </c>
      <c r="Z1102">
        <f>IF(V1102&lt;&gt;1,0,IF(X1102="",0,IF(COUNTIF($X$3:X1101,X1102)&gt;0,1,0)))</f>
        <v>0</v>
      </c>
      <c r="AA1102">
        <f t="shared" si="106"/>
        <v>0</v>
      </c>
      <c r="AB1102">
        <f t="shared" si="107"/>
        <v>0</v>
      </c>
      <c r="AC1102">
        <f>IF(I1102="",0,L1102*IFERROR(INDEX(کاتالوگ_محصولات!$G$4:$G$303,MATCH(I1102,کاتالوگ_محصولات!$A$4:$A$303,0)),0))</f>
        <v>0</v>
      </c>
      <c r="AD1102">
        <f t="shared" si="110"/>
        <v>0</v>
      </c>
      <c r="AE1102" t="str">
        <f t="shared" si="111"/>
        <v/>
      </c>
    </row>
    <row r="1103" spans="22:31" ht="18" customHeight="1">
      <c r="V1103">
        <f>IF(A1103="",0,IF(COUNTIF($A$3:A1103,A1103)=1,1,0))</f>
        <v>0</v>
      </c>
      <c r="W1103">
        <f t="shared" si="108"/>
        <v>0</v>
      </c>
      <c r="X1103" t="str">
        <f t="shared" si="109"/>
        <v/>
      </c>
      <c r="Y1103">
        <f>IF(X1103="",0,IF(COUNTIF($X$3:X1103,X1103)=1,1,0))</f>
        <v>0</v>
      </c>
      <c r="Z1103">
        <f>IF(V1103&lt;&gt;1,0,IF(X1103="",0,IF(COUNTIF($X$3:X1102,X1103)&gt;0,1,0)))</f>
        <v>0</v>
      </c>
      <c r="AA1103">
        <f t="shared" si="106"/>
        <v>0</v>
      </c>
      <c r="AB1103">
        <f t="shared" si="107"/>
        <v>0</v>
      </c>
      <c r="AC1103">
        <f>IF(I1103="",0,L1103*IFERROR(INDEX(کاتالوگ_محصولات!$G$4:$G$303,MATCH(I1103,کاتالوگ_محصولات!$A$4:$A$303,0)),0))</f>
        <v>0</v>
      </c>
      <c r="AD1103">
        <f t="shared" si="110"/>
        <v>0</v>
      </c>
      <c r="AE1103" t="str">
        <f t="shared" si="111"/>
        <v/>
      </c>
    </row>
    <row r="1104" spans="22:31" ht="18" customHeight="1">
      <c r="V1104">
        <f>IF(A1104="",0,IF(COUNTIF($A$3:A1104,A1104)=1,1,0))</f>
        <v>0</v>
      </c>
      <c r="W1104">
        <f t="shared" si="108"/>
        <v>0</v>
      </c>
      <c r="X1104" t="str">
        <f t="shared" si="109"/>
        <v/>
      </c>
      <c r="Y1104">
        <f>IF(X1104="",0,IF(COUNTIF($X$3:X1104,X1104)=1,1,0))</f>
        <v>0</v>
      </c>
      <c r="Z1104">
        <f>IF(V1104&lt;&gt;1,0,IF(X1104="",0,IF(COUNTIF($X$3:X1103,X1104)&gt;0,1,0)))</f>
        <v>0</v>
      </c>
      <c r="AA1104">
        <f t="shared" si="106"/>
        <v>0</v>
      </c>
      <c r="AB1104">
        <f t="shared" si="107"/>
        <v>0</v>
      </c>
      <c r="AC1104">
        <f>IF(I1104="",0,L1104*IFERROR(INDEX(کاتالوگ_محصولات!$G$4:$G$303,MATCH(I1104,کاتالوگ_محصولات!$A$4:$A$303,0)),0))</f>
        <v>0</v>
      </c>
      <c r="AD1104">
        <f t="shared" si="110"/>
        <v>0</v>
      </c>
      <c r="AE1104" t="str">
        <f t="shared" si="111"/>
        <v/>
      </c>
    </row>
    <row r="1105" spans="22:31" ht="18" customHeight="1">
      <c r="V1105">
        <f>IF(A1105="",0,IF(COUNTIF($A$3:A1105,A1105)=1,1,0))</f>
        <v>0</v>
      </c>
      <c r="W1105">
        <f t="shared" si="108"/>
        <v>0</v>
      </c>
      <c r="X1105" t="str">
        <f t="shared" si="109"/>
        <v/>
      </c>
      <c r="Y1105">
        <f>IF(X1105="",0,IF(COUNTIF($X$3:X1105,X1105)=1,1,0))</f>
        <v>0</v>
      </c>
      <c r="Z1105">
        <f>IF(V1105&lt;&gt;1,0,IF(X1105="",0,IF(COUNTIF($X$3:X1104,X1105)&gt;0,1,0)))</f>
        <v>0</v>
      </c>
      <c r="AA1105">
        <f t="shared" si="106"/>
        <v>0</v>
      </c>
      <c r="AB1105">
        <f t="shared" si="107"/>
        <v>0</v>
      </c>
      <c r="AC1105">
        <f>IF(I1105="",0,L1105*IFERROR(INDEX(کاتالوگ_محصولات!$G$4:$G$303,MATCH(I1105,کاتالوگ_محصولات!$A$4:$A$303,0)),0))</f>
        <v>0</v>
      </c>
      <c r="AD1105">
        <f t="shared" si="110"/>
        <v>0</v>
      </c>
      <c r="AE1105" t="str">
        <f t="shared" si="111"/>
        <v/>
      </c>
    </row>
    <row r="1106" spans="22:31" ht="18" customHeight="1">
      <c r="V1106">
        <f>IF(A1106="",0,IF(COUNTIF($A$3:A1106,A1106)=1,1,0))</f>
        <v>0</v>
      </c>
      <c r="W1106">
        <f t="shared" si="108"/>
        <v>0</v>
      </c>
      <c r="X1106" t="str">
        <f t="shared" si="109"/>
        <v/>
      </c>
      <c r="Y1106">
        <f>IF(X1106="",0,IF(COUNTIF($X$3:X1106,X1106)=1,1,0))</f>
        <v>0</v>
      </c>
      <c r="Z1106">
        <f>IF(V1106&lt;&gt;1,0,IF(X1106="",0,IF(COUNTIF($X$3:X1105,X1106)&gt;0,1,0)))</f>
        <v>0</v>
      </c>
      <c r="AA1106">
        <f t="shared" si="106"/>
        <v>0</v>
      </c>
      <c r="AB1106">
        <f t="shared" si="107"/>
        <v>0</v>
      </c>
      <c r="AC1106">
        <f>IF(I1106="",0,L1106*IFERROR(INDEX(کاتالوگ_محصولات!$G$4:$G$303,MATCH(I1106,کاتالوگ_محصولات!$A$4:$A$303,0)),0))</f>
        <v>0</v>
      </c>
      <c r="AD1106">
        <f t="shared" si="110"/>
        <v>0</v>
      </c>
      <c r="AE1106" t="str">
        <f t="shared" si="111"/>
        <v/>
      </c>
    </row>
    <row r="1107" spans="22:31" ht="18" customHeight="1">
      <c r="V1107">
        <f>IF(A1107="",0,IF(COUNTIF($A$3:A1107,A1107)=1,1,0))</f>
        <v>0</v>
      </c>
      <c r="W1107">
        <f t="shared" si="108"/>
        <v>0</v>
      </c>
      <c r="X1107" t="str">
        <f t="shared" si="109"/>
        <v/>
      </c>
      <c r="Y1107">
        <f>IF(X1107="",0,IF(COUNTIF($X$3:X1107,X1107)=1,1,0))</f>
        <v>0</v>
      </c>
      <c r="Z1107">
        <f>IF(V1107&lt;&gt;1,0,IF(X1107="",0,IF(COUNTIF($X$3:X1106,X1107)&gt;0,1,0)))</f>
        <v>0</v>
      </c>
      <c r="AA1107">
        <f t="shared" si="106"/>
        <v>0</v>
      </c>
      <c r="AB1107">
        <f t="shared" si="107"/>
        <v>0</v>
      </c>
      <c r="AC1107">
        <f>IF(I1107="",0,L1107*IFERROR(INDEX(کاتالوگ_محصولات!$G$4:$G$303,MATCH(I1107,کاتالوگ_محصولات!$A$4:$A$303,0)),0))</f>
        <v>0</v>
      </c>
      <c r="AD1107">
        <f t="shared" si="110"/>
        <v>0</v>
      </c>
      <c r="AE1107" t="str">
        <f t="shared" si="111"/>
        <v/>
      </c>
    </row>
    <row r="1108" spans="22:31" ht="18" customHeight="1">
      <c r="V1108">
        <f>IF(A1108="",0,IF(COUNTIF($A$3:A1108,A1108)=1,1,0))</f>
        <v>0</v>
      </c>
      <c r="W1108">
        <f t="shared" si="108"/>
        <v>0</v>
      </c>
      <c r="X1108" t="str">
        <f t="shared" si="109"/>
        <v/>
      </c>
      <c r="Y1108">
        <f>IF(X1108="",0,IF(COUNTIF($X$3:X1108,X1108)=1,1,0))</f>
        <v>0</v>
      </c>
      <c r="Z1108">
        <f>IF(V1108&lt;&gt;1,0,IF(X1108="",0,IF(COUNTIF($X$3:X1107,X1108)&gt;0,1,0)))</f>
        <v>0</v>
      </c>
      <c r="AA1108">
        <f t="shared" si="106"/>
        <v>0</v>
      </c>
      <c r="AB1108">
        <f t="shared" si="107"/>
        <v>0</v>
      </c>
      <c r="AC1108">
        <f>IF(I1108="",0,L1108*IFERROR(INDEX(کاتالوگ_محصولات!$G$4:$G$303,MATCH(I1108,کاتالوگ_محصولات!$A$4:$A$303,0)),0))</f>
        <v>0</v>
      </c>
      <c r="AD1108">
        <f t="shared" si="110"/>
        <v>0</v>
      </c>
      <c r="AE1108" t="str">
        <f t="shared" si="111"/>
        <v/>
      </c>
    </row>
    <row r="1109" spans="22:31" ht="18" customHeight="1">
      <c r="V1109">
        <f>IF(A1109="",0,IF(COUNTIF($A$3:A1109,A1109)=1,1,0))</f>
        <v>0</v>
      </c>
      <c r="W1109">
        <f t="shared" si="108"/>
        <v>0</v>
      </c>
      <c r="X1109" t="str">
        <f t="shared" si="109"/>
        <v/>
      </c>
      <c r="Y1109">
        <f>IF(X1109="",0,IF(COUNTIF($X$3:X1109,X1109)=1,1,0))</f>
        <v>0</v>
      </c>
      <c r="Z1109">
        <f>IF(V1109&lt;&gt;1,0,IF(X1109="",0,IF(COUNTIF($X$3:X1108,X1109)&gt;0,1,0)))</f>
        <v>0</v>
      </c>
      <c r="AA1109">
        <f t="shared" si="106"/>
        <v>0</v>
      </c>
      <c r="AB1109">
        <f t="shared" si="107"/>
        <v>0</v>
      </c>
      <c r="AC1109">
        <f>IF(I1109="",0,L1109*IFERROR(INDEX(کاتالوگ_محصولات!$G$4:$G$303,MATCH(I1109,کاتالوگ_محصولات!$A$4:$A$303,0)),0))</f>
        <v>0</v>
      </c>
      <c r="AD1109">
        <f t="shared" si="110"/>
        <v>0</v>
      </c>
      <c r="AE1109" t="str">
        <f t="shared" si="111"/>
        <v/>
      </c>
    </row>
    <row r="1110" spans="22:31" ht="18" customHeight="1">
      <c r="V1110">
        <f>IF(A1110="",0,IF(COUNTIF($A$3:A1110,A1110)=1,1,0))</f>
        <v>0</v>
      </c>
      <c r="W1110">
        <f t="shared" si="108"/>
        <v>0</v>
      </c>
      <c r="X1110" t="str">
        <f t="shared" si="109"/>
        <v/>
      </c>
      <c r="Y1110">
        <f>IF(X1110="",0,IF(COUNTIF($X$3:X1110,X1110)=1,1,0))</f>
        <v>0</v>
      </c>
      <c r="Z1110">
        <f>IF(V1110&lt;&gt;1,0,IF(X1110="",0,IF(COUNTIF($X$3:X1109,X1110)&gt;0,1,0)))</f>
        <v>0</v>
      </c>
      <c r="AA1110">
        <f t="shared" si="106"/>
        <v>0</v>
      </c>
      <c r="AB1110">
        <f t="shared" si="107"/>
        <v>0</v>
      </c>
      <c r="AC1110">
        <f>IF(I1110="",0,L1110*IFERROR(INDEX(کاتالوگ_محصولات!$G$4:$G$303,MATCH(I1110,کاتالوگ_محصولات!$A$4:$A$303,0)),0))</f>
        <v>0</v>
      </c>
      <c r="AD1110">
        <f t="shared" si="110"/>
        <v>0</v>
      </c>
      <c r="AE1110" t="str">
        <f t="shared" si="111"/>
        <v/>
      </c>
    </row>
    <row r="1111" spans="22:31" ht="18" customHeight="1">
      <c r="V1111">
        <f>IF(A1111="",0,IF(COUNTIF($A$3:A1111,A1111)=1,1,0))</f>
        <v>0</v>
      </c>
      <c r="W1111">
        <f t="shared" si="108"/>
        <v>0</v>
      </c>
      <c r="X1111" t="str">
        <f t="shared" si="109"/>
        <v/>
      </c>
      <c r="Y1111">
        <f>IF(X1111="",0,IF(COUNTIF($X$3:X1111,X1111)=1,1,0))</f>
        <v>0</v>
      </c>
      <c r="Z1111">
        <f>IF(V1111&lt;&gt;1,0,IF(X1111="",0,IF(COUNTIF($X$3:X1110,X1111)&gt;0,1,0)))</f>
        <v>0</v>
      </c>
      <c r="AA1111">
        <f t="shared" si="106"/>
        <v>0</v>
      </c>
      <c r="AB1111">
        <f t="shared" si="107"/>
        <v>0</v>
      </c>
      <c r="AC1111">
        <f>IF(I1111="",0,L1111*IFERROR(INDEX(کاتالوگ_محصولات!$G$4:$G$303,MATCH(I1111,کاتالوگ_محصولات!$A$4:$A$303,0)),0))</f>
        <v>0</v>
      </c>
      <c r="AD1111">
        <f t="shared" si="110"/>
        <v>0</v>
      </c>
      <c r="AE1111" t="str">
        <f t="shared" si="111"/>
        <v/>
      </c>
    </row>
    <row r="1112" spans="22:31" ht="18" customHeight="1">
      <c r="V1112">
        <f>IF(A1112="",0,IF(COUNTIF($A$3:A1112,A1112)=1,1,0))</f>
        <v>0</v>
      </c>
      <c r="W1112">
        <f t="shared" si="108"/>
        <v>0</v>
      </c>
      <c r="X1112" t="str">
        <f t="shared" si="109"/>
        <v/>
      </c>
      <c r="Y1112">
        <f>IF(X1112="",0,IF(COUNTIF($X$3:X1112,X1112)=1,1,0))</f>
        <v>0</v>
      </c>
      <c r="Z1112">
        <f>IF(V1112&lt;&gt;1,0,IF(X1112="",0,IF(COUNTIF($X$3:X1111,X1112)&gt;0,1,0)))</f>
        <v>0</v>
      </c>
      <c r="AA1112">
        <f t="shared" si="106"/>
        <v>0</v>
      </c>
      <c r="AB1112">
        <f t="shared" si="107"/>
        <v>0</v>
      </c>
      <c r="AC1112">
        <f>IF(I1112="",0,L1112*IFERROR(INDEX(کاتالوگ_محصولات!$G$4:$G$303,MATCH(I1112,کاتالوگ_محصولات!$A$4:$A$303,0)),0))</f>
        <v>0</v>
      </c>
      <c r="AD1112">
        <f t="shared" si="110"/>
        <v>0</v>
      </c>
      <c r="AE1112" t="str">
        <f t="shared" si="111"/>
        <v/>
      </c>
    </row>
    <row r="1113" spans="22:31" ht="18" customHeight="1">
      <c r="V1113">
        <f>IF(A1113="",0,IF(COUNTIF($A$3:A1113,A1113)=1,1,0))</f>
        <v>0</v>
      </c>
      <c r="W1113">
        <f t="shared" si="108"/>
        <v>0</v>
      </c>
      <c r="X1113" t="str">
        <f t="shared" si="109"/>
        <v/>
      </c>
      <c r="Y1113">
        <f>IF(X1113="",0,IF(COUNTIF($X$3:X1113,X1113)=1,1,0))</f>
        <v>0</v>
      </c>
      <c r="Z1113">
        <f>IF(V1113&lt;&gt;1,0,IF(X1113="",0,IF(COUNTIF($X$3:X1112,X1113)&gt;0,1,0)))</f>
        <v>0</v>
      </c>
      <c r="AA1113">
        <f t="shared" si="106"/>
        <v>0</v>
      </c>
      <c r="AB1113">
        <f t="shared" si="107"/>
        <v>0</v>
      </c>
      <c r="AC1113">
        <f>IF(I1113="",0,L1113*IFERROR(INDEX(کاتالوگ_محصولات!$G$4:$G$303,MATCH(I1113,کاتالوگ_محصولات!$A$4:$A$303,0)),0))</f>
        <v>0</v>
      </c>
      <c r="AD1113">
        <f t="shared" si="110"/>
        <v>0</v>
      </c>
      <c r="AE1113" t="str">
        <f t="shared" si="111"/>
        <v/>
      </c>
    </row>
    <row r="1114" spans="22:31" ht="18" customHeight="1">
      <c r="V1114">
        <f>IF(A1114="",0,IF(COUNTIF($A$3:A1114,A1114)=1,1,0))</f>
        <v>0</v>
      </c>
      <c r="W1114">
        <f t="shared" si="108"/>
        <v>0</v>
      </c>
      <c r="X1114" t="str">
        <f t="shared" si="109"/>
        <v/>
      </c>
      <c r="Y1114">
        <f>IF(X1114="",0,IF(COUNTIF($X$3:X1114,X1114)=1,1,0))</f>
        <v>0</v>
      </c>
      <c r="Z1114">
        <f>IF(V1114&lt;&gt;1,0,IF(X1114="",0,IF(COUNTIF($X$3:X1113,X1114)&gt;0,1,0)))</f>
        <v>0</v>
      </c>
      <c r="AA1114">
        <f t="shared" si="106"/>
        <v>0</v>
      </c>
      <c r="AB1114">
        <f t="shared" si="107"/>
        <v>0</v>
      </c>
      <c r="AC1114">
        <f>IF(I1114="",0,L1114*IFERROR(INDEX(کاتالوگ_محصولات!$G$4:$G$303,MATCH(I1114,کاتالوگ_محصولات!$A$4:$A$303,0)),0))</f>
        <v>0</v>
      </c>
      <c r="AD1114">
        <f t="shared" si="110"/>
        <v>0</v>
      </c>
      <c r="AE1114" t="str">
        <f t="shared" si="111"/>
        <v/>
      </c>
    </row>
    <row r="1115" spans="22:31" ht="18" customHeight="1">
      <c r="V1115">
        <f>IF(A1115="",0,IF(COUNTIF($A$3:A1115,A1115)=1,1,0))</f>
        <v>0</v>
      </c>
      <c r="W1115">
        <f t="shared" si="108"/>
        <v>0</v>
      </c>
      <c r="X1115" t="str">
        <f t="shared" si="109"/>
        <v/>
      </c>
      <c r="Y1115">
        <f>IF(X1115="",0,IF(COUNTIF($X$3:X1115,X1115)=1,1,0))</f>
        <v>0</v>
      </c>
      <c r="Z1115">
        <f>IF(V1115&lt;&gt;1,0,IF(X1115="",0,IF(COUNTIF($X$3:X1114,X1115)&gt;0,1,0)))</f>
        <v>0</v>
      </c>
      <c r="AA1115">
        <f t="shared" si="106"/>
        <v>0</v>
      </c>
      <c r="AB1115">
        <f t="shared" si="107"/>
        <v>0</v>
      </c>
      <c r="AC1115">
        <f>IF(I1115="",0,L1115*IFERROR(INDEX(کاتالوگ_محصولات!$G$4:$G$303,MATCH(I1115,کاتالوگ_محصولات!$A$4:$A$303,0)),0))</f>
        <v>0</v>
      </c>
      <c r="AD1115">
        <f t="shared" si="110"/>
        <v>0</v>
      </c>
      <c r="AE1115" t="str">
        <f t="shared" si="111"/>
        <v/>
      </c>
    </row>
    <row r="1116" spans="22:31" ht="18" customHeight="1">
      <c r="V1116">
        <f>IF(A1116="",0,IF(COUNTIF($A$3:A1116,A1116)=1,1,0))</f>
        <v>0</v>
      </c>
      <c r="W1116">
        <f t="shared" si="108"/>
        <v>0</v>
      </c>
      <c r="X1116" t="str">
        <f t="shared" si="109"/>
        <v/>
      </c>
      <c r="Y1116">
        <f>IF(X1116="",0,IF(COUNTIF($X$3:X1116,X1116)=1,1,0))</f>
        <v>0</v>
      </c>
      <c r="Z1116">
        <f>IF(V1116&lt;&gt;1,0,IF(X1116="",0,IF(COUNTIF($X$3:X1115,X1116)&gt;0,1,0)))</f>
        <v>0</v>
      </c>
      <c r="AA1116">
        <f t="shared" si="106"/>
        <v>0</v>
      </c>
      <c r="AB1116">
        <f t="shared" si="107"/>
        <v>0</v>
      </c>
      <c r="AC1116">
        <f>IF(I1116="",0,L1116*IFERROR(INDEX(کاتالوگ_محصولات!$G$4:$G$303,MATCH(I1116,کاتالوگ_محصولات!$A$4:$A$303,0)),0))</f>
        <v>0</v>
      </c>
      <c r="AD1116">
        <f t="shared" si="110"/>
        <v>0</v>
      </c>
      <c r="AE1116" t="str">
        <f t="shared" si="111"/>
        <v/>
      </c>
    </row>
    <row r="1117" spans="22:31" ht="18" customHeight="1">
      <c r="V1117">
        <f>IF(A1117="",0,IF(COUNTIF($A$3:A1117,A1117)=1,1,0))</f>
        <v>0</v>
      </c>
      <c r="W1117">
        <f t="shared" si="108"/>
        <v>0</v>
      </c>
      <c r="X1117" t="str">
        <f t="shared" si="109"/>
        <v/>
      </c>
      <c r="Y1117">
        <f>IF(X1117="",0,IF(COUNTIF($X$3:X1117,X1117)=1,1,0))</f>
        <v>0</v>
      </c>
      <c r="Z1117">
        <f>IF(V1117&lt;&gt;1,0,IF(X1117="",0,IF(COUNTIF($X$3:X1116,X1117)&gt;0,1,0)))</f>
        <v>0</v>
      </c>
      <c r="AA1117">
        <f t="shared" si="106"/>
        <v>0</v>
      </c>
      <c r="AB1117">
        <f t="shared" si="107"/>
        <v>0</v>
      </c>
      <c r="AC1117">
        <f>IF(I1117="",0,L1117*IFERROR(INDEX(کاتالوگ_محصولات!$G$4:$G$303,MATCH(I1117,کاتالوگ_محصولات!$A$4:$A$303,0)),0))</f>
        <v>0</v>
      </c>
      <c r="AD1117">
        <f t="shared" si="110"/>
        <v>0</v>
      </c>
      <c r="AE1117" t="str">
        <f t="shared" si="111"/>
        <v/>
      </c>
    </row>
    <row r="1118" spans="22:31" ht="18" customHeight="1">
      <c r="V1118">
        <f>IF(A1118="",0,IF(COUNTIF($A$3:A1118,A1118)=1,1,0))</f>
        <v>0</v>
      </c>
      <c r="W1118">
        <f t="shared" si="108"/>
        <v>0</v>
      </c>
      <c r="X1118" t="str">
        <f t="shared" si="109"/>
        <v/>
      </c>
      <c r="Y1118">
        <f>IF(X1118="",0,IF(COUNTIF($X$3:X1118,X1118)=1,1,0))</f>
        <v>0</v>
      </c>
      <c r="Z1118">
        <f>IF(V1118&lt;&gt;1,0,IF(X1118="",0,IF(COUNTIF($X$3:X1117,X1118)&gt;0,1,0)))</f>
        <v>0</v>
      </c>
      <c r="AA1118">
        <f t="shared" si="106"/>
        <v>0</v>
      </c>
      <c r="AB1118">
        <f t="shared" si="107"/>
        <v>0</v>
      </c>
      <c r="AC1118">
        <f>IF(I1118="",0,L1118*IFERROR(INDEX(کاتالوگ_محصولات!$G$4:$G$303,MATCH(I1118,کاتالوگ_محصولات!$A$4:$A$303,0)),0))</f>
        <v>0</v>
      </c>
      <c r="AD1118">
        <f t="shared" si="110"/>
        <v>0</v>
      </c>
      <c r="AE1118" t="str">
        <f t="shared" si="111"/>
        <v/>
      </c>
    </row>
    <row r="1119" spans="22:31" ht="18" customHeight="1">
      <c r="V1119">
        <f>IF(A1119="",0,IF(COUNTIF($A$3:A1119,A1119)=1,1,0))</f>
        <v>0</v>
      </c>
      <c r="W1119">
        <f t="shared" si="108"/>
        <v>0</v>
      </c>
      <c r="X1119" t="str">
        <f t="shared" si="109"/>
        <v/>
      </c>
      <c r="Y1119">
        <f>IF(X1119="",0,IF(COUNTIF($X$3:X1119,X1119)=1,1,0))</f>
        <v>0</v>
      </c>
      <c r="Z1119">
        <f>IF(V1119&lt;&gt;1,0,IF(X1119="",0,IF(COUNTIF($X$3:X1118,X1119)&gt;0,1,0)))</f>
        <v>0</v>
      </c>
      <c r="AA1119">
        <f t="shared" si="106"/>
        <v>0</v>
      </c>
      <c r="AB1119">
        <f t="shared" si="107"/>
        <v>0</v>
      </c>
      <c r="AC1119">
        <f>IF(I1119="",0,L1119*IFERROR(INDEX(کاتالوگ_محصولات!$G$4:$G$303,MATCH(I1119,کاتالوگ_محصولات!$A$4:$A$303,0)),0))</f>
        <v>0</v>
      </c>
      <c r="AD1119">
        <f t="shared" si="110"/>
        <v>0</v>
      </c>
      <c r="AE1119" t="str">
        <f t="shared" si="111"/>
        <v/>
      </c>
    </row>
    <row r="1120" spans="22:31" ht="18" customHeight="1">
      <c r="V1120">
        <f>IF(A1120="",0,IF(COUNTIF($A$3:A1120,A1120)=1,1,0))</f>
        <v>0</v>
      </c>
      <c r="W1120">
        <f t="shared" si="108"/>
        <v>0</v>
      </c>
      <c r="X1120" t="str">
        <f t="shared" si="109"/>
        <v/>
      </c>
      <c r="Y1120">
        <f>IF(X1120="",0,IF(COUNTIF($X$3:X1120,X1120)=1,1,0))</f>
        <v>0</v>
      </c>
      <c r="Z1120">
        <f>IF(V1120&lt;&gt;1,0,IF(X1120="",0,IF(COUNTIF($X$3:X1119,X1120)&gt;0,1,0)))</f>
        <v>0</v>
      </c>
      <c r="AA1120">
        <f t="shared" si="106"/>
        <v>0</v>
      </c>
      <c r="AB1120">
        <f t="shared" si="107"/>
        <v>0</v>
      </c>
      <c r="AC1120">
        <f>IF(I1120="",0,L1120*IFERROR(INDEX(کاتالوگ_محصولات!$G$4:$G$303,MATCH(I1120,کاتالوگ_محصولات!$A$4:$A$303,0)),0))</f>
        <v>0</v>
      </c>
      <c r="AD1120">
        <f t="shared" si="110"/>
        <v>0</v>
      </c>
      <c r="AE1120" t="str">
        <f t="shared" si="111"/>
        <v/>
      </c>
    </row>
    <row r="1121" spans="22:31" ht="18" customHeight="1">
      <c r="V1121">
        <f>IF(A1121="",0,IF(COUNTIF($A$3:A1121,A1121)=1,1,0))</f>
        <v>0</v>
      </c>
      <c r="W1121">
        <f t="shared" si="108"/>
        <v>0</v>
      </c>
      <c r="X1121" t="str">
        <f t="shared" si="109"/>
        <v/>
      </c>
      <c r="Y1121">
        <f>IF(X1121="",0,IF(COUNTIF($X$3:X1121,X1121)=1,1,0))</f>
        <v>0</v>
      </c>
      <c r="Z1121">
        <f>IF(V1121&lt;&gt;1,0,IF(X1121="",0,IF(COUNTIF($X$3:X1120,X1121)&gt;0,1,0)))</f>
        <v>0</v>
      </c>
      <c r="AA1121">
        <f t="shared" si="106"/>
        <v>0</v>
      </c>
      <c r="AB1121">
        <f t="shared" si="107"/>
        <v>0</v>
      </c>
      <c r="AC1121">
        <f>IF(I1121="",0,L1121*IFERROR(INDEX(کاتالوگ_محصولات!$G$4:$G$303,MATCH(I1121,کاتالوگ_محصولات!$A$4:$A$303,0)),0))</f>
        <v>0</v>
      </c>
      <c r="AD1121">
        <f t="shared" si="110"/>
        <v>0</v>
      </c>
      <c r="AE1121" t="str">
        <f t="shared" si="111"/>
        <v/>
      </c>
    </row>
    <row r="1122" spans="22:31" ht="18" customHeight="1">
      <c r="V1122">
        <f>IF(A1122="",0,IF(COUNTIF($A$3:A1122,A1122)=1,1,0))</f>
        <v>0</v>
      </c>
      <c r="W1122">
        <f t="shared" si="108"/>
        <v>0</v>
      </c>
      <c r="X1122" t="str">
        <f t="shared" si="109"/>
        <v/>
      </c>
      <c r="Y1122">
        <f>IF(X1122="",0,IF(COUNTIF($X$3:X1122,X1122)=1,1,0))</f>
        <v>0</v>
      </c>
      <c r="Z1122">
        <f>IF(V1122&lt;&gt;1,0,IF(X1122="",0,IF(COUNTIF($X$3:X1121,X1122)&gt;0,1,0)))</f>
        <v>0</v>
      </c>
      <c r="AA1122">
        <f t="shared" si="106"/>
        <v>0</v>
      </c>
      <c r="AB1122">
        <f t="shared" si="107"/>
        <v>0</v>
      </c>
      <c r="AC1122">
        <f>IF(I1122="",0,L1122*IFERROR(INDEX(کاتالوگ_محصولات!$G$4:$G$303,MATCH(I1122,کاتالوگ_محصولات!$A$4:$A$303,0)),0))</f>
        <v>0</v>
      </c>
      <c r="AD1122">
        <f t="shared" si="110"/>
        <v>0</v>
      </c>
      <c r="AE1122" t="str">
        <f t="shared" si="111"/>
        <v/>
      </c>
    </row>
    <row r="1123" spans="22:31" ht="18" customHeight="1">
      <c r="V1123">
        <f>IF(A1123="",0,IF(COUNTIF($A$3:A1123,A1123)=1,1,0))</f>
        <v>0</v>
      </c>
      <c r="W1123">
        <f t="shared" si="108"/>
        <v>0</v>
      </c>
      <c r="X1123" t="str">
        <f t="shared" si="109"/>
        <v/>
      </c>
      <c r="Y1123">
        <f>IF(X1123="",0,IF(COUNTIF($X$3:X1123,X1123)=1,1,0))</f>
        <v>0</v>
      </c>
      <c r="Z1123">
        <f>IF(V1123&lt;&gt;1,0,IF(X1123="",0,IF(COUNTIF($X$3:X1122,X1123)&gt;0,1,0)))</f>
        <v>0</v>
      </c>
      <c r="AA1123">
        <f t="shared" si="106"/>
        <v>0</v>
      </c>
      <c r="AB1123">
        <f t="shared" si="107"/>
        <v>0</v>
      </c>
      <c r="AC1123">
        <f>IF(I1123="",0,L1123*IFERROR(INDEX(کاتالوگ_محصولات!$G$4:$G$303,MATCH(I1123,کاتالوگ_محصولات!$A$4:$A$303,0)),0))</f>
        <v>0</v>
      </c>
      <c r="AD1123">
        <f t="shared" si="110"/>
        <v>0</v>
      </c>
      <c r="AE1123" t="str">
        <f t="shared" si="111"/>
        <v/>
      </c>
    </row>
    <row r="1124" spans="22:31" ht="18" customHeight="1">
      <c r="V1124">
        <f>IF(A1124="",0,IF(COUNTIF($A$3:A1124,A1124)=1,1,0))</f>
        <v>0</v>
      </c>
      <c r="W1124">
        <f t="shared" si="108"/>
        <v>0</v>
      </c>
      <c r="X1124" t="str">
        <f t="shared" si="109"/>
        <v/>
      </c>
      <c r="Y1124">
        <f>IF(X1124="",0,IF(COUNTIF($X$3:X1124,X1124)=1,1,0))</f>
        <v>0</v>
      </c>
      <c r="Z1124">
        <f>IF(V1124&lt;&gt;1,0,IF(X1124="",0,IF(COUNTIF($X$3:X1123,X1124)&gt;0,1,0)))</f>
        <v>0</v>
      </c>
      <c r="AA1124">
        <f t="shared" si="106"/>
        <v>0</v>
      </c>
      <c r="AB1124">
        <f t="shared" si="107"/>
        <v>0</v>
      </c>
      <c r="AC1124">
        <f>IF(I1124="",0,L1124*IFERROR(INDEX(کاتالوگ_محصولات!$G$4:$G$303,MATCH(I1124,کاتالوگ_محصولات!$A$4:$A$303,0)),0))</f>
        <v>0</v>
      </c>
      <c r="AD1124">
        <f t="shared" si="110"/>
        <v>0</v>
      </c>
      <c r="AE1124" t="str">
        <f t="shared" si="111"/>
        <v/>
      </c>
    </row>
    <row r="1125" spans="22:31" ht="18" customHeight="1">
      <c r="V1125">
        <f>IF(A1125="",0,IF(COUNTIF($A$3:A1125,A1125)=1,1,0))</f>
        <v>0</v>
      </c>
      <c r="W1125">
        <f t="shared" si="108"/>
        <v>0</v>
      </c>
      <c r="X1125" t="str">
        <f t="shared" si="109"/>
        <v/>
      </c>
      <c r="Y1125">
        <f>IF(X1125="",0,IF(COUNTIF($X$3:X1125,X1125)=1,1,0))</f>
        <v>0</v>
      </c>
      <c r="Z1125">
        <f>IF(V1125&lt;&gt;1,0,IF(X1125="",0,IF(COUNTIF($X$3:X1124,X1125)&gt;0,1,0)))</f>
        <v>0</v>
      </c>
      <c r="AA1125">
        <f t="shared" si="106"/>
        <v>0</v>
      </c>
      <c r="AB1125">
        <f t="shared" si="107"/>
        <v>0</v>
      </c>
      <c r="AC1125">
        <f>IF(I1125="",0,L1125*IFERROR(INDEX(کاتالوگ_محصولات!$G$4:$G$303,MATCH(I1125,کاتالوگ_محصولات!$A$4:$A$303,0)),0))</f>
        <v>0</v>
      </c>
      <c r="AD1125">
        <f t="shared" si="110"/>
        <v>0</v>
      </c>
      <c r="AE1125" t="str">
        <f t="shared" si="111"/>
        <v/>
      </c>
    </row>
    <row r="1126" spans="22:31" ht="18" customHeight="1">
      <c r="V1126">
        <f>IF(A1126="",0,IF(COUNTIF($A$3:A1126,A1126)=1,1,0))</f>
        <v>0</v>
      </c>
      <c r="W1126">
        <f t="shared" si="108"/>
        <v>0</v>
      </c>
      <c r="X1126" t="str">
        <f t="shared" si="109"/>
        <v/>
      </c>
      <c r="Y1126">
        <f>IF(X1126="",0,IF(COUNTIF($X$3:X1126,X1126)=1,1,0))</f>
        <v>0</v>
      </c>
      <c r="Z1126">
        <f>IF(V1126&lt;&gt;1,0,IF(X1126="",0,IF(COUNTIF($X$3:X1125,X1126)&gt;0,1,0)))</f>
        <v>0</v>
      </c>
      <c r="AA1126">
        <f t="shared" si="106"/>
        <v>0</v>
      </c>
      <c r="AB1126">
        <f t="shared" si="107"/>
        <v>0</v>
      </c>
      <c r="AC1126">
        <f>IF(I1126="",0,L1126*IFERROR(INDEX(کاتالوگ_محصولات!$G$4:$G$303,MATCH(I1126,کاتالوگ_محصولات!$A$4:$A$303,0)),0))</f>
        <v>0</v>
      </c>
      <c r="AD1126">
        <f t="shared" si="110"/>
        <v>0</v>
      </c>
      <c r="AE1126" t="str">
        <f t="shared" si="111"/>
        <v/>
      </c>
    </row>
    <row r="1127" spans="22:31" ht="18" customHeight="1">
      <c r="V1127">
        <f>IF(A1127="",0,IF(COUNTIF($A$3:A1127,A1127)=1,1,0))</f>
        <v>0</v>
      </c>
      <c r="W1127">
        <f t="shared" si="108"/>
        <v>0</v>
      </c>
      <c r="X1127" t="str">
        <f t="shared" si="109"/>
        <v/>
      </c>
      <c r="Y1127">
        <f>IF(X1127="",0,IF(COUNTIF($X$3:X1127,X1127)=1,1,0))</f>
        <v>0</v>
      </c>
      <c r="Z1127">
        <f>IF(V1127&lt;&gt;1,0,IF(X1127="",0,IF(COUNTIF($X$3:X1126,X1127)&gt;0,1,0)))</f>
        <v>0</v>
      </c>
      <c r="AA1127">
        <f t="shared" si="106"/>
        <v>0</v>
      </c>
      <c r="AB1127">
        <f t="shared" si="107"/>
        <v>0</v>
      </c>
      <c r="AC1127">
        <f>IF(I1127="",0,L1127*IFERROR(INDEX(کاتالوگ_محصولات!$G$4:$G$303,MATCH(I1127,کاتالوگ_محصولات!$A$4:$A$303,0)),0))</f>
        <v>0</v>
      </c>
      <c r="AD1127">
        <f t="shared" si="110"/>
        <v>0</v>
      </c>
      <c r="AE1127" t="str">
        <f t="shared" si="111"/>
        <v/>
      </c>
    </row>
    <row r="1128" spans="22:31" ht="18" customHeight="1">
      <c r="V1128">
        <f>IF(A1128="",0,IF(COUNTIF($A$3:A1128,A1128)=1,1,0))</f>
        <v>0</v>
      </c>
      <c r="W1128">
        <f t="shared" si="108"/>
        <v>0</v>
      </c>
      <c r="X1128" t="str">
        <f t="shared" si="109"/>
        <v/>
      </c>
      <c r="Y1128">
        <f>IF(X1128="",0,IF(COUNTIF($X$3:X1128,X1128)=1,1,0))</f>
        <v>0</v>
      </c>
      <c r="Z1128">
        <f>IF(V1128&lt;&gt;1,0,IF(X1128="",0,IF(COUNTIF($X$3:X1127,X1128)&gt;0,1,0)))</f>
        <v>0</v>
      </c>
      <c r="AA1128">
        <f t="shared" si="106"/>
        <v>0</v>
      </c>
      <c r="AB1128">
        <f t="shared" si="107"/>
        <v>0</v>
      </c>
      <c r="AC1128">
        <f>IF(I1128="",0,L1128*IFERROR(INDEX(کاتالوگ_محصولات!$G$4:$G$303,MATCH(I1128,کاتالوگ_محصولات!$A$4:$A$303,0)),0))</f>
        <v>0</v>
      </c>
      <c r="AD1128">
        <f t="shared" si="110"/>
        <v>0</v>
      </c>
      <c r="AE1128" t="str">
        <f t="shared" si="111"/>
        <v/>
      </c>
    </row>
    <row r="1129" spans="22:31" ht="18" customHeight="1">
      <c r="V1129">
        <f>IF(A1129="",0,IF(COUNTIF($A$3:A1129,A1129)=1,1,0))</f>
        <v>0</v>
      </c>
      <c r="W1129">
        <f t="shared" si="108"/>
        <v>0</v>
      </c>
      <c r="X1129" t="str">
        <f t="shared" si="109"/>
        <v/>
      </c>
      <c r="Y1129">
        <f>IF(X1129="",0,IF(COUNTIF($X$3:X1129,X1129)=1,1,0))</f>
        <v>0</v>
      </c>
      <c r="Z1129">
        <f>IF(V1129&lt;&gt;1,0,IF(X1129="",0,IF(COUNTIF($X$3:X1128,X1129)&gt;0,1,0)))</f>
        <v>0</v>
      </c>
      <c r="AA1129">
        <f t="shared" si="106"/>
        <v>0</v>
      </c>
      <c r="AB1129">
        <f t="shared" si="107"/>
        <v>0</v>
      </c>
      <c r="AC1129">
        <f>IF(I1129="",0,L1129*IFERROR(INDEX(کاتالوگ_محصولات!$G$4:$G$303,MATCH(I1129,کاتالوگ_محصولات!$A$4:$A$303,0)),0))</f>
        <v>0</v>
      </c>
      <c r="AD1129">
        <f t="shared" si="110"/>
        <v>0</v>
      </c>
      <c r="AE1129" t="str">
        <f t="shared" si="111"/>
        <v/>
      </c>
    </row>
    <row r="1130" spans="22:31" ht="18" customHeight="1">
      <c r="V1130">
        <f>IF(A1130="",0,IF(COUNTIF($A$3:A1130,A1130)=1,1,0))</f>
        <v>0</v>
      </c>
      <c r="W1130">
        <f t="shared" si="108"/>
        <v>0</v>
      </c>
      <c r="X1130" t="str">
        <f t="shared" si="109"/>
        <v/>
      </c>
      <c r="Y1130">
        <f>IF(X1130="",0,IF(COUNTIF($X$3:X1130,X1130)=1,1,0))</f>
        <v>0</v>
      </c>
      <c r="Z1130">
        <f>IF(V1130&lt;&gt;1,0,IF(X1130="",0,IF(COUNTIF($X$3:X1129,X1130)&gt;0,1,0)))</f>
        <v>0</v>
      </c>
      <c r="AA1130">
        <f t="shared" si="106"/>
        <v>0</v>
      </c>
      <c r="AB1130">
        <f t="shared" si="107"/>
        <v>0</v>
      </c>
      <c r="AC1130">
        <f>IF(I1130="",0,L1130*IFERROR(INDEX(کاتالوگ_محصولات!$G$4:$G$303,MATCH(I1130,کاتالوگ_محصولات!$A$4:$A$303,0)),0))</f>
        <v>0</v>
      </c>
      <c r="AD1130">
        <f t="shared" si="110"/>
        <v>0</v>
      </c>
      <c r="AE1130" t="str">
        <f t="shared" si="111"/>
        <v/>
      </c>
    </row>
    <row r="1131" spans="22:31" ht="18" customHeight="1">
      <c r="V1131">
        <f>IF(A1131="",0,IF(COUNTIF($A$3:A1131,A1131)=1,1,0))</f>
        <v>0</v>
      </c>
      <c r="W1131">
        <f t="shared" si="108"/>
        <v>0</v>
      </c>
      <c r="X1131" t="str">
        <f t="shared" si="109"/>
        <v/>
      </c>
      <c r="Y1131">
        <f>IF(X1131="",0,IF(COUNTIF($X$3:X1131,X1131)=1,1,0))</f>
        <v>0</v>
      </c>
      <c r="Z1131">
        <f>IF(V1131&lt;&gt;1,0,IF(X1131="",0,IF(COUNTIF($X$3:X1130,X1131)&gt;0,1,0)))</f>
        <v>0</v>
      </c>
      <c r="AA1131">
        <f t="shared" si="106"/>
        <v>0</v>
      </c>
      <c r="AB1131">
        <f t="shared" si="107"/>
        <v>0</v>
      </c>
      <c r="AC1131">
        <f>IF(I1131="",0,L1131*IFERROR(INDEX(کاتالوگ_محصولات!$G$4:$G$303,MATCH(I1131,کاتالوگ_محصولات!$A$4:$A$303,0)),0))</f>
        <v>0</v>
      </c>
      <c r="AD1131">
        <f t="shared" si="110"/>
        <v>0</v>
      </c>
      <c r="AE1131" t="str">
        <f t="shared" si="111"/>
        <v/>
      </c>
    </row>
    <row r="1132" spans="22:31" ht="18" customHeight="1">
      <c r="V1132">
        <f>IF(A1132="",0,IF(COUNTIF($A$3:A1132,A1132)=1,1,0))</f>
        <v>0</v>
      </c>
      <c r="W1132">
        <f t="shared" si="108"/>
        <v>0</v>
      </c>
      <c r="X1132" t="str">
        <f t="shared" si="109"/>
        <v/>
      </c>
      <c r="Y1132">
        <f>IF(X1132="",0,IF(COUNTIF($X$3:X1132,X1132)=1,1,0))</f>
        <v>0</v>
      </c>
      <c r="Z1132">
        <f>IF(V1132&lt;&gt;1,0,IF(X1132="",0,IF(COUNTIF($X$3:X1131,X1132)&gt;0,1,0)))</f>
        <v>0</v>
      </c>
      <c r="AA1132">
        <f t="shared" si="106"/>
        <v>0</v>
      </c>
      <c r="AB1132">
        <f t="shared" si="107"/>
        <v>0</v>
      </c>
      <c r="AC1132">
        <f>IF(I1132="",0,L1132*IFERROR(INDEX(کاتالوگ_محصولات!$G$4:$G$303,MATCH(I1132,کاتالوگ_محصولات!$A$4:$A$303,0)),0))</f>
        <v>0</v>
      </c>
      <c r="AD1132">
        <f t="shared" si="110"/>
        <v>0</v>
      </c>
      <c r="AE1132" t="str">
        <f t="shared" si="111"/>
        <v/>
      </c>
    </row>
    <row r="1133" spans="22:31" ht="18" customHeight="1">
      <c r="V1133">
        <f>IF(A1133="",0,IF(COUNTIF($A$3:A1133,A1133)=1,1,0))</f>
        <v>0</v>
      </c>
      <c r="W1133">
        <f t="shared" si="108"/>
        <v>0</v>
      </c>
      <c r="X1133" t="str">
        <f t="shared" si="109"/>
        <v/>
      </c>
      <c r="Y1133">
        <f>IF(X1133="",0,IF(COUNTIF($X$3:X1133,X1133)=1,1,0))</f>
        <v>0</v>
      </c>
      <c r="Z1133">
        <f>IF(V1133&lt;&gt;1,0,IF(X1133="",0,IF(COUNTIF($X$3:X1132,X1133)&gt;0,1,0)))</f>
        <v>0</v>
      </c>
      <c r="AA1133">
        <f t="shared" si="106"/>
        <v>0</v>
      </c>
      <c r="AB1133">
        <f t="shared" si="107"/>
        <v>0</v>
      </c>
      <c r="AC1133">
        <f>IF(I1133="",0,L1133*IFERROR(INDEX(کاتالوگ_محصولات!$G$4:$G$303,MATCH(I1133,کاتالوگ_محصولات!$A$4:$A$303,0)),0))</f>
        <v>0</v>
      </c>
      <c r="AD1133">
        <f t="shared" si="110"/>
        <v>0</v>
      </c>
      <c r="AE1133" t="str">
        <f t="shared" si="111"/>
        <v/>
      </c>
    </row>
    <row r="1134" spans="22:31" ht="18" customHeight="1">
      <c r="V1134">
        <f>IF(A1134="",0,IF(COUNTIF($A$3:A1134,A1134)=1,1,0))</f>
        <v>0</v>
      </c>
      <c r="W1134">
        <f t="shared" si="108"/>
        <v>0</v>
      </c>
      <c r="X1134" t="str">
        <f t="shared" si="109"/>
        <v/>
      </c>
      <c r="Y1134">
        <f>IF(X1134="",0,IF(COUNTIF($X$3:X1134,X1134)=1,1,0))</f>
        <v>0</v>
      </c>
      <c r="Z1134">
        <f>IF(V1134&lt;&gt;1,0,IF(X1134="",0,IF(COUNTIF($X$3:X1133,X1134)&gt;0,1,0)))</f>
        <v>0</v>
      </c>
      <c r="AA1134">
        <f t="shared" si="106"/>
        <v>0</v>
      </c>
      <c r="AB1134">
        <f t="shared" si="107"/>
        <v>0</v>
      </c>
      <c r="AC1134">
        <f>IF(I1134="",0,L1134*IFERROR(INDEX(کاتالوگ_محصولات!$G$4:$G$303,MATCH(I1134,کاتالوگ_محصولات!$A$4:$A$303,0)),0))</f>
        <v>0</v>
      </c>
      <c r="AD1134">
        <f t="shared" si="110"/>
        <v>0</v>
      </c>
      <c r="AE1134" t="str">
        <f t="shared" si="111"/>
        <v/>
      </c>
    </row>
    <row r="1135" spans="22:31" ht="18" customHeight="1">
      <c r="V1135">
        <f>IF(A1135="",0,IF(COUNTIF($A$3:A1135,A1135)=1,1,0))</f>
        <v>0</v>
      </c>
      <c r="W1135">
        <f t="shared" si="108"/>
        <v>0</v>
      </c>
      <c r="X1135" t="str">
        <f t="shared" si="109"/>
        <v/>
      </c>
      <c r="Y1135">
        <f>IF(X1135="",0,IF(COUNTIF($X$3:X1135,X1135)=1,1,0))</f>
        <v>0</v>
      </c>
      <c r="Z1135">
        <f>IF(V1135&lt;&gt;1,0,IF(X1135="",0,IF(COUNTIF($X$3:X1134,X1135)&gt;0,1,0)))</f>
        <v>0</v>
      </c>
      <c r="AA1135">
        <f t="shared" si="106"/>
        <v>0</v>
      </c>
      <c r="AB1135">
        <f t="shared" si="107"/>
        <v>0</v>
      </c>
      <c r="AC1135">
        <f>IF(I1135="",0,L1135*IFERROR(INDEX(کاتالوگ_محصولات!$G$4:$G$303,MATCH(I1135,کاتالوگ_محصولات!$A$4:$A$303,0)),0))</f>
        <v>0</v>
      </c>
      <c r="AD1135">
        <f t="shared" si="110"/>
        <v>0</v>
      </c>
      <c r="AE1135" t="str">
        <f t="shared" si="111"/>
        <v/>
      </c>
    </row>
    <row r="1136" spans="22:31" ht="18" customHeight="1">
      <c r="V1136">
        <f>IF(A1136="",0,IF(COUNTIF($A$3:A1136,A1136)=1,1,0))</f>
        <v>0</v>
      </c>
      <c r="W1136">
        <f t="shared" si="108"/>
        <v>0</v>
      </c>
      <c r="X1136" t="str">
        <f t="shared" si="109"/>
        <v/>
      </c>
      <c r="Y1136">
        <f>IF(X1136="",0,IF(COUNTIF($X$3:X1136,X1136)=1,1,0))</f>
        <v>0</v>
      </c>
      <c r="Z1136">
        <f>IF(V1136&lt;&gt;1,0,IF(X1136="",0,IF(COUNTIF($X$3:X1135,X1136)&gt;0,1,0)))</f>
        <v>0</v>
      </c>
      <c r="AA1136">
        <f t="shared" si="106"/>
        <v>0</v>
      </c>
      <c r="AB1136">
        <f t="shared" si="107"/>
        <v>0</v>
      </c>
      <c r="AC1136">
        <f>IF(I1136="",0,L1136*IFERROR(INDEX(کاتالوگ_محصولات!$G$4:$G$303,MATCH(I1136,کاتالوگ_محصولات!$A$4:$A$303,0)),0))</f>
        <v>0</v>
      </c>
      <c r="AD1136">
        <f t="shared" si="110"/>
        <v>0</v>
      </c>
      <c r="AE1136" t="str">
        <f t="shared" si="111"/>
        <v/>
      </c>
    </row>
    <row r="1137" spans="22:31" ht="18" customHeight="1">
      <c r="V1137">
        <f>IF(A1137="",0,IF(COUNTIF($A$3:A1137,A1137)=1,1,0))</f>
        <v>0</v>
      </c>
      <c r="W1137">
        <f t="shared" si="108"/>
        <v>0</v>
      </c>
      <c r="X1137" t="str">
        <f t="shared" si="109"/>
        <v/>
      </c>
      <c r="Y1137">
        <f>IF(X1137="",0,IF(COUNTIF($X$3:X1137,X1137)=1,1,0))</f>
        <v>0</v>
      </c>
      <c r="Z1137">
        <f>IF(V1137&lt;&gt;1,0,IF(X1137="",0,IF(COUNTIF($X$3:X1136,X1137)&gt;0,1,0)))</f>
        <v>0</v>
      </c>
      <c r="AA1137">
        <f t="shared" si="106"/>
        <v>0</v>
      </c>
      <c r="AB1137">
        <f t="shared" si="107"/>
        <v>0</v>
      </c>
      <c r="AC1137">
        <f>IF(I1137="",0,L1137*IFERROR(INDEX(کاتالوگ_محصولات!$G$4:$G$303,MATCH(I1137,کاتالوگ_محصولات!$A$4:$A$303,0)),0))</f>
        <v>0</v>
      </c>
      <c r="AD1137">
        <f t="shared" si="110"/>
        <v>0</v>
      </c>
      <c r="AE1137" t="str">
        <f t="shared" si="111"/>
        <v/>
      </c>
    </row>
    <row r="1138" spans="22:31" ht="18" customHeight="1">
      <c r="V1138">
        <f>IF(A1138="",0,IF(COUNTIF($A$3:A1138,A1138)=1,1,0))</f>
        <v>0</v>
      </c>
      <c r="W1138">
        <f t="shared" si="108"/>
        <v>0</v>
      </c>
      <c r="X1138" t="str">
        <f t="shared" si="109"/>
        <v/>
      </c>
      <c r="Y1138">
        <f>IF(X1138="",0,IF(COUNTIF($X$3:X1138,X1138)=1,1,0))</f>
        <v>0</v>
      </c>
      <c r="Z1138">
        <f>IF(V1138&lt;&gt;1,0,IF(X1138="",0,IF(COUNTIF($X$3:X1137,X1138)&gt;0,1,0)))</f>
        <v>0</v>
      </c>
      <c r="AA1138">
        <f t="shared" si="106"/>
        <v>0</v>
      </c>
      <c r="AB1138">
        <f t="shared" si="107"/>
        <v>0</v>
      </c>
      <c r="AC1138">
        <f>IF(I1138="",0,L1138*IFERROR(INDEX(کاتالوگ_محصولات!$G$4:$G$303,MATCH(I1138,کاتالوگ_محصولات!$A$4:$A$303,0)),0))</f>
        <v>0</v>
      </c>
      <c r="AD1138">
        <f t="shared" si="110"/>
        <v>0</v>
      </c>
      <c r="AE1138" t="str">
        <f t="shared" si="111"/>
        <v/>
      </c>
    </row>
    <row r="1139" spans="22:31" ht="18" customHeight="1">
      <c r="V1139">
        <f>IF(A1139="",0,IF(COUNTIF($A$3:A1139,A1139)=1,1,0))</f>
        <v>0</v>
      </c>
      <c r="W1139">
        <f t="shared" si="108"/>
        <v>0</v>
      </c>
      <c r="X1139" t="str">
        <f t="shared" si="109"/>
        <v/>
      </c>
      <c r="Y1139">
        <f>IF(X1139="",0,IF(COUNTIF($X$3:X1139,X1139)=1,1,0))</f>
        <v>0</v>
      </c>
      <c r="Z1139">
        <f>IF(V1139&lt;&gt;1,0,IF(X1139="",0,IF(COUNTIF($X$3:X1138,X1139)&gt;0,1,0)))</f>
        <v>0</v>
      </c>
      <c r="AA1139">
        <f t="shared" si="106"/>
        <v>0</v>
      </c>
      <c r="AB1139">
        <f t="shared" si="107"/>
        <v>0</v>
      </c>
      <c r="AC1139">
        <f>IF(I1139="",0,L1139*IFERROR(INDEX(کاتالوگ_محصولات!$G$4:$G$303,MATCH(I1139,کاتالوگ_محصولات!$A$4:$A$303,0)),0))</f>
        <v>0</v>
      </c>
      <c r="AD1139">
        <f t="shared" si="110"/>
        <v>0</v>
      </c>
      <c r="AE1139" t="str">
        <f t="shared" si="111"/>
        <v/>
      </c>
    </row>
    <row r="1140" spans="22:31" ht="18" customHeight="1">
      <c r="V1140">
        <f>IF(A1140="",0,IF(COUNTIF($A$3:A1140,A1140)=1,1,0))</f>
        <v>0</v>
      </c>
      <c r="W1140">
        <f t="shared" si="108"/>
        <v>0</v>
      </c>
      <c r="X1140" t="str">
        <f t="shared" si="109"/>
        <v/>
      </c>
      <c r="Y1140">
        <f>IF(X1140="",0,IF(COUNTIF($X$3:X1140,X1140)=1,1,0))</f>
        <v>0</v>
      </c>
      <c r="Z1140">
        <f>IF(V1140&lt;&gt;1,0,IF(X1140="",0,IF(COUNTIF($X$3:X1139,X1140)&gt;0,1,0)))</f>
        <v>0</v>
      </c>
      <c r="AA1140">
        <f t="shared" si="106"/>
        <v>0</v>
      </c>
      <c r="AB1140">
        <f t="shared" si="107"/>
        <v>0</v>
      </c>
      <c r="AC1140">
        <f>IF(I1140="",0,L1140*IFERROR(INDEX(کاتالوگ_محصولات!$G$4:$G$303,MATCH(I1140,کاتالوگ_محصولات!$A$4:$A$303,0)),0))</f>
        <v>0</v>
      </c>
      <c r="AD1140">
        <f t="shared" si="110"/>
        <v>0</v>
      </c>
      <c r="AE1140" t="str">
        <f t="shared" si="111"/>
        <v/>
      </c>
    </row>
    <row r="1141" spans="22:31" ht="18" customHeight="1">
      <c r="V1141">
        <f>IF(A1141="",0,IF(COUNTIF($A$3:A1141,A1141)=1,1,0))</f>
        <v>0</v>
      </c>
      <c r="W1141">
        <f t="shared" si="108"/>
        <v>0</v>
      </c>
      <c r="X1141" t="str">
        <f t="shared" si="109"/>
        <v/>
      </c>
      <c r="Y1141">
        <f>IF(X1141="",0,IF(COUNTIF($X$3:X1141,X1141)=1,1,0))</f>
        <v>0</v>
      </c>
      <c r="Z1141">
        <f>IF(V1141&lt;&gt;1,0,IF(X1141="",0,IF(COUNTIF($X$3:X1140,X1141)&gt;0,1,0)))</f>
        <v>0</v>
      </c>
      <c r="AA1141">
        <f t="shared" si="106"/>
        <v>0</v>
      </c>
      <c r="AB1141">
        <f t="shared" si="107"/>
        <v>0</v>
      </c>
      <c r="AC1141">
        <f>IF(I1141="",0,L1141*IFERROR(INDEX(کاتالوگ_محصولات!$G$4:$G$303,MATCH(I1141,کاتالوگ_محصولات!$A$4:$A$303,0)),0))</f>
        <v>0</v>
      </c>
      <c r="AD1141">
        <f t="shared" si="110"/>
        <v>0</v>
      </c>
      <c r="AE1141" t="str">
        <f t="shared" si="111"/>
        <v/>
      </c>
    </row>
    <row r="1142" spans="22:31" ht="18" customHeight="1">
      <c r="V1142">
        <f>IF(A1142="",0,IF(COUNTIF($A$3:A1142,A1142)=1,1,0))</f>
        <v>0</v>
      </c>
      <c r="W1142">
        <f t="shared" si="108"/>
        <v>0</v>
      </c>
      <c r="X1142" t="str">
        <f t="shared" si="109"/>
        <v/>
      </c>
      <c r="Y1142">
        <f>IF(X1142="",0,IF(COUNTIF($X$3:X1142,X1142)=1,1,0))</f>
        <v>0</v>
      </c>
      <c r="Z1142">
        <f>IF(V1142&lt;&gt;1,0,IF(X1142="",0,IF(COUNTIF($X$3:X1141,X1142)&gt;0,1,0)))</f>
        <v>0</v>
      </c>
      <c r="AA1142">
        <f t="shared" si="106"/>
        <v>0</v>
      </c>
      <c r="AB1142">
        <f t="shared" si="107"/>
        <v>0</v>
      </c>
      <c r="AC1142">
        <f>IF(I1142="",0,L1142*IFERROR(INDEX(کاتالوگ_محصولات!$G$4:$G$303,MATCH(I1142,کاتالوگ_محصولات!$A$4:$A$303,0)),0))</f>
        <v>0</v>
      </c>
      <c r="AD1142">
        <f t="shared" si="110"/>
        <v>0</v>
      </c>
      <c r="AE1142" t="str">
        <f t="shared" si="111"/>
        <v/>
      </c>
    </row>
    <row r="1143" spans="22:31" ht="18" customHeight="1">
      <c r="V1143">
        <f>IF(A1143="",0,IF(COUNTIF($A$3:A1143,A1143)=1,1,0))</f>
        <v>0</v>
      </c>
      <c r="W1143">
        <f t="shared" si="108"/>
        <v>0</v>
      </c>
      <c r="X1143" t="str">
        <f t="shared" si="109"/>
        <v/>
      </c>
      <c r="Y1143">
        <f>IF(X1143="",0,IF(COUNTIF($X$3:X1143,X1143)=1,1,0))</f>
        <v>0</v>
      </c>
      <c r="Z1143">
        <f>IF(V1143&lt;&gt;1,0,IF(X1143="",0,IF(COUNTIF($X$3:X1142,X1143)&gt;0,1,0)))</f>
        <v>0</v>
      </c>
      <c r="AA1143">
        <f t="shared" si="106"/>
        <v>0</v>
      </c>
      <c r="AB1143">
        <f t="shared" si="107"/>
        <v>0</v>
      </c>
      <c r="AC1143">
        <f>IF(I1143="",0,L1143*IFERROR(INDEX(کاتالوگ_محصولات!$G$4:$G$303,MATCH(I1143,کاتالوگ_محصولات!$A$4:$A$303,0)),0))</f>
        <v>0</v>
      </c>
      <c r="AD1143">
        <f t="shared" si="110"/>
        <v>0</v>
      </c>
      <c r="AE1143" t="str">
        <f t="shared" si="111"/>
        <v/>
      </c>
    </row>
    <row r="1144" spans="22:31" ht="18" customHeight="1">
      <c r="V1144">
        <f>IF(A1144="",0,IF(COUNTIF($A$3:A1144,A1144)=1,1,0))</f>
        <v>0</v>
      </c>
      <c r="W1144">
        <f t="shared" si="108"/>
        <v>0</v>
      </c>
      <c r="X1144" t="str">
        <f t="shared" si="109"/>
        <v/>
      </c>
      <c r="Y1144">
        <f>IF(X1144="",0,IF(COUNTIF($X$3:X1144,X1144)=1,1,0))</f>
        <v>0</v>
      </c>
      <c r="Z1144">
        <f>IF(V1144&lt;&gt;1,0,IF(X1144="",0,IF(COUNTIF($X$3:X1143,X1144)&gt;0,1,0)))</f>
        <v>0</v>
      </c>
      <c r="AA1144">
        <f t="shared" si="106"/>
        <v>0</v>
      </c>
      <c r="AB1144">
        <f t="shared" si="107"/>
        <v>0</v>
      </c>
      <c r="AC1144">
        <f>IF(I1144="",0,L1144*IFERROR(INDEX(کاتالوگ_محصولات!$G$4:$G$303,MATCH(I1144,کاتالوگ_محصولات!$A$4:$A$303,0)),0))</f>
        <v>0</v>
      </c>
      <c r="AD1144">
        <f t="shared" si="110"/>
        <v>0</v>
      </c>
      <c r="AE1144" t="str">
        <f t="shared" si="111"/>
        <v/>
      </c>
    </row>
    <row r="1145" spans="22:31" ht="18" customHeight="1">
      <c r="V1145">
        <f>IF(A1145="",0,IF(COUNTIF($A$3:A1145,A1145)=1,1,0))</f>
        <v>0</v>
      </c>
      <c r="W1145">
        <f t="shared" si="108"/>
        <v>0</v>
      </c>
      <c r="X1145" t="str">
        <f t="shared" si="109"/>
        <v/>
      </c>
      <c r="Y1145">
        <f>IF(X1145="",0,IF(COUNTIF($X$3:X1145,X1145)=1,1,0))</f>
        <v>0</v>
      </c>
      <c r="Z1145">
        <f>IF(V1145&lt;&gt;1,0,IF(X1145="",0,IF(COUNTIF($X$3:X1144,X1145)&gt;0,1,0)))</f>
        <v>0</v>
      </c>
      <c r="AA1145">
        <f t="shared" si="106"/>
        <v>0</v>
      </c>
      <c r="AB1145">
        <f t="shared" si="107"/>
        <v>0</v>
      </c>
      <c r="AC1145">
        <f>IF(I1145="",0,L1145*IFERROR(INDEX(کاتالوگ_محصولات!$G$4:$G$303,MATCH(I1145,کاتالوگ_محصولات!$A$4:$A$303,0)),0))</f>
        <v>0</v>
      </c>
      <c r="AD1145">
        <f t="shared" si="110"/>
        <v>0</v>
      </c>
      <c r="AE1145" t="str">
        <f t="shared" si="111"/>
        <v/>
      </c>
    </row>
    <row r="1146" spans="22:31" ht="18" customHeight="1">
      <c r="V1146">
        <f>IF(A1146="",0,IF(COUNTIF($A$3:A1146,A1146)=1,1,0))</f>
        <v>0</v>
      </c>
      <c r="W1146">
        <f t="shared" si="108"/>
        <v>0</v>
      </c>
      <c r="X1146" t="str">
        <f t="shared" si="109"/>
        <v/>
      </c>
      <c r="Y1146">
        <f>IF(X1146="",0,IF(COUNTIF($X$3:X1146,X1146)=1,1,0))</f>
        <v>0</v>
      </c>
      <c r="Z1146">
        <f>IF(V1146&lt;&gt;1,0,IF(X1146="",0,IF(COUNTIF($X$3:X1145,X1146)&gt;0,1,0)))</f>
        <v>0</v>
      </c>
      <c r="AA1146">
        <f t="shared" si="106"/>
        <v>0</v>
      </c>
      <c r="AB1146">
        <f t="shared" si="107"/>
        <v>0</v>
      </c>
      <c r="AC1146">
        <f>IF(I1146="",0,L1146*IFERROR(INDEX(کاتالوگ_محصولات!$G$4:$G$303,MATCH(I1146,کاتالوگ_محصولات!$A$4:$A$303,0)),0))</f>
        <v>0</v>
      </c>
      <c r="AD1146">
        <f t="shared" si="110"/>
        <v>0</v>
      </c>
      <c r="AE1146" t="str">
        <f t="shared" si="111"/>
        <v/>
      </c>
    </row>
    <row r="1147" spans="22:31" ht="18" customHeight="1">
      <c r="V1147">
        <f>IF(A1147="",0,IF(COUNTIF($A$3:A1147,A1147)=1,1,0))</f>
        <v>0</v>
      </c>
      <c r="W1147">
        <f t="shared" si="108"/>
        <v>0</v>
      </c>
      <c r="X1147" t="str">
        <f t="shared" si="109"/>
        <v/>
      </c>
      <c r="Y1147">
        <f>IF(X1147="",0,IF(COUNTIF($X$3:X1147,X1147)=1,1,0))</f>
        <v>0</v>
      </c>
      <c r="Z1147">
        <f>IF(V1147&lt;&gt;1,0,IF(X1147="",0,IF(COUNTIF($X$3:X1146,X1147)&gt;0,1,0)))</f>
        <v>0</v>
      </c>
      <c r="AA1147">
        <f t="shared" si="106"/>
        <v>0</v>
      </c>
      <c r="AB1147">
        <f t="shared" si="107"/>
        <v>0</v>
      </c>
      <c r="AC1147">
        <f>IF(I1147="",0,L1147*IFERROR(INDEX(کاتالوگ_محصولات!$G$4:$G$303,MATCH(I1147,کاتالوگ_محصولات!$A$4:$A$303,0)),0))</f>
        <v>0</v>
      </c>
      <c r="AD1147">
        <f t="shared" si="110"/>
        <v>0</v>
      </c>
      <c r="AE1147" t="str">
        <f t="shared" si="111"/>
        <v/>
      </c>
    </row>
    <row r="1148" spans="22:31" ht="18" customHeight="1">
      <c r="V1148">
        <f>IF(A1148="",0,IF(COUNTIF($A$3:A1148,A1148)=1,1,0))</f>
        <v>0</v>
      </c>
      <c r="W1148">
        <f t="shared" si="108"/>
        <v>0</v>
      </c>
      <c r="X1148" t="str">
        <f t="shared" si="109"/>
        <v/>
      </c>
      <c r="Y1148">
        <f>IF(X1148="",0,IF(COUNTIF($X$3:X1148,X1148)=1,1,0))</f>
        <v>0</v>
      </c>
      <c r="Z1148">
        <f>IF(V1148&lt;&gt;1,0,IF(X1148="",0,IF(COUNTIF($X$3:X1147,X1148)&gt;0,1,0)))</f>
        <v>0</v>
      </c>
      <c r="AA1148">
        <f t="shared" si="106"/>
        <v>0</v>
      </c>
      <c r="AB1148">
        <f t="shared" si="107"/>
        <v>0</v>
      </c>
      <c r="AC1148">
        <f>IF(I1148="",0,L1148*IFERROR(INDEX(کاتالوگ_محصولات!$G$4:$G$303,MATCH(I1148,کاتالوگ_محصولات!$A$4:$A$303,0)),0))</f>
        <v>0</v>
      </c>
      <c r="AD1148">
        <f t="shared" si="110"/>
        <v>0</v>
      </c>
      <c r="AE1148" t="str">
        <f t="shared" si="111"/>
        <v/>
      </c>
    </row>
    <row r="1149" spans="22:31" ht="18" customHeight="1">
      <c r="V1149">
        <f>IF(A1149="",0,IF(COUNTIF($A$3:A1149,A1149)=1,1,0))</f>
        <v>0</v>
      </c>
      <c r="W1149">
        <f t="shared" si="108"/>
        <v>0</v>
      </c>
      <c r="X1149" t="str">
        <f t="shared" si="109"/>
        <v/>
      </c>
      <c r="Y1149">
        <f>IF(X1149="",0,IF(COUNTIF($X$3:X1149,X1149)=1,1,0))</f>
        <v>0</v>
      </c>
      <c r="Z1149">
        <f>IF(V1149&lt;&gt;1,0,IF(X1149="",0,IF(COUNTIF($X$3:X1148,X1149)&gt;0,1,0)))</f>
        <v>0</v>
      </c>
      <c r="AA1149">
        <f t="shared" si="106"/>
        <v>0</v>
      </c>
      <c r="AB1149">
        <f t="shared" si="107"/>
        <v>0</v>
      </c>
      <c r="AC1149">
        <f>IF(I1149="",0,L1149*IFERROR(INDEX(کاتالوگ_محصولات!$G$4:$G$303,MATCH(I1149,کاتالوگ_محصولات!$A$4:$A$303,0)),0))</f>
        <v>0</v>
      </c>
      <c r="AD1149">
        <f t="shared" si="110"/>
        <v>0</v>
      </c>
      <c r="AE1149" t="str">
        <f t="shared" si="111"/>
        <v/>
      </c>
    </row>
    <row r="1150" spans="22:31" ht="18" customHeight="1">
      <c r="V1150">
        <f>IF(A1150="",0,IF(COUNTIF($A$3:A1150,A1150)=1,1,0))</f>
        <v>0</v>
      </c>
      <c r="W1150">
        <f t="shared" si="108"/>
        <v>0</v>
      </c>
      <c r="X1150" t="str">
        <f t="shared" si="109"/>
        <v/>
      </c>
      <c r="Y1150">
        <f>IF(X1150="",0,IF(COUNTIF($X$3:X1150,X1150)=1,1,0))</f>
        <v>0</v>
      </c>
      <c r="Z1150">
        <f>IF(V1150&lt;&gt;1,0,IF(X1150="",0,IF(COUNTIF($X$3:X1149,X1150)&gt;0,1,0)))</f>
        <v>0</v>
      </c>
      <c r="AA1150">
        <f t="shared" si="106"/>
        <v>0</v>
      </c>
      <c r="AB1150">
        <f t="shared" si="107"/>
        <v>0</v>
      </c>
      <c r="AC1150">
        <f>IF(I1150="",0,L1150*IFERROR(INDEX(کاتالوگ_محصولات!$G$4:$G$303,MATCH(I1150,کاتالوگ_محصولات!$A$4:$A$303,0)),0))</f>
        <v>0</v>
      </c>
      <c r="AD1150">
        <f t="shared" si="110"/>
        <v>0</v>
      </c>
      <c r="AE1150" t="str">
        <f t="shared" si="111"/>
        <v/>
      </c>
    </row>
    <row r="1151" spans="22:31" ht="18" customHeight="1">
      <c r="V1151">
        <f>IF(A1151="",0,IF(COUNTIF($A$3:A1151,A1151)=1,1,0))</f>
        <v>0</v>
      </c>
      <c r="W1151">
        <f t="shared" si="108"/>
        <v>0</v>
      </c>
      <c r="X1151" t="str">
        <f t="shared" si="109"/>
        <v/>
      </c>
      <c r="Y1151">
        <f>IF(X1151="",0,IF(COUNTIF($X$3:X1151,X1151)=1,1,0))</f>
        <v>0</v>
      </c>
      <c r="Z1151">
        <f>IF(V1151&lt;&gt;1,0,IF(X1151="",0,IF(COUNTIF($X$3:X1150,X1151)&gt;0,1,0)))</f>
        <v>0</v>
      </c>
      <c r="AA1151">
        <f t="shared" si="106"/>
        <v>0</v>
      </c>
      <c r="AB1151">
        <f t="shared" si="107"/>
        <v>0</v>
      </c>
      <c r="AC1151">
        <f>IF(I1151="",0,L1151*IFERROR(INDEX(کاتالوگ_محصولات!$G$4:$G$303,MATCH(I1151,کاتالوگ_محصولات!$A$4:$A$303,0)),0))</f>
        <v>0</v>
      </c>
      <c r="AD1151">
        <f t="shared" si="110"/>
        <v>0</v>
      </c>
      <c r="AE1151" t="str">
        <f t="shared" si="111"/>
        <v/>
      </c>
    </row>
    <row r="1152" spans="22:31" ht="18" customHeight="1">
      <c r="V1152">
        <f>IF(A1152="",0,IF(COUNTIF($A$3:A1152,A1152)=1,1,0))</f>
        <v>0</v>
      </c>
      <c r="W1152">
        <f t="shared" si="108"/>
        <v>0</v>
      </c>
      <c r="X1152" t="str">
        <f t="shared" si="109"/>
        <v/>
      </c>
      <c r="Y1152">
        <f>IF(X1152="",0,IF(COUNTIF($X$3:X1152,X1152)=1,1,0))</f>
        <v>0</v>
      </c>
      <c r="Z1152">
        <f>IF(V1152&lt;&gt;1,0,IF(X1152="",0,IF(COUNTIF($X$3:X1151,X1152)&gt;0,1,0)))</f>
        <v>0</v>
      </c>
      <c r="AA1152">
        <f t="shared" si="106"/>
        <v>0</v>
      </c>
      <c r="AB1152">
        <f t="shared" si="107"/>
        <v>0</v>
      </c>
      <c r="AC1152">
        <f>IF(I1152="",0,L1152*IFERROR(INDEX(کاتالوگ_محصولات!$G$4:$G$303,MATCH(I1152,کاتالوگ_محصولات!$A$4:$A$303,0)),0))</f>
        <v>0</v>
      </c>
      <c r="AD1152">
        <f t="shared" si="110"/>
        <v>0</v>
      </c>
      <c r="AE1152" t="str">
        <f t="shared" si="111"/>
        <v/>
      </c>
    </row>
    <row r="1153" spans="22:31" ht="18" customHeight="1">
      <c r="V1153">
        <f>IF(A1153="",0,IF(COUNTIF($A$3:A1153,A1153)=1,1,0))</f>
        <v>0</v>
      </c>
      <c r="W1153">
        <f t="shared" si="108"/>
        <v>0</v>
      </c>
      <c r="X1153" t="str">
        <f t="shared" si="109"/>
        <v/>
      </c>
      <c r="Y1153">
        <f>IF(X1153="",0,IF(COUNTIF($X$3:X1153,X1153)=1,1,0))</f>
        <v>0</v>
      </c>
      <c r="Z1153">
        <f>IF(V1153&lt;&gt;1,0,IF(X1153="",0,IF(COUNTIF($X$3:X1152,X1153)&gt;0,1,0)))</f>
        <v>0</v>
      </c>
      <c r="AA1153">
        <f t="shared" si="106"/>
        <v>0</v>
      </c>
      <c r="AB1153">
        <f t="shared" si="107"/>
        <v>0</v>
      </c>
      <c r="AC1153">
        <f>IF(I1153="",0,L1153*IFERROR(INDEX(کاتالوگ_محصولات!$G$4:$G$303,MATCH(I1153,کاتالوگ_محصولات!$A$4:$A$303,0)),0))</f>
        <v>0</v>
      </c>
      <c r="AD1153">
        <f t="shared" si="110"/>
        <v>0</v>
      </c>
      <c r="AE1153" t="str">
        <f t="shared" si="111"/>
        <v/>
      </c>
    </row>
    <row r="1154" spans="22:31" ht="18" customHeight="1">
      <c r="V1154">
        <f>IF(A1154="",0,IF(COUNTIF($A$3:A1154,A1154)=1,1,0))</f>
        <v>0</v>
      </c>
      <c r="W1154">
        <f t="shared" si="108"/>
        <v>0</v>
      </c>
      <c r="X1154" t="str">
        <f t="shared" si="109"/>
        <v/>
      </c>
      <c r="Y1154">
        <f>IF(X1154="",0,IF(COUNTIF($X$3:X1154,X1154)=1,1,0))</f>
        <v>0</v>
      </c>
      <c r="Z1154">
        <f>IF(V1154&lt;&gt;1,0,IF(X1154="",0,IF(COUNTIF($X$3:X1153,X1154)&gt;0,1,0)))</f>
        <v>0</v>
      </c>
      <c r="AA1154">
        <f t="shared" si="106"/>
        <v>0</v>
      </c>
      <c r="AB1154">
        <f t="shared" si="107"/>
        <v>0</v>
      </c>
      <c r="AC1154">
        <f>IF(I1154="",0,L1154*IFERROR(INDEX(کاتالوگ_محصولات!$G$4:$G$303,MATCH(I1154,کاتالوگ_محصولات!$A$4:$A$303,0)),0))</f>
        <v>0</v>
      </c>
      <c r="AD1154">
        <f t="shared" si="110"/>
        <v>0</v>
      </c>
      <c r="AE1154" t="str">
        <f t="shared" si="111"/>
        <v/>
      </c>
    </row>
    <row r="1155" spans="22:31" ht="18" customHeight="1">
      <c r="V1155">
        <f>IF(A1155="",0,IF(COUNTIF($A$3:A1155,A1155)=1,1,0))</f>
        <v>0</v>
      </c>
      <c r="W1155">
        <f t="shared" si="108"/>
        <v>0</v>
      </c>
      <c r="X1155" t="str">
        <f t="shared" si="109"/>
        <v/>
      </c>
      <c r="Y1155">
        <f>IF(X1155="",0,IF(COUNTIF($X$3:X1155,X1155)=1,1,0))</f>
        <v>0</v>
      </c>
      <c r="Z1155">
        <f>IF(V1155&lt;&gt;1,0,IF(X1155="",0,IF(COUNTIF($X$3:X1154,X1155)&gt;0,1,0)))</f>
        <v>0</v>
      </c>
      <c r="AA1155">
        <f t="shared" ref="AA1155:AA1218" si="112">IF(V1155=1,SUMIF($A$3:$A$1622,A1155,$O$3:$O$1622),0)</f>
        <v>0</v>
      </c>
      <c r="AB1155">
        <f t="shared" ref="AB1155:AB1218" si="113">IF(V1155=1,SUMIF($A$3:$A$1622,A1155,$L$3:$L$1622),0)</f>
        <v>0</v>
      </c>
      <c r="AC1155">
        <f>IF(I1155="",0,L1155*IFERROR(INDEX(کاتالوگ_محصولات!$G$4:$G$303,MATCH(I1155,کاتالوگ_محصولات!$A$4:$A$303,0)),0))</f>
        <v>0</v>
      </c>
      <c r="AD1155">
        <f t="shared" si="110"/>
        <v>0</v>
      </c>
      <c r="AE1155" t="str">
        <f t="shared" si="111"/>
        <v/>
      </c>
    </row>
    <row r="1156" spans="22:31" ht="18" customHeight="1">
      <c r="V1156">
        <f>IF(A1156="",0,IF(COUNTIF($A$3:A1156,A1156)=1,1,0))</f>
        <v>0</v>
      </c>
      <c r="W1156">
        <f t="shared" si="108"/>
        <v>0</v>
      </c>
      <c r="X1156" t="str">
        <f t="shared" si="109"/>
        <v/>
      </c>
      <c r="Y1156">
        <f>IF(X1156="",0,IF(COUNTIF($X$3:X1156,X1156)=1,1,0))</f>
        <v>0</v>
      </c>
      <c r="Z1156">
        <f>IF(V1156&lt;&gt;1,0,IF(X1156="",0,IF(COUNTIF($X$3:X1155,X1156)&gt;0,1,0)))</f>
        <v>0</v>
      </c>
      <c r="AA1156">
        <f t="shared" si="112"/>
        <v>0</v>
      </c>
      <c r="AB1156">
        <f t="shared" si="113"/>
        <v>0</v>
      </c>
      <c r="AC1156">
        <f>IF(I1156="",0,L1156*IFERROR(INDEX(کاتالوگ_محصولات!$G$4:$G$303,MATCH(I1156,کاتالوگ_محصولات!$A$4:$A$303,0)),0))</f>
        <v>0</v>
      </c>
      <c r="AD1156">
        <f t="shared" si="110"/>
        <v>0</v>
      </c>
      <c r="AE1156" t="str">
        <f t="shared" si="111"/>
        <v/>
      </c>
    </row>
    <row r="1157" spans="22:31" ht="18" customHeight="1">
      <c r="V1157">
        <f>IF(A1157="",0,IF(COUNTIF($A$3:A1157,A1157)=1,1,0))</f>
        <v>0</v>
      </c>
      <c r="W1157">
        <f t="shared" si="108"/>
        <v>0</v>
      </c>
      <c r="X1157" t="str">
        <f t="shared" si="109"/>
        <v/>
      </c>
      <c r="Y1157">
        <f>IF(X1157="",0,IF(COUNTIF($X$3:X1157,X1157)=1,1,0))</f>
        <v>0</v>
      </c>
      <c r="Z1157">
        <f>IF(V1157&lt;&gt;1,0,IF(X1157="",0,IF(COUNTIF($X$3:X1156,X1157)&gt;0,1,0)))</f>
        <v>0</v>
      </c>
      <c r="AA1157">
        <f t="shared" si="112"/>
        <v>0</v>
      </c>
      <c r="AB1157">
        <f t="shared" si="113"/>
        <v>0</v>
      </c>
      <c r="AC1157">
        <f>IF(I1157="",0,L1157*IFERROR(INDEX(کاتالوگ_محصولات!$G$4:$G$303,MATCH(I1157,کاتالوگ_محصولات!$A$4:$A$303,0)),0))</f>
        <v>0</v>
      </c>
      <c r="AD1157">
        <f t="shared" si="110"/>
        <v>0</v>
      </c>
      <c r="AE1157" t="str">
        <f t="shared" si="111"/>
        <v/>
      </c>
    </row>
    <row r="1158" spans="22:31" ht="18" customHeight="1">
      <c r="V1158">
        <f>IF(A1158="",0,IF(COUNTIF($A$3:A1158,A1158)=1,1,0))</f>
        <v>0</v>
      </c>
      <c r="W1158">
        <f t="shared" si="108"/>
        <v>0</v>
      </c>
      <c r="X1158" t="str">
        <f t="shared" si="109"/>
        <v/>
      </c>
      <c r="Y1158">
        <f>IF(X1158="",0,IF(COUNTIF($X$3:X1158,X1158)=1,1,0))</f>
        <v>0</v>
      </c>
      <c r="Z1158">
        <f>IF(V1158&lt;&gt;1,0,IF(X1158="",0,IF(COUNTIF($X$3:X1157,X1158)&gt;0,1,0)))</f>
        <v>0</v>
      </c>
      <c r="AA1158">
        <f t="shared" si="112"/>
        <v>0</v>
      </c>
      <c r="AB1158">
        <f t="shared" si="113"/>
        <v>0</v>
      </c>
      <c r="AC1158">
        <f>IF(I1158="",0,L1158*IFERROR(INDEX(کاتالوگ_محصولات!$G$4:$G$303,MATCH(I1158,کاتالوگ_محصولات!$A$4:$A$303,0)),0))</f>
        <v>0</v>
      </c>
      <c r="AD1158">
        <f t="shared" si="110"/>
        <v>0</v>
      </c>
      <c r="AE1158" t="str">
        <f t="shared" si="111"/>
        <v/>
      </c>
    </row>
    <row r="1159" spans="22:31" ht="18" customHeight="1">
      <c r="V1159">
        <f>IF(A1159="",0,IF(COUNTIF($A$3:A1159,A1159)=1,1,0))</f>
        <v>0</v>
      </c>
      <c r="W1159">
        <f t="shared" si="108"/>
        <v>0</v>
      </c>
      <c r="X1159" t="str">
        <f t="shared" si="109"/>
        <v/>
      </c>
      <c r="Y1159">
        <f>IF(X1159="",0,IF(COUNTIF($X$3:X1159,X1159)=1,1,0))</f>
        <v>0</v>
      </c>
      <c r="Z1159">
        <f>IF(V1159&lt;&gt;1,0,IF(X1159="",0,IF(COUNTIF($X$3:X1158,X1159)&gt;0,1,0)))</f>
        <v>0</v>
      </c>
      <c r="AA1159">
        <f t="shared" si="112"/>
        <v>0</v>
      </c>
      <c r="AB1159">
        <f t="shared" si="113"/>
        <v>0</v>
      </c>
      <c r="AC1159">
        <f>IF(I1159="",0,L1159*IFERROR(INDEX(کاتالوگ_محصولات!$G$4:$G$303,MATCH(I1159,کاتالوگ_محصولات!$A$4:$A$303,0)),0))</f>
        <v>0</v>
      </c>
      <c r="AD1159">
        <f t="shared" si="110"/>
        <v>0</v>
      </c>
      <c r="AE1159" t="str">
        <f t="shared" si="111"/>
        <v/>
      </c>
    </row>
    <row r="1160" spans="22:31" ht="18" customHeight="1">
      <c r="V1160">
        <f>IF(A1160="",0,IF(COUNTIF($A$3:A1160,A1160)=1,1,0))</f>
        <v>0</v>
      </c>
      <c r="W1160">
        <f t="shared" si="108"/>
        <v>0</v>
      </c>
      <c r="X1160" t="str">
        <f t="shared" si="109"/>
        <v/>
      </c>
      <c r="Y1160">
        <f>IF(X1160="",0,IF(COUNTIF($X$3:X1160,X1160)=1,1,0))</f>
        <v>0</v>
      </c>
      <c r="Z1160">
        <f>IF(V1160&lt;&gt;1,0,IF(X1160="",0,IF(COUNTIF($X$3:X1159,X1160)&gt;0,1,0)))</f>
        <v>0</v>
      </c>
      <c r="AA1160">
        <f t="shared" si="112"/>
        <v>0</v>
      </c>
      <c r="AB1160">
        <f t="shared" si="113"/>
        <v>0</v>
      </c>
      <c r="AC1160">
        <f>IF(I1160="",0,L1160*IFERROR(INDEX(کاتالوگ_محصولات!$G$4:$G$303,MATCH(I1160,کاتالوگ_محصولات!$A$4:$A$303,0)),0))</f>
        <v>0</v>
      </c>
      <c r="AD1160">
        <f t="shared" si="110"/>
        <v>0</v>
      </c>
      <c r="AE1160" t="str">
        <f t="shared" si="111"/>
        <v/>
      </c>
    </row>
    <row r="1161" spans="22:31" ht="18" customHeight="1">
      <c r="V1161">
        <f>IF(A1161="",0,IF(COUNTIF($A$3:A1161,A1161)=1,1,0))</f>
        <v>0</v>
      </c>
      <c r="W1161">
        <f t="shared" ref="W1161:W1224" si="114">IF(A1161="",0,L1161*M1161)</f>
        <v>0</v>
      </c>
      <c r="X1161" t="str">
        <f t="shared" ref="X1161:X1224" si="115">IF(R1161&lt;&gt;"",R1161,IF(AND(P1161&lt;&gt;"",Q1161&lt;&gt;""),P1161&amp;"|"&amp;Q1161,""))</f>
        <v/>
      </c>
      <c r="Y1161">
        <f>IF(X1161="",0,IF(COUNTIF($X$3:X1161,X1161)=1,1,0))</f>
        <v>0</v>
      </c>
      <c r="Z1161">
        <f>IF(V1161&lt;&gt;1,0,IF(X1161="",0,IF(COUNTIF($X$3:X1160,X1161)&gt;0,1,0)))</f>
        <v>0</v>
      </c>
      <c r="AA1161">
        <f t="shared" si="112"/>
        <v>0</v>
      </c>
      <c r="AB1161">
        <f t="shared" si="113"/>
        <v>0</v>
      </c>
      <c r="AC1161">
        <f>IF(I1161="",0,L1161*IFERROR(INDEX(کاتالوگ_محصولات!$G$4:$G$303,MATCH(I1161,کاتالوگ_محصولات!$A$4:$A$303,0)),0))</f>
        <v>0</v>
      </c>
      <c r="AD1161">
        <f t="shared" ref="AD1161:AD1224" si="116">IF(A1161="",0,O1161-AC1161)</f>
        <v>0</v>
      </c>
      <c r="AE1161" t="str">
        <f t="shared" ref="AE1161:AE1224" si="117">IF(B1161="","",LEFT(B1161,7))</f>
        <v/>
      </c>
    </row>
    <row r="1162" spans="22:31" ht="18" customHeight="1">
      <c r="V1162">
        <f>IF(A1162="",0,IF(COUNTIF($A$3:A1162,A1162)=1,1,0))</f>
        <v>0</v>
      </c>
      <c r="W1162">
        <f t="shared" si="114"/>
        <v>0</v>
      </c>
      <c r="X1162" t="str">
        <f t="shared" si="115"/>
        <v/>
      </c>
      <c r="Y1162">
        <f>IF(X1162="",0,IF(COUNTIF($X$3:X1162,X1162)=1,1,0))</f>
        <v>0</v>
      </c>
      <c r="Z1162">
        <f>IF(V1162&lt;&gt;1,0,IF(X1162="",0,IF(COUNTIF($X$3:X1161,X1162)&gt;0,1,0)))</f>
        <v>0</v>
      </c>
      <c r="AA1162">
        <f t="shared" si="112"/>
        <v>0</v>
      </c>
      <c r="AB1162">
        <f t="shared" si="113"/>
        <v>0</v>
      </c>
      <c r="AC1162">
        <f>IF(I1162="",0,L1162*IFERROR(INDEX(کاتالوگ_محصولات!$G$4:$G$303,MATCH(I1162,کاتالوگ_محصولات!$A$4:$A$303,0)),0))</f>
        <v>0</v>
      </c>
      <c r="AD1162">
        <f t="shared" si="116"/>
        <v>0</v>
      </c>
      <c r="AE1162" t="str">
        <f t="shared" si="117"/>
        <v/>
      </c>
    </row>
    <row r="1163" spans="22:31" ht="18" customHeight="1">
      <c r="V1163">
        <f>IF(A1163="",0,IF(COUNTIF($A$3:A1163,A1163)=1,1,0))</f>
        <v>0</v>
      </c>
      <c r="W1163">
        <f t="shared" si="114"/>
        <v>0</v>
      </c>
      <c r="X1163" t="str">
        <f t="shared" si="115"/>
        <v/>
      </c>
      <c r="Y1163">
        <f>IF(X1163="",0,IF(COUNTIF($X$3:X1163,X1163)=1,1,0))</f>
        <v>0</v>
      </c>
      <c r="Z1163">
        <f>IF(V1163&lt;&gt;1,0,IF(X1163="",0,IF(COUNTIF($X$3:X1162,X1163)&gt;0,1,0)))</f>
        <v>0</v>
      </c>
      <c r="AA1163">
        <f t="shared" si="112"/>
        <v>0</v>
      </c>
      <c r="AB1163">
        <f t="shared" si="113"/>
        <v>0</v>
      </c>
      <c r="AC1163">
        <f>IF(I1163="",0,L1163*IFERROR(INDEX(کاتالوگ_محصولات!$G$4:$G$303,MATCH(I1163,کاتالوگ_محصولات!$A$4:$A$303,0)),0))</f>
        <v>0</v>
      </c>
      <c r="AD1163">
        <f t="shared" si="116"/>
        <v>0</v>
      </c>
      <c r="AE1163" t="str">
        <f t="shared" si="117"/>
        <v/>
      </c>
    </row>
    <row r="1164" spans="22:31" ht="18" customHeight="1">
      <c r="V1164">
        <f>IF(A1164="",0,IF(COUNTIF($A$3:A1164,A1164)=1,1,0))</f>
        <v>0</v>
      </c>
      <c r="W1164">
        <f t="shared" si="114"/>
        <v>0</v>
      </c>
      <c r="X1164" t="str">
        <f t="shared" si="115"/>
        <v/>
      </c>
      <c r="Y1164">
        <f>IF(X1164="",0,IF(COUNTIF($X$3:X1164,X1164)=1,1,0))</f>
        <v>0</v>
      </c>
      <c r="Z1164">
        <f>IF(V1164&lt;&gt;1,0,IF(X1164="",0,IF(COUNTIF($X$3:X1163,X1164)&gt;0,1,0)))</f>
        <v>0</v>
      </c>
      <c r="AA1164">
        <f t="shared" si="112"/>
        <v>0</v>
      </c>
      <c r="AB1164">
        <f t="shared" si="113"/>
        <v>0</v>
      </c>
      <c r="AC1164">
        <f>IF(I1164="",0,L1164*IFERROR(INDEX(کاتالوگ_محصولات!$G$4:$G$303,MATCH(I1164,کاتالوگ_محصولات!$A$4:$A$303,0)),0))</f>
        <v>0</v>
      </c>
      <c r="AD1164">
        <f t="shared" si="116"/>
        <v>0</v>
      </c>
      <c r="AE1164" t="str">
        <f t="shared" si="117"/>
        <v/>
      </c>
    </row>
    <row r="1165" spans="22:31" ht="18" customHeight="1">
      <c r="V1165">
        <f>IF(A1165="",0,IF(COUNTIF($A$3:A1165,A1165)=1,1,0))</f>
        <v>0</v>
      </c>
      <c r="W1165">
        <f t="shared" si="114"/>
        <v>0</v>
      </c>
      <c r="X1165" t="str">
        <f t="shared" si="115"/>
        <v/>
      </c>
      <c r="Y1165">
        <f>IF(X1165="",0,IF(COUNTIF($X$3:X1165,X1165)=1,1,0))</f>
        <v>0</v>
      </c>
      <c r="Z1165">
        <f>IF(V1165&lt;&gt;1,0,IF(X1165="",0,IF(COUNTIF($X$3:X1164,X1165)&gt;0,1,0)))</f>
        <v>0</v>
      </c>
      <c r="AA1165">
        <f t="shared" si="112"/>
        <v>0</v>
      </c>
      <c r="AB1165">
        <f t="shared" si="113"/>
        <v>0</v>
      </c>
      <c r="AC1165">
        <f>IF(I1165="",0,L1165*IFERROR(INDEX(کاتالوگ_محصولات!$G$4:$G$303,MATCH(I1165,کاتالوگ_محصولات!$A$4:$A$303,0)),0))</f>
        <v>0</v>
      </c>
      <c r="AD1165">
        <f t="shared" si="116"/>
        <v>0</v>
      </c>
      <c r="AE1165" t="str">
        <f t="shared" si="117"/>
        <v/>
      </c>
    </row>
    <row r="1166" spans="22:31" ht="18" customHeight="1">
      <c r="V1166">
        <f>IF(A1166="",0,IF(COUNTIF($A$3:A1166,A1166)=1,1,0))</f>
        <v>0</v>
      </c>
      <c r="W1166">
        <f t="shared" si="114"/>
        <v>0</v>
      </c>
      <c r="X1166" t="str">
        <f t="shared" si="115"/>
        <v/>
      </c>
      <c r="Y1166">
        <f>IF(X1166="",0,IF(COUNTIF($X$3:X1166,X1166)=1,1,0))</f>
        <v>0</v>
      </c>
      <c r="Z1166">
        <f>IF(V1166&lt;&gt;1,0,IF(X1166="",0,IF(COUNTIF($X$3:X1165,X1166)&gt;0,1,0)))</f>
        <v>0</v>
      </c>
      <c r="AA1166">
        <f t="shared" si="112"/>
        <v>0</v>
      </c>
      <c r="AB1166">
        <f t="shared" si="113"/>
        <v>0</v>
      </c>
      <c r="AC1166">
        <f>IF(I1166="",0,L1166*IFERROR(INDEX(کاتالوگ_محصولات!$G$4:$G$303,MATCH(I1166,کاتالوگ_محصولات!$A$4:$A$303,0)),0))</f>
        <v>0</v>
      </c>
      <c r="AD1166">
        <f t="shared" si="116"/>
        <v>0</v>
      </c>
      <c r="AE1166" t="str">
        <f t="shared" si="117"/>
        <v/>
      </c>
    </row>
    <row r="1167" spans="22:31" ht="18" customHeight="1">
      <c r="V1167">
        <f>IF(A1167="",0,IF(COUNTIF($A$3:A1167,A1167)=1,1,0))</f>
        <v>0</v>
      </c>
      <c r="W1167">
        <f t="shared" si="114"/>
        <v>0</v>
      </c>
      <c r="X1167" t="str">
        <f t="shared" si="115"/>
        <v/>
      </c>
      <c r="Y1167">
        <f>IF(X1167="",0,IF(COUNTIF($X$3:X1167,X1167)=1,1,0))</f>
        <v>0</v>
      </c>
      <c r="Z1167">
        <f>IF(V1167&lt;&gt;1,0,IF(X1167="",0,IF(COUNTIF($X$3:X1166,X1167)&gt;0,1,0)))</f>
        <v>0</v>
      </c>
      <c r="AA1167">
        <f t="shared" si="112"/>
        <v>0</v>
      </c>
      <c r="AB1167">
        <f t="shared" si="113"/>
        <v>0</v>
      </c>
      <c r="AC1167">
        <f>IF(I1167="",0,L1167*IFERROR(INDEX(کاتالوگ_محصولات!$G$4:$G$303,MATCH(I1167,کاتالوگ_محصولات!$A$4:$A$303,0)),0))</f>
        <v>0</v>
      </c>
      <c r="AD1167">
        <f t="shared" si="116"/>
        <v>0</v>
      </c>
      <c r="AE1167" t="str">
        <f t="shared" si="117"/>
        <v/>
      </c>
    </row>
    <row r="1168" spans="22:31" ht="18" customHeight="1">
      <c r="V1168">
        <f>IF(A1168="",0,IF(COUNTIF($A$3:A1168,A1168)=1,1,0))</f>
        <v>0</v>
      </c>
      <c r="W1168">
        <f t="shared" si="114"/>
        <v>0</v>
      </c>
      <c r="X1168" t="str">
        <f t="shared" si="115"/>
        <v/>
      </c>
      <c r="Y1168">
        <f>IF(X1168="",0,IF(COUNTIF($X$3:X1168,X1168)=1,1,0))</f>
        <v>0</v>
      </c>
      <c r="Z1168">
        <f>IF(V1168&lt;&gt;1,0,IF(X1168="",0,IF(COUNTIF($X$3:X1167,X1168)&gt;0,1,0)))</f>
        <v>0</v>
      </c>
      <c r="AA1168">
        <f t="shared" si="112"/>
        <v>0</v>
      </c>
      <c r="AB1168">
        <f t="shared" si="113"/>
        <v>0</v>
      </c>
      <c r="AC1168">
        <f>IF(I1168="",0,L1168*IFERROR(INDEX(کاتالوگ_محصولات!$G$4:$G$303,MATCH(I1168,کاتالوگ_محصولات!$A$4:$A$303,0)),0))</f>
        <v>0</v>
      </c>
      <c r="AD1168">
        <f t="shared" si="116"/>
        <v>0</v>
      </c>
      <c r="AE1168" t="str">
        <f t="shared" si="117"/>
        <v/>
      </c>
    </row>
    <row r="1169" spans="22:31" ht="18" customHeight="1">
      <c r="V1169">
        <f>IF(A1169="",0,IF(COUNTIF($A$3:A1169,A1169)=1,1,0))</f>
        <v>0</v>
      </c>
      <c r="W1169">
        <f t="shared" si="114"/>
        <v>0</v>
      </c>
      <c r="X1169" t="str">
        <f t="shared" si="115"/>
        <v/>
      </c>
      <c r="Y1169">
        <f>IF(X1169="",0,IF(COUNTIF($X$3:X1169,X1169)=1,1,0))</f>
        <v>0</v>
      </c>
      <c r="Z1169">
        <f>IF(V1169&lt;&gt;1,0,IF(X1169="",0,IF(COUNTIF($X$3:X1168,X1169)&gt;0,1,0)))</f>
        <v>0</v>
      </c>
      <c r="AA1169">
        <f t="shared" si="112"/>
        <v>0</v>
      </c>
      <c r="AB1169">
        <f t="shared" si="113"/>
        <v>0</v>
      </c>
      <c r="AC1169">
        <f>IF(I1169="",0,L1169*IFERROR(INDEX(کاتالوگ_محصولات!$G$4:$G$303,MATCH(I1169,کاتالوگ_محصولات!$A$4:$A$303,0)),0))</f>
        <v>0</v>
      </c>
      <c r="AD1169">
        <f t="shared" si="116"/>
        <v>0</v>
      </c>
      <c r="AE1169" t="str">
        <f t="shared" si="117"/>
        <v/>
      </c>
    </row>
    <row r="1170" spans="22:31" ht="18" customHeight="1">
      <c r="V1170">
        <f>IF(A1170="",0,IF(COUNTIF($A$3:A1170,A1170)=1,1,0))</f>
        <v>0</v>
      </c>
      <c r="W1170">
        <f t="shared" si="114"/>
        <v>0</v>
      </c>
      <c r="X1170" t="str">
        <f t="shared" si="115"/>
        <v/>
      </c>
      <c r="Y1170">
        <f>IF(X1170="",0,IF(COUNTIF($X$3:X1170,X1170)=1,1,0))</f>
        <v>0</v>
      </c>
      <c r="Z1170">
        <f>IF(V1170&lt;&gt;1,0,IF(X1170="",0,IF(COUNTIF($X$3:X1169,X1170)&gt;0,1,0)))</f>
        <v>0</v>
      </c>
      <c r="AA1170">
        <f t="shared" si="112"/>
        <v>0</v>
      </c>
      <c r="AB1170">
        <f t="shared" si="113"/>
        <v>0</v>
      </c>
      <c r="AC1170">
        <f>IF(I1170="",0,L1170*IFERROR(INDEX(کاتالوگ_محصولات!$G$4:$G$303,MATCH(I1170,کاتالوگ_محصولات!$A$4:$A$303,0)),0))</f>
        <v>0</v>
      </c>
      <c r="AD1170">
        <f t="shared" si="116"/>
        <v>0</v>
      </c>
      <c r="AE1170" t="str">
        <f t="shared" si="117"/>
        <v/>
      </c>
    </row>
    <row r="1171" spans="22:31" ht="18" customHeight="1">
      <c r="V1171">
        <f>IF(A1171="",0,IF(COUNTIF($A$3:A1171,A1171)=1,1,0))</f>
        <v>0</v>
      </c>
      <c r="W1171">
        <f t="shared" si="114"/>
        <v>0</v>
      </c>
      <c r="X1171" t="str">
        <f t="shared" si="115"/>
        <v/>
      </c>
      <c r="Y1171">
        <f>IF(X1171="",0,IF(COUNTIF($X$3:X1171,X1171)=1,1,0))</f>
        <v>0</v>
      </c>
      <c r="Z1171">
        <f>IF(V1171&lt;&gt;1,0,IF(X1171="",0,IF(COUNTIF($X$3:X1170,X1171)&gt;0,1,0)))</f>
        <v>0</v>
      </c>
      <c r="AA1171">
        <f t="shared" si="112"/>
        <v>0</v>
      </c>
      <c r="AB1171">
        <f t="shared" si="113"/>
        <v>0</v>
      </c>
      <c r="AC1171">
        <f>IF(I1171="",0,L1171*IFERROR(INDEX(کاتالوگ_محصولات!$G$4:$G$303,MATCH(I1171,کاتالوگ_محصولات!$A$4:$A$303,0)),0))</f>
        <v>0</v>
      </c>
      <c r="AD1171">
        <f t="shared" si="116"/>
        <v>0</v>
      </c>
      <c r="AE1171" t="str">
        <f t="shared" si="117"/>
        <v/>
      </c>
    </row>
    <row r="1172" spans="22:31" ht="18" customHeight="1">
      <c r="V1172">
        <f>IF(A1172="",0,IF(COUNTIF($A$3:A1172,A1172)=1,1,0))</f>
        <v>0</v>
      </c>
      <c r="W1172">
        <f t="shared" si="114"/>
        <v>0</v>
      </c>
      <c r="X1172" t="str">
        <f t="shared" si="115"/>
        <v/>
      </c>
      <c r="Y1172">
        <f>IF(X1172="",0,IF(COUNTIF($X$3:X1172,X1172)=1,1,0))</f>
        <v>0</v>
      </c>
      <c r="Z1172">
        <f>IF(V1172&lt;&gt;1,0,IF(X1172="",0,IF(COUNTIF($X$3:X1171,X1172)&gt;0,1,0)))</f>
        <v>0</v>
      </c>
      <c r="AA1172">
        <f t="shared" si="112"/>
        <v>0</v>
      </c>
      <c r="AB1172">
        <f t="shared" si="113"/>
        <v>0</v>
      </c>
      <c r="AC1172">
        <f>IF(I1172="",0,L1172*IFERROR(INDEX(کاتالوگ_محصولات!$G$4:$G$303,MATCH(I1172,کاتالوگ_محصولات!$A$4:$A$303,0)),0))</f>
        <v>0</v>
      </c>
      <c r="AD1172">
        <f t="shared" si="116"/>
        <v>0</v>
      </c>
      <c r="AE1172" t="str">
        <f t="shared" si="117"/>
        <v/>
      </c>
    </row>
    <row r="1173" spans="22:31" ht="18" customHeight="1">
      <c r="V1173">
        <f>IF(A1173="",0,IF(COUNTIF($A$3:A1173,A1173)=1,1,0))</f>
        <v>0</v>
      </c>
      <c r="W1173">
        <f t="shared" si="114"/>
        <v>0</v>
      </c>
      <c r="X1173" t="str">
        <f t="shared" si="115"/>
        <v/>
      </c>
      <c r="Y1173">
        <f>IF(X1173="",0,IF(COUNTIF($X$3:X1173,X1173)=1,1,0))</f>
        <v>0</v>
      </c>
      <c r="Z1173">
        <f>IF(V1173&lt;&gt;1,0,IF(X1173="",0,IF(COUNTIF($X$3:X1172,X1173)&gt;0,1,0)))</f>
        <v>0</v>
      </c>
      <c r="AA1173">
        <f t="shared" si="112"/>
        <v>0</v>
      </c>
      <c r="AB1173">
        <f t="shared" si="113"/>
        <v>0</v>
      </c>
      <c r="AC1173">
        <f>IF(I1173="",0,L1173*IFERROR(INDEX(کاتالوگ_محصولات!$G$4:$G$303,MATCH(I1173,کاتالوگ_محصولات!$A$4:$A$303,0)),0))</f>
        <v>0</v>
      </c>
      <c r="AD1173">
        <f t="shared" si="116"/>
        <v>0</v>
      </c>
      <c r="AE1173" t="str">
        <f t="shared" si="117"/>
        <v/>
      </c>
    </row>
    <row r="1174" spans="22:31" ht="18" customHeight="1">
      <c r="V1174">
        <f>IF(A1174="",0,IF(COUNTIF($A$3:A1174,A1174)=1,1,0))</f>
        <v>0</v>
      </c>
      <c r="W1174">
        <f t="shared" si="114"/>
        <v>0</v>
      </c>
      <c r="X1174" t="str">
        <f t="shared" si="115"/>
        <v/>
      </c>
      <c r="Y1174">
        <f>IF(X1174="",0,IF(COUNTIF($X$3:X1174,X1174)=1,1,0))</f>
        <v>0</v>
      </c>
      <c r="Z1174">
        <f>IF(V1174&lt;&gt;1,0,IF(X1174="",0,IF(COUNTIF($X$3:X1173,X1174)&gt;0,1,0)))</f>
        <v>0</v>
      </c>
      <c r="AA1174">
        <f t="shared" si="112"/>
        <v>0</v>
      </c>
      <c r="AB1174">
        <f t="shared" si="113"/>
        <v>0</v>
      </c>
      <c r="AC1174">
        <f>IF(I1174="",0,L1174*IFERROR(INDEX(کاتالوگ_محصولات!$G$4:$G$303,MATCH(I1174,کاتالوگ_محصولات!$A$4:$A$303,0)),0))</f>
        <v>0</v>
      </c>
      <c r="AD1174">
        <f t="shared" si="116"/>
        <v>0</v>
      </c>
      <c r="AE1174" t="str">
        <f t="shared" si="117"/>
        <v/>
      </c>
    </row>
    <row r="1175" spans="22:31" ht="18" customHeight="1">
      <c r="V1175">
        <f>IF(A1175="",0,IF(COUNTIF($A$3:A1175,A1175)=1,1,0))</f>
        <v>0</v>
      </c>
      <c r="W1175">
        <f t="shared" si="114"/>
        <v>0</v>
      </c>
      <c r="X1175" t="str">
        <f t="shared" si="115"/>
        <v/>
      </c>
      <c r="Y1175">
        <f>IF(X1175="",0,IF(COUNTIF($X$3:X1175,X1175)=1,1,0))</f>
        <v>0</v>
      </c>
      <c r="Z1175">
        <f>IF(V1175&lt;&gt;1,0,IF(X1175="",0,IF(COUNTIF($X$3:X1174,X1175)&gt;0,1,0)))</f>
        <v>0</v>
      </c>
      <c r="AA1175">
        <f t="shared" si="112"/>
        <v>0</v>
      </c>
      <c r="AB1175">
        <f t="shared" si="113"/>
        <v>0</v>
      </c>
      <c r="AC1175">
        <f>IF(I1175="",0,L1175*IFERROR(INDEX(کاتالوگ_محصولات!$G$4:$G$303,MATCH(I1175,کاتالوگ_محصولات!$A$4:$A$303,0)),0))</f>
        <v>0</v>
      </c>
      <c r="AD1175">
        <f t="shared" si="116"/>
        <v>0</v>
      </c>
      <c r="AE1175" t="str">
        <f t="shared" si="117"/>
        <v/>
      </c>
    </row>
    <row r="1176" spans="22:31" ht="18" customHeight="1">
      <c r="V1176">
        <f>IF(A1176="",0,IF(COUNTIF($A$3:A1176,A1176)=1,1,0))</f>
        <v>0</v>
      </c>
      <c r="W1176">
        <f t="shared" si="114"/>
        <v>0</v>
      </c>
      <c r="X1176" t="str">
        <f t="shared" si="115"/>
        <v/>
      </c>
      <c r="Y1176">
        <f>IF(X1176="",0,IF(COUNTIF($X$3:X1176,X1176)=1,1,0))</f>
        <v>0</v>
      </c>
      <c r="Z1176">
        <f>IF(V1176&lt;&gt;1,0,IF(X1176="",0,IF(COUNTIF($X$3:X1175,X1176)&gt;0,1,0)))</f>
        <v>0</v>
      </c>
      <c r="AA1176">
        <f t="shared" si="112"/>
        <v>0</v>
      </c>
      <c r="AB1176">
        <f t="shared" si="113"/>
        <v>0</v>
      </c>
      <c r="AC1176">
        <f>IF(I1176="",0,L1176*IFERROR(INDEX(کاتالوگ_محصولات!$G$4:$G$303,MATCH(I1176,کاتالوگ_محصولات!$A$4:$A$303,0)),0))</f>
        <v>0</v>
      </c>
      <c r="AD1176">
        <f t="shared" si="116"/>
        <v>0</v>
      </c>
      <c r="AE1176" t="str">
        <f t="shared" si="117"/>
        <v/>
      </c>
    </row>
    <row r="1177" spans="22:31" ht="18" customHeight="1">
      <c r="V1177">
        <f>IF(A1177="",0,IF(COUNTIF($A$3:A1177,A1177)=1,1,0))</f>
        <v>0</v>
      </c>
      <c r="W1177">
        <f t="shared" si="114"/>
        <v>0</v>
      </c>
      <c r="X1177" t="str">
        <f t="shared" si="115"/>
        <v/>
      </c>
      <c r="Y1177">
        <f>IF(X1177="",0,IF(COUNTIF($X$3:X1177,X1177)=1,1,0))</f>
        <v>0</v>
      </c>
      <c r="Z1177">
        <f>IF(V1177&lt;&gt;1,0,IF(X1177="",0,IF(COUNTIF($X$3:X1176,X1177)&gt;0,1,0)))</f>
        <v>0</v>
      </c>
      <c r="AA1177">
        <f t="shared" si="112"/>
        <v>0</v>
      </c>
      <c r="AB1177">
        <f t="shared" si="113"/>
        <v>0</v>
      </c>
      <c r="AC1177">
        <f>IF(I1177="",0,L1177*IFERROR(INDEX(کاتالوگ_محصولات!$G$4:$G$303,MATCH(I1177,کاتالوگ_محصولات!$A$4:$A$303,0)),0))</f>
        <v>0</v>
      </c>
      <c r="AD1177">
        <f t="shared" si="116"/>
        <v>0</v>
      </c>
      <c r="AE1177" t="str">
        <f t="shared" si="117"/>
        <v/>
      </c>
    </row>
    <row r="1178" spans="22:31" ht="18" customHeight="1">
      <c r="V1178">
        <f>IF(A1178="",0,IF(COUNTIF($A$3:A1178,A1178)=1,1,0))</f>
        <v>0</v>
      </c>
      <c r="W1178">
        <f t="shared" si="114"/>
        <v>0</v>
      </c>
      <c r="X1178" t="str">
        <f t="shared" si="115"/>
        <v/>
      </c>
      <c r="Y1178">
        <f>IF(X1178="",0,IF(COUNTIF($X$3:X1178,X1178)=1,1,0))</f>
        <v>0</v>
      </c>
      <c r="Z1178">
        <f>IF(V1178&lt;&gt;1,0,IF(X1178="",0,IF(COUNTIF($X$3:X1177,X1178)&gt;0,1,0)))</f>
        <v>0</v>
      </c>
      <c r="AA1178">
        <f t="shared" si="112"/>
        <v>0</v>
      </c>
      <c r="AB1178">
        <f t="shared" si="113"/>
        <v>0</v>
      </c>
      <c r="AC1178">
        <f>IF(I1178="",0,L1178*IFERROR(INDEX(کاتالوگ_محصولات!$G$4:$G$303,MATCH(I1178,کاتالوگ_محصولات!$A$4:$A$303,0)),0))</f>
        <v>0</v>
      </c>
      <c r="AD1178">
        <f t="shared" si="116"/>
        <v>0</v>
      </c>
      <c r="AE1178" t="str">
        <f t="shared" si="117"/>
        <v/>
      </c>
    </row>
    <row r="1179" spans="22:31" ht="18" customHeight="1">
      <c r="V1179">
        <f>IF(A1179="",0,IF(COUNTIF($A$3:A1179,A1179)=1,1,0))</f>
        <v>0</v>
      </c>
      <c r="W1179">
        <f t="shared" si="114"/>
        <v>0</v>
      </c>
      <c r="X1179" t="str">
        <f t="shared" si="115"/>
        <v/>
      </c>
      <c r="Y1179">
        <f>IF(X1179="",0,IF(COUNTIF($X$3:X1179,X1179)=1,1,0))</f>
        <v>0</v>
      </c>
      <c r="Z1179">
        <f>IF(V1179&lt;&gt;1,0,IF(X1179="",0,IF(COUNTIF($X$3:X1178,X1179)&gt;0,1,0)))</f>
        <v>0</v>
      </c>
      <c r="AA1179">
        <f t="shared" si="112"/>
        <v>0</v>
      </c>
      <c r="AB1179">
        <f t="shared" si="113"/>
        <v>0</v>
      </c>
      <c r="AC1179">
        <f>IF(I1179="",0,L1179*IFERROR(INDEX(کاتالوگ_محصولات!$G$4:$G$303,MATCH(I1179,کاتالوگ_محصولات!$A$4:$A$303,0)),0))</f>
        <v>0</v>
      </c>
      <c r="AD1179">
        <f t="shared" si="116"/>
        <v>0</v>
      </c>
      <c r="AE1179" t="str">
        <f t="shared" si="117"/>
        <v/>
      </c>
    </row>
    <row r="1180" spans="22:31" ht="18" customHeight="1">
      <c r="V1180">
        <f>IF(A1180="",0,IF(COUNTIF($A$3:A1180,A1180)=1,1,0))</f>
        <v>0</v>
      </c>
      <c r="W1180">
        <f t="shared" si="114"/>
        <v>0</v>
      </c>
      <c r="X1180" t="str">
        <f t="shared" si="115"/>
        <v/>
      </c>
      <c r="Y1180">
        <f>IF(X1180="",0,IF(COUNTIF($X$3:X1180,X1180)=1,1,0))</f>
        <v>0</v>
      </c>
      <c r="Z1180">
        <f>IF(V1180&lt;&gt;1,0,IF(X1180="",0,IF(COUNTIF($X$3:X1179,X1180)&gt;0,1,0)))</f>
        <v>0</v>
      </c>
      <c r="AA1180">
        <f t="shared" si="112"/>
        <v>0</v>
      </c>
      <c r="AB1180">
        <f t="shared" si="113"/>
        <v>0</v>
      </c>
      <c r="AC1180">
        <f>IF(I1180="",0,L1180*IFERROR(INDEX(کاتالوگ_محصولات!$G$4:$G$303,MATCH(I1180,کاتالوگ_محصولات!$A$4:$A$303,0)),0))</f>
        <v>0</v>
      </c>
      <c r="AD1180">
        <f t="shared" si="116"/>
        <v>0</v>
      </c>
      <c r="AE1180" t="str">
        <f t="shared" si="117"/>
        <v/>
      </c>
    </row>
    <row r="1181" spans="22:31" ht="18" customHeight="1">
      <c r="V1181">
        <f>IF(A1181="",0,IF(COUNTIF($A$3:A1181,A1181)=1,1,0))</f>
        <v>0</v>
      </c>
      <c r="W1181">
        <f t="shared" si="114"/>
        <v>0</v>
      </c>
      <c r="X1181" t="str">
        <f t="shared" si="115"/>
        <v/>
      </c>
      <c r="Y1181">
        <f>IF(X1181="",0,IF(COUNTIF($X$3:X1181,X1181)=1,1,0))</f>
        <v>0</v>
      </c>
      <c r="Z1181">
        <f>IF(V1181&lt;&gt;1,0,IF(X1181="",0,IF(COUNTIF($X$3:X1180,X1181)&gt;0,1,0)))</f>
        <v>0</v>
      </c>
      <c r="AA1181">
        <f t="shared" si="112"/>
        <v>0</v>
      </c>
      <c r="AB1181">
        <f t="shared" si="113"/>
        <v>0</v>
      </c>
      <c r="AC1181">
        <f>IF(I1181="",0,L1181*IFERROR(INDEX(کاتالوگ_محصولات!$G$4:$G$303,MATCH(I1181,کاتالوگ_محصولات!$A$4:$A$303,0)),0))</f>
        <v>0</v>
      </c>
      <c r="AD1181">
        <f t="shared" si="116"/>
        <v>0</v>
      </c>
      <c r="AE1181" t="str">
        <f t="shared" si="117"/>
        <v/>
      </c>
    </row>
    <row r="1182" spans="22:31" ht="18" customHeight="1">
      <c r="V1182">
        <f>IF(A1182="",0,IF(COUNTIF($A$3:A1182,A1182)=1,1,0))</f>
        <v>0</v>
      </c>
      <c r="W1182">
        <f t="shared" si="114"/>
        <v>0</v>
      </c>
      <c r="X1182" t="str">
        <f t="shared" si="115"/>
        <v/>
      </c>
      <c r="Y1182">
        <f>IF(X1182="",0,IF(COUNTIF($X$3:X1182,X1182)=1,1,0))</f>
        <v>0</v>
      </c>
      <c r="Z1182">
        <f>IF(V1182&lt;&gt;1,0,IF(X1182="",0,IF(COUNTIF($X$3:X1181,X1182)&gt;0,1,0)))</f>
        <v>0</v>
      </c>
      <c r="AA1182">
        <f t="shared" si="112"/>
        <v>0</v>
      </c>
      <c r="AB1182">
        <f t="shared" si="113"/>
        <v>0</v>
      </c>
      <c r="AC1182">
        <f>IF(I1182="",0,L1182*IFERROR(INDEX(کاتالوگ_محصولات!$G$4:$G$303,MATCH(I1182,کاتالوگ_محصولات!$A$4:$A$303,0)),0))</f>
        <v>0</v>
      </c>
      <c r="AD1182">
        <f t="shared" si="116"/>
        <v>0</v>
      </c>
      <c r="AE1182" t="str">
        <f t="shared" si="117"/>
        <v/>
      </c>
    </row>
    <row r="1183" spans="22:31" ht="18" customHeight="1">
      <c r="V1183">
        <f>IF(A1183="",0,IF(COUNTIF($A$3:A1183,A1183)=1,1,0))</f>
        <v>0</v>
      </c>
      <c r="W1183">
        <f t="shared" si="114"/>
        <v>0</v>
      </c>
      <c r="X1183" t="str">
        <f t="shared" si="115"/>
        <v/>
      </c>
      <c r="Y1183">
        <f>IF(X1183="",0,IF(COUNTIF($X$3:X1183,X1183)=1,1,0))</f>
        <v>0</v>
      </c>
      <c r="Z1183">
        <f>IF(V1183&lt;&gt;1,0,IF(X1183="",0,IF(COUNTIF($X$3:X1182,X1183)&gt;0,1,0)))</f>
        <v>0</v>
      </c>
      <c r="AA1183">
        <f t="shared" si="112"/>
        <v>0</v>
      </c>
      <c r="AB1183">
        <f t="shared" si="113"/>
        <v>0</v>
      </c>
      <c r="AC1183">
        <f>IF(I1183="",0,L1183*IFERROR(INDEX(کاتالوگ_محصولات!$G$4:$G$303,MATCH(I1183,کاتالوگ_محصولات!$A$4:$A$303,0)),0))</f>
        <v>0</v>
      </c>
      <c r="AD1183">
        <f t="shared" si="116"/>
        <v>0</v>
      </c>
      <c r="AE1183" t="str">
        <f t="shared" si="117"/>
        <v/>
      </c>
    </row>
    <row r="1184" spans="22:31" ht="18" customHeight="1">
      <c r="V1184">
        <f>IF(A1184="",0,IF(COUNTIF($A$3:A1184,A1184)=1,1,0))</f>
        <v>0</v>
      </c>
      <c r="W1184">
        <f t="shared" si="114"/>
        <v>0</v>
      </c>
      <c r="X1184" t="str">
        <f t="shared" si="115"/>
        <v/>
      </c>
      <c r="Y1184">
        <f>IF(X1184="",0,IF(COUNTIF($X$3:X1184,X1184)=1,1,0))</f>
        <v>0</v>
      </c>
      <c r="Z1184">
        <f>IF(V1184&lt;&gt;1,0,IF(X1184="",0,IF(COUNTIF($X$3:X1183,X1184)&gt;0,1,0)))</f>
        <v>0</v>
      </c>
      <c r="AA1184">
        <f t="shared" si="112"/>
        <v>0</v>
      </c>
      <c r="AB1184">
        <f t="shared" si="113"/>
        <v>0</v>
      </c>
      <c r="AC1184">
        <f>IF(I1184="",0,L1184*IFERROR(INDEX(کاتالوگ_محصولات!$G$4:$G$303,MATCH(I1184,کاتالوگ_محصولات!$A$4:$A$303,0)),0))</f>
        <v>0</v>
      </c>
      <c r="AD1184">
        <f t="shared" si="116"/>
        <v>0</v>
      </c>
      <c r="AE1184" t="str">
        <f t="shared" si="117"/>
        <v/>
      </c>
    </row>
    <row r="1185" spans="22:31" ht="18" customHeight="1">
      <c r="V1185">
        <f>IF(A1185="",0,IF(COUNTIF($A$3:A1185,A1185)=1,1,0))</f>
        <v>0</v>
      </c>
      <c r="W1185">
        <f t="shared" si="114"/>
        <v>0</v>
      </c>
      <c r="X1185" t="str">
        <f t="shared" si="115"/>
        <v/>
      </c>
      <c r="Y1185">
        <f>IF(X1185="",0,IF(COUNTIF($X$3:X1185,X1185)=1,1,0))</f>
        <v>0</v>
      </c>
      <c r="Z1185">
        <f>IF(V1185&lt;&gt;1,0,IF(X1185="",0,IF(COUNTIF($X$3:X1184,X1185)&gt;0,1,0)))</f>
        <v>0</v>
      </c>
      <c r="AA1185">
        <f t="shared" si="112"/>
        <v>0</v>
      </c>
      <c r="AB1185">
        <f t="shared" si="113"/>
        <v>0</v>
      </c>
      <c r="AC1185">
        <f>IF(I1185="",0,L1185*IFERROR(INDEX(کاتالوگ_محصولات!$G$4:$G$303,MATCH(I1185,کاتالوگ_محصولات!$A$4:$A$303,0)),0))</f>
        <v>0</v>
      </c>
      <c r="AD1185">
        <f t="shared" si="116"/>
        <v>0</v>
      </c>
      <c r="AE1185" t="str">
        <f t="shared" si="117"/>
        <v/>
      </c>
    </row>
    <row r="1186" spans="22:31" ht="18" customHeight="1">
      <c r="V1186">
        <f>IF(A1186="",0,IF(COUNTIF($A$3:A1186,A1186)=1,1,0))</f>
        <v>0</v>
      </c>
      <c r="W1186">
        <f t="shared" si="114"/>
        <v>0</v>
      </c>
      <c r="X1186" t="str">
        <f t="shared" si="115"/>
        <v/>
      </c>
      <c r="Y1186">
        <f>IF(X1186="",0,IF(COUNTIF($X$3:X1186,X1186)=1,1,0))</f>
        <v>0</v>
      </c>
      <c r="Z1186">
        <f>IF(V1186&lt;&gt;1,0,IF(X1186="",0,IF(COUNTIF($X$3:X1185,X1186)&gt;0,1,0)))</f>
        <v>0</v>
      </c>
      <c r="AA1186">
        <f t="shared" si="112"/>
        <v>0</v>
      </c>
      <c r="AB1186">
        <f t="shared" si="113"/>
        <v>0</v>
      </c>
      <c r="AC1186">
        <f>IF(I1186="",0,L1186*IFERROR(INDEX(کاتالوگ_محصولات!$G$4:$G$303,MATCH(I1186,کاتالوگ_محصولات!$A$4:$A$303,0)),0))</f>
        <v>0</v>
      </c>
      <c r="AD1186">
        <f t="shared" si="116"/>
        <v>0</v>
      </c>
      <c r="AE1186" t="str">
        <f t="shared" si="117"/>
        <v/>
      </c>
    </row>
    <row r="1187" spans="22:31" ht="18" customHeight="1">
      <c r="V1187">
        <f>IF(A1187="",0,IF(COUNTIF($A$3:A1187,A1187)=1,1,0))</f>
        <v>0</v>
      </c>
      <c r="W1187">
        <f t="shared" si="114"/>
        <v>0</v>
      </c>
      <c r="X1187" t="str">
        <f t="shared" si="115"/>
        <v/>
      </c>
      <c r="Y1187">
        <f>IF(X1187="",0,IF(COUNTIF($X$3:X1187,X1187)=1,1,0))</f>
        <v>0</v>
      </c>
      <c r="Z1187">
        <f>IF(V1187&lt;&gt;1,0,IF(X1187="",0,IF(COUNTIF($X$3:X1186,X1187)&gt;0,1,0)))</f>
        <v>0</v>
      </c>
      <c r="AA1187">
        <f t="shared" si="112"/>
        <v>0</v>
      </c>
      <c r="AB1187">
        <f t="shared" si="113"/>
        <v>0</v>
      </c>
      <c r="AC1187">
        <f>IF(I1187="",0,L1187*IFERROR(INDEX(کاتالوگ_محصولات!$G$4:$G$303,MATCH(I1187,کاتالوگ_محصولات!$A$4:$A$303,0)),0))</f>
        <v>0</v>
      </c>
      <c r="AD1187">
        <f t="shared" si="116"/>
        <v>0</v>
      </c>
      <c r="AE1187" t="str">
        <f t="shared" si="117"/>
        <v/>
      </c>
    </row>
    <row r="1188" spans="22:31" ht="18" customHeight="1">
      <c r="V1188">
        <f>IF(A1188="",0,IF(COUNTIF($A$3:A1188,A1188)=1,1,0))</f>
        <v>0</v>
      </c>
      <c r="W1188">
        <f t="shared" si="114"/>
        <v>0</v>
      </c>
      <c r="X1188" t="str">
        <f t="shared" si="115"/>
        <v/>
      </c>
      <c r="Y1188">
        <f>IF(X1188="",0,IF(COUNTIF($X$3:X1188,X1188)=1,1,0))</f>
        <v>0</v>
      </c>
      <c r="Z1188">
        <f>IF(V1188&lt;&gt;1,0,IF(X1188="",0,IF(COUNTIF($X$3:X1187,X1188)&gt;0,1,0)))</f>
        <v>0</v>
      </c>
      <c r="AA1188">
        <f t="shared" si="112"/>
        <v>0</v>
      </c>
      <c r="AB1188">
        <f t="shared" si="113"/>
        <v>0</v>
      </c>
      <c r="AC1188">
        <f>IF(I1188="",0,L1188*IFERROR(INDEX(کاتالوگ_محصولات!$G$4:$G$303,MATCH(I1188,کاتالوگ_محصولات!$A$4:$A$303,0)),0))</f>
        <v>0</v>
      </c>
      <c r="AD1188">
        <f t="shared" si="116"/>
        <v>0</v>
      </c>
      <c r="AE1188" t="str">
        <f t="shared" si="117"/>
        <v/>
      </c>
    </row>
    <row r="1189" spans="22:31" ht="18" customHeight="1">
      <c r="V1189">
        <f>IF(A1189="",0,IF(COUNTIF($A$3:A1189,A1189)=1,1,0))</f>
        <v>0</v>
      </c>
      <c r="W1189">
        <f t="shared" si="114"/>
        <v>0</v>
      </c>
      <c r="X1189" t="str">
        <f t="shared" si="115"/>
        <v/>
      </c>
      <c r="Y1189">
        <f>IF(X1189="",0,IF(COUNTIF($X$3:X1189,X1189)=1,1,0))</f>
        <v>0</v>
      </c>
      <c r="Z1189">
        <f>IF(V1189&lt;&gt;1,0,IF(X1189="",0,IF(COUNTIF($X$3:X1188,X1189)&gt;0,1,0)))</f>
        <v>0</v>
      </c>
      <c r="AA1189">
        <f t="shared" si="112"/>
        <v>0</v>
      </c>
      <c r="AB1189">
        <f t="shared" si="113"/>
        <v>0</v>
      </c>
      <c r="AC1189">
        <f>IF(I1189="",0,L1189*IFERROR(INDEX(کاتالوگ_محصولات!$G$4:$G$303,MATCH(I1189,کاتالوگ_محصولات!$A$4:$A$303,0)),0))</f>
        <v>0</v>
      </c>
      <c r="AD1189">
        <f t="shared" si="116"/>
        <v>0</v>
      </c>
      <c r="AE1189" t="str">
        <f t="shared" si="117"/>
        <v/>
      </c>
    </row>
    <row r="1190" spans="22:31" ht="18" customHeight="1">
      <c r="V1190">
        <f>IF(A1190="",0,IF(COUNTIF($A$3:A1190,A1190)=1,1,0))</f>
        <v>0</v>
      </c>
      <c r="W1190">
        <f t="shared" si="114"/>
        <v>0</v>
      </c>
      <c r="X1190" t="str">
        <f t="shared" si="115"/>
        <v/>
      </c>
      <c r="Y1190">
        <f>IF(X1190="",0,IF(COUNTIF($X$3:X1190,X1190)=1,1,0))</f>
        <v>0</v>
      </c>
      <c r="Z1190">
        <f>IF(V1190&lt;&gt;1,0,IF(X1190="",0,IF(COUNTIF($X$3:X1189,X1190)&gt;0,1,0)))</f>
        <v>0</v>
      </c>
      <c r="AA1190">
        <f t="shared" si="112"/>
        <v>0</v>
      </c>
      <c r="AB1190">
        <f t="shared" si="113"/>
        <v>0</v>
      </c>
      <c r="AC1190">
        <f>IF(I1190="",0,L1190*IFERROR(INDEX(کاتالوگ_محصولات!$G$4:$G$303,MATCH(I1190,کاتالوگ_محصولات!$A$4:$A$303,0)),0))</f>
        <v>0</v>
      </c>
      <c r="AD1190">
        <f t="shared" si="116"/>
        <v>0</v>
      </c>
      <c r="AE1190" t="str">
        <f t="shared" si="117"/>
        <v/>
      </c>
    </row>
    <row r="1191" spans="22:31" ht="18" customHeight="1">
      <c r="V1191">
        <f>IF(A1191="",0,IF(COUNTIF($A$3:A1191,A1191)=1,1,0))</f>
        <v>0</v>
      </c>
      <c r="W1191">
        <f t="shared" si="114"/>
        <v>0</v>
      </c>
      <c r="X1191" t="str">
        <f t="shared" si="115"/>
        <v/>
      </c>
      <c r="Y1191">
        <f>IF(X1191="",0,IF(COUNTIF($X$3:X1191,X1191)=1,1,0))</f>
        <v>0</v>
      </c>
      <c r="Z1191">
        <f>IF(V1191&lt;&gt;1,0,IF(X1191="",0,IF(COUNTIF($X$3:X1190,X1191)&gt;0,1,0)))</f>
        <v>0</v>
      </c>
      <c r="AA1191">
        <f t="shared" si="112"/>
        <v>0</v>
      </c>
      <c r="AB1191">
        <f t="shared" si="113"/>
        <v>0</v>
      </c>
      <c r="AC1191">
        <f>IF(I1191="",0,L1191*IFERROR(INDEX(کاتالوگ_محصولات!$G$4:$G$303,MATCH(I1191,کاتالوگ_محصولات!$A$4:$A$303,0)),0))</f>
        <v>0</v>
      </c>
      <c r="AD1191">
        <f t="shared" si="116"/>
        <v>0</v>
      </c>
      <c r="AE1191" t="str">
        <f t="shared" si="117"/>
        <v/>
      </c>
    </row>
    <row r="1192" spans="22:31" ht="18" customHeight="1">
      <c r="V1192">
        <f>IF(A1192="",0,IF(COUNTIF($A$3:A1192,A1192)=1,1,0))</f>
        <v>0</v>
      </c>
      <c r="W1192">
        <f t="shared" si="114"/>
        <v>0</v>
      </c>
      <c r="X1192" t="str">
        <f t="shared" si="115"/>
        <v/>
      </c>
      <c r="Y1192">
        <f>IF(X1192="",0,IF(COUNTIF($X$3:X1192,X1192)=1,1,0))</f>
        <v>0</v>
      </c>
      <c r="Z1192">
        <f>IF(V1192&lt;&gt;1,0,IF(X1192="",0,IF(COUNTIF($X$3:X1191,X1192)&gt;0,1,0)))</f>
        <v>0</v>
      </c>
      <c r="AA1192">
        <f t="shared" si="112"/>
        <v>0</v>
      </c>
      <c r="AB1192">
        <f t="shared" si="113"/>
        <v>0</v>
      </c>
      <c r="AC1192">
        <f>IF(I1192="",0,L1192*IFERROR(INDEX(کاتالوگ_محصولات!$G$4:$G$303,MATCH(I1192,کاتالوگ_محصولات!$A$4:$A$303,0)),0))</f>
        <v>0</v>
      </c>
      <c r="AD1192">
        <f t="shared" si="116"/>
        <v>0</v>
      </c>
      <c r="AE1192" t="str">
        <f t="shared" si="117"/>
        <v/>
      </c>
    </row>
    <row r="1193" spans="22:31" ht="18" customHeight="1">
      <c r="V1193">
        <f>IF(A1193="",0,IF(COUNTIF($A$3:A1193,A1193)=1,1,0))</f>
        <v>0</v>
      </c>
      <c r="W1193">
        <f t="shared" si="114"/>
        <v>0</v>
      </c>
      <c r="X1193" t="str">
        <f t="shared" si="115"/>
        <v/>
      </c>
      <c r="Y1193">
        <f>IF(X1193="",0,IF(COUNTIF($X$3:X1193,X1193)=1,1,0))</f>
        <v>0</v>
      </c>
      <c r="Z1193">
        <f>IF(V1193&lt;&gt;1,0,IF(X1193="",0,IF(COUNTIF($X$3:X1192,X1193)&gt;0,1,0)))</f>
        <v>0</v>
      </c>
      <c r="AA1193">
        <f t="shared" si="112"/>
        <v>0</v>
      </c>
      <c r="AB1193">
        <f t="shared" si="113"/>
        <v>0</v>
      </c>
      <c r="AC1193">
        <f>IF(I1193="",0,L1193*IFERROR(INDEX(کاتالوگ_محصولات!$G$4:$G$303,MATCH(I1193,کاتالوگ_محصولات!$A$4:$A$303,0)),0))</f>
        <v>0</v>
      </c>
      <c r="AD1193">
        <f t="shared" si="116"/>
        <v>0</v>
      </c>
      <c r="AE1193" t="str">
        <f t="shared" si="117"/>
        <v/>
      </c>
    </row>
    <row r="1194" spans="22:31" ht="18" customHeight="1">
      <c r="V1194">
        <f>IF(A1194="",0,IF(COUNTIF($A$3:A1194,A1194)=1,1,0))</f>
        <v>0</v>
      </c>
      <c r="W1194">
        <f t="shared" si="114"/>
        <v>0</v>
      </c>
      <c r="X1194" t="str">
        <f t="shared" si="115"/>
        <v/>
      </c>
      <c r="Y1194">
        <f>IF(X1194="",0,IF(COUNTIF($X$3:X1194,X1194)=1,1,0))</f>
        <v>0</v>
      </c>
      <c r="Z1194">
        <f>IF(V1194&lt;&gt;1,0,IF(X1194="",0,IF(COUNTIF($X$3:X1193,X1194)&gt;0,1,0)))</f>
        <v>0</v>
      </c>
      <c r="AA1194">
        <f t="shared" si="112"/>
        <v>0</v>
      </c>
      <c r="AB1194">
        <f t="shared" si="113"/>
        <v>0</v>
      </c>
      <c r="AC1194">
        <f>IF(I1194="",0,L1194*IFERROR(INDEX(کاتالوگ_محصولات!$G$4:$G$303,MATCH(I1194,کاتالوگ_محصولات!$A$4:$A$303,0)),0))</f>
        <v>0</v>
      </c>
      <c r="AD1194">
        <f t="shared" si="116"/>
        <v>0</v>
      </c>
      <c r="AE1194" t="str">
        <f t="shared" si="117"/>
        <v/>
      </c>
    </row>
    <row r="1195" spans="22:31" ht="18" customHeight="1">
      <c r="V1195">
        <f>IF(A1195="",0,IF(COUNTIF($A$3:A1195,A1195)=1,1,0))</f>
        <v>0</v>
      </c>
      <c r="W1195">
        <f t="shared" si="114"/>
        <v>0</v>
      </c>
      <c r="X1195" t="str">
        <f t="shared" si="115"/>
        <v/>
      </c>
      <c r="Y1195">
        <f>IF(X1195="",0,IF(COUNTIF($X$3:X1195,X1195)=1,1,0))</f>
        <v>0</v>
      </c>
      <c r="Z1195">
        <f>IF(V1195&lt;&gt;1,0,IF(X1195="",0,IF(COUNTIF($X$3:X1194,X1195)&gt;0,1,0)))</f>
        <v>0</v>
      </c>
      <c r="AA1195">
        <f t="shared" si="112"/>
        <v>0</v>
      </c>
      <c r="AB1195">
        <f t="shared" si="113"/>
        <v>0</v>
      </c>
      <c r="AC1195">
        <f>IF(I1195="",0,L1195*IFERROR(INDEX(کاتالوگ_محصولات!$G$4:$G$303,MATCH(I1195,کاتالوگ_محصولات!$A$4:$A$303,0)),0))</f>
        <v>0</v>
      </c>
      <c r="AD1195">
        <f t="shared" si="116"/>
        <v>0</v>
      </c>
      <c r="AE1195" t="str">
        <f t="shared" si="117"/>
        <v/>
      </c>
    </row>
    <row r="1196" spans="22:31" ht="18" customHeight="1">
      <c r="V1196">
        <f>IF(A1196="",0,IF(COUNTIF($A$3:A1196,A1196)=1,1,0))</f>
        <v>0</v>
      </c>
      <c r="W1196">
        <f t="shared" si="114"/>
        <v>0</v>
      </c>
      <c r="X1196" t="str">
        <f t="shared" si="115"/>
        <v/>
      </c>
      <c r="Y1196">
        <f>IF(X1196="",0,IF(COUNTIF($X$3:X1196,X1196)=1,1,0))</f>
        <v>0</v>
      </c>
      <c r="Z1196">
        <f>IF(V1196&lt;&gt;1,0,IF(X1196="",0,IF(COUNTIF($X$3:X1195,X1196)&gt;0,1,0)))</f>
        <v>0</v>
      </c>
      <c r="AA1196">
        <f t="shared" si="112"/>
        <v>0</v>
      </c>
      <c r="AB1196">
        <f t="shared" si="113"/>
        <v>0</v>
      </c>
      <c r="AC1196">
        <f>IF(I1196="",0,L1196*IFERROR(INDEX(کاتالوگ_محصولات!$G$4:$G$303,MATCH(I1196,کاتالوگ_محصولات!$A$4:$A$303,0)),0))</f>
        <v>0</v>
      </c>
      <c r="AD1196">
        <f t="shared" si="116"/>
        <v>0</v>
      </c>
      <c r="AE1196" t="str">
        <f t="shared" si="117"/>
        <v/>
      </c>
    </row>
    <row r="1197" spans="22:31" ht="18" customHeight="1">
      <c r="V1197">
        <f>IF(A1197="",0,IF(COUNTIF($A$3:A1197,A1197)=1,1,0))</f>
        <v>0</v>
      </c>
      <c r="W1197">
        <f t="shared" si="114"/>
        <v>0</v>
      </c>
      <c r="X1197" t="str">
        <f t="shared" si="115"/>
        <v/>
      </c>
      <c r="Y1197">
        <f>IF(X1197="",0,IF(COUNTIF($X$3:X1197,X1197)=1,1,0))</f>
        <v>0</v>
      </c>
      <c r="Z1197">
        <f>IF(V1197&lt;&gt;1,0,IF(X1197="",0,IF(COUNTIF($X$3:X1196,X1197)&gt;0,1,0)))</f>
        <v>0</v>
      </c>
      <c r="AA1197">
        <f t="shared" si="112"/>
        <v>0</v>
      </c>
      <c r="AB1197">
        <f t="shared" si="113"/>
        <v>0</v>
      </c>
      <c r="AC1197">
        <f>IF(I1197="",0,L1197*IFERROR(INDEX(کاتالوگ_محصولات!$G$4:$G$303,MATCH(I1197,کاتالوگ_محصولات!$A$4:$A$303,0)),0))</f>
        <v>0</v>
      </c>
      <c r="AD1197">
        <f t="shared" si="116"/>
        <v>0</v>
      </c>
      <c r="AE1197" t="str">
        <f t="shared" si="117"/>
        <v/>
      </c>
    </row>
    <row r="1198" spans="22:31" ht="18" customHeight="1">
      <c r="V1198">
        <f>IF(A1198="",0,IF(COUNTIF($A$3:A1198,A1198)=1,1,0))</f>
        <v>0</v>
      </c>
      <c r="W1198">
        <f t="shared" si="114"/>
        <v>0</v>
      </c>
      <c r="X1198" t="str">
        <f t="shared" si="115"/>
        <v/>
      </c>
      <c r="Y1198">
        <f>IF(X1198="",0,IF(COUNTIF($X$3:X1198,X1198)=1,1,0))</f>
        <v>0</v>
      </c>
      <c r="Z1198">
        <f>IF(V1198&lt;&gt;1,0,IF(X1198="",0,IF(COUNTIF($X$3:X1197,X1198)&gt;0,1,0)))</f>
        <v>0</v>
      </c>
      <c r="AA1198">
        <f t="shared" si="112"/>
        <v>0</v>
      </c>
      <c r="AB1198">
        <f t="shared" si="113"/>
        <v>0</v>
      </c>
      <c r="AC1198">
        <f>IF(I1198="",0,L1198*IFERROR(INDEX(کاتالوگ_محصولات!$G$4:$G$303,MATCH(I1198,کاتالوگ_محصولات!$A$4:$A$303,0)),0))</f>
        <v>0</v>
      </c>
      <c r="AD1198">
        <f t="shared" si="116"/>
        <v>0</v>
      </c>
      <c r="AE1198" t="str">
        <f t="shared" si="117"/>
        <v/>
      </c>
    </row>
    <row r="1199" spans="22:31" ht="18" customHeight="1">
      <c r="V1199">
        <f>IF(A1199="",0,IF(COUNTIF($A$3:A1199,A1199)=1,1,0))</f>
        <v>0</v>
      </c>
      <c r="W1199">
        <f t="shared" si="114"/>
        <v>0</v>
      </c>
      <c r="X1199" t="str">
        <f t="shared" si="115"/>
        <v/>
      </c>
      <c r="Y1199">
        <f>IF(X1199="",0,IF(COUNTIF($X$3:X1199,X1199)=1,1,0))</f>
        <v>0</v>
      </c>
      <c r="Z1199">
        <f>IF(V1199&lt;&gt;1,0,IF(X1199="",0,IF(COUNTIF($X$3:X1198,X1199)&gt;0,1,0)))</f>
        <v>0</v>
      </c>
      <c r="AA1199">
        <f t="shared" si="112"/>
        <v>0</v>
      </c>
      <c r="AB1199">
        <f t="shared" si="113"/>
        <v>0</v>
      </c>
      <c r="AC1199">
        <f>IF(I1199="",0,L1199*IFERROR(INDEX(کاتالوگ_محصولات!$G$4:$G$303,MATCH(I1199,کاتالوگ_محصولات!$A$4:$A$303,0)),0))</f>
        <v>0</v>
      </c>
      <c r="AD1199">
        <f t="shared" si="116"/>
        <v>0</v>
      </c>
      <c r="AE1199" t="str">
        <f t="shared" si="117"/>
        <v/>
      </c>
    </row>
    <row r="1200" spans="22:31" ht="18" customHeight="1">
      <c r="V1200">
        <f>IF(A1200="",0,IF(COUNTIF($A$3:A1200,A1200)=1,1,0))</f>
        <v>0</v>
      </c>
      <c r="W1200">
        <f t="shared" si="114"/>
        <v>0</v>
      </c>
      <c r="X1200" t="str">
        <f t="shared" si="115"/>
        <v/>
      </c>
      <c r="Y1200">
        <f>IF(X1200="",0,IF(COUNTIF($X$3:X1200,X1200)=1,1,0))</f>
        <v>0</v>
      </c>
      <c r="Z1200">
        <f>IF(V1200&lt;&gt;1,0,IF(X1200="",0,IF(COUNTIF($X$3:X1199,X1200)&gt;0,1,0)))</f>
        <v>0</v>
      </c>
      <c r="AA1200">
        <f t="shared" si="112"/>
        <v>0</v>
      </c>
      <c r="AB1200">
        <f t="shared" si="113"/>
        <v>0</v>
      </c>
      <c r="AC1200">
        <f>IF(I1200="",0,L1200*IFERROR(INDEX(کاتالوگ_محصولات!$G$4:$G$303,MATCH(I1200,کاتالوگ_محصولات!$A$4:$A$303,0)),0))</f>
        <v>0</v>
      </c>
      <c r="AD1200">
        <f t="shared" si="116"/>
        <v>0</v>
      </c>
      <c r="AE1200" t="str">
        <f t="shared" si="117"/>
        <v/>
      </c>
    </row>
    <row r="1201" spans="22:31" ht="18" customHeight="1">
      <c r="V1201">
        <f>IF(A1201="",0,IF(COUNTIF($A$3:A1201,A1201)=1,1,0))</f>
        <v>0</v>
      </c>
      <c r="W1201">
        <f t="shared" si="114"/>
        <v>0</v>
      </c>
      <c r="X1201" t="str">
        <f t="shared" si="115"/>
        <v/>
      </c>
      <c r="Y1201">
        <f>IF(X1201="",0,IF(COUNTIF($X$3:X1201,X1201)=1,1,0))</f>
        <v>0</v>
      </c>
      <c r="Z1201">
        <f>IF(V1201&lt;&gt;1,0,IF(X1201="",0,IF(COUNTIF($X$3:X1200,X1201)&gt;0,1,0)))</f>
        <v>0</v>
      </c>
      <c r="AA1201">
        <f t="shared" si="112"/>
        <v>0</v>
      </c>
      <c r="AB1201">
        <f t="shared" si="113"/>
        <v>0</v>
      </c>
      <c r="AC1201">
        <f>IF(I1201="",0,L1201*IFERROR(INDEX(کاتالوگ_محصولات!$G$4:$G$303,MATCH(I1201,کاتالوگ_محصولات!$A$4:$A$303,0)),0))</f>
        <v>0</v>
      </c>
      <c r="AD1201">
        <f t="shared" si="116"/>
        <v>0</v>
      </c>
      <c r="AE1201" t="str">
        <f t="shared" si="117"/>
        <v/>
      </c>
    </row>
    <row r="1202" spans="22:31" ht="18" customHeight="1">
      <c r="V1202">
        <f>IF(A1202="",0,IF(COUNTIF($A$3:A1202,A1202)=1,1,0))</f>
        <v>0</v>
      </c>
      <c r="W1202">
        <f t="shared" si="114"/>
        <v>0</v>
      </c>
      <c r="X1202" t="str">
        <f t="shared" si="115"/>
        <v/>
      </c>
      <c r="Y1202">
        <f>IF(X1202="",0,IF(COUNTIF($X$3:X1202,X1202)=1,1,0))</f>
        <v>0</v>
      </c>
      <c r="Z1202">
        <f>IF(V1202&lt;&gt;1,0,IF(X1202="",0,IF(COUNTIF($X$3:X1201,X1202)&gt;0,1,0)))</f>
        <v>0</v>
      </c>
      <c r="AA1202">
        <f t="shared" si="112"/>
        <v>0</v>
      </c>
      <c r="AB1202">
        <f t="shared" si="113"/>
        <v>0</v>
      </c>
      <c r="AC1202">
        <f>IF(I1202="",0,L1202*IFERROR(INDEX(کاتالوگ_محصولات!$G$4:$G$303,MATCH(I1202,کاتالوگ_محصولات!$A$4:$A$303,0)),0))</f>
        <v>0</v>
      </c>
      <c r="AD1202">
        <f t="shared" si="116"/>
        <v>0</v>
      </c>
      <c r="AE1202" t="str">
        <f t="shared" si="117"/>
        <v/>
      </c>
    </row>
    <row r="1203" spans="22:31" ht="18" customHeight="1">
      <c r="V1203">
        <f>IF(A1203="",0,IF(COUNTIF($A$3:A1203,A1203)=1,1,0))</f>
        <v>0</v>
      </c>
      <c r="W1203">
        <f t="shared" si="114"/>
        <v>0</v>
      </c>
      <c r="X1203" t="str">
        <f t="shared" si="115"/>
        <v/>
      </c>
      <c r="Y1203">
        <f>IF(X1203="",0,IF(COUNTIF($X$3:X1203,X1203)=1,1,0))</f>
        <v>0</v>
      </c>
      <c r="Z1203">
        <f>IF(V1203&lt;&gt;1,0,IF(X1203="",0,IF(COUNTIF($X$3:X1202,X1203)&gt;0,1,0)))</f>
        <v>0</v>
      </c>
      <c r="AA1203">
        <f t="shared" si="112"/>
        <v>0</v>
      </c>
      <c r="AB1203">
        <f t="shared" si="113"/>
        <v>0</v>
      </c>
      <c r="AC1203">
        <f>IF(I1203="",0,L1203*IFERROR(INDEX(کاتالوگ_محصولات!$G$4:$G$303,MATCH(I1203,کاتالوگ_محصولات!$A$4:$A$303,0)),0))</f>
        <v>0</v>
      </c>
      <c r="AD1203">
        <f t="shared" si="116"/>
        <v>0</v>
      </c>
      <c r="AE1203" t="str">
        <f t="shared" si="117"/>
        <v/>
      </c>
    </row>
    <row r="1204" spans="22:31" ht="18" customHeight="1">
      <c r="V1204">
        <f>IF(A1204="",0,IF(COUNTIF($A$3:A1204,A1204)=1,1,0))</f>
        <v>0</v>
      </c>
      <c r="W1204">
        <f t="shared" si="114"/>
        <v>0</v>
      </c>
      <c r="X1204" t="str">
        <f t="shared" si="115"/>
        <v/>
      </c>
      <c r="Y1204">
        <f>IF(X1204="",0,IF(COUNTIF($X$3:X1204,X1204)=1,1,0))</f>
        <v>0</v>
      </c>
      <c r="Z1204">
        <f>IF(V1204&lt;&gt;1,0,IF(X1204="",0,IF(COUNTIF($X$3:X1203,X1204)&gt;0,1,0)))</f>
        <v>0</v>
      </c>
      <c r="AA1204">
        <f t="shared" si="112"/>
        <v>0</v>
      </c>
      <c r="AB1204">
        <f t="shared" si="113"/>
        <v>0</v>
      </c>
      <c r="AC1204">
        <f>IF(I1204="",0,L1204*IFERROR(INDEX(کاتالوگ_محصولات!$G$4:$G$303,MATCH(I1204,کاتالوگ_محصولات!$A$4:$A$303,0)),0))</f>
        <v>0</v>
      </c>
      <c r="AD1204">
        <f t="shared" si="116"/>
        <v>0</v>
      </c>
      <c r="AE1204" t="str">
        <f t="shared" si="117"/>
        <v/>
      </c>
    </row>
    <row r="1205" spans="22:31" ht="18" customHeight="1">
      <c r="V1205">
        <f>IF(A1205="",0,IF(COUNTIF($A$3:A1205,A1205)=1,1,0))</f>
        <v>0</v>
      </c>
      <c r="W1205">
        <f t="shared" si="114"/>
        <v>0</v>
      </c>
      <c r="X1205" t="str">
        <f t="shared" si="115"/>
        <v/>
      </c>
      <c r="Y1205">
        <f>IF(X1205="",0,IF(COUNTIF($X$3:X1205,X1205)=1,1,0))</f>
        <v>0</v>
      </c>
      <c r="Z1205">
        <f>IF(V1205&lt;&gt;1,0,IF(X1205="",0,IF(COUNTIF($X$3:X1204,X1205)&gt;0,1,0)))</f>
        <v>0</v>
      </c>
      <c r="AA1205">
        <f t="shared" si="112"/>
        <v>0</v>
      </c>
      <c r="AB1205">
        <f t="shared" si="113"/>
        <v>0</v>
      </c>
      <c r="AC1205">
        <f>IF(I1205="",0,L1205*IFERROR(INDEX(کاتالوگ_محصولات!$G$4:$G$303,MATCH(I1205,کاتالوگ_محصولات!$A$4:$A$303,0)),0))</f>
        <v>0</v>
      </c>
      <c r="AD1205">
        <f t="shared" si="116"/>
        <v>0</v>
      </c>
      <c r="AE1205" t="str">
        <f t="shared" si="117"/>
        <v/>
      </c>
    </row>
    <row r="1206" spans="22:31" ht="18" customHeight="1">
      <c r="V1206">
        <f>IF(A1206="",0,IF(COUNTIF($A$3:A1206,A1206)=1,1,0))</f>
        <v>0</v>
      </c>
      <c r="W1206">
        <f t="shared" si="114"/>
        <v>0</v>
      </c>
      <c r="X1206" t="str">
        <f t="shared" si="115"/>
        <v/>
      </c>
      <c r="Y1206">
        <f>IF(X1206="",0,IF(COUNTIF($X$3:X1206,X1206)=1,1,0))</f>
        <v>0</v>
      </c>
      <c r="Z1206">
        <f>IF(V1206&lt;&gt;1,0,IF(X1206="",0,IF(COUNTIF($X$3:X1205,X1206)&gt;0,1,0)))</f>
        <v>0</v>
      </c>
      <c r="AA1206">
        <f t="shared" si="112"/>
        <v>0</v>
      </c>
      <c r="AB1206">
        <f t="shared" si="113"/>
        <v>0</v>
      </c>
      <c r="AC1206">
        <f>IF(I1206="",0,L1206*IFERROR(INDEX(کاتالوگ_محصولات!$G$4:$G$303,MATCH(I1206,کاتالوگ_محصولات!$A$4:$A$303,0)),0))</f>
        <v>0</v>
      </c>
      <c r="AD1206">
        <f t="shared" si="116"/>
        <v>0</v>
      </c>
      <c r="AE1206" t="str">
        <f t="shared" si="117"/>
        <v/>
      </c>
    </row>
    <row r="1207" spans="22:31" ht="18" customHeight="1">
      <c r="V1207">
        <f>IF(A1207="",0,IF(COUNTIF($A$3:A1207,A1207)=1,1,0))</f>
        <v>0</v>
      </c>
      <c r="W1207">
        <f t="shared" si="114"/>
        <v>0</v>
      </c>
      <c r="X1207" t="str">
        <f t="shared" si="115"/>
        <v/>
      </c>
      <c r="Y1207">
        <f>IF(X1207="",0,IF(COUNTIF($X$3:X1207,X1207)=1,1,0))</f>
        <v>0</v>
      </c>
      <c r="Z1207">
        <f>IF(V1207&lt;&gt;1,0,IF(X1207="",0,IF(COUNTIF($X$3:X1206,X1207)&gt;0,1,0)))</f>
        <v>0</v>
      </c>
      <c r="AA1207">
        <f t="shared" si="112"/>
        <v>0</v>
      </c>
      <c r="AB1207">
        <f t="shared" si="113"/>
        <v>0</v>
      </c>
      <c r="AC1207">
        <f>IF(I1207="",0,L1207*IFERROR(INDEX(کاتالوگ_محصولات!$G$4:$G$303,MATCH(I1207,کاتالوگ_محصولات!$A$4:$A$303,0)),0))</f>
        <v>0</v>
      </c>
      <c r="AD1207">
        <f t="shared" si="116"/>
        <v>0</v>
      </c>
      <c r="AE1207" t="str">
        <f t="shared" si="117"/>
        <v/>
      </c>
    </row>
    <row r="1208" spans="22:31" ht="18" customHeight="1">
      <c r="V1208">
        <f>IF(A1208="",0,IF(COUNTIF($A$3:A1208,A1208)=1,1,0))</f>
        <v>0</v>
      </c>
      <c r="W1208">
        <f t="shared" si="114"/>
        <v>0</v>
      </c>
      <c r="X1208" t="str">
        <f t="shared" si="115"/>
        <v/>
      </c>
      <c r="Y1208">
        <f>IF(X1208="",0,IF(COUNTIF($X$3:X1208,X1208)=1,1,0))</f>
        <v>0</v>
      </c>
      <c r="Z1208">
        <f>IF(V1208&lt;&gt;1,0,IF(X1208="",0,IF(COUNTIF($X$3:X1207,X1208)&gt;0,1,0)))</f>
        <v>0</v>
      </c>
      <c r="AA1208">
        <f t="shared" si="112"/>
        <v>0</v>
      </c>
      <c r="AB1208">
        <f t="shared" si="113"/>
        <v>0</v>
      </c>
      <c r="AC1208">
        <f>IF(I1208="",0,L1208*IFERROR(INDEX(کاتالوگ_محصولات!$G$4:$G$303,MATCH(I1208,کاتالوگ_محصولات!$A$4:$A$303,0)),0))</f>
        <v>0</v>
      </c>
      <c r="AD1208">
        <f t="shared" si="116"/>
        <v>0</v>
      </c>
      <c r="AE1208" t="str">
        <f t="shared" si="117"/>
        <v/>
      </c>
    </row>
    <row r="1209" spans="22:31" ht="18" customHeight="1">
      <c r="V1209">
        <f>IF(A1209="",0,IF(COUNTIF($A$3:A1209,A1209)=1,1,0))</f>
        <v>0</v>
      </c>
      <c r="W1209">
        <f t="shared" si="114"/>
        <v>0</v>
      </c>
      <c r="X1209" t="str">
        <f t="shared" si="115"/>
        <v/>
      </c>
      <c r="Y1209">
        <f>IF(X1209="",0,IF(COUNTIF($X$3:X1209,X1209)=1,1,0))</f>
        <v>0</v>
      </c>
      <c r="Z1209">
        <f>IF(V1209&lt;&gt;1,0,IF(X1209="",0,IF(COUNTIF($X$3:X1208,X1209)&gt;0,1,0)))</f>
        <v>0</v>
      </c>
      <c r="AA1209">
        <f t="shared" si="112"/>
        <v>0</v>
      </c>
      <c r="AB1209">
        <f t="shared" si="113"/>
        <v>0</v>
      </c>
      <c r="AC1209">
        <f>IF(I1209="",0,L1209*IFERROR(INDEX(کاتالوگ_محصولات!$G$4:$G$303,MATCH(I1209,کاتالوگ_محصولات!$A$4:$A$303,0)),0))</f>
        <v>0</v>
      </c>
      <c r="AD1209">
        <f t="shared" si="116"/>
        <v>0</v>
      </c>
      <c r="AE1209" t="str">
        <f t="shared" si="117"/>
        <v/>
      </c>
    </row>
    <row r="1210" spans="22:31" ht="18" customHeight="1">
      <c r="V1210">
        <f>IF(A1210="",0,IF(COUNTIF($A$3:A1210,A1210)=1,1,0))</f>
        <v>0</v>
      </c>
      <c r="W1210">
        <f t="shared" si="114"/>
        <v>0</v>
      </c>
      <c r="X1210" t="str">
        <f t="shared" si="115"/>
        <v/>
      </c>
      <c r="Y1210">
        <f>IF(X1210="",0,IF(COUNTIF($X$3:X1210,X1210)=1,1,0))</f>
        <v>0</v>
      </c>
      <c r="Z1210">
        <f>IF(V1210&lt;&gt;1,0,IF(X1210="",0,IF(COUNTIF($X$3:X1209,X1210)&gt;0,1,0)))</f>
        <v>0</v>
      </c>
      <c r="AA1210">
        <f t="shared" si="112"/>
        <v>0</v>
      </c>
      <c r="AB1210">
        <f t="shared" si="113"/>
        <v>0</v>
      </c>
      <c r="AC1210">
        <f>IF(I1210="",0,L1210*IFERROR(INDEX(کاتالوگ_محصولات!$G$4:$G$303,MATCH(I1210,کاتالوگ_محصولات!$A$4:$A$303,0)),0))</f>
        <v>0</v>
      </c>
      <c r="AD1210">
        <f t="shared" si="116"/>
        <v>0</v>
      </c>
      <c r="AE1210" t="str">
        <f t="shared" si="117"/>
        <v/>
      </c>
    </row>
    <row r="1211" spans="22:31" ht="18" customHeight="1">
      <c r="V1211">
        <f>IF(A1211="",0,IF(COUNTIF($A$3:A1211,A1211)=1,1,0))</f>
        <v>0</v>
      </c>
      <c r="W1211">
        <f t="shared" si="114"/>
        <v>0</v>
      </c>
      <c r="X1211" t="str">
        <f t="shared" si="115"/>
        <v/>
      </c>
      <c r="Y1211">
        <f>IF(X1211="",0,IF(COUNTIF($X$3:X1211,X1211)=1,1,0))</f>
        <v>0</v>
      </c>
      <c r="Z1211">
        <f>IF(V1211&lt;&gt;1,0,IF(X1211="",0,IF(COUNTIF($X$3:X1210,X1211)&gt;0,1,0)))</f>
        <v>0</v>
      </c>
      <c r="AA1211">
        <f t="shared" si="112"/>
        <v>0</v>
      </c>
      <c r="AB1211">
        <f t="shared" si="113"/>
        <v>0</v>
      </c>
      <c r="AC1211">
        <f>IF(I1211="",0,L1211*IFERROR(INDEX(کاتالوگ_محصولات!$G$4:$G$303,MATCH(I1211,کاتالوگ_محصولات!$A$4:$A$303,0)),0))</f>
        <v>0</v>
      </c>
      <c r="AD1211">
        <f t="shared" si="116"/>
        <v>0</v>
      </c>
      <c r="AE1211" t="str">
        <f t="shared" si="117"/>
        <v/>
      </c>
    </row>
    <row r="1212" spans="22:31" ht="18" customHeight="1">
      <c r="V1212">
        <f>IF(A1212="",0,IF(COUNTIF($A$3:A1212,A1212)=1,1,0))</f>
        <v>0</v>
      </c>
      <c r="W1212">
        <f t="shared" si="114"/>
        <v>0</v>
      </c>
      <c r="X1212" t="str">
        <f t="shared" si="115"/>
        <v/>
      </c>
      <c r="Y1212">
        <f>IF(X1212="",0,IF(COUNTIF($X$3:X1212,X1212)=1,1,0))</f>
        <v>0</v>
      </c>
      <c r="Z1212">
        <f>IF(V1212&lt;&gt;1,0,IF(X1212="",0,IF(COUNTIF($X$3:X1211,X1212)&gt;0,1,0)))</f>
        <v>0</v>
      </c>
      <c r="AA1212">
        <f t="shared" si="112"/>
        <v>0</v>
      </c>
      <c r="AB1212">
        <f t="shared" si="113"/>
        <v>0</v>
      </c>
      <c r="AC1212">
        <f>IF(I1212="",0,L1212*IFERROR(INDEX(کاتالوگ_محصولات!$G$4:$G$303,MATCH(I1212,کاتالوگ_محصولات!$A$4:$A$303,0)),0))</f>
        <v>0</v>
      </c>
      <c r="AD1212">
        <f t="shared" si="116"/>
        <v>0</v>
      </c>
      <c r="AE1212" t="str">
        <f t="shared" si="117"/>
        <v/>
      </c>
    </row>
    <row r="1213" spans="22:31" ht="18" customHeight="1">
      <c r="V1213">
        <f>IF(A1213="",0,IF(COUNTIF($A$3:A1213,A1213)=1,1,0))</f>
        <v>0</v>
      </c>
      <c r="W1213">
        <f t="shared" si="114"/>
        <v>0</v>
      </c>
      <c r="X1213" t="str">
        <f t="shared" si="115"/>
        <v/>
      </c>
      <c r="Y1213">
        <f>IF(X1213="",0,IF(COUNTIF($X$3:X1213,X1213)=1,1,0))</f>
        <v>0</v>
      </c>
      <c r="Z1213">
        <f>IF(V1213&lt;&gt;1,0,IF(X1213="",0,IF(COUNTIF($X$3:X1212,X1213)&gt;0,1,0)))</f>
        <v>0</v>
      </c>
      <c r="AA1213">
        <f t="shared" si="112"/>
        <v>0</v>
      </c>
      <c r="AB1213">
        <f t="shared" si="113"/>
        <v>0</v>
      </c>
      <c r="AC1213">
        <f>IF(I1213="",0,L1213*IFERROR(INDEX(کاتالوگ_محصولات!$G$4:$G$303,MATCH(I1213,کاتالوگ_محصولات!$A$4:$A$303,0)),0))</f>
        <v>0</v>
      </c>
      <c r="AD1213">
        <f t="shared" si="116"/>
        <v>0</v>
      </c>
      <c r="AE1213" t="str">
        <f t="shared" si="117"/>
        <v/>
      </c>
    </row>
    <row r="1214" spans="22:31" ht="18" customHeight="1">
      <c r="V1214">
        <f>IF(A1214="",0,IF(COUNTIF($A$3:A1214,A1214)=1,1,0))</f>
        <v>0</v>
      </c>
      <c r="W1214">
        <f t="shared" si="114"/>
        <v>0</v>
      </c>
      <c r="X1214" t="str">
        <f t="shared" si="115"/>
        <v/>
      </c>
      <c r="Y1214">
        <f>IF(X1214="",0,IF(COUNTIF($X$3:X1214,X1214)=1,1,0))</f>
        <v>0</v>
      </c>
      <c r="Z1214">
        <f>IF(V1214&lt;&gt;1,0,IF(X1214="",0,IF(COUNTIF($X$3:X1213,X1214)&gt;0,1,0)))</f>
        <v>0</v>
      </c>
      <c r="AA1214">
        <f t="shared" si="112"/>
        <v>0</v>
      </c>
      <c r="AB1214">
        <f t="shared" si="113"/>
        <v>0</v>
      </c>
      <c r="AC1214">
        <f>IF(I1214="",0,L1214*IFERROR(INDEX(کاتالوگ_محصولات!$G$4:$G$303,MATCH(I1214,کاتالوگ_محصولات!$A$4:$A$303,0)),0))</f>
        <v>0</v>
      </c>
      <c r="AD1214">
        <f t="shared" si="116"/>
        <v>0</v>
      </c>
      <c r="AE1214" t="str">
        <f t="shared" si="117"/>
        <v/>
      </c>
    </row>
    <row r="1215" spans="22:31" ht="18" customHeight="1">
      <c r="V1215">
        <f>IF(A1215="",0,IF(COUNTIF($A$3:A1215,A1215)=1,1,0))</f>
        <v>0</v>
      </c>
      <c r="W1215">
        <f t="shared" si="114"/>
        <v>0</v>
      </c>
      <c r="X1215" t="str">
        <f t="shared" si="115"/>
        <v/>
      </c>
      <c r="Y1215">
        <f>IF(X1215="",0,IF(COUNTIF($X$3:X1215,X1215)=1,1,0))</f>
        <v>0</v>
      </c>
      <c r="Z1215">
        <f>IF(V1215&lt;&gt;1,0,IF(X1215="",0,IF(COUNTIF($X$3:X1214,X1215)&gt;0,1,0)))</f>
        <v>0</v>
      </c>
      <c r="AA1215">
        <f t="shared" si="112"/>
        <v>0</v>
      </c>
      <c r="AB1215">
        <f t="shared" si="113"/>
        <v>0</v>
      </c>
      <c r="AC1215">
        <f>IF(I1215="",0,L1215*IFERROR(INDEX(کاتالوگ_محصولات!$G$4:$G$303,MATCH(I1215,کاتالوگ_محصولات!$A$4:$A$303,0)),0))</f>
        <v>0</v>
      </c>
      <c r="AD1215">
        <f t="shared" si="116"/>
        <v>0</v>
      </c>
      <c r="AE1215" t="str">
        <f t="shared" si="117"/>
        <v/>
      </c>
    </row>
    <row r="1216" spans="22:31" ht="18" customHeight="1">
      <c r="V1216">
        <f>IF(A1216="",0,IF(COUNTIF($A$3:A1216,A1216)=1,1,0))</f>
        <v>0</v>
      </c>
      <c r="W1216">
        <f t="shared" si="114"/>
        <v>0</v>
      </c>
      <c r="X1216" t="str">
        <f t="shared" si="115"/>
        <v/>
      </c>
      <c r="Y1216">
        <f>IF(X1216="",0,IF(COUNTIF($X$3:X1216,X1216)=1,1,0))</f>
        <v>0</v>
      </c>
      <c r="Z1216">
        <f>IF(V1216&lt;&gt;1,0,IF(X1216="",0,IF(COUNTIF($X$3:X1215,X1216)&gt;0,1,0)))</f>
        <v>0</v>
      </c>
      <c r="AA1216">
        <f t="shared" si="112"/>
        <v>0</v>
      </c>
      <c r="AB1216">
        <f t="shared" si="113"/>
        <v>0</v>
      </c>
      <c r="AC1216">
        <f>IF(I1216="",0,L1216*IFERROR(INDEX(کاتالوگ_محصولات!$G$4:$G$303,MATCH(I1216,کاتالوگ_محصولات!$A$4:$A$303,0)),0))</f>
        <v>0</v>
      </c>
      <c r="AD1216">
        <f t="shared" si="116"/>
        <v>0</v>
      </c>
      <c r="AE1216" t="str">
        <f t="shared" si="117"/>
        <v/>
      </c>
    </row>
    <row r="1217" spans="22:31" ht="18" customHeight="1">
      <c r="V1217">
        <f>IF(A1217="",0,IF(COUNTIF($A$3:A1217,A1217)=1,1,0))</f>
        <v>0</v>
      </c>
      <c r="W1217">
        <f t="shared" si="114"/>
        <v>0</v>
      </c>
      <c r="X1217" t="str">
        <f t="shared" si="115"/>
        <v/>
      </c>
      <c r="Y1217">
        <f>IF(X1217="",0,IF(COUNTIF($X$3:X1217,X1217)=1,1,0))</f>
        <v>0</v>
      </c>
      <c r="Z1217">
        <f>IF(V1217&lt;&gt;1,0,IF(X1217="",0,IF(COUNTIF($X$3:X1216,X1217)&gt;0,1,0)))</f>
        <v>0</v>
      </c>
      <c r="AA1217">
        <f t="shared" si="112"/>
        <v>0</v>
      </c>
      <c r="AB1217">
        <f t="shared" si="113"/>
        <v>0</v>
      </c>
      <c r="AC1217">
        <f>IF(I1217="",0,L1217*IFERROR(INDEX(کاتالوگ_محصولات!$G$4:$G$303,MATCH(I1217,کاتالوگ_محصولات!$A$4:$A$303,0)),0))</f>
        <v>0</v>
      </c>
      <c r="AD1217">
        <f t="shared" si="116"/>
        <v>0</v>
      </c>
      <c r="AE1217" t="str">
        <f t="shared" si="117"/>
        <v/>
      </c>
    </row>
    <row r="1218" spans="22:31" ht="18" customHeight="1">
      <c r="V1218">
        <f>IF(A1218="",0,IF(COUNTIF($A$3:A1218,A1218)=1,1,0))</f>
        <v>0</v>
      </c>
      <c r="W1218">
        <f t="shared" si="114"/>
        <v>0</v>
      </c>
      <c r="X1218" t="str">
        <f t="shared" si="115"/>
        <v/>
      </c>
      <c r="Y1218">
        <f>IF(X1218="",0,IF(COUNTIF($X$3:X1218,X1218)=1,1,0))</f>
        <v>0</v>
      </c>
      <c r="Z1218">
        <f>IF(V1218&lt;&gt;1,0,IF(X1218="",0,IF(COUNTIF($X$3:X1217,X1218)&gt;0,1,0)))</f>
        <v>0</v>
      </c>
      <c r="AA1218">
        <f t="shared" si="112"/>
        <v>0</v>
      </c>
      <c r="AB1218">
        <f t="shared" si="113"/>
        <v>0</v>
      </c>
      <c r="AC1218">
        <f>IF(I1218="",0,L1218*IFERROR(INDEX(کاتالوگ_محصولات!$G$4:$G$303,MATCH(I1218,کاتالوگ_محصولات!$A$4:$A$303,0)),0))</f>
        <v>0</v>
      </c>
      <c r="AD1218">
        <f t="shared" si="116"/>
        <v>0</v>
      </c>
      <c r="AE1218" t="str">
        <f t="shared" si="117"/>
        <v/>
      </c>
    </row>
    <row r="1219" spans="22:31" ht="18" customHeight="1">
      <c r="V1219">
        <f>IF(A1219="",0,IF(COUNTIF($A$3:A1219,A1219)=1,1,0))</f>
        <v>0</v>
      </c>
      <c r="W1219">
        <f t="shared" si="114"/>
        <v>0</v>
      </c>
      <c r="X1219" t="str">
        <f t="shared" si="115"/>
        <v/>
      </c>
      <c r="Y1219">
        <f>IF(X1219="",0,IF(COUNTIF($X$3:X1219,X1219)=1,1,0))</f>
        <v>0</v>
      </c>
      <c r="Z1219">
        <f>IF(V1219&lt;&gt;1,0,IF(X1219="",0,IF(COUNTIF($X$3:X1218,X1219)&gt;0,1,0)))</f>
        <v>0</v>
      </c>
      <c r="AA1219">
        <f t="shared" ref="AA1219:AA1282" si="118">IF(V1219=1,SUMIF($A$3:$A$1622,A1219,$O$3:$O$1622),0)</f>
        <v>0</v>
      </c>
      <c r="AB1219">
        <f t="shared" ref="AB1219:AB1282" si="119">IF(V1219=1,SUMIF($A$3:$A$1622,A1219,$L$3:$L$1622),0)</f>
        <v>0</v>
      </c>
      <c r="AC1219">
        <f>IF(I1219="",0,L1219*IFERROR(INDEX(کاتالوگ_محصولات!$G$4:$G$303,MATCH(I1219,کاتالوگ_محصولات!$A$4:$A$303,0)),0))</f>
        <v>0</v>
      </c>
      <c r="AD1219">
        <f t="shared" si="116"/>
        <v>0</v>
      </c>
      <c r="AE1219" t="str">
        <f t="shared" si="117"/>
        <v/>
      </c>
    </row>
    <row r="1220" spans="22:31" ht="18" customHeight="1">
      <c r="V1220">
        <f>IF(A1220="",0,IF(COUNTIF($A$3:A1220,A1220)=1,1,0))</f>
        <v>0</v>
      </c>
      <c r="W1220">
        <f t="shared" si="114"/>
        <v>0</v>
      </c>
      <c r="X1220" t="str">
        <f t="shared" si="115"/>
        <v/>
      </c>
      <c r="Y1220">
        <f>IF(X1220="",0,IF(COUNTIF($X$3:X1220,X1220)=1,1,0))</f>
        <v>0</v>
      </c>
      <c r="Z1220">
        <f>IF(V1220&lt;&gt;1,0,IF(X1220="",0,IF(COUNTIF($X$3:X1219,X1220)&gt;0,1,0)))</f>
        <v>0</v>
      </c>
      <c r="AA1220">
        <f t="shared" si="118"/>
        <v>0</v>
      </c>
      <c r="AB1220">
        <f t="shared" si="119"/>
        <v>0</v>
      </c>
      <c r="AC1220">
        <f>IF(I1220="",0,L1220*IFERROR(INDEX(کاتالوگ_محصولات!$G$4:$G$303,MATCH(I1220,کاتالوگ_محصولات!$A$4:$A$303,0)),0))</f>
        <v>0</v>
      </c>
      <c r="AD1220">
        <f t="shared" si="116"/>
        <v>0</v>
      </c>
      <c r="AE1220" t="str">
        <f t="shared" si="117"/>
        <v/>
      </c>
    </row>
    <row r="1221" spans="22:31" ht="18" customHeight="1">
      <c r="V1221">
        <f>IF(A1221="",0,IF(COUNTIF($A$3:A1221,A1221)=1,1,0))</f>
        <v>0</v>
      </c>
      <c r="W1221">
        <f t="shared" si="114"/>
        <v>0</v>
      </c>
      <c r="X1221" t="str">
        <f t="shared" si="115"/>
        <v/>
      </c>
      <c r="Y1221">
        <f>IF(X1221="",0,IF(COUNTIF($X$3:X1221,X1221)=1,1,0))</f>
        <v>0</v>
      </c>
      <c r="Z1221">
        <f>IF(V1221&lt;&gt;1,0,IF(X1221="",0,IF(COUNTIF($X$3:X1220,X1221)&gt;0,1,0)))</f>
        <v>0</v>
      </c>
      <c r="AA1221">
        <f t="shared" si="118"/>
        <v>0</v>
      </c>
      <c r="AB1221">
        <f t="shared" si="119"/>
        <v>0</v>
      </c>
      <c r="AC1221">
        <f>IF(I1221="",0,L1221*IFERROR(INDEX(کاتالوگ_محصولات!$G$4:$G$303,MATCH(I1221,کاتالوگ_محصولات!$A$4:$A$303,0)),0))</f>
        <v>0</v>
      </c>
      <c r="AD1221">
        <f t="shared" si="116"/>
        <v>0</v>
      </c>
      <c r="AE1221" t="str">
        <f t="shared" si="117"/>
        <v/>
      </c>
    </row>
    <row r="1222" spans="22:31" ht="18" customHeight="1">
      <c r="V1222">
        <f>IF(A1222="",0,IF(COUNTIF($A$3:A1222,A1222)=1,1,0))</f>
        <v>0</v>
      </c>
      <c r="W1222">
        <f t="shared" si="114"/>
        <v>0</v>
      </c>
      <c r="X1222" t="str">
        <f t="shared" si="115"/>
        <v/>
      </c>
      <c r="Y1222">
        <f>IF(X1222="",0,IF(COUNTIF($X$3:X1222,X1222)=1,1,0))</f>
        <v>0</v>
      </c>
      <c r="Z1222">
        <f>IF(V1222&lt;&gt;1,0,IF(X1222="",0,IF(COUNTIF($X$3:X1221,X1222)&gt;0,1,0)))</f>
        <v>0</v>
      </c>
      <c r="AA1222">
        <f t="shared" si="118"/>
        <v>0</v>
      </c>
      <c r="AB1222">
        <f t="shared" si="119"/>
        <v>0</v>
      </c>
      <c r="AC1222">
        <f>IF(I1222="",0,L1222*IFERROR(INDEX(کاتالوگ_محصولات!$G$4:$G$303,MATCH(I1222,کاتالوگ_محصولات!$A$4:$A$303,0)),0))</f>
        <v>0</v>
      </c>
      <c r="AD1222">
        <f t="shared" si="116"/>
        <v>0</v>
      </c>
      <c r="AE1222" t="str">
        <f t="shared" si="117"/>
        <v/>
      </c>
    </row>
    <row r="1223" spans="22:31" ht="18" customHeight="1">
      <c r="V1223">
        <f>IF(A1223="",0,IF(COUNTIF($A$3:A1223,A1223)=1,1,0))</f>
        <v>0</v>
      </c>
      <c r="W1223">
        <f t="shared" si="114"/>
        <v>0</v>
      </c>
      <c r="X1223" t="str">
        <f t="shared" si="115"/>
        <v/>
      </c>
      <c r="Y1223">
        <f>IF(X1223="",0,IF(COUNTIF($X$3:X1223,X1223)=1,1,0))</f>
        <v>0</v>
      </c>
      <c r="Z1223">
        <f>IF(V1223&lt;&gt;1,0,IF(X1223="",0,IF(COUNTIF($X$3:X1222,X1223)&gt;0,1,0)))</f>
        <v>0</v>
      </c>
      <c r="AA1223">
        <f t="shared" si="118"/>
        <v>0</v>
      </c>
      <c r="AB1223">
        <f t="shared" si="119"/>
        <v>0</v>
      </c>
      <c r="AC1223">
        <f>IF(I1223="",0,L1223*IFERROR(INDEX(کاتالوگ_محصولات!$G$4:$G$303,MATCH(I1223,کاتالوگ_محصولات!$A$4:$A$303,0)),0))</f>
        <v>0</v>
      </c>
      <c r="AD1223">
        <f t="shared" si="116"/>
        <v>0</v>
      </c>
      <c r="AE1223" t="str">
        <f t="shared" si="117"/>
        <v/>
      </c>
    </row>
    <row r="1224" spans="22:31" ht="18" customHeight="1">
      <c r="V1224">
        <f>IF(A1224="",0,IF(COUNTIF($A$3:A1224,A1224)=1,1,0))</f>
        <v>0</v>
      </c>
      <c r="W1224">
        <f t="shared" si="114"/>
        <v>0</v>
      </c>
      <c r="X1224" t="str">
        <f t="shared" si="115"/>
        <v/>
      </c>
      <c r="Y1224">
        <f>IF(X1224="",0,IF(COUNTIF($X$3:X1224,X1224)=1,1,0))</f>
        <v>0</v>
      </c>
      <c r="Z1224">
        <f>IF(V1224&lt;&gt;1,0,IF(X1224="",0,IF(COUNTIF($X$3:X1223,X1224)&gt;0,1,0)))</f>
        <v>0</v>
      </c>
      <c r="AA1224">
        <f t="shared" si="118"/>
        <v>0</v>
      </c>
      <c r="AB1224">
        <f t="shared" si="119"/>
        <v>0</v>
      </c>
      <c r="AC1224">
        <f>IF(I1224="",0,L1224*IFERROR(INDEX(کاتالوگ_محصولات!$G$4:$G$303,MATCH(I1224,کاتالوگ_محصولات!$A$4:$A$303,0)),0))</f>
        <v>0</v>
      </c>
      <c r="AD1224">
        <f t="shared" si="116"/>
        <v>0</v>
      </c>
      <c r="AE1224" t="str">
        <f t="shared" si="117"/>
        <v/>
      </c>
    </row>
    <row r="1225" spans="22:31" ht="18" customHeight="1">
      <c r="V1225">
        <f>IF(A1225="",0,IF(COUNTIF($A$3:A1225,A1225)=1,1,0))</f>
        <v>0</v>
      </c>
      <c r="W1225">
        <f t="shared" ref="W1225:W1288" si="120">IF(A1225="",0,L1225*M1225)</f>
        <v>0</v>
      </c>
      <c r="X1225" t="str">
        <f t="shared" ref="X1225:X1288" si="121">IF(R1225&lt;&gt;"",R1225,IF(AND(P1225&lt;&gt;"",Q1225&lt;&gt;""),P1225&amp;"|"&amp;Q1225,""))</f>
        <v/>
      </c>
      <c r="Y1225">
        <f>IF(X1225="",0,IF(COUNTIF($X$3:X1225,X1225)=1,1,0))</f>
        <v>0</v>
      </c>
      <c r="Z1225">
        <f>IF(V1225&lt;&gt;1,0,IF(X1225="",0,IF(COUNTIF($X$3:X1224,X1225)&gt;0,1,0)))</f>
        <v>0</v>
      </c>
      <c r="AA1225">
        <f t="shared" si="118"/>
        <v>0</v>
      </c>
      <c r="AB1225">
        <f t="shared" si="119"/>
        <v>0</v>
      </c>
      <c r="AC1225">
        <f>IF(I1225="",0,L1225*IFERROR(INDEX(کاتالوگ_محصولات!$G$4:$G$303,MATCH(I1225,کاتالوگ_محصولات!$A$4:$A$303,0)),0))</f>
        <v>0</v>
      </c>
      <c r="AD1225">
        <f t="shared" ref="AD1225:AD1288" si="122">IF(A1225="",0,O1225-AC1225)</f>
        <v>0</v>
      </c>
      <c r="AE1225" t="str">
        <f t="shared" ref="AE1225:AE1288" si="123">IF(B1225="","",LEFT(B1225,7))</f>
        <v/>
      </c>
    </row>
    <row r="1226" spans="22:31" ht="18" customHeight="1">
      <c r="V1226">
        <f>IF(A1226="",0,IF(COUNTIF($A$3:A1226,A1226)=1,1,0))</f>
        <v>0</v>
      </c>
      <c r="W1226">
        <f t="shared" si="120"/>
        <v>0</v>
      </c>
      <c r="X1226" t="str">
        <f t="shared" si="121"/>
        <v/>
      </c>
      <c r="Y1226">
        <f>IF(X1226="",0,IF(COUNTIF($X$3:X1226,X1226)=1,1,0))</f>
        <v>0</v>
      </c>
      <c r="Z1226">
        <f>IF(V1226&lt;&gt;1,0,IF(X1226="",0,IF(COUNTIF($X$3:X1225,X1226)&gt;0,1,0)))</f>
        <v>0</v>
      </c>
      <c r="AA1226">
        <f t="shared" si="118"/>
        <v>0</v>
      </c>
      <c r="AB1226">
        <f t="shared" si="119"/>
        <v>0</v>
      </c>
      <c r="AC1226">
        <f>IF(I1226="",0,L1226*IFERROR(INDEX(کاتالوگ_محصولات!$G$4:$G$303,MATCH(I1226,کاتالوگ_محصولات!$A$4:$A$303,0)),0))</f>
        <v>0</v>
      </c>
      <c r="AD1226">
        <f t="shared" si="122"/>
        <v>0</v>
      </c>
      <c r="AE1226" t="str">
        <f t="shared" si="123"/>
        <v/>
      </c>
    </row>
    <row r="1227" spans="22:31" ht="18" customHeight="1">
      <c r="V1227">
        <f>IF(A1227="",0,IF(COUNTIF($A$3:A1227,A1227)=1,1,0))</f>
        <v>0</v>
      </c>
      <c r="W1227">
        <f t="shared" si="120"/>
        <v>0</v>
      </c>
      <c r="X1227" t="str">
        <f t="shared" si="121"/>
        <v/>
      </c>
      <c r="Y1227">
        <f>IF(X1227="",0,IF(COUNTIF($X$3:X1227,X1227)=1,1,0))</f>
        <v>0</v>
      </c>
      <c r="Z1227">
        <f>IF(V1227&lt;&gt;1,0,IF(X1227="",0,IF(COUNTIF($X$3:X1226,X1227)&gt;0,1,0)))</f>
        <v>0</v>
      </c>
      <c r="AA1227">
        <f t="shared" si="118"/>
        <v>0</v>
      </c>
      <c r="AB1227">
        <f t="shared" si="119"/>
        <v>0</v>
      </c>
      <c r="AC1227">
        <f>IF(I1227="",0,L1227*IFERROR(INDEX(کاتالوگ_محصولات!$G$4:$G$303,MATCH(I1227,کاتالوگ_محصولات!$A$4:$A$303,0)),0))</f>
        <v>0</v>
      </c>
      <c r="AD1227">
        <f t="shared" si="122"/>
        <v>0</v>
      </c>
      <c r="AE1227" t="str">
        <f t="shared" si="123"/>
        <v/>
      </c>
    </row>
    <row r="1228" spans="22:31" ht="18" customHeight="1">
      <c r="V1228">
        <f>IF(A1228="",0,IF(COUNTIF($A$3:A1228,A1228)=1,1,0))</f>
        <v>0</v>
      </c>
      <c r="W1228">
        <f t="shared" si="120"/>
        <v>0</v>
      </c>
      <c r="X1228" t="str">
        <f t="shared" si="121"/>
        <v/>
      </c>
      <c r="Y1228">
        <f>IF(X1228="",0,IF(COUNTIF($X$3:X1228,X1228)=1,1,0))</f>
        <v>0</v>
      </c>
      <c r="Z1228">
        <f>IF(V1228&lt;&gt;1,0,IF(X1228="",0,IF(COUNTIF($X$3:X1227,X1228)&gt;0,1,0)))</f>
        <v>0</v>
      </c>
      <c r="AA1228">
        <f t="shared" si="118"/>
        <v>0</v>
      </c>
      <c r="AB1228">
        <f t="shared" si="119"/>
        <v>0</v>
      </c>
      <c r="AC1228">
        <f>IF(I1228="",0,L1228*IFERROR(INDEX(کاتالوگ_محصولات!$G$4:$G$303,MATCH(I1228,کاتالوگ_محصولات!$A$4:$A$303,0)),0))</f>
        <v>0</v>
      </c>
      <c r="AD1228">
        <f t="shared" si="122"/>
        <v>0</v>
      </c>
      <c r="AE1228" t="str">
        <f t="shared" si="123"/>
        <v/>
      </c>
    </row>
    <row r="1229" spans="22:31" ht="18" customHeight="1">
      <c r="V1229">
        <f>IF(A1229="",0,IF(COUNTIF($A$3:A1229,A1229)=1,1,0))</f>
        <v>0</v>
      </c>
      <c r="W1229">
        <f t="shared" si="120"/>
        <v>0</v>
      </c>
      <c r="X1229" t="str">
        <f t="shared" si="121"/>
        <v/>
      </c>
      <c r="Y1229">
        <f>IF(X1229="",0,IF(COUNTIF($X$3:X1229,X1229)=1,1,0))</f>
        <v>0</v>
      </c>
      <c r="Z1229">
        <f>IF(V1229&lt;&gt;1,0,IF(X1229="",0,IF(COUNTIF($X$3:X1228,X1229)&gt;0,1,0)))</f>
        <v>0</v>
      </c>
      <c r="AA1229">
        <f t="shared" si="118"/>
        <v>0</v>
      </c>
      <c r="AB1229">
        <f t="shared" si="119"/>
        <v>0</v>
      </c>
      <c r="AC1229">
        <f>IF(I1229="",0,L1229*IFERROR(INDEX(کاتالوگ_محصولات!$G$4:$G$303,MATCH(I1229,کاتالوگ_محصولات!$A$4:$A$303,0)),0))</f>
        <v>0</v>
      </c>
      <c r="AD1229">
        <f t="shared" si="122"/>
        <v>0</v>
      </c>
      <c r="AE1229" t="str">
        <f t="shared" si="123"/>
        <v/>
      </c>
    </row>
    <row r="1230" spans="22:31" ht="18" customHeight="1">
      <c r="V1230">
        <f>IF(A1230="",0,IF(COUNTIF($A$3:A1230,A1230)=1,1,0))</f>
        <v>0</v>
      </c>
      <c r="W1230">
        <f t="shared" si="120"/>
        <v>0</v>
      </c>
      <c r="X1230" t="str">
        <f t="shared" si="121"/>
        <v/>
      </c>
      <c r="Y1230">
        <f>IF(X1230="",0,IF(COUNTIF($X$3:X1230,X1230)=1,1,0))</f>
        <v>0</v>
      </c>
      <c r="Z1230">
        <f>IF(V1230&lt;&gt;1,0,IF(X1230="",0,IF(COUNTIF($X$3:X1229,X1230)&gt;0,1,0)))</f>
        <v>0</v>
      </c>
      <c r="AA1230">
        <f t="shared" si="118"/>
        <v>0</v>
      </c>
      <c r="AB1230">
        <f t="shared" si="119"/>
        <v>0</v>
      </c>
      <c r="AC1230">
        <f>IF(I1230="",0,L1230*IFERROR(INDEX(کاتالوگ_محصولات!$G$4:$G$303,MATCH(I1230,کاتالوگ_محصولات!$A$4:$A$303,0)),0))</f>
        <v>0</v>
      </c>
      <c r="AD1230">
        <f t="shared" si="122"/>
        <v>0</v>
      </c>
      <c r="AE1230" t="str">
        <f t="shared" si="123"/>
        <v/>
      </c>
    </row>
    <row r="1231" spans="22:31" ht="18" customHeight="1">
      <c r="V1231">
        <f>IF(A1231="",0,IF(COUNTIF($A$3:A1231,A1231)=1,1,0))</f>
        <v>0</v>
      </c>
      <c r="W1231">
        <f t="shared" si="120"/>
        <v>0</v>
      </c>
      <c r="X1231" t="str">
        <f t="shared" si="121"/>
        <v/>
      </c>
      <c r="Y1231">
        <f>IF(X1231="",0,IF(COUNTIF($X$3:X1231,X1231)=1,1,0))</f>
        <v>0</v>
      </c>
      <c r="Z1231">
        <f>IF(V1231&lt;&gt;1,0,IF(X1231="",0,IF(COUNTIF($X$3:X1230,X1231)&gt;0,1,0)))</f>
        <v>0</v>
      </c>
      <c r="AA1231">
        <f t="shared" si="118"/>
        <v>0</v>
      </c>
      <c r="AB1231">
        <f t="shared" si="119"/>
        <v>0</v>
      </c>
      <c r="AC1231">
        <f>IF(I1231="",0,L1231*IFERROR(INDEX(کاتالوگ_محصولات!$G$4:$G$303,MATCH(I1231,کاتالوگ_محصولات!$A$4:$A$303,0)),0))</f>
        <v>0</v>
      </c>
      <c r="AD1231">
        <f t="shared" si="122"/>
        <v>0</v>
      </c>
      <c r="AE1231" t="str">
        <f t="shared" si="123"/>
        <v/>
      </c>
    </row>
    <row r="1232" spans="22:31" ht="18" customHeight="1">
      <c r="V1232">
        <f>IF(A1232="",0,IF(COUNTIF($A$3:A1232,A1232)=1,1,0))</f>
        <v>0</v>
      </c>
      <c r="W1232">
        <f t="shared" si="120"/>
        <v>0</v>
      </c>
      <c r="X1232" t="str">
        <f t="shared" si="121"/>
        <v/>
      </c>
      <c r="Y1232">
        <f>IF(X1232="",0,IF(COUNTIF($X$3:X1232,X1232)=1,1,0))</f>
        <v>0</v>
      </c>
      <c r="Z1232">
        <f>IF(V1232&lt;&gt;1,0,IF(X1232="",0,IF(COUNTIF($X$3:X1231,X1232)&gt;0,1,0)))</f>
        <v>0</v>
      </c>
      <c r="AA1232">
        <f t="shared" si="118"/>
        <v>0</v>
      </c>
      <c r="AB1232">
        <f t="shared" si="119"/>
        <v>0</v>
      </c>
      <c r="AC1232">
        <f>IF(I1232="",0,L1232*IFERROR(INDEX(کاتالوگ_محصولات!$G$4:$G$303,MATCH(I1232,کاتالوگ_محصولات!$A$4:$A$303,0)),0))</f>
        <v>0</v>
      </c>
      <c r="AD1232">
        <f t="shared" si="122"/>
        <v>0</v>
      </c>
      <c r="AE1232" t="str">
        <f t="shared" si="123"/>
        <v/>
      </c>
    </row>
    <row r="1233" spans="22:31" ht="18" customHeight="1">
      <c r="V1233">
        <f>IF(A1233="",0,IF(COUNTIF($A$3:A1233,A1233)=1,1,0))</f>
        <v>0</v>
      </c>
      <c r="W1233">
        <f t="shared" si="120"/>
        <v>0</v>
      </c>
      <c r="X1233" t="str">
        <f t="shared" si="121"/>
        <v/>
      </c>
      <c r="Y1233">
        <f>IF(X1233="",0,IF(COUNTIF($X$3:X1233,X1233)=1,1,0))</f>
        <v>0</v>
      </c>
      <c r="Z1233">
        <f>IF(V1233&lt;&gt;1,0,IF(X1233="",0,IF(COUNTIF($X$3:X1232,X1233)&gt;0,1,0)))</f>
        <v>0</v>
      </c>
      <c r="AA1233">
        <f t="shared" si="118"/>
        <v>0</v>
      </c>
      <c r="AB1233">
        <f t="shared" si="119"/>
        <v>0</v>
      </c>
      <c r="AC1233">
        <f>IF(I1233="",0,L1233*IFERROR(INDEX(کاتالوگ_محصولات!$G$4:$G$303,MATCH(I1233,کاتالوگ_محصولات!$A$4:$A$303,0)),0))</f>
        <v>0</v>
      </c>
      <c r="AD1233">
        <f t="shared" si="122"/>
        <v>0</v>
      </c>
      <c r="AE1233" t="str">
        <f t="shared" si="123"/>
        <v/>
      </c>
    </row>
    <row r="1234" spans="22:31" ht="18" customHeight="1">
      <c r="V1234">
        <f>IF(A1234="",0,IF(COUNTIF($A$3:A1234,A1234)=1,1,0))</f>
        <v>0</v>
      </c>
      <c r="W1234">
        <f t="shared" si="120"/>
        <v>0</v>
      </c>
      <c r="X1234" t="str">
        <f t="shared" si="121"/>
        <v/>
      </c>
      <c r="Y1234">
        <f>IF(X1234="",0,IF(COUNTIF($X$3:X1234,X1234)=1,1,0))</f>
        <v>0</v>
      </c>
      <c r="Z1234">
        <f>IF(V1234&lt;&gt;1,0,IF(X1234="",0,IF(COUNTIF($X$3:X1233,X1234)&gt;0,1,0)))</f>
        <v>0</v>
      </c>
      <c r="AA1234">
        <f t="shared" si="118"/>
        <v>0</v>
      </c>
      <c r="AB1234">
        <f t="shared" si="119"/>
        <v>0</v>
      </c>
      <c r="AC1234">
        <f>IF(I1234="",0,L1234*IFERROR(INDEX(کاتالوگ_محصولات!$G$4:$G$303,MATCH(I1234,کاتالوگ_محصولات!$A$4:$A$303,0)),0))</f>
        <v>0</v>
      </c>
      <c r="AD1234">
        <f t="shared" si="122"/>
        <v>0</v>
      </c>
      <c r="AE1234" t="str">
        <f t="shared" si="123"/>
        <v/>
      </c>
    </row>
    <row r="1235" spans="22:31" ht="18" customHeight="1">
      <c r="V1235">
        <f>IF(A1235="",0,IF(COUNTIF($A$3:A1235,A1235)=1,1,0))</f>
        <v>0</v>
      </c>
      <c r="W1235">
        <f t="shared" si="120"/>
        <v>0</v>
      </c>
      <c r="X1235" t="str">
        <f t="shared" si="121"/>
        <v/>
      </c>
      <c r="Y1235">
        <f>IF(X1235="",0,IF(COUNTIF($X$3:X1235,X1235)=1,1,0))</f>
        <v>0</v>
      </c>
      <c r="Z1235">
        <f>IF(V1235&lt;&gt;1,0,IF(X1235="",0,IF(COUNTIF($X$3:X1234,X1235)&gt;0,1,0)))</f>
        <v>0</v>
      </c>
      <c r="AA1235">
        <f t="shared" si="118"/>
        <v>0</v>
      </c>
      <c r="AB1235">
        <f t="shared" si="119"/>
        <v>0</v>
      </c>
      <c r="AC1235">
        <f>IF(I1235="",0,L1235*IFERROR(INDEX(کاتالوگ_محصولات!$G$4:$G$303,MATCH(I1235,کاتالوگ_محصولات!$A$4:$A$303,0)),0))</f>
        <v>0</v>
      </c>
      <c r="AD1235">
        <f t="shared" si="122"/>
        <v>0</v>
      </c>
      <c r="AE1235" t="str">
        <f t="shared" si="123"/>
        <v/>
      </c>
    </row>
    <row r="1236" spans="22:31" ht="18" customHeight="1">
      <c r="V1236">
        <f>IF(A1236="",0,IF(COUNTIF($A$3:A1236,A1236)=1,1,0))</f>
        <v>0</v>
      </c>
      <c r="W1236">
        <f t="shared" si="120"/>
        <v>0</v>
      </c>
      <c r="X1236" t="str">
        <f t="shared" si="121"/>
        <v/>
      </c>
      <c r="Y1236">
        <f>IF(X1236="",0,IF(COUNTIF($X$3:X1236,X1236)=1,1,0))</f>
        <v>0</v>
      </c>
      <c r="Z1236">
        <f>IF(V1236&lt;&gt;1,0,IF(X1236="",0,IF(COUNTIF($X$3:X1235,X1236)&gt;0,1,0)))</f>
        <v>0</v>
      </c>
      <c r="AA1236">
        <f t="shared" si="118"/>
        <v>0</v>
      </c>
      <c r="AB1236">
        <f t="shared" si="119"/>
        <v>0</v>
      </c>
      <c r="AC1236">
        <f>IF(I1236="",0,L1236*IFERROR(INDEX(کاتالوگ_محصولات!$G$4:$G$303,MATCH(I1236,کاتالوگ_محصولات!$A$4:$A$303,0)),0))</f>
        <v>0</v>
      </c>
      <c r="AD1236">
        <f t="shared" si="122"/>
        <v>0</v>
      </c>
      <c r="AE1236" t="str">
        <f t="shared" si="123"/>
        <v/>
      </c>
    </row>
    <row r="1237" spans="22:31" ht="18" customHeight="1">
      <c r="V1237">
        <f>IF(A1237="",0,IF(COUNTIF($A$3:A1237,A1237)=1,1,0))</f>
        <v>0</v>
      </c>
      <c r="W1237">
        <f t="shared" si="120"/>
        <v>0</v>
      </c>
      <c r="X1237" t="str">
        <f t="shared" si="121"/>
        <v/>
      </c>
      <c r="Y1237">
        <f>IF(X1237="",0,IF(COUNTIF($X$3:X1237,X1237)=1,1,0))</f>
        <v>0</v>
      </c>
      <c r="Z1237">
        <f>IF(V1237&lt;&gt;1,0,IF(X1237="",0,IF(COUNTIF($X$3:X1236,X1237)&gt;0,1,0)))</f>
        <v>0</v>
      </c>
      <c r="AA1237">
        <f t="shared" si="118"/>
        <v>0</v>
      </c>
      <c r="AB1237">
        <f t="shared" si="119"/>
        <v>0</v>
      </c>
      <c r="AC1237">
        <f>IF(I1237="",0,L1237*IFERROR(INDEX(کاتالوگ_محصولات!$G$4:$G$303,MATCH(I1237,کاتالوگ_محصولات!$A$4:$A$303,0)),0))</f>
        <v>0</v>
      </c>
      <c r="AD1237">
        <f t="shared" si="122"/>
        <v>0</v>
      </c>
      <c r="AE1237" t="str">
        <f t="shared" si="123"/>
        <v/>
      </c>
    </row>
    <row r="1238" spans="22:31" ht="18" customHeight="1">
      <c r="V1238">
        <f>IF(A1238="",0,IF(COUNTIF($A$3:A1238,A1238)=1,1,0))</f>
        <v>0</v>
      </c>
      <c r="W1238">
        <f t="shared" si="120"/>
        <v>0</v>
      </c>
      <c r="X1238" t="str">
        <f t="shared" si="121"/>
        <v/>
      </c>
      <c r="Y1238">
        <f>IF(X1238="",0,IF(COUNTIF($X$3:X1238,X1238)=1,1,0))</f>
        <v>0</v>
      </c>
      <c r="Z1238">
        <f>IF(V1238&lt;&gt;1,0,IF(X1238="",0,IF(COUNTIF($X$3:X1237,X1238)&gt;0,1,0)))</f>
        <v>0</v>
      </c>
      <c r="AA1238">
        <f t="shared" si="118"/>
        <v>0</v>
      </c>
      <c r="AB1238">
        <f t="shared" si="119"/>
        <v>0</v>
      </c>
      <c r="AC1238">
        <f>IF(I1238="",0,L1238*IFERROR(INDEX(کاتالوگ_محصولات!$G$4:$G$303,MATCH(I1238,کاتالوگ_محصولات!$A$4:$A$303,0)),0))</f>
        <v>0</v>
      </c>
      <c r="AD1238">
        <f t="shared" si="122"/>
        <v>0</v>
      </c>
      <c r="AE1238" t="str">
        <f t="shared" si="123"/>
        <v/>
      </c>
    </row>
    <row r="1239" spans="22:31" ht="18" customHeight="1">
      <c r="V1239">
        <f>IF(A1239="",0,IF(COUNTIF($A$3:A1239,A1239)=1,1,0))</f>
        <v>0</v>
      </c>
      <c r="W1239">
        <f t="shared" si="120"/>
        <v>0</v>
      </c>
      <c r="X1239" t="str">
        <f t="shared" si="121"/>
        <v/>
      </c>
      <c r="Y1239">
        <f>IF(X1239="",0,IF(COUNTIF($X$3:X1239,X1239)=1,1,0))</f>
        <v>0</v>
      </c>
      <c r="Z1239">
        <f>IF(V1239&lt;&gt;1,0,IF(X1239="",0,IF(COUNTIF($X$3:X1238,X1239)&gt;0,1,0)))</f>
        <v>0</v>
      </c>
      <c r="AA1239">
        <f t="shared" si="118"/>
        <v>0</v>
      </c>
      <c r="AB1239">
        <f t="shared" si="119"/>
        <v>0</v>
      </c>
      <c r="AC1239">
        <f>IF(I1239="",0,L1239*IFERROR(INDEX(کاتالوگ_محصولات!$G$4:$G$303,MATCH(I1239,کاتالوگ_محصولات!$A$4:$A$303,0)),0))</f>
        <v>0</v>
      </c>
      <c r="AD1239">
        <f t="shared" si="122"/>
        <v>0</v>
      </c>
      <c r="AE1239" t="str">
        <f t="shared" si="123"/>
        <v/>
      </c>
    </row>
    <row r="1240" spans="22:31" ht="18" customHeight="1">
      <c r="V1240">
        <f>IF(A1240="",0,IF(COUNTIF($A$3:A1240,A1240)=1,1,0))</f>
        <v>0</v>
      </c>
      <c r="W1240">
        <f t="shared" si="120"/>
        <v>0</v>
      </c>
      <c r="X1240" t="str">
        <f t="shared" si="121"/>
        <v/>
      </c>
      <c r="Y1240">
        <f>IF(X1240="",0,IF(COUNTIF($X$3:X1240,X1240)=1,1,0))</f>
        <v>0</v>
      </c>
      <c r="Z1240">
        <f>IF(V1240&lt;&gt;1,0,IF(X1240="",0,IF(COUNTIF($X$3:X1239,X1240)&gt;0,1,0)))</f>
        <v>0</v>
      </c>
      <c r="AA1240">
        <f t="shared" si="118"/>
        <v>0</v>
      </c>
      <c r="AB1240">
        <f t="shared" si="119"/>
        <v>0</v>
      </c>
      <c r="AC1240">
        <f>IF(I1240="",0,L1240*IFERROR(INDEX(کاتالوگ_محصولات!$G$4:$G$303,MATCH(I1240,کاتالوگ_محصولات!$A$4:$A$303,0)),0))</f>
        <v>0</v>
      </c>
      <c r="AD1240">
        <f t="shared" si="122"/>
        <v>0</v>
      </c>
      <c r="AE1240" t="str">
        <f t="shared" si="123"/>
        <v/>
      </c>
    </row>
    <row r="1241" spans="22:31" ht="18" customHeight="1">
      <c r="V1241">
        <f>IF(A1241="",0,IF(COUNTIF($A$3:A1241,A1241)=1,1,0))</f>
        <v>0</v>
      </c>
      <c r="W1241">
        <f t="shared" si="120"/>
        <v>0</v>
      </c>
      <c r="X1241" t="str">
        <f t="shared" si="121"/>
        <v/>
      </c>
      <c r="Y1241">
        <f>IF(X1241="",0,IF(COUNTIF($X$3:X1241,X1241)=1,1,0))</f>
        <v>0</v>
      </c>
      <c r="Z1241">
        <f>IF(V1241&lt;&gt;1,0,IF(X1241="",0,IF(COUNTIF($X$3:X1240,X1241)&gt;0,1,0)))</f>
        <v>0</v>
      </c>
      <c r="AA1241">
        <f t="shared" si="118"/>
        <v>0</v>
      </c>
      <c r="AB1241">
        <f t="shared" si="119"/>
        <v>0</v>
      </c>
      <c r="AC1241">
        <f>IF(I1241="",0,L1241*IFERROR(INDEX(کاتالوگ_محصولات!$G$4:$G$303,MATCH(I1241,کاتالوگ_محصولات!$A$4:$A$303,0)),0))</f>
        <v>0</v>
      </c>
      <c r="AD1241">
        <f t="shared" si="122"/>
        <v>0</v>
      </c>
      <c r="AE1241" t="str">
        <f t="shared" si="123"/>
        <v/>
      </c>
    </row>
    <row r="1242" spans="22:31" ht="18" customHeight="1">
      <c r="V1242">
        <f>IF(A1242="",0,IF(COUNTIF($A$3:A1242,A1242)=1,1,0))</f>
        <v>0</v>
      </c>
      <c r="W1242">
        <f t="shared" si="120"/>
        <v>0</v>
      </c>
      <c r="X1242" t="str">
        <f t="shared" si="121"/>
        <v/>
      </c>
      <c r="Y1242">
        <f>IF(X1242="",0,IF(COUNTIF($X$3:X1242,X1242)=1,1,0))</f>
        <v>0</v>
      </c>
      <c r="Z1242">
        <f>IF(V1242&lt;&gt;1,0,IF(X1242="",0,IF(COUNTIF($X$3:X1241,X1242)&gt;0,1,0)))</f>
        <v>0</v>
      </c>
      <c r="AA1242">
        <f t="shared" si="118"/>
        <v>0</v>
      </c>
      <c r="AB1242">
        <f t="shared" si="119"/>
        <v>0</v>
      </c>
      <c r="AC1242">
        <f>IF(I1242="",0,L1242*IFERROR(INDEX(کاتالوگ_محصولات!$G$4:$G$303,MATCH(I1242,کاتالوگ_محصولات!$A$4:$A$303,0)),0))</f>
        <v>0</v>
      </c>
      <c r="AD1242">
        <f t="shared" si="122"/>
        <v>0</v>
      </c>
      <c r="AE1242" t="str">
        <f t="shared" si="123"/>
        <v/>
      </c>
    </row>
    <row r="1243" spans="22:31" ht="18" customHeight="1">
      <c r="V1243">
        <f>IF(A1243="",0,IF(COUNTIF($A$3:A1243,A1243)=1,1,0))</f>
        <v>0</v>
      </c>
      <c r="W1243">
        <f t="shared" si="120"/>
        <v>0</v>
      </c>
      <c r="X1243" t="str">
        <f t="shared" si="121"/>
        <v/>
      </c>
      <c r="Y1243">
        <f>IF(X1243="",0,IF(COUNTIF($X$3:X1243,X1243)=1,1,0))</f>
        <v>0</v>
      </c>
      <c r="Z1243">
        <f>IF(V1243&lt;&gt;1,0,IF(X1243="",0,IF(COUNTIF($X$3:X1242,X1243)&gt;0,1,0)))</f>
        <v>0</v>
      </c>
      <c r="AA1243">
        <f t="shared" si="118"/>
        <v>0</v>
      </c>
      <c r="AB1243">
        <f t="shared" si="119"/>
        <v>0</v>
      </c>
      <c r="AC1243">
        <f>IF(I1243="",0,L1243*IFERROR(INDEX(کاتالوگ_محصولات!$G$4:$G$303,MATCH(I1243,کاتالوگ_محصولات!$A$4:$A$303,0)),0))</f>
        <v>0</v>
      </c>
      <c r="AD1243">
        <f t="shared" si="122"/>
        <v>0</v>
      </c>
      <c r="AE1243" t="str">
        <f t="shared" si="123"/>
        <v/>
      </c>
    </row>
    <row r="1244" spans="22:31" ht="18" customHeight="1">
      <c r="V1244">
        <f>IF(A1244="",0,IF(COUNTIF($A$3:A1244,A1244)=1,1,0))</f>
        <v>0</v>
      </c>
      <c r="W1244">
        <f t="shared" si="120"/>
        <v>0</v>
      </c>
      <c r="X1244" t="str">
        <f t="shared" si="121"/>
        <v/>
      </c>
      <c r="Y1244">
        <f>IF(X1244="",0,IF(COUNTIF($X$3:X1244,X1244)=1,1,0))</f>
        <v>0</v>
      </c>
      <c r="Z1244">
        <f>IF(V1244&lt;&gt;1,0,IF(X1244="",0,IF(COUNTIF($X$3:X1243,X1244)&gt;0,1,0)))</f>
        <v>0</v>
      </c>
      <c r="AA1244">
        <f t="shared" si="118"/>
        <v>0</v>
      </c>
      <c r="AB1244">
        <f t="shared" si="119"/>
        <v>0</v>
      </c>
      <c r="AC1244">
        <f>IF(I1244="",0,L1244*IFERROR(INDEX(کاتالوگ_محصولات!$G$4:$G$303,MATCH(I1244,کاتالوگ_محصولات!$A$4:$A$303,0)),0))</f>
        <v>0</v>
      </c>
      <c r="AD1244">
        <f t="shared" si="122"/>
        <v>0</v>
      </c>
      <c r="AE1244" t="str">
        <f t="shared" si="123"/>
        <v/>
      </c>
    </row>
    <row r="1245" spans="22:31" ht="18" customHeight="1">
      <c r="V1245">
        <f>IF(A1245="",0,IF(COUNTIF($A$3:A1245,A1245)=1,1,0))</f>
        <v>0</v>
      </c>
      <c r="W1245">
        <f t="shared" si="120"/>
        <v>0</v>
      </c>
      <c r="X1245" t="str">
        <f t="shared" si="121"/>
        <v/>
      </c>
      <c r="Y1245">
        <f>IF(X1245="",0,IF(COUNTIF($X$3:X1245,X1245)=1,1,0))</f>
        <v>0</v>
      </c>
      <c r="Z1245">
        <f>IF(V1245&lt;&gt;1,0,IF(X1245="",0,IF(COUNTIF($X$3:X1244,X1245)&gt;0,1,0)))</f>
        <v>0</v>
      </c>
      <c r="AA1245">
        <f t="shared" si="118"/>
        <v>0</v>
      </c>
      <c r="AB1245">
        <f t="shared" si="119"/>
        <v>0</v>
      </c>
      <c r="AC1245">
        <f>IF(I1245="",0,L1245*IFERROR(INDEX(کاتالوگ_محصولات!$G$4:$G$303,MATCH(I1245,کاتالوگ_محصولات!$A$4:$A$303,0)),0))</f>
        <v>0</v>
      </c>
      <c r="AD1245">
        <f t="shared" si="122"/>
        <v>0</v>
      </c>
      <c r="AE1245" t="str">
        <f t="shared" si="123"/>
        <v/>
      </c>
    </row>
    <row r="1246" spans="22:31" ht="18" customHeight="1">
      <c r="V1246">
        <f>IF(A1246="",0,IF(COUNTIF($A$3:A1246,A1246)=1,1,0))</f>
        <v>0</v>
      </c>
      <c r="W1246">
        <f t="shared" si="120"/>
        <v>0</v>
      </c>
      <c r="X1246" t="str">
        <f t="shared" si="121"/>
        <v/>
      </c>
      <c r="Y1246">
        <f>IF(X1246="",0,IF(COUNTIF($X$3:X1246,X1246)=1,1,0))</f>
        <v>0</v>
      </c>
      <c r="Z1246">
        <f>IF(V1246&lt;&gt;1,0,IF(X1246="",0,IF(COUNTIF($X$3:X1245,X1246)&gt;0,1,0)))</f>
        <v>0</v>
      </c>
      <c r="AA1246">
        <f t="shared" si="118"/>
        <v>0</v>
      </c>
      <c r="AB1246">
        <f t="shared" si="119"/>
        <v>0</v>
      </c>
      <c r="AC1246">
        <f>IF(I1246="",0,L1246*IFERROR(INDEX(کاتالوگ_محصولات!$G$4:$G$303,MATCH(I1246,کاتالوگ_محصولات!$A$4:$A$303,0)),0))</f>
        <v>0</v>
      </c>
      <c r="AD1246">
        <f t="shared" si="122"/>
        <v>0</v>
      </c>
      <c r="AE1246" t="str">
        <f t="shared" si="123"/>
        <v/>
      </c>
    </row>
    <row r="1247" spans="22:31" ht="18" customHeight="1">
      <c r="V1247">
        <f>IF(A1247="",0,IF(COUNTIF($A$3:A1247,A1247)=1,1,0))</f>
        <v>0</v>
      </c>
      <c r="W1247">
        <f t="shared" si="120"/>
        <v>0</v>
      </c>
      <c r="X1247" t="str">
        <f t="shared" si="121"/>
        <v/>
      </c>
      <c r="Y1247">
        <f>IF(X1247="",0,IF(COUNTIF($X$3:X1247,X1247)=1,1,0))</f>
        <v>0</v>
      </c>
      <c r="Z1247">
        <f>IF(V1247&lt;&gt;1,0,IF(X1247="",0,IF(COUNTIF($X$3:X1246,X1247)&gt;0,1,0)))</f>
        <v>0</v>
      </c>
      <c r="AA1247">
        <f t="shared" si="118"/>
        <v>0</v>
      </c>
      <c r="AB1247">
        <f t="shared" si="119"/>
        <v>0</v>
      </c>
      <c r="AC1247">
        <f>IF(I1247="",0,L1247*IFERROR(INDEX(کاتالوگ_محصولات!$G$4:$G$303,MATCH(I1247,کاتالوگ_محصولات!$A$4:$A$303,0)),0))</f>
        <v>0</v>
      </c>
      <c r="AD1247">
        <f t="shared" si="122"/>
        <v>0</v>
      </c>
      <c r="AE1247" t="str">
        <f t="shared" si="123"/>
        <v/>
      </c>
    </row>
    <row r="1248" spans="22:31" ht="18" customHeight="1">
      <c r="V1248">
        <f>IF(A1248="",0,IF(COUNTIF($A$3:A1248,A1248)=1,1,0))</f>
        <v>0</v>
      </c>
      <c r="W1248">
        <f t="shared" si="120"/>
        <v>0</v>
      </c>
      <c r="X1248" t="str">
        <f t="shared" si="121"/>
        <v/>
      </c>
      <c r="Y1248">
        <f>IF(X1248="",0,IF(COUNTIF($X$3:X1248,X1248)=1,1,0))</f>
        <v>0</v>
      </c>
      <c r="Z1248">
        <f>IF(V1248&lt;&gt;1,0,IF(X1248="",0,IF(COUNTIF($X$3:X1247,X1248)&gt;0,1,0)))</f>
        <v>0</v>
      </c>
      <c r="AA1248">
        <f t="shared" si="118"/>
        <v>0</v>
      </c>
      <c r="AB1248">
        <f t="shared" si="119"/>
        <v>0</v>
      </c>
      <c r="AC1248">
        <f>IF(I1248="",0,L1248*IFERROR(INDEX(کاتالوگ_محصولات!$G$4:$G$303,MATCH(I1248,کاتالوگ_محصولات!$A$4:$A$303,0)),0))</f>
        <v>0</v>
      </c>
      <c r="AD1248">
        <f t="shared" si="122"/>
        <v>0</v>
      </c>
      <c r="AE1248" t="str">
        <f t="shared" si="123"/>
        <v/>
      </c>
    </row>
    <row r="1249" spans="22:31" ht="18" customHeight="1">
      <c r="V1249">
        <f>IF(A1249="",0,IF(COUNTIF($A$3:A1249,A1249)=1,1,0))</f>
        <v>0</v>
      </c>
      <c r="W1249">
        <f t="shared" si="120"/>
        <v>0</v>
      </c>
      <c r="X1249" t="str">
        <f t="shared" si="121"/>
        <v/>
      </c>
      <c r="Y1249">
        <f>IF(X1249="",0,IF(COUNTIF($X$3:X1249,X1249)=1,1,0))</f>
        <v>0</v>
      </c>
      <c r="Z1249">
        <f>IF(V1249&lt;&gt;1,0,IF(X1249="",0,IF(COUNTIF($X$3:X1248,X1249)&gt;0,1,0)))</f>
        <v>0</v>
      </c>
      <c r="AA1249">
        <f t="shared" si="118"/>
        <v>0</v>
      </c>
      <c r="AB1249">
        <f t="shared" si="119"/>
        <v>0</v>
      </c>
      <c r="AC1249">
        <f>IF(I1249="",0,L1249*IFERROR(INDEX(کاتالوگ_محصولات!$G$4:$G$303,MATCH(I1249,کاتالوگ_محصولات!$A$4:$A$303,0)),0))</f>
        <v>0</v>
      </c>
      <c r="AD1249">
        <f t="shared" si="122"/>
        <v>0</v>
      </c>
      <c r="AE1249" t="str">
        <f t="shared" si="123"/>
        <v/>
      </c>
    </row>
    <row r="1250" spans="22:31" ht="18" customHeight="1">
      <c r="V1250">
        <f>IF(A1250="",0,IF(COUNTIF($A$3:A1250,A1250)=1,1,0))</f>
        <v>0</v>
      </c>
      <c r="W1250">
        <f t="shared" si="120"/>
        <v>0</v>
      </c>
      <c r="X1250" t="str">
        <f t="shared" si="121"/>
        <v/>
      </c>
      <c r="Y1250">
        <f>IF(X1250="",0,IF(COUNTIF($X$3:X1250,X1250)=1,1,0))</f>
        <v>0</v>
      </c>
      <c r="Z1250">
        <f>IF(V1250&lt;&gt;1,0,IF(X1250="",0,IF(COUNTIF($X$3:X1249,X1250)&gt;0,1,0)))</f>
        <v>0</v>
      </c>
      <c r="AA1250">
        <f t="shared" si="118"/>
        <v>0</v>
      </c>
      <c r="AB1250">
        <f t="shared" si="119"/>
        <v>0</v>
      </c>
      <c r="AC1250">
        <f>IF(I1250="",0,L1250*IFERROR(INDEX(کاتالوگ_محصولات!$G$4:$G$303,MATCH(I1250,کاتالوگ_محصولات!$A$4:$A$303,0)),0))</f>
        <v>0</v>
      </c>
      <c r="AD1250">
        <f t="shared" si="122"/>
        <v>0</v>
      </c>
      <c r="AE1250" t="str">
        <f t="shared" si="123"/>
        <v/>
      </c>
    </row>
    <row r="1251" spans="22:31" ht="18" customHeight="1">
      <c r="V1251">
        <f>IF(A1251="",0,IF(COUNTIF($A$3:A1251,A1251)=1,1,0))</f>
        <v>0</v>
      </c>
      <c r="W1251">
        <f t="shared" si="120"/>
        <v>0</v>
      </c>
      <c r="X1251" t="str">
        <f t="shared" si="121"/>
        <v/>
      </c>
      <c r="Y1251">
        <f>IF(X1251="",0,IF(COUNTIF($X$3:X1251,X1251)=1,1,0))</f>
        <v>0</v>
      </c>
      <c r="Z1251">
        <f>IF(V1251&lt;&gt;1,0,IF(X1251="",0,IF(COUNTIF($X$3:X1250,X1251)&gt;0,1,0)))</f>
        <v>0</v>
      </c>
      <c r="AA1251">
        <f t="shared" si="118"/>
        <v>0</v>
      </c>
      <c r="AB1251">
        <f t="shared" si="119"/>
        <v>0</v>
      </c>
      <c r="AC1251">
        <f>IF(I1251="",0,L1251*IFERROR(INDEX(کاتالوگ_محصولات!$G$4:$G$303,MATCH(I1251,کاتالوگ_محصولات!$A$4:$A$303,0)),0))</f>
        <v>0</v>
      </c>
      <c r="AD1251">
        <f t="shared" si="122"/>
        <v>0</v>
      </c>
      <c r="AE1251" t="str">
        <f t="shared" si="123"/>
        <v/>
      </c>
    </row>
    <row r="1252" spans="22:31" ht="18" customHeight="1">
      <c r="V1252">
        <f>IF(A1252="",0,IF(COUNTIF($A$3:A1252,A1252)=1,1,0))</f>
        <v>0</v>
      </c>
      <c r="W1252">
        <f t="shared" si="120"/>
        <v>0</v>
      </c>
      <c r="X1252" t="str">
        <f t="shared" si="121"/>
        <v/>
      </c>
      <c r="Y1252">
        <f>IF(X1252="",0,IF(COUNTIF($X$3:X1252,X1252)=1,1,0))</f>
        <v>0</v>
      </c>
      <c r="Z1252">
        <f>IF(V1252&lt;&gt;1,0,IF(X1252="",0,IF(COUNTIF($X$3:X1251,X1252)&gt;0,1,0)))</f>
        <v>0</v>
      </c>
      <c r="AA1252">
        <f t="shared" si="118"/>
        <v>0</v>
      </c>
      <c r="AB1252">
        <f t="shared" si="119"/>
        <v>0</v>
      </c>
      <c r="AC1252">
        <f>IF(I1252="",0,L1252*IFERROR(INDEX(کاتالوگ_محصولات!$G$4:$G$303,MATCH(I1252,کاتالوگ_محصولات!$A$4:$A$303,0)),0))</f>
        <v>0</v>
      </c>
      <c r="AD1252">
        <f t="shared" si="122"/>
        <v>0</v>
      </c>
      <c r="AE1252" t="str">
        <f t="shared" si="123"/>
        <v/>
      </c>
    </row>
    <row r="1253" spans="22:31" ht="18" customHeight="1">
      <c r="V1253">
        <f>IF(A1253="",0,IF(COUNTIF($A$3:A1253,A1253)=1,1,0))</f>
        <v>0</v>
      </c>
      <c r="W1253">
        <f t="shared" si="120"/>
        <v>0</v>
      </c>
      <c r="X1253" t="str">
        <f t="shared" si="121"/>
        <v/>
      </c>
      <c r="Y1253">
        <f>IF(X1253="",0,IF(COUNTIF($X$3:X1253,X1253)=1,1,0))</f>
        <v>0</v>
      </c>
      <c r="Z1253">
        <f>IF(V1253&lt;&gt;1,0,IF(X1253="",0,IF(COUNTIF($X$3:X1252,X1253)&gt;0,1,0)))</f>
        <v>0</v>
      </c>
      <c r="AA1253">
        <f t="shared" si="118"/>
        <v>0</v>
      </c>
      <c r="AB1253">
        <f t="shared" si="119"/>
        <v>0</v>
      </c>
      <c r="AC1253">
        <f>IF(I1253="",0,L1253*IFERROR(INDEX(کاتالوگ_محصولات!$G$4:$G$303,MATCH(I1253,کاتالوگ_محصولات!$A$4:$A$303,0)),0))</f>
        <v>0</v>
      </c>
      <c r="AD1253">
        <f t="shared" si="122"/>
        <v>0</v>
      </c>
      <c r="AE1253" t="str">
        <f t="shared" si="123"/>
        <v/>
      </c>
    </row>
    <row r="1254" spans="22:31" ht="18" customHeight="1">
      <c r="V1254">
        <f>IF(A1254="",0,IF(COUNTIF($A$3:A1254,A1254)=1,1,0))</f>
        <v>0</v>
      </c>
      <c r="W1254">
        <f t="shared" si="120"/>
        <v>0</v>
      </c>
      <c r="X1254" t="str">
        <f t="shared" si="121"/>
        <v/>
      </c>
      <c r="Y1254">
        <f>IF(X1254="",0,IF(COUNTIF($X$3:X1254,X1254)=1,1,0))</f>
        <v>0</v>
      </c>
      <c r="Z1254">
        <f>IF(V1254&lt;&gt;1,0,IF(X1254="",0,IF(COUNTIF($X$3:X1253,X1254)&gt;0,1,0)))</f>
        <v>0</v>
      </c>
      <c r="AA1254">
        <f t="shared" si="118"/>
        <v>0</v>
      </c>
      <c r="AB1254">
        <f t="shared" si="119"/>
        <v>0</v>
      </c>
      <c r="AC1254">
        <f>IF(I1254="",0,L1254*IFERROR(INDEX(کاتالوگ_محصولات!$G$4:$G$303,MATCH(I1254,کاتالوگ_محصولات!$A$4:$A$303,0)),0))</f>
        <v>0</v>
      </c>
      <c r="AD1254">
        <f t="shared" si="122"/>
        <v>0</v>
      </c>
      <c r="AE1254" t="str">
        <f t="shared" si="123"/>
        <v/>
      </c>
    </row>
    <row r="1255" spans="22:31" ht="18" customHeight="1">
      <c r="V1255">
        <f>IF(A1255="",0,IF(COUNTIF($A$3:A1255,A1255)=1,1,0))</f>
        <v>0</v>
      </c>
      <c r="W1255">
        <f t="shared" si="120"/>
        <v>0</v>
      </c>
      <c r="X1255" t="str">
        <f t="shared" si="121"/>
        <v/>
      </c>
      <c r="Y1255">
        <f>IF(X1255="",0,IF(COUNTIF($X$3:X1255,X1255)=1,1,0))</f>
        <v>0</v>
      </c>
      <c r="Z1255">
        <f>IF(V1255&lt;&gt;1,0,IF(X1255="",0,IF(COUNTIF($X$3:X1254,X1255)&gt;0,1,0)))</f>
        <v>0</v>
      </c>
      <c r="AA1255">
        <f t="shared" si="118"/>
        <v>0</v>
      </c>
      <c r="AB1255">
        <f t="shared" si="119"/>
        <v>0</v>
      </c>
      <c r="AC1255">
        <f>IF(I1255="",0,L1255*IFERROR(INDEX(کاتالوگ_محصولات!$G$4:$G$303,MATCH(I1255,کاتالوگ_محصولات!$A$4:$A$303,0)),0))</f>
        <v>0</v>
      </c>
      <c r="AD1255">
        <f t="shared" si="122"/>
        <v>0</v>
      </c>
      <c r="AE1255" t="str">
        <f t="shared" si="123"/>
        <v/>
      </c>
    </row>
    <row r="1256" spans="22:31" ht="18" customHeight="1">
      <c r="V1256">
        <f>IF(A1256="",0,IF(COUNTIF($A$3:A1256,A1256)=1,1,0))</f>
        <v>0</v>
      </c>
      <c r="W1256">
        <f t="shared" si="120"/>
        <v>0</v>
      </c>
      <c r="X1256" t="str">
        <f t="shared" si="121"/>
        <v/>
      </c>
      <c r="Y1256">
        <f>IF(X1256="",0,IF(COUNTIF($X$3:X1256,X1256)=1,1,0))</f>
        <v>0</v>
      </c>
      <c r="Z1256">
        <f>IF(V1256&lt;&gt;1,0,IF(X1256="",0,IF(COUNTIF($X$3:X1255,X1256)&gt;0,1,0)))</f>
        <v>0</v>
      </c>
      <c r="AA1256">
        <f t="shared" si="118"/>
        <v>0</v>
      </c>
      <c r="AB1256">
        <f t="shared" si="119"/>
        <v>0</v>
      </c>
      <c r="AC1256">
        <f>IF(I1256="",0,L1256*IFERROR(INDEX(کاتالوگ_محصولات!$G$4:$G$303,MATCH(I1256,کاتالوگ_محصولات!$A$4:$A$303,0)),0))</f>
        <v>0</v>
      </c>
      <c r="AD1256">
        <f t="shared" si="122"/>
        <v>0</v>
      </c>
      <c r="AE1256" t="str">
        <f t="shared" si="123"/>
        <v/>
      </c>
    </row>
    <row r="1257" spans="22:31" ht="18" customHeight="1">
      <c r="V1257">
        <f>IF(A1257="",0,IF(COUNTIF($A$3:A1257,A1257)=1,1,0))</f>
        <v>0</v>
      </c>
      <c r="W1257">
        <f t="shared" si="120"/>
        <v>0</v>
      </c>
      <c r="X1257" t="str">
        <f t="shared" si="121"/>
        <v/>
      </c>
      <c r="Y1257">
        <f>IF(X1257="",0,IF(COUNTIF($X$3:X1257,X1257)=1,1,0))</f>
        <v>0</v>
      </c>
      <c r="Z1257">
        <f>IF(V1257&lt;&gt;1,0,IF(X1257="",0,IF(COUNTIF($X$3:X1256,X1257)&gt;0,1,0)))</f>
        <v>0</v>
      </c>
      <c r="AA1257">
        <f t="shared" si="118"/>
        <v>0</v>
      </c>
      <c r="AB1257">
        <f t="shared" si="119"/>
        <v>0</v>
      </c>
      <c r="AC1257">
        <f>IF(I1257="",0,L1257*IFERROR(INDEX(کاتالوگ_محصولات!$G$4:$G$303,MATCH(I1257,کاتالوگ_محصولات!$A$4:$A$303,0)),0))</f>
        <v>0</v>
      </c>
      <c r="AD1257">
        <f t="shared" si="122"/>
        <v>0</v>
      </c>
      <c r="AE1257" t="str">
        <f t="shared" si="123"/>
        <v/>
      </c>
    </row>
    <row r="1258" spans="22:31" ht="18" customHeight="1">
      <c r="V1258">
        <f>IF(A1258="",0,IF(COUNTIF($A$3:A1258,A1258)=1,1,0))</f>
        <v>0</v>
      </c>
      <c r="W1258">
        <f t="shared" si="120"/>
        <v>0</v>
      </c>
      <c r="X1258" t="str">
        <f t="shared" si="121"/>
        <v/>
      </c>
      <c r="Y1258">
        <f>IF(X1258="",0,IF(COUNTIF($X$3:X1258,X1258)=1,1,0))</f>
        <v>0</v>
      </c>
      <c r="Z1258">
        <f>IF(V1258&lt;&gt;1,0,IF(X1258="",0,IF(COUNTIF($X$3:X1257,X1258)&gt;0,1,0)))</f>
        <v>0</v>
      </c>
      <c r="AA1258">
        <f t="shared" si="118"/>
        <v>0</v>
      </c>
      <c r="AB1258">
        <f t="shared" si="119"/>
        <v>0</v>
      </c>
      <c r="AC1258">
        <f>IF(I1258="",0,L1258*IFERROR(INDEX(کاتالوگ_محصولات!$G$4:$G$303,MATCH(I1258,کاتالوگ_محصولات!$A$4:$A$303,0)),0))</f>
        <v>0</v>
      </c>
      <c r="AD1258">
        <f t="shared" si="122"/>
        <v>0</v>
      </c>
      <c r="AE1258" t="str">
        <f t="shared" si="123"/>
        <v/>
      </c>
    </row>
    <row r="1259" spans="22:31" ht="18" customHeight="1">
      <c r="V1259">
        <f>IF(A1259="",0,IF(COUNTIF($A$3:A1259,A1259)=1,1,0))</f>
        <v>0</v>
      </c>
      <c r="W1259">
        <f t="shared" si="120"/>
        <v>0</v>
      </c>
      <c r="X1259" t="str">
        <f t="shared" si="121"/>
        <v/>
      </c>
      <c r="Y1259">
        <f>IF(X1259="",0,IF(COUNTIF($X$3:X1259,X1259)=1,1,0))</f>
        <v>0</v>
      </c>
      <c r="Z1259">
        <f>IF(V1259&lt;&gt;1,0,IF(X1259="",0,IF(COUNTIF($X$3:X1258,X1259)&gt;0,1,0)))</f>
        <v>0</v>
      </c>
      <c r="AA1259">
        <f t="shared" si="118"/>
        <v>0</v>
      </c>
      <c r="AB1259">
        <f t="shared" si="119"/>
        <v>0</v>
      </c>
      <c r="AC1259">
        <f>IF(I1259="",0,L1259*IFERROR(INDEX(کاتالوگ_محصولات!$G$4:$G$303,MATCH(I1259,کاتالوگ_محصولات!$A$4:$A$303,0)),0))</f>
        <v>0</v>
      </c>
      <c r="AD1259">
        <f t="shared" si="122"/>
        <v>0</v>
      </c>
      <c r="AE1259" t="str">
        <f t="shared" si="123"/>
        <v/>
      </c>
    </row>
    <row r="1260" spans="22:31" ht="18" customHeight="1">
      <c r="V1260">
        <f>IF(A1260="",0,IF(COUNTIF($A$3:A1260,A1260)=1,1,0))</f>
        <v>0</v>
      </c>
      <c r="W1260">
        <f t="shared" si="120"/>
        <v>0</v>
      </c>
      <c r="X1260" t="str">
        <f t="shared" si="121"/>
        <v/>
      </c>
      <c r="Y1260">
        <f>IF(X1260="",0,IF(COUNTIF($X$3:X1260,X1260)=1,1,0))</f>
        <v>0</v>
      </c>
      <c r="Z1260">
        <f>IF(V1260&lt;&gt;1,0,IF(X1260="",0,IF(COUNTIF($X$3:X1259,X1260)&gt;0,1,0)))</f>
        <v>0</v>
      </c>
      <c r="AA1260">
        <f t="shared" si="118"/>
        <v>0</v>
      </c>
      <c r="AB1260">
        <f t="shared" si="119"/>
        <v>0</v>
      </c>
      <c r="AC1260">
        <f>IF(I1260="",0,L1260*IFERROR(INDEX(کاتالوگ_محصولات!$G$4:$G$303,MATCH(I1260,کاتالوگ_محصولات!$A$4:$A$303,0)),0))</f>
        <v>0</v>
      </c>
      <c r="AD1260">
        <f t="shared" si="122"/>
        <v>0</v>
      </c>
      <c r="AE1260" t="str">
        <f t="shared" si="123"/>
        <v/>
      </c>
    </row>
    <row r="1261" spans="22:31" ht="18" customHeight="1">
      <c r="V1261">
        <f>IF(A1261="",0,IF(COUNTIF($A$3:A1261,A1261)=1,1,0))</f>
        <v>0</v>
      </c>
      <c r="W1261">
        <f t="shared" si="120"/>
        <v>0</v>
      </c>
      <c r="X1261" t="str">
        <f t="shared" si="121"/>
        <v/>
      </c>
      <c r="Y1261">
        <f>IF(X1261="",0,IF(COUNTIF($X$3:X1261,X1261)=1,1,0))</f>
        <v>0</v>
      </c>
      <c r="Z1261">
        <f>IF(V1261&lt;&gt;1,0,IF(X1261="",0,IF(COUNTIF($X$3:X1260,X1261)&gt;0,1,0)))</f>
        <v>0</v>
      </c>
      <c r="AA1261">
        <f t="shared" si="118"/>
        <v>0</v>
      </c>
      <c r="AB1261">
        <f t="shared" si="119"/>
        <v>0</v>
      </c>
      <c r="AC1261">
        <f>IF(I1261="",0,L1261*IFERROR(INDEX(کاتالوگ_محصولات!$G$4:$G$303,MATCH(I1261,کاتالوگ_محصولات!$A$4:$A$303,0)),0))</f>
        <v>0</v>
      </c>
      <c r="AD1261">
        <f t="shared" si="122"/>
        <v>0</v>
      </c>
      <c r="AE1261" t="str">
        <f t="shared" si="123"/>
        <v/>
      </c>
    </row>
    <row r="1262" spans="22:31" ht="18" customHeight="1">
      <c r="V1262">
        <f>IF(A1262="",0,IF(COUNTIF($A$3:A1262,A1262)=1,1,0))</f>
        <v>0</v>
      </c>
      <c r="W1262">
        <f t="shared" si="120"/>
        <v>0</v>
      </c>
      <c r="X1262" t="str">
        <f t="shared" si="121"/>
        <v/>
      </c>
      <c r="Y1262">
        <f>IF(X1262="",0,IF(COUNTIF($X$3:X1262,X1262)=1,1,0))</f>
        <v>0</v>
      </c>
      <c r="Z1262">
        <f>IF(V1262&lt;&gt;1,0,IF(X1262="",0,IF(COUNTIF($X$3:X1261,X1262)&gt;0,1,0)))</f>
        <v>0</v>
      </c>
      <c r="AA1262">
        <f t="shared" si="118"/>
        <v>0</v>
      </c>
      <c r="AB1262">
        <f t="shared" si="119"/>
        <v>0</v>
      </c>
      <c r="AC1262">
        <f>IF(I1262="",0,L1262*IFERROR(INDEX(کاتالوگ_محصولات!$G$4:$G$303,MATCH(I1262,کاتالوگ_محصولات!$A$4:$A$303,0)),0))</f>
        <v>0</v>
      </c>
      <c r="AD1262">
        <f t="shared" si="122"/>
        <v>0</v>
      </c>
      <c r="AE1262" t="str">
        <f t="shared" si="123"/>
        <v/>
      </c>
    </row>
    <row r="1263" spans="22:31" ht="18" customHeight="1">
      <c r="V1263">
        <f>IF(A1263="",0,IF(COUNTIF($A$3:A1263,A1263)=1,1,0))</f>
        <v>0</v>
      </c>
      <c r="W1263">
        <f t="shared" si="120"/>
        <v>0</v>
      </c>
      <c r="X1263" t="str">
        <f t="shared" si="121"/>
        <v/>
      </c>
      <c r="Y1263">
        <f>IF(X1263="",0,IF(COUNTIF($X$3:X1263,X1263)=1,1,0))</f>
        <v>0</v>
      </c>
      <c r="Z1263">
        <f>IF(V1263&lt;&gt;1,0,IF(X1263="",0,IF(COUNTIF($X$3:X1262,X1263)&gt;0,1,0)))</f>
        <v>0</v>
      </c>
      <c r="AA1263">
        <f t="shared" si="118"/>
        <v>0</v>
      </c>
      <c r="AB1263">
        <f t="shared" si="119"/>
        <v>0</v>
      </c>
      <c r="AC1263">
        <f>IF(I1263="",0,L1263*IFERROR(INDEX(کاتالوگ_محصولات!$G$4:$G$303,MATCH(I1263,کاتالوگ_محصولات!$A$4:$A$303,0)),0))</f>
        <v>0</v>
      </c>
      <c r="AD1263">
        <f t="shared" si="122"/>
        <v>0</v>
      </c>
      <c r="AE1263" t="str">
        <f t="shared" si="123"/>
        <v/>
      </c>
    </row>
    <row r="1264" spans="22:31" ht="18" customHeight="1">
      <c r="V1264">
        <f>IF(A1264="",0,IF(COUNTIF($A$3:A1264,A1264)=1,1,0))</f>
        <v>0</v>
      </c>
      <c r="W1264">
        <f t="shared" si="120"/>
        <v>0</v>
      </c>
      <c r="X1264" t="str">
        <f t="shared" si="121"/>
        <v/>
      </c>
      <c r="Y1264">
        <f>IF(X1264="",0,IF(COUNTIF($X$3:X1264,X1264)=1,1,0))</f>
        <v>0</v>
      </c>
      <c r="Z1264">
        <f>IF(V1264&lt;&gt;1,0,IF(X1264="",0,IF(COUNTIF($X$3:X1263,X1264)&gt;0,1,0)))</f>
        <v>0</v>
      </c>
      <c r="AA1264">
        <f t="shared" si="118"/>
        <v>0</v>
      </c>
      <c r="AB1264">
        <f t="shared" si="119"/>
        <v>0</v>
      </c>
      <c r="AC1264">
        <f>IF(I1264="",0,L1264*IFERROR(INDEX(کاتالوگ_محصولات!$G$4:$G$303,MATCH(I1264,کاتالوگ_محصولات!$A$4:$A$303,0)),0))</f>
        <v>0</v>
      </c>
      <c r="AD1264">
        <f t="shared" si="122"/>
        <v>0</v>
      </c>
      <c r="AE1264" t="str">
        <f t="shared" si="123"/>
        <v/>
      </c>
    </row>
    <row r="1265" spans="22:31" ht="18" customHeight="1">
      <c r="V1265">
        <f>IF(A1265="",0,IF(COUNTIF($A$3:A1265,A1265)=1,1,0))</f>
        <v>0</v>
      </c>
      <c r="W1265">
        <f t="shared" si="120"/>
        <v>0</v>
      </c>
      <c r="X1265" t="str">
        <f t="shared" si="121"/>
        <v/>
      </c>
      <c r="Y1265">
        <f>IF(X1265="",0,IF(COUNTIF($X$3:X1265,X1265)=1,1,0))</f>
        <v>0</v>
      </c>
      <c r="Z1265">
        <f>IF(V1265&lt;&gt;1,0,IF(X1265="",0,IF(COUNTIF($X$3:X1264,X1265)&gt;0,1,0)))</f>
        <v>0</v>
      </c>
      <c r="AA1265">
        <f t="shared" si="118"/>
        <v>0</v>
      </c>
      <c r="AB1265">
        <f t="shared" si="119"/>
        <v>0</v>
      </c>
      <c r="AC1265">
        <f>IF(I1265="",0,L1265*IFERROR(INDEX(کاتالوگ_محصولات!$G$4:$G$303,MATCH(I1265,کاتالوگ_محصولات!$A$4:$A$303,0)),0))</f>
        <v>0</v>
      </c>
      <c r="AD1265">
        <f t="shared" si="122"/>
        <v>0</v>
      </c>
      <c r="AE1265" t="str">
        <f t="shared" si="123"/>
        <v/>
      </c>
    </row>
    <row r="1266" spans="22:31" ht="18" customHeight="1">
      <c r="V1266">
        <f>IF(A1266="",0,IF(COUNTIF($A$3:A1266,A1266)=1,1,0))</f>
        <v>0</v>
      </c>
      <c r="W1266">
        <f t="shared" si="120"/>
        <v>0</v>
      </c>
      <c r="X1266" t="str">
        <f t="shared" si="121"/>
        <v/>
      </c>
      <c r="Y1266">
        <f>IF(X1266="",0,IF(COUNTIF($X$3:X1266,X1266)=1,1,0))</f>
        <v>0</v>
      </c>
      <c r="Z1266">
        <f>IF(V1266&lt;&gt;1,0,IF(X1266="",0,IF(COUNTIF($X$3:X1265,X1266)&gt;0,1,0)))</f>
        <v>0</v>
      </c>
      <c r="AA1266">
        <f t="shared" si="118"/>
        <v>0</v>
      </c>
      <c r="AB1266">
        <f t="shared" si="119"/>
        <v>0</v>
      </c>
      <c r="AC1266">
        <f>IF(I1266="",0,L1266*IFERROR(INDEX(کاتالوگ_محصولات!$G$4:$G$303,MATCH(I1266,کاتالوگ_محصولات!$A$4:$A$303,0)),0))</f>
        <v>0</v>
      </c>
      <c r="AD1266">
        <f t="shared" si="122"/>
        <v>0</v>
      </c>
      <c r="AE1266" t="str">
        <f t="shared" si="123"/>
        <v/>
      </c>
    </row>
    <row r="1267" spans="22:31" ht="18" customHeight="1">
      <c r="V1267">
        <f>IF(A1267="",0,IF(COUNTIF($A$3:A1267,A1267)=1,1,0))</f>
        <v>0</v>
      </c>
      <c r="W1267">
        <f t="shared" si="120"/>
        <v>0</v>
      </c>
      <c r="X1267" t="str">
        <f t="shared" si="121"/>
        <v/>
      </c>
      <c r="Y1267">
        <f>IF(X1267="",0,IF(COUNTIF($X$3:X1267,X1267)=1,1,0))</f>
        <v>0</v>
      </c>
      <c r="Z1267">
        <f>IF(V1267&lt;&gt;1,0,IF(X1267="",0,IF(COUNTIF($X$3:X1266,X1267)&gt;0,1,0)))</f>
        <v>0</v>
      </c>
      <c r="AA1267">
        <f t="shared" si="118"/>
        <v>0</v>
      </c>
      <c r="AB1267">
        <f t="shared" si="119"/>
        <v>0</v>
      </c>
      <c r="AC1267">
        <f>IF(I1267="",0,L1267*IFERROR(INDEX(کاتالوگ_محصولات!$G$4:$G$303,MATCH(I1267,کاتالوگ_محصولات!$A$4:$A$303,0)),0))</f>
        <v>0</v>
      </c>
      <c r="AD1267">
        <f t="shared" si="122"/>
        <v>0</v>
      </c>
      <c r="AE1267" t="str">
        <f t="shared" si="123"/>
        <v/>
      </c>
    </row>
    <row r="1268" spans="22:31" ht="18" customHeight="1">
      <c r="V1268">
        <f>IF(A1268="",0,IF(COUNTIF($A$3:A1268,A1268)=1,1,0))</f>
        <v>0</v>
      </c>
      <c r="W1268">
        <f t="shared" si="120"/>
        <v>0</v>
      </c>
      <c r="X1268" t="str">
        <f t="shared" si="121"/>
        <v/>
      </c>
      <c r="Y1268">
        <f>IF(X1268="",0,IF(COUNTIF($X$3:X1268,X1268)=1,1,0))</f>
        <v>0</v>
      </c>
      <c r="Z1268">
        <f>IF(V1268&lt;&gt;1,0,IF(X1268="",0,IF(COUNTIF($X$3:X1267,X1268)&gt;0,1,0)))</f>
        <v>0</v>
      </c>
      <c r="AA1268">
        <f t="shared" si="118"/>
        <v>0</v>
      </c>
      <c r="AB1268">
        <f t="shared" si="119"/>
        <v>0</v>
      </c>
      <c r="AC1268">
        <f>IF(I1268="",0,L1268*IFERROR(INDEX(کاتالوگ_محصولات!$G$4:$G$303,MATCH(I1268,کاتالوگ_محصولات!$A$4:$A$303,0)),0))</f>
        <v>0</v>
      </c>
      <c r="AD1268">
        <f t="shared" si="122"/>
        <v>0</v>
      </c>
      <c r="AE1268" t="str">
        <f t="shared" si="123"/>
        <v/>
      </c>
    </row>
    <row r="1269" spans="22:31" ht="18" customHeight="1">
      <c r="V1269">
        <f>IF(A1269="",0,IF(COUNTIF($A$3:A1269,A1269)=1,1,0))</f>
        <v>0</v>
      </c>
      <c r="W1269">
        <f t="shared" si="120"/>
        <v>0</v>
      </c>
      <c r="X1269" t="str">
        <f t="shared" si="121"/>
        <v/>
      </c>
      <c r="Y1269">
        <f>IF(X1269="",0,IF(COUNTIF($X$3:X1269,X1269)=1,1,0))</f>
        <v>0</v>
      </c>
      <c r="Z1269">
        <f>IF(V1269&lt;&gt;1,0,IF(X1269="",0,IF(COUNTIF($X$3:X1268,X1269)&gt;0,1,0)))</f>
        <v>0</v>
      </c>
      <c r="AA1269">
        <f t="shared" si="118"/>
        <v>0</v>
      </c>
      <c r="AB1269">
        <f t="shared" si="119"/>
        <v>0</v>
      </c>
      <c r="AC1269">
        <f>IF(I1269="",0,L1269*IFERROR(INDEX(کاتالوگ_محصولات!$G$4:$G$303,MATCH(I1269,کاتالوگ_محصولات!$A$4:$A$303,0)),0))</f>
        <v>0</v>
      </c>
      <c r="AD1269">
        <f t="shared" si="122"/>
        <v>0</v>
      </c>
      <c r="AE1269" t="str">
        <f t="shared" si="123"/>
        <v/>
      </c>
    </row>
    <row r="1270" spans="22:31" ht="18" customHeight="1">
      <c r="V1270">
        <f>IF(A1270="",0,IF(COUNTIF($A$3:A1270,A1270)=1,1,0))</f>
        <v>0</v>
      </c>
      <c r="W1270">
        <f t="shared" si="120"/>
        <v>0</v>
      </c>
      <c r="X1270" t="str">
        <f t="shared" si="121"/>
        <v/>
      </c>
      <c r="Y1270">
        <f>IF(X1270="",0,IF(COUNTIF($X$3:X1270,X1270)=1,1,0))</f>
        <v>0</v>
      </c>
      <c r="Z1270">
        <f>IF(V1270&lt;&gt;1,0,IF(X1270="",0,IF(COUNTIF($X$3:X1269,X1270)&gt;0,1,0)))</f>
        <v>0</v>
      </c>
      <c r="AA1270">
        <f t="shared" si="118"/>
        <v>0</v>
      </c>
      <c r="AB1270">
        <f t="shared" si="119"/>
        <v>0</v>
      </c>
      <c r="AC1270">
        <f>IF(I1270="",0,L1270*IFERROR(INDEX(کاتالوگ_محصولات!$G$4:$G$303,MATCH(I1270,کاتالوگ_محصولات!$A$4:$A$303,0)),0))</f>
        <v>0</v>
      </c>
      <c r="AD1270">
        <f t="shared" si="122"/>
        <v>0</v>
      </c>
      <c r="AE1270" t="str">
        <f t="shared" si="123"/>
        <v/>
      </c>
    </row>
    <row r="1271" spans="22:31" ht="18" customHeight="1">
      <c r="V1271">
        <f>IF(A1271="",0,IF(COUNTIF($A$3:A1271,A1271)=1,1,0))</f>
        <v>0</v>
      </c>
      <c r="W1271">
        <f t="shared" si="120"/>
        <v>0</v>
      </c>
      <c r="X1271" t="str">
        <f t="shared" si="121"/>
        <v/>
      </c>
      <c r="Y1271">
        <f>IF(X1271="",0,IF(COUNTIF($X$3:X1271,X1271)=1,1,0))</f>
        <v>0</v>
      </c>
      <c r="Z1271">
        <f>IF(V1271&lt;&gt;1,0,IF(X1271="",0,IF(COUNTIF($X$3:X1270,X1271)&gt;0,1,0)))</f>
        <v>0</v>
      </c>
      <c r="AA1271">
        <f t="shared" si="118"/>
        <v>0</v>
      </c>
      <c r="AB1271">
        <f t="shared" si="119"/>
        <v>0</v>
      </c>
      <c r="AC1271">
        <f>IF(I1271="",0,L1271*IFERROR(INDEX(کاتالوگ_محصولات!$G$4:$G$303,MATCH(I1271,کاتالوگ_محصولات!$A$4:$A$303,0)),0))</f>
        <v>0</v>
      </c>
      <c r="AD1271">
        <f t="shared" si="122"/>
        <v>0</v>
      </c>
      <c r="AE1271" t="str">
        <f t="shared" si="123"/>
        <v/>
      </c>
    </row>
    <row r="1272" spans="22:31" ht="18" customHeight="1">
      <c r="V1272">
        <f>IF(A1272="",0,IF(COUNTIF($A$3:A1272,A1272)=1,1,0))</f>
        <v>0</v>
      </c>
      <c r="W1272">
        <f t="shared" si="120"/>
        <v>0</v>
      </c>
      <c r="X1272" t="str">
        <f t="shared" si="121"/>
        <v/>
      </c>
      <c r="Y1272">
        <f>IF(X1272="",0,IF(COUNTIF($X$3:X1272,X1272)=1,1,0))</f>
        <v>0</v>
      </c>
      <c r="Z1272">
        <f>IF(V1272&lt;&gt;1,0,IF(X1272="",0,IF(COUNTIF($X$3:X1271,X1272)&gt;0,1,0)))</f>
        <v>0</v>
      </c>
      <c r="AA1272">
        <f t="shared" si="118"/>
        <v>0</v>
      </c>
      <c r="AB1272">
        <f t="shared" si="119"/>
        <v>0</v>
      </c>
      <c r="AC1272">
        <f>IF(I1272="",0,L1272*IFERROR(INDEX(کاتالوگ_محصولات!$G$4:$G$303,MATCH(I1272,کاتالوگ_محصولات!$A$4:$A$303,0)),0))</f>
        <v>0</v>
      </c>
      <c r="AD1272">
        <f t="shared" si="122"/>
        <v>0</v>
      </c>
      <c r="AE1272" t="str">
        <f t="shared" si="123"/>
        <v/>
      </c>
    </row>
    <row r="1273" spans="22:31" ht="18" customHeight="1">
      <c r="V1273">
        <f>IF(A1273="",0,IF(COUNTIF($A$3:A1273,A1273)=1,1,0))</f>
        <v>0</v>
      </c>
      <c r="W1273">
        <f t="shared" si="120"/>
        <v>0</v>
      </c>
      <c r="X1273" t="str">
        <f t="shared" si="121"/>
        <v/>
      </c>
      <c r="Y1273">
        <f>IF(X1273="",0,IF(COUNTIF($X$3:X1273,X1273)=1,1,0))</f>
        <v>0</v>
      </c>
      <c r="Z1273">
        <f>IF(V1273&lt;&gt;1,0,IF(X1273="",0,IF(COUNTIF($X$3:X1272,X1273)&gt;0,1,0)))</f>
        <v>0</v>
      </c>
      <c r="AA1273">
        <f t="shared" si="118"/>
        <v>0</v>
      </c>
      <c r="AB1273">
        <f t="shared" si="119"/>
        <v>0</v>
      </c>
      <c r="AC1273">
        <f>IF(I1273="",0,L1273*IFERROR(INDEX(کاتالوگ_محصولات!$G$4:$G$303,MATCH(I1273,کاتالوگ_محصولات!$A$4:$A$303,0)),0))</f>
        <v>0</v>
      </c>
      <c r="AD1273">
        <f t="shared" si="122"/>
        <v>0</v>
      </c>
      <c r="AE1273" t="str">
        <f t="shared" si="123"/>
        <v/>
      </c>
    </row>
    <row r="1274" spans="22:31" ht="18" customHeight="1">
      <c r="V1274">
        <f>IF(A1274="",0,IF(COUNTIF($A$3:A1274,A1274)=1,1,0))</f>
        <v>0</v>
      </c>
      <c r="W1274">
        <f t="shared" si="120"/>
        <v>0</v>
      </c>
      <c r="X1274" t="str">
        <f t="shared" si="121"/>
        <v/>
      </c>
      <c r="Y1274">
        <f>IF(X1274="",0,IF(COUNTIF($X$3:X1274,X1274)=1,1,0))</f>
        <v>0</v>
      </c>
      <c r="Z1274">
        <f>IF(V1274&lt;&gt;1,0,IF(X1274="",0,IF(COUNTIF($X$3:X1273,X1274)&gt;0,1,0)))</f>
        <v>0</v>
      </c>
      <c r="AA1274">
        <f t="shared" si="118"/>
        <v>0</v>
      </c>
      <c r="AB1274">
        <f t="shared" si="119"/>
        <v>0</v>
      </c>
      <c r="AC1274">
        <f>IF(I1274="",0,L1274*IFERROR(INDEX(کاتالوگ_محصولات!$G$4:$G$303,MATCH(I1274,کاتالوگ_محصولات!$A$4:$A$303,0)),0))</f>
        <v>0</v>
      </c>
      <c r="AD1274">
        <f t="shared" si="122"/>
        <v>0</v>
      </c>
      <c r="AE1274" t="str">
        <f t="shared" si="123"/>
        <v/>
      </c>
    </row>
    <row r="1275" spans="22:31" ht="18" customHeight="1">
      <c r="V1275">
        <f>IF(A1275="",0,IF(COUNTIF($A$3:A1275,A1275)=1,1,0))</f>
        <v>0</v>
      </c>
      <c r="W1275">
        <f t="shared" si="120"/>
        <v>0</v>
      </c>
      <c r="X1275" t="str">
        <f t="shared" si="121"/>
        <v/>
      </c>
      <c r="Y1275">
        <f>IF(X1275="",0,IF(COUNTIF($X$3:X1275,X1275)=1,1,0))</f>
        <v>0</v>
      </c>
      <c r="Z1275">
        <f>IF(V1275&lt;&gt;1,0,IF(X1275="",0,IF(COUNTIF($X$3:X1274,X1275)&gt;0,1,0)))</f>
        <v>0</v>
      </c>
      <c r="AA1275">
        <f t="shared" si="118"/>
        <v>0</v>
      </c>
      <c r="AB1275">
        <f t="shared" si="119"/>
        <v>0</v>
      </c>
      <c r="AC1275">
        <f>IF(I1275="",0,L1275*IFERROR(INDEX(کاتالوگ_محصولات!$G$4:$G$303,MATCH(I1275,کاتالوگ_محصولات!$A$4:$A$303,0)),0))</f>
        <v>0</v>
      </c>
      <c r="AD1275">
        <f t="shared" si="122"/>
        <v>0</v>
      </c>
      <c r="AE1275" t="str">
        <f t="shared" si="123"/>
        <v/>
      </c>
    </row>
    <row r="1276" spans="22:31" ht="18" customHeight="1">
      <c r="V1276">
        <f>IF(A1276="",0,IF(COUNTIF($A$3:A1276,A1276)=1,1,0))</f>
        <v>0</v>
      </c>
      <c r="W1276">
        <f t="shared" si="120"/>
        <v>0</v>
      </c>
      <c r="X1276" t="str">
        <f t="shared" si="121"/>
        <v/>
      </c>
      <c r="Y1276">
        <f>IF(X1276="",0,IF(COUNTIF($X$3:X1276,X1276)=1,1,0))</f>
        <v>0</v>
      </c>
      <c r="Z1276">
        <f>IF(V1276&lt;&gt;1,0,IF(X1276="",0,IF(COUNTIF($X$3:X1275,X1276)&gt;0,1,0)))</f>
        <v>0</v>
      </c>
      <c r="AA1276">
        <f t="shared" si="118"/>
        <v>0</v>
      </c>
      <c r="AB1276">
        <f t="shared" si="119"/>
        <v>0</v>
      </c>
      <c r="AC1276">
        <f>IF(I1276="",0,L1276*IFERROR(INDEX(کاتالوگ_محصولات!$G$4:$G$303,MATCH(I1276,کاتالوگ_محصولات!$A$4:$A$303,0)),0))</f>
        <v>0</v>
      </c>
      <c r="AD1276">
        <f t="shared" si="122"/>
        <v>0</v>
      </c>
      <c r="AE1276" t="str">
        <f t="shared" si="123"/>
        <v/>
      </c>
    </row>
    <row r="1277" spans="22:31" ht="18" customHeight="1">
      <c r="V1277">
        <f>IF(A1277="",0,IF(COUNTIF($A$3:A1277,A1277)=1,1,0))</f>
        <v>0</v>
      </c>
      <c r="W1277">
        <f t="shared" si="120"/>
        <v>0</v>
      </c>
      <c r="X1277" t="str">
        <f t="shared" si="121"/>
        <v/>
      </c>
      <c r="Y1277">
        <f>IF(X1277="",0,IF(COUNTIF($X$3:X1277,X1277)=1,1,0))</f>
        <v>0</v>
      </c>
      <c r="Z1277">
        <f>IF(V1277&lt;&gt;1,0,IF(X1277="",0,IF(COUNTIF($X$3:X1276,X1277)&gt;0,1,0)))</f>
        <v>0</v>
      </c>
      <c r="AA1277">
        <f t="shared" si="118"/>
        <v>0</v>
      </c>
      <c r="AB1277">
        <f t="shared" si="119"/>
        <v>0</v>
      </c>
      <c r="AC1277">
        <f>IF(I1277="",0,L1277*IFERROR(INDEX(کاتالوگ_محصولات!$G$4:$G$303,MATCH(I1277,کاتالوگ_محصولات!$A$4:$A$303,0)),0))</f>
        <v>0</v>
      </c>
      <c r="AD1277">
        <f t="shared" si="122"/>
        <v>0</v>
      </c>
      <c r="AE1277" t="str">
        <f t="shared" si="123"/>
        <v/>
      </c>
    </row>
    <row r="1278" spans="22:31" ht="18" customHeight="1">
      <c r="V1278">
        <f>IF(A1278="",0,IF(COUNTIF($A$3:A1278,A1278)=1,1,0))</f>
        <v>0</v>
      </c>
      <c r="W1278">
        <f t="shared" si="120"/>
        <v>0</v>
      </c>
      <c r="X1278" t="str">
        <f t="shared" si="121"/>
        <v/>
      </c>
      <c r="Y1278">
        <f>IF(X1278="",0,IF(COUNTIF($X$3:X1278,X1278)=1,1,0))</f>
        <v>0</v>
      </c>
      <c r="Z1278">
        <f>IF(V1278&lt;&gt;1,0,IF(X1278="",0,IF(COUNTIF($X$3:X1277,X1278)&gt;0,1,0)))</f>
        <v>0</v>
      </c>
      <c r="AA1278">
        <f t="shared" si="118"/>
        <v>0</v>
      </c>
      <c r="AB1278">
        <f t="shared" si="119"/>
        <v>0</v>
      </c>
      <c r="AC1278">
        <f>IF(I1278="",0,L1278*IFERROR(INDEX(کاتالوگ_محصولات!$G$4:$G$303,MATCH(I1278,کاتالوگ_محصولات!$A$4:$A$303,0)),0))</f>
        <v>0</v>
      </c>
      <c r="AD1278">
        <f t="shared" si="122"/>
        <v>0</v>
      </c>
      <c r="AE1278" t="str">
        <f t="shared" si="123"/>
        <v/>
      </c>
    </row>
    <row r="1279" spans="22:31" ht="18" customHeight="1">
      <c r="V1279">
        <f>IF(A1279="",0,IF(COUNTIF($A$3:A1279,A1279)=1,1,0))</f>
        <v>0</v>
      </c>
      <c r="W1279">
        <f t="shared" si="120"/>
        <v>0</v>
      </c>
      <c r="X1279" t="str">
        <f t="shared" si="121"/>
        <v/>
      </c>
      <c r="Y1279">
        <f>IF(X1279="",0,IF(COUNTIF($X$3:X1279,X1279)=1,1,0))</f>
        <v>0</v>
      </c>
      <c r="Z1279">
        <f>IF(V1279&lt;&gt;1,0,IF(X1279="",0,IF(COUNTIF($X$3:X1278,X1279)&gt;0,1,0)))</f>
        <v>0</v>
      </c>
      <c r="AA1279">
        <f t="shared" si="118"/>
        <v>0</v>
      </c>
      <c r="AB1279">
        <f t="shared" si="119"/>
        <v>0</v>
      </c>
      <c r="AC1279">
        <f>IF(I1279="",0,L1279*IFERROR(INDEX(کاتالوگ_محصولات!$G$4:$G$303,MATCH(I1279,کاتالوگ_محصولات!$A$4:$A$303,0)),0))</f>
        <v>0</v>
      </c>
      <c r="AD1279">
        <f t="shared" si="122"/>
        <v>0</v>
      </c>
      <c r="AE1279" t="str">
        <f t="shared" si="123"/>
        <v/>
      </c>
    </row>
    <row r="1280" spans="22:31" ht="18" customHeight="1">
      <c r="V1280">
        <f>IF(A1280="",0,IF(COUNTIF($A$3:A1280,A1280)=1,1,0))</f>
        <v>0</v>
      </c>
      <c r="W1280">
        <f t="shared" si="120"/>
        <v>0</v>
      </c>
      <c r="X1280" t="str">
        <f t="shared" si="121"/>
        <v/>
      </c>
      <c r="Y1280">
        <f>IF(X1280="",0,IF(COUNTIF($X$3:X1280,X1280)=1,1,0))</f>
        <v>0</v>
      </c>
      <c r="Z1280">
        <f>IF(V1280&lt;&gt;1,0,IF(X1280="",0,IF(COUNTIF($X$3:X1279,X1280)&gt;0,1,0)))</f>
        <v>0</v>
      </c>
      <c r="AA1280">
        <f t="shared" si="118"/>
        <v>0</v>
      </c>
      <c r="AB1280">
        <f t="shared" si="119"/>
        <v>0</v>
      </c>
      <c r="AC1280">
        <f>IF(I1280="",0,L1280*IFERROR(INDEX(کاتالوگ_محصولات!$G$4:$G$303,MATCH(I1280,کاتالوگ_محصولات!$A$4:$A$303,0)),0))</f>
        <v>0</v>
      </c>
      <c r="AD1280">
        <f t="shared" si="122"/>
        <v>0</v>
      </c>
      <c r="AE1280" t="str">
        <f t="shared" si="123"/>
        <v/>
      </c>
    </row>
    <row r="1281" spans="22:31" ht="18" customHeight="1">
      <c r="V1281">
        <f>IF(A1281="",0,IF(COUNTIF($A$3:A1281,A1281)=1,1,0))</f>
        <v>0</v>
      </c>
      <c r="W1281">
        <f t="shared" si="120"/>
        <v>0</v>
      </c>
      <c r="X1281" t="str">
        <f t="shared" si="121"/>
        <v/>
      </c>
      <c r="Y1281">
        <f>IF(X1281="",0,IF(COUNTIF($X$3:X1281,X1281)=1,1,0))</f>
        <v>0</v>
      </c>
      <c r="Z1281">
        <f>IF(V1281&lt;&gt;1,0,IF(X1281="",0,IF(COUNTIF($X$3:X1280,X1281)&gt;0,1,0)))</f>
        <v>0</v>
      </c>
      <c r="AA1281">
        <f t="shared" si="118"/>
        <v>0</v>
      </c>
      <c r="AB1281">
        <f t="shared" si="119"/>
        <v>0</v>
      </c>
      <c r="AC1281">
        <f>IF(I1281="",0,L1281*IFERROR(INDEX(کاتالوگ_محصولات!$G$4:$G$303,MATCH(I1281,کاتالوگ_محصولات!$A$4:$A$303,0)),0))</f>
        <v>0</v>
      </c>
      <c r="AD1281">
        <f t="shared" si="122"/>
        <v>0</v>
      </c>
      <c r="AE1281" t="str">
        <f t="shared" si="123"/>
        <v/>
      </c>
    </row>
    <row r="1282" spans="22:31" ht="18" customHeight="1">
      <c r="V1282">
        <f>IF(A1282="",0,IF(COUNTIF($A$3:A1282,A1282)=1,1,0))</f>
        <v>0</v>
      </c>
      <c r="W1282">
        <f t="shared" si="120"/>
        <v>0</v>
      </c>
      <c r="X1282" t="str">
        <f t="shared" si="121"/>
        <v/>
      </c>
      <c r="Y1282">
        <f>IF(X1282="",0,IF(COUNTIF($X$3:X1282,X1282)=1,1,0))</f>
        <v>0</v>
      </c>
      <c r="Z1282">
        <f>IF(V1282&lt;&gt;1,0,IF(X1282="",0,IF(COUNTIF($X$3:X1281,X1282)&gt;0,1,0)))</f>
        <v>0</v>
      </c>
      <c r="AA1282">
        <f t="shared" si="118"/>
        <v>0</v>
      </c>
      <c r="AB1282">
        <f t="shared" si="119"/>
        <v>0</v>
      </c>
      <c r="AC1282">
        <f>IF(I1282="",0,L1282*IFERROR(INDEX(کاتالوگ_محصولات!$G$4:$G$303,MATCH(I1282,کاتالوگ_محصولات!$A$4:$A$303,0)),0))</f>
        <v>0</v>
      </c>
      <c r="AD1282">
        <f t="shared" si="122"/>
        <v>0</v>
      </c>
      <c r="AE1282" t="str">
        <f t="shared" si="123"/>
        <v/>
      </c>
    </row>
    <row r="1283" spans="22:31" ht="18" customHeight="1">
      <c r="V1283">
        <f>IF(A1283="",0,IF(COUNTIF($A$3:A1283,A1283)=1,1,0))</f>
        <v>0</v>
      </c>
      <c r="W1283">
        <f t="shared" si="120"/>
        <v>0</v>
      </c>
      <c r="X1283" t="str">
        <f t="shared" si="121"/>
        <v/>
      </c>
      <c r="Y1283">
        <f>IF(X1283="",0,IF(COUNTIF($X$3:X1283,X1283)=1,1,0))</f>
        <v>0</v>
      </c>
      <c r="Z1283">
        <f>IF(V1283&lt;&gt;1,0,IF(X1283="",0,IF(COUNTIF($X$3:X1282,X1283)&gt;0,1,0)))</f>
        <v>0</v>
      </c>
      <c r="AA1283">
        <f t="shared" ref="AA1283:AA1346" si="124">IF(V1283=1,SUMIF($A$3:$A$1622,A1283,$O$3:$O$1622),0)</f>
        <v>0</v>
      </c>
      <c r="AB1283">
        <f t="shared" ref="AB1283:AB1346" si="125">IF(V1283=1,SUMIF($A$3:$A$1622,A1283,$L$3:$L$1622),0)</f>
        <v>0</v>
      </c>
      <c r="AC1283">
        <f>IF(I1283="",0,L1283*IFERROR(INDEX(کاتالوگ_محصولات!$G$4:$G$303,MATCH(I1283,کاتالوگ_محصولات!$A$4:$A$303,0)),0))</f>
        <v>0</v>
      </c>
      <c r="AD1283">
        <f t="shared" si="122"/>
        <v>0</v>
      </c>
      <c r="AE1283" t="str">
        <f t="shared" si="123"/>
        <v/>
      </c>
    </row>
    <row r="1284" spans="22:31" ht="18" customHeight="1">
      <c r="V1284">
        <f>IF(A1284="",0,IF(COUNTIF($A$3:A1284,A1284)=1,1,0))</f>
        <v>0</v>
      </c>
      <c r="W1284">
        <f t="shared" si="120"/>
        <v>0</v>
      </c>
      <c r="X1284" t="str">
        <f t="shared" si="121"/>
        <v/>
      </c>
      <c r="Y1284">
        <f>IF(X1284="",0,IF(COUNTIF($X$3:X1284,X1284)=1,1,0))</f>
        <v>0</v>
      </c>
      <c r="Z1284">
        <f>IF(V1284&lt;&gt;1,0,IF(X1284="",0,IF(COUNTIF($X$3:X1283,X1284)&gt;0,1,0)))</f>
        <v>0</v>
      </c>
      <c r="AA1284">
        <f t="shared" si="124"/>
        <v>0</v>
      </c>
      <c r="AB1284">
        <f t="shared" si="125"/>
        <v>0</v>
      </c>
      <c r="AC1284">
        <f>IF(I1284="",0,L1284*IFERROR(INDEX(کاتالوگ_محصولات!$G$4:$G$303,MATCH(I1284,کاتالوگ_محصولات!$A$4:$A$303,0)),0))</f>
        <v>0</v>
      </c>
      <c r="AD1284">
        <f t="shared" si="122"/>
        <v>0</v>
      </c>
      <c r="AE1284" t="str">
        <f t="shared" si="123"/>
        <v/>
      </c>
    </row>
    <row r="1285" spans="22:31" ht="18" customHeight="1">
      <c r="V1285">
        <f>IF(A1285="",0,IF(COUNTIF($A$3:A1285,A1285)=1,1,0))</f>
        <v>0</v>
      </c>
      <c r="W1285">
        <f t="shared" si="120"/>
        <v>0</v>
      </c>
      <c r="X1285" t="str">
        <f t="shared" si="121"/>
        <v/>
      </c>
      <c r="Y1285">
        <f>IF(X1285="",0,IF(COUNTIF($X$3:X1285,X1285)=1,1,0))</f>
        <v>0</v>
      </c>
      <c r="Z1285">
        <f>IF(V1285&lt;&gt;1,0,IF(X1285="",0,IF(COUNTIF($X$3:X1284,X1285)&gt;0,1,0)))</f>
        <v>0</v>
      </c>
      <c r="AA1285">
        <f t="shared" si="124"/>
        <v>0</v>
      </c>
      <c r="AB1285">
        <f t="shared" si="125"/>
        <v>0</v>
      </c>
      <c r="AC1285">
        <f>IF(I1285="",0,L1285*IFERROR(INDEX(کاتالوگ_محصولات!$G$4:$G$303,MATCH(I1285,کاتالوگ_محصولات!$A$4:$A$303,0)),0))</f>
        <v>0</v>
      </c>
      <c r="AD1285">
        <f t="shared" si="122"/>
        <v>0</v>
      </c>
      <c r="AE1285" t="str">
        <f t="shared" si="123"/>
        <v/>
      </c>
    </row>
    <row r="1286" spans="22:31" ht="18" customHeight="1">
      <c r="V1286">
        <f>IF(A1286="",0,IF(COUNTIF($A$3:A1286,A1286)=1,1,0))</f>
        <v>0</v>
      </c>
      <c r="W1286">
        <f t="shared" si="120"/>
        <v>0</v>
      </c>
      <c r="X1286" t="str">
        <f t="shared" si="121"/>
        <v/>
      </c>
      <c r="Y1286">
        <f>IF(X1286="",0,IF(COUNTIF($X$3:X1286,X1286)=1,1,0))</f>
        <v>0</v>
      </c>
      <c r="Z1286">
        <f>IF(V1286&lt;&gt;1,0,IF(X1286="",0,IF(COUNTIF($X$3:X1285,X1286)&gt;0,1,0)))</f>
        <v>0</v>
      </c>
      <c r="AA1286">
        <f t="shared" si="124"/>
        <v>0</v>
      </c>
      <c r="AB1286">
        <f t="shared" si="125"/>
        <v>0</v>
      </c>
      <c r="AC1286">
        <f>IF(I1286="",0,L1286*IFERROR(INDEX(کاتالوگ_محصولات!$G$4:$G$303,MATCH(I1286,کاتالوگ_محصولات!$A$4:$A$303,0)),0))</f>
        <v>0</v>
      </c>
      <c r="AD1286">
        <f t="shared" si="122"/>
        <v>0</v>
      </c>
      <c r="AE1286" t="str">
        <f t="shared" si="123"/>
        <v/>
      </c>
    </row>
    <row r="1287" spans="22:31" ht="18" customHeight="1">
      <c r="V1287">
        <f>IF(A1287="",0,IF(COUNTIF($A$3:A1287,A1287)=1,1,0))</f>
        <v>0</v>
      </c>
      <c r="W1287">
        <f t="shared" si="120"/>
        <v>0</v>
      </c>
      <c r="X1287" t="str">
        <f t="shared" si="121"/>
        <v/>
      </c>
      <c r="Y1287">
        <f>IF(X1287="",0,IF(COUNTIF($X$3:X1287,X1287)=1,1,0))</f>
        <v>0</v>
      </c>
      <c r="Z1287">
        <f>IF(V1287&lt;&gt;1,0,IF(X1287="",0,IF(COUNTIF($X$3:X1286,X1287)&gt;0,1,0)))</f>
        <v>0</v>
      </c>
      <c r="AA1287">
        <f t="shared" si="124"/>
        <v>0</v>
      </c>
      <c r="AB1287">
        <f t="shared" si="125"/>
        <v>0</v>
      </c>
      <c r="AC1287">
        <f>IF(I1287="",0,L1287*IFERROR(INDEX(کاتالوگ_محصولات!$G$4:$G$303,MATCH(I1287,کاتالوگ_محصولات!$A$4:$A$303,0)),0))</f>
        <v>0</v>
      </c>
      <c r="AD1287">
        <f t="shared" si="122"/>
        <v>0</v>
      </c>
      <c r="AE1287" t="str">
        <f t="shared" si="123"/>
        <v/>
      </c>
    </row>
    <row r="1288" spans="22:31" ht="18" customHeight="1">
      <c r="V1288">
        <f>IF(A1288="",0,IF(COUNTIF($A$3:A1288,A1288)=1,1,0))</f>
        <v>0</v>
      </c>
      <c r="W1288">
        <f t="shared" si="120"/>
        <v>0</v>
      </c>
      <c r="X1288" t="str">
        <f t="shared" si="121"/>
        <v/>
      </c>
      <c r="Y1288">
        <f>IF(X1288="",0,IF(COUNTIF($X$3:X1288,X1288)=1,1,0))</f>
        <v>0</v>
      </c>
      <c r="Z1288">
        <f>IF(V1288&lt;&gt;1,0,IF(X1288="",0,IF(COUNTIF($X$3:X1287,X1288)&gt;0,1,0)))</f>
        <v>0</v>
      </c>
      <c r="AA1288">
        <f t="shared" si="124"/>
        <v>0</v>
      </c>
      <c r="AB1288">
        <f t="shared" si="125"/>
        <v>0</v>
      </c>
      <c r="AC1288">
        <f>IF(I1288="",0,L1288*IFERROR(INDEX(کاتالوگ_محصولات!$G$4:$G$303,MATCH(I1288,کاتالوگ_محصولات!$A$4:$A$303,0)),0))</f>
        <v>0</v>
      </c>
      <c r="AD1288">
        <f t="shared" si="122"/>
        <v>0</v>
      </c>
      <c r="AE1288" t="str">
        <f t="shared" si="123"/>
        <v/>
      </c>
    </row>
    <row r="1289" spans="22:31" ht="18" customHeight="1">
      <c r="V1289">
        <f>IF(A1289="",0,IF(COUNTIF($A$3:A1289,A1289)=1,1,0))</f>
        <v>0</v>
      </c>
      <c r="W1289">
        <f t="shared" ref="W1289:W1352" si="126">IF(A1289="",0,L1289*M1289)</f>
        <v>0</v>
      </c>
      <c r="X1289" t="str">
        <f t="shared" ref="X1289:X1352" si="127">IF(R1289&lt;&gt;"",R1289,IF(AND(P1289&lt;&gt;"",Q1289&lt;&gt;""),P1289&amp;"|"&amp;Q1289,""))</f>
        <v/>
      </c>
      <c r="Y1289">
        <f>IF(X1289="",0,IF(COUNTIF($X$3:X1289,X1289)=1,1,0))</f>
        <v>0</v>
      </c>
      <c r="Z1289">
        <f>IF(V1289&lt;&gt;1,0,IF(X1289="",0,IF(COUNTIF($X$3:X1288,X1289)&gt;0,1,0)))</f>
        <v>0</v>
      </c>
      <c r="AA1289">
        <f t="shared" si="124"/>
        <v>0</v>
      </c>
      <c r="AB1289">
        <f t="shared" si="125"/>
        <v>0</v>
      </c>
      <c r="AC1289">
        <f>IF(I1289="",0,L1289*IFERROR(INDEX(کاتالوگ_محصولات!$G$4:$G$303,MATCH(I1289,کاتالوگ_محصولات!$A$4:$A$303,0)),0))</f>
        <v>0</v>
      </c>
      <c r="AD1289">
        <f t="shared" ref="AD1289:AD1352" si="128">IF(A1289="",0,O1289-AC1289)</f>
        <v>0</v>
      </c>
      <c r="AE1289" t="str">
        <f t="shared" ref="AE1289:AE1352" si="129">IF(B1289="","",LEFT(B1289,7))</f>
        <v/>
      </c>
    </row>
    <row r="1290" spans="22:31" ht="18" customHeight="1">
      <c r="V1290">
        <f>IF(A1290="",0,IF(COUNTIF($A$3:A1290,A1290)=1,1,0))</f>
        <v>0</v>
      </c>
      <c r="W1290">
        <f t="shared" si="126"/>
        <v>0</v>
      </c>
      <c r="X1290" t="str">
        <f t="shared" si="127"/>
        <v/>
      </c>
      <c r="Y1290">
        <f>IF(X1290="",0,IF(COUNTIF($X$3:X1290,X1290)=1,1,0))</f>
        <v>0</v>
      </c>
      <c r="Z1290">
        <f>IF(V1290&lt;&gt;1,0,IF(X1290="",0,IF(COUNTIF($X$3:X1289,X1290)&gt;0,1,0)))</f>
        <v>0</v>
      </c>
      <c r="AA1290">
        <f t="shared" si="124"/>
        <v>0</v>
      </c>
      <c r="AB1290">
        <f t="shared" si="125"/>
        <v>0</v>
      </c>
      <c r="AC1290">
        <f>IF(I1290="",0,L1290*IFERROR(INDEX(کاتالوگ_محصولات!$G$4:$G$303,MATCH(I1290,کاتالوگ_محصولات!$A$4:$A$303,0)),0))</f>
        <v>0</v>
      </c>
      <c r="AD1290">
        <f t="shared" si="128"/>
        <v>0</v>
      </c>
      <c r="AE1290" t="str">
        <f t="shared" si="129"/>
        <v/>
      </c>
    </row>
    <row r="1291" spans="22:31" ht="18" customHeight="1">
      <c r="V1291">
        <f>IF(A1291="",0,IF(COUNTIF($A$3:A1291,A1291)=1,1,0))</f>
        <v>0</v>
      </c>
      <c r="W1291">
        <f t="shared" si="126"/>
        <v>0</v>
      </c>
      <c r="X1291" t="str">
        <f t="shared" si="127"/>
        <v/>
      </c>
      <c r="Y1291">
        <f>IF(X1291="",0,IF(COUNTIF($X$3:X1291,X1291)=1,1,0))</f>
        <v>0</v>
      </c>
      <c r="Z1291">
        <f>IF(V1291&lt;&gt;1,0,IF(X1291="",0,IF(COUNTIF($X$3:X1290,X1291)&gt;0,1,0)))</f>
        <v>0</v>
      </c>
      <c r="AA1291">
        <f t="shared" si="124"/>
        <v>0</v>
      </c>
      <c r="AB1291">
        <f t="shared" si="125"/>
        <v>0</v>
      </c>
      <c r="AC1291">
        <f>IF(I1291="",0,L1291*IFERROR(INDEX(کاتالوگ_محصولات!$G$4:$G$303,MATCH(I1291,کاتالوگ_محصولات!$A$4:$A$303,0)),0))</f>
        <v>0</v>
      </c>
      <c r="AD1291">
        <f t="shared" si="128"/>
        <v>0</v>
      </c>
      <c r="AE1291" t="str">
        <f t="shared" si="129"/>
        <v/>
      </c>
    </row>
    <row r="1292" spans="22:31" ht="18" customHeight="1">
      <c r="V1292">
        <f>IF(A1292="",0,IF(COUNTIF($A$3:A1292,A1292)=1,1,0))</f>
        <v>0</v>
      </c>
      <c r="W1292">
        <f t="shared" si="126"/>
        <v>0</v>
      </c>
      <c r="X1292" t="str">
        <f t="shared" si="127"/>
        <v/>
      </c>
      <c r="Y1292">
        <f>IF(X1292="",0,IF(COUNTIF($X$3:X1292,X1292)=1,1,0))</f>
        <v>0</v>
      </c>
      <c r="Z1292">
        <f>IF(V1292&lt;&gt;1,0,IF(X1292="",0,IF(COUNTIF($X$3:X1291,X1292)&gt;0,1,0)))</f>
        <v>0</v>
      </c>
      <c r="AA1292">
        <f t="shared" si="124"/>
        <v>0</v>
      </c>
      <c r="AB1292">
        <f t="shared" si="125"/>
        <v>0</v>
      </c>
      <c r="AC1292">
        <f>IF(I1292="",0,L1292*IFERROR(INDEX(کاتالوگ_محصولات!$G$4:$G$303,MATCH(I1292,کاتالوگ_محصولات!$A$4:$A$303,0)),0))</f>
        <v>0</v>
      </c>
      <c r="AD1292">
        <f t="shared" si="128"/>
        <v>0</v>
      </c>
      <c r="AE1292" t="str">
        <f t="shared" si="129"/>
        <v/>
      </c>
    </row>
    <row r="1293" spans="22:31" ht="18" customHeight="1">
      <c r="V1293">
        <f>IF(A1293="",0,IF(COUNTIF($A$3:A1293,A1293)=1,1,0))</f>
        <v>0</v>
      </c>
      <c r="W1293">
        <f t="shared" si="126"/>
        <v>0</v>
      </c>
      <c r="X1293" t="str">
        <f t="shared" si="127"/>
        <v/>
      </c>
      <c r="Y1293">
        <f>IF(X1293="",0,IF(COUNTIF($X$3:X1293,X1293)=1,1,0))</f>
        <v>0</v>
      </c>
      <c r="Z1293">
        <f>IF(V1293&lt;&gt;1,0,IF(X1293="",0,IF(COUNTIF($X$3:X1292,X1293)&gt;0,1,0)))</f>
        <v>0</v>
      </c>
      <c r="AA1293">
        <f t="shared" si="124"/>
        <v>0</v>
      </c>
      <c r="AB1293">
        <f t="shared" si="125"/>
        <v>0</v>
      </c>
      <c r="AC1293">
        <f>IF(I1293="",0,L1293*IFERROR(INDEX(کاتالوگ_محصولات!$G$4:$G$303,MATCH(I1293,کاتالوگ_محصولات!$A$4:$A$303,0)),0))</f>
        <v>0</v>
      </c>
      <c r="AD1293">
        <f t="shared" si="128"/>
        <v>0</v>
      </c>
      <c r="AE1293" t="str">
        <f t="shared" si="129"/>
        <v/>
      </c>
    </row>
    <row r="1294" spans="22:31" ht="18" customHeight="1">
      <c r="V1294">
        <f>IF(A1294="",0,IF(COUNTIF($A$3:A1294,A1294)=1,1,0))</f>
        <v>0</v>
      </c>
      <c r="W1294">
        <f t="shared" si="126"/>
        <v>0</v>
      </c>
      <c r="X1294" t="str">
        <f t="shared" si="127"/>
        <v/>
      </c>
      <c r="Y1294">
        <f>IF(X1294="",0,IF(COUNTIF($X$3:X1294,X1294)=1,1,0))</f>
        <v>0</v>
      </c>
      <c r="Z1294">
        <f>IF(V1294&lt;&gt;1,0,IF(X1294="",0,IF(COUNTIF($X$3:X1293,X1294)&gt;0,1,0)))</f>
        <v>0</v>
      </c>
      <c r="AA1294">
        <f t="shared" si="124"/>
        <v>0</v>
      </c>
      <c r="AB1294">
        <f t="shared" si="125"/>
        <v>0</v>
      </c>
      <c r="AC1294">
        <f>IF(I1294="",0,L1294*IFERROR(INDEX(کاتالوگ_محصولات!$G$4:$G$303,MATCH(I1294,کاتالوگ_محصولات!$A$4:$A$303,0)),0))</f>
        <v>0</v>
      </c>
      <c r="AD1294">
        <f t="shared" si="128"/>
        <v>0</v>
      </c>
      <c r="AE1294" t="str">
        <f t="shared" si="129"/>
        <v/>
      </c>
    </row>
    <row r="1295" spans="22:31" ht="18" customHeight="1">
      <c r="V1295">
        <f>IF(A1295="",0,IF(COUNTIF($A$3:A1295,A1295)=1,1,0))</f>
        <v>0</v>
      </c>
      <c r="W1295">
        <f t="shared" si="126"/>
        <v>0</v>
      </c>
      <c r="X1295" t="str">
        <f t="shared" si="127"/>
        <v/>
      </c>
      <c r="Y1295">
        <f>IF(X1295="",0,IF(COUNTIF($X$3:X1295,X1295)=1,1,0))</f>
        <v>0</v>
      </c>
      <c r="Z1295">
        <f>IF(V1295&lt;&gt;1,0,IF(X1295="",0,IF(COUNTIF($X$3:X1294,X1295)&gt;0,1,0)))</f>
        <v>0</v>
      </c>
      <c r="AA1295">
        <f t="shared" si="124"/>
        <v>0</v>
      </c>
      <c r="AB1295">
        <f t="shared" si="125"/>
        <v>0</v>
      </c>
      <c r="AC1295">
        <f>IF(I1295="",0,L1295*IFERROR(INDEX(کاتالوگ_محصولات!$G$4:$G$303,MATCH(I1295,کاتالوگ_محصولات!$A$4:$A$303,0)),0))</f>
        <v>0</v>
      </c>
      <c r="AD1295">
        <f t="shared" si="128"/>
        <v>0</v>
      </c>
      <c r="AE1295" t="str">
        <f t="shared" si="129"/>
        <v/>
      </c>
    </row>
    <row r="1296" spans="22:31" ht="18" customHeight="1">
      <c r="V1296">
        <f>IF(A1296="",0,IF(COUNTIF($A$3:A1296,A1296)=1,1,0))</f>
        <v>0</v>
      </c>
      <c r="W1296">
        <f t="shared" si="126"/>
        <v>0</v>
      </c>
      <c r="X1296" t="str">
        <f t="shared" si="127"/>
        <v/>
      </c>
      <c r="Y1296">
        <f>IF(X1296="",0,IF(COUNTIF($X$3:X1296,X1296)=1,1,0))</f>
        <v>0</v>
      </c>
      <c r="Z1296">
        <f>IF(V1296&lt;&gt;1,0,IF(X1296="",0,IF(COUNTIF($X$3:X1295,X1296)&gt;0,1,0)))</f>
        <v>0</v>
      </c>
      <c r="AA1296">
        <f t="shared" si="124"/>
        <v>0</v>
      </c>
      <c r="AB1296">
        <f t="shared" si="125"/>
        <v>0</v>
      </c>
      <c r="AC1296">
        <f>IF(I1296="",0,L1296*IFERROR(INDEX(کاتالوگ_محصولات!$G$4:$G$303,MATCH(I1296,کاتالوگ_محصولات!$A$4:$A$303,0)),0))</f>
        <v>0</v>
      </c>
      <c r="AD1296">
        <f t="shared" si="128"/>
        <v>0</v>
      </c>
      <c r="AE1296" t="str">
        <f t="shared" si="129"/>
        <v/>
      </c>
    </row>
    <row r="1297" spans="22:31" ht="18" customHeight="1">
      <c r="V1297">
        <f>IF(A1297="",0,IF(COUNTIF($A$3:A1297,A1297)=1,1,0))</f>
        <v>0</v>
      </c>
      <c r="W1297">
        <f t="shared" si="126"/>
        <v>0</v>
      </c>
      <c r="X1297" t="str">
        <f t="shared" si="127"/>
        <v/>
      </c>
      <c r="Y1297">
        <f>IF(X1297="",0,IF(COUNTIF($X$3:X1297,X1297)=1,1,0))</f>
        <v>0</v>
      </c>
      <c r="Z1297">
        <f>IF(V1297&lt;&gt;1,0,IF(X1297="",0,IF(COUNTIF($X$3:X1296,X1297)&gt;0,1,0)))</f>
        <v>0</v>
      </c>
      <c r="AA1297">
        <f t="shared" si="124"/>
        <v>0</v>
      </c>
      <c r="AB1297">
        <f t="shared" si="125"/>
        <v>0</v>
      </c>
      <c r="AC1297">
        <f>IF(I1297="",0,L1297*IFERROR(INDEX(کاتالوگ_محصولات!$G$4:$G$303,MATCH(I1297,کاتالوگ_محصولات!$A$4:$A$303,0)),0))</f>
        <v>0</v>
      </c>
      <c r="AD1297">
        <f t="shared" si="128"/>
        <v>0</v>
      </c>
      <c r="AE1297" t="str">
        <f t="shared" si="129"/>
        <v/>
      </c>
    </row>
    <row r="1298" spans="22:31" ht="18" customHeight="1">
      <c r="V1298">
        <f>IF(A1298="",0,IF(COUNTIF($A$3:A1298,A1298)=1,1,0))</f>
        <v>0</v>
      </c>
      <c r="W1298">
        <f t="shared" si="126"/>
        <v>0</v>
      </c>
      <c r="X1298" t="str">
        <f t="shared" si="127"/>
        <v/>
      </c>
      <c r="Y1298">
        <f>IF(X1298="",0,IF(COUNTIF($X$3:X1298,X1298)=1,1,0))</f>
        <v>0</v>
      </c>
      <c r="Z1298">
        <f>IF(V1298&lt;&gt;1,0,IF(X1298="",0,IF(COUNTIF($X$3:X1297,X1298)&gt;0,1,0)))</f>
        <v>0</v>
      </c>
      <c r="AA1298">
        <f t="shared" si="124"/>
        <v>0</v>
      </c>
      <c r="AB1298">
        <f t="shared" si="125"/>
        <v>0</v>
      </c>
      <c r="AC1298">
        <f>IF(I1298="",0,L1298*IFERROR(INDEX(کاتالوگ_محصولات!$G$4:$G$303,MATCH(I1298,کاتالوگ_محصولات!$A$4:$A$303,0)),0))</f>
        <v>0</v>
      </c>
      <c r="AD1298">
        <f t="shared" si="128"/>
        <v>0</v>
      </c>
      <c r="AE1298" t="str">
        <f t="shared" si="129"/>
        <v/>
      </c>
    </row>
    <row r="1299" spans="22:31" ht="18" customHeight="1">
      <c r="V1299">
        <f>IF(A1299="",0,IF(COUNTIF($A$3:A1299,A1299)=1,1,0))</f>
        <v>0</v>
      </c>
      <c r="W1299">
        <f t="shared" si="126"/>
        <v>0</v>
      </c>
      <c r="X1299" t="str">
        <f t="shared" si="127"/>
        <v/>
      </c>
      <c r="Y1299">
        <f>IF(X1299="",0,IF(COUNTIF($X$3:X1299,X1299)=1,1,0))</f>
        <v>0</v>
      </c>
      <c r="Z1299">
        <f>IF(V1299&lt;&gt;1,0,IF(X1299="",0,IF(COUNTIF($X$3:X1298,X1299)&gt;0,1,0)))</f>
        <v>0</v>
      </c>
      <c r="AA1299">
        <f t="shared" si="124"/>
        <v>0</v>
      </c>
      <c r="AB1299">
        <f t="shared" si="125"/>
        <v>0</v>
      </c>
      <c r="AC1299">
        <f>IF(I1299="",0,L1299*IFERROR(INDEX(کاتالوگ_محصولات!$G$4:$G$303,MATCH(I1299,کاتالوگ_محصولات!$A$4:$A$303,0)),0))</f>
        <v>0</v>
      </c>
      <c r="AD1299">
        <f t="shared" si="128"/>
        <v>0</v>
      </c>
      <c r="AE1299" t="str">
        <f t="shared" si="129"/>
        <v/>
      </c>
    </row>
    <row r="1300" spans="22:31" ht="18" customHeight="1">
      <c r="V1300">
        <f>IF(A1300="",0,IF(COUNTIF($A$3:A1300,A1300)=1,1,0))</f>
        <v>0</v>
      </c>
      <c r="W1300">
        <f t="shared" si="126"/>
        <v>0</v>
      </c>
      <c r="X1300" t="str">
        <f t="shared" si="127"/>
        <v/>
      </c>
      <c r="Y1300">
        <f>IF(X1300="",0,IF(COUNTIF($X$3:X1300,X1300)=1,1,0))</f>
        <v>0</v>
      </c>
      <c r="Z1300">
        <f>IF(V1300&lt;&gt;1,0,IF(X1300="",0,IF(COUNTIF($X$3:X1299,X1300)&gt;0,1,0)))</f>
        <v>0</v>
      </c>
      <c r="AA1300">
        <f t="shared" si="124"/>
        <v>0</v>
      </c>
      <c r="AB1300">
        <f t="shared" si="125"/>
        <v>0</v>
      </c>
      <c r="AC1300">
        <f>IF(I1300="",0,L1300*IFERROR(INDEX(کاتالوگ_محصولات!$G$4:$G$303,MATCH(I1300,کاتالوگ_محصولات!$A$4:$A$303,0)),0))</f>
        <v>0</v>
      </c>
      <c r="AD1300">
        <f t="shared" si="128"/>
        <v>0</v>
      </c>
      <c r="AE1300" t="str">
        <f t="shared" si="129"/>
        <v/>
      </c>
    </row>
    <row r="1301" spans="22:31" ht="18" customHeight="1">
      <c r="V1301">
        <f>IF(A1301="",0,IF(COUNTIF($A$3:A1301,A1301)=1,1,0))</f>
        <v>0</v>
      </c>
      <c r="W1301">
        <f t="shared" si="126"/>
        <v>0</v>
      </c>
      <c r="X1301" t="str">
        <f t="shared" si="127"/>
        <v/>
      </c>
      <c r="Y1301">
        <f>IF(X1301="",0,IF(COUNTIF($X$3:X1301,X1301)=1,1,0))</f>
        <v>0</v>
      </c>
      <c r="Z1301">
        <f>IF(V1301&lt;&gt;1,0,IF(X1301="",0,IF(COUNTIF($X$3:X1300,X1301)&gt;0,1,0)))</f>
        <v>0</v>
      </c>
      <c r="AA1301">
        <f t="shared" si="124"/>
        <v>0</v>
      </c>
      <c r="AB1301">
        <f t="shared" si="125"/>
        <v>0</v>
      </c>
      <c r="AC1301">
        <f>IF(I1301="",0,L1301*IFERROR(INDEX(کاتالوگ_محصولات!$G$4:$G$303,MATCH(I1301,کاتالوگ_محصولات!$A$4:$A$303,0)),0))</f>
        <v>0</v>
      </c>
      <c r="AD1301">
        <f t="shared" si="128"/>
        <v>0</v>
      </c>
      <c r="AE1301" t="str">
        <f t="shared" si="129"/>
        <v/>
      </c>
    </row>
    <row r="1302" spans="22:31" ht="18" customHeight="1">
      <c r="V1302">
        <f>IF(A1302="",0,IF(COUNTIF($A$3:A1302,A1302)=1,1,0))</f>
        <v>0</v>
      </c>
      <c r="W1302">
        <f t="shared" si="126"/>
        <v>0</v>
      </c>
      <c r="X1302" t="str">
        <f t="shared" si="127"/>
        <v/>
      </c>
      <c r="Y1302">
        <f>IF(X1302="",0,IF(COUNTIF($X$3:X1302,X1302)=1,1,0))</f>
        <v>0</v>
      </c>
      <c r="Z1302">
        <f>IF(V1302&lt;&gt;1,0,IF(X1302="",0,IF(COUNTIF($X$3:X1301,X1302)&gt;0,1,0)))</f>
        <v>0</v>
      </c>
      <c r="AA1302">
        <f t="shared" si="124"/>
        <v>0</v>
      </c>
      <c r="AB1302">
        <f t="shared" si="125"/>
        <v>0</v>
      </c>
      <c r="AC1302">
        <f>IF(I1302="",0,L1302*IFERROR(INDEX(کاتالوگ_محصولات!$G$4:$G$303,MATCH(I1302,کاتالوگ_محصولات!$A$4:$A$303,0)),0))</f>
        <v>0</v>
      </c>
      <c r="AD1302">
        <f t="shared" si="128"/>
        <v>0</v>
      </c>
      <c r="AE1302" t="str">
        <f t="shared" si="129"/>
        <v/>
      </c>
    </row>
    <row r="1303" spans="22:31" ht="18" customHeight="1">
      <c r="V1303">
        <f>IF(A1303="",0,IF(COUNTIF($A$3:A1303,A1303)=1,1,0))</f>
        <v>0</v>
      </c>
      <c r="W1303">
        <f t="shared" si="126"/>
        <v>0</v>
      </c>
      <c r="X1303" t="str">
        <f t="shared" si="127"/>
        <v/>
      </c>
      <c r="Y1303">
        <f>IF(X1303="",0,IF(COUNTIF($X$3:X1303,X1303)=1,1,0))</f>
        <v>0</v>
      </c>
      <c r="Z1303">
        <f>IF(V1303&lt;&gt;1,0,IF(X1303="",0,IF(COUNTIF($X$3:X1302,X1303)&gt;0,1,0)))</f>
        <v>0</v>
      </c>
      <c r="AA1303">
        <f t="shared" si="124"/>
        <v>0</v>
      </c>
      <c r="AB1303">
        <f t="shared" si="125"/>
        <v>0</v>
      </c>
      <c r="AC1303">
        <f>IF(I1303="",0,L1303*IFERROR(INDEX(کاتالوگ_محصولات!$G$4:$G$303,MATCH(I1303,کاتالوگ_محصولات!$A$4:$A$303,0)),0))</f>
        <v>0</v>
      </c>
      <c r="AD1303">
        <f t="shared" si="128"/>
        <v>0</v>
      </c>
      <c r="AE1303" t="str">
        <f t="shared" si="129"/>
        <v/>
      </c>
    </row>
    <row r="1304" spans="22:31" ht="18" customHeight="1">
      <c r="V1304">
        <f>IF(A1304="",0,IF(COUNTIF($A$3:A1304,A1304)=1,1,0))</f>
        <v>0</v>
      </c>
      <c r="W1304">
        <f t="shared" si="126"/>
        <v>0</v>
      </c>
      <c r="X1304" t="str">
        <f t="shared" si="127"/>
        <v/>
      </c>
      <c r="Y1304">
        <f>IF(X1304="",0,IF(COUNTIF($X$3:X1304,X1304)=1,1,0))</f>
        <v>0</v>
      </c>
      <c r="Z1304">
        <f>IF(V1304&lt;&gt;1,0,IF(X1304="",0,IF(COUNTIF($X$3:X1303,X1304)&gt;0,1,0)))</f>
        <v>0</v>
      </c>
      <c r="AA1304">
        <f t="shared" si="124"/>
        <v>0</v>
      </c>
      <c r="AB1304">
        <f t="shared" si="125"/>
        <v>0</v>
      </c>
      <c r="AC1304">
        <f>IF(I1304="",0,L1304*IFERROR(INDEX(کاتالوگ_محصولات!$G$4:$G$303,MATCH(I1304,کاتالوگ_محصولات!$A$4:$A$303,0)),0))</f>
        <v>0</v>
      </c>
      <c r="AD1304">
        <f t="shared" si="128"/>
        <v>0</v>
      </c>
      <c r="AE1304" t="str">
        <f t="shared" si="129"/>
        <v/>
      </c>
    </row>
    <row r="1305" spans="22:31" ht="18" customHeight="1">
      <c r="V1305">
        <f>IF(A1305="",0,IF(COUNTIF($A$3:A1305,A1305)=1,1,0))</f>
        <v>0</v>
      </c>
      <c r="W1305">
        <f t="shared" si="126"/>
        <v>0</v>
      </c>
      <c r="X1305" t="str">
        <f t="shared" si="127"/>
        <v/>
      </c>
      <c r="Y1305">
        <f>IF(X1305="",0,IF(COUNTIF($X$3:X1305,X1305)=1,1,0))</f>
        <v>0</v>
      </c>
      <c r="Z1305">
        <f>IF(V1305&lt;&gt;1,0,IF(X1305="",0,IF(COUNTIF($X$3:X1304,X1305)&gt;0,1,0)))</f>
        <v>0</v>
      </c>
      <c r="AA1305">
        <f t="shared" si="124"/>
        <v>0</v>
      </c>
      <c r="AB1305">
        <f t="shared" si="125"/>
        <v>0</v>
      </c>
      <c r="AC1305">
        <f>IF(I1305="",0,L1305*IFERROR(INDEX(کاتالوگ_محصولات!$G$4:$G$303,MATCH(I1305,کاتالوگ_محصولات!$A$4:$A$303,0)),0))</f>
        <v>0</v>
      </c>
      <c r="AD1305">
        <f t="shared" si="128"/>
        <v>0</v>
      </c>
      <c r="AE1305" t="str">
        <f t="shared" si="129"/>
        <v/>
      </c>
    </row>
    <row r="1306" spans="22:31" ht="18" customHeight="1">
      <c r="V1306">
        <f>IF(A1306="",0,IF(COUNTIF($A$3:A1306,A1306)=1,1,0))</f>
        <v>0</v>
      </c>
      <c r="W1306">
        <f t="shared" si="126"/>
        <v>0</v>
      </c>
      <c r="X1306" t="str">
        <f t="shared" si="127"/>
        <v/>
      </c>
      <c r="Y1306">
        <f>IF(X1306="",0,IF(COUNTIF($X$3:X1306,X1306)=1,1,0))</f>
        <v>0</v>
      </c>
      <c r="Z1306">
        <f>IF(V1306&lt;&gt;1,0,IF(X1306="",0,IF(COUNTIF($X$3:X1305,X1306)&gt;0,1,0)))</f>
        <v>0</v>
      </c>
      <c r="AA1306">
        <f t="shared" si="124"/>
        <v>0</v>
      </c>
      <c r="AB1306">
        <f t="shared" si="125"/>
        <v>0</v>
      </c>
      <c r="AC1306">
        <f>IF(I1306="",0,L1306*IFERROR(INDEX(کاتالوگ_محصولات!$G$4:$G$303,MATCH(I1306,کاتالوگ_محصولات!$A$4:$A$303,0)),0))</f>
        <v>0</v>
      </c>
      <c r="AD1306">
        <f t="shared" si="128"/>
        <v>0</v>
      </c>
      <c r="AE1306" t="str">
        <f t="shared" si="129"/>
        <v/>
      </c>
    </row>
    <row r="1307" spans="22:31" ht="18" customHeight="1">
      <c r="V1307">
        <f>IF(A1307="",0,IF(COUNTIF($A$3:A1307,A1307)=1,1,0))</f>
        <v>0</v>
      </c>
      <c r="W1307">
        <f t="shared" si="126"/>
        <v>0</v>
      </c>
      <c r="X1307" t="str">
        <f t="shared" si="127"/>
        <v/>
      </c>
      <c r="Y1307">
        <f>IF(X1307="",0,IF(COUNTIF($X$3:X1307,X1307)=1,1,0))</f>
        <v>0</v>
      </c>
      <c r="Z1307">
        <f>IF(V1307&lt;&gt;1,0,IF(X1307="",0,IF(COUNTIF($X$3:X1306,X1307)&gt;0,1,0)))</f>
        <v>0</v>
      </c>
      <c r="AA1307">
        <f t="shared" si="124"/>
        <v>0</v>
      </c>
      <c r="AB1307">
        <f t="shared" si="125"/>
        <v>0</v>
      </c>
      <c r="AC1307">
        <f>IF(I1307="",0,L1307*IFERROR(INDEX(کاتالوگ_محصولات!$G$4:$G$303,MATCH(I1307,کاتالوگ_محصولات!$A$4:$A$303,0)),0))</f>
        <v>0</v>
      </c>
      <c r="AD1307">
        <f t="shared" si="128"/>
        <v>0</v>
      </c>
      <c r="AE1307" t="str">
        <f t="shared" si="129"/>
        <v/>
      </c>
    </row>
    <row r="1308" spans="22:31" ht="18" customHeight="1">
      <c r="V1308">
        <f>IF(A1308="",0,IF(COUNTIF($A$3:A1308,A1308)=1,1,0))</f>
        <v>0</v>
      </c>
      <c r="W1308">
        <f t="shared" si="126"/>
        <v>0</v>
      </c>
      <c r="X1308" t="str">
        <f t="shared" si="127"/>
        <v/>
      </c>
      <c r="Y1308">
        <f>IF(X1308="",0,IF(COUNTIF($X$3:X1308,X1308)=1,1,0))</f>
        <v>0</v>
      </c>
      <c r="Z1308">
        <f>IF(V1308&lt;&gt;1,0,IF(X1308="",0,IF(COUNTIF($X$3:X1307,X1308)&gt;0,1,0)))</f>
        <v>0</v>
      </c>
      <c r="AA1308">
        <f t="shared" si="124"/>
        <v>0</v>
      </c>
      <c r="AB1308">
        <f t="shared" si="125"/>
        <v>0</v>
      </c>
      <c r="AC1308">
        <f>IF(I1308="",0,L1308*IFERROR(INDEX(کاتالوگ_محصولات!$G$4:$G$303,MATCH(I1308,کاتالوگ_محصولات!$A$4:$A$303,0)),0))</f>
        <v>0</v>
      </c>
      <c r="AD1308">
        <f t="shared" si="128"/>
        <v>0</v>
      </c>
      <c r="AE1308" t="str">
        <f t="shared" si="129"/>
        <v/>
      </c>
    </row>
    <row r="1309" spans="22:31" ht="18" customHeight="1">
      <c r="V1309">
        <f>IF(A1309="",0,IF(COUNTIF($A$3:A1309,A1309)=1,1,0))</f>
        <v>0</v>
      </c>
      <c r="W1309">
        <f t="shared" si="126"/>
        <v>0</v>
      </c>
      <c r="X1309" t="str">
        <f t="shared" si="127"/>
        <v/>
      </c>
      <c r="Y1309">
        <f>IF(X1309="",0,IF(COUNTIF($X$3:X1309,X1309)=1,1,0))</f>
        <v>0</v>
      </c>
      <c r="Z1309">
        <f>IF(V1309&lt;&gt;1,0,IF(X1309="",0,IF(COUNTIF($X$3:X1308,X1309)&gt;0,1,0)))</f>
        <v>0</v>
      </c>
      <c r="AA1309">
        <f t="shared" si="124"/>
        <v>0</v>
      </c>
      <c r="AB1309">
        <f t="shared" si="125"/>
        <v>0</v>
      </c>
      <c r="AC1309">
        <f>IF(I1309="",0,L1309*IFERROR(INDEX(کاتالوگ_محصولات!$G$4:$G$303,MATCH(I1309,کاتالوگ_محصولات!$A$4:$A$303,0)),0))</f>
        <v>0</v>
      </c>
      <c r="AD1309">
        <f t="shared" si="128"/>
        <v>0</v>
      </c>
      <c r="AE1309" t="str">
        <f t="shared" si="129"/>
        <v/>
      </c>
    </row>
    <row r="1310" spans="22:31" ht="18" customHeight="1">
      <c r="V1310">
        <f>IF(A1310="",0,IF(COUNTIF($A$3:A1310,A1310)=1,1,0))</f>
        <v>0</v>
      </c>
      <c r="W1310">
        <f t="shared" si="126"/>
        <v>0</v>
      </c>
      <c r="X1310" t="str">
        <f t="shared" si="127"/>
        <v/>
      </c>
      <c r="Y1310">
        <f>IF(X1310="",0,IF(COUNTIF($X$3:X1310,X1310)=1,1,0))</f>
        <v>0</v>
      </c>
      <c r="Z1310">
        <f>IF(V1310&lt;&gt;1,0,IF(X1310="",0,IF(COUNTIF($X$3:X1309,X1310)&gt;0,1,0)))</f>
        <v>0</v>
      </c>
      <c r="AA1310">
        <f t="shared" si="124"/>
        <v>0</v>
      </c>
      <c r="AB1310">
        <f t="shared" si="125"/>
        <v>0</v>
      </c>
      <c r="AC1310">
        <f>IF(I1310="",0,L1310*IFERROR(INDEX(کاتالوگ_محصولات!$G$4:$G$303,MATCH(I1310,کاتالوگ_محصولات!$A$4:$A$303,0)),0))</f>
        <v>0</v>
      </c>
      <c r="AD1310">
        <f t="shared" si="128"/>
        <v>0</v>
      </c>
      <c r="AE1310" t="str">
        <f t="shared" si="129"/>
        <v/>
      </c>
    </row>
    <row r="1311" spans="22:31" ht="18" customHeight="1">
      <c r="V1311">
        <f>IF(A1311="",0,IF(COUNTIF($A$3:A1311,A1311)=1,1,0))</f>
        <v>0</v>
      </c>
      <c r="W1311">
        <f t="shared" si="126"/>
        <v>0</v>
      </c>
      <c r="X1311" t="str">
        <f t="shared" si="127"/>
        <v/>
      </c>
      <c r="Y1311">
        <f>IF(X1311="",0,IF(COUNTIF($X$3:X1311,X1311)=1,1,0))</f>
        <v>0</v>
      </c>
      <c r="Z1311">
        <f>IF(V1311&lt;&gt;1,0,IF(X1311="",0,IF(COUNTIF($X$3:X1310,X1311)&gt;0,1,0)))</f>
        <v>0</v>
      </c>
      <c r="AA1311">
        <f t="shared" si="124"/>
        <v>0</v>
      </c>
      <c r="AB1311">
        <f t="shared" si="125"/>
        <v>0</v>
      </c>
      <c r="AC1311">
        <f>IF(I1311="",0,L1311*IFERROR(INDEX(کاتالوگ_محصولات!$G$4:$G$303,MATCH(I1311,کاتالوگ_محصولات!$A$4:$A$303,0)),0))</f>
        <v>0</v>
      </c>
      <c r="AD1311">
        <f t="shared" si="128"/>
        <v>0</v>
      </c>
      <c r="AE1311" t="str">
        <f t="shared" si="129"/>
        <v/>
      </c>
    </row>
    <row r="1312" spans="22:31" ht="18" customHeight="1">
      <c r="V1312">
        <f>IF(A1312="",0,IF(COUNTIF($A$3:A1312,A1312)=1,1,0))</f>
        <v>0</v>
      </c>
      <c r="W1312">
        <f t="shared" si="126"/>
        <v>0</v>
      </c>
      <c r="X1312" t="str">
        <f t="shared" si="127"/>
        <v/>
      </c>
      <c r="Y1312">
        <f>IF(X1312="",0,IF(COUNTIF($X$3:X1312,X1312)=1,1,0))</f>
        <v>0</v>
      </c>
      <c r="Z1312">
        <f>IF(V1312&lt;&gt;1,0,IF(X1312="",0,IF(COUNTIF($X$3:X1311,X1312)&gt;0,1,0)))</f>
        <v>0</v>
      </c>
      <c r="AA1312">
        <f t="shared" si="124"/>
        <v>0</v>
      </c>
      <c r="AB1312">
        <f t="shared" si="125"/>
        <v>0</v>
      </c>
      <c r="AC1312">
        <f>IF(I1312="",0,L1312*IFERROR(INDEX(کاتالوگ_محصولات!$G$4:$G$303,MATCH(I1312,کاتالوگ_محصولات!$A$4:$A$303,0)),0))</f>
        <v>0</v>
      </c>
      <c r="AD1312">
        <f t="shared" si="128"/>
        <v>0</v>
      </c>
      <c r="AE1312" t="str">
        <f t="shared" si="129"/>
        <v/>
      </c>
    </row>
    <row r="1313" spans="22:31" ht="18" customHeight="1">
      <c r="V1313">
        <f>IF(A1313="",0,IF(COUNTIF($A$3:A1313,A1313)=1,1,0))</f>
        <v>0</v>
      </c>
      <c r="W1313">
        <f t="shared" si="126"/>
        <v>0</v>
      </c>
      <c r="X1313" t="str">
        <f t="shared" si="127"/>
        <v/>
      </c>
      <c r="Y1313">
        <f>IF(X1313="",0,IF(COUNTIF($X$3:X1313,X1313)=1,1,0))</f>
        <v>0</v>
      </c>
      <c r="Z1313">
        <f>IF(V1313&lt;&gt;1,0,IF(X1313="",0,IF(COUNTIF($X$3:X1312,X1313)&gt;0,1,0)))</f>
        <v>0</v>
      </c>
      <c r="AA1313">
        <f t="shared" si="124"/>
        <v>0</v>
      </c>
      <c r="AB1313">
        <f t="shared" si="125"/>
        <v>0</v>
      </c>
      <c r="AC1313">
        <f>IF(I1313="",0,L1313*IFERROR(INDEX(کاتالوگ_محصولات!$G$4:$G$303,MATCH(I1313,کاتالوگ_محصولات!$A$4:$A$303,0)),0))</f>
        <v>0</v>
      </c>
      <c r="AD1313">
        <f t="shared" si="128"/>
        <v>0</v>
      </c>
      <c r="AE1313" t="str">
        <f t="shared" si="129"/>
        <v/>
      </c>
    </row>
    <row r="1314" spans="22:31" ht="18" customHeight="1">
      <c r="V1314">
        <f>IF(A1314="",0,IF(COUNTIF($A$3:A1314,A1314)=1,1,0))</f>
        <v>0</v>
      </c>
      <c r="W1314">
        <f t="shared" si="126"/>
        <v>0</v>
      </c>
      <c r="X1314" t="str">
        <f t="shared" si="127"/>
        <v/>
      </c>
      <c r="Y1314">
        <f>IF(X1314="",0,IF(COUNTIF($X$3:X1314,X1314)=1,1,0))</f>
        <v>0</v>
      </c>
      <c r="Z1314">
        <f>IF(V1314&lt;&gt;1,0,IF(X1314="",0,IF(COUNTIF($X$3:X1313,X1314)&gt;0,1,0)))</f>
        <v>0</v>
      </c>
      <c r="AA1314">
        <f t="shared" si="124"/>
        <v>0</v>
      </c>
      <c r="AB1314">
        <f t="shared" si="125"/>
        <v>0</v>
      </c>
      <c r="AC1314">
        <f>IF(I1314="",0,L1314*IFERROR(INDEX(کاتالوگ_محصولات!$G$4:$G$303,MATCH(I1314,کاتالوگ_محصولات!$A$4:$A$303,0)),0))</f>
        <v>0</v>
      </c>
      <c r="AD1314">
        <f t="shared" si="128"/>
        <v>0</v>
      </c>
      <c r="AE1314" t="str">
        <f t="shared" si="129"/>
        <v/>
      </c>
    </row>
    <row r="1315" spans="22:31" ht="18" customHeight="1">
      <c r="V1315">
        <f>IF(A1315="",0,IF(COUNTIF($A$3:A1315,A1315)=1,1,0))</f>
        <v>0</v>
      </c>
      <c r="W1315">
        <f t="shared" si="126"/>
        <v>0</v>
      </c>
      <c r="X1315" t="str">
        <f t="shared" si="127"/>
        <v/>
      </c>
      <c r="Y1315">
        <f>IF(X1315="",0,IF(COUNTIF($X$3:X1315,X1315)=1,1,0))</f>
        <v>0</v>
      </c>
      <c r="Z1315">
        <f>IF(V1315&lt;&gt;1,0,IF(X1315="",0,IF(COUNTIF($X$3:X1314,X1315)&gt;0,1,0)))</f>
        <v>0</v>
      </c>
      <c r="AA1315">
        <f t="shared" si="124"/>
        <v>0</v>
      </c>
      <c r="AB1315">
        <f t="shared" si="125"/>
        <v>0</v>
      </c>
      <c r="AC1315">
        <f>IF(I1315="",0,L1315*IFERROR(INDEX(کاتالوگ_محصولات!$G$4:$G$303,MATCH(I1315,کاتالوگ_محصولات!$A$4:$A$303,0)),0))</f>
        <v>0</v>
      </c>
      <c r="AD1315">
        <f t="shared" si="128"/>
        <v>0</v>
      </c>
      <c r="AE1315" t="str">
        <f t="shared" si="129"/>
        <v/>
      </c>
    </row>
    <row r="1316" spans="22:31" ht="18" customHeight="1">
      <c r="V1316">
        <f>IF(A1316="",0,IF(COUNTIF($A$3:A1316,A1316)=1,1,0))</f>
        <v>0</v>
      </c>
      <c r="W1316">
        <f t="shared" si="126"/>
        <v>0</v>
      </c>
      <c r="X1316" t="str">
        <f t="shared" si="127"/>
        <v/>
      </c>
      <c r="Y1316">
        <f>IF(X1316="",0,IF(COUNTIF($X$3:X1316,X1316)=1,1,0))</f>
        <v>0</v>
      </c>
      <c r="Z1316">
        <f>IF(V1316&lt;&gt;1,0,IF(X1316="",0,IF(COUNTIF($X$3:X1315,X1316)&gt;0,1,0)))</f>
        <v>0</v>
      </c>
      <c r="AA1316">
        <f t="shared" si="124"/>
        <v>0</v>
      </c>
      <c r="AB1316">
        <f t="shared" si="125"/>
        <v>0</v>
      </c>
      <c r="AC1316">
        <f>IF(I1316="",0,L1316*IFERROR(INDEX(کاتالوگ_محصولات!$G$4:$G$303,MATCH(I1316,کاتالوگ_محصولات!$A$4:$A$303,0)),0))</f>
        <v>0</v>
      </c>
      <c r="AD1316">
        <f t="shared" si="128"/>
        <v>0</v>
      </c>
      <c r="AE1316" t="str">
        <f t="shared" si="129"/>
        <v/>
      </c>
    </row>
    <row r="1317" spans="22:31" ht="18" customHeight="1">
      <c r="V1317">
        <f>IF(A1317="",0,IF(COUNTIF($A$3:A1317,A1317)=1,1,0))</f>
        <v>0</v>
      </c>
      <c r="W1317">
        <f t="shared" si="126"/>
        <v>0</v>
      </c>
      <c r="X1317" t="str">
        <f t="shared" si="127"/>
        <v/>
      </c>
      <c r="Y1317">
        <f>IF(X1317="",0,IF(COUNTIF($X$3:X1317,X1317)=1,1,0))</f>
        <v>0</v>
      </c>
      <c r="Z1317">
        <f>IF(V1317&lt;&gt;1,0,IF(X1317="",0,IF(COUNTIF($X$3:X1316,X1317)&gt;0,1,0)))</f>
        <v>0</v>
      </c>
      <c r="AA1317">
        <f t="shared" si="124"/>
        <v>0</v>
      </c>
      <c r="AB1317">
        <f t="shared" si="125"/>
        <v>0</v>
      </c>
      <c r="AC1317">
        <f>IF(I1317="",0,L1317*IFERROR(INDEX(کاتالوگ_محصولات!$G$4:$G$303,MATCH(I1317,کاتالوگ_محصولات!$A$4:$A$303,0)),0))</f>
        <v>0</v>
      </c>
      <c r="AD1317">
        <f t="shared" si="128"/>
        <v>0</v>
      </c>
      <c r="AE1317" t="str">
        <f t="shared" si="129"/>
        <v/>
      </c>
    </row>
    <row r="1318" spans="22:31" ht="18" customHeight="1">
      <c r="V1318">
        <f>IF(A1318="",0,IF(COUNTIF($A$3:A1318,A1318)=1,1,0))</f>
        <v>0</v>
      </c>
      <c r="W1318">
        <f t="shared" si="126"/>
        <v>0</v>
      </c>
      <c r="X1318" t="str">
        <f t="shared" si="127"/>
        <v/>
      </c>
      <c r="Y1318">
        <f>IF(X1318="",0,IF(COUNTIF($X$3:X1318,X1318)=1,1,0))</f>
        <v>0</v>
      </c>
      <c r="Z1318">
        <f>IF(V1318&lt;&gt;1,0,IF(X1318="",0,IF(COUNTIF($X$3:X1317,X1318)&gt;0,1,0)))</f>
        <v>0</v>
      </c>
      <c r="AA1318">
        <f t="shared" si="124"/>
        <v>0</v>
      </c>
      <c r="AB1318">
        <f t="shared" si="125"/>
        <v>0</v>
      </c>
      <c r="AC1318">
        <f>IF(I1318="",0,L1318*IFERROR(INDEX(کاتالوگ_محصولات!$G$4:$G$303,MATCH(I1318,کاتالوگ_محصولات!$A$4:$A$303,0)),0))</f>
        <v>0</v>
      </c>
      <c r="AD1318">
        <f t="shared" si="128"/>
        <v>0</v>
      </c>
      <c r="AE1318" t="str">
        <f t="shared" si="129"/>
        <v/>
      </c>
    </row>
    <row r="1319" spans="22:31" ht="18" customHeight="1">
      <c r="V1319">
        <f>IF(A1319="",0,IF(COUNTIF($A$3:A1319,A1319)=1,1,0))</f>
        <v>0</v>
      </c>
      <c r="W1319">
        <f t="shared" si="126"/>
        <v>0</v>
      </c>
      <c r="X1319" t="str">
        <f t="shared" si="127"/>
        <v/>
      </c>
      <c r="Y1319">
        <f>IF(X1319="",0,IF(COUNTIF($X$3:X1319,X1319)=1,1,0))</f>
        <v>0</v>
      </c>
      <c r="Z1319">
        <f>IF(V1319&lt;&gt;1,0,IF(X1319="",0,IF(COUNTIF($X$3:X1318,X1319)&gt;0,1,0)))</f>
        <v>0</v>
      </c>
      <c r="AA1319">
        <f t="shared" si="124"/>
        <v>0</v>
      </c>
      <c r="AB1319">
        <f t="shared" si="125"/>
        <v>0</v>
      </c>
      <c r="AC1319">
        <f>IF(I1319="",0,L1319*IFERROR(INDEX(کاتالوگ_محصولات!$G$4:$G$303,MATCH(I1319,کاتالوگ_محصولات!$A$4:$A$303,0)),0))</f>
        <v>0</v>
      </c>
      <c r="AD1319">
        <f t="shared" si="128"/>
        <v>0</v>
      </c>
      <c r="AE1319" t="str">
        <f t="shared" si="129"/>
        <v/>
      </c>
    </row>
    <row r="1320" spans="22:31" ht="18" customHeight="1">
      <c r="V1320">
        <f>IF(A1320="",0,IF(COUNTIF($A$3:A1320,A1320)=1,1,0))</f>
        <v>0</v>
      </c>
      <c r="W1320">
        <f t="shared" si="126"/>
        <v>0</v>
      </c>
      <c r="X1320" t="str">
        <f t="shared" si="127"/>
        <v/>
      </c>
      <c r="Y1320">
        <f>IF(X1320="",0,IF(COUNTIF($X$3:X1320,X1320)=1,1,0))</f>
        <v>0</v>
      </c>
      <c r="Z1320">
        <f>IF(V1320&lt;&gt;1,0,IF(X1320="",0,IF(COUNTIF($X$3:X1319,X1320)&gt;0,1,0)))</f>
        <v>0</v>
      </c>
      <c r="AA1320">
        <f t="shared" si="124"/>
        <v>0</v>
      </c>
      <c r="AB1320">
        <f t="shared" si="125"/>
        <v>0</v>
      </c>
      <c r="AC1320">
        <f>IF(I1320="",0,L1320*IFERROR(INDEX(کاتالوگ_محصولات!$G$4:$G$303,MATCH(I1320,کاتالوگ_محصولات!$A$4:$A$303,0)),0))</f>
        <v>0</v>
      </c>
      <c r="AD1320">
        <f t="shared" si="128"/>
        <v>0</v>
      </c>
      <c r="AE1320" t="str">
        <f t="shared" si="129"/>
        <v/>
      </c>
    </row>
    <row r="1321" spans="22:31" ht="18" customHeight="1">
      <c r="V1321">
        <f>IF(A1321="",0,IF(COUNTIF($A$3:A1321,A1321)=1,1,0))</f>
        <v>0</v>
      </c>
      <c r="W1321">
        <f t="shared" si="126"/>
        <v>0</v>
      </c>
      <c r="X1321" t="str">
        <f t="shared" si="127"/>
        <v/>
      </c>
      <c r="Y1321">
        <f>IF(X1321="",0,IF(COUNTIF($X$3:X1321,X1321)=1,1,0))</f>
        <v>0</v>
      </c>
      <c r="Z1321">
        <f>IF(V1321&lt;&gt;1,0,IF(X1321="",0,IF(COUNTIF($X$3:X1320,X1321)&gt;0,1,0)))</f>
        <v>0</v>
      </c>
      <c r="AA1321">
        <f t="shared" si="124"/>
        <v>0</v>
      </c>
      <c r="AB1321">
        <f t="shared" si="125"/>
        <v>0</v>
      </c>
      <c r="AC1321">
        <f>IF(I1321="",0,L1321*IFERROR(INDEX(کاتالوگ_محصولات!$G$4:$G$303,MATCH(I1321,کاتالوگ_محصولات!$A$4:$A$303,0)),0))</f>
        <v>0</v>
      </c>
      <c r="AD1321">
        <f t="shared" si="128"/>
        <v>0</v>
      </c>
      <c r="AE1321" t="str">
        <f t="shared" si="129"/>
        <v/>
      </c>
    </row>
    <row r="1322" spans="22:31" ht="18" customHeight="1">
      <c r="V1322">
        <f>IF(A1322="",0,IF(COUNTIF($A$3:A1322,A1322)=1,1,0))</f>
        <v>0</v>
      </c>
      <c r="W1322">
        <f t="shared" si="126"/>
        <v>0</v>
      </c>
      <c r="X1322" t="str">
        <f t="shared" si="127"/>
        <v/>
      </c>
      <c r="Y1322">
        <f>IF(X1322="",0,IF(COUNTIF($X$3:X1322,X1322)=1,1,0))</f>
        <v>0</v>
      </c>
      <c r="Z1322">
        <f>IF(V1322&lt;&gt;1,0,IF(X1322="",0,IF(COUNTIF($X$3:X1321,X1322)&gt;0,1,0)))</f>
        <v>0</v>
      </c>
      <c r="AA1322">
        <f t="shared" si="124"/>
        <v>0</v>
      </c>
      <c r="AB1322">
        <f t="shared" si="125"/>
        <v>0</v>
      </c>
      <c r="AC1322">
        <f>IF(I1322="",0,L1322*IFERROR(INDEX(کاتالوگ_محصولات!$G$4:$G$303,MATCH(I1322,کاتالوگ_محصولات!$A$4:$A$303,0)),0))</f>
        <v>0</v>
      </c>
      <c r="AD1322">
        <f t="shared" si="128"/>
        <v>0</v>
      </c>
      <c r="AE1322" t="str">
        <f t="shared" si="129"/>
        <v/>
      </c>
    </row>
    <row r="1323" spans="22:31" ht="18" customHeight="1">
      <c r="V1323">
        <f>IF(A1323="",0,IF(COUNTIF($A$3:A1323,A1323)=1,1,0))</f>
        <v>0</v>
      </c>
      <c r="W1323">
        <f t="shared" si="126"/>
        <v>0</v>
      </c>
      <c r="X1323" t="str">
        <f t="shared" si="127"/>
        <v/>
      </c>
      <c r="Y1323">
        <f>IF(X1323="",0,IF(COUNTIF($X$3:X1323,X1323)=1,1,0))</f>
        <v>0</v>
      </c>
      <c r="Z1323">
        <f>IF(V1323&lt;&gt;1,0,IF(X1323="",0,IF(COUNTIF($X$3:X1322,X1323)&gt;0,1,0)))</f>
        <v>0</v>
      </c>
      <c r="AA1323">
        <f t="shared" si="124"/>
        <v>0</v>
      </c>
      <c r="AB1323">
        <f t="shared" si="125"/>
        <v>0</v>
      </c>
      <c r="AC1323">
        <f>IF(I1323="",0,L1323*IFERROR(INDEX(کاتالوگ_محصولات!$G$4:$G$303,MATCH(I1323,کاتالوگ_محصولات!$A$4:$A$303,0)),0))</f>
        <v>0</v>
      </c>
      <c r="AD1323">
        <f t="shared" si="128"/>
        <v>0</v>
      </c>
      <c r="AE1323" t="str">
        <f t="shared" si="129"/>
        <v/>
      </c>
    </row>
    <row r="1324" spans="22:31" ht="18" customHeight="1">
      <c r="V1324">
        <f>IF(A1324="",0,IF(COUNTIF($A$3:A1324,A1324)=1,1,0))</f>
        <v>0</v>
      </c>
      <c r="W1324">
        <f t="shared" si="126"/>
        <v>0</v>
      </c>
      <c r="X1324" t="str">
        <f t="shared" si="127"/>
        <v/>
      </c>
      <c r="Y1324">
        <f>IF(X1324="",0,IF(COUNTIF($X$3:X1324,X1324)=1,1,0))</f>
        <v>0</v>
      </c>
      <c r="Z1324">
        <f>IF(V1324&lt;&gt;1,0,IF(X1324="",0,IF(COUNTIF($X$3:X1323,X1324)&gt;0,1,0)))</f>
        <v>0</v>
      </c>
      <c r="AA1324">
        <f t="shared" si="124"/>
        <v>0</v>
      </c>
      <c r="AB1324">
        <f t="shared" si="125"/>
        <v>0</v>
      </c>
      <c r="AC1324">
        <f>IF(I1324="",0,L1324*IFERROR(INDEX(کاتالوگ_محصولات!$G$4:$G$303,MATCH(I1324,کاتالوگ_محصولات!$A$4:$A$303,0)),0))</f>
        <v>0</v>
      </c>
      <c r="AD1324">
        <f t="shared" si="128"/>
        <v>0</v>
      </c>
      <c r="AE1324" t="str">
        <f t="shared" si="129"/>
        <v/>
      </c>
    </row>
    <row r="1325" spans="22:31" ht="18" customHeight="1">
      <c r="V1325">
        <f>IF(A1325="",0,IF(COUNTIF($A$3:A1325,A1325)=1,1,0))</f>
        <v>0</v>
      </c>
      <c r="W1325">
        <f t="shared" si="126"/>
        <v>0</v>
      </c>
      <c r="X1325" t="str">
        <f t="shared" si="127"/>
        <v/>
      </c>
      <c r="Y1325">
        <f>IF(X1325="",0,IF(COUNTIF($X$3:X1325,X1325)=1,1,0))</f>
        <v>0</v>
      </c>
      <c r="Z1325">
        <f>IF(V1325&lt;&gt;1,0,IF(X1325="",0,IF(COUNTIF($X$3:X1324,X1325)&gt;0,1,0)))</f>
        <v>0</v>
      </c>
      <c r="AA1325">
        <f t="shared" si="124"/>
        <v>0</v>
      </c>
      <c r="AB1325">
        <f t="shared" si="125"/>
        <v>0</v>
      </c>
      <c r="AC1325">
        <f>IF(I1325="",0,L1325*IFERROR(INDEX(کاتالوگ_محصولات!$G$4:$G$303,MATCH(I1325,کاتالوگ_محصولات!$A$4:$A$303,0)),0))</f>
        <v>0</v>
      </c>
      <c r="AD1325">
        <f t="shared" si="128"/>
        <v>0</v>
      </c>
      <c r="AE1325" t="str">
        <f t="shared" si="129"/>
        <v/>
      </c>
    </row>
    <row r="1326" spans="22:31" ht="18" customHeight="1">
      <c r="V1326">
        <f>IF(A1326="",0,IF(COUNTIF($A$3:A1326,A1326)=1,1,0))</f>
        <v>0</v>
      </c>
      <c r="W1326">
        <f t="shared" si="126"/>
        <v>0</v>
      </c>
      <c r="X1326" t="str">
        <f t="shared" si="127"/>
        <v/>
      </c>
      <c r="Y1326">
        <f>IF(X1326="",0,IF(COUNTIF($X$3:X1326,X1326)=1,1,0))</f>
        <v>0</v>
      </c>
      <c r="Z1326">
        <f>IF(V1326&lt;&gt;1,0,IF(X1326="",0,IF(COUNTIF($X$3:X1325,X1326)&gt;0,1,0)))</f>
        <v>0</v>
      </c>
      <c r="AA1326">
        <f t="shared" si="124"/>
        <v>0</v>
      </c>
      <c r="AB1326">
        <f t="shared" si="125"/>
        <v>0</v>
      </c>
      <c r="AC1326">
        <f>IF(I1326="",0,L1326*IFERROR(INDEX(کاتالوگ_محصولات!$G$4:$G$303,MATCH(I1326,کاتالوگ_محصولات!$A$4:$A$303,0)),0))</f>
        <v>0</v>
      </c>
      <c r="AD1326">
        <f t="shared" si="128"/>
        <v>0</v>
      </c>
      <c r="AE1326" t="str">
        <f t="shared" si="129"/>
        <v/>
      </c>
    </row>
    <row r="1327" spans="22:31" ht="18" customHeight="1">
      <c r="V1327">
        <f>IF(A1327="",0,IF(COUNTIF($A$3:A1327,A1327)=1,1,0))</f>
        <v>0</v>
      </c>
      <c r="W1327">
        <f t="shared" si="126"/>
        <v>0</v>
      </c>
      <c r="X1327" t="str">
        <f t="shared" si="127"/>
        <v/>
      </c>
      <c r="Y1327">
        <f>IF(X1327="",0,IF(COUNTIF($X$3:X1327,X1327)=1,1,0))</f>
        <v>0</v>
      </c>
      <c r="Z1327">
        <f>IF(V1327&lt;&gt;1,0,IF(X1327="",0,IF(COUNTIF($X$3:X1326,X1327)&gt;0,1,0)))</f>
        <v>0</v>
      </c>
      <c r="AA1327">
        <f t="shared" si="124"/>
        <v>0</v>
      </c>
      <c r="AB1327">
        <f t="shared" si="125"/>
        <v>0</v>
      </c>
      <c r="AC1327">
        <f>IF(I1327="",0,L1327*IFERROR(INDEX(کاتالوگ_محصولات!$G$4:$G$303,MATCH(I1327,کاتالوگ_محصولات!$A$4:$A$303,0)),0))</f>
        <v>0</v>
      </c>
      <c r="AD1327">
        <f t="shared" si="128"/>
        <v>0</v>
      </c>
      <c r="AE1327" t="str">
        <f t="shared" si="129"/>
        <v/>
      </c>
    </row>
    <row r="1328" spans="22:31" ht="18" customHeight="1">
      <c r="V1328">
        <f>IF(A1328="",0,IF(COUNTIF($A$3:A1328,A1328)=1,1,0))</f>
        <v>0</v>
      </c>
      <c r="W1328">
        <f t="shared" si="126"/>
        <v>0</v>
      </c>
      <c r="X1328" t="str">
        <f t="shared" si="127"/>
        <v/>
      </c>
      <c r="Y1328">
        <f>IF(X1328="",0,IF(COUNTIF($X$3:X1328,X1328)=1,1,0))</f>
        <v>0</v>
      </c>
      <c r="Z1328">
        <f>IF(V1328&lt;&gt;1,0,IF(X1328="",0,IF(COUNTIF($X$3:X1327,X1328)&gt;0,1,0)))</f>
        <v>0</v>
      </c>
      <c r="AA1328">
        <f t="shared" si="124"/>
        <v>0</v>
      </c>
      <c r="AB1328">
        <f t="shared" si="125"/>
        <v>0</v>
      </c>
      <c r="AC1328">
        <f>IF(I1328="",0,L1328*IFERROR(INDEX(کاتالوگ_محصولات!$G$4:$G$303,MATCH(I1328,کاتالوگ_محصولات!$A$4:$A$303,0)),0))</f>
        <v>0</v>
      </c>
      <c r="AD1328">
        <f t="shared" si="128"/>
        <v>0</v>
      </c>
      <c r="AE1328" t="str">
        <f t="shared" si="129"/>
        <v/>
      </c>
    </row>
    <row r="1329" spans="22:31" ht="18" customHeight="1">
      <c r="V1329">
        <f>IF(A1329="",0,IF(COUNTIF($A$3:A1329,A1329)=1,1,0))</f>
        <v>0</v>
      </c>
      <c r="W1329">
        <f t="shared" si="126"/>
        <v>0</v>
      </c>
      <c r="X1329" t="str">
        <f t="shared" si="127"/>
        <v/>
      </c>
      <c r="Y1329">
        <f>IF(X1329="",0,IF(COUNTIF($X$3:X1329,X1329)=1,1,0))</f>
        <v>0</v>
      </c>
      <c r="Z1329">
        <f>IF(V1329&lt;&gt;1,0,IF(X1329="",0,IF(COUNTIF($X$3:X1328,X1329)&gt;0,1,0)))</f>
        <v>0</v>
      </c>
      <c r="AA1329">
        <f t="shared" si="124"/>
        <v>0</v>
      </c>
      <c r="AB1329">
        <f t="shared" si="125"/>
        <v>0</v>
      </c>
      <c r="AC1329">
        <f>IF(I1329="",0,L1329*IFERROR(INDEX(کاتالوگ_محصولات!$G$4:$G$303,MATCH(I1329,کاتالوگ_محصولات!$A$4:$A$303,0)),0))</f>
        <v>0</v>
      </c>
      <c r="AD1329">
        <f t="shared" si="128"/>
        <v>0</v>
      </c>
      <c r="AE1329" t="str">
        <f t="shared" si="129"/>
        <v/>
      </c>
    </row>
    <row r="1330" spans="22:31" ht="18" customHeight="1">
      <c r="V1330">
        <f>IF(A1330="",0,IF(COUNTIF($A$3:A1330,A1330)=1,1,0))</f>
        <v>0</v>
      </c>
      <c r="W1330">
        <f t="shared" si="126"/>
        <v>0</v>
      </c>
      <c r="X1330" t="str">
        <f t="shared" si="127"/>
        <v/>
      </c>
      <c r="Y1330">
        <f>IF(X1330="",0,IF(COUNTIF($X$3:X1330,X1330)=1,1,0))</f>
        <v>0</v>
      </c>
      <c r="Z1330">
        <f>IF(V1330&lt;&gt;1,0,IF(X1330="",0,IF(COUNTIF($X$3:X1329,X1330)&gt;0,1,0)))</f>
        <v>0</v>
      </c>
      <c r="AA1330">
        <f t="shared" si="124"/>
        <v>0</v>
      </c>
      <c r="AB1330">
        <f t="shared" si="125"/>
        <v>0</v>
      </c>
      <c r="AC1330">
        <f>IF(I1330="",0,L1330*IFERROR(INDEX(کاتالوگ_محصولات!$G$4:$G$303,MATCH(I1330,کاتالوگ_محصولات!$A$4:$A$303,0)),0))</f>
        <v>0</v>
      </c>
      <c r="AD1330">
        <f t="shared" si="128"/>
        <v>0</v>
      </c>
      <c r="AE1330" t="str">
        <f t="shared" si="129"/>
        <v/>
      </c>
    </row>
    <row r="1331" spans="22:31" ht="18" customHeight="1">
      <c r="V1331">
        <f>IF(A1331="",0,IF(COUNTIF($A$3:A1331,A1331)=1,1,0))</f>
        <v>0</v>
      </c>
      <c r="W1331">
        <f t="shared" si="126"/>
        <v>0</v>
      </c>
      <c r="X1331" t="str">
        <f t="shared" si="127"/>
        <v/>
      </c>
      <c r="Y1331">
        <f>IF(X1331="",0,IF(COUNTIF($X$3:X1331,X1331)=1,1,0))</f>
        <v>0</v>
      </c>
      <c r="Z1331">
        <f>IF(V1331&lt;&gt;1,0,IF(X1331="",0,IF(COUNTIF($X$3:X1330,X1331)&gt;0,1,0)))</f>
        <v>0</v>
      </c>
      <c r="AA1331">
        <f t="shared" si="124"/>
        <v>0</v>
      </c>
      <c r="AB1331">
        <f t="shared" si="125"/>
        <v>0</v>
      </c>
      <c r="AC1331">
        <f>IF(I1331="",0,L1331*IFERROR(INDEX(کاتالوگ_محصولات!$G$4:$G$303,MATCH(I1331,کاتالوگ_محصولات!$A$4:$A$303,0)),0))</f>
        <v>0</v>
      </c>
      <c r="AD1331">
        <f t="shared" si="128"/>
        <v>0</v>
      </c>
      <c r="AE1331" t="str">
        <f t="shared" si="129"/>
        <v/>
      </c>
    </row>
    <row r="1332" spans="22:31" ht="18" customHeight="1">
      <c r="V1332">
        <f>IF(A1332="",0,IF(COUNTIF($A$3:A1332,A1332)=1,1,0))</f>
        <v>0</v>
      </c>
      <c r="W1332">
        <f t="shared" si="126"/>
        <v>0</v>
      </c>
      <c r="X1332" t="str">
        <f t="shared" si="127"/>
        <v/>
      </c>
      <c r="Y1332">
        <f>IF(X1332="",0,IF(COUNTIF($X$3:X1332,X1332)=1,1,0))</f>
        <v>0</v>
      </c>
      <c r="Z1332">
        <f>IF(V1332&lt;&gt;1,0,IF(X1332="",0,IF(COUNTIF($X$3:X1331,X1332)&gt;0,1,0)))</f>
        <v>0</v>
      </c>
      <c r="AA1332">
        <f t="shared" si="124"/>
        <v>0</v>
      </c>
      <c r="AB1332">
        <f t="shared" si="125"/>
        <v>0</v>
      </c>
      <c r="AC1332">
        <f>IF(I1332="",0,L1332*IFERROR(INDEX(کاتالوگ_محصولات!$G$4:$G$303,MATCH(I1332,کاتالوگ_محصولات!$A$4:$A$303,0)),0))</f>
        <v>0</v>
      </c>
      <c r="AD1332">
        <f t="shared" si="128"/>
        <v>0</v>
      </c>
      <c r="AE1332" t="str">
        <f t="shared" si="129"/>
        <v/>
      </c>
    </row>
    <row r="1333" spans="22:31" ht="18" customHeight="1">
      <c r="V1333">
        <f>IF(A1333="",0,IF(COUNTIF($A$3:A1333,A1333)=1,1,0))</f>
        <v>0</v>
      </c>
      <c r="W1333">
        <f t="shared" si="126"/>
        <v>0</v>
      </c>
      <c r="X1333" t="str">
        <f t="shared" si="127"/>
        <v/>
      </c>
      <c r="Y1333">
        <f>IF(X1333="",0,IF(COUNTIF($X$3:X1333,X1333)=1,1,0))</f>
        <v>0</v>
      </c>
      <c r="Z1333">
        <f>IF(V1333&lt;&gt;1,0,IF(X1333="",0,IF(COUNTIF($X$3:X1332,X1333)&gt;0,1,0)))</f>
        <v>0</v>
      </c>
      <c r="AA1333">
        <f t="shared" si="124"/>
        <v>0</v>
      </c>
      <c r="AB1333">
        <f t="shared" si="125"/>
        <v>0</v>
      </c>
      <c r="AC1333">
        <f>IF(I1333="",0,L1333*IFERROR(INDEX(کاتالوگ_محصولات!$G$4:$G$303,MATCH(I1333,کاتالوگ_محصولات!$A$4:$A$303,0)),0))</f>
        <v>0</v>
      </c>
      <c r="AD1333">
        <f t="shared" si="128"/>
        <v>0</v>
      </c>
      <c r="AE1333" t="str">
        <f t="shared" si="129"/>
        <v/>
      </c>
    </row>
    <row r="1334" spans="22:31" ht="18" customHeight="1">
      <c r="V1334">
        <f>IF(A1334="",0,IF(COUNTIF($A$3:A1334,A1334)=1,1,0))</f>
        <v>0</v>
      </c>
      <c r="W1334">
        <f t="shared" si="126"/>
        <v>0</v>
      </c>
      <c r="X1334" t="str">
        <f t="shared" si="127"/>
        <v/>
      </c>
      <c r="Y1334">
        <f>IF(X1334="",0,IF(COUNTIF($X$3:X1334,X1334)=1,1,0))</f>
        <v>0</v>
      </c>
      <c r="Z1334">
        <f>IF(V1334&lt;&gt;1,0,IF(X1334="",0,IF(COUNTIF($X$3:X1333,X1334)&gt;0,1,0)))</f>
        <v>0</v>
      </c>
      <c r="AA1334">
        <f t="shared" si="124"/>
        <v>0</v>
      </c>
      <c r="AB1334">
        <f t="shared" si="125"/>
        <v>0</v>
      </c>
      <c r="AC1334">
        <f>IF(I1334="",0,L1334*IFERROR(INDEX(کاتالوگ_محصولات!$G$4:$G$303,MATCH(I1334,کاتالوگ_محصولات!$A$4:$A$303,0)),0))</f>
        <v>0</v>
      </c>
      <c r="AD1334">
        <f t="shared" si="128"/>
        <v>0</v>
      </c>
      <c r="AE1334" t="str">
        <f t="shared" si="129"/>
        <v/>
      </c>
    </row>
    <row r="1335" spans="22:31" ht="18" customHeight="1">
      <c r="V1335">
        <f>IF(A1335="",0,IF(COUNTIF($A$3:A1335,A1335)=1,1,0))</f>
        <v>0</v>
      </c>
      <c r="W1335">
        <f t="shared" si="126"/>
        <v>0</v>
      </c>
      <c r="X1335" t="str">
        <f t="shared" si="127"/>
        <v/>
      </c>
      <c r="Y1335">
        <f>IF(X1335="",0,IF(COUNTIF($X$3:X1335,X1335)=1,1,0))</f>
        <v>0</v>
      </c>
      <c r="Z1335">
        <f>IF(V1335&lt;&gt;1,0,IF(X1335="",0,IF(COUNTIF($X$3:X1334,X1335)&gt;0,1,0)))</f>
        <v>0</v>
      </c>
      <c r="AA1335">
        <f t="shared" si="124"/>
        <v>0</v>
      </c>
      <c r="AB1335">
        <f t="shared" si="125"/>
        <v>0</v>
      </c>
      <c r="AC1335">
        <f>IF(I1335="",0,L1335*IFERROR(INDEX(کاتالوگ_محصولات!$G$4:$G$303,MATCH(I1335,کاتالوگ_محصولات!$A$4:$A$303,0)),0))</f>
        <v>0</v>
      </c>
      <c r="AD1335">
        <f t="shared" si="128"/>
        <v>0</v>
      </c>
      <c r="AE1335" t="str">
        <f t="shared" si="129"/>
        <v/>
      </c>
    </row>
    <row r="1336" spans="22:31" ht="18" customHeight="1">
      <c r="V1336">
        <f>IF(A1336="",0,IF(COUNTIF($A$3:A1336,A1336)=1,1,0))</f>
        <v>0</v>
      </c>
      <c r="W1336">
        <f t="shared" si="126"/>
        <v>0</v>
      </c>
      <c r="X1336" t="str">
        <f t="shared" si="127"/>
        <v/>
      </c>
      <c r="Y1336">
        <f>IF(X1336="",0,IF(COUNTIF($X$3:X1336,X1336)=1,1,0))</f>
        <v>0</v>
      </c>
      <c r="Z1336">
        <f>IF(V1336&lt;&gt;1,0,IF(X1336="",0,IF(COUNTIF($X$3:X1335,X1336)&gt;0,1,0)))</f>
        <v>0</v>
      </c>
      <c r="AA1336">
        <f t="shared" si="124"/>
        <v>0</v>
      </c>
      <c r="AB1336">
        <f t="shared" si="125"/>
        <v>0</v>
      </c>
      <c r="AC1336">
        <f>IF(I1336="",0,L1336*IFERROR(INDEX(کاتالوگ_محصولات!$G$4:$G$303,MATCH(I1336,کاتالوگ_محصولات!$A$4:$A$303,0)),0))</f>
        <v>0</v>
      </c>
      <c r="AD1336">
        <f t="shared" si="128"/>
        <v>0</v>
      </c>
      <c r="AE1336" t="str">
        <f t="shared" si="129"/>
        <v/>
      </c>
    </row>
    <row r="1337" spans="22:31" ht="18" customHeight="1">
      <c r="V1337">
        <f>IF(A1337="",0,IF(COUNTIF($A$3:A1337,A1337)=1,1,0))</f>
        <v>0</v>
      </c>
      <c r="W1337">
        <f t="shared" si="126"/>
        <v>0</v>
      </c>
      <c r="X1337" t="str">
        <f t="shared" si="127"/>
        <v/>
      </c>
      <c r="Y1337">
        <f>IF(X1337="",0,IF(COUNTIF($X$3:X1337,X1337)=1,1,0))</f>
        <v>0</v>
      </c>
      <c r="Z1337">
        <f>IF(V1337&lt;&gt;1,0,IF(X1337="",0,IF(COUNTIF($X$3:X1336,X1337)&gt;0,1,0)))</f>
        <v>0</v>
      </c>
      <c r="AA1337">
        <f t="shared" si="124"/>
        <v>0</v>
      </c>
      <c r="AB1337">
        <f t="shared" si="125"/>
        <v>0</v>
      </c>
      <c r="AC1337">
        <f>IF(I1337="",0,L1337*IFERROR(INDEX(کاتالوگ_محصولات!$G$4:$G$303,MATCH(I1337,کاتالوگ_محصولات!$A$4:$A$303,0)),0))</f>
        <v>0</v>
      </c>
      <c r="AD1337">
        <f t="shared" si="128"/>
        <v>0</v>
      </c>
      <c r="AE1337" t="str">
        <f t="shared" si="129"/>
        <v/>
      </c>
    </row>
    <row r="1338" spans="22:31" ht="18" customHeight="1">
      <c r="V1338">
        <f>IF(A1338="",0,IF(COUNTIF($A$3:A1338,A1338)=1,1,0))</f>
        <v>0</v>
      </c>
      <c r="W1338">
        <f t="shared" si="126"/>
        <v>0</v>
      </c>
      <c r="X1338" t="str">
        <f t="shared" si="127"/>
        <v/>
      </c>
      <c r="Y1338">
        <f>IF(X1338="",0,IF(COUNTIF($X$3:X1338,X1338)=1,1,0))</f>
        <v>0</v>
      </c>
      <c r="Z1338">
        <f>IF(V1338&lt;&gt;1,0,IF(X1338="",0,IF(COUNTIF($X$3:X1337,X1338)&gt;0,1,0)))</f>
        <v>0</v>
      </c>
      <c r="AA1338">
        <f t="shared" si="124"/>
        <v>0</v>
      </c>
      <c r="AB1338">
        <f t="shared" si="125"/>
        <v>0</v>
      </c>
      <c r="AC1338">
        <f>IF(I1338="",0,L1338*IFERROR(INDEX(کاتالوگ_محصولات!$G$4:$G$303,MATCH(I1338,کاتالوگ_محصولات!$A$4:$A$303,0)),0))</f>
        <v>0</v>
      </c>
      <c r="AD1338">
        <f t="shared" si="128"/>
        <v>0</v>
      </c>
      <c r="AE1338" t="str">
        <f t="shared" si="129"/>
        <v/>
      </c>
    </row>
    <row r="1339" spans="22:31" ht="18" customHeight="1">
      <c r="V1339">
        <f>IF(A1339="",0,IF(COUNTIF($A$3:A1339,A1339)=1,1,0))</f>
        <v>0</v>
      </c>
      <c r="W1339">
        <f t="shared" si="126"/>
        <v>0</v>
      </c>
      <c r="X1339" t="str">
        <f t="shared" si="127"/>
        <v/>
      </c>
      <c r="Y1339">
        <f>IF(X1339="",0,IF(COUNTIF($X$3:X1339,X1339)=1,1,0))</f>
        <v>0</v>
      </c>
      <c r="Z1339">
        <f>IF(V1339&lt;&gt;1,0,IF(X1339="",0,IF(COUNTIF($X$3:X1338,X1339)&gt;0,1,0)))</f>
        <v>0</v>
      </c>
      <c r="AA1339">
        <f t="shared" si="124"/>
        <v>0</v>
      </c>
      <c r="AB1339">
        <f t="shared" si="125"/>
        <v>0</v>
      </c>
      <c r="AC1339">
        <f>IF(I1339="",0,L1339*IFERROR(INDEX(کاتالوگ_محصولات!$G$4:$G$303,MATCH(I1339,کاتالوگ_محصولات!$A$4:$A$303,0)),0))</f>
        <v>0</v>
      </c>
      <c r="AD1339">
        <f t="shared" si="128"/>
        <v>0</v>
      </c>
      <c r="AE1339" t="str">
        <f t="shared" si="129"/>
        <v/>
      </c>
    </row>
    <row r="1340" spans="22:31" ht="18" customHeight="1">
      <c r="V1340">
        <f>IF(A1340="",0,IF(COUNTIF($A$3:A1340,A1340)=1,1,0))</f>
        <v>0</v>
      </c>
      <c r="W1340">
        <f t="shared" si="126"/>
        <v>0</v>
      </c>
      <c r="X1340" t="str">
        <f t="shared" si="127"/>
        <v/>
      </c>
      <c r="Y1340">
        <f>IF(X1340="",0,IF(COUNTIF($X$3:X1340,X1340)=1,1,0))</f>
        <v>0</v>
      </c>
      <c r="Z1340">
        <f>IF(V1340&lt;&gt;1,0,IF(X1340="",0,IF(COUNTIF($X$3:X1339,X1340)&gt;0,1,0)))</f>
        <v>0</v>
      </c>
      <c r="AA1340">
        <f t="shared" si="124"/>
        <v>0</v>
      </c>
      <c r="AB1340">
        <f t="shared" si="125"/>
        <v>0</v>
      </c>
      <c r="AC1340">
        <f>IF(I1340="",0,L1340*IFERROR(INDEX(کاتالوگ_محصولات!$G$4:$G$303,MATCH(I1340,کاتالوگ_محصولات!$A$4:$A$303,0)),0))</f>
        <v>0</v>
      </c>
      <c r="AD1340">
        <f t="shared" si="128"/>
        <v>0</v>
      </c>
      <c r="AE1340" t="str">
        <f t="shared" si="129"/>
        <v/>
      </c>
    </row>
    <row r="1341" spans="22:31" ht="18" customHeight="1">
      <c r="V1341">
        <f>IF(A1341="",0,IF(COUNTIF($A$3:A1341,A1341)=1,1,0))</f>
        <v>0</v>
      </c>
      <c r="W1341">
        <f t="shared" si="126"/>
        <v>0</v>
      </c>
      <c r="X1341" t="str">
        <f t="shared" si="127"/>
        <v/>
      </c>
      <c r="Y1341">
        <f>IF(X1341="",0,IF(COUNTIF($X$3:X1341,X1341)=1,1,0))</f>
        <v>0</v>
      </c>
      <c r="Z1341">
        <f>IF(V1341&lt;&gt;1,0,IF(X1341="",0,IF(COUNTIF($X$3:X1340,X1341)&gt;0,1,0)))</f>
        <v>0</v>
      </c>
      <c r="AA1341">
        <f t="shared" si="124"/>
        <v>0</v>
      </c>
      <c r="AB1341">
        <f t="shared" si="125"/>
        <v>0</v>
      </c>
      <c r="AC1341">
        <f>IF(I1341="",0,L1341*IFERROR(INDEX(کاتالوگ_محصولات!$G$4:$G$303,MATCH(I1341,کاتالوگ_محصولات!$A$4:$A$303,0)),0))</f>
        <v>0</v>
      </c>
      <c r="AD1341">
        <f t="shared" si="128"/>
        <v>0</v>
      </c>
      <c r="AE1341" t="str">
        <f t="shared" si="129"/>
        <v/>
      </c>
    </row>
    <row r="1342" spans="22:31" ht="18" customHeight="1">
      <c r="V1342">
        <f>IF(A1342="",0,IF(COUNTIF($A$3:A1342,A1342)=1,1,0))</f>
        <v>0</v>
      </c>
      <c r="W1342">
        <f t="shared" si="126"/>
        <v>0</v>
      </c>
      <c r="X1342" t="str">
        <f t="shared" si="127"/>
        <v/>
      </c>
      <c r="Y1342">
        <f>IF(X1342="",0,IF(COUNTIF($X$3:X1342,X1342)=1,1,0))</f>
        <v>0</v>
      </c>
      <c r="Z1342">
        <f>IF(V1342&lt;&gt;1,0,IF(X1342="",0,IF(COUNTIF($X$3:X1341,X1342)&gt;0,1,0)))</f>
        <v>0</v>
      </c>
      <c r="AA1342">
        <f t="shared" si="124"/>
        <v>0</v>
      </c>
      <c r="AB1342">
        <f t="shared" si="125"/>
        <v>0</v>
      </c>
      <c r="AC1342">
        <f>IF(I1342="",0,L1342*IFERROR(INDEX(کاتالوگ_محصولات!$G$4:$G$303,MATCH(I1342,کاتالوگ_محصولات!$A$4:$A$303,0)),0))</f>
        <v>0</v>
      </c>
      <c r="AD1342">
        <f t="shared" si="128"/>
        <v>0</v>
      </c>
      <c r="AE1342" t="str">
        <f t="shared" si="129"/>
        <v/>
      </c>
    </row>
    <row r="1343" spans="22:31" ht="18" customHeight="1">
      <c r="V1343">
        <f>IF(A1343="",0,IF(COUNTIF($A$3:A1343,A1343)=1,1,0))</f>
        <v>0</v>
      </c>
      <c r="W1343">
        <f t="shared" si="126"/>
        <v>0</v>
      </c>
      <c r="X1343" t="str">
        <f t="shared" si="127"/>
        <v/>
      </c>
      <c r="Y1343">
        <f>IF(X1343="",0,IF(COUNTIF($X$3:X1343,X1343)=1,1,0))</f>
        <v>0</v>
      </c>
      <c r="Z1343">
        <f>IF(V1343&lt;&gt;1,0,IF(X1343="",0,IF(COUNTIF($X$3:X1342,X1343)&gt;0,1,0)))</f>
        <v>0</v>
      </c>
      <c r="AA1343">
        <f t="shared" si="124"/>
        <v>0</v>
      </c>
      <c r="AB1343">
        <f t="shared" si="125"/>
        <v>0</v>
      </c>
      <c r="AC1343">
        <f>IF(I1343="",0,L1343*IFERROR(INDEX(کاتالوگ_محصولات!$G$4:$G$303,MATCH(I1343,کاتالوگ_محصولات!$A$4:$A$303,0)),0))</f>
        <v>0</v>
      </c>
      <c r="AD1343">
        <f t="shared" si="128"/>
        <v>0</v>
      </c>
      <c r="AE1343" t="str">
        <f t="shared" si="129"/>
        <v/>
      </c>
    </row>
    <row r="1344" spans="22:31" ht="18" customHeight="1">
      <c r="V1344">
        <f>IF(A1344="",0,IF(COUNTIF($A$3:A1344,A1344)=1,1,0))</f>
        <v>0</v>
      </c>
      <c r="W1344">
        <f t="shared" si="126"/>
        <v>0</v>
      </c>
      <c r="X1344" t="str">
        <f t="shared" si="127"/>
        <v/>
      </c>
      <c r="Y1344">
        <f>IF(X1344="",0,IF(COUNTIF($X$3:X1344,X1344)=1,1,0))</f>
        <v>0</v>
      </c>
      <c r="Z1344">
        <f>IF(V1344&lt;&gt;1,0,IF(X1344="",0,IF(COUNTIF($X$3:X1343,X1344)&gt;0,1,0)))</f>
        <v>0</v>
      </c>
      <c r="AA1344">
        <f t="shared" si="124"/>
        <v>0</v>
      </c>
      <c r="AB1344">
        <f t="shared" si="125"/>
        <v>0</v>
      </c>
      <c r="AC1344">
        <f>IF(I1344="",0,L1344*IFERROR(INDEX(کاتالوگ_محصولات!$G$4:$G$303,MATCH(I1344,کاتالوگ_محصولات!$A$4:$A$303,0)),0))</f>
        <v>0</v>
      </c>
      <c r="AD1344">
        <f t="shared" si="128"/>
        <v>0</v>
      </c>
      <c r="AE1344" t="str">
        <f t="shared" si="129"/>
        <v/>
      </c>
    </row>
    <row r="1345" spans="22:31" ht="18" customHeight="1">
      <c r="V1345">
        <f>IF(A1345="",0,IF(COUNTIF($A$3:A1345,A1345)=1,1,0))</f>
        <v>0</v>
      </c>
      <c r="W1345">
        <f t="shared" si="126"/>
        <v>0</v>
      </c>
      <c r="X1345" t="str">
        <f t="shared" si="127"/>
        <v/>
      </c>
      <c r="Y1345">
        <f>IF(X1345="",0,IF(COUNTIF($X$3:X1345,X1345)=1,1,0))</f>
        <v>0</v>
      </c>
      <c r="Z1345">
        <f>IF(V1345&lt;&gt;1,0,IF(X1345="",0,IF(COUNTIF($X$3:X1344,X1345)&gt;0,1,0)))</f>
        <v>0</v>
      </c>
      <c r="AA1345">
        <f t="shared" si="124"/>
        <v>0</v>
      </c>
      <c r="AB1345">
        <f t="shared" si="125"/>
        <v>0</v>
      </c>
      <c r="AC1345">
        <f>IF(I1345="",0,L1345*IFERROR(INDEX(کاتالوگ_محصولات!$G$4:$G$303,MATCH(I1345,کاتالوگ_محصولات!$A$4:$A$303,0)),0))</f>
        <v>0</v>
      </c>
      <c r="AD1345">
        <f t="shared" si="128"/>
        <v>0</v>
      </c>
      <c r="AE1345" t="str">
        <f t="shared" si="129"/>
        <v/>
      </c>
    </row>
    <row r="1346" spans="22:31" ht="18" customHeight="1">
      <c r="V1346">
        <f>IF(A1346="",0,IF(COUNTIF($A$3:A1346,A1346)=1,1,0))</f>
        <v>0</v>
      </c>
      <c r="W1346">
        <f t="shared" si="126"/>
        <v>0</v>
      </c>
      <c r="X1346" t="str">
        <f t="shared" si="127"/>
        <v/>
      </c>
      <c r="Y1346">
        <f>IF(X1346="",0,IF(COUNTIF($X$3:X1346,X1346)=1,1,0))</f>
        <v>0</v>
      </c>
      <c r="Z1346">
        <f>IF(V1346&lt;&gt;1,0,IF(X1346="",0,IF(COUNTIF($X$3:X1345,X1346)&gt;0,1,0)))</f>
        <v>0</v>
      </c>
      <c r="AA1346">
        <f t="shared" si="124"/>
        <v>0</v>
      </c>
      <c r="AB1346">
        <f t="shared" si="125"/>
        <v>0</v>
      </c>
      <c r="AC1346">
        <f>IF(I1346="",0,L1346*IFERROR(INDEX(کاتالوگ_محصولات!$G$4:$G$303,MATCH(I1346,کاتالوگ_محصولات!$A$4:$A$303,0)),0))</f>
        <v>0</v>
      </c>
      <c r="AD1346">
        <f t="shared" si="128"/>
        <v>0</v>
      </c>
      <c r="AE1346" t="str">
        <f t="shared" si="129"/>
        <v/>
      </c>
    </row>
    <row r="1347" spans="22:31" ht="18" customHeight="1">
      <c r="V1347">
        <f>IF(A1347="",0,IF(COUNTIF($A$3:A1347,A1347)=1,1,0))</f>
        <v>0</v>
      </c>
      <c r="W1347">
        <f t="shared" si="126"/>
        <v>0</v>
      </c>
      <c r="X1347" t="str">
        <f t="shared" si="127"/>
        <v/>
      </c>
      <c r="Y1347">
        <f>IF(X1347="",0,IF(COUNTIF($X$3:X1347,X1347)=1,1,0))</f>
        <v>0</v>
      </c>
      <c r="Z1347">
        <f>IF(V1347&lt;&gt;1,0,IF(X1347="",0,IF(COUNTIF($X$3:X1346,X1347)&gt;0,1,0)))</f>
        <v>0</v>
      </c>
      <c r="AA1347">
        <f t="shared" ref="AA1347:AA1410" si="130">IF(V1347=1,SUMIF($A$3:$A$1622,A1347,$O$3:$O$1622),0)</f>
        <v>0</v>
      </c>
      <c r="AB1347">
        <f t="shared" ref="AB1347:AB1410" si="131">IF(V1347=1,SUMIF($A$3:$A$1622,A1347,$L$3:$L$1622),0)</f>
        <v>0</v>
      </c>
      <c r="AC1347">
        <f>IF(I1347="",0,L1347*IFERROR(INDEX(کاتالوگ_محصولات!$G$4:$G$303,MATCH(I1347,کاتالوگ_محصولات!$A$4:$A$303,0)),0))</f>
        <v>0</v>
      </c>
      <c r="AD1347">
        <f t="shared" si="128"/>
        <v>0</v>
      </c>
      <c r="AE1347" t="str">
        <f t="shared" si="129"/>
        <v/>
      </c>
    </row>
    <row r="1348" spans="22:31" ht="18" customHeight="1">
      <c r="V1348">
        <f>IF(A1348="",0,IF(COUNTIF($A$3:A1348,A1348)=1,1,0))</f>
        <v>0</v>
      </c>
      <c r="W1348">
        <f t="shared" si="126"/>
        <v>0</v>
      </c>
      <c r="X1348" t="str">
        <f t="shared" si="127"/>
        <v/>
      </c>
      <c r="Y1348">
        <f>IF(X1348="",0,IF(COUNTIF($X$3:X1348,X1348)=1,1,0))</f>
        <v>0</v>
      </c>
      <c r="Z1348">
        <f>IF(V1348&lt;&gt;1,0,IF(X1348="",0,IF(COUNTIF($X$3:X1347,X1348)&gt;0,1,0)))</f>
        <v>0</v>
      </c>
      <c r="AA1348">
        <f t="shared" si="130"/>
        <v>0</v>
      </c>
      <c r="AB1348">
        <f t="shared" si="131"/>
        <v>0</v>
      </c>
      <c r="AC1348">
        <f>IF(I1348="",0,L1348*IFERROR(INDEX(کاتالوگ_محصولات!$G$4:$G$303,MATCH(I1348,کاتالوگ_محصولات!$A$4:$A$303,0)),0))</f>
        <v>0</v>
      </c>
      <c r="AD1348">
        <f t="shared" si="128"/>
        <v>0</v>
      </c>
      <c r="AE1348" t="str">
        <f t="shared" si="129"/>
        <v/>
      </c>
    </row>
    <row r="1349" spans="22:31" ht="18" customHeight="1">
      <c r="V1349">
        <f>IF(A1349="",0,IF(COUNTIF($A$3:A1349,A1349)=1,1,0))</f>
        <v>0</v>
      </c>
      <c r="W1349">
        <f t="shared" si="126"/>
        <v>0</v>
      </c>
      <c r="X1349" t="str">
        <f t="shared" si="127"/>
        <v/>
      </c>
      <c r="Y1349">
        <f>IF(X1349="",0,IF(COUNTIF($X$3:X1349,X1349)=1,1,0))</f>
        <v>0</v>
      </c>
      <c r="Z1349">
        <f>IF(V1349&lt;&gt;1,0,IF(X1349="",0,IF(COUNTIF($X$3:X1348,X1349)&gt;0,1,0)))</f>
        <v>0</v>
      </c>
      <c r="AA1349">
        <f t="shared" si="130"/>
        <v>0</v>
      </c>
      <c r="AB1349">
        <f t="shared" si="131"/>
        <v>0</v>
      </c>
      <c r="AC1349">
        <f>IF(I1349="",0,L1349*IFERROR(INDEX(کاتالوگ_محصولات!$G$4:$G$303,MATCH(I1349,کاتالوگ_محصولات!$A$4:$A$303,0)),0))</f>
        <v>0</v>
      </c>
      <c r="AD1349">
        <f t="shared" si="128"/>
        <v>0</v>
      </c>
      <c r="AE1349" t="str">
        <f t="shared" si="129"/>
        <v/>
      </c>
    </row>
    <row r="1350" spans="22:31" ht="18" customHeight="1">
      <c r="V1350">
        <f>IF(A1350="",0,IF(COUNTIF($A$3:A1350,A1350)=1,1,0))</f>
        <v>0</v>
      </c>
      <c r="W1350">
        <f t="shared" si="126"/>
        <v>0</v>
      </c>
      <c r="X1350" t="str">
        <f t="shared" si="127"/>
        <v/>
      </c>
      <c r="Y1350">
        <f>IF(X1350="",0,IF(COUNTIF($X$3:X1350,X1350)=1,1,0))</f>
        <v>0</v>
      </c>
      <c r="Z1350">
        <f>IF(V1350&lt;&gt;1,0,IF(X1350="",0,IF(COUNTIF($X$3:X1349,X1350)&gt;0,1,0)))</f>
        <v>0</v>
      </c>
      <c r="AA1350">
        <f t="shared" si="130"/>
        <v>0</v>
      </c>
      <c r="AB1350">
        <f t="shared" si="131"/>
        <v>0</v>
      </c>
      <c r="AC1350">
        <f>IF(I1350="",0,L1350*IFERROR(INDEX(کاتالوگ_محصولات!$G$4:$G$303,MATCH(I1350,کاتالوگ_محصولات!$A$4:$A$303,0)),0))</f>
        <v>0</v>
      </c>
      <c r="AD1350">
        <f t="shared" si="128"/>
        <v>0</v>
      </c>
      <c r="AE1350" t="str">
        <f t="shared" si="129"/>
        <v/>
      </c>
    </row>
    <row r="1351" spans="22:31" ht="18" customHeight="1">
      <c r="V1351">
        <f>IF(A1351="",0,IF(COUNTIF($A$3:A1351,A1351)=1,1,0))</f>
        <v>0</v>
      </c>
      <c r="W1351">
        <f t="shared" si="126"/>
        <v>0</v>
      </c>
      <c r="X1351" t="str">
        <f t="shared" si="127"/>
        <v/>
      </c>
      <c r="Y1351">
        <f>IF(X1351="",0,IF(COUNTIF($X$3:X1351,X1351)=1,1,0))</f>
        <v>0</v>
      </c>
      <c r="Z1351">
        <f>IF(V1351&lt;&gt;1,0,IF(X1351="",0,IF(COUNTIF($X$3:X1350,X1351)&gt;0,1,0)))</f>
        <v>0</v>
      </c>
      <c r="AA1351">
        <f t="shared" si="130"/>
        <v>0</v>
      </c>
      <c r="AB1351">
        <f t="shared" si="131"/>
        <v>0</v>
      </c>
      <c r="AC1351">
        <f>IF(I1351="",0,L1351*IFERROR(INDEX(کاتالوگ_محصولات!$G$4:$G$303,MATCH(I1351,کاتالوگ_محصولات!$A$4:$A$303,0)),0))</f>
        <v>0</v>
      </c>
      <c r="AD1351">
        <f t="shared" si="128"/>
        <v>0</v>
      </c>
      <c r="AE1351" t="str">
        <f t="shared" si="129"/>
        <v/>
      </c>
    </row>
    <row r="1352" spans="22:31" ht="18" customHeight="1">
      <c r="V1352">
        <f>IF(A1352="",0,IF(COUNTIF($A$3:A1352,A1352)=1,1,0))</f>
        <v>0</v>
      </c>
      <c r="W1352">
        <f t="shared" si="126"/>
        <v>0</v>
      </c>
      <c r="X1352" t="str">
        <f t="shared" si="127"/>
        <v/>
      </c>
      <c r="Y1352">
        <f>IF(X1352="",0,IF(COUNTIF($X$3:X1352,X1352)=1,1,0))</f>
        <v>0</v>
      </c>
      <c r="Z1352">
        <f>IF(V1352&lt;&gt;1,0,IF(X1352="",0,IF(COUNTIF($X$3:X1351,X1352)&gt;0,1,0)))</f>
        <v>0</v>
      </c>
      <c r="AA1352">
        <f t="shared" si="130"/>
        <v>0</v>
      </c>
      <c r="AB1352">
        <f t="shared" si="131"/>
        <v>0</v>
      </c>
      <c r="AC1352">
        <f>IF(I1352="",0,L1352*IFERROR(INDEX(کاتالوگ_محصولات!$G$4:$G$303,MATCH(I1352,کاتالوگ_محصولات!$A$4:$A$303,0)),0))</f>
        <v>0</v>
      </c>
      <c r="AD1352">
        <f t="shared" si="128"/>
        <v>0</v>
      </c>
      <c r="AE1352" t="str">
        <f t="shared" si="129"/>
        <v/>
      </c>
    </row>
    <row r="1353" spans="22:31" ht="18" customHeight="1">
      <c r="V1353">
        <f>IF(A1353="",0,IF(COUNTIF($A$3:A1353,A1353)=1,1,0))</f>
        <v>0</v>
      </c>
      <c r="W1353">
        <f t="shared" ref="W1353:W1416" si="132">IF(A1353="",0,L1353*M1353)</f>
        <v>0</v>
      </c>
      <c r="X1353" t="str">
        <f t="shared" ref="X1353:X1416" si="133">IF(R1353&lt;&gt;"",R1353,IF(AND(P1353&lt;&gt;"",Q1353&lt;&gt;""),P1353&amp;"|"&amp;Q1353,""))</f>
        <v/>
      </c>
      <c r="Y1353">
        <f>IF(X1353="",0,IF(COUNTIF($X$3:X1353,X1353)=1,1,0))</f>
        <v>0</v>
      </c>
      <c r="Z1353">
        <f>IF(V1353&lt;&gt;1,0,IF(X1353="",0,IF(COUNTIF($X$3:X1352,X1353)&gt;0,1,0)))</f>
        <v>0</v>
      </c>
      <c r="AA1353">
        <f t="shared" si="130"/>
        <v>0</v>
      </c>
      <c r="AB1353">
        <f t="shared" si="131"/>
        <v>0</v>
      </c>
      <c r="AC1353">
        <f>IF(I1353="",0,L1353*IFERROR(INDEX(کاتالوگ_محصولات!$G$4:$G$303,MATCH(I1353,کاتالوگ_محصولات!$A$4:$A$303,0)),0))</f>
        <v>0</v>
      </c>
      <c r="AD1353">
        <f t="shared" ref="AD1353:AD1416" si="134">IF(A1353="",0,O1353-AC1353)</f>
        <v>0</v>
      </c>
      <c r="AE1353" t="str">
        <f t="shared" ref="AE1353:AE1416" si="135">IF(B1353="","",LEFT(B1353,7))</f>
        <v/>
      </c>
    </row>
    <row r="1354" spans="22:31" ht="18" customHeight="1">
      <c r="V1354">
        <f>IF(A1354="",0,IF(COUNTIF($A$3:A1354,A1354)=1,1,0))</f>
        <v>0</v>
      </c>
      <c r="W1354">
        <f t="shared" si="132"/>
        <v>0</v>
      </c>
      <c r="X1354" t="str">
        <f t="shared" si="133"/>
        <v/>
      </c>
      <c r="Y1354">
        <f>IF(X1354="",0,IF(COUNTIF($X$3:X1354,X1354)=1,1,0))</f>
        <v>0</v>
      </c>
      <c r="Z1354">
        <f>IF(V1354&lt;&gt;1,0,IF(X1354="",0,IF(COUNTIF($X$3:X1353,X1354)&gt;0,1,0)))</f>
        <v>0</v>
      </c>
      <c r="AA1354">
        <f t="shared" si="130"/>
        <v>0</v>
      </c>
      <c r="AB1354">
        <f t="shared" si="131"/>
        <v>0</v>
      </c>
      <c r="AC1354">
        <f>IF(I1354="",0,L1354*IFERROR(INDEX(کاتالوگ_محصولات!$G$4:$G$303,MATCH(I1354,کاتالوگ_محصولات!$A$4:$A$303,0)),0))</f>
        <v>0</v>
      </c>
      <c r="AD1354">
        <f t="shared" si="134"/>
        <v>0</v>
      </c>
      <c r="AE1354" t="str">
        <f t="shared" si="135"/>
        <v/>
      </c>
    </row>
    <row r="1355" spans="22:31" ht="18" customHeight="1">
      <c r="V1355">
        <f>IF(A1355="",0,IF(COUNTIF($A$3:A1355,A1355)=1,1,0))</f>
        <v>0</v>
      </c>
      <c r="W1355">
        <f t="shared" si="132"/>
        <v>0</v>
      </c>
      <c r="X1355" t="str">
        <f t="shared" si="133"/>
        <v/>
      </c>
      <c r="Y1355">
        <f>IF(X1355="",0,IF(COUNTIF($X$3:X1355,X1355)=1,1,0))</f>
        <v>0</v>
      </c>
      <c r="Z1355">
        <f>IF(V1355&lt;&gt;1,0,IF(X1355="",0,IF(COUNTIF($X$3:X1354,X1355)&gt;0,1,0)))</f>
        <v>0</v>
      </c>
      <c r="AA1355">
        <f t="shared" si="130"/>
        <v>0</v>
      </c>
      <c r="AB1355">
        <f t="shared" si="131"/>
        <v>0</v>
      </c>
      <c r="AC1355">
        <f>IF(I1355="",0,L1355*IFERROR(INDEX(کاتالوگ_محصولات!$G$4:$G$303,MATCH(I1355,کاتالوگ_محصولات!$A$4:$A$303,0)),0))</f>
        <v>0</v>
      </c>
      <c r="AD1355">
        <f t="shared" si="134"/>
        <v>0</v>
      </c>
      <c r="AE1355" t="str">
        <f t="shared" si="135"/>
        <v/>
      </c>
    </row>
    <row r="1356" spans="22:31" ht="18" customHeight="1">
      <c r="V1356">
        <f>IF(A1356="",0,IF(COUNTIF($A$3:A1356,A1356)=1,1,0))</f>
        <v>0</v>
      </c>
      <c r="W1356">
        <f t="shared" si="132"/>
        <v>0</v>
      </c>
      <c r="X1356" t="str">
        <f t="shared" si="133"/>
        <v/>
      </c>
      <c r="Y1356">
        <f>IF(X1356="",0,IF(COUNTIF($X$3:X1356,X1356)=1,1,0))</f>
        <v>0</v>
      </c>
      <c r="Z1356">
        <f>IF(V1356&lt;&gt;1,0,IF(X1356="",0,IF(COUNTIF($X$3:X1355,X1356)&gt;0,1,0)))</f>
        <v>0</v>
      </c>
      <c r="AA1356">
        <f t="shared" si="130"/>
        <v>0</v>
      </c>
      <c r="AB1356">
        <f t="shared" si="131"/>
        <v>0</v>
      </c>
      <c r="AC1356">
        <f>IF(I1356="",0,L1356*IFERROR(INDEX(کاتالوگ_محصولات!$G$4:$G$303,MATCH(I1356,کاتالوگ_محصولات!$A$4:$A$303,0)),0))</f>
        <v>0</v>
      </c>
      <c r="AD1356">
        <f t="shared" si="134"/>
        <v>0</v>
      </c>
      <c r="AE1356" t="str">
        <f t="shared" si="135"/>
        <v/>
      </c>
    </row>
    <row r="1357" spans="22:31" ht="18" customHeight="1">
      <c r="V1357">
        <f>IF(A1357="",0,IF(COUNTIF($A$3:A1357,A1357)=1,1,0))</f>
        <v>0</v>
      </c>
      <c r="W1357">
        <f t="shared" si="132"/>
        <v>0</v>
      </c>
      <c r="X1357" t="str">
        <f t="shared" si="133"/>
        <v/>
      </c>
      <c r="Y1357">
        <f>IF(X1357="",0,IF(COUNTIF($X$3:X1357,X1357)=1,1,0))</f>
        <v>0</v>
      </c>
      <c r="Z1357">
        <f>IF(V1357&lt;&gt;1,0,IF(X1357="",0,IF(COUNTIF($X$3:X1356,X1357)&gt;0,1,0)))</f>
        <v>0</v>
      </c>
      <c r="AA1357">
        <f t="shared" si="130"/>
        <v>0</v>
      </c>
      <c r="AB1357">
        <f t="shared" si="131"/>
        <v>0</v>
      </c>
      <c r="AC1357">
        <f>IF(I1357="",0,L1357*IFERROR(INDEX(کاتالوگ_محصولات!$G$4:$G$303,MATCH(I1357,کاتالوگ_محصولات!$A$4:$A$303,0)),0))</f>
        <v>0</v>
      </c>
      <c r="AD1357">
        <f t="shared" si="134"/>
        <v>0</v>
      </c>
      <c r="AE1357" t="str">
        <f t="shared" si="135"/>
        <v/>
      </c>
    </row>
    <row r="1358" spans="22:31" ht="18" customHeight="1">
      <c r="V1358">
        <f>IF(A1358="",0,IF(COUNTIF($A$3:A1358,A1358)=1,1,0))</f>
        <v>0</v>
      </c>
      <c r="W1358">
        <f t="shared" si="132"/>
        <v>0</v>
      </c>
      <c r="X1358" t="str">
        <f t="shared" si="133"/>
        <v/>
      </c>
      <c r="Y1358">
        <f>IF(X1358="",0,IF(COUNTIF($X$3:X1358,X1358)=1,1,0))</f>
        <v>0</v>
      </c>
      <c r="Z1358">
        <f>IF(V1358&lt;&gt;1,0,IF(X1358="",0,IF(COUNTIF($X$3:X1357,X1358)&gt;0,1,0)))</f>
        <v>0</v>
      </c>
      <c r="AA1358">
        <f t="shared" si="130"/>
        <v>0</v>
      </c>
      <c r="AB1358">
        <f t="shared" si="131"/>
        <v>0</v>
      </c>
      <c r="AC1358">
        <f>IF(I1358="",0,L1358*IFERROR(INDEX(کاتالوگ_محصولات!$G$4:$G$303,MATCH(I1358,کاتالوگ_محصولات!$A$4:$A$303,0)),0))</f>
        <v>0</v>
      </c>
      <c r="AD1358">
        <f t="shared" si="134"/>
        <v>0</v>
      </c>
      <c r="AE1358" t="str">
        <f t="shared" si="135"/>
        <v/>
      </c>
    </row>
    <row r="1359" spans="22:31" ht="18" customHeight="1">
      <c r="V1359">
        <f>IF(A1359="",0,IF(COUNTIF($A$3:A1359,A1359)=1,1,0))</f>
        <v>0</v>
      </c>
      <c r="W1359">
        <f t="shared" si="132"/>
        <v>0</v>
      </c>
      <c r="X1359" t="str">
        <f t="shared" si="133"/>
        <v/>
      </c>
      <c r="Y1359">
        <f>IF(X1359="",0,IF(COUNTIF($X$3:X1359,X1359)=1,1,0))</f>
        <v>0</v>
      </c>
      <c r="Z1359">
        <f>IF(V1359&lt;&gt;1,0,IF(X1359="",0,IF(COUNTIF($X$3:X1358,X1359)&gt;0,1,0)))</f>
        <v>0</v>
      </c>
      <c r="AA1359">
        <f t="shared" si="130"/>
        <v>0</v>
      </c>
      <c r="AB1359">
        <f t="shared" si="131"/>
        <v>0</v>
      </c>
      <c r="AC1359">
        <f>IF(I1359="",0,L1359*IFERROR(INDEX(کاتالوگ_محصولات!$G$4:$G$303,MATCH(I1359,کاتالوگ_محصولات!$A$4:$A$303,0)),0))</f>
        <v>0</v>
      </c>
      <c r="AD1359">
        <f t="shared" si="134"/>
        <v>0</v>
      </c>
      <c r="AE1359" t="str">
        <f t="shared" si="135"/>
        <v/>
      </c>
    </row>
    <row r="1360" spans="22:31" ht="18" customHeight="1">
      <c r="V1360">
        <f>IF(A1360="",0,IF(COUNTIF($A$3:A1360,A1360)=1,1,0))</f>
        <v>0</v>
      </c>
      <c r="W1360">
        <f t="shared" si="132"/>
        <v>0</v>
      </c>
      <c r="X1360" t="str">
        <f t="shared" si="133"/>
        <v/>
      </c>
      <c r="Y1360">
        <f>IF(X1360="",0,IF(COUNTIF($X$3:X1360,X1360)=1,1,0))</f>
        <v>0</v>
      </c>
      <c r="Z1360">
        <f>IF(V1360&lt;&gt;1,0,IF(X1360="",0,IF(COUNTIF($X$3:X1359,X1360)&gt;0,1,0)))</f>
        <v>0</v>
      </c>
      <c r="AA1360">
        <f t="shared" si="130"/>
        <v>0</v>
      </c>
      <c r="AB1360">
        <f t="shared" si="131"/>
        <v>0</v>
      </c>
      <c r="AC1360">
        <f>IF(I1360="",0,L1360*IFERROR(INDEX(کاتالوگ_محصولات!$G$4:$G$303,MATCH(I1360,کاتالوگ_محصولات!$A$4:$A$303,0)),0))</f>
        <v>0</v>
      </c>
      <c r="AD1360">
        <f t="shared" si="134"/>
        <v>0</v>
      </c>
      <c r="AE1360" t="str">
        <f t="shared" si="135"/>
        <v/>
      </c>
    </row>
    <row r="1361" spans="22:31" ht="18" customHeight="1">
      <c r="V1361">
        <f>IF(A1361="",0,IF(COUNTIF($A$3:A1361,A1361)=1,1,0))</f>
        <v>0</v>
      </c>
      <c r="W1361">
        <f t="shared" si="132"/>
        <v>0</v>
      </c>
      <c r="X1361" t="str">
        <f t="shared" si="133"/>
        <v/>
      </c>
      <c r="Y1361">
        <f>IF(X1361="",0,IF(COUNTIF($X$3:X1361,X1361)=1,1,0))</f>
        <v>0</v>
      </c>
      <c r="Z1361">
        <f>IF(V1361&lt;&gt;1,0,IF(X1361="",0,IF(COUNTIF($X$3:X1360,X1361)&gt;0,1,0)))</f>
        <v>0</v>
      </c>
      <c r="AA1361">
        <f t="shared" si="130"/>
        <v>0</v>
      </c>
      <c r="AB1361">
        <f t="shared" si="131"/>
        <v>0</v>
      </c>
      <c r="AC1361">
        <f>IF(I1361="",0,L1361*IFERROR(INDEX(کاتالوگ_محصولات!$G$4:$G$303,MATCH(I1361,کاتالوگ_محصولات!$A$4:$A$303,0)),0))</f>
        <v>0</v>
      </c>
      <c r="AD1361">
        <f t="shared" si="134"/>
        <v>0</v>
      </c>
      <c r="AE1361" t="str">
        <f t="shared" si="135"/>
        <v/>
      </c>
    </row>
    <row r="1362" spans="22:31" ht="18" customHeight="1">
      <c r="V1362">
        <f>IF(A1362="",0,IF(COUNTIF($A$3:A1362,A1362)=1,1,0))</f>
        <v>0</v>
      </c>
      <c r="W1362">
        <f t="shared" si="132"/>
        <v>0</v>
      </c>
      <c r="X1362" t="str">
        <f t="shared" si="133"/>
        <v/>
      </c>
      <c r="Y1362">
        <f>IF(X1362="",0,IF(COUNTIF($X$3:X1362,X1362)=1,1,0))</f>
        <v>0</v>
      </c>
      <c r="Z1362">
        <f>IF(V1362&lt;&gt;1,0,IF(X1362="",0,IF(COUNTIF($X$3:X1361,X1362)&gt;0,1,0)))</f>
        <v>0</v>
      </c>
      <c r="AA1362">
        <f t="shared" si="130"/>
        <v>0</v>
      </c>
      <c r="AB1362">
        <f t="shared" si="131"/>
        <v>0</v>
      </c>
      <c r="AC1362">
        <f>IF(I1362="",0,L1362*IFERROR(INDEX(کاتالوگ_محصولات!$G$4:$G$303,MATCH(I1362,کاتالوگ_محصولات!$A$4:$A$303,0)),0))</f>
        <v>0</v>
      </c>
      <c r="AD1362">
        <f t="shared" si="134"/>
        <v>0</v>
      </c>
      <c r="AE1362" t="str">
        <f t="shared" si="135"/>
        <v/>
      </c>
    </row>
    <row r="1363" spans="22:31" ht="18" customHeight="1">
      <c r="V1363">
        <f>IF(A1363="",0,IF(COUNTIF($A$3:A1363,A1363)=1,1,0))</f>
        <v>0</v>
      </c>
      <c r="W1363">
        <f t="shared" si="132"/>
        <v>0</v>
      </c>
      <c r="X1363" t="str">
        <f t="shared" si="133"/>
        <v/>
      </c>
      <c r="Y1363">
        <f>IF(X1363="",0,IF(COUNTIF($X$3:X1363,X1363)=1,1,0))</f>
        <v>0</v>
      </c>
      <c r="Z1363">
        <f>IF(V1363&lt;&gt;1,0,IF(X1363="",0,IF(COUNTIF($X$3:X1362,X1363)&gt;0,1,0)))</f>
        <v>0</v>
      </c>
      <c r="AA1363">
        <f t="shared" si="130"/>
        <v>0</v>
      </c>
      <c r="AB1363">
        <f t="shared" si="131"/>
        <v>0</v>
      </c>
      <c r="AC1363">
        <f>IF(I1363="",0,L1363*IFERROR(INDEX(کاتالوگ_محصولات!$G$4:$G$303,MATCH(I1363,کاتالوگ_محصولات!$A$4:$A$303,0)),0))</f>
        <v>0</v>
      </c>
      <c r="AD1363">
        <f t="shared" si="134"/>
        <v>0</v>
      </c>
      <c r="AE1363" t="str">
        <f t="shared" si="135"/>
        <v/>
      </c>
    </row>
    <row r="1364" spans="22:31" ht="18" customHeight="1">
      <c r="V1364">
        <f>IF(A1364="",0,IF(COUNTIF($A$3:A1364,A1364)=1,1,0))</f>
        <v>0</v>
      </c>
      <c r="W1364">
        <f t="shared" si="132"/>
        <v>0</v>
      </c>
      <c r="X1364" t="str">
        <f t="shared" si="133"/>
        <v/>
      </c>
      <c r="Y1364">
        <f>IF(X1364="",0,IF(COUNTIF($X$3:X1364,X1364)=1,1,0))</f>
        <v>0</v>
      </c>
      <c r="Z1364">
        <f>IF(V1364&lt;&gt;1,0,IF(X1364="",0,IF(COUNTIF($X$3:X1363,X1364)&gt;0,1,0)))</f>
        <v>0</v>
      </c>
      <c r="AA1364">
        <f t="shared" si="130"/>
        <v>0</v>
      </c>
      <c r="AB1364">
        <f t="shared" si="131"/>
        <v>0</v>
      </c>
      <c r="AC1364">
        <f>IF(I1364="",0,L1364*IFERROR(INDEX(کاتالوگ_محصولات!$G$4:$G$303,MATCH(I1364,کاتالوگ_محصولات!$A$4:$A$303,0)),0))</f>
        <v>0</v>
      </c>
      <c r="AD1364">
        <f t="shared" si="134"/>
        <v>0</v>
      </c>
      <c r="AE1364" t="str">
        <f t="shared" si="135"/>
        <v/>
      </c>
    </row>
    <row r="1365" spans="22:31" ht="18" customHeight="1">
      <c r="V1365">
        <f>IF(A1365="",0,IF(COUNTIF($A$3:A1365,A1365)=1,1,0))</f>
        <v>0</v>
      </c>
      <c r="W1365">
        <f t="shared" si="132"/>
        <v>0</v>
      </c>
      <c r="X1365" t="str">
        <f t="shared" si="133"/>
        <v/>
      </c>
      <c r="Y1365">
        <f>IF(X1365="",0,IF(COUNTIF($X$3:X1365,X1365)=1,1,0))</f>
        <v>0</v>
      </c>
      <c r="Z1365">
        <f>IF(V1365&lt;&gt;1,0,IF(X1365="",0,IF(COUNTIF($X$3:X1364,X1365)&gt;0,1,0)))</f>
        <v>0</v>
      </c>
      <c r="AA1365">
        <f t="shared" si="130"/>
        <v>0</v>
      </c>
      <c r="AB1365">
        <f t="shared" si="131"/>
        <v>0</v>
      </c>
      <c r="AC1365">
        <f>IF(I1365="",0,L1365*IFERROR(INDEX(کاتالوگ_محصولات!$G$4:$G$303,MATCH(I1365,کاتالوگ_محصولات!$A$4:$A$303,0)),0))</f>
        <v>0</v>
      </c>
      <c r="AD1365">
        <f t="shared" si="134"/>
        <v>0</v>
      </c>
      <c r="AE1365" t="str">
        <f t="shared" si="135"/>
        <v/>
      </c>
    </row>
    <row r="1366" spans="22:31" ht="18" customHeight="1">
      <c r="V1366">
        <f>IF(A1366="",0,IF(COUNTIF($A$3:A1366,A1366)=1,1,0))</f>
        <v>0</v>
      </c>
      <c r="W1366">
        <f t="shared" si="132"/>
        <v>0</v>
      </c>
      <c r="X1366" t="str">
        <f t="shared" si="133"/>
        <v/>
      </c>
      <c r="Y1366">
        <f>IF(X1366="",0,IF(COUNTIF($X$3:X1366,X1366)=1,1,0))</f>
        <v>0</v>
      </c>
      <c r="Z1366">
        <f>IF(V1366&lt;&gt;1,0,IF(X1366="",0,IF(COUNTIF($X$3:X1365,X1366)&gt;0,1,0)))</f>
        <v>0</v>
      </c>
      <c r="AA1366">
        <f t="shared" si="130"/>
        <v>0</v>
      </c>
      <c r="AB1366">
        <f t="shared" si="131"/>
        <v>0</v>
      </c>
      <c r="AC1366">
        <f>IF(I1366="",0,L1366*IFERROR(INDEX(کاتالوگ_محصولات!$G$4:$G$303,MATCH(I1366,کاتالوگ_محصولات!$A$4:$A$303,0)),0))</f>
        <v>0</v>
      </c>
      <c r="AD1366">
        <f t="shared" si="134"/>
        <v>0</v>
      </c>
      <c r="AE1366" t="str">
        <f t="shared" si="135"/>
        <v/>
      </c>
    </row>
    <row r="1367" spans="22:31" ht="18" customHeight="1">
      <c r="V1367">
        <f>IF(A1367="",0,IF(COUNTIF($A$3:A1367,A1367)=1,1,0))</f>
        <v>0</v>
      </c>
      <c r="W1367">
        <f t="shared" si="132"/>
        <v>0</v>
      </c>
      <c r="X1367" t="str">
        <f t="shared" si="133"/>
        <v/>
      </c>
      <c r="Y1367">
        <f>IF(X1367="",0,IF(COUNTIF($X$3:X1367,X1367)=1,1,0))</f>
        <v>0</v>
      </c>
      <c r="Z1367">
        <f>IF(V1367&lt;&gt;1,0,IF(X1367="",0,IF(COUNTIF($X$3:X1366,X1367)&gt;0,1,0)))</f>
        <v>0</v>
      </c>
      <c r="AA1367">
        <f t="shared" si="130"/>
        <v>0</v>
      </c>
      <c r="AB1367">
        <f t="shared" si="131"/>
        <v>0</v>
      </c>
      <c r="AC1367">
        <f>IF(I1367="",0,L1367*IFERROR(INDEX(کاتالوگ_محصولات!$G$4:$G$303,MATCH(I1367,کاتالوگ_محصولات!$A$4:$A$303,0)),0))</f>
        <v>0</v>
      </c>
      <c r="AD1367">
        <f t="shared" si="134"/>
        <v>0</v>
      </c>
      <c r="AE1367" t="str">
        <f t="shared" si="135"/>
        <v/>
      </c>
    </row>
    <row r="1368" spans="22:31" ht="18" customHeight="1">
      <c r="V1368">
        <f>IF(A1368="",0,IF(COUNTIF($A$3:A1368,A1368)=1,1,0))</f>
        <v>0</v>
      </c>
      <c r="W1368">
        <f t="shared" si="132"/>
        <v>0</v>
      </c>
      <c r="X1368" t="str">
        <f t="shared" si="133"/>
        <v/>
      </c>
      <c r="Y1368">
        <f>IF(X1368="",0,IF(COUNTIF($X$3:X1368,X1368)=1,1,0))</f>
        <v>0</v>
      </c>
      <c r="Z1368">
        <f>IF(V1368&lt;&gt;1,0,IF(X1368="",0,IF(COUNTIF($X$3:X1367,X1368)&gt;0,1,0)))</f>
        <v>0</v>
      </c>
      <c r="AA1368">
        <f t="shared" si="130"/>
        <v>0</v>
      </c>
      <c r="AB1368">
        <f t="shared" si="131"/>
        <v>0</v>
      </c>
      <c r="AC1368">
        <f>IF(I1368="",0,L1368*IFERROR(INDEX(کاتالوگ_محصولات!$G$4:$G$303,MATCH(I1368,کاتالوگ_محصولات!$A$4:$A$303,0)),0))</f>
        <v>0</v>
      </c>
      <c r="AD1368">
        <f t="shared" si="134"/>
        <v>0</v>
      </c>
      <c r="AE1368" t="str">
        <f t="shared" si="135"/>
        <v/>
      </c>
    </row>
    <row r="1369" spans="22:31" ht="18" customHeight="1">
      <c r="V1369">
        <f>IF(A1369="",0,IF(COUNTIF($A$3:A1369,A1369)=1,1,0))</f>
        <v>0</v>
      </c>
      <c r="W1369">
        <f t="shared" si="132"/>
        <v>0</v>
      </c>
      <c r="X1369" t="str">
        <f t="shared" si="133"/>
        <v/>
      </c>
      <c r="Y1369">
        <f>IF(X1369="",0,IF(COUNTIF($X$3:X1369,X1369)=1,1,0))</f>
        <v>0</v>
      </c>
      <c r="Z1369">
        <f>IF(V1369&lt;&gt;1,0,IF(X1369="",0,IF(COUNTIF($X$3:X1368,X1369)&gt;0,1,0)))</f>
        <v>0</v>
      </c>
      <c r="AA1369">
        <f t="shared" si="130"/>
        <v>0</v>
      </c>
      <c r="AB1369">
        <f t="shared" si="131"/>
        <v>0</v>
      </c>
      <c r="AC1369">
        <f>IF(I1369="",0,L1369*IFERROR(INDEX(کاتالوگ_محصولات!$G$4:$G$303,MATCH(I1369,کاتالوگ_محصولات!$A$4:$A$303,0)),0))</f>
        <v>0</v>
      </c>
      <c r="AD1369">
        <f t="shared" si="134"/>
        <v>0</v>
      </c>
      <c r="AE1369" t="str">
        <f t="shared" si="135"/>
        <v/>
      </c>
    </row>
    <row r="1370" spans="22:31" ht="18" customHeight="1">
      <c r="V1370">
        <f>IF(A1370="",0,IF(COUNTIF($A$3:A1370,A1370)=1,1,0))</f>
        <v>0</v>
      </c>
      <c r="W1370">
        <f t="shared" si="132"/>
        <v>0</v>
      </c>
      <c r="X1370" t="str">
        <f t="shared" si="133"/>
        <v/>
      </c>
      <c r="Y1370">
        <f>IF(X1370="",0,IF(COUNTIF($X$3:X1370,X1370)=1,1,0))</f>
        <v>0</v>
      </c>
      <c r="Z1370">
        <f>IF(V1370&lt;&gt;1,0,IF(X1370="",0,IF(COUNTIF($X$3:X1369,X1370)&gt;0,1,0)))</f>
        <v>0</v>
      </c>
      <c r="AA1370">
        <f t="shared" si="130"/>
        <v>0</v>
      </c>
      <c r="AB1370">
        <f t="shared" si="131"/>
        <v>0</v>
      </c>
      <c r="AC1370">
        <f>IF(I1370="",0,L1370*IFERROR(INDEX(کاتالوگ_محصولات!$G$4:$G$303,MATCH(I1370,کاتالوگ_محصولات!$A$4:$A$303,0)),0))</f>
        <v>0</v>
      </c>
      <c r="AD1370">
        <f t="shared" si="134"/>
        <v>0</v>
      </c>
      <c r="AE1370" t="str">
        <f t="shared" si="135"/>
        <v/>
      </c>
    </row>
    <row r="1371" spans="22:31" ht="18" customHeight="1">
      <c r="V1371">
        <f>IF(A1371="",0,IF(COUNTIF($A$3:A1371,A1371)=1,1,0))</f>
        <v>0</v>
      </c>
      <c r="W1371">
        <f t="shared" si="132"/>
        <v>0</v>
      </c>
      <c r="X1371" t="str">
        <f t="shared" si="133"/>
        <v/>
      </c>
      <c r="Y1371">
        <f>IF(X1371="",0,IF(COUNTIF($X$3:X1371,X1371)=1,1,0))</f>
        <v>0</v>
      </c>
      <c r="Z1371">
        <f>IF(V1371&lt;&gt;1,0,IF(X1371="",0,IF(COUNTIF($X$3:X1370,X1371)&gt;0,1,0)))</f>
        <v>0</v>
      </c>
      <c r="AA1371">
        <f t="shared" si="130"/>
        <v>0</v>
      </c>
      <c r="AB1371">
        <f t="shared" si="131"/>
        <v>0</v>
      </c>
      <c r="AC1371">
        <f>IF(I1371="",0,L1371*IFERROR(INDEX(کاتالوگ_محصولات!$G$4:$G$303,MATCH(I1371,کاتالوگ_محصولات!$A$4:$A$303,0)),0))</f>
        <v>0</v>
      </c>
      <c r="AD1371">
        <f t="shared" si="134"/>
        <v>0</v>
      </c>
      <c r="AE1371" t="str">
        <f t="shared" si="135"/>
        <v/>
      </c>
    </row>
    <row r="1372" spans="22:31" ht="18" customHeight="1">
      <c r="V1372">
        <f>IF(A1372="",0,IF(COUNTIF($A$3:A1372,A1372)=1,1,0))</f>
        <v>0</v>
      </c>
      <c r="W1372">
        <f t="shared" si="132"/>
        <v>0</v>
      </c>
      <c r="X1372" t="str">
        <f t="shared" si="133"/>
        <v/>
      </c>
      <c r="Y1372">
        <f>IF(X1372="",0,IF(COUNTIF($X$3:X1372,X1372)=1,1,0))</f>
        <v>0</v>
      </c>
      <c r="Z1372">
        <f>IF(V1372&lt;&gt;1,0,IF(X1372="",0,IF(COUNTIF($X$3:X1371,X1372)&gt;0,1,0)))</f>
        <v>0</v>
      </c>
      <c r="AA1372">
        <f t="shared" si="130"/>
        <v>0</v>
      </c>
      <c r="AB1372">
        <f t="shared" si="131"/>
        <v>0</v>
      </c>
      <c r="AC1372">
        <f>IF(I1372="",0,L1372*IFERROR(INDEX(کاتالوگ_محصولات!$G$4:$G$303,MATCH(I1372,کاتالوگ_محصولات!$A$4:$A$303,0)),0))</f>
        <v>0</v>
      </c>
      <c r="AD1372">
        <f t="shared" si="134"/>
        <v>0</v>
      </c>
      <c r="AE1372" t="str">
        <f t="shared" si="135"/>
        <v/>
      </c>
    </row>
    <row r="1373" spans="22:31" ht="18" customHeight="1">
      <c r="V1373">
        <f>IF(A1373="",0,IF(COUNTIF($A$3:A1373,A1373)=1,1,0))</f>
        <v>0</v>
      </c>
      <c r="W1373">
        <f t="shared" si="132"/>
        <v>0</v>
      </c>
      <c r="X1373" t="str">
        <f t="shared" si="133"/>
        <v/>
      </c>
      <c r="Y1373">
        <f>IF(X1373="",0,IF(COUNTIF($X$3:X1373,X1373)=1,1,0))</f>
        <v>0</v>
      </c>
      <c r="Z1373">
        <f>IF(V1373&lt;&gt;1,0,IF(X1373="",0,IF(COUNTIF($X$3:X1372,X1373)&gt;0,1,0)))</f>
        <v>0</v>
      </c>
      <c r="AA1373">
        <f t="shared" si="130"/>
        <v>0</v>
      </c>
      <c r="AB1373">
        <f t="shared" si="131"/>
        <v>0</v>
      </c>
      <c r="AC1373">
        <f>IF(I1373="",0,L1373*IFERROR(INDEX(کاتالوگ_محصولات!$G$4:$G$303,MATCH(I1373,کاتالوگ_محصولات!$A$4:$A$303,0)),0))</f>
        <v>0</v>
      </c>
      <c r="AD1373">
        <f t="shared" si="134"/>
        <v>0</v>
      </c>
      <c r="AE1373" t="str">
        <f t="shared" si="135"/>
        <v/>
      </c>
    </row>
    <row r="1374" spans="22:31" ht="18" customHeight="1">
      <c r="V1374">
        <f>IF(A1374="",0,IF(COUNTIF($A$3:A1374,A1374)=1,1,0))</f>
        <v>0</v>
      </c>
      <c r="W1374">
        <f t="shared" si="132"/>
        <v>0</v>
      </c>
      <c r="X1374" t="str">
        <f t="shared" si="133"/>
        <v/>
      </c>
      <c r="Y1374">
        <f>IF(X1374="",0,IF(COUNTIF($X$3:X1374,X1374)=1,1,0))</f>
        <v>0</v>
      </c>
      <c r="Z1374">
        <f>IF(V1374&lt;&gt;1,0,IF(X1374="",0,IF(COUNTIF($X$3:X1373,X1374)&gt;0,1,0)))</f>
        <v>0</v>
      </c>
      <c r="AA1374">
        <f t="shared" si="130"/>
        <v>0</v>
      </c>
      <c r="AB1374">
        <f t="shared" si="131"/>
        <v>0</v>
      </c>
      <c r="AC1374">
        <f>IF(I1374="",0,L1374*IFERROR(INDEX(کاتالوگ_محصولات!$G$4:$G$303,MATCH(I1374,کاتالوگ_محصولات!$A$4:$A$303,0)),0))</f>
        <v>0</v>
      </c>
      <c r="AD1374">
        <f t="shared" si="134"/>
        <v>0</v>
      </c>
      <c r="AE1374" t="str">
        <f t="shared" si="135"/>
        <v/>
      </c>
    </row>
    <row r="1375" spans="22:31" ht="18" customHeight="1">
      <c r="V1375">
        <f>IF(A1375="",0,IF(COUNTIF($A$3:A1375,A1375)=1,1,0))</f>
        <v>0</v>
      </c>
      <c r="W1375">
        <f t="shared" si="132"/>
        <v>0</v>
      </c>
      <c r="X1375" t="str">
        <f t="shared" si="133"/>
        <v/>
      </c>
      <c r="Y1375">
        <f>IF(X1375="",0,IF(COUNTIF($X$3:X1375,X1375)=1,1,0))</f>
        <v>0</v>
      </c>
      <c r="Z1375">
        <f>IF(V1375&lt;&gt;1,0,IF(X1375="",0,IF(COUNTIF($X$3:X1374,X1375)&gt;0,1,0)))</f>
        <v>0</v>
      </c>
      <c r="AA1375">
        <f t="shared" si="130"/>
        <v>0</v>
      </c>
      <c r="AB1375">
        <f t="shared" si="131"/>
        <v>0</v>
      </c>
      <c r="AC1375">
        <f>IF(I1375="",0,L1375*IFERROR(INDEX(کاتالوگ_محصولات!$G$4:$G$303,MATCH(I1375,کاتالوگ_محصولات!$A$4:$A$303,0)),0))</f>
        <v>0</v>
      </c>
      <c r="AD1375">
        <f t="shared" si="134"/>
        <v>0</v>
      </c>
      <c r="AE1375" t="str">
        <f t="shared" si="135"/>
        <v/>
      </c>
    </row>
    <row r="1376" spans="22:31" ht="18" customHeight="1">
      <c r="V1376">
        <f>IF(A1376="",0,IF(COUNTIF($A$3:A1376,A1376)=1,1,0))</f>
        <v>0</v>
      </c>
      <c r="W1376">
        <f t="shared" si="132"/>
        <v>0</v>
      </c>
      <c r="X1376" t="str">
        <f t="shared" si="133"/>
        <v/>
      </c>
      <c r="Y1376">
        <f>IF(X1376="",0,IF(COUNTIF($X$3:X1376,X1376)=1,1,0))</f>
        <v>0</v>
      </c>
      <c r="Z1376">
        <f>IF(V1376&lt;&gt;1,0,IF(X1376="",0,IF(COUNTIF($X$3:X1375,X1376)&gt;0,1,0)))</f>
        <v>0</v>
      </c>
      <c r="AA1376">
        <f t="shared" si="130"/>
        <v>0</v>
      </c>
      <c r="AB1376">
        <f t="shared" si="131"/>
        <v>0</v>
      </c>
      <c r="AC1376">
        <f>IF(I1376="",0,L1376*IFERROR(INDEX(کاتالوگ_محصولات!$G$4:$G$303,MATCH(I1376,کاتالوگ_محصولات!$A$4:$A$303,0)),0))</f>
        <v>0</v>
      </c>
      <c r="AD1376">
        <f t="shared" si="134"/>
        <v>0</v>
      </c>
      <c r="AE1376" t="str">
        <f t="shared" si="135"/>
        <v/>
      </c>
    </row>
    <row r="1377" spans="22:31" ht="18" customHeight="1">
      <c r="V1377">
        <f>IF(A1377="",0,IF(COUNTIF($A$3:A1377,A1377)=1,1,0))</f>
        <v>0</v>
      </c>
      <c r="W1377">
        <f t="shared" si="132"/>
        <v>0</v>
      </c>
      <c r="X1377" t="str">
        <f t="shared" si="133"/>
        <v/>
      </c>
      <c r="Y1377">
        <f>IF(X1377="",0,IF(COUNTIF($X$3:X1377,X1377)=1,1,0))</f>
        <v>0</v>
      </c>
      <c r="Z1377">
        <f>IF(V1377&lt;&gt;1,0,IF(X1377="",0,IF(COUNTIF($X$3:X1376,X1377)&gt;0,1,0)))</f>
        <v>0</v>
      </c>
      <c r="AA1377">
        <f t="shared" si="130"/>
        <v>0</v>
      </c>
      <c r="AB1377">
        <f t="shared" si="131"/>
        <v>0</v>
      </c>
      <c r="AC1377">
        <f>IF(I1377="",0,L1377*IFERROR(INDEX(کاتالوگ_محصولات!$G$4:$G$303,MATCH(I1377,کاتالوگ_محصولات!$A$4:$A$303,0)),0))</f>
        <v>0</v>
      </c>
      <c r="AD1377">
        <f t="shared" si="134"/>
        <v>0</v>
      </c>
      <c r="AE1377" t="str">
        <f t="shared" si="135"/>
        <v/>
      </c>
    </row>
    <row r="1378" spans="22:31" ht="18" customHeight="1">
      <c r="V1378">
        <f>IF(A1378="",0,IF(COUNTIF($A$3:A1378,A1378)=1,1,0))</f>
        <v>0</v>
      </c>
      <c r="W1378">
        <f t="shared" si="132"/>
        <v>0</v>
      </c>
      <c r="X1378" t="str">
        <f t="shared" si="133"/>
        <v/>
      </c>
      <c r="Y1378">
        <f>IF(X1378="",0,IF(COUNTIF($X$3:X1378,X1378)=1,1,0))</f>
        <v>0</v>
      </c>
      <c r="Z1378">
        <f>IF(V1378&lt;&gt;1,0,IF(X1378="",0,IF(COUNTIF($X$3:X1377,X1378)&gt;0,1,0)))</f>
        <v>0</v>
      </c>
      <c r="AA1378">
        <f t="shared" si="130"/>
        <v>0</v>
      </c>
      <c r="AB1378">
        <f t="shared" si="131"/>
        <v>0</v>
      </c>
      <c r="AC1378">
        <f>IF(I1378="",0,L1378*IFERROR(INDEX(کاتالوگ_محصولات!$G$4:$G$303,MATCH(I1378,کاتالوگ_محصولات!$A$4:$A$303,0)),0))</f>
        <v>0</v>
      </c>
      <c r="AD1378">
        <f t="shared" si="134"/>
        <v>0</v>
      </c>
      <c r="AE1378" t="str">
        <f t="shared" si="135"/>
        <v/>
      </c>
    </row>
    <row r="1379" spans="22:31" ht="18" customHeight="1">
      <c r="V1379">
        <f>IF(A1379="",0,IF(COUNTIF($A$3:A1379,A1379)=1,1,0))</f>
        <v>0</v>
      </c>
      <c r="W1379">
        <f t="shared" si="132"/>
        <v>0</v>
      </c>
      <c r="X1379" t="str">
        <f t="shared" si="133"/>
        <v/>
      </c>
      <c r="Y1379">
        <f>IF(X1379="",0,IF(COUNTIF($X$3:X1379,X1379)=1,1,0))</f>
        <v>0</v>
      </c>
      <c r="Z1379">
        <f>IF(V1379&lt;&gt;1,0,IF(X1379="",0,IF(COUNTIF($X$3:X1378,X1379)&gt;0,1,0)))</f>
        <v>0</v>
      </c>
      <c r="AA1379">
        <f t="shared" si="130"/>
        <v>0</v>
      </c>
      <c r="AB1379">
        <f t="shared" si="131"/>
        <v>0</v>
      </c>
      <c r="AC1379">
        <f>IF(I1379="",0,L1379*IFERROR(INDEX(کاتالوگ_محصولات!$G$4:$G$303,MATCH(I1379,کاتالوگ_محصولات!$A$4:$A$303,0)),0))</f>
        <v>0</v>
      </c>
      <c r="AD1379">
        <f t="shared" si="134"/>
        <v>0</v>
      </c>
      <c r="AE1379" t="str">
        <f t="shared" si="135"/>
        <v/>
      </c>
    </row>
    <row r="1380" spans="22:31" ht="18" customHeight="1">
      <c r="V1380">
        <f>IF(A1380="",0,IF(COUNTIF($A$3:A1380,A1380)=1,1,0))</f>
        <v>0</v>
      </c>
      <c r="W1380">
        <f t="shared" si="132"/>
        <v>0</v>
      </c>
      <c r="X1380" t="str">
        <f t="shared" si="133"/>
        <v/>
      </c>
      <c r="Y1380">
        <f>IF(X1380="",0,IF(COUNTIF($X$3:X1380,X1380)=1,1,0))</f>
        <v>0</v>
      </c>
      <c r="Z1380">
        <f>IF(V1380&lt;&gt;1,0,IF(X1380="",0,IF(COUNTIF($X$3:X1379,X1380)&gt;0,1,0)))</f>
        <v>0</v>
      </c>
      <c r="AA1380">
        <f t="shared" si="130"/>
        <v>0</v>
      </c>
      <c r="AB1380">
        <f t="shared" si="131"/>
        <v>0</v>
      </c>
      <c r="AC1380">
        <f>IF(I1380="",0,L1380*IFERROR(INDEX(کاتالوگ_محصولات!$G$4:$G$303,MATCH(I1380,کاتالوگ_محصولات!$A$4:$A$303,0)),0))</f>
        <v>0</v>
      </c>
      <c r="AD1380">
        <f t="shared" si="134"/>
        <v>0</v>
      </c>
      <c r="AE1380" t="str">
        <f t="shared" si="135"/>
        <v/>
      </c>
    </row>
    <row r="1381" spans="22:31" ht="18" customHeight="1">
      <c r="V1381">
        <f>IF(A1381="",0,IF(COUNTIF($A$3:A1381,A1381)=1,1,0))</f>
        <v>0</v>
      </c>
      <c r="W1381">
        <f t="shared" si="132"/>
        <v>0</v>
      </c>
      <c r="X1381" t="str">
        <f t="shared" si="133"/>
        <v/>
      </c>
      <c r="Y1381">
        <f>IF(X1381="",0,IF(COUNTIF($X$3:X1381,X1381)=1,1,0))</f>
        <v>0</v>
      </c>
      <c r="Z1381">
        <f>IF(V1381&lt;&gt;1,0,IF(X1381="",0,IF(COUNTIF($X$3:X1380,X1381)&gt;0,1,0)))</f>
        <v>0</v>
      </c>
      <c r="AA1381">
        <f t="shared" si="130"/>
        <v>0</v>
      </c>
      <c r="AB1381">
        <f t="shared" si="131"/>
        <v>0</v>
      </c>
      <c r="AC1381">
        <f>IF(I1381="",0,L1381*IFERROR(INDEX(کاتالوگ_محصولات!$G$4:$G$303,MATCH(I1381,کاتالوگ_محصولات!$A$4:$A$303,0)),0))</f>
        <v>0</v>
      </c>
      <c r="AD1381">
        <f t="shared" si="134"/>
        <v>0</v>
      </c>
      <c r="AE1381" t="str">
        <f t="shared" si="135"/>
        <v/>
      </c>
    </row>
    <row r="1382" spans="22:31" ht="18" customHeight="1">
      <c r="V1382">
        <f>IF(A1382="",0,IF(COUNTIF($A$3:A1382,A1382)=1,1,0))</f>
        <v>0</v>
      </c>
      <c r="W1382">
        <f t="shared" si="132"/>
        <v>0</v>
      </c>
      <c r="X1382" t="str">
        <f t="shared" si="133"/>
        <v/>
      </c>
      <c r="Y1382">
        <f>IF(X1382="",0,IF(COUNTIF($X$3:X1382,X1382)=1,1,0))</f>
        <v>0</v>
      </c>
      <c r="Z1382">
        <f>IF(V1382&lt;&gt;1,0,IF(X1382="",0,IF(COUNTIF($X$3:X1381,X1382)&gt;0,1,0)))</f>
        <v>0</v>
      </c>
      <c r="AA1382">
        <f t="shared" si="130"/>
        <v>0</v>
      </c>
      <c r="AB1382">
        <f t="shared" si="131"/>
        <v>0</v>
      </c>
      <c r="AC1382">
        <f>IF(I1382="",0,L1382*IFERROR(INDEX(کاتالوگ_محصولات!$G$4:$G$303,MATCH(I1382,کاتالوگ_محصولات!$A$4:$A$303,0)),0))</f>
        <v>0</v>
      </c>
      <c r="AD1382">
        <f t="shared" si="134"/>
        <v>0</v>
      </c>
      <c r="AE1382" t="str">
        <f t="shared" si="135"/>
        <v/>
      </c>
    </row>
    <row r="1383" spans="22:31" ht="18" customHeight="1">
      <c r="V1383">
        <f>IF(A1383="",0,IF(COUNTIF($A$3:A1383,A1383)=1,1,0))</f>
        <v>0</v>
      </c>
      <c r="W1383">
        <f t="shared" si="132"/>
        <v>0</v>
      </c>
      <c r="X1383" t="str">
        <f t="shared" si="133"/>
        <v/>
      </c>
      <c r="Y1383">
        <f>IF(X1383="",0,IF(COUNTIF($X$3:X1383,X1383)=1,1,0))</f>
        <v>0</v>
      </c>
      <c r="Z1383">
        <f>IF(V1383&lt;&gt;1,0,IF(X1383="",0,IF(COUNTIF($X$3:X1382,X1383)&gt;0,1,0)))</f>
        <v>0</v>
      </c>
      <c r="AA1383">
        <f t="shared" si="130"/>
        <v>0</v>
      </c>
      <c r="AB1383">
        <f t="shared" si="131"/>
        <v>0</v>
      </c>
      <c r="AC1383">
        <f>IF(I1383="",0,L1383*IFERROR(INDEX(کاتالوگ_محصولات!$G$4:$G$303,MATCH(I1383,کاتالوگ_محصولات!$A$4:$A$303,0)),0))</f>
        <v>0</v>
      </c>
      <c r="AD1383">
        <f t="shared" si="134"/>
        <v>0</v>
      </c>
      <c r="AE1383" t="str">
        <f t="shared" si="135"/>
        <v/>
      </c>
    </row>
    <row r="1384" spans="22:31" ht="18" customHeight="1">
      <c r="V1384">
        <f>IF(A1384="",0,IF(COUNTIF($A$3:A1384,A1384)=1,1,0))</f>
        <v>0</v>
      </c>
      <c r="W1384">
        <f t="shared" si="132"/>
        <v>0</v>
      </c>
      <c r="X1384" t="str">
        <f t="shared" si="133"/>
        <v/>
      </c>
      <c r="Y1384">
        <f>IF(X1384="",0,IF(COUNTIF($X$3:X1384,X1384)=1,1,0))</f>
        <v>0</v>
      </c>
      <c r="Z1384">
        <f>IF(V1384&lt;&gt;1,0,IF(X1384="",0,IF(COUNTIF($X$3:X1383,X1384)&gt;0,1,0)))</f>
        <v>0</v>
      </c>
      <c r="AA1384">
        <f t="shared" si="130"/>
        <v>0</v>
      </c>
      <c r="AB1384">
        <f t="shared" si="131"/>
        <v>0</v>
      </c>
      <c r="AC1384">
        <f>IF(I1384="",0,L1384*IFERROR(INDEX(کاتالوگ_محصولات!$G$4:$G$303,MATCH(I1384,کاتالوگ_محصولات!$A$4:$A$303,0)),0))</f>
        <v>0</v>
      </c>
      <c r="AD1384">
        <f t="shared" si="134"/>
        <v>0</v>
      </c>
      <c r="AE1384" t="str">
        <f t="shared" si="135"/>
        <v/>
      </c>
    </row>
    <row r="1385" spans="22:31" ht="18" customHeight="1">
      <c r="V1385">
        <f>IF(A1385="",0,IF(COUNTIF($A$3:A1385,A1385)=1,1,0))</f>
        <v>0</v>
      </c>
      <c r="W1385">
        <f t="shared" si="132"/>
        <v>0</v>
      </c>
      <c r="X1385" t="str">
        <f t="shared" si="133"/>
        <v/>
      </c>
      <c r="Y1385">
        <f>IF(X1385="",0,IF(COUNTIF($X$3:X1385,X1385)=1,1,0))</f>
        <v>0</v>
      </c>
      <c r="Z1385">
        <f>IF(V1385&lt;&gt;1,0,IF(X1385="",0,IF(COUNTIF($X$3:X1384,X1385)&gt;0,1,0)))</f>
        <v>0</v>
      </c>
      <c r="AA1385">
        <f t="shared" si="130"/>
        <v>0</v>
      </c>
      <c r="AB1385">
        <f t="shared" si="131"/>
        <v>0</v>
      </c>
      <c r="AC1385">
        <f>IF(I1385="",0,L1385*IFERROR(INDEX(کاتالوگ_محصولات!$G$4:$G$303,MATCH(I1385,کاتالوگ_محصولات!$A$4:$A$303,0)),0))</f>
        <v>0</v>
      </c>
      <c r="AD1385">
        <f t="shared" si="134"/>
        <v>0</v>
      </c>
      <c r="AE1385" t="str">
        <f t="shared" si="135"/>
        <v/>
      </c>
    </row>
    <row r="1386" spans="22:31" ht="18" customHeight="1">
      <c r="V1386">
        <f>IF(A1386="",0,IF(COUNTIF($A$3:A1386,A1386)=1,1,0))</f>
        <v>0</v>
      </c>
      <c r="W1386">
        <f t="shared" si="132"/>
        <v>0</v>
      </c>
      <c r="X1386" t="str">
        <f t="shared" si="133"/>
        <v/>
      </c>
      <c r="Y1386">
        <f>IF(X1386="",0,IF(COUNTIF($X$3:X1386,X1386)=1,1,0))</f>
        <v>0</v>
      </c>
      <c r="Z1386">
        <f>IF(V1386&lt;&gt;1,0,IF(X1386="",0,IF(COUNTIF($X$3:X1385,X1386)&gt;0,1,0)))</f>
        <v>0</v>
      </c>
      <c r="AA1386">
        <f t="shared" si="130"/>
        <v>0</v>
      </c>
      <c r="AB1386">
        <f t="shared" si="131"/>
        <v>0</v>
      </c>
      <c r="AC1386">
        <f>IF(I1386="",0,L1386*IFERROR(INDEX(کاتالوگ_محصولات!$G$4:$G$303,MATCH(I1386,کاتالوگ_محصولات!$A$4:$A$303,0)),0))</f>
        <v>0</v>
      </c>
      <c r="AD1386">
        <f t="shared" si="134"/>
        <v>0</v>
      </c>
      <c r="AE1386" t="str">
        <f t="shared" si="135"/>
        <v/>
      </c>
    </row>
    <row r="1387" spans="22:31" ht="18" customHeight="1">
      <c r="V1387">
        <f>IF(A1387="",0,IF(COUNTIF($A$3:A1387,A1387)=1,1,0))</f>
        <v>0</v>
      </c>
      <c r="W1387">
        <f t="shared" si="132"/>
        <v>0</v>
      </c>
      <c r="X1387" t="str">
        <f t="shared" si="133"/>
        <v/>
      </c>
      <c r="Y1387">
        <f>IF(X1387="",0,IF(COUNTIF($X$3:X1387,X1387)=1,1,0))</f>
        <v>0</v>
      </c>
      <c r="Z1387">
        <f>IF(V1387&lt;&gt;1,0,IF(X1387="",0,IF(COUNTIF($X$3:X1386,X1387)&gt;0,1,0)))</f>
        <v>0</v>
      </c>
      <c r="AA1387">
        <f t="shared" si="130"/>
        <v>0</v>
      </c>
      <c r="AB1387">
        <f t="shared" si="131"/>
        <v>0</v>
      </c>
      <c r="AC1387">
        <f>IF(I1387="",0,L1387*IFERROR(INDEX(کاتالوگ_محصولات!$G$4:$G$303,MATCH(I1387,کاتالوگ_محصولات!$A$4:$A$303,0)),0))</f>
        <v>0</v>
      </c>
      <c r="AD1387">
        <f t="shared" si="134"/>
        <v>0</v>
      </c>
      <c r="AE1387" t="str">
        <f t="shared" si="135"/>
        <v/>
      </c>
    </row>
    <row r="1388" spans="22:31" ht="18" customHeight="1">
      <c r="V1388">
        <f>IF(A1388="",0,IF(COUNTIF($A$3:A1388,A1388)=1,1,0))</f>
        <v>0</v>
      </c>
      <c r="W1388">
        <f t="shared" si="132"/>
        <v>0</v>
      </c>
      <c r="X1388" t="str">
        <f t="shared" si="133"/>
        <v/>
      </c>
      <c r="Y1388">
        <f>IF(X1388="",0,IF(COUNTIF($X$3:X1388,X1388)=1,1,0))</f>
        <v>0</v>
      </c>
      <c r="Z1388">
        <f>IF(V1388&lt;&gt;1,0,IF(X1388="",0,IF(COUNTIF($X$3:X1387,X1388)&gt;0,1,0)))</f>
        <v>0</v>
      </c>
      <c r="AA1388">
        <f t="shared" si="130"/>
        <v>0</v>
      </c>
      <c r="AB1388">
        <f t="shared" si="131"/>
        <v>0</v>
      </c>
      <c r="AC1388">
        <f>IF(I1388="",0,L1388*IFERROR(INDEX(کاتالوگ_محصولات!$G$4:$G$303,MATCH(I1388,کاتالوگ_محصولات!$A$4:$A$303,0)),0))</f>
        <v>0</v>
      </c>
      <c r="AD1388">
        <f t="shared" si="134"/>
        <v>0</v>
      </c>
      <c r="AE1388" t="str">
        <f t="shared" si="135"/>
        <v/>
      </c>
    </row>
    <row r="1389" spans="22:31" ht="18" customHeight="1">
      <c r="V1389">
        <f>IF(A1389="",0,IF(COUNTIF($A$3:A1389,A1389)=1,1,0))</f>
        <v>0</v>
      </c>
      <c r="W1389">
        <f t="shared" si="132"/>
        <v>0</v>
      </c>
      <c r="X1389" t="str">
        <f t="shared" si="133"/>
        <v/>
      </c>
      <c r="Y1389">
        <f>IF(X1389="",0,IF(COUNTIF($X$3:X1389,X1389)=1,1,0))</f>
        <v>0</v>
      </c>
      <c r="Z1389">
        <f>IF(V1389&lt;&gt;1,0,IF(X1389="",0,IF(COUNTIF($X$3:X1388,X1389)&gt;0,1,0)))</f>
        <v>0</v>
      </c>
      <c r="AA1389">
        <f t="shared" si="130"/>
        <v>0</v>
      </c>
      <c r="AB1389">
        <f t="shared" si="131"/>
        <v>0</v>
      </c>
      <c r="AC1389">
        <f>IF(I1389="",0,L1389*IFERROR(INDEX(کاتالوگ_محصولات!$G$4:$G$303,MATCH(I1389,کاتالوگ_محصولات!$A$4:$A$303,0)),0))</f>
        <v>0</v>
      </c>
      <c r="AD1389">
        <f t="shared" si="134"/>
        <v>0</v>
      </c>
      <c r="AE1389" t="str">
        <f t="shared" si="135"/>
        <v/>
      </c>
    </row>
    <row r="1390" spans="22:31" ht="18" customHeight="1">
      <c r="V1390">
        <f>IF(A1390="",0,IF(COUNTIF($A$3:A1390,A1390)=1,1,0))</f>
        <v>0</v>
      </c>
      <c r="W1390">
        <f t="shared" si="132"/>
        <v>0</v>
      </c>
      <c r="X1390" t="str">
        <f t="shared" si="133"/>
        <v/>
      </c>
      <c r="Y1390">
        <f>IF(X1390="",0,IF(COUNTIF($X$3:X1390,X1390)=1,1,0))</f>
        <v>0</v>
      </c>
      <c r="Z1390">
        <f>IF(V1390&lt;&gt;1,0,IF(X1390="",0,IF(COUNTIF($X$3:X1389,X1390)&gt;0,1,0)))</f>
        <v>0</v>
      </c>
      <c r="AA1390">
        <f t="shared" si="130"/>
        <v>0</v>
      </c>
      <c r="AB1390">
        <f t="shared" si="131"/>
        <v>0</v>
      </c>
      <c r="AC1390">
        <f>IF(I1390="",0,L1390*IFERROR(INDEX(کاتالوگ_محصولات!$G$4:$G$303,MATCH(I1390,کاتالوگ_محصولات!$A$4:$A$303,0)),0))</f>
        <v>0</v>
      </c>
      <c r="AD1390">
        <f t="shared" si="134"/>
        <v>0</v>
      </c>
      <c r="AE1390" t="str">
        <f t="shared" si="135"/>
        <v/>
      </c>
    </row>
    <row r="1391" spans="22:31" ht="18" customHeight="1">
      <c r="V1391">
        <f>IF(A1391="",0,IF(COUNTIF($A$3:A1391,A1391)=1,1,0))</f>
        <v>0</v>
      </c>
      <c r="W1391">
        <f t="shared" si="132"/>
        <v>0</v>
      </c>
      <c r="X1391" t="str">
        <f t="shared" si="133"/>
        <v/>
      </c>
      <c r="Y1391">
        <f>IF(X1391="",0,IF(COUNTIF($X$3:X1391,X1391)=1,1,0))</f>
        <v>0</v>
      </c>
      <c r="Z1391">
        <f>IF(V1391&lt;&gt;1,0,IF(X1391="",0,IF(COUNTIF($X$3:X1390,X1391)&gt;0,1,0)))</f>
        <v>0</v>
      </c>
      <c r="AA1391">
        <f t="shared" si="130"/>
        <v>0</v>
      </c>
      <c r="AB1391">
        <f t="shared" si="131"/>
        <v>0</v>
      </c>
      <c r="AC1391">
        <f>IF(I1391="",0,L1391*IFERROR(INDEX(کاتالوگ_محصولات!$G$4:$G$303,MATCH(I1391,کاتالوگ_محصولات!$A$4:$A$303,0)),0))</f>
        <v>0</v>
      </c>
      <c r="AD1391">
        <f t="shared" si="134"/>
        <v>0</v>
      </c>
      <c r="AE1391" t="str">
        <f t="shared" si="135"/>
        <v/>
      </c>
    </row>
    <row r="1392" spans="22:31" ht="18" customHeight="1">
      <c r="V1392">
        <f>IF(A1392="",0,IF(COUNTIF($A$3:A1392,A1392)=1,1,0))</f>
        <v>0</v>
      </c>
      <c r="W1392">
        <f t="shared" si="132"/>
        <v>0</v>
      </c>
      <c r="X1392" t="str">
        <f t="shared" si="133"/>
        <v/>
      </c>
      <c r="Y1392">
        <f>IF(X1392="",0,IF(COUNTIF($X$3:X1392,X1392)=1,1,0))</f>
        <v>0</v>
      </c>
      <c r="Z1392">
        <f>IF(V1392&lt;&gt;1,0,IF(X1392="",0,IF(COUNTIF($X$3:X1391,X1392)&gt;0,1,0)))</f>
        <v>0</v>
      </c>
      <c r="AA1392">
        <f t="shared" si="130"/>
        <v>0</v>
      </c>
      <c r="AB1392">
        <f t="shared" si="131"/>
        <v>0</v>
      </c>
      <c r="AC1392">
        <f>IF(I1392="",0,L1392*IFERROR(INDEX(کاتالوگ_محصولات!$G$4:$G$303,MATCH(I1392,کاتالوگ_محصولات!$A$4:$A$303,0)),0))</f>
        <v>0</v>
      </c>
      <c r="AD1392">
        <f t="shared" si="134"/>
        <v>0</v>
      </c>
      <c r="AE1392" t="str">
        <f t="shared" si="135"/>
        <v/>
      </c>
    </row>
    <row r="1393" spans="22:31" ht="18" customHeight="1">
      <c r="V1393">
        <f>IF(A1393="",0,IF(COUNTIF($A$3:A1393,A1393)=1,1,0))</f>
        <v>0</v>
      </c>
      <c r="W1393">
        <f t="shared" si="132"/>
        <v>0</v>
      </c>
      <c r="X1393" t="str">
        <f t="shared" si="133"/>
        <v/>
      </c>
      <c r="Y1393">
        <f>IF(X1393="",0,IF(COUNTIF($X$3:X1393,X1393)=1,1,0))</f>
        <v>0</v>
      </c>
      <c r="Z1393">
        <f>IF(V1393&lt;&gt;1,0,IF(X1393="",0,IF(COUNTIF($X$3:X1392,X1393)&gt;0,1,0)))</f>
        <v>0</v>
      </c>
      <c r="AA1393">
        <f t="shared" si="130"/>
        <v>0</v>
      </c>
      <c r="AB1393">
        <f t="shared" si="131"/>
        <v>0</v>
      </c>
      <c r="AC1393">
        <f>IF(I1393="",0,L1393*IFERROR(INDEX(کاتالوگ_محصولات!$G$4:$G$303,MATCH(I1393,کاتالوگ_محصولات!$A$4:$A$303,0)),0))</f>
        <v>0</v>
      </c>
      <c r="AD1393">
        <f t="shared" si="134"/>
        <v>0</v>
      </c>
      <c r="AE1393" t="str">
        <f t="shared" si="135"/>
        <v/>
      </c>
    </row>
    <row r="1394" spans="22:31" ht="18" customHeight="1">
      <c r="V1394">
        <f>IF(A1394="",0,IF(COUNTIF($A$3:A1394,A1394)=1,1,0))</f>
        <v>0</v>
      </c>
      <c r="W1394">
        <f t="shared" si="132"/>
        <v>0</v>
      </c>
      <c r="X1394" t="str">
        <f t="shared" si="133"/>
        <v/>
      </c>
      <c r="Y1394">
        <f>IF(X1394="",0,IF(COUNTIF($X$3:X1394,X1394)=1,1,0))</f>
        <v>0</v>
      </c>
      <c r="Z1394">
        <f>IF(V1394&lt;&gt;1,0,IF(X1394="",0,IF(COUNTIF($X$3:X1393,X1394)&gt;0,1,0)))</f>
        <v>0</v>
      </c>
      <c r="AA1394">
        <f t="shared" si="130"/>
        <v>0</v>
      </c>
      <c r="AB1394">
        <f t="shared" si="131"/>
        <v>0</v>
      </c>
      <c r="AC1394">
        <f>IF(I1394="",0,L1394*IFERROR(INDEX(کاتالوگ_محصولات!$G$4:$G$303,MATCH(I1394,کاتالوگ_محصولات!$A$4:$A$303,0)),0))</f>
        <v>0</v>
      </c>
      <c r="AD1394">
        <f t="shared" si="134"/>
        <v>0</v>
      </c>
      <c r="AE1394" t="str">
        <f t="shared" si="135"/>
        <v/>
      </c>
    </row>
    <row r="1395" spans="22:31" ht="18" customHeight="1">
      <c r="V1395">
        <f>IF(A1395="",0,IF(COUNTIF($A$3:A1395,A1395)=1,1,0))</f>
        <v>0</v>
      </c>
      <c r="W1395">
        <f t="shared" si="132"/>
        <v>0</v>
      </c>
      <c r="X1395" t="str">
        <f t="shared" si="133"/>
        <v/>
      </c>
      <c r="Y1395">
        <f>IF(X1395="",0,IF(COUNTIF($X$3:X1395,X1395)=1,1,0))</f>
        <v>0</v>
      </c>
      <c r="Z1395">
        <f>IF(V1395&lt;&gt;1,0,IF(X1395="",0,IF(COUNTIF($X$3:X1394,X1395)&gt;0,1,0)))</f>
        <v>0</v>
      </c>
      <c r="AA1395">
        <f t="shared" si="130"/>
        <v>0</v>
      </c>
      <c r="AB1395">
        <f t="shared" si="131"/>
        <v>0</v>
      </c>
      <c r="AC1395">
        <f>IF(I1395="",0,L1395*IFERROR(INDEX(کاتالوگ_محصولات!$G$4:$G$303,MATCH(I1395,کاتالوگ_محصولات!$A$4:$A$303,0)),0))</f>
        <v>0</v>
      </c>
      <c r="AD1395">
        <f t="shared" si="134"/>
        <v>0</v>
      </c>
      <c r="AE1395" t="str">
        <f t="shared" si="135"/>
        <v/>
      </c>
    </row>
    <row r="1396" spans="22:31" ht="18" customHeight="1">
      <c r="V1396">
        <f>IF(A1396="",0,IF(COUNTIF($A$3:A1396,A1396)=1,1,0))</f>
        <v>0</v>
      </c>
      <c r="W1396">
        <f t="shared" si="132"/>
        <v>0</v>
      </c>
      <c r="X1396" t="str">
        <f t="shared" si="133"/>
        <v/>
      </c>
      <c r="Y1396">
        <f>IF(X1396="",0,IF(COUNTIF($X$3:X1396,X1396)=1,1,0))</f>
        <v>0</v>
      </c>
      <c r="Z1396">
        <f>IF(V1396&lt;&gt;1,0,IF(X1396="",0,IF(COUNTIF($X$3:X1395,X1396)&gt;0,1,0)))</f>
        <v>0</v>
      </c>
      <c r="AA1396">
        <f t="shared" si="130"/>
        <v>0</v>
      </c>
      <c r="AB1396">
        <f t="shared" si="131"/>
        <v>0</v>
      </c>
      <c r="AC1396">
        <f>IF(I1396="",0,L1396*IFERROR(INDEX(کاتالوگ_محصولات!$G$4:$G$303,MATCH(I1396,کاتالوگ_محصولات!$A$4:$A$303,0)),0))</f>
        <v>0</v>
      </c>
      <c r="AD1396">
        <f t="shared" si="134"/>
        <v>0</v>
      </c>
      <c r="AE1396" t="str">
        <f t="shared" si="135"/>
        <v/>
      </c>
    </row>
    <row r="1397" spans="22:31" ht="18" customHeight="1">
      <c r="V1397">
        <f>IF(A1397="",0,IF(COUNTIF($A$3:A1397,A1397)=1,1,0))</f>
        <v>0</v>
      </c>
      <c r="W1397">
        <f t="shared" si="132"/>
        <v>0</v>
      </c>
      <c r="X1397" t="str">
        <f t="shared" si="133"/>
        <v/>
      </c>
      <c r="Y1397">
        <f>IF(X1397="",0,IF(COUNTIF($X$3:X1397,X1397)=1,1,0))</f>
        <v>0</v>
      </c>
      <c r="Z1397">
        <f>IF(V1397&lt;&gt;1,0,IF(X1397="",0,IF(COUNTIF($X$3:X1396,X1397)&gt;0,1,0)))</f>
        <v>0</v>
      </c>
      <c r="AA1397">
        <f t="shared" si="130"/>
        <v>0</v>
      </c>
      <c r="AB1397">
        <f t="shared" si="131"/>
        <v>0</v>
      </c>
      <c r="AC1397">
        <f>IF(I1397="",0,L1397*IFERROR(INDEX(کاتالوگ_محصولات!$G$4:$G$303,MATCH(I1397,کاتالوگ_محصولات!$A$4:$A$303,0)),0))</f>
        <v>0</v>
      </c>
      <c r="AD1397">
        <f t="shared" si="134"/>
        <v>0</v>
      </c>
      <c r="AE1397" t="str">
        <f t="shared" si="135"/>
        <v/>
      </c>
    </row>
    <row r="1398" spans="22:31" ht="18" customHeight="1">
      <c r="V1398">
        <f>IF(A1398="",0,IF(COUNTIF($A$3:A1398,A1398)=1,1,0))</f>
        <v>0</v>
      </c>
      <c r="W1398">
        <f t="shared" si="132"/>
        <v>0</v>
      </c>
      <c r="X1398" t="str">
        <f t="shared" si="133"/>
        <v/>
      </c>
      <c r="Y1398">
        <f>IF(X1398="",0,IF(COUNTIF($X$3:X1398,X1398)=1,1,0))</f>
        <v>0</v>
      </c>
      <c r="Z1398">
        <f>IF(V1398&lt;&gt;1,0,IF(X1398="",0,IF(COUNTIF($X$3:X1397,X1398)&gt;0,1,0)))</f>
        <v>0</v>
      </c>
      <c r="AA1398">
        <f t="shared" si="130"/>
        <v>0</v>
      </c>
      <c r="AB1398">
        <f t="shared" si="131"/>
        <v>0</v>
      </c>
      <c r="AC1398">
        <f>IF(I1398="",0,L1398*IFERROR(INDEX(کاتالوگ_محصولات!$G$4:$G$303,MATCH(I1398,کاتالوگ_محصولات!$A$4:$A$303,0)),0))</f>
        <v>0</v>
      </c>
      <c r="AD1398">
        <f t="shared" si="134"/>
        <v>0</v>
      </c>
      <c r="AE1398" t="str">
        <f t="shared" si="135"/>
        <v/>
      </c>
    </row>
    <row r="1399" spans="22:31" ht="18" customHeight="1">
      <c r="V1399">
        <f>IF(A1399="",0,IF(COUNTIF($A$3:A1399,A1399)=1,1,0))</f>
        <v>0</v>
      </c>
      <c r="W1399">
        <f t="shared" si="132"/>
        <v>0</v>
      </c>
      <c r="X1399" t="str">
        <f t="shared" si="133"/>
        <v/>
      </c>
      <c r="Y1399">
        <f>IF(X1399="",0,IF(COUNTIF($X$3:X1399,X1399)=1,1,0))</f>
        <v>0</v>
      </c>
      <c r="Z1399">
        <f>IF(V1399&lt;&gt;1,0,IF(X1399="",0,IF(COUNTIF($X$3:X1398,X1399)&gt;0,1,0)))</f>
        <v>0</v>
      </c>
      <c r="AA1399">
        <f t="shared" si="130"/>
        <v>0</v>
      </c>
      <c r="AB1399">
        <f t="shared" si="131"/>
        <v>0</v>
      </c>
      <c r="AC1399">
        <f>IF(I1399="",0,L1399*IFERROR(INDEX(کاتالوگ_محصولات!$G$4:$G$303,MATCH(I1399,کاتالوگ_محصولات!$A$4:$A$303,0)),0))</f>
        <v>0</v>
      </c>
      <c r="AD1399">
        <f t="shared" si="134"/>
        <v>0</v>
      </c>
      <c r="AE1399" t="str">
        <f t="shared" si="135"/>
        <v/>
      </c>
    </row>
    <row r="1400" spans="22:31" ht="18" customHeight="1">
      <c r="V1400">
        <f>IF(A1400="",0,IF(COUNTIF($A$3:A1400,A1400)=1,1,0))</f>
        <v>0</v>
      </c>
      <c r="W1400">
        <f t="shared" si="132"/>
        <v>0</v>
      </c>
      <c r="X1400" t="str">
        <f t="shared" si="133"/>
        <v/>
      </c>
      <c r="Y1400">
        <f>IF(X1400="",0,IF(COUNTIF($X$3:X1400,X1400)=1,1,0))</f>
        <v>0</v>
      </c>
      <c r="Z1400">
        <f>IF(V1400&lt;&gt;1,0,IF(X1400="",0,IF(COUNTIF($X$3:X1399,X1400)&gt;0,1,0)))</f>
        <v>0</v>
      </c>
      <c r="AA1400">
        <f t="shared" si="130"/>
        <v>0</v>
      </c>
      <c r="AB1400">
        <f t="shared" si="131"/>
        <v>0</v>
      </c>
      <c r="AC1400">
        <f>IF(I1400="",0,L1400*IFERROR(INDEX(کاتالوگ_محصولات!$G$4:$G$303,MATCH(I1400,کاتالوگ_محصولات!$A$4:$A$303,0)),0))</f>
        <v>0</v>
      </c>
      <c r="AD1400">
        <f t="shared" si="134"/>
        <v>0</v>
      </c>
      <c r="AE1400" t="str">
        <f t="shared" si="135"/>
        <v/>
      </c>
    </row>
    <row r="1401" spans="22:31" ht="18" customHeight="1">
      <c r="V1401">
        <f>IF(A1401="",0,IF(COUNTIF($A$3:A1401,A1401)=1,1,0))</f>
        <v>0</v>
      </c>
      <c r="W1401">
        <f t="shared" si="132"/>
        <v>0</v>
      </c>
      <c r="X1401" t="str">
        <f t="shared" si="133"/>
        <v/>
      </c>
      <c r="Y1401">
        <f>IF(X1401="",0,IF(COUNTIF($X$3:X1401,X1401)=1,1,0))</f>
        <v>0</v>
      </c>
      <c r="Z1401">
        <f>IF(V1401&lt;&gt;1,0,IF(X1401="",0,IF(COUNTIF($X$3:X1400,X1401)&gt;0,1,0)))</f>
        <v>0</v>
      </c>
      <c r="AA1401">
        <f t="shared" si="130"/>
        <v>0</v>
      </c>
      <c r="AB1401">
        <f t="shared" si="131"/>
        <v>0</v>
      </c>
      <c r="AC1401">
        <f>IF(I1401="",0,L1401*IFERROR(INDEX(کاتالوگ_محصولات!$G$4:$G$303,MATCH(I1401,کاتالوگ_محصولات!$A$4:$A$303,0)),0))</f>
        <v>0</v>
      </c>
      <c r="AD1401">
        <f t="shared" si="134"/>
        <v>0</v>
      </c>
      <c r="AE1401" t="str">
        <f t="shared" si="135"/>
        <v/>
      </c>
    </row>
    <row r="1402" spans="22:31" ht="18" customHeight="1">
      <c r="V1402">
        <f>IF(A1402="",0,IF(COUNTIF($A$3:A1402,A1402)=1,1,0))</f>
        <v>0</v>
      </c>
      <c r="W1402">
        <f t="shared" si="132"/>
        <v>0</v>
      </c>
      <c r="X1402" t="str">
        <f t="shared" si="133"/>
        <v/>
      </c>
      <c r="Y1402">
        <f>IF(X1402="",0,IF(COUNTIF($X$3:X1402,X1402)=1,1,0))</f>
        <v>0</v>
      </c>
      <c r="Z1402">
        <f>IF(V1402&lt;&gt;1,0,IF(X1402="",0,IF(COUNTIF($X$3:X1401,X1402)&gt;0,1,0)))</f>
        <v>0</v>
      </c>
      <c r="AA1402">
        <f t="shared" si="130"/>
        <v>0</v>
      </c>
      <c r="AB1402">
        <f t="shared" si="131"/>
        <v>0</v>
      </c>
      <c r="AC1402">
        <f>IF(I1402="",0,L1402*IFERROR(INDEX(کاتالوگ_محصولات!$G$4:$G$303,MATCH(I1402,کاتالوگ_محصولات!$A$4:$A$303,0)),0))</f>
        <v>0</v>
      </c>
      <c r="AD1402">
        <f t="shared" si="134"/>
        <v>0</v>
      </c>
      <c r="AE1402" t="str">
        <f t="shared" si="135"/>
        <v/>
      </c>
    </row>
    <row r="1403" spans="22:31" ht="18" customHeight="1">
      <c r="V1403">
        <f>IF(A1403="",0,IF(COUNTIF($A$3:A1403,A1403)=1,1,0))</f>
        <v>0</v>
      </c>
      <c r="W1403">
        <f t="shared" si="132"/>
        <v>0</v>
      </c>
      <c r="X1403" t="str">
        <f t="shared" si="133"/>
        <v/>
      </c>
      <c r="Y1403">
        <f>IF(X1403="",0,IF(COUNTIF($X$3:X1403,X1403)=1,1,0))</f>
        <v>0</v>
      </c>
      <c r="Z1403">
        <f>IF(V1403&lt;&gt;1,0,IF(X1403="",0,IF(COUNTIF($X$3:X1402,X1403)&gt;0,1,0)))</f>
        <v>0</v>
      </c>
      <c r="AA1403">
        <f t="shared" si="130"/>
        <v>0</v>
      </c>
      <c r="AB1403">
        <f t="shared" si="131"/>
        <v>0</v>
      </c>
      <c r="AC1403">
        <f>IF(I1403="",0,L1403*IFERROR(INDEX(کاتالوگ_محصولات!$G$4:$G$303,MATCH(I1403,کاتالوگ_محصولات!$A$4:$A$303,0)),0))</f>
        <v>0</v>
      </c>
      <c r="AD1403">
        <f t="shared" si="134"/>
        <v>0</v>
      </c>
      <c r="AE1403" t="str">
        <f t="shared" si="135"/>
        <v/>
      </c>
    </row>
    <row r="1404" spans="22:31" ht="18" customHeight="1">
      <c r="V1404">
        <f>IF(A1404="",0,IF(COUNTIF($A$3:A1404,A1404)=1,1,0))</f>
        <v>0</v>
      </c>
      <c r="W1404">
        <f t="shared" si="132"/>
        <v>0</v>
      </c>
      <c r="X1404" t="str">
        <f t="shared" si="133"/>
        <v/>
      </c>
      <c r="Y1404">
        <f>IF(X1404="",0,IF(COUNTIF($X$3:X1404,X1404)=1,1,0))</f>
        <v>0</v>
      </c>
      <c r="Z1404">
        <f>IF(V1404&lt;&gt;1,0,IF(X1404="",0,IF(COUNTIF($X$3:X1403,X1404)&gt;0,1,0)))</f>
        <v>0</v>
      </c>
      <c r="AA1404">
        <f t="shared" si="130"/>
        <v>0</v>
      </c>
      <c r="AB1404">
        <f t="shared" si="131"/>
        <v>0</v>
      </c>
      <c r="AC1404">
        <f>IF(I1404="",0,L1404*IFERROR(INDEX(کاتالوگ_محصولات!$G$4:$G$303,MATCH(I1404,کاتالوگ_محصولات!$A$4:$A$303,0)),0))</f>
        <v>0</v>
      </c>
      <c r="AD1404">
        <f t="shared" si="134"/>
        <v>0</v>
      </c>
      <c r="AE1404" t="str">
        <f t="shared" si="135"/>
        <v/>
      </c>
    </row>
    <row r="1405" spans="22:31" ht="18" customHeight="1">
      <c r="V1405">
        <f>IF(A1405="",0,IF(COUNTIF($A$3:A1405,A1405)=1,1,0))</f>
        <v>0</v>
      </c>
      <c r="W1405">
        <f t="shared" si="132"/>
        <v>0</v>
      </c>
      <c r="X1405" t="str">
        <f t="shared" si="133"/>
        <v/>
      </c>
      <c r="Y1405">
        <f>IF(X1405="",0,IF(COUNTIF($X$3:X1405,X1405)=1,1,0))</f>
        <v>0</v>
      </c>
      <c r="Z1405">
        <f>IF(V1405&lt;&gt;1,0,IF(X1405="",0,IF(COUNTIF($X$3:X1404,X1405)&gt;0,1,0)))</f>
        <v>0</v>
      </c>
      <c r="AA1405">
        <f t="shared" si="130"/>
        <v>0</v>
      </c>
      <c r="AB1405">
        <f t="shared" si="131"/>
        <v>0</v>
      </c>
      <c r="AC1405">
        <f>IF(I1405="",0,L1405*IFERROR(INDEX(کاتالوگ_محصولات!$G$4:$G$303,MATCH(I1405,کاتالوگ_محصولات!$A$4:$A$303,0)),0))</f>
        <v>0</v>
      </c>
      <c r="AD1405">
        <f t="shared" si="134"/>
        <v>0</v>
      </c>
      <c r="AE1405" t="str">
        <f t="shared" si="135"/>
        <v/>
      </c>
    </row>
    <row r="1406" spans="22:31" ht="18" customHeight="1">
      <c r="V1406">
        <f>IF(A1406="",0,IF(COUNTIF($A$3:A1406,A1406)=1,1,0))</f>
        <v>0</v>
      </c>
      <c r="W1406">
        <f t="shared" si="132"/>
        <v>0</v>
      </c>
      <c r="X1406" t="str">
        <f t="shared" si="133"/>
        <v/>
      </c>
      <c r="Y1406">
        <f>IF(X1406="",0,IF(COUNTIF($X$3:X1406,X1406)=1,1,0))</f>
        <v>0</v>
      </c>
      <c r="Z1406">
        <f>IF(V1406&lt;&gt;1,0,IF(X1406="",0,IF(COUNTIF($X$3:X1405,X1406)&gt;0,1,0)))</f>
        <v>0</v>
      </c>
      <c r="AA1406">
        <f t="shared" si="130"/>
        <v>0</v>
      </c>
      <c r="AB1406">
        <f t="shared" si="131"/>
        <v>0</v>
      </c>
      <c r="AC1406">
        <f>IF(I1406="",0,L1406*IFERROR(INDEX(کاتالوگ_محصولات!$G$4:$G$303,MATCH(I1406,کاتالوگ_محصولات!$A$4:$A$303,0)),0))</f>
        <v>0</v>
      </c>
      <c r="AD1406">
        <f t="shared" si="134"/>
        <v>0</v>
      </c>
      <c r="AE1406" t="str">
        <f t="shared" si="135"/>
        <v/>
      </c>
    </row>
    <row r="1407" spans="22:31" ht="18" customHeight="1">
      <c r="V1407">
        <f>IF(A1407="",0,IF(COUNTIF($A$3:A1407,A1407)=1,1,0))</f>
        <v>0</v>
      </c>
      <c r="W1407">
        <f t="shared" si="132"/>
        <v>0</v>
      </c>
      <c r="X1407" t="str">
        <f t="shared" si="133"/>
        <v/>
      </c>
      <c r="Y1407">
        <f>IF(X1407="",0,IF(COUNTIF($X$3:X1407,X1407)=1,1,0))</f>
        <v>0</v>
      </c>
      <c r="Z1407">
        <f>IF(V1407&lt;&gt;1,0,IF(X1407="",0,IF(COUNTIF($X$3:X1406,X1407)&gt;0,1,0)))</f>
        <v>0</v>
      </c>
      <c r="AA1407">
        <f t="shared" si="130"/>
        <v>0</v>
      </c>
      <c r="AB1407">
        <f t="shared" si="131"/>
        <v>0</v>
      </c>
      <c r="AC1407">
        <f>IF(I1407="",0,L1407*IFERROR(INDEX(کاتالوگ_محصولات!$G$4:$G$303,MATCH(I1407,کاتالوگ_محصولات!$A$4:$A$303,0)),0))</f>
        <v>0</v>
      </c>
      <c r="AD1407">
        <f t="shared" si="134"/>
        <v>0</v>
      </c>
      <c r="AE1407" t="str">
        <f t="shared" si="135"/>
        <v/>
      </c>
    </row>
    <row r="1408" spans="22:31" ht="18" customHeight="1">
      <c r="V1408">
        <f>IF(A1408="",0,IF(COUNTIF($A$3:A1408,A1408)=1,1,0))</f>
        <v>0</v>
      </c>
      <c r="W1408">
        <f t="shared" si="132"/>
        <v>0</v>
      </c>
      <c r="X1408" t="str">
        <f t="shared" si="133"/>
        <v/>
      </c>
      <c r="Y1408">
        <f>IF(X1408="",0,IF(COUNTIF($X$3:X1408,X1408)=1,1,0))</f>
        <v>0</v>
      </c>
      <c r="Z1408">
        <f>IF(V1408&lt;&gt;1,0,IF(X1408="",0,IF(COUNTIF($X$3:X1407,X1408)&gt;0,1,0)))</f>
        <v>0</v>
      </c>
      <c r="AA1408">
        <f t="shared" si="130"/>
        <v>0</v>
      </c>
      <c r="AB1408">
        <f t="shared" si="131"/>
        <v>0</v>
      </c>
      <c r="AC1408">
        <f>IF(I1408="",0,L1408*IFERROR(INDEX(کاتالوگ_محصولات!$G$4:$G$303,MATCH(I1408,کاتالوگ_محصولات!$A$4:$A$303,0)),0))</f>
        <v>0</v>
      </c>
      <c r="AD1408">
        <f t="shared" si="134"/>
        <v>0</v>
      </c>
      <c r="AE1408" t="str">
        <f t="shared" si="135"/>
        <v/>
      </c>
    </row>
    <row r="1409" spans="22:31" ht="18" customHeight="1">
      <c r="V1409">
        <f>IF(A1409="",0,IF(COUNTIF($A$3:A1409,A1409)=1,1,0))</f>
        <v>0</v>
      </c>
      <c r="W1409">
        <f t="shared" si="132"/>
        <v>0</v>
      </c>
      <c r="X1409" t="str">
        <f t="shared" si="133"/>
        <v/>
      </c>
      <c r="Y1409">
        <f>IF(X1409="",0,IF(COUNTIF($X$3:X1409,X1409)=1,1,0))</f>
        <v>0</v>
      </c>
      <c r="Z1409">
        <f>IF(V1409&lt;&gt;1,0,IF(X1409="",0,IF(COUNTIF($X$3:X1408,X1409)&gt;0,1,0)))</f>
        <v>0</v>
      </c>
      <c r="AA1409">
        <f t="shared" si="130"/>
        <v>0</v>
      </c>
      <c r="AB1409">
        <f t="shared" si="131"/>
        <v>0</v>
      </c>
      <c r="AC1409">
        <f>IF(I1409="",0,L1409*IFERROR(INDEX(کاتالوگ_محصولات!$G$4:$G$303,MATCH(I1409,کاتالوگ_محصولات!$A$4:$A$303,0)),0))</f>
        <v>0</v>
      </c>
      <c r="AD1409">
        <f t="shared" si="134"/>
        <v>0</v>
      </c>
      <c r="AE1409" t="str">
        <f t="shared" si="135"/>
        <v/>
      </c>
    </row>
    <row r="1410" spans="22:31" ht="18" customHeight="1">
      <c r="V1410">
        <f>IF(A1410="",0,IF(COUNTIF($A$3:A1410,A1410)=1,1,0))</f>
        <v>0</v>
      </c>
      <c r="W1410">
        <f t="shared" si="132"/>
        <v>0</v>
      </c>
      <c r="X1410" t="str">
        <f t="shared" si="133"/>
        <v/>
      </c>
      <c r="Y1410">
        <f>IF(X1410="",0,IF(COUNTIF($X$3:X1410,X1410)=1,1,0))</f>
        <v>0</v>
      </c>
      <c r="Z1410">
        <f>IF(V1410&lt;&gt;1,0,IF(X1410="",0,IF(COUNTIF($X$3:X1409,X1410)&gt;0,1,0)))</f>
        <v>0</v>
      </c>
      <c r="AA1410">
        <f t="shared" si="130"/>
        <v>0</v>
      </c>
      <c r="AB1410">
        <f t="shared" si="131"/>
        <v>0</v>
      </c>
      <c r="AC1410">
        <f>IF(I1410="",0,L1410*IFERROR(INDEX(کاتالوگ_محصولات!$G$4:$G$303,MATCH(I1410,کاتالوگ_محصولات!$A$4:$A$303,0)),0))</f>
        <v>0</v>
      </c>
      <c r="AD1410">
        <f t="shared" si="134"/>
        <v>0</v>
      </c>
      <c r="AE1410" t="str">
        <f t="shared" si="135"/>
        <v/>
      </c>
    </row>
    <row r="1411" spans="22:31" ht="18" customHeight="1">
      <c r="V1411">
        <f>IF(A1411="",0,IF(COUNTIF($A$3:A1411,A1411)=1,1,0))</f>
        <v>0</v>
      </c>
      <c r="W1411">
        <f t="shared" si="132"/>
        <v>0</v>
      </c>
      <c r="X1411" t="str">
        <f t="shared" si="133"/>
        <v/>
      </c>
      <c r="Y1411">
        <f>IF(X1411="",0,IF(COUNTIF($X$3:X1411,X1411)=1,1,0))</f>
        <v>0</v>
      </c>
      <c r="Z1411">
        <f>IF(V1411&lt;&gt;1,0,IF(X1411="",0,IF(COUNTIF($X$3:X1410,X1411)&gt;0,1,0)))</f>
        <v>0</v>
      </c>
      <c r="AA1411">
        <f t="shared" ref="AA1411:AA1474" si="136">IF(V1411=1,SUMIF($A$3:$A$1622,A1411,$O$3:$O$1622),0)</f>
        <v>0</v>
      </c>
      <c r="AB1411">
        <f t="shared" ref="AB1411:AB1474" si="137">IF(V1411=1,SUMIF($A$3:$A$1622,A1411,$L$3:$L$1622),0)</f>
        <v>0</v>
      </c>
      <c r="AC1411">
        <f>IF(I1411="",0,L1411*IFERROR(INDEX(کاتالوگ_محصولات!$G$4:$G$303,MATCH(I1411,کاتالوگ_محصولات!$A$4:$A$303,0)),0))</f>
        <v>0</v>
      </c>
      <c r="AD1411">
        <f t="shared" si="134"/>
        <v>0</v>
      </c>
      <c r="AE1411" t="str">
        <f t="shared" si="135"/>
        <v/>
      </c>
    </row>
    <row r="1412" spans="22:31" ht="18" customHeight="1">
      <c r="V1412">
        <f>IF(A1412="",0,IF(COUNTIF($A$3:A1412,A1412)=1,1,0))</f>
        <v>0</v>
      </c>
      <c r="W1412">
        <f t="shared" si="132"/>
        <v>0</v>
      </c>
      <c r="X1412" t="str">
        <f t="shared" si="133"/>
        <v/>
      </c>
      <c r="Y1412">
        <f>IF(X1412="",0,IF(COUNTIF($X$3:X1412,X1412)=1,1,0))</f>
        <v>0</v>
      </c>
      <c r="Z1412">
        <f>IF(V1412&lt;&gt;1,0,IF(X1412="",0,IF(COUNTIF($X$3:X1411,X1412)&gt;0,1,0)))</f>
        <v>0</v>
      </c>
      <c r="AA1412">
        <f t="shared" si="136"/>
        <v>0</v>
      </c>
      <c r="AB1412">
        <f t="shared" si="137"/>
        <v>0</v>
      </c>
      <c r="AC1412">
        <f>IF(I1412="",0,L1412*IFERROR(INDEX(کاتالوگ_محصولات!$G$4:$G$303,MATCH(I1412,کاتالوگ_محصولات!$A$4:$A$303,0)),0))</f>
        <v>0</v>
      </c>
      <c r="AD1412">
        <f t="shared" si="134"/>
        <v>0</v>
      </c>
      <c r="AE1412" t="str">
        <f t="shared" si="135"/>
        <v/>
      </c>
    </row>
    <row r="1413" spans="22:31" ht="18" customHeight="1">
      <c r="V1413">
        <f>IF(A1413="",0,IF(COUNTIF($A$3:A1413,A1413)=1,1,0))</f>
        <v>0</v>
      </c>
      <c r="W1413">
        <f t="shared" si="132"/>
        <v>0</v>
      </c>
      <c r="X1413" t="str">
        <f t="shared" si="133"/>
        <v/>
      </c>
      <c r="Y1413">
        <f>IF(X1413="",0,IF(COUNTIF($X$3:X1413,X1413)=1,1,0))</f>
        <v>0</v>
      </c>
      <c r="Z1413">
        <f>IF(V1413&lt;&gt;1,0,IF(X1413="",0,IF(COUNTIF($X$3:X1412,X1413)&gt;0,1,0)))</f>
        <v>0</v>
      </c>
      <c r="AA1413">
        <f t="shared" si="136"/>
        <v>0</v>
      </c>
      <c r="AB1413">
        <f t="shared" si="137"/>
        <v>0</v>
      </c>
      <c r="AC1413">
        <f>IF(I1413="",0,L1413*IFERROR(INDEX(کاتالوگ_محصولات!$G$4:$G$303,MATCH(I1413,کاتالوگ_محصولات!$A$4:$A$303,0)),0))</f>
        <v>0</v>
      </c>
      <c r="AD1413">
        <f t="shared" si="134"/>
        <v>0</v>
      </c>
      <c r="AE1413" t="str">
        <f t="shared" si="135"/>
        <v/>
      </c>
    </row>
    <row r="1414" spans="22:31" ht="18" customHeight="1">
      <c r="V1414">
        <f>IF(A1414="",0,IF(COUNTIF($A$3:A1414,A1414)=1,1,0))</f>
        <v>0</v>
      </c>
      <c r="W1414">
        <f t="shared" si="132"/>
        <v>0</v>
      </c>
      <c r="X1414" t="str">
        <f t="shared" si="133"/>
        <v/>
      </c>
      <c r="Y1414">
        <f>IF(X1414="",0,IF(COUNTIF($X$3:X1414,X1414)=1,1,0))</f>
        <v>0</v>
      </c>
      <c r="Z1414">
        <f>IF(V1414&lt;&gt;1,0,IF(X1414="",0,IF(COUNTIF($X$3:X1413,X1414)&gt;0,1,0)))</f>
        <v>0</v>
      </c>
      <c r="AA1414">
        <f t="shared" si="136"/>
        <v>0</v>
      </c>
      <c r="AB1414">
        <f t="shared" si="137"/>
        <v>0</v>
      </c>
      <c r="AC1414">
        <f>IF(I1414="",0,L1414*IFERROR(INDEX(کاتالوگ_محصولات!$G$4:$G$303,MATCH(I1414,کاتالوگ_محصولات!$A$4:$A$303,0)),0))</f>
        <v>0</v>
      </c>
      <c r="AD1414">
        <f t="shared" si="134"/>
        <v>0</v>
      </c>
      <c r="AE1414" t="str">
        <f t="shared" si="135"/>
        <v/>
      </c>
    </row>
    <row r="1415" spans="22:31" ht="18" customHeight="1">
      <c r="V1415">
        <f>IF(A1415="",0,IF(COUNTIF($A$3:A1415,A1415)=1,1,0))</f>
        <v>0</v>
      </c>
      <c r="W1415">
        <f t="shared" si="132"/>
        <v>0</v>
      </c>
      <c r="X1415" t="str">
        <f t="shared" si="133"/>
        <v/>
      </c>
      <c r="Y1415">
        <f>IF(X1415="",0,IF(COUNTIF($X$3:X1415,X1415)=1,1,0))</f>
        <v>0</v>
      </c>
      <c r="Z1415">
        <f>IF(V1415&lt;&gt;1,0,IF(X1415="",0,IF(COUNTIF($X$3:X1414,X1415)&gt;0,1,0)))</f>
        <v>0</v>
      </c>
      <c r="AA1415">
        <f t="shared" si="136"/>
        <v>0</v>
      </c>
      <c r="AB1415">
        <f t="shared" si="137"/>
        <v>0</v>
      </c>
      <c r="AC1415">
        <f>IF(I1415="",0,L1415*IFERROR(INDEX(کاتالوگ_محصولات!$G$4:$G$303,MATCH(I1415,کاتالوگ_محصولات!$A$4:$A$303,0)),0))</f>
        <v>0</v>
      </c>
      <c r="AD1415">
        <f t="shared" si="134"/>
        <v>0</v>
      </c>
      <c r="AE1415" t="str">
        <f t="shared" si="135"/>
        <v/>
      </c>
    </row>
    <row r="1416" spans="22:31" ht="18" customHeight="1">
      <c r="V1416">
        <f>IF(A1416="",0,IF(COUNTIF($A$3:A1416,A1416)=1,1,0))</f>
        <v>0</v>
      </c>
      <c r="W1416">
        <f t="shared" si="132"/>
        <v>0</v>
      </c>
      <c r="X1416" t="str">
        <f t="shared" si="133"/>
        <v/>
      </c>
      <c r="Y1416">
        <f>IF(X1416="",0,IF(COUNTIF($X$3:X1416,X1416)=1,1,0))</f>
        <v>0</v>
      </c>
      <c r="Z1416">
        <f>IF(V1416&lt;&gt;1,0,IF(X1416="",0,IF(COUNTIF($X$3:X1415,X1416)&gt;0,1,0)))</f>
        <v>0</v>
      </c>
      <c r="AA1416">
        <f t="shared" si="136"/>
        <v>0</v>
      </c>
      <c r="AB1416">
        <f t="shared" si="137"/>
        <v>0</v>
      </c>
      <c r="AC1416">
        <f>IF(I1416="",0,L1416*IFERROR(INDEX(کاتالوگ_محصولات!$G$4:$G$303,MATCH(I1416,کاتالوگ_محصولات!$A$4:$A$303,0)),0))</f>
        <v>0</v>
      </c>
      <c r="AD1416">
        <f t="shared" si="134"/>
        <v>0</v>
      </c>
      <c r="AE1416" t="str">
        <f t="shared" si="135"/>
        <v/>
      </c>
    </row>
    <row r="1417" spans="22:31" ht="18" customHeight="1">
      <c r="V1417">
        <f>IF(A1417="",0,IF(COUNTIF($A$3:A1417,A1417)=1,1,0))</f>
        <v>0</v>
      </c>
      <c r="W1417">
        <f t="shared" ref="W1417:W1480" si="138">IF(A1417="",0,L1417*M1417)</f>
        <v>0</v>
      </c>
      <c r="X1417" t="str">
        <f t="shared" ref="X1417:X1480" si="139">IF(R1417&lt;&gt;"",R1417,IF(AND(P1417&lt;&gt;"",Q1417&lt;&gt;""),P1417&amp;"|"&amp;Q1417,""))</f>
        <v/>
      </c>
      <c r="Y1417">
        <f>IF(X1417="",0,IF(COUNTIF($X$3:X1417,X1417)=1,1,0))</f>
        <v>0</v>
      </c>
      <c r="Z1417">
        <f>IF(V1417&lt;&gt;1,0,IF(X1417="",0,IF(COUNTIF($X$3:X1416,X1417)&gt;0,1,0)))</f>
        <v>0</v>
      </c>
      <c r="AA1417">
        <f t="shared" si="136"/>
        <v>0</v>
      </c>
      <c r="AB1417">
        <f t="shared" si="137"/>
        <v>0</v>
      </c>
      <c r="AC1417">
        <f>IF(I1417="",0,L1417*IFERROR(INDEX(کاتالوگ_محصولات!$G$4:$G$303,MATCH(I1417,کاتالوگ_محصولات!$A$4:$A$303,0)),0))</f>
        <v>0</v>
      </c>
      <c r="AD1417">
        <f t="shared" ref="AD1417:AD1480" si="140">IF(A1417="",0,O1417-AC1417)</f>
        <v>0</v>
      </c>
      <c r="AE1417" t="str">
        <f t="shared" ref="AE1417:AE1480" si="141">IF(B1417="","",LEFT(B1417,7))</f>
        <v/>
      </c>
    </row>
    <row r="1418" spans="22:31" ht="18" customHeight="1">
      <c r="V1418">
        <f>IF(A1418="",0,IF(COUNTIF($A$3:A1418,A1418)=1,1,0))</f>
        <v>0</v>
      </c>
      <c r="W1418">
        <f t="shared" si="138"/>
        <v>0</v>
      </c>
      <c r="X1418" t="str">
        <f t="shared" si="139"/>
        <v/>
      </c>
      <c r="Y1418">
        <f>IF(X1418="",0,IF(COUNTIF($X$3:X1418,X1418)=1,1,0))</f>
        <v>0</v>
      </c>
      <c r="Z1418">
        <f>IF(V1418&lt;&gt;1,0,IF(X1418="",0,IF(COUNTIF($X$3:X1417,X1418)&gt;0,1,0)))</f>
        <v>0</v>
      </c>
      <c r="AA1418">
        <f t="shared" si="136"/>
        <v>0</v>
      </c>
      <c r="AB1418">
        <f t="shared" si="137"/>
        <v>0</v>
      </c>
      <c r="AC1418">
        <f>IF(I1418="",0,L1418*IFERROR(INDEX(کاتالوگ_محصولات!$G$4:$G$303,MATCH(I1418,کاتالوگ_محصولات!$A$4:$A$303,0)),0))</f>
        <v>0</v>
      </c>
      <c r="AD1418">
        <f t="shared" si="140"/>
        <v>0</v>
      </c>
      <c r="AE1418" t="str">
        <f t="shared" si="141"/>
        <v/>
      </c>
    </row>
    <row r="1419" spans="22:31" ht="18" customHeight="1">
      <c r="V1419">
        <f>IF(A1419="",0,IF(COUNTIF($A$3:A1419,A1419)=1,1,0))</f>
        <v>0</v>
      </c>
      <c r="W1419">
        <f t="shared" si="138"/>
        <v>0</v>
      </c>
      <c r="X1419" t="str">
        <f t="shared" si="139"/>
        <v/>
      </c>
      <c r="Y1419">
        <f>IF(X1419="",0,IF(COUNTIF($X$3:X1419,X1419)=1,1,0))</f>
        <v>0</v>
      </c>
      <c r="Z1419">
        <f>IF(V1419&lt;&gt;1,0,IF(X1419="",0,IF(COUNTIF($X$3:X1418,X1419)&gt;0,1,0)))</f>
        <v>0</v>
      </c>
      <c r="AA1419">
        <f t="shared" si="136"/>
        <v>0</v>
      </c>
      <c r="AB1419">
        <f t="shared" si="137"/>
        <v>0</v>
      </c>
      <c r="AC1419">
        <f>IF(I1419="",0,L1419*IFERROR(INDEX(کاتالوگ_محصولات!$G$4:$G$303,MATCH(I1419,کاتالوگ_محصولات!$A$4:$A$303,0)),0))</f>
        <v>0</v>
      </c>
      <c r="AD1419">
        <f t="shared" si="140"/>
        <v>0</v>
      </c>
      <c r="AE1419" t="str">
        <f t="shared" si="141"/>
        <v/>
      </c>
    </row>
    <row r="1420" spans="22:31" ht="18" customHeight="1">
      <c r="V1420">
        <f>IF(A1420="",0,IF(COUNTIF($A$3:A1420,A1420)=1,1,0))</f>
        <v>0</v>
      </c>
      <c r="W1420">
        <f t="shared" si="138"/>
        <v>0</v>
      </c>
      <c r="X1420" t="str">
        <f t="shared" si="139"/>
        <v/>
      </c>
      <c r="Y1420">
        <f>IF(X1420="",0,IF(COUNTIF($X$3:X1420,X1420)=1,1,0))</f>
        <v>0</v>
      </c>
      <c r="Z1420">
        <f>IF(V1420&lt;&gt;1,0,IF(X1420="",0,IF(COUNTIF($X$3:X1419,X1420)&gt;0,1,0)))</f>
        <v>0</v>
      </c>
      <c r="AA1420">
        <f t="shared" si="136"/>
        <v>0</v>
      </c>
      <c r="AB1420">
        <f t="shared" si="137"/>
        <v>0</v>
      </c>
      <c r="AC1420">
        <f>IF(I1420="",0,L1420*IFERROR(INDEX(کاتالوگ_محصولات!$G$4:$G$303,MATCH(I1420,کاتالوگ_محصولات!$A$4:$A$303,0)),0))</f>
        <v>0</v>
      </c>
      <c r="AD1420">
        <f t="shared" si="140"/>
        <v>0</v>
      </c>
      <c r="AE1420" t="str">
        <f t="shared" si="141"/>
        <v/>
      </c>
    </row>
    <row r="1421" spans="22:31" ht="18" customHeight="1">
      <c r="V1421">
        <f>IF(A1421="",0,IF(COUNTIF($A$3:A1421,A1421)=1,1,0))</f>
        <v>0</v>
      </c>
      <c r="W1421">
        <f t="shared" si="138"/>
        <v>0</v>
      </c>
      <c r="X1421" t="str">
        <f t="shared" si="139"/>
        <v/>
      </c>
      <c r="Y1421">
        <f>IF(X1421="",0,IF(COUNTIF($X$3:X1421,X1421)=1,1,0))</f>
        <v>0</v>
      </c>
      <c r="Z1421">
        <f>IF(V1421&lt;&gt;1,0,IF(X1421="",0,IF(COUNTIF($X$3:X1420,X1421)&gt;0,1,0)))</f>
        <v>0</v>
      </c>
      <c r="AA1421">
        <f t="shared" si="136"/>
        <v>0</v>
      </c>
      <c r="AB1421">
        <f t="shared" si="137"/>
        <v>0</v>
      </c>
      <c r="AC1421">
        <f>IF(I1421="",0,L1421*IFERROR(INDEX(کاتالوگ_محصولات!$G$4:$G$303,MATCH(I1421,کاتالوگ_محصولات!$A$4:$A$303,0)),0))</f>
        <v>0</v>
      </c>
      <c r="AD1421">
        <f t="shared" si="140"/>
        <v>0</v>
      </c>
      <c r="AE1421" t="str">
        <f t="shared" si="141"/>
        <v/>
      </c>
    </row>
    <row r="1422" spans="22:31" ht="18" customHeight="1">
      <c r="V1422">
        <f>IF(A1422="",0,IF(COUNTIF($A$3:A1422,A1422)=1,1,0))</f>
        <v>0</v>
      </c>
      <c r="W1422">
        <f t="shared" si="138"/>
        <v>0</v>
      </c>
      <c r="X1422" t="str">
        <f t="shared" si="139"/>
        <v/>
      </c>
      <c r="Y1422">
        <f>IF(X1422="",0,IF(COUNTIF($X$3:X1422,X1422)=1,1,0))</f>
        <v>0</v>
      </c>
      <c r="Z1422">
        <f>IF(V1422&lt;&gt;1,0,IF(X1422="",0,IF(COUNTIF($X$3:X1421,X1422)&gt;0,1,0)))</f>
        <v>0</v>
      </c>
      <c r="AA1422">
        <f t="shared" si="136"/>
        <v>0</v>
      </c>
      <c r="AB1422">
        <f t="shared" si="137"/>
        <v>0</v>
      </c>
      <c r="AC1422">
        <f>IF(I1422="",0,L1422*IFERROR(INDEX(کاتالوگ_محصولات!$G$4:$G$303,MATCH(I1422,کاتالوگ_محصولات!$A$4:$A$303,0)),0))</f>
        <v>0</v>
      </c>
      <c r="AD1422">
        <f t="shared" si="140"/>
        <v>0</v>
      </c>
      <c r="AE1422" t="str">
        <f t="shared" si="141"/>
        <v/>
      </c>
    </row>
    <row r="1423" spans="22:31" ht="18" customHeight="1">
      <c r="V1423">
        <f>IF(A1423="",0,IF(COUNTIF($A$3:A1423,A1423)=1,1,0))</f>
        <v>0</v>
      </c>
      <c r="W1423">
        <f t="shared" si="138"/>
        <v>0</v>
      </c>
      <c r="X1423" t="str">
        <f t="shared" si="139"/>
        <v/>
      </c>
      <c r="Y1423">
        <f>IF(X1423="",0,IF(COUNTIF($X$3:X1423,X1423)=1,1,0))</f>
        <v>0</v>
      </c>
      <c r="Z1423">
        <f>IF(V1423&lt;&gt;1,0,IF(X1423="",0,IF(COUNTIF($X$3:X1422,X1423)&gt;0,1,0)))</f>
        <v>0</v>
      </c>
      <c r="AA1423">
        <f t="shared" si="136"/>
        <v>0</v>
      </c>
      <c r="AB1423">
        <f t="shared" si="137"/>
        <v>0</v>
      </c>
      <c r="AC1423">
        <f>IF(I1423="",0,L1423*IFERROR(INDEX(کاتالوگ_محصولات!$G$4:$G$303,MATCH(I1423,کاتالوگ_محصولات!$A$4:$A$303,0)),0))</f>
        <v>0</v>
      </c>
      <c r="AD1423">
        <f t="shared" si="140"/>
        <v>0</v>
      </c>
      <c r="AE1423" t="str">
        <f t="shared" si="141"/>
        <v/>
      </c>
    </row>
    <row r="1424" spans="22:31" ht="18" customHeight="1">
      <c r="V1424">
        <f>IF(A1424="",0,IF(COUNTIF($A$3:A1424,A1424)=1,1,0))</f>
        <v>0</v>
      </c>
      <c r="W1424">
        <f t="shared" si="138"/>
        <v>0</v>
      </c>
      <c r="X1424" t="str">
        <f t="shared" si="139"/>
        <v/>
      </c>
      <c r="Y1424">
        <f>IF(X1424="",0,IF(COUNTIF($X$3:X1424,X1424)=1,1,0))</f>
        <v>0</v>
      </c>
      <c r="Z1424">
        <f>IF(V1424&lt;&gt;1,0,IF(X1424="",0,IF(COUNTIF($X$3:X1423,X1424)&gt;0,1,0)))</f>
        <v>0</v>
      </c>
      <c r="AA1424">
        <f t="shared" si="136"/>
        <v>0</v>
      </c>
      <c r="AB1424">
        <f t="shared" si="137"/>
        <v>0</v>
      </c>
      <c r="AC1424">
        <f>IF(I1424="",0,L1424*IFERROR(INDEX(کاتالوگ_محصولات!$G$4:$G$303,MATCH(I1424,کاتالوگ_محصولات!$A$4:$A$303,0)),0))</f>
        <v>0</v>
      </c>
      <c r="AD1424">
        <f t="shared" si="140"/>
        <v>0</v>
      </c>
      <c r="AE1424" t="str">
        <f t="shared" si="141"/>
        <v/>
      </c>
    </row>
    <row r="1425" spans="22:31" ht="18" customHeight="1">
      <c r="V1425">
        <f>IF(A1425="",0,IF(COUNTIF($A$3:A1425,A1425)=1,1,0))</f>
        <v>0</v>
      </c>
      <c r="W1425">
        <f t="shared" si="138"/>
        <v>0</v>
      </c>
      <c r="X1425" t="str">
        <f t="shared" si="139"/>
        <v/>
      </c>
      <c r="Y1425">
        <f>IF(X1425="",0,IF(COUNTIF($X$3:X1425,X1425)=1,1,0))</f>
        <v>0</v>
      </c>
      <c r="Z1425">
        <f>IF(V1425&lt;&gt;1,0,IF(X1425="",0,IF(COUNTIF($X$3:X1424,X1425)&gt;0,1,0)))</f>
        <v>0</v>
      </c>
      <c r="AA1425">
        <f t="shared" si="136"/>
        <v>0</v>
      </c>
      <c r="AB1425">
        <f t="shared" si="137"/>
        <v>0</v>
      </c>
      <c r="AC1425">
        <f>IF(I1425="",0,L1425*IFERROR(INDEX(کاتالوگ_محصولات!$G$4:$G$303,MATCH(I1425,کاتالوگ_محصولات!$A$4:$A$303,0)),0))</f>
        <v>0</v>
      </c>
      <c r="AD1425">
        <f t="shared" si="140"/>
        <v>0</v>
      </c>
      <c r="AE1425" t="str">
        <f t="shared" si="141"/>
        <v/>
      </c>
    </row>
    <row r="1426" spans="22:31" ht="18" customHeight="1">
      <c r="V1426">
        <f>IF(A1426="",0,IF(COUNTIF($A$3:A1426,A1426)=1,1,0))</f>
        <v>0</v>
      </c>
      <c r="W1426">
        <f t="shared" si="138"/>
        <v>0</v>
      </c>
      <c r="X1426" t="str">
        <f t="shared" si="139"/>
        <v/>
      </c>
      <c r="Y1426">
        <f>IF(X1426="",0,IF(COUNTIF($X$3:X1426,X1426)=1,1,0))</f>
        <v>0</v>
      </c>
      <c r="Z1426">
        <f>IF(V1426&lt;&gt;1,0,IF(X1426="",0,IF(COUNTIF($X$3:X1425,X1426)&gt;0,1,0)))</f>
        <v>0</v>
      </c>
      <c r="AA1426">
        <f t="shared" si="136"/>
        <v>0</v>
      </c>
      <c r="AB1426">
        <f t="shared" si="137"/>
        <v>0</v>
      </c>
      <c r="AC1426">
        <f>IF(I1426="",0,L1426*IFERROR(INDEX(کاتالوگ_محصولات!$G$4:$G$303,MATCH(I1426,کاتالوگ_محصولات!$A$4:$A$303,0)),0))</f>
        <v>0</v>
      </c>
      <c r="AD1426">
        <f t="shared" si="140"/>
        <v>0</v>
      </c>
      <c r="AE1426" t="str">
        <f t="shared" si="141"/>
        <v/>
      </c>
    </row>
    <row r="1427" spans="22:31" ht="18" customHeight="1">
      <c r="V1427">
        <f>IF(A1427="",0,IF(COUNTIF($A$3:A1427,A1427)=1,1,0))</f>
        <v>0</v>
      </c>
      <c r="W1427">
        <f t="shared" si="138"/>
        <v>0</v>
      </c>
      <c r="X1427" t="str">
        <f t="shared" si="139"/>
        <v/>
      </c>
      <c r="Y1427">
        <f>IF(X1427="",0,IF(COUNTIF($X$3:X1427,X1427)=1,1,0))</f>
        <v>0</v>
      </c>
      <c r="Z1427">
        <f>IF(V1427&lt;&gt;1,0,IF(X1427="",0,IF(COUNTIF($X$3:X1426,X1427)&gt;0,1,0)))</f>
        <v>0</v>
      </c>
      <c r="AA1427">
        <f t="shared" si="136"/>
        <v>0</v>
      </c>
      <c r="AB1427">
        <f t="shared" si="137"/>
        <v>0</v>
      </c>
      <c r="AC1427">
        <f>IF(I1427="",0,L1427*IFERROR(INDEX(کاتالوگ_محصولات!$G$4:$G$303,MATCH(I1427,کاتالوگ_محصولات!$A$4:$A$303,0)),0))</f>
        <v>0</v>
      </c>
      <c r="AD1427">
        <f t="shared" si="140"/>
        <v>0</v>
      </c>
      <c r="AE1427" t="str">
        <f t="shared" si="141"/>
        <v/>
      </c>
    </row>
    <row r="1428" spans="22:31" ht="18" customHeight="1">
      <c r="V1428">
        <f>IF(A1428="",0,IF(COUNTIF($A$3:A1428,A1428)=1,1,0))</f>
        <v>0</v>
      </c>
      <c r="W1428">
        <f t="shared" si="138"/>
        <v>0</v>
      </c>
      <c r="X1428" t="str">
        <f t="shared" si="139"/>
        <v/>
      </c>
      <c r="Y1428">
        <f>IF(X1428="",0,IF(COUNTIF($X$3:X1428,X1428)=1,1,0))</f>
        <v>0</v>
      </c>
      <c r="Z1428">
        <f>IF(V1428&lt;&gt;1,0,IF(X1428="",0,IF(COUNTIF($X$3:X1427,X1428)&gt;0,1,0)))</f>
        <v>0</v>
      </c>
      <c r="AA1428">
        <f t="shared" si="136"/>
        <v>0</v>
      </c>
      <c r="AB1428">
        <f t="shared" si="137"/>
        <v>0</v>
      </c>
      <c r="AC1428">
        <f>IF(I1428="",0,L1428*IFERROR(INDEX(کاتالوگ_محصولات!$G$4:$G$303,MATCH(I1428,کاتالوگ_محصولات!$A$4:$A$303,0)),0))</f>
        <v>0</v>
      </c>
      <c r="AD1428">
        <f t="shared" si="140"/>
        <v>0</v>
      </c>
      <c r="AE1428" t="str">
        <f t="shared" si="141"/>
        <v/>
      </c>
    </row>
    <row r="1429" spans="22:31" ht="18" customHeight="1">
      <c r="V1429">
        <f>IF(A1429="",0,IF(COUNTIF($A$3:A1429,A1429)=1,1,0))</f>
        <v>0</v>
      </c>
      <c r="W1429">
        <f t="shared" si="138"/>
        <v>0</v>
      </c>
      <c r="X1429" t="str">
        <f t="shared" si="139"/>
        <v/>
      </c>
      <c r="Y1429">
        <f>IF(X1429="",0,IF(COUNTIF($X$3:X1429,X1429)=1,1,0))</f>
        <v>0</v>
      </c>
      <c r="Z1429">
        <f>IF(V1429&lt;&gt;1,0,IF(X1429="",0,IF(COUNTIF($X$3:X1428,X1429)&gt;0,1,0)))</f>
        <v>0</v>
      </c>
      <c r="AA1429">
        <f t="shared" si="136"/>
        <v>0</v>
      </c>
      <c r="AB1429">
        <f t="shared" si="137"/>
        <v>0</v>
      </c>
      <c r="AC1429">
        <f>IF(I1429="",0,L1429*IFERROR(INDEX(کاتالوگ_محصولات!$G$4:$G$303,MATCH(I1429,کاتالوگ_محصولات!$A$4:$A$303,0)),0))</f>
        <v>0</v>
      </c>
      <c r="AD1429">
        <f t="shared" si="140"/>
        <v>0</v>
      </c>
      <c r="AE1429" t="str">
        <f t="shared" si="141"/>
        <v/>
      </c>
    </row>
    <row r="1430" spans="22:31" ht="18" customHeight="1">
      <c r="V1430">
        <f>IF(A1430="",0,IF(COUNTIF($A$3:A1430,A1430)=1,1,0))</f>
        <v>0</v>
      </c>
      <c r="W1430">
        <f t="shared" si="138"/>
        <v>0</v>
      </c>
      <c r="X1430" t="str">
        <f t="shared" si="139"/>
        <v/>
      </c>
      <c r="Y1430">
        <f>IF(X1430="",0,IF(COUNTIF($X$3:X1430,X1430)=1,1,0))</f>
        <v>0</v>
      </c>
      <c r="Z1430">
        <f>IF(V1430&lt;&gt;1,0,IF(X1430="",0,IF(COUNTIF($X$3:X1429,X1430)&gt;0,1,0)))</f>
        <v>0</v>
      </c>
      <c r="AA1430">
        <f t="shared" si="136"/>
        <v>0</v>
      </c>
      <c r="AB1430">
        <f t="shared" si="137"/>
        <v>0</v>
      </c>
      <c r="AC1430">
        <f>IF(I1430="",0,L1430*IFERROR(INDEX(کاتالوگ_محصولات!$G$4:$G$303,MATCH(I1430,کاتالوگ_محصولات!$A$4:$A$303,0)),0))</f>
        <v>0</v>
      </c>
      <c r="AD1430">
        <f t="shared" si="140"/>
        <v>0</v>
      </c>
      <c r="AE1430" t="str">
        <f t="shared" si="141"/>
        <v/>
      </c>
    </row>
    <row r="1431" spans="22:31" ht="18" customHeight="1">
      <c r="V1431">
        <f>IF(A1431="",0,IF(COUNTIF($A$3:A1431,A1431)=1,1,0))</f>
        <v>0</v>
      </c>
      <c r="W1431">
        <f t="shared" si="138"/>
        <v>0</v>
      </c>
      <c r="X1431" t="str">
        <f t="shared" si="139"/>
        <v/>
      </c>
      <c r="Y1431">
        <f>IF(X1431="",0,IF(COUNTIF($X$3:X1431,X1431)=1,1,0))</f>
        <v>0</v>
      </c>
      <c r="Z1431">
        <f>IF(V1431&lt;&gt;1,0,IF(X1431="",0,IF(COUNTIF($X$3:X1430,X1431)&gt;0,1,0)))</f>
        <v>0</v>
      </c>
      <c r="AA1431">
        <f t="shared" si="136"/>
        <v>0</v>
      </c>
      <c r="AB1431">
        <f t="shared" si="137"/>
        <v>0</v>
      </c>
      <c r="AC1431">
        <f>IF(I1431="",0,L1431*IFERROR(INDEX(کاتالوگ_محصولات!$G$4:$G$303,MATCH(I1431,کاتالوگ_محصولات!$A$4:$A$303,0)),0))</f>
        <v>0</v>
      </c>
      <c r="AD1431">
        <f t="shared" si="140"/>
        <v>0</v>
      </c>
      <c r="AE1431" t="str">
        <f t="shared" si="141"/>
        <v/>
      </c>
    </row>
    <row r="1432" spans="22:31" ht="18" customHeight="1">
      <c r="V1432">
        <f>IF(A1432="",0,IF(COUNTIF($A$3:A1432,A1432)=1,1,0))</f>
        <v>0</v>
      </c>
      <c r="W1432">
        <f t="shared" si="138"/>
        <v>0</v>
      </c>
      <c r="X1432" t="str">
        <f t="shared" si="139"/>
        <v/>
      </c>
      <c r="Y1432">
        <f>IF(X1432="",0,IF(COUNTIF($X$3:X1432,X1432)=1,1,0))</f>
        <v>0</v>
      </c>
      <c r="Z1432">
        <f>IF(V1432&lt;&gt;1,0,IF(X1432="",0,IF(COUNTIF($X$3:X1431,X1432)&gt;0,1,0)))</f>
        <v>0</v>
      </c>
      <c r="AA1432">
        <f t="shared" si="136"/>
        <v>0</v>
      </c>
      <c r="AB1432">
        <f t="shared" si="137"/>
        <v>0</v>
      </c>
      <c r="AC1432">
        <f>IF(I1432="",0,L1432*IFERROR(INDEX(کاتالوگ_محصولات!$G$4:$G$303,MATCH(I1432,کاتالوگ_محصولات!$A$4:$A$303,0)),0))</f>
        <v>0</v>
      </c>
      <c r="AD1432">
        <f t="shared" si="140"/>
        <v>0</v>
      </c>
      <c r="AE1432" t="str">
        <f t="shared" si="141"/>
        <v/>
      </c>
    </row>
    <row r="1433" spans="22:31" ht="18" customHeight="1">
      <c r="V1433">
        <f>IF(A1433="",0,IF(COUNTIF($A$3:A1433,A1433)=1,1,0))</f>
        <v>0</v>
      </c>
      <c r="W1433">
        <f t="shared" si="138"/>
        <v>0</v>
      </c>
      <c r="X1433" t="str">
        <f t="shared" si="139"/>
        <v/>
      </c>
      <c r="Y1433">
        <f>IF(X1433="",0,IF(COUNTIF($X$3:X1433,X1433)=1,1,0))</f>
        <v>0</v>
      </c>
      <c r="Z1433">
        <f>IF(V1433&lt;&gt;1,0,IF(X1433="",0,IF(COUNTIF($X$3:X1432,X1433)&gt;0,1,0)))</f>
        <v>0</v>
      </c>
      <c r="AA1433">
        <f t="shared" si="136"/>
        <v>0</v>
      </c>
      <c r="AB1433">
        <f t="shared" si="137"/>
        <v>0</v>
      </c>
      <c r="AC1433">
        <f>IF(I1433="",0,L1433*IFERROR(INDEX(کاتالوگ_محصولات!$G$4:$G$303,MATCH(I1433,کاتالوگ_محصولات!$A$4:$A$303,0)),0))</f>
        <v>0</v>
      </c>
      <c r="AD1433">
        <f t="shared" si="140"/>
        <v>0</v>
      </c>
      <c r="AE1433" t="str">
        <f t="shared" si="141"/>
        <v/>
      </c>
    </row>
    <row r="1434" spans="22:31" ht="18" customHeight="1">
      <c r="V1434">
        <f>IF(A1434="",0,IF(COUNTIF($A$3:A1434,A1434)=1,1,0))</f>
        <v>0</v>
      </c>
      <c r="W1434">
        <f t="shared" si="138"/>
        <v>0</v>
      </c>
      <c r="X1434" t="str">
        <f t="shared" si="139"/>
        <v/>
      </c>
      <c r="Y1434">
        <f>IF(X1434="",0,IF(COUNTIF($X$3:X1434,X1434)=1,1,0))</f>
        <v>0</v>
      </c>
      <c r="Z1434">
        <f>IF(V1434&lt;&gt;1,0,IF(X1434="",0,IF(COUNTIF($X$3:X1433,X1434)&gt;0,1,0)))</f>
        <v>0</v>
      </c>
      <c r="AA1434">
        <f t="shared" si="136"/>
        <v>0</v>
      </c>
      <c r="AB1434">
        <f t="shared" si="137"/>
        <v>0</v>
      </c>
      <c r="AC1434">
        <f>IF(I1434="",0,L1434*IFERROR(INDEX(کاتالوگ_محصولات!$G$4:$G$303,MATCH(I1434,کاتالوگ_محصولات!$A$4:$A$303,0)),0))</f>
        <v>0</v>
      </c>
      <c r="AD1434">
        <f t="shared" si="140"/>
        <v>0</v>
      </c>
      <c r="AE1434" t="str">
        <f t="shared" si="141"/>
        <v/>
      </c>
    </row>
    <row r="1435" spans="22:31" ht="18" customHeight="1">
      <c r="V1435">
        <f>IF(A1435="",0,IF(COUNTIF($A$3:A1435,A1435)=1,1,0))</f>
        <v>0</v>
      </c>
      <c r="W1435">
        <f t="shared" si="138"/>
        <v>0</v>
      </c>
      <c r="X1435" t="str">
        <f t="shared" si="139"/>
        <v/>
      </c>
      <c r="Y1435">
        <f>IF(X1435="",0,IF(COUNTIF($X$3:X1435,X1435)=1,1,0))</f>
        <v>0</v>
      </c>
      <c r="Z1435">
        <f>IF(V1435&lt;&gt;1,0,IF(X1435="",0,IF(COUNTIF($X$3:X1434,X1435)&gt;0,1,0)))</f>
        <v>0</v>
      </c>
      <c r="AA1435">
        <f t="shared" si="136"/>
        <v>0</v>
      </c>
      <c r="AB1435">
        <f t="shared" si="137"/>
        <v>0</v>
      </c>
      <c r="AC1435">
        <f>IF(I1435="",0,L1435*IFERROR(INDEX(کاتالوگ_محصولات!$G$4:$G$303,MATCH(I1435,کاتالوگ_محصولات!$A$4:$A$303,0)),0))</f>
        <v>0</v>
      </c>
      <c r="AD1435">
        <f t="shared" si="140"/>
        <v>0</v>
      </c>
      <c r="AE1435" t="str">
        <f t="shared" si="141"/>
        <v/>
      </c>
    </row>
    <row r="1436" spans="22:31" ht="18" customHeight="1">
      <c r="V1436">
        <f>IF(A1436="",0,IF(COUNTIF($A$3:A1436,A1436)=1,1,0))</f>
        <v>0</v>
      </c>
      <c r="W1436">
        <f t="shared" si="138"/>
        <v>0</v>
      </c>
      <c r="X1436" t="str">
        <f t="shared" si="139"/>
        <v/>
      </c>
      <c r="Y1436">
        <f>IF(X1436="",0,IF(COUNTIF($X$3:X1436,X1436)=1,1,0))</f>
        <v>0</v>
      </c>
      <c r="Z1436">
        <f>IF(V1436&lt;&gt;1,0,IF(X1436="",0,IF(COUNTIF($X$3:X1435,X1436)&gt;0,1,0)))</f>
        <v>0</v>
      </c>
      <c r="AA1436">
        <f t="shared" si="136"/>
        <v>0</v>
      </c>
      <c r="AB1436">
        <f t="shared" si="137"/>
        <v>0</v>
      </c>
      <c r="AC1436">
        <f>IF(I1436="",0,L1436*IFERROR(INDEX(کاتالوگ_محصولات!$G$4:$G$303,MATCH(I1436,کاتالوگ_محصولات!$A$4:$A$303,0)),0))</f>
        <v>0</v>
      </c>
      <c r="AD1436">
        <f t="shared" si="140"/>
        <v>0</v>
      </c>
      <c r="AE1436" t="str">
        <f t="shared" si="141"/>
        <v/>
      </c>
    </row>
    <row r="1437" spans="22:31" ht="18" customHeight="1">
      <c r="V1437">
        <f>IF(A1437="",0,IF(COUNTIF($A$3:A1437,A1437)=1,1,0))</f>
        <v>0</v>
      </c>
      <c r="W1437">
        <f t="shared" si="138"/>
        <v>0</v>
      </c>
      <c r="X1437" t="str">
        <f t="shared" si="139"/>
        <v/>
      </c>
      <c r="Y1437">
        <f>IF(X1437="",0,IF(COUNTIF($X$3:X1437,X1437)=1,1,0))</f>
        <v>0</v>
      </c>
      <c r="Z1437">
        <f>IF(V1437&lt;&gt;1,0,IF(X1437="",0,IF(COUNTIF($X$3:X1436,X1437)&gt;0,1,0)))</f>
        <v>0</v>
      </c>
      <c r="AA1437">
        <f t="shared" si="136"/>
        <v>0</v>
      </c>
      <c r="AB1437">
        <f t="shared" si="137"/>
        <v>0</v>
      </c>
      <c r="AC1437">
        <f>IF(I1437="",0,L1437*IFERROR(INDEX(کاتالوگ_محصولات!$G$4:$G$303,MATCH(I1437,کاتالوگ_محصولات!$A$4:$A$303,0)),0))</f>
        <v>0</v>
      </c>
      <c r="AD1437">
        <f t="shared" si="140"/>
        <v>0</v>
      </c>
      <c r="AE1437" t="str">
        <f t="shared" si="141"/>
        <v/>
      </c>
    </row>
    <row r="1438" spans="22:31" ht="18" customHeight="1">
      <c r="V1438">
        <f>IF(A1438="",0,IF(COUNTIF($A$3:A1438,A1438)=1,1,0))</f>
        <v>0</v>
      </c>
      <c r="W1438">
        <f t="shared" si="138"/>
        <v>0</v>
      </c>
      <c r="X1438" t="str">
        <f t="shared" si="139"/>
        <v/>
      </c>
      <c r="Y1438">
        <f>IF(X1438="",0,IF(COUNTIF($X$3:X1438,X1438)=1,1,0))</f>
        <v>0</v>
      </c>
      <c r="Z1438">
        <f>IF(V1438&lt;&gt;1,0,IF(X1438="",0,IF(COUNTIF($X$3:X1437,X1438)&gt;0,1,0)))</f>
        <v>0</v>
      </c>
      <c r="AA1438">
        <f t="shared" si="136"/>
        <v>0</v>
      </c>
      <c r="AB1438">
        <f t="shared" si="137"/>
        <v>0</v>
      </c>
      <c r="AC1438">
        <f>IF(I1438="",0,L1438*IFERROR(INDEX(کاتالوگ_محصولات!$G$4:$G$303,MATCH(I1438,کاتالوگ_محصولات!$A$4:$A$303,0)),0))</f>
        <v>0</v>
      </c>
      <c r="AD1438">
        <f t="shared" si="140"/>
        <v>0</v>
      </c>
      <c r="AE1438" t="str">
        <f t="shared" si="141"/>
        <v/>
      </c>
    </row>
    <row r="1439" spans="22:31" ht="18" customHeight="1">
      <c r="V1439">
        <f>IF(A1439="",0,IF(COUNTIF($A$3:A1439,A1439)=1,1,0))</f>
        <v>0</v>
      </c>
      <c r="W1439">
        <f t="shared" si="138"/>
        <v>0</v>
      </c>
      <c r="X1439" t="str">
        <f t="shared" si="139"/>
        <v/>
      </c>
      <c r="Y1439">
        <f>IF(X1439="",0,IF(COUNTIF($X$3:X1439,X1439)=1,1,0))</f>
        <v>0</v>
      </c>
      <c r="Z1439">
        <f>IF(V1439&lt;&gt;1,0,IF(X1439="",0,IF(COUNTIF($X$3:X1438,X1439)&gt;0,1,0)))</f>
        <v>0</v>
      </c>
      <c r="AA1439">
        <f t="shared" si="136"/>
        <v>0</v>
      </c>
      <c r="AB1439">
        <f t="shared" si="137"/>
        <v>0</v>
      </c>
      <c r="AC1439">
        <f>IF(I1439="",0,L1439*IFERROR(INDEX(کاتالوگ_محصولات!$G$4:$G$303,MATCH(I1439,کاتالوگ_محصولات!$A$4:$A$303,0)),0))</f>
        <v>0</v>
      </c>
      <c r="AD1439">
        <f t="shared" si="140"/>
        <v>0</v>
      </c>
      <c r="AE1439" t="str">
        <f t="shared" si="141"/>
        <v/>
      </c>
    </row>
    <row r="1440" spans="22:31" ht="18" customHeight="1">
      <c r="V1440">
        <f>IF(A1440="",0,IF(COUNTIF($A$3:A1440,A1440)=1,1,0))</f>
        <v>0</v>
      </c>
      <c r="W1440">
        <f t="shared" si="138"/>
        <v>0</v>
      </c>
      <c r="X1440" t="str">
        <f t="shared" si="139"/>
        <v/>
      </c>
      <c r="Y1440">
        <f>IF(X1440="",0,IF(COUNTIF($X$3:X1440,X1440)=1,1,0))</f>
        <v>0</v>
      </c>
      <c r="Z1440">
        <f>IF(V1440&lt;&gt;1,0,IF(X1440="",0,IF(COUNTIF($X$3:X1439,X1440)&gt;0,1,0)))</f>
        <v>0</v>
      </c>
      <c r="AA1440">
        <f t="shared" si="136"/>
        <v>0</v>
      </c>
      <c r="AB1440">
        <f t="shared" si="137"/>
        <v>0</v>
      </c>
      <c r="AC1440">
        <f>IF(I1440="",0,L1440*IFERROR(INDEX(کاتالوگ_محصولات!$G$4:$G$303,MATCH(I1440,کاتالوگ_محصولات!$A$4:$A$303,0)),0))</f>
        <v>0</v>
      </c>
      <c r="AD1440">
        <f t="shared" si="140"/>
        <v>0</v>
      </c>
      <c r="AE1440" t="str">
        <f t="shared" si="141"/>
        <v/>
      </c>
    </row>
    <row r="1441" spans="22:31" ht="18" customHeight="1">
      <c r="V1441">
        <f>IF(A1441="",0,IF(COUNTIF($A$3:A1441,A1441)=1,1,0))</f>
        <v>0</v>
      </c>
      <c r="W1441">
        <f t="shared" si="138"/>
        <v>0</v>
      </c>
      <c r="X1441" t="str">
        <f t="shared" si="139"/>
        <v/>
      </c>
      <c r="Y1441">
        <f>IF(X1441="",0,IF(COUNTIF($X$3:X1441,X1441)=1,1,0))</f>
        <v>0</v>
      </c>
      <c r="Z1441">
        <f>IF(V1441&lt;&gt;1,0,IF(X1441="",0,IF(COUNTIF($X$3:X1440,X1441)&gt;0,1,0)))</f>
        <v>0</v>
      </c>
      <c r="AA1441">
        <f t="shared" si="136"/>
        <v>0</v>
      </c>
      <c r="AB1441">
        <f t="shared" si="137"/>
        <v>0</v>
      </c>
      <c r="AC1441">
        <f>IF(I1441="",0,L1441*IFERROR(INDEX(کاتالوگ_محصولات!$G$4:$G$303,MATCH(I1441,کاتالوگ_محصولات!$A$4:$A$303,0)),0))</f>
        <v>0</v>
      </c>
      <c r="AD1441">
        <f t="shared" si="140"/>
        <v>0</v>
      </c>
      <c r="AE1441" t="str">
        <f t="shared" si="141"/>
        <v/>
      </c>
    </row>
    <row r="1442" spans="22:31" ht="18" customHeight="1">
      <c r="V1442">
        <f>IF(A1442="",0,IF(COUNTIF($A$3:A1442,A1442)=1,1,0))</f>
        <v>0</v>
      </c>
      <c r="W1442">
        <f t="shared" si="138"/>
        <v>0</v>
      </c>
      <c r="X1442" t="str">
        <f t="shared" si="139"/>
        <v/>
      </c>
      <c r="Y1442">
        <f>IF(X1442="",0,IF(COUNTIF($X$3:X1442,X1442)=1,1,0))</f>
        <v>0</v>
      </c>
      <c r="Z1442">
        <f>IF(V1442&lt;&gt;1,0,IF(X1442="",0,IF(COUNTIF($X$3:X1441,X1442)&gt;0,1,0)))</f>
        <v>0</v>
      </c>
      <c r="AA1442">
        <f t="shared" si="136"/>
        <v>0</v>
      </c>
      <c r="AB1442">
        <f t="shared" si="137"/>
        <v>0</v>
      </c>
      <c r="AC1442">
        <f>IF(I1442="",0,L1442*IFERROR(INDEX(کاتالوگ_محصولات!$G$4:$G$303,MATCH(I1442,کاتالوگ_محصولات!$A$4:$A$303,0)),0))</f>
        <v>0</v>
      </c>
      <c r="AD1442">
        <f t="shared" si="140"/>
        <v>0</v>
      </c>
      <c r="AE1442" t="str">
        <f t="shared" si="141"/>
        <v/>
      </c>
    </row>
    <row r="1443" spans="22:31" ht="18" customHeight="1">
      <c r="V1443">
        <f>IF(A1443="",0,IF(COUNTIF($A$3:A1443,A1443)=1,1,0))</f>
        <v>0</v>
      </c>
      <c r="W1443">
        <f t="shared" si="138"/>
        <v>0</v>
      </c>
      <c r="X1443" t="str">
        <f t="shared" si="139"/>
        <v/>
      </c>
      <c r="Y1443">
        <f>IF(X1443="",0,IF(COUNTIF($X$3:X1443,X1443)=1,1,0))</f>
        <v>0</v>
      </c>
      <c r="Z1443">
        <f>IF(V1443&lt;&gt;1,0,IF(X1443="",0,IF(COUNTIF($X$3:X1442,X1443)&gt;0,1,0)))</f>
        <v>0</v>
      </c>
      <c r="AA1443">
        <f t="shared" si="136"/>
        <v>0</v>
      </c>
      <c r="AB1443">
        <f t="shared" si="137"/>
        <v>0</v>
      </c>
      <c r="AC1443">
        <f>IF(I1443="",0,L1443*IFERROR(INDEX(کاتالوگ_محصولات!$G$4:$G$303,MATCH(I1443,کاتالوگ_محصولات!$A$4:$A$303,0)),0))</f>
        <v>0</v>
      </c>
      <c r="AD1443">
        <f t="shared" si="140"/>
        <v>0</v>
      </c>
      <c r="AE1443" t="str">
        <f t="shared" si="141"/>
        <v/>
      </c>
    </row>
    <row r="1444" spans="22:31" ht="18" customHeight="1">
      <c r="V1444">
        <f>IF(A1444="",0,IF(COUNTIF($A$3:A1444,A1444)=1,1,0))</f>
        <v>0</v>
      </c>
      <c r="W1444">
        <f t="shared" si="138"/>
        <v>0</v>
      </c>
      <c r="X1444" t="str">
        <f t="shared" si="139"/>
        <v/>
      </c>
      <c r="Y1444">
        <f>IF(X1444="",0,IF(COUNTIF($X$3:X1444,X1444)=1,1,0))</f>
        <v>0</v>
      </c>
      <c r="Z1444">
        <f>IF(V1444&lt;&gt;1,0,IF(X1444="",0,IF(COUNTIF($X$3:X1443,X1444)&gt;0,1,0)))</f>
        <v>0</v>
      </c>
      <c r="AA1444">
        <f t="shared" si="136"/>
        <v>0</v>
      </c>
      <c r="AB1444">
        <f t="shared" si="137"/>
        <v>0</v>
      </c>
      <c r="AC1444">
        <f>IF(I1444="",0,L1444*IFERROR(INDEX(کاتالوگ_محصولات!$G$4:$G$303,MATCH(I1444,کاتالوگ_محصولات!$A$4:$A$303,0)),0))</f>
        <v>0</v>
      </c>
      <c r="AD1444">
        <f t="shared" si="140"/>
        <v>0</v>
      </c>
      <c r="AE1444" t="str">
        <f t="shared" si="141"/>
        <v/>
      </c>
    </row>
    <row r="1445" spans="22:31" ht="18" customHeight="1">
      <c r="V1445">
        <f>IF(A1445="",0,IF(COUNTIF($A$3:A1445,A1445)=1,1,0))</f>
        <v>0</v>
      </c>
      <c r="W1445">
        <f t="shared" si="138"/>
        <v>0</v>
      </c>
      <c r="X1445" t="str">
        <f t="shared" si="139"/>
        <v/>
      </c>
      <c r="Y1445">
        <f>IF(X1445="",0,IF(COUNTIF($X$3:X1445,X1445)=1,1,0))</f>
        <v>0</v>
      </c>
      <c r="Z1445">
        <f>IF(V1445&lt;&gt;1,0,IF(X1445="",0,IF(COUNTIF($X$3:X1444,X1445)&gt;0,1,0)))</f>
        <v>0</v>
      </c>
      <c r="AA1445">
        <f t="shared" si="136"/>
        <v>0</v>
      </c>
      <c r="AB1445">
        <f t="shared" si="137"/>
        <v>0</v>
      </c>
      <c r="AC1445">
        <f>IF(I1445="",0,L1445*IFERROR(INDEX(کاتالوگ_محصولات!$G$4:$G$303,MATCH(I1445,کاتالوگ_محصولات!$A$4:$A$303,0)),0))</f>
        <v>0</v>
      </c>
      <c r="AD1445">
        <f t="shared" si="140"/>
        <v>0</v>
      </c>
      <c r="AE1445" t="str">
        <f t="shared" si="141"/>
        <v/>
      </c>
    </row>
    <row r="1446" spans="22:31" ht="18" customHeight="1">
      <c r="V1446">
        <f>IF(A1446="",0,IF(COUNTIF($A$3:A1446,A1446)=1,1,0))</f>
        <v>0</v>
      </c>
      <c r="W1446">
        <f t="shared" si="138"/>
        <v>0</v>
      </c>
      <c r="X1446" t="str">
        <f t="shared" si="139"/>
        <v/>
      </c>
      <c r="Y1446">
        <f>IF(X1446="",0,IF(COUNTIF($X$3:X1446,X1446)=1,1,0))</f>
        <v>0</v>
      </c>
      <c r="Z1446">
        <f>IF(V1446&lt;&gt;1,0,IF(X1446="",0,IF(COUNTIF($X$3:X1445,X1446)&gt;0,1,0)))</f>
        <v>0</v>
      </c>
      <c r="AA1446">
        <f t="shared" si="136"/>
        <v>0</v>
      </c>
      <c r="AB1446">
        <f t="shared" si="137"/>
        <v>0</v>
      </c>
      <c r="AC1446">
        <f>IF(I1446="",0,L1446*IFERROR(INDEX(کاتالوگ_محصولات!$G$4:$G$303,MATCH(I1446,کاتالوگ_محصولات!$A$4:$A$303,0)),0))</f>
        <v>0</v>
      </c>
      <c r="AD1446">
        <f t="shared" si="140"/>
        <v>0</v>
      </c>
      <c r="AE1446" t="str">
        <f t="shared" si="141"/>
        <v/>
      </c>
    </row>
    <row r="1447" spans="22:31" ht="18" customHeight="1">
      <c r="V1447">
        <f>IF(A1447="",0,IF(COUNTIF($A$3:A1447,A1447)=1,1,0))</f>
        <v>0</v>
      </c>
      <c r="W1447">
        <f t="shared" si="138"/>
        <v>0</v>
      </c>
      <c r="X1447" t="str">
        <f t="shared" si="139"/>
        <v/>
      </c>
      <c r="Y1447">
        <f>IF(X1447="",0,IF(COUNTIF($X$3:X1447,X1447)=1,1,0))</f>
        <v>0</v>
      </c>
      <c r="Z1447">
        <f>IF(V1447&lt;&gt;1,0,IF(X1447="",0,IF(COUNTIF($X$3:X1446,X1447)&gt;0,1,0)))</f>
        <v>0</v>
      </c>
      <c r="AA1447">
        <f t="shared" si="136"/>
        <v>0</v>
      </c>
      <c r="AB1447">
        <f t="shared" si="137"/>
        <v>0</v>
      </c>
      <c r="AC1447">
        <f>IF(I1447="",0,L1447*IFERROR(INDEX(کاتالوگ_محصولات!$G$4:$G$303,MATCH(I1447,کاتالوگ_محصولات!$A$4:$A$303,0)),0))</f>
        <v>0</v>
      </c>
      <c r="AD1447">
        <f t="shared" si="140"/>
        <v>0</v>
      </c>
      <c r="AE1447" t="str">
        <f t="shared" si="141"/>
        <v/>
      </c>
    </row>
    <row r="1448" spans="22:31" ht="18" customHeight="1">
      <c r="V1448">
        <f>IF(A1448="",0,IF(COUNTIF($A$3:A1448,A1448)=1,1,0))</f>
        <v>0</v>
      </c>
      <c r="W1448">
        <f t="shared" si="138"/>
        <v>0</v>
      </c>
      <c r="X1448" t="str">
        <f t="shared" si="139"/>
        <v/>
      </c>
      <c r="Y1448">
        <f>IF(X1448="",0,IF(COUNTIF($X$3:X1448,X1448)=1,1,0))</f>
        <v>0</v>
      </c>
      <c r="Z1448">
        <f>IF(V1448&lt;&gt;1,0,IF(X1448="",0,IF(COUNTIF($X$3:X1447,X1448)&gt;0,1,0)))</f>
        <v>0</v>
      </c>
      <c r="AA1448">
        <f t="shared" si="136"/>
        <v>0</v>
      </c>
      <c r="AB1448">
        <f t="shared" si="137"/>
        <v>0</v>
      </c>
      <c r="AC1448">
        <f>IF(I1448="",0,L1448*IFERROR(INDEX(کاتالوگ_محصولات!$G$4:$G$303,MATCH(I1448,کاتالوگ_محصولات!$A$4:$A$303,0)),0))</f>
        <v>0</v>
      </c>
      <c r="AD1448">
        <f t="shared" si="140"/>
        <v>0</v>
      </c>
      <c r="AE1448" t="str">
        <f t="shared" si="141"/>
        <v/>
      </c>
    </row>
    <row r="1449" spans="22:31" ht="18" customHeight="1">
      <c r="V1449">
        <f>IF(A1449="",0,IF(COUNTIF($A$3:A1449,A1449)=1,1,0))</f>
        <v>0</v>
      </c>
      <c r="W1449">
        <f t="shared" si="138"/>
        <v>0</v>
      </c>
      <c r="X1449" t="str">
        <f t="shared" si="139"/>
        <v/>
      </c>
      <c r="Y1449">
        <f>IF(X1449="",0,IF(COUNTIF($X$3:X1449,X1449)=1,1,0))</f>
        <v>0</v>
      </c>
      <c r="Z1449">
        <f>IF(V1449&lt;&gt;1,0,IF(X1449="",0,IF(COUNTIF($X$3:X1448,X1449)&gt;0,1,0)))</f>
        <v>0</v>
      </c>
      <c r="AA1449">
        <f t="shared" si="136"/>
        <v>0</v>
      </c>
      <c r="AB1449">
        <f t="shared" si="137"/>
        <v>0</v>
      </c>
      <c r="AC1449">
        <f>IF(I1449="",0,L1449*IFERROR(INDEX(کاتالوگ_محصولات!$G$4:$G$303,MATCH(I1449,کاتالوگ_محصولات!$A$4:$A$303,0)),0))</f>
        <v>0</v>
      </c>
      <c r="AD1449">
        <f t="shared" si="140"/>
        <v>0</v>
      </c>
      <c r="AE1449" t="str">
        <f t="shared" si="141"/>
        <v/>
      </c>
    </row>
    <row r="1450" spans="22:31" ht="18" customHeight="1">
      <c r="V1450">
        <f>IF(A1450="",0,IF(COUNTIF($A$3:A1450,A1450)=1,1,0))</f>
        <v>0</v>
      </c>
      <c r="W1450">
        <f t="shared" si="138"/>
        <v>0</v>
      </c>
      <c r="X1450" t="str">
        <f t="shared" si="139"/>
        <v/>
      </c>
      <c r="Y1450">
        <f>IF(X1450="",0,IF(COUNTIF($X$3:X1450,X1450)=1,1,0))</f>
        <v>0</v>
      </c>
      <c r="Z1450">
        <f>IF(V1450&lt;&gt;1,0,IF(X1450="",0,IF(COUNTIF($X$3:X1449,X1450)&gt;0,1,0)))</f>
        <v>0</v>
      </c>
      <c r="AA1450">
        <f t="shared" si="136"/>
        <v>0</v>
      </c>
      <c r="AB1450">
        <f t="shared" si="137"/>
        <v>0</v>
      </c>
      <c r="AC1450">
        <f>IF(I1450="",0,L1450*IFERROR(INDEX(کاتالوگ_محصولات!$G$4:$G$303,MATCH(I1450,کاتالوگ_محصولات!$A$4:$A$303,0)),0))</f>
        <v>0</v>
      </c>
      <c r="AD1450">
        <f t="shared" si="140"/>
        <v>0</v>
      </c>
      <c r="AE1450" t="str">
        <f t="shared" si="141"/>
        <v/>
      </c>
    </row>
    <row r="1451" spans="22:31" ht="18" customHeight="1">
      <c r="V1451">
        <f>IF(A1451="",0,IF(COUNTIF($A$3:A1451,A1451)=1,1,0))</f>
        <v>0</v>
      </c>
      <c r="W1451">
        <f t="shared" si="138"/>
        <v>0</v>
      </c>
      <c r="X1451" t="str">
        <f t="shared" si="139"/>
        <v/>
      </c>
      <c r="Y1451">
        <f>IF(X1451="",0,IF(COUNTIF($X$3:X1451,X1451)=1,1,0))</f>
        <v>0</v>
      </c>
      <c r="Z1451">
        <f>IF(V1451&lt;&gt;1,0,IF(X1451="",0,IF(COUNTIF($X$3:X1450,X1451)&gt;0,1,0)))</f>
        <v>0</v>
      </c>
      <c r="AA1451">
        <f t="shared" si="136"/>
        <v>0</v>
      </c>
      <c r="AB1451">
        <f t="shared" si="137"/>
        <v>0</v>
      </c>
      <c r="AC1451">
        <f>IF(I1451="",0,L1451*IFERROR(INDEX(کاتالوگ_محصولات!$G$4:$G$303,MATCH(I1451,کاتالوگ_محصولات!$A$4:$A$303,0)),0))</f>
        <v>0</v>
      </c>
      <c r="AD1451">
        <f t="shared" si="140"/>
        <v>0</v>
      </c>
      <c r="AE1451" t="str">
        <f t="shared" si="141"/>
        <v/>
      </c>
    </row>
    <row r="1452" spans="22:31" ht="18" customHeight="1">
      <c r="V1452">
        <f>IF(A1452="",0,IF(COUNTIF($A$3:A1452,A1452)=1,1,0))</f>
        <v>0</v>
      </c>
      <c r="W1452">
        <f t="shared" si="138"/>
        <v>0</v>
      </c>
      <c r="X1452" t="str">
        <f t="shared" si="139"/>
        <v/>
      </c>
      <c r="Y1452">
        <f>IF(X1452="",0,IF(COUNTIF($X$3:X1452,X1452)=1,1,0))</f>
        <v>0</v>
      </c>
      <c r="Z1452">
        <f>IF(V1452&lt;&gt;1,0,IF(X1452="",0,IF(COUNTIF($X$3:X1451,X1452)&gt;0,1,0)))</f>
        <v>0</v>
      </c>
      <c r="AA1452">
        <f t="shared" si="136"/>
        <v>0</v>
      </c>
      <c r="AB1452">
        <f t="shared" si="137"/>
        <v>0</v>
      </c>
      <c r="AC1452">
        <f>IF(I1452="",0,L1452*IFERROR(INDEX(کاتالوگ_محصولات!$G$4:$G$303,MATCH(I1452,کاتالوگ_محصولات!$A$4:$A$303,0)),0))</f>
        <v>0</v>
      </c>
      <c r="AD1452">
        <f t="shared" si="140"/>
        <v>0</v>
      </c>
      <c r="AE1452" t="str">
        <f t="shared" si="141"/>
        <v/>
      </c>
    </row>
    <row r="1453" spans="22:31" ht="18" customHeight="1">
      <c r="V1453">
        <f>IF(A1453="",0,IF(COUNTIF($A$3:A1453,A1453)=1,1,0))</f>
        <v>0</v>
      </c>
      <c r="W1453">
        <f t="shared" si="138"/>
        <v>0</v>
      </c>
      <c r="X1453" t="str">
        <f t="shared" si="139"/>
        <v/>
      </c>
      <c r="Y1453">
        <f>IF(X1453="",0,IF(COUNTIF($X$3:X1453,X1453)=1,1,0))</f>
        <v>0</v>
      </c>
      <c r="Z1453">
        <f>IF(V1453&lt;&gt;1,0,IF(X1453="",0,IF(COUNTIF($X$3:X1452,X1453)&gt;0,1,0)))</f>
        <v>0</v>
      </c>
      <c r="AA1453">
        <f t="shared" si="136"/>
        <v>0</v>
      </c>
      <c r="AB1453">
        <f t="shared" si="137"/>
        <v>0</v>
      </c>
      <c r="AC1453">
        <f>IF(I1453="",0,L1453*IFERROR(INDEX(کاتالوگ_محصولات!$G$4:$G$303,MATCH(I1453,کاتالوگ_محصولات!$A$4:$A$303,0)),0))</f>
        <v>0</v>
      </c>
      <c r="AD1453">
        <f t="shared" si="140"/>
        <v>0</v>
      </c>
      <c r="AE1453" t="str">
        <f t="shared" si="141"/>
        <v/>
      </c>
    </row>
    <row r="1454" spans="22:31" ht="18" customHeight="1">
      <c r="V1454">
        <f>IF(A1454="",0,IF(COUNTIF($A$3:A1454,A1454)=1,1,0))</f>
        <v>0</v>
      </c>
      <c r="W1454">
        <f t="shared" si="138"/>
        <v>0</v>
      </c>
      <c r="X1454" t="str">
        <f t="shared" si="139"/>
        <v/>
      </c>
      <c r="Y1454">
        <f>IF(X1454="",0,IF(COUNTIF($X$3:X1454,X1454)=1,1,0))</f>
        <v>0</v>
      </c>
      <c r="Z1454">
        <f>IF(V1454&lt;&gt;1,0,IF(X1454="",0,IF(COUNTIF($X$3:X1453,X1454)&gt;0,1,0)))</f>
        <v>0</v>
      </c>
      <c r="AA1454">
        <f t="shared" si="136"/>
        <v>0</v>
      </c>
      <c r="AB1454">
        <f t="shared" si="137"/>
        <v>0</v>
      </c>
      <c r="AC1454">
        <f>IF(I1454="",0,L1454*IFERROR(INDEX(کاتالوگ_محصولات!$G$4:$G$303,MATCH(I1454,کاتالوگ_محصولات!$A$4:$A$303,0)),0))</f>
        <v>0</v>
      </c>
      <c r="AD1454">
        <f t="shared" si="140"/>
        <v>0</v>
      </c>
      <c r="AE1454" t="str">
        <f t="shared" si="141"/>
        <v/>
      </c>
    </row>
    <row r="1455" spans="22:31" ht="18" customHeight="1">
      <c r="V1455">
        <f>IF(A1455="",0,IF(COUNTIF($A$3:A1455,A1455)=1,1,0))</f>
        <v>0</v>
      </c>
      <c r="W1455">
        <f t="shared" si="138"/>
        <v>0</v>
      </c>
      <c r="X1455" t="str">
        <f t="shared" si="139"/>
        <v/>
      </c>
      <c r="Y1455">
        <f>IF(X1455="",0,IF(COUNTIF($X$3:X1455,X1455)=1,1,0))</f>
        <v>0</v>
      </c>
      <c r="Z1455">
        <f>IF(V1455&lt;&gt;1,0,IF(X1455="",0,IF(COUNTIF($X$3:X1454,X1455)&gt;0,1,0)))</f>
        <v>0</v>
      </c>
      <c r="AA1455">
        <f t="shared" si="136"/>
        <v>0</v>
      </c>
      <c r="AB1455">
        <f t="shared" si="137"/>
        <v>0</v>
      </c>
      <c r="AC1455">
        <f>IF(I1455="",0,L1455*IFERROR(INDEX(کاتالوگ_محصولات!$G$4:$G$303,MATCH(I1455,کاتالوگ_محصولات!$A$4:$A$303,0)),0))</f>
        <v>0</v>
      </c>
      <c r="AD1455">
        <f t="shared" si="140"/>
        <v>0</v>
      </c>
      <c r="AE1455" t="str">
        <f t="shared" si="141"/>
        <v/>
      </c>
    </row>
    <row r="1456" spans="22:31" ht="18" customHeight="1">
      <c r="V1456">
        <f>IF(A1456="",0,IF(COUNTIF($A$3:A1456,A1456)=1,1,0))</f>
        <v>0</v>
      </c>
      <c r="W1456">
        <f t="shared" si="138"/>
        <v>0</v>
      </c>
      <c r="X1456" t="str">
        <f t="shared" si="139"/>
        <v/>
      </c>
      <c r="Y1456">
        <f>IF(X1456="",0,IF(COUNTIF($X$3:X1456,X1456)=1,1,0))</f>
        <v>0</v>
      </c>
      <c r="Z1456">
        <f>IF(V1456&lt;&gt;1,0,IF(X1456="",0,IF(COUNTIF($X$3:X1455,X1456)&gt;0,1,0)))</f>
        <v>0</v>
      </c>
      <c r="AA1456">
        <f t="shared" si="136"/>
        <v>0</v>
      </c>
      <c r="AB1456">
        <f t="shared" si="137"/>
        <v>0</v>
      </c>
      <c r="AC1456">
        <f>IF(I1456="",0,L1456*IFERROR(INDEX(کاتالوگ_محصولات!$G$4:$G$303,MATCH(I1456,کاتالوگ_محصولات!$A$4:$A$303,0)),0))</f>
        <v>0</v>
      </c>
      <c r="AD1456">
        <f t="shared" si="140"/>
        <v>0</v>
      </c>
      <c r="AE1456" t="str">
        <f t="shared" si="141"/>
        <v/>
      </c>
    </row>
    <row r="1457" spans="22:31" ht="18" customHeight="1">
      <c r="V1457">
        <f>IF(A1457="",0,IF(COUNTIF($A$3:A1457,A1457)=1,1,0))</f>
        <v>0</v>
      </c>
      <c r="W1457">
        <f t="shared" si="138"/>
        <v>0</v>
      </c>
      <c r="X1457" t="str">
        <f t="shared" si="139"/>
        <v/>
      </c>
      <c r="Y1457">
        <f>IF(X1457="",0,IF(COUNTIF($X$3:X1457,X1457)=1,1,0))</f>
        <v>0</v>
      </c>
      <c r="Z1457">
        <f>IF(V1457&lt;&gt;1,0,IF(X1457="",0,IF(COUNTIF($X$3:X1456,X1457)&gt;0,1,0)))</f>
        <v>0</v>
      </c>
      <c r="AA1457">
        <f t="shared" si="136"/>
        <v>0</v>
      </c>
      <c r="AB1457">
        <f t="shared" si="137"/>
        <v>0</v>
      </c>
      <c r="AC1457">
        <f>IF(I1457="",0,L1457*IFERROR(INDEX(کاتالوگ_محصولات!$G$4:$G$303,MATCH(I1457,کاتالوگ_محصولات!$A$4:$A$303,0)),0))</f>
        <v>0</v>
      </c>
      <c r="AD1457">
        <f t="shared" si="140"/>
        <v>0</v>
      </c>
      <c r="AE1457" t="str">
        <f t="shared" si="141"/>
        <v/>
      </c>
    </row>
    <row r="1458" spans="22:31" ht="18" customHeight="1">
      <c r="V1458">
        <f>IF(A1458="",0,IF(COUNTIF($A$3:A1458,A1458)=1,1,0))</f>
        <v>0</v>
      </c>
      <c r="W1458">
        <f t="shared" si="138"/>
        <v>0</v>
      </c>
      <c r="X1458" t="str">
        <f t="shared" si="139"/>
        <v/>
      </c>
      <c r="Y1458">
        <f>IF(X1458="",0,IF(COUNTIF($X$3:X1458,X1458)=1,1,0))</f>
        <v>0</v>
      </c>
      <c r="Z1458">
        <f>IF(V1458&lt;&gt;1,0,IF(X1458="",0,IF(COUNTIF($X$3:X1457,X1458)&gt;0,1,0)))</f>
        <v>0</v>
      </c>
      <c r="AA1458">
        <f t="shared" si="136"/>
        <v>0</v>
      </c>
      <c r="AB1458">
        <f t="shared" si="137"/>
        <v>0</v>
      </c>
      <c r="AC1458">
        <f>IF(I1458="",0,L1458*IFERROR(INDEX(کاتالوگ_محصولات!$G$4:$G$303,MATCH(I1458,کاتالوگ_محصولات!$A$4:$A$303,0)),0))</f>
        <v>0</v>
      </c>
      <c r="AD1458">
        <f t="shared" si="140"/>
        <v>0</v>
      </c>
      <c r="AE1458" t="str">
        <f t="shared" si="141"/>
        <v/>
      </c>
    </row>
    <row r="1459" spans="22:31" ht="18" customHeight="1">
      <c r="V1459">
        <f>IF(A1459="",0,IF(COUNTIF($A$3:A1459,A1459)=1,1,0))</f>
        <v>0</v>
      </c>
      <c r="W1459">
        <f t="shared" si="138"/>
        <v>0</v>
      </c>
      <c r="X1459" t="str">
        <f t="shared" si="139"/>
        <v/>
      </c>
      <c r="Y1459">
        <f>IF(X1459="",0,IF(COUNTIF($X$3:X1459,X1459)=1,1,0))</f>
        <v>0</v>
      </c>
      <c r="Z1459">
        <f>IF(V1459&lt;&gt;1,0,IF(X1459="",0,IF(COUNTIF($X$3:X1458,X1459)&gt;0,1,0)))</f>
        <v>0</v>
      </c>
      <c r="AA1459">
        <f t="shared" si="136"/>
        <v>0</v>
      </c>
      <c r="AB1459">
        <f t="shared" si="137"/>
        <v>0</v>
      </c>
      <c r="AC1459">
        <f>IF(I1459="",0,L1459*IFERROR(INDEX(کاتالوگ_محصولات!$G$4:$G$303,MATCH(I1459,کاتالوگ_محصولات!$A$4:$A$303,0)),0))</f>
        <v>0</v>
      </c>
      <c r="AD1459">
        <f t="shared" si="140"/>
        <v>0</v>
      </c>
      <c r="AE1459" t="str">
        <f t="shared" si="141"/>
        <v/>
      </c>
    </row>
    <row r="1460" spans="22:31" ht="18" customHeight="1">
      <c r="V1460">
        <f>IF(A1460="",0,IF(COUNTIF($A$3:A1460,A1460)=1,1,0))</f>
        <v>0</v>
      </c>
      <c r="W1460">
        <f t="shared" si="138"/>
        <v>0</v>
      </c>
      <c r="X1460" t="str">
        <f t="shared" si="139"/>
        <v/>
      </c>
      <c r="Y1460">
        <f>IF(X1460="",0,IF(COUNTIF($X$3:X1460,X1460)=1,1,0))</f>
        <v>0</v>
      </c>
      <c r="Z1460">
        <f>IF(V1460&lt;&gt;1,0,IF(X1460="",0,IF(COUNTIF($X$3:X1459,X1460)&gt;0,1,0)))</f>
        <v>0</v>
      </c>
      <c r="AA1460">
        <f t="shared" si="136"/>
        <v>0</v>
      </c>
      <c r="AB1460">
        <f t="shared" si="137"/>
        <v>0</v>
      </c>
      <c r="AC1460">
        <f>IF(I1460="",0,L1460*IFERROR(INDEX(کاتالوگ_محصولات!$G$4:$G$303,MATCH(I1460,کاتالوگ_محصولات!$A$4:$A$303,0)),0))</f>
        <v>0</v>
      </c>
      <c r="AD1460">
        <f t="shared" si="140"/>
        <v>0</v>
      </c>
      <c r="AE1460" t="str">
        <f t="shared" si="141"/>
        <v/>
      </c>
    </row>
    <row r="1461" spans="22:31" ht="18" customHeight="1">
      <c r="V1461">
        <f>IF(A1461="",0,IF(COUNTIF($A$3:A1461,A1461)=1,1,0))</f>
        <v>0</v>
      </c>
      <c r="W1461">
        <f t="shared" si="138"/>
        <v>0</v>
      </c>
      <c r="X1461" t="str">
        <f t="shared" si="139"/>
        <v/>
      </c>
      <c r="Y1461">
        <f>IF(X1461="",0,IF(COUNTIF($X$3:X1461,X1461)=1,1,0))</f>
        <v>0</v>
      </c>
      <c r="Z1461">
        <f>IF(V1461&lt;&gt;1,0,IF(X1461="",0,IF(COUNTIF($X$3:X1460,X1461)&gt;0,1,0)))</f>
        <v>0</v>
      </c>
      <c r="AA1461">
        <f t="shared" si="136"/>
        <v>0</v>
      </c>
      <c r="AB1461">
        <f t="shared" si="137"/>
        <v>0</v>
      </c>
      <c r="AC1461">
        <f>IF(I1461="",0,L1461*IFERROR(INDEX(کاتالوگ_محصولات!$G$4:$G$303,MATCH(I1461,کاتالوگ_محصولات!$A$4:$A$303,0)),0))</f>
        <v>0</v>
      </c>
      <c r="AD1461">
        <f t="shared" si="140"/>
        <v>0</v>
      </c>
      <c r="AE1461" t="str">
        <f t="shared" si="141"/>
        <v/>
      </c>
    </row>
    <row r="1462" spans="22:31" ht="18" customHeight="1">
      <c r="V1462">
        <f>IF(A1462="",0,IF(COUNTIF($A$3:A1462,A1462)=1,1,0))</f>
        <v>0</v>
      </c>
      <c r="W1462">
        <f t="shared" si="138"/>
        <v>0</v>
      </c>
      <c r="X1462" t="str">
        <f t="shared" si="139"/>
        <v/>
      </c>
      <c r="Y1462">
        <f>IF(X1462="",0,IF(COUNTIF($X$3:X1462,X1462)=1,1,0))</f>
        <v>0</v>
      </c>
      <c r="Z1462">
        <f>IF(V1462&lt;&gt;1,0,IF(X1462="",0,IF(COUNTIF($X$3:X1461,X1462)&gt;0,1,0)))</f>
        <v>0</v>
      </c>
      <c r="AA1462">
        <f t="shared" si="136"/>
        <v>0</v>
      </c>
      <c r="AB1462">
        <f t="shared" si="137"/>
        <v>0</v>
      </c>
      <c r="AC1462">
        <f>IF(I1462="",0,L1462*IFERROR(INDEX(کاتالوگ_محصولات!$G$4:$G$303,MATCH(I1462,کاتالوگ_محصولات!$A$4:$A$303,0)),0))</f>
        <v>0</v>
      </c>
      <c r="AD1462">
        <f t="shared" si="140"/>
        <v>0</v>
      </c>
      <c r="AE1462" t="str">
        <f t="shared" si="141"/>
        <v/>
      </c>
    </row>
    <row r="1463" spans="22:31" ht="18" customHeight="1">
      <c r="V1463">
        <f>IF(A1463="",0,IF(COUNTIF($A$3:A1463,A1463)=1,1,0))</f>
        <v>0</v>
      </c>
      <c r="W1463">
        <f t="shared" si="138"/>
        <v>0</v>
      </c>
      <c r="X1463" t="str">
        <f t="shared" si="139"/>
        <v/>
      </c>
      <c r="Y1463">
        <f>IF(X1463="",0,IF(COUNTIF($X$3:X1463,X1463)=1,1,0))</f>
        <v>0</v>
      </c>
      <c r="Z1463">
        <f>IF(V1463&lt;&gt;1,0,IF(X1463="",0,IF(COUNTIF($X$3:X1462,X1463)&gt;0,1,0)))</f>
        <v>0</v>
      </c>
      <c r="AA1463">
        <f t="shared" si="136"/>
        <v>0</v>
      </c>
      <c r="AB1463">
        <f t="shared" si="137"/>
        <v>0</v>
      </c>
      <c r="AC1463">
        <f>IF(I1463="",0,L1463*IFERROR(INDEX(کاتالوگ_محصولات!$G$4:$G$303,MATCH(I1463,کاتالوگ_محصولات!$A$4:$A$303,0)),0))</f>
        <v>0</v>
      </c>
      <c r="AD1463">
        <f t="shared" si="140"/>
        <v>0</v>
      </c>
      <c r="AE1463" t="str">
        <f t="shared" si="141"/>
        <v/>
      </c>
    </row>
    <row r="1464" spans="22:31" ht="18" customHeight="1">
      <c r="V1464">
        <f>IF(A1464="",0,IF(COUNTIF($A$3:A1464,A1464)=1,1,0))</f>
        <v>0</v>
      </c>
      <c r="W1464">
        <f t="shared" si="138"/>
        <v>0</v>
      </c>
      <c r="X1464" t="str">
        <f t="shared" si="139"/>
        <v/>
      </c>
      <c r="Y1464">
        <f>IF(X1464="",0,IF(COUNTIF($X$3:X1464,X1464)=1,1,0))</f>
        <v>0</v>
      </c>
      <c r="Z1464">
        <f>IF(V1464&lt;&gt;1,0,IF(X1464="",0,IF(COUNTIF($X$3:X1463,X1464)&gt;0,1,0)))</f>
        <v>0</v>
      </c>
      <c r="AA1464">
        <f t="shared" si="136"/>
        <v>0</v>
      </c>
      <c r="AB1464">
        <f t="shared" si="137"/>
        <v>0</v>
      </c>
      <c r="AC1464">
        <f>IF(I1464="",0,L1464*IFERROR(INDEX(کاتالوگ_محصولات!$G$4:$G$303,MATCH(I1464,کاتالوگ_محصولات!$A$4:$A$303,0)),0))</f>
        <v>0</v>
      </c>
      <c r="AD1464">
        <f t="shared" si="140"/>
        <v>0</v>
      </c>
      <c r="AE1464" t="str">
        <f t="shared" si="141"/>
        <v/>
      </c>
    </row>
    <row r="1465" spans="22:31" ht="18" customHeight="1">
      <c r="V1465">
        <f>IF(A1465="",0,IF(COUNTIF($A$3:A1465,A1465)=1,1,0))</f>
        <v>0</v>
      </c>
      <c r="W1465">
        <f t="shared" si="138"/>
        <v>0</v>
      </c>
      <c r="X1465" t="str">
        <f t="shared" si="139"/>
        <v/>
      </c>
      <c r="Y1465">
        <f>IF(X1465="",0,IF(COUNTIF($X$3:X1465,X1465)=1,1,0))</f>
        <v>0</v>
      </c>
      <c r="Z1465">
        <f>IF(V1465&lt;&gt;1,0,IF(X1465="",0,IF(COUNTIF($X$3:X1464,X1465)&gt;0,1,0)))</f>
        <v>0</v>
      </c>
      <c r="AA1465">
        <f t="shared" si="136"/>
        <v>0</v>
      </c>
      <c r="AB1465">
        <f t="shared" si="137"/>
        <v>0</v>
      </c>
      <c r="AC1465">
        <f>IF(I1465="",0,L1465*IFERROR(INDEX(کاتالوگ_محصولات!$G$4:$G$303,MATCH(I1465,کاتالوگ_محصولات!$A$4:$A$303,0)),0))</f>
        <v>0</v>
      </c>
      <c r="AD1465">
        <f t="shared" si="140"/>
        <v>0</v>
      </c>
      <c r="AE1465" t="str">
        <f t="shared" si="141"/>
        <v/>
      </c>
    </row>
    <row r="1466" spans="22:31" ht="18" customHeight="1">
      <c r="V1466">
        <f>IF(A1466="",0,IF(COUNTIF($A$3:A1466,A1466)=1,1,0))</f>
        <v>0</v>
      </c>
      <c r="W1466">
        <f t="shared" si="138"/>
        <v>0</v>
      </c>
      <c r="X1466" t="str">
        <f t="shared" si="139"/>
        <v/>
      </c>
      <c r="Y1466">
        <f>IF(X1466="",0,IF(COUNTIF($X$3:X1466,X1466)=1,1,0))</f>
        <v>0</v>
      </c>
      <c r="Z1466">
        <f>IF(V1466&lt;&gt;1,0,IF(X1466="",0,IF(COUNTIF($X$3:X1465,X1466)&gt;0,1,0)))</f>
        <v>0</v>
      </c>
      <c r="AA1466">
        <f t="shared" si="136"/>
        <v>0</v>
      </c>
      <c r="AB1466">
        <f t="shared" si="137"/>
        <v>0</v>
      </c>
      <c r="AC1466">
        <f>IF(I1466="",0,L1466*IFERROR(INDEX(کاتالوگ_محصولات!$G$4:$G$303,MATCH(I1466,کاتالوگ_محصولات!$A$4:$A$303,0)),0))</f>
        <v>0</v>
      </c>
      <c r="AD1466">
        <f t="shared" si="140"/>
        <v>0</v>
      </c>
      <c r="AE1466" t="str">
        <f t="shared" si="141"/>
        <v/>
      </c>
    </row>
    <row r="1467" spans="22:31" ht="18" customHeight="1">
      <c r="V1467">
        <f>IF(A1467="",0,IF(COUNTIF($A$3:A1467,A1467)=1,1,0))</f>
        <v>0</v>
      </c>
      <c r="W1467">
        <f t="shared" si="138"/>
        <v>0</v>
      </c>
      <c r="X1467" t="str">
        <f t="shared" si="139"/>
        <v/>
      </c>
      <c r="Y1467">
        <f>IF(X1467="",0,IF(COUNTIF($X$3:X1467,X1467)=1,1,0))</f>
        <v>0</v>
      </c>
      <c r="Z1467">
        <f>IF(V1467&lt;&gt;1,0,IF(X1467="",0,IF(COUNTIF($X$3:X1466,X1467)&gt;0,1,0)))</f>
        <v>0</v>
      </c>
      <c r="AA1467">
        <f t="shared" si="136"/>
        <v>0</v>
      </c>
      <c r="AB1467">
        <f t="shared" si="137"/>
        <v>0</v>
      </c>
      <c r="AC1467">
        <f>IF(I1467="",0,L1467*IFERROR(INDEX(کاتالوگ_محصولات!$G$4:$G$303,MATCH(I1467,کاتالوگ_محصولات!$A$4:$A$303,0)),0))</f>
        <v>0</v>
      </c>
      <c r="AD1467">
        <f t="shared" si="140"/>
        <v>0</v>
      </c>
      <c r="AE1467" t="str">
        <f t="shared" si="141"/>
        <v/>
      </c>
    </row>
    <row r="1468" spans="22:31" ht="18" customHeight="1">
      <c r="V1468">
        <f>IF(A1468="",0,IF(COUNTIF($A$3:A1468,A1468)=1,1,0))</f>
        <v>0</v>
      </c>
      <c r="W1468">
        <f t="shared" si="138"/>
        <v>0</v>
      </c>
      <c r="X1468" t="str">
        <f t="shared" si="139"/>
        <v/>
      </c>
      <c r="Y1468">
        <f>IF(X1468="",0,IF(COUNTIF($X$3:X1468,X1468)=1,1,0))</f>
        <v>0</v>
      </c>
      <c r="Z1468">
        <f>IF(V1468&lt;&gt;1,0,IF(X1468="",0,IF(COUNTIF($X$3:X1467,X1468)&gt;0,1,0)))</f>
        <v>0</v>
      </c>
      <c r="AA1468">
        <f t="shared" si="136"/>
        <v>0</v>
      </c>
      <c r="AB1468">
        <f t="shared" si="137"/>
        <v>0</v>
      </c>
      <c r="AC1468">
        <f>IF(I1468="",0,L1468*IFERROR(INDEX(کاتالوگ_محصولات!$G$4:$G$303,MATCH(I1468,کاتالوگ_محصولات!$A$4:$A$303,0)),0))</f>
        <v>0</v>
      </c>
      <c r="AD1468">
        <f t="shared" si="140"/>
        <v>0</v>
      </c>
      <c r="AE1468" t="str">
        <f t="shared" si="141"/>
        <v/>
      </c>
    </row>
    <row r="1469" spans="22:31" ht="18" customHeight="1">
      <c r="V1469">
        <f>IF(A1469="",0,IF(COUNTIF($A$3:A1469,A1469)=1,1,0))</f>
        <v>0</v>
      </c>
      <c r="W1469">
        <f t="shared" si="138"/>
        <v>0</v>
      </c>
      <c r="X1469" t="str">
        <f t="shared" si="139"/>
        <v/>
      </c>
      <c r="Y1469">
        <f>IF(X1469="",0,IF(COUNTIF($X$3:X1469,X1469)=1,1,0))</f>
        <v>0</v>
      </c>
      <c r="Z1469">
        <f>IF(V1469&lt;&gt;1,0,IF(X1469="",0,IF(COUNTIF($X$3:X1468,X1469)&gt;0,1,0)))</f>
        <v>0</v>
      </c>
      <c r="AA1469">
        <f t="shared" si="136"/>
        <v>0</v>
      </c>
      <c r="AB1469">
        <f t="shared" si="137"/>
        <v>0</v>
      </c>
      <c r="AC1469">
        <f>IF(I1469="",0,L1469*IFERROR(INDEX(کاتالوگ_محصولات!$G$4:$G$303,MATCH(I1469,کاتالوگ_محصولات!$A$4:$A$303,0)),0))</f>
        <v>0</v>
      </c>
      <c r="AD1469">
        <f t="shared" si="140"/>
        <v>0</v>
      </c>
      <c r="AE1469" t="str">
        <f t="shared" si="141"/>
        <v/>
      </c>
    </row>
    <row r="1470" spans="22:31" ht="18" customHeight="1">
      <c r="V1470">
        <f>IF(A1470="",0,IF(COUNTIF($A$3:A1470,A1470)=1,1,0))</f>
        <v>0</v>
      </c>
      <c r="W1470">
        <f t="shared" si="138"/>
        <v>0</v>
      </c>
      <c r="X1470" t="str">
        <f t="shared" si="139"/>
        <v/>
      </c>
      <c r="Y1470">
        <f>IF(X1470="",0,IF(COUNTIF($X$3:X1470,X1470)=1,1,0))</f>
        <v>0</v>
      </c>
      <c r="Z1470">
        <f>IF(V1470&lt;&gt;1,0,IF(X1470="",0,IF(COUNTIF($X$3:X1469,X1470)&gt;0,1,0)))</f>
        <v>0</v>
      </c>
      <c r="AA1470">
        <f t="shared" si="136"/>
        <v>0</v>
      </c>
      <c r="AB1470">
        <f t="shared" si="137"/>
        <v>0</v>
      </c>
      <c r="AC1470">
        <f>IF(I1470="",0,L1470*IFERROR(INDEX(کاتالوگ_محصولات!$G$4:$G$303,MATCH(I1470,کاتالوگ_محصولات!$A$4:$A$303,0)),0))</f>
        <v>0</v>
      </c>
      <c r="AD1470">
        <f t="shared" si="140"/>
        <v>0</v>
      </c>
      <c r="AE1470" t="str">
        <f t="shared" si="141"/>
        <v/>
      </c>
    </row>
    <row r="1471" spans="22:31" ht="18" customHeight="1">
      <c r="V1471">
        <f>IF(A1471="",0,IF(COUNTIF($A$3:A1471,A1471)=1,1,0))</f>
        <v>0</v>
      </c>
      <c r="W1471">
        <f t="shared" si="138"/>
        <v>0</v>
      </c>
      <c r="X1471" t="str">
        <f t="shared" si="139"/>
        <v/>
      </c>
      <c r="Y1471">
        <f>IF(X1471="",0,IF(COUNTIF($X$3:X1471,X1471)=1,1,0))</f>
        <v>0</v>
      </c>
      <c r="Z1471">
        <f>IF(V1471&lt;&gt;1,0,IF(X1471="",0,IF(COUNTIF($X$3:X1470,X1471)&gt;0,1,0)))</f>
        <v>0</v>
      </c>
      <c r="AA1471">
        <f t="shared" si="136"/>
        <v>0</v>
      </c>
      <c r="AB1471">
        <f t="shared" si="137"/>
        <v>0</v>
      </c>
      <c r="AC1471">
        <f>IF(I1471="",0,L1471*IFERROR(INDEX(کاتالوگ_محصولات!$G$4:$G$303,MATCH(I1471,کاتالوگ_محصولات!$A$4:$A$303,0)),0))</f>
        <v>0</v>
      </c>
      <c r="AD1471">
        <f t="shared" si="140"/>
        <v>0</v>
      </c>
      <c r="AE1471" t="str">
        <f t="shared" si="141"/>
        <v/>
      </c>
    </row>
    <row r="1472" spans="22:31" ht="18" customHeight="1">
      <c r="V1472">
        <f>IF(A1472="",0,IF(COUNTIF($A$3:A1472,A1472)=1,1,0))</f>
        <v>0</v>
      </c>
      <c r="W1472">
        <f t="shared" si="138"/>
        <v>0</v>
      </c>
      <c r="X1472" t="str">
        <f t="shared" si="139"/>
        <v/>
      </c>
      <c r="Y1472">
        <f>IF(X1472="",0,IF(COUNTIF($X$3:X1472,X1472)=1,1,0))</f>
        <v>0</v>
      </c>
      <c r="Z1472">
        <f>IF(V1472&lt;&gt;1,0,IF(X1472="",0,IF(COUNTIF($X$3:X1471,X1472)&gt;0,1,0)))</f>
        <v>0</v>
      </c>
      <c r="AA1472">
        <f t="shared" si="136"/>
        <v>0</v>
      </c>
      <c r="AB1472">
        <f t="shared" si="137"/>
        <v>0</v>
      </c>
      <c r="AC1472">
        <f>IF(I1472="",0,L1472*IFERROR(INDEX(کاتالوگ_محصولات!$G$4:$G$303,MATCH(I1472,کاتالوگ_محصولات!$A$4:$A$303,0)),0))</f>
        <v>0</v>
      </c>
      <c r="AD1472">
        <f t="shared" si="140"/>
        <v>0</v>
      </c>
      <c r="AE1472" t="str">
        <f t="shared" si="141"/>
        <v/>
      </c>
    </row>
    <row r="1473" spans="22:31" ht="18" customHeight="1">
      <c r="V1473">
        <f>IF(A1473="",0,IF(COUNTIF($A$3:A1473,A1473)=1,1,0))</f>
        <v>0</v>
      </c>
      <c r="W1473">
        <f t="shared" si="138"/>
        <v>0</v>
      </c>
      <c r="X1473" t="str">
        <f t="shared" si="139"/>
        <v/>
      </c>
      <c r="Y1473">
        <f>IF(X1473="",0,IF(COUNTIF($X$3:X1473,X1473)=1,1,0))</f>
        <v>0</v>
      </c>
      <c r="Z1473">
        <f>IF(V1473&lt;&gt;1,0,IF(X1473="",0,IF(COUNTIF($X$3:X1472,X1473)&gt;0,1,0)))</f>
        <v>0</v>
      </c>
      <c r="AA1473">
        <f t="shared" si="136"/>
        <v>0</v>
      </c>
      <c r="AB1473">
        <f t="shared" si="137"/>
        <v>0</v>
      </c>
      <c r="AC1473">
        <f>IF(I1473="",0,L1473*IFERROR(INDEX(کاتالوگ_محصولات!$G$4:$G$303,MATCH(I1473,کاتالوگ_محصولات!$A$4:$A$303,0)),0))</f>
        <v>0</v>
      </c>
      <c r="AD1473">
        <f t="shared" si="140"/>
        <v>0</v>
      </c>
      <c r="AE1473" t="str">
        <f t="shared" si="141"/>
        <v/>
      </c>
    </row>
    <row r="1474" spans="22:31" ht="18" customHeight="1">
      <c r="V1474">
        <f>IF(A1474="",0,IF(COUNTIF($A$3:A1474,A1474)=1,1,0))</f>
        <v>0</v>
      </c>
      <c r="W1474">
        <f t="shared" si="138"/>
        <v>0</v>
      </c>
      <c r="X1474" t="str">
        <f t="shared" si="139"/>
        <v/>
      </c>
      <c r="Y1474">
        <f>IF(X1474="",0,IF(COUNTIF($X$3:X1474,X1474)=1,1,0))</f>
        <v>0</v>
      </c>
      <c r="Z1474">
        <f>IF(V1474&lt;&gt;1,0,IF(X1474="",0,IF(COUNTIF($X$3:X1473,X1474)&gt;0,1,0)))</f>
        <v>0</v>
      </c>
      <c r="AA1474">
        <f t="shared" si="136"/>
        <v>0</v>
      </c>
      <c r="AB1474">
        <f t="shared" si="137"/>
        <v>0</v>
      </c>
      <c r="AC1474">
        <f>IF(I1474="",0,L1474*IFERROR(INDEX(کاتالوگ_محصولات!$G$4:$G$303,MATCH(I1474,کاتالوگ_محصولات!$A$4:$A$303,0)),0))</f>
        <v>0</v>
      </c>
      <c r="AD1474">
        <f t="shared" si="140"/>
        <v>0</v>
      </c>
      <c r="AE1474" t="str">
        <f t="shared" si="141"/>
        <v/>
      </c>
    </row>
    <row r="1475" spans="22:31" ht="18" customHeight="1">
      <c r="V1475">
        <f>IF(A1475="",0,IF(COUNTIF($A$3:A1475,A1475)=1,1,0))</f>
        <v>0</v>
      </c>
      <c r="W1475">
        <f t="shared" si="138"/>
        <v>0</v>
      </c>
      <c r="X1475" t="str">
        <f t="shared" si="139"/>
        <v/>
      </c>
      <c r="Y1475">
        <f>IF(X1475="",0,IF(COUNTIF($X$3:X1475,X1475)=1,1,0))</f>
        <v>0</v>
      </c>
      <c r="Z1475">
        <f>IF(V1475&lt;&gt;1,0,IF(X1475="",0,IF(COUNTIF($X$3:X1474,X1475)&gt;0,1,0)))</f>
        <v>0</v>
      </c>
      <c r="AA1475">
        <f t="shared" ref="AA1475:AA1538" si="142">IF(V1475=1,SUMIF($A$3:$A$1622,A1475,$O$3:$O$1622),0)</f>
        <v>0</v>
      </c>
      <c r="AB1475">
        <f t="shared" ref="AB1475:AB1538" si="143">IF(V1475=1,SUMIF($A$3:$A$1622,A1475,$L$3:$L$1622),0)</f>
        <v>0</v>
      </c>
      <c r="AC1475">
        <f>IF(I1475="",0,L1475*IFERROR(INDEX(کاتالوگ_محصولات!$G$4:$G$303,MATCH(I1475,کاتالوگ_محصولات!$A$4:$A$303,0)),0))</f>
        <v>0</v>
      </c>
      <c r="AD1475">
        <f t="shared" si="140"/>
        <v>0</v>
      </c>
      <c r="AE1475" t="str">
        <f t="shared" si="141"/>
        <v/>
      </c>
    </row>
    <row r="1476" spans="22:31" ht="18" customHeight="1">
      <c r="V1476">
        <f>IF(A1476="",0,IF(COUNTIF($A$3:A1476,A1476)=1,1,0))</f>
        <v>0</v>
      </c>
      <c r="W1476">
        <f t="shared" si="138"/>
        <v>0</v>
      </c>
      <c r="X1476" t="str">
        <f t="shared" si="139"/>
        <v/>
      </c>
      <c r="Y1476">
        <f>IF(X1476="",0,IF(COUNTIF($X$3:X1476,X1476)=1,1,0))</f>
        <v>0</v>
      </c>
      <c r="Z1476">
        <f>IF(V1476&lt;&gt;1,0,IF(X1476="",0,IF(COUNTIF($X$3:X1475,X1476)&gt;0,1,0)))</f>
        <v>0</v>
      </c>
      <c r="AA1476">
        <f t="shared" si="142"/>
        <v>0</v>
      </c>
      <c r="AB1476">
        <f t="shared" si="143"/>
        <v>0</v>
      </c>
      <c r="AC1476">
        <f>IF(I1476="",0,L1476*IFERROR(INDEX(کاتالوگ_محصولات!$G$4:$G$303,MATCH(I1476,کاتالوگ_محصولات!$A$4:$A$303,0)),0))</f>
        <v>0</v>
      </c>
      <c r="AD1476">
        <f t="shared" si="140"/>
        <v>0</v>
      </c>
      <c r="AE1476" t="str">
        <f t="shared" si="141"/>
        <v/>
      </c>
    </row>
    <row r="1477" spans="22:31" ht="18" customHeight="1">
      <c r="V1477">
        <f>IF(A1477="",0,IF(COUNTIF($A$3:A1477,A1477)=1,1,0))</f>
        <v>0</v>
      </c>
      <c r="W1477">
        <f t="shared" si="138"/>
        <v>0</v>
      </c>
      <c r="X1477" t="str">
        <f t="shared" si="139"/>
        <v/>
      </c>
      <c r="Y1477">
        <f>IF(X1477="",0,IF(COUNTIF($X$3:X1477,X1477)=1,1,0))</f>
        <v>0</v>
      </c>
      <c r="Z1477">
        <f>IF(V1477&lt;&gt;1,0,IF(X1477="",0,IF(COUNTIF($X$3:X1476,X1477)&gt;0,1,0)))</f>
        <v>0</v>
      </c>
      <c r="AA1477">
        <f t="shared" si="142"/>
        <v>0</v>
      </c>
      <c r="AB1477">
        <f t="shared" si="143"/>
        <v>0</v>
      </c>
      <c r="AC1477">
        <f>IF(I1477="",0,L1477*IFERROR(INDEX(کاتالوگ_محصولات!$G$4:$G$303,MATCH(I1477,کاتالوگ_محصولات!$A$4:$A$303,0)),0))</f>
        <v>0</v>
      </c>
      <c r="AD1477">
        <f t="shared" si="140"/>
        <v>0</v>
      </c>
      <c r="AE1477" t="str">
        <f t="shared" si="141"/>
        <v/>
      </c>
    </row>
    <row r="1478" spans="22:31" ht="18" customHeight="1">
      <c r="V1478">
        <f>IF(A1478="",0,IF(COUNTIF($A$3:A1478,A1478)=1,1,0))</f>
        <v>0</v>
      </c>
      <c r="W1478">
        <f t="shared" si="138"/>
        <v>0</v>
      </c>
      <c r="X1478" t="str">
        <f t="shared" si="139"/>
        <v/>
      </c>
      <c r="Y1478">
        <f>IF(X1478="",0,IF(COUNTIF($X$3:X1478,X1478)=1,1,0))</f>
        <v>0</v>
      </c>
      <c r="Z1478">
        <f>IF(V1478&lt;&gt;1,0,IF(X1478="",0,IF(COUNTIF($X$3:X1477,X1478)&gt;0,1,0)))</f>
        <v>0</v>
      </c>
      <c r="AA1478">
        <f t="shared" si="142"/>
        <v>0</v>
      </c>
      <c r="AB1478">
        <f t="shared" si="143"/>
        <v>0</v>
      </c>
      <c r="AC1478">
        <f>IF(I1478="",0,L1478*IFERROR(INDEX(کاتالوگ_محصولات!$G$4:$G$303,MATCH(I1478,کاتالوگ_محصولات!$A$4:$A$303,0)),0))</f>
        <v>0</v>
      </c>
      <c r="AD1478">
        <f t="shared" si="140"/>
        <v>0</v>
      </c>
      <c r="AE1478" t="str">
        <f t="shared" si="141"/>
        <v/>
      </c>
    </row>
    <row r="1479" spans="22:31" ht="18" customHeight="1">
      <c r="V1479">
        <f>IF(A1479="",0,IF(COUNTIF($A$3:A1479,A1479)=1,1,0))</f>
        <v>0</v>
      </c>
      <c r="W1479">
        <f t="shared" si="138"/>
        <v>0</v>
      </c>
      <c r="X1479" t="str">
        <f t="shared" si="139"/>
        <v/>
      </c>
      <c r="Y1479">
        <f>IF(X1479="",0,IF(COUNTIF($X$3:X1479,X1479)=1,1,0))</f>
        <v>0</v>
      </c>
      <c r="Z1479">
        <f>IF(V1479&lt;&gt;1,0,IF(X1479="",0,IF(COUNTIF($X$3:X1478,X1479)&gt;0,1,0)))</f>
        <v>0</v>
      </c>
      <c r="AA1479">
        <f t="shared" si="142"/>
        <v>0</v>
      </c>
      <c r="AB1479">
        <f t="shared" si="143"/>
        <v>0</v>
      </c>
      <c r="AC1479">
        <f>IF(I1479="",0,L1479*IFERROR(INDEX(کاتالوگ_محصولات!$G$4:$G$303,MATCH(I1479,کاتالوگ_محصولات!$A$4:$A$303,0)),0))</f>
        <v>0</v>
      </c>
      <c r="AD1479">
        <f t="shared" si="140"/>
        <v>0</v>
      </c>
      <c r="AE1479" t="str">
        <f t="shared" si="141"/>
        <v/>
      </c>
    </row>
    <row r="1480" spans="22:31" ht="18" customHeight="1">
      <c r="V1480">
        <f>IF(A1480="",0,IF(COUNTIF($A$3:A1480,A1480)=1,1,0))</f>
        <v>0</v>
      </c>
      <c r="W1480">
        <f t="shared" si="138"/>
        <v>0</v>
      </c>
      <c r="X1480" t="str">
        <f t="shared" si="139"/>
        <v/>
      </c>
      <c r="Y1480">
        <f>IF(X1480="",0,IF(COUNTIF($X$3:X1480,X1480)=1,1,0))</f>
        <v>0</v>
      </c>
      <c r="Z1480">
        <f>IF(V1480&lt;&gt;1,0,IF(X1480="",0,IF(COUNTIF($X$3:X1479,X1480)&gt;0,1,0)))</f>
        <v>0</v>
      </c>
      <c r="AA1480">
        <f t="shared" si="142"/>
        <v>0</v>
      </c>
      <c r="AB1480">
        <f t="shared" si="143"/>
        <v>0</v>
      </c>
      <c r="AC1480">
        <f>IF(I1480="",0,L1480*IFERROR(INDEX(کاتالوگ_محصولات!$G$4:$G$303,MATCH(I1480,کاتالوگ_محصولات!$A$4:$A$303,0)),0))</f>
        <v>0</v>
      </c>
      <c r="AD1480">
        <f t="shared" si="140"/>
        <v>0</v>
      </c>
      <c r="AE1480" t="str">
        <f t="shared" si="141"/>
        <v/>
      </c>
    </row>
    <row r="1481" spans="22:31" ht="18" customHeight="1">
      <c r="V1481">
        <f>IF(A1481="",0,IF(COUNTIF($A$3:A1481,A1481)=1,1,0))</f>
        <v>0</v>
      </c>
      <c r="W1481">
        <f t="shared" ref="W1481:W1544" si="144">IF(A1481="",0,L1481*M1481)</f>
        <v>0</v>
      </c>
      <c r="X1481" t="str">
        <f t="shared" ref="X1481:X1544" si="145">IF(R1481&lt;&gt;"",R1481,IF(AND(P1481&lt;&gt;"",Q1481&lt;&gt;""),P1481&amp;"|"&amp;Q1481,""))</f>
        <v/>
      </c>
      <c r="Y1481">
        <f>IF(X1481="",0,IF(COUNTIF($X$3:X1481,X1481)=1,1,0))</f>
        <v>0</v>
      </c>
      <c r="Z1481">
        <f>IF(V1481&lt;&gt;1,0,IF(X1481="",0,IF(COUNTIF($X$3:X1480,X1481)&gt;0,1,0)))</f>
        <v>0</v>
      </c>
      <c r="AA1481">
        <f t="shared" si="142"/>
        <v>0</v>
      </c>
      <c r="AB1481">
        <f t="shared" si="143"/>
        <v>0</v>
      </c>
      <c r="AC1481">
        <f>IF(I1481="",0,L1481*IFERROR(INDEX(کاتالوگ_محصولات!$G$4:$G$303,MATCH(I1481,کاتالوگ_محصولات!$A$4:$A$303,0)),0))</f>
        <v>0</v>
      </c>
      <c r="AD1481">
        <f t="shared" ref="AD1481:AD1544" si="146">IF(A1481="",0,O1481-AC1481)</f>
        <v>0</v>
      </c>
      <c r="AE1481" t="str">
        <f t="shared" ref="AE1481:AE1544" si="147">IF(B1481="","",LEFT(B1481,7))</f>
        <v/>
      </c>
    </row>
    <row r="1482" spans="22:31" ht="18" customHeight="1">
      <c r="V1482">
        <f>IF(A1482="",0,IF(COUNTIF($A$3:A1482,A1482)=1,1,0))</f>
        <v>0</v>
      </c>
      <c r="W1482">
        <f t="shared" si="144"/>
        <v>0</v>
      </c>
      <c r="X1482" t="str">
        <f t="shared" si="145"/>
        <v/>
      </c>
      <c r="Y1482">
        <f>IF(X1482="",0,IF(COUNTIF($X$3:X1482,X1482)=1,1,0))</f>
        <v>0</v>
      </c>
      <c r="Z1482">
        <f>IF(V1482&lt;&gt;1,0,IF(X1482="",0,IF(COUNTIF($X$3:X1481,X1482)&gt;0,1,0)))</f>
        <v>0</v>
      </c>
      <c r="AA1482">
        <f t="shared" si="142"/>
        <v>0</v>
      </c>
      <c r="AB1482">
        <f t="shared" si="143"/>
        <v>0</v>
      </c>
      <c r="AC1482">
        <f>IF(I1482="",0,L1482*IFERROR(INDEX(کاتالوگ_محصولات!$G$4:$G$303,MATCH(I1482,کاتالوگ_محصولات!$A$4:$A$303,0)),0))</f>
        <v>0</v>
      </c>
      <c r="AD1482">
        <f t="shared" si="146"/>
        <v>0</v>
      </c>
      <c r="AE1482" t="str">
        <f t="shared" si="147"/>
        <v/>
      </c>
    </row>
    <row r="1483" spans="22:31" ht="18" customHeight="1">
      <c r="V1483">
        <f>IF(A1483="",0,IF(COUNTIF($A$3:A1483,A1483)=1,1,0))</f>
        <v>0</v>
      </c>
      <c r="W1483">
        <f t="shared" si="144"/>
        <v>0</v>
      </c>
      <c r="X1483" t="str">
        <f t="shared" si="145"/>
        <v/>
      </c>
      <c r="Y1483">
        <f>IF(X1483="",0,IF(COUNTIF($X$3:X1483,X1483)=1,1,0))</f>
        <v>0</v>
      </c>
      <c r="Z1483">
        <f>IF(V1483&lt;&gt;1,0,IF(X1483="",0,IF(COUNTIF($X$3:X1482,X1483)&gt;0,1,0)))</f>
        <v>0</v>
      </c>
      <c r="AA1483">
        <f t="shared" si="142"/>
        <v>0</v>
      </c>
      <c r="AB1483">
        <f t="shared" si="143"/>
        <v>0</v>
      </c>
      <c r="AC1483">
        <f>IF(I1483="",0,L1483*IFERROR(INDEX(کاتالوگ_محصولات!$G$4:$G$303,MATCH(I1483,کاتالوگ_محصولات!$A$4:$A$303,0)),0))</f>
        <v>0</v>
      </c>
      <c r="AD1483">
        <f t="shared" si="146"/>
        <v>0</v>
      </c>
      <c r="AE1483" t="str">
        <f t="shared" si="147"/>
        <v/>
      </c>
    </row>
    <row r="1484" spans="22:31" ht="18" customHeight="1">
      <c r="V1484">
        <f>IF(A1484="",0,IF(COUNTIF($A$3:A1484,A1484)=1,1,0))</f>
        <v>0</v>
      </c>
      <c r="W1484">
        <f t="shared" si="144"/>
        <v>0</v>
      </c>
      <c r="X1484" t="str">
        <f t="shared" si="145"/>
        <v/>
      </c>
      <c r="Y1484">
        <f>IF(X1484="",0,IF(COUNTIF($X$3:X1484,X1484)=1,1,0))</f>
        <v>0</v>
      </c>
      <c r="Z1484">
        <f>IF(V1484&lt;&gt;1,0,IF(X1484="",0,IF(COUNTIF($X$3:X1483,X1484)&gt;0,1,0)))</f>
        <v>0</v>
      </c>
      <c r="AA1484">
        <f t="shared" si="142"/>
        <v>0</v>
      </c>
      <c r="AB1484">
        <f t="shared" si="143"/>
        <v>0</v>
      </c>
      <c r="AC1484">
        <f>IF(I1484="",0,L1484*IFERROR(INDEX(کاتالوگ_محصولات!$G$4:$G$303,MATCH(I1484,کاتالوگ_محصولات!$A$4:$A$303,0)),0))</f>
        <v>0</v>
      </c>
      <c r="AD1484">
        <f t="shared" si="146"/>
        <v>0</v>
      </c>
      <c r="AE1484" t="str">
        <f t="shared" si="147"/>
        <v/>
      </c>
    </row>
    <row r="1485" spans="22:31" ht="18" customHeight="1">
      <c r="V1485">
        <f>IF(A1485="",0,IF(COUNTIF($A$3:A1485,A1485)=1,1,0))</f>
        <v>0</v>
      </c>
      <c r="W1485">
        <f t="shared" si="144"/>
        <v>0</v>
      </c>
      <c r="X1485" t="str">
        <f t="shared" si="145"/>
        <v/>
      </c>
      <c r="Y1485">
        <f>IF(X1485="",0,IF(COUNTIF($X$3:X1485,X1485)=1,1,0))</f>
        <v>0</v>
      </c>
      <c r="Z1485">
        <f>IF(V1485&lt;&gt;1,0,IF(X1485="",0,IF(COUNTIF($X$3:X1484,X1485)&gt;0,1,0)))</f>
        <v>0</v>
      </c>
      <c r="AA1485">
        <f t="shared" si="142"/>
        <v>0</v>
      </c>
      <c r="AB1485">
        <f t="shared" si="143"/>
        <v>0</v>
      </c>
      <c r="AC1485">
        <f>IF(I1485="",0,L1485*IFERROR(INDEX(کاتالوگ_محصولات!$G$4:$G$303,MATCH(I1485,کاتالوگ_محصولات!$A$4:$A$303,0)),0))</f>
        <v>0</v>
      </c>
      <c r="AD1485">
        <f t="shared" si="146"/>
        <v>0</v>
      </c>
      <c r="AE1485" t="str">
        <f t="shared" si="147"/>
        <v/>
      </c>
    </row>
    <row r="1486" spans="22:31" ht="18" customHeight="1">
      <c r="V1486">
        <f>IF(A1486="",0,IF(COUNTIF($A$3:A1486,A1486)=1,1,0))</f>
        <v>0</v>
      </c>
      <c r="W1486">
        <f t="shared" si="144"/>
        <v>0</v>
      </c>
      <c r="X1486" t="str">
        <f t="shared" si="145"/>
        <v/>
      </c>
      <c r="Y1486">
        <f>IF(X1486="",0,IF(COUNTIF($X$3:X1486,X1486)=1,1,0))</f>
        <v>0</v>
      </c>
      <c r="Z1486">
        <f>IF(V1486&lt;&gt;1,0,IF(X1486="",0,IF(COUNTIF($X$3:X1485,X1486)&gt;0,1,0)))</f>
        <v>0</v>
      </c>
      <c r="AA1486">
        <f t="shared" si="142"/>
        <v>0</v>
      </c>
      <c r="AB1486">
        <f t="shared" si="143"/>
        <v>0</v>
      </c>
      <c r="AC1486">
        <f>IF(I1486="",0,L1486*IFERROR(INDEX(کاتالوگ_محصولات!$G$4:$G$303,MATCH(I1486,کاتالوگ_محصولات!$A$4:$A$303,0)),0))</f>
        <v>0</v>
      </c>
      <c r="AD1486">
        <f t="shared" si="146"/>
        <v>0</v>
      </c>
      <c r="AE1486" t="str">
        <f t="shared" si="147"/>
        <v/>
      </c>
    </row>
    <row r="1487" spans="22:31" ht="18" customHeight="1">
      <c r="V1487">
        <f>IF(A1487="",0,IF(COUNTIF($A$3:A1487,A1487)=1,1,0))</f>
        <v>0</v>
      </c>
      <c r="W1487">
        <f t="shared" si="144"/>
        <v>0</v>
      </c>
      <c r="X1487" t="str">
        <f t="shared" si="145"/>
        <v/>
      </c>
      <c r="Y1487">
        <f>IF(X1487="",0,IF(COUNTIF($X$3:X1487,X1487)=1,1,0))</f>
        <v>0</v>
      </c>
      <c r="Z1487">
        <f>IF(V1487&lt;&gt;1,0,IF(X1487="",0,IF(COUNTIF($X$3:X1486,X1487)&gt;0,1,0)))</f>
        <v>0</v>
      </c>
      <c r="AA1487">
        <f t="shared" si="142"/>
        <v>0</v>
      </c>
      <c r="AB1487">
        <f t="shared" si="143"/>
        <v>0</v>
      </c>
      <c r="AC1487">
        <f>IF(I1487="",0,L1487*IFERROR(INDEX(کاتالوگ_محصولات!$G$4:$G$303,MATCH(I1487,کاتالوگ_محصولات!$A$4:$A$303,0)),0))</f>
        <v>0</v>
      </c>
      <c r="AD1487">
        <f t="shared" si="146"/>
        <v>0</v>
      </c>
      <c r="AE1487" t="str">
        <f t="shared" si="147"/>
        <v/>
      </c>
    </row>
    <row r="1488" spans="22:31" ht="18" customHeight="1">
      <c r="V1488">
        <f>IF(A1488="",0,IF(COUNTIF($A$3:A1488,A1488)=1,1,0))</f>
        <v>0</v>
      </c>
      <c r="W1488">
        <f t="shared" si="144"/>
        <v>0</v>
      </c>
      <c r="X1488" t="str">
        <f t="shared" si="145"/>
        <v/>
      </c>
      <c r="Y1488">
        <f>IF(X1488="",0,IF(COUNTIF($X$3:X1488,X1488)=1,1,0))</f>
        <v>0</v>
      </c>
      <c r="Z1488">
        <f>IF(V1488&lt;&gt;1,0,IF(X1488="",0,IF(COUNTIF($X$3:X1487,X1488)&gt;0,1,0)))</f>
        <v>0</v>
      </c>
      <c r="AA1488">
        <f t="shared" si="142"/>
        <v>0</v>
      </c>
      <c r="AB1488">
        <f t="shared" si="143"/>
        <v>0</v>
      </c>
      <c r="AC1488">
        <f>IF(I1488="",0,L1488*IFERROR(INDEX(کاتالوگ_محصولات!$G$4:$G$303,MATCH(I1488,کاتالوگ_محصولات!$A$4:$A$303,0)),0))</f>
        <v>0</v>
      </c>
      <c r="AD1488">
        <f t="shared" si="146"/>
        <v>0</v>
      </c>
      <c r="AE1488" t="str">
        <f t="shared" si="147"/>
        <v/>
      </c>
    </row>
    <row r="1489" spans="22:31" ht="18" customHeight="1">
      <c r="V1489">
        <f>IF(A1489="",0,IF(COUNTIF($A$3:A1489,A1489)=1,1,0))</f>
        <v>0</v>
      </c>
      <c r="W1489">
        <f t="shared" si="144"/>
        <v>0</v>
      </c>
      <c r="X1489" t="str">
        <f t="shared" si="145"/>
        <v/>
      </c>
      <c r="Y1489">
        <f>IF(X1489="",0,IF(COUNTIF($X$3:X1489,X1489)=1,1,0))</f>
        <v>0</v>
      </c>
      <c r="Z1489">
        <f>IF(V1489&lt;&gt;1,0,IF(X1489="",0,IF(COUNTIF($X$3:X1488,X1489)&gt;0,1,0)))</f>
        <v>0</v>
      </c>
      <c r="AA1489">
        <f t="shared" si="142"/>
        <v>0</v>
      </c>
      <c r="AB1489">
        <f t="shared" si="143"/>
        <v>0</v>
      </c>
      <c r="AC1489">
        <f>IF(I1489="",0,L1489*IFERROR(INDEX(کاتالوگ_محصولات!$G$4:$G$303,MATCH(I1489,کاتالوگ_محصولات!$A$4:$A$303,0)),0))</f>
        <v>0</v>
      </c>
      <c r="AD1489">
        <f t="shared" si="146"/>
        <v>0</v>
      </c>
      <c r="AE1489" t="str">
        <f t="shared" si="147"/>
        <v/>
      </c>
    </row>
    <row r="1490" spans="22:31" ht="18" customHeight="1">
      <c r="V1490">
        <f>IF(A1490="",0,IF(COUNTIF($A$3:A1490,A1490)=1,1,0))</f>
        <v>0</v>
      </c>
      <c r="W1490">
        <f t="shared" si="144"/>
        <v>0</v>
      </c>
      <c r="X1490" t="str">
        <f t="shared" si="145"/>
        <v/>
      </c>
      <c r="Y1490">
        <f>IF(X1490="",0,IF(COUNTIF($X$3:X1490,X1490)=1,1,0))</f>
        <v>0</v>
      </c>
      <c r="Z1490">
        <f>IF(V1490&lt;&gt;1,0,IF(X1490="",0,IF(COUNTIF($X$3:X1489,X1490)&gt;0,1,0)))</f>
        <v>0</v>
      </c>
      <c r="AA1490">
        <f t="shared" si="142"/>
        <v>0</v>
      </c>
      <c r="AB1490">
        <f t="shared" si="143"/>
        <v>0</v>
      </c>
      <c r="AC1490">
        <f>IF(I1490="",0,L1490*IFERROR(INDEX(کاتالوگ_محصولات!$G$4:$G$303,MATCH(I1490,کاتالوگ_محصولات!$A$4:$A$303,0)),0))</f>
        <v>0</v>
      </c>
      <c r="AD1490">
        <f t="shared" si="146"/>
        <v>0</v>
      </c>
      <c r="AE1490" t="str">
        <f t="shared" si="147"/>
        <v/>
      </c>
    </row>
    <row r="1491" spans="22:31" ht="18" customHeight="1">
      <c r="V1491">
        <f>IF(A1491="",0,IF(COUNTIF($A$3:A1491,A1491)=1,1,0))</f>
        <v>0</v>
      </c>
      <c r="W1491">
        <f t="shared" si="144"/>
        <v>0</v>
      </c>
      <c r="X1491" t="str">
        <f t="shared" si="145"/>
        <v/>
      </c>
      <c r="Y1491">
        <f>IF(X1491="",0,IF(COUNTIF($X$3:X1491,X1491)=1,1,0))</f>
        <v>0</v>
      </c>
      <c r="Z1491">
        <f>IF(V1491&lt;&gt;1,0,IF(X1491="",0,IF(COUNTIF($X$3:X1490,X1491)&gt;0,1,0)))</f>
        <v>0</v>
      </c>
      <c r="AA1491">
        <f t="shared" si="142"/>
        <v>0</v>
      </c>
      <c r="AB1491">
        <f t="shared" si="143"/>
        <v>0</v>
      </c>
      <c r="AC1491">
        <f>IF(I1491="",0,L1491*IFERROR(INDEX(کاتالوگ_محصولات!$G$4:$G$303,MATCH(I1491,کاتالوگ_محصولات!$A$4:$A$303,0)),0))</f>
        <v>0</v>
      </c>
      <c r="AD1491">
        <f t="shared" si="146"/>
        <v>0</v>
      </c>
      <c r="AE1491" t="str">
        <f t="shared" si="147"/>
        <v/>
      </c>
    </row>
    <row r="1492" spans="22:31" ht="18" customHeight="1">
      <c r="V1492">
        <f>IF(A1492="",0,IF(COUNTIF($A$3:A1492,A1492)=1,1,0))</f>
        <v>0</v>
      </c>
      <c r="W1492">
        <f t="shared" si="144"/>
        <v>0</v>
      </c>
      <c r="X1492" t="str">
        <f t="shared" si="145"/>
        <v/>
      </c>
      <c r="Y1492">
        <f>IF(X1492="",0,IF(COUNTIF($X$3:X1492,X1492)=1,1,0))</f>
        <v>0</v>
      </c>
      <c r="Z1492">
        <f>IF(V1492&lt;&gt;1,0,IF(X1492="",0,IF(COUNTIF($X$3:X1491,X1492)&gt;0,1,0)))</f>
        <v>0</v>
      </c>
      <c r="AA1492">
        <f t="shared" si="142"/>
        <v>0</v>
      </c>
      <c r="AB1492">
        <f t="shared" si="143"/>
        <v>0</v>
      </c>
      <c r="AC1492">
        <f>IF(I1492="",0,L1492*IFERROR(INDEX(کاتالوگ_محصولات!$G$4:$G$303,MATCH(I1492,کاتالوگ_محصولات!$A$4:$A$303,0)),0))</f>
        <v>0</v>
      </c>
      <c r="AD1492">
        <f t="shared" si="146"/>
        <v>0</v>
      </c>
      <c r="AE1492" t="str">
        <f t="shared" si="147"/>
        <v/>
      </c>
    </row>
    <row r="1493" spans="22:31" ht="18" customHeight="1">
      <c r="V1493">
        <f>IF(A1493="",0,IF(COUNTIF($A$3:A1493,A1493)=1,1,0))</f>
        <v>0</v>
      </c>
      <c r="W1493">
        <f t="shared" si="144"/>
        <v>0</v>
      </c>
      <c r="X1493" t="str">
        <f t="shared" si="145"/>
        <v/>
      </c>
      <c r="Y1493">
        <f>IF(X1493="",0,IF(COUNTIF($X$3:X1493,X1493)=1,1,0))</f>
        <v>0</v>
      </c>
      <c r="Z1493">
        <f>IF(V1493&lt;&gt;1,0,IF(X1493="",0,IF(COUNTIF($X$3:X1492,X1493)&gt;0,1,0)))</f>
        <v>0</v>
      </c>
      <c r="AA1493">
        <f t="shared" si="142"/>
        <v>0</v>
      </c>
      <c r="AB1493">
        <f t="shared" si="143"/>
        <v>0</v>
      </c>
      <c r="AC1493">
        <f>IF(I1493="",0,L1493*IFERROR(INDEX(کاتالوگ_محصولات!$G$4:$G$303,MATCH(I1493,کاتالوگ_محصولات!$A$4:$A$303,0)),0))</f>
        <v>0</v>
      </c>
      <c r="AD1493">
        <f t="shared" si="146"/>
        <v>0</v>
      </c>
      <c r="AE1493" t="str">
        <f t="shared" si="147"/>
        <v/>
      </c>
    </row>
    <row r="1494" spans="22:31" ht="18" customHeight="1">
      <c r="V1494">
        <f>IF(A1494="",0,IF(COUNTIF($A$3:A1494,A1494)=1,1,0))</f>
        <v>0</v>
      </c>
      <c r="W1494">
        <f t="shared" si="144"/>
        <v>0</v>
      </c>
      <c r="X1494" t="str">
        <f t="shared" si="145"/>
        <v/>
      </c>
      <c r="Y1494">
        <f>IF(X1494="",0,IF(COUNTIF($X$3:X1494,X1494)=1,1,0))</f>
        <v>0</v>
      </c>
      <c r="Z1494">
        <f>IF(V1494&lt;&gt;1,0,IF(X1494="",0,IF(COUNTIF($X$3:X1493,X1494)&gt;0,1,0)))</f>
        <v>0</v>
      </c>
      <c r="AA1494">
        <f t="shared" si="142"/>
        <v>0</v>
      </c>
      <c r="AB1494">
        <f t="shared" si="143"/>
        <v>0</v>
      </c>
      <c r="AC1494">
        <f>IF(I1494="",0,L1494*IFERROR(INDEX(کاتالوگ_محصولات!$G$4:$G$303,MATCH(I1494,کاتالوگ_محصولات!$A$4:$A$303,0)),0))</f>
        <v>0</v>
      </c>
      <c r="AD1494">
        <f t="shared" si="146"/>
        <v>0</v>
      </c>
      <c r="AE1494" t="str">
        <f t="shared" si="147"/>
        <v/>
      </c>
    </row>
    <row r="1495" spans="22:31" ht="18" customHeight="1">
      <c r="V1495">
        <f>IF(A1495="",0,IF(COUNTIF($A$3:A1495,A1495)=1,1,0))</f>
        <v>0</v>
      </c>
      <c r="W1495">
        <f t="shared" si="144"/>
        <v>0</v>
      </c>
      <c r="X1495" t="str">
        <f t="shared" si="145"/>
        <v/>
      </c>
      <c r="Y1495">
        <f>IF(X1495="",0,IF(COUNTIF($X$3:X1495,X1495)=1,1,0))</f>
        <v>0</v>
      </c>
      <c r="Z1495">
        <f>IF(V1495&lt;&gt;1,0,IF(X1495="",0,IF(COUNTIF($X$3:X1494,X1495)&gt;0,1,0)))</f>
        <v>0</v>
      </c>
      <c r="AA1495">
        <f t="shared" si="142"/>
        <v>0</v>
      </c>
      <c r="AB1495">
        <f t="shared" si="143"/>
        <v>0</v>
      </c>
      <c r="AC1495">
        <f>IF(I1495="",0,L1495*IFERROR(INDEX(کاتالوگ_محصولات!$G$4:$G$303,MATCH(I1495,کاتالوگ_محصولات!$A$4:$A$303,0)),0))</f>
        <v>0</v>
      </c>
      <c r="AD1495">
        <f t="shared" si="146"/>
        <v>0</v>
      </c>
      <c r="AE1495" t="str">
        <f t="shared" si="147"/>
        <v/>
      </c>
    </row>
    <row r="1496" spans="22:31" ht="18" customHeight="1">
      <c r="V1496">
        <f>IF(A1496="",0,IF(COUNTIF($A$3:A1496,A1496)=1,1,0))</f>
        <v>0</v>
      </c>
      <c r="W1496">
        <f t="shared" si="144"/>
        <v>0</v>
      </c>
      <c r="X1496" t="str">
        <f t="shared" si="145"/>
        <v/>
      </c>
      <c r="Y1496">
        <f>IF(X1496="",0,IF(COUNTIF($X$3:X1496,X1496)=1,1,0))</f>
        <v>0</v>
      </c>
      <c r="Z1496">
        <f>IF(V1496&lt;&gt;1,0,IF(X1496="",0,IF(COUNTIF($X$3:X1495,X1496)&gt;0,1,0)))</f>
        <v>0</v>
      </c>
      <c r="AA1496">
        <f t="shared" si="142"/>
        <v>0</v>
      </c>
      <c r="AB1496">
        <f t="shared" si="143"/>
        <v>0</v>
      </c>
      <c r="AC1496">
        <f>IF(I1496="",0,L1496*IFERROR(INDEX(کاتالوگ_محصولات!$G$4:$G$303,MATCH(I1496,کاتالوگ_محصولات!$A$4:$A$303,0)),0))</f>
        <v>0</v>
      </c>
      <c r="AD1496">
        <f t="shared" si="146"/>
        <v>0</v>
      </c>
      <c r="AE1496" t="str">
        <f t="shared" si="147"/>
        <v/>
      </c>
    </row>
    <row r="1497" spans="22:31" ht="18" customHeight="1">
      <c r="V1497">
        <f>IF(A1497="",0,IF(COUNTIF($A$3:A1497,A1497)=1,1,0))</f>
        <v>0</v>
      </c>
      <c r="W1497">
        <f t="shared" si="144"/>
        <v>0</v>
      </c>
      <c r="X1497" t="str">
        <f t="shared" si="145"/>
        <v/>
      </c>
      <c r="Y1497">
        <f>IF(X1497="",0,IF(COUNTIF($X$3:X1497,X1497)=1,1,0))</f>
        <v>0</v>
      </c>
      <c r="Z1497">
        <f>IF(V1497&lt;&gt;1,0,IF(X1497="",0,IF(COUNTIF($X$3:X1496,X1497)&gt;0,1,0)))</f>
        <v>0</v>
      </c>
      <c r="AA1497">
        <f t="shared" si="142"/>
        <v>0</v>
      </c>
      <c r="AB1497">
        <f t="shared" si="143"/>
        <v>0</v>
      </c>
      <c r="AC1497">
        <f>IF(I1497="",0,L1497*IFERROR(INDEX(کاتالوگ_محصولات!$G$4:$G$303,MATCH(I1497,کاتالوگ_محصولات!$A$4:$A$303,0)),0))</f>
        <v>0</v>
      </c>
      <c r="AD1497">
        <f t="shared" si="146"/>
        <v>0</v>
      </c>
      <c r="AE1497" t="str">
        <f t="shared" si="147"/>
        <v/>
      </c>
    </row>
    <row r="1498" spans="22:31" ht="18" customHeight="1">
      <c r="V1498">
        <f>IF(A1498="",0,IF(COUNTIF($A$3:A1498,A1498)=1,1,0))</f>
        <v>0</v>
      </c>
      <c r="W1498">
        <f t="shared" si="144"/>
        <v>0</v>
      </c>
      <c r="X1498" t="str">
        <f t="shared" si="145"/>
        <v/>
      </c>
      <c r="Y1498">
        <f>IF(X1498="",0,IF(COUNTIF($X$3:X1498,X1498)=1,1,0))</f>
        <v>0</v>
      </c>
      <c r="Z1498">
        <f>IF(V1498&lt;&gt;1,0,IF(X1498="",0,IF(COUNTIF($X$3:X1497,X1498)&gt;0,1,0)))</f>
        <v>0</v>
      </c>
      <c r="AA1498">
        <f t="shared" si="142"/>
        <v>0</v>
      </c>
      <c r="AB1498">
        <f t="shared" si="143"/>
        <v>0</v>
      </c>
      <c r="AC1498">
        <f>IF(I1498="",0,L1498*IFERROR(INDEX(کاتالوگ_محصولات!$G$4:$G$303,MATCH(I1498,کاتالوگ_محصولات!$A$4:$A$303,0)),0))</f>
        <v>0</v>
      </c>
      <c r="AD1498">
        <f t="shared" si="146"/>
        <v>0</v>
      </c>
      <c r="AE1498" t="str">
        <f t="shared" si="147"/>
        <v/>
      </c>
    </row>
    <row r="1499" spans="22:31" ht="18" customHeight="1">
      <c r="V1499">
        <f>IF(A1499="",0,IF(COUNTIF($A$3:A1499,A1499)=1,1,0))</f>
        <v>0</v>
      </c>
      <c r="W1499">
        <f t="shared" si="144"/>
        <v>0</v>
      </c>
      <c r="X1499" t="str">
        <f t="shared" si="145"/>
        <v/>
      </c>
      <c r="Y1499">
        <f>IF(X1499="",0,IF(COUNTIF($X$3:X1499,X1499)=1,1,0))</f>
        <v>0</v>
      </c>
      <c r="Z1499">
        <f>IF(V1499&lt;&gt;1,0,IF(X1499="",0,IF(COUNTIF($X$3:X1498,X1499)&gt;0,1,0)))</f>
        <v>0</v>
      </c>
      <c r="AA1499">
        <f t="shared" si="142"/>
        <v>0</v>
      </c>
      <c r="AB1499">
        <f t="shared" si="143"/>
        <v>0</v>
      </c>
      <c r="AC1499">
        <f>IF(I1499="",0,L1499*IFERROR(INDEX(کاتالوگ_محصولات!$G$4:$G$303,MATCH(I1499,کاتالوگ_محصولات!$A$4:$A$303,0)),0))</f>
        <v>0</v>
      </c>
      <c r="AD1499">
        <f t="shared" si="146"/>
        <v>0</v>
      </c>
      <c r="AE1499" t="str">
        <f t="shared" si="147"/>
        <v/>
      </c>
    </row>
    <row r="1500" spans="22:31" ht="18" customHeight="1">
      <c r="V1500">
        <f>IF(A1500="",0,IF(COUNTIF($A$3:A1500,A1500)=1,1,0))</f>
        <v>0</v>
      </c>
      <c r="W1500">
        <f t="shared" si="144"/>
        <v>0</v>
      </c>
      <c r="X1500" t="str">
        <f t="shared" si="145"/>
        <v/>
      </c>
      <c r="Y1500">
        <f>IF(X1500="",0,IF(COUNTIF($X$3:X1500,X1500)=1,1,0))</f>
        <v>0</v>
      </c>
      <c r="Z1500">
        <f>IF(V1500&lt;&gt;1,0,IF(X1500="",0,IF(COUNTIF($X$3:X1499,X1500)&gt;0,1,0)))</f>
        <v>0</v>
      </c>
      <c r="AA1500">
        <f t="shared" si="142"/>
        <v>0</v>
      </c>
      <c r="AB1500">
        <f t="shared" si="143"/>
        <v>0</v>
      </c>
      <c r="AC1500">
        <f>IF(I1500="",0,L1500*IFERROR(INDEX(کاتالوگ_محصولات!$G$4:$G$303,MATCH(I1500,کاتالوگ_محصولات!$A$4:$A$303,0)),0))</f>
        <v>0</v>
      </c>
      <c r="AD1500">
        <f t="shared" si="146"/>
        <v>0</v>
      </c>
      <c r="AE1500" t="str">
        <f t="shared" si="147"/>
        <v/>
      </c>
    </row>
    <row r="1501" spans="22:31" ht="18" customHeight="1">
      <c r="V1501">
        <f>IF(A1501="",0,IF(COUNTIF($A$3:A1501,A1501)=1,1,0))</f>
        <v>0</v>
      </c>
      <c r="W1501">
        <f t="shared" si="144"/>
        <v>0</v>
      </c>
      <c r="X1501" t="str">
        <f t="shared" si="145"/>
        <v/>
      </c>
      <c r="Y1501">
        <f>IF(X1501="",0,IF(COUNTIF($X$3:X1501,X1501)=1,1,0))</f>
        <v>0</v>
      </c>
      <c r="Z1501">
        <f>IF(V1501&lt;&gt;1,0,IF(X1501="",0,IF(COUNTIF($X$3:X1500,X1501)&gt;0,1,0)))</f>
        <v>0</v>
      </c>
      <c r="AA1501">
        <f t="shared" si="142"/>
        <v>0</v>
      </c>
      <c r="AB1501">
        <f t="shared" si="143"/>
        <v>0</v>
      </c>
      <c r="AC1501">
        <f>IF(I1501="",0,L1501*IFERROR(INDEX(کاتالوگ_محصولات!$G$4:$G$303,MATCH(I1501,کاتالوگ_محصولات!$A$4:$A$303,0)),0))</f>
        <v>0</v>
      </c>
      <c r="AD1501">
        <f t="shared" si="146"/>
        <v>0</v>
      </c>
      <c r="AE1501" t="str">
        <f t="shared" si="147"/>
        <v/>
      </c>
    </row>
    <row r="1502" spans="22:31" ht="18" customHeight="1">
      <c r="V1502">
        <f>IF(A1502="",0,IF(COUNTIF($A$3:A1502,A1502)=1,1,0))</f>
        <v>0</v>
      </c>
      <c r="W1502">
        <f t="shared" si="144"/>
        <v>0</v>
      </c>
      <c r="X1502" t="str">
        <f t="shared" si="145"/>
        <v/>
      </c>
      <c r="Y1502">
        <f>IF(X1502="",0,IF(COUNTIF($X$3:X1502,X1502)=1,1,0))</f>
        <v>0</v>
      </c>
      <c r="Z1502">
        <f>IF(V1502&lt;&gt;1,0,IF(X1502="",0,IF(COUNTIF($X$3:X1501,X1502)&gt;0,1,0)))</f>
        <v>0</v>
      </c>
      <c r="AA1502">
        <f t="shared" si="142"/>
        <v>0</v>
      </c>
      <c r="AB1502">
        <f t="shared" si="143"/>
        <v>0</v>
      </c>
      <c r="AC1502">
        <f>IF(I1502="",0,L1502*IFERROR(INDEX(کاتالوگ_محصولات!$G$4:$G$303,MATCH(I1502,کاتالوگ_محصولات!$A$4:$A$303,0)),0))</f>
        <v>0</v>
      </c>
      <c r="AD1502">
        <f t="shared" si="146"/>
        <v>0</v>
      </c>
      <c r="AE1502" t="str">
        <f t="shared" si="147"/>
        <v/>
      </c>
    </row>
    <row r="1503" spans="22:31" ht="18" customHeight="1">
      <c r="V1503">
        <f>IF(A1503="",0,IF(COUNTIF($A$3:A1503,A1503)=1,1,0))</f>
        <v>0</v>
      </c>
      <c r="W1503">
        <f t="shared" si="144"/>
        <v>0</v>
      </c>
      <c r="X1503" t="str">
        <f t="shared" si="145"/>
        <v/>
      </c>
      <c r="Y1503">
        <f>IF(X1503="",0,IF(COUNTIF($X$3:X1503,X1503)=1,1,0))</f>
        <v>0</v>
      </c>
      <c r="Z1503">
        <f>IF(V1503&lt;&gt;1,0,IF(X1503="",0,IF(COUNTIF($X$3:X1502,X1503)&gt;0,1,0)))</f>
        <v>0</v>
      </c>
      <c r="AA1503">
        <f t="shared" si="142"/>
        <v>0</v>
      </c>
      <c r="AB1503">
        <f t="shared" si="143"/>
        <v>0</v>
      </c>
      <c r="AC1503">
        <f>IF(I1503="",0,L1503*IFERROR(INDEX(کاتالوگ_محصولات!$G$4:$G$303,MATCH(I1503,کاتالوگ_محصولات!$A$4:$A$303,0)),0))</f>
        <v>0</v>
      </c>
      <c r="AD1503">
        <f t="shared" si="146"/>
        <v>0</v>
      </c>
      <c r="AE1503" t="str">
        <f t="shared" si="147"/>
        <v/>
      </c>
    </row>
    <row r="1504" spans="22:31" ht="18" customHeight="1">
      <c r="V1504">
        <f>IF(A1504="",0,IF(COUNTIF($A$3:A1504,A1504)=1,1,0))</f>
        <v>0</v>
      </c>
      <c r="W1504">
        <f t="shared" si="144"/>
        <v>0</v>
      </c>
      <c r="X1504" t="str">
        <f t="shared" si="145"/>
        <v/>
      </c>
      <c r="Y1504">
        <f>IF(X1504="",0,IF(COUNTIF($X$3:X1504,X1504)=1,1,0))</f>
        <v>0</v>
      </c>
      <c r="Z1504">
        <f>IF(V1504&lt;&gt;1,0,IF(X1504="",0,IF(COUNTIF($X$3:X1503,X1504)&gt;0,1,0)))</f>
        <v>0</v>
      </c>
      <c r="AA1504">
        <f t="shared" si="142"/>
        <v>0</v>
      </c>
      <c r="AB1504">
        <f t="shared" si="143"/>
        <v>0</v>
      </c>
      <c r="AC1504">
        <f>IF(I1504="",0,L1504*IFERROR(INDEX(کاتالوگ_محصولات!$G$4:$G$303,MATCH(I1504,کاتالوگ_محصولات!$A$4:$A$303,0)),0))</f>
        <v>0</v>
      </c>
      <c r="AD1504">
        <f t="shared" si="146"/>
        <v>0</v>
      </c>
      <c r="AE1504" t="str">
        <f t="shared" si="147"/>
        <v/>
      </c>
    </row>
    <row r="1505" spans="22:31" ht="18" customHeight="1">
      <c r="V1505">
        <f>IF(A1505="",0,IF(COUNTIF($A$3:A1505,A1505)=1,1,0))</f>
        <v>0</v>
      </c>
      <c r="W1505">
        <f t="shared" si="144"/>
        <v>0</v>
      </c>
      <c r="X1505" t="str">
        <f t="shared" si="145"/>
        <v/>
      </c>
      <c r="Y1505">
        <f>IF(X1505="",0,IF(COUNTIF($X$3:X1505,X1505)=1,1,0))</f>
        <v>0</v>
      </c>
      <c r="Z1505">
        <f>IF(V1505&lt;&gt;1,0,IF(X1505="",0,IF(COUNTIF($X$3:X1504,X1505)&gt;0,1,0)))</f>
        <v>0</v>
      </c>
      <c r="AA1505">
        <f t="shared" si="142"/>
        <v>0</v>
      </c>
      <c r="AB1505">
        <f t="shared" si="143"/>
        <v>0</v>
      </c>
      <c r="AC1505">
        <f>IF(I1505="",0,L1505*IFERROR(INDEX(کاتالوگ_محصولات!$G$4:$G$303,MATCH(I1505,کاتالوگ_محصولات!$A$4:$A$303,0)),0))</f>
        <v>0</v>
      </c>
      <c r="AD1505">
        <f t="shared" si="146"/>
        <v>0</v>
      </c>
      <c r="AE1505" t="str">
        <f t="shared" si="147"/>
        <v/>
      </c>
    </row>
    <row r="1506" spans="22:31" ht="18" customHeight="1">
      <c r="V1506">
        <f>IF(A1506="",0,IF(COUNTIF($A$3:A1506,A1506)=1,1,0))</f>
        <v>0</v>
      </c>
      <c r="W1506">
        <f t="shared" si="144"/>
        <v>0</v>
      </c>
      <c r="X1506" t="str">
        <f t="shared" si="145"/>
        <v/>
      </c>
      <c r="Y1506">
        <f>IF(X1506="",0,IF(COUNTIF($X$3:X1506,X1506)=1,1,0))</f>
        <v>0</v>
      </c>
      <c r="Z1506">
        <f>IF(V1506&lt;&gt;1,0,IF(X1506="",0,IF(COUNTIF($X$3:X1505,X1506)&gt;0,1,0)))</f>
        <v>0</v>
      </c>
      <c r="AA1506">
        <f t="shared" si="142"/>
        <v>0</v>
      </c>
      <c r="AB1506">
        <f t="shared" si="143"/>
        <v>0</v>
      </c>
      <c r="AC1506">
        <f>IF(I1506="",0,L1506*IFERROR(INDEX(کاتالوگ_محصولات!$G$4:$G$303,MATCH(I1506,کاتالوگ_محصولات!$A$4:$A$303,0)),0))</f>
        <v>0</v>
      </c>
      <c r="AD1506">
        <f t="shared" si="146"/>
        <v>0</v>
      </c>
      <c r="AE1506" t="str">
        <f t="shared" si="147"/>
        <v/>
      </c>
    </row>
    <row r="1507" spans="22:31" ht="18" customHeight="1">
      <c r="V1507">
        <f>IF(A1507="",0,IF(COUNTIF($A$3:A1507,A1507)=1,1,0))</f>
        <v>0</v>
      </c>
      <c r="W1507">
        <f t="shared" si="144"/>
        <v>0</v>
      </c>
      <c r="X1507" t="str">
        <f t="shared" si="145"/>
        <v/>
      </c>
      <c r="Y1507">
        <f>IF(X1507="",0,IF(COUNTIF($X$3:X1507,X1507)=1,1,0))</f>
        <v>0</v>
      </c>
      <c r="Z1507">
        <f>IF(V1507&lt;&gt;1,0,IF(X1507="",0,IF(COUNTIF($X$3:X1506,X1507)&gt;0,1,0)))</f>
        <v>0</v>
      </c>
      <c r="AA1507">
        <f t="shared" si="142"/>
        <v>0</v>
      </c>
      <c r="AB1507">
        <f t="shared" si="143"/>
        <v>0</v>
      </c>
      <c r="AC1507">
        <f>IF(I1507="",0,L1507*IFERROR(INDEX(کاتالوگ_محصولات!$G$4:$G$303,MATCH(I1507,کاتالوگ_محصولات!$A$4:$A$303,0)),0))</f>
        <v>0</v>
      </c>
      <c r="AD1507">
        <f t="shared" si="146"/>
        <v>0</v>
      </c>
      <c r="AE1507" t="str">
        <f t="shared" si="147"/>
        <v/>
      </c>
    </row>
    <row r="1508" spans="22:31" ht="18" customHeight="1">
      <c r="V1508">
        <f>IF(A1508="",0,IF(COUNTIF($A$3:A1508,A1508)=1,1,0))</f>
        <v>0</v>
      </c>
      <c r="W1508">
        <f t="shared" si="144"/>
        <v>0</v>
      </c>
      <c r="X1508" t="str">
        <f t="shared" si="145"/>
        <v/>
      </c>
      <c r="Y1508">
        <f>IF(X1508="",0,IF(COUNTIF($X$3:X1508,X1508)=1,1,0))</f>
        <v>0</v>
      </c>
      <c r="Z1508">
        <f>IF(V1508&lt;&gt;1,0,IF(X1508="",0,IF(COUNTIF($X$3:X1507,X1508)&gt;0,1,0)))</f>
        <v>0</v>
      </c>
      <c r="AA1508">
        <f t="shared" si="142"/>
        <v>0</v>
      </c>
      <c r="AB1508">
        <f t="shared" si="143"/>
        <v>0</v>
      </c>
      <c r="AC1508">
        <f>IF(I1508="",0,L1508*IFERROR(INDEX(کاتالوگ_محصولات!$G$4:$G$303,MATCH(I1508,کاتالوگ_محصولات!$A$4:$A$303,0)),0))</f>
        <v>0</v>
      </c>
      <c r="AD1508">
        <f t="shared" si="146"/>
        <v>0</v>
      </c>
      <c r="AE1508" t="str">
        <f t="shared" si="147"/>
        <v/>
      </c>
    </row>
    <row r="1509" spans="22:31" ht="18" customHeight="1">
      <c r="V1509">
        <f>IF(A1509="",0,IF(COUNTIF($A$3:A1509,A1509)=1,1,0))</f>
        <v>0</v>
      </c>
      <c r="W1509">
        <f t="shared" si="144"/>
        <v>0</v>
      </c>
      <c r="X1509" t="str">
        <f t="shared" si="145"/>
        <v/>
      </c>
      <c r="Y1509">
        <f>IF(X1509="",0,IF(COUNTIF($X$3:X1509,X1509)=1,1,0))</f>
        <v>0</v>
      </c>
      <c r="Z1509">
        <f>IF(V1509&lt;&gt;1,0,IF(X1509="",0,IF(COUNTIF($X$3:X1508,X1509)&gt;0,1,0)))</f>
        <v>0</v>
      </c>
      <c r="AA1509">
        <f t="shared" si="142"/>
        <v>0</v>
      </c>
      <c r="AB1509">
        <f t="shared" si="143"/>
        <v>0</v>
      </c>
      <c r="AC1509">
        <f>IF(I1509="",0,L1509*IFERROR(INDEX(کاتالوگ_محصولات!$G$4:$G$303,MATCH(I1509,کاتالوگ_محصولات!$A$4:$A$303,0)),0))</f>
        <v>0</v>
      </c>
      <c r="AD1509">
        <f t="shared" si="146"/>
        <v>0</v>
      </c>
      <c r="AE1509" t="str">
        <f t="shared" si="147"/>
        <v/>
      </c>
    </row>
    <row r="1510" spans="22:31" ht="18" customHeight="1">
      <c r="V1510">
        <f>IF(A1510="",0,IF(COUNTIF($A$3:A1510,A1510)=1,1,0))</f>
        <v>0</v>
      </c>
      <c r="W1510">
        <f t="shared" si="144"/>
        <v>0</v>
      </c>
      <c r="X1510" t="str">
        <f t="shared" si="145"/>
        <v/>
      </c>
      <c r="Y1510">
        <f>IF(X1510="",0,IF(COUNTIF($X$3:X1510,X1510)=1,1,0))</f>
        <v>0</v>
      </c>
      <c r="Z1510">
        <f>IF(V1510&lt;&gt;1,0,IF(X1510="",0,IF(COUNTIF($X$3:X1509,X1510)&gt;0,1,0)))</f>
        <v>0</v>
      </c>
      <c r="AA1510">
        <f t="shared" si="142"/>
        <v>0</v>
      </c>
      <c r="AB1510">
        <f t="shared" si="143"/>
        <v>0</v>
      </c>
      <c r="AC1510">
        <f>IF(I1510="",0,L1510*IFERROR(INDEX(کاتالوگ_محصولات!$G$4:$G$303,MATCH(I1510,کاتالوگ_محصولات!$A$4:$A$303,0)),0))</f>
        <v>0</v>
      </c>
      <c r="AD1510">
        <f t="shared" si="146"/>
        <v>0</v>
      </c>
      <c r="AE1510" t="str">
        <f t="shared" si="147"/>
        <v/>
      </c>
    </row>
    <row r="1511" spans="22:31" ht="18" customHeight="1">
      <c r="V1511">
        <f>IF(A1511="",0,IF(COUNTIF($A$3:A1511,A1511)=1,1,0))</f>
        <v>0</v>
      </c>
      <c r="W1511">
        <f t="shared" si="144"/>
        <v>0</v>
      </c>
      <c r="X1511" t="str">
        <f t="shared" si="145"/>
        <v/>
      </c>
      <c r="Y1511">
        <f>IF(X1511="",0,IF(COUNTIF($X$3:X1511,X1511)=1,1,0))</f>
        <v>0</v>
      </c>
      <c r="Z1511">
        <f>IF(V1511&lt;&gt;1,0,IF(X1511="",0,IF(COUNTIF($X$3:X1510,X1511)&gt;0,1,0)))</f>
        <v>0</v>
      </c>
      <c r="AA1511">
        <f t="shared" si="142"/>
        <v>0</v>
      </c>
      <c r="AB1511">
        <f t="shared" si="143"/>
        <v>0</v>
      </c>
      <c r="AC1511">
        <f>IF(I1511="",0,L1511*IFERROR(INDEX(کاتالوگ_محصولات!$G$4:$G$303,MATCH(I1511,کاتالوگ_محصولات!$A$4:$A$303,0)),0))</f>
        <v>0</v>
      </c>
      <c r="AD1511">
        <f t="shared" si="146"/>
        <v>0</v>
      </c>
      <c r="AE1511" t="str">
        <f t="shared" si="147"/>
        <v/>
      </c>
    </row>
    <row r="1512" spans="22:31" ht="18" customHeight="1">
      <c r="V1512">
        <f>IF(A1512="",0,IF(COUNTIF($A$3:A1512,A1512)=1,1,0))</f>
        <v>0</v>
      </c>
      <c r="W1512">
        <f t="shared" si="144"/>
        <v>0</v>
      </c>
      <c r="X1512" t="str">
        <f t="shared" si="145"/>
        <v/>
      </c>
      <c r="Y1512">
        <f>IF(X1512="",0,IF(COUNTIF($X$3:X1512,X1512)=1,1,0))</f>
        <v>0</v>
      </c>
      <c r="Z1512">
        <f>IF(V1512&lt;&gt;1,0,IF(X1512="",0,IF(COUNTIF($X$3:X1511,X1512)&gt;0,1,0)))</f>
        <v>0</v>
      </c>
      <c r="AA1512">
        <f t="shared" si="142"/>
        <v>0</v>
      </c>
      <c r="AB1512">
        <f t="shared" si="143"/>
        <v>0</v>
      </c>
      <c r="AC1512">
        <f>IF(I1512="",0,L1512*IFERROR(INDEX(کاتالوگ_محصولات!$G$4:$G$303,MATCH(I1512,کاتالوگ_محصولات!$A$4:$A$303,0)),0))</f>
        <v>0</v>
      </c>
      <c r="AD1512">
        <f t="shared" si="146"/>
        <v>0</v>
      </c>
      <c r="AE1512" t="str">
        <f t="shared" si="147"/>
        <v/>
      </c>
    </row>
    <row r="1513" spans="22:31" ht="18" customHeight="1">
      <c r="V1513">
        <f>IF(A1513="",0,IF(COUNTIF($A$3:A1513,A1513)=1,1,0))</f>
        <v>0</v>
      </c>
      <c r="W1513">
        <f t="shared" si="144"/>
        <v>0</v>
      </c>
      <c r="X1513" t="str">
        <f t="shared" si="145"/>
        <v/>
      </c>
      <c r="Y1513">
        <f>IF(X1513="",0,IF(COUNTIF($X$3:X1513,X1513)=1,1,0))</f>
        <v>0</v>
      </c>
      <c r="Z1513">
        <f>IF(V1513&lt;&gt;1,0,IF(X1513="",0,IF(COUNTIF($X$3:X1512,X1513)&gt;0,1,0)))</f>
        <v>0</v>
      </c>
      <c r="AA1513">
        <f t="shared" si="142"/>
        <v>0</v>
      </c>
      <c r="AB1513">
        <f t="shared" si="143"/>
        <v>0</v>
      </c>
      <c r="AC1513">
        <f>IF(I1513="",0,L1513*IFERROR(INDEX(کاتالوگ_محصولات!$G$4:$G$303,MATCH(I1513,کاتالوگ_محصولات!$A$4:$A$303,0)),0))</f>
        <v>0</v>
      </c>
      <c r="AD1513">
        <f t="shared" si="146"/>
        <v>0</v>
      </c>
      <c r="AE1513" t="str">
        <f t="shared" si="147"/>
        <v/>
      </c>
    </row>
    <row r="1514" spans="22:31" ht="18" customHeight="1">
      <c r="V1514">
        <f>IF(A1514="",0,IF(COUNTIF($A$3:A1514,A1514)=1,1,0))</f>
        <v>0</v>
      </c>
      <c r="W1514">
        <f t="shared" si="144"/>
        <v>0</v>
      </c>
      <c r="X1514" t="str">
        <f t="shared" si="145"/>
        <v/>
      </c>
      <c r="Y1514">
        <f>IF(X1514="",0,IF(COUNTIF($X$3:X1514,X1514)=1,1,0))</f>
        <v>0</v>
      </c>
      <c r="Z1514">
        <f>IF(V1514&lt;&gt;1,0,IF(X1514="",0,IF(COUNTIF($X$3:X1513,X1514)&gt;0,1,0)))</f>
        <v>0</v>
      </c>
      <c r="AA1514">
        <f t="shared" si="142"/>
        <v>0</v>
      </c>
      <c r="AB1514">
        <f t="shared" si="143"/>
        <v>0</v>
      </c>
      <c r="AC1514">
        <f>IF(I1514="",0,L1514*IFERROR(INDEX(کاتالوگ_محصولات!$G$4:$G$303,MATCH(I1514,کاتالوگ_محصولات!$A$4:$A$303,0)),0))</f>
        <v>0</v>
      </c>
      <c r="AD1514">
        <f t="shared" si="146"/>
        <v>0</v>
      </c>
      <c r="AE1514" t="str">
        <f t="shared" si="147"/>
        <v/>
      </c>
    </row>
    <row r="1515" spans="22:31" ht="18" customHeight="1">
      <c r="V1515">
        <f>IF(A1515="",0,IF(COUNTIF($A$3:A1515,A1515)=1,1,0))</f>
        <v>0</v>
      </c>
      <c r="W1515">
        <f t="shared" si="144"/>
        <v>0</v>
      </c>
      <c r="X1515" t="str">
        <f t="shared" si="145"/>
        <v/>
      </c>
      <c r="Y1515">
        <f>IF(X1515="",0,IF(COUNTIF($X$3:X1515,X1515)=1,1,0))</f>
        <v>0</v>
      </c>
      <c r="Z1515">
        <f>IF(V1515&lt;&gt;1,0,IF(X1515="",0,IF(COUNTIF($X$3:X1514,X1515)&gt;0,1,0)))</f>
        <v>0</v>
      </c>
      <c r="AA1515">
        <f t="shared" si="142"/>
        <v>0</v>
      </c>
      <c r="AB1515">
        <f t="shared" si="143"/>
        <v>0</v>
      </c>
      <c r="AC1515">
        <f>IF(I1515="",0,L1515*IFERROR(INDEX(کاتالوگ_محصولات!$G$4:$G$303,MATCH(I1515,کاتالوگ_محصولات!$A$4:$A$303,0)),0))</f>
        <v>0</v>
      </c>
      <c r="AD1515">
        <f t="shared" si="146"/>
        <v>0</v>
      </c>
      <c r="AE1515" t="str">
        <f t="shared" si="147"/>
        <v/>
      </c>
    </row>
    <row r="1516" spans="22:31" ht="18" customHeight="1">
      <c r="V1516">
        <f>IF(A1516="",0,IF(COUNTIF($A$3:A1516,A1516)=1,1,0))</f>
        <v>0</v>
      </c>
      <c r="W1516">
        <f t="shared" si="144"/>
        <v>0</v>
      </c>
      <c r="X1516" t="str">
        <f t="shared" si="145"/>
        <v/>
      </c>
      <c r="Y1516">
        <f>IF(X1516="",0,IF(COUNTIF($X$3:X1516,X1516)=1,1,0))</f>
        <v>0</v>
      </c>
      <c r="Z1516">
        <f>IF(V1516&lt;&gt;1,0,IF(X1516="",0,IF(COUNTIF($X$3:X1515,X1516)&gt;0,1,0)))</f>
        <v>0</v>
      </c>
      <c r="AA1516">
        <f t="shared" si="142"/>
        <v>0</v>
      </c>
      <c r="AB1516">
        <f t="shared" si="143"/>
        <v>0</v>
      </c>
      <c r="AC1516">
        <f>IF(I1516="",0,L1516*IFERROR(INDEX(کاتالوگ_محصولات!$G$4:$G$303,MATCH(I1516,کاتالوگ_محصولات!$A$4:$A$303,0)),0))</f>
        <v>0</v>
      </c>
      <c r="AD1516">
        <f t="shared" si="146"/>
        <v>0</v>
      </c>
      <c r="AE1516" t="str">
        <f t="shared" si="147"/>
        <v/>
      </c>
    </row>
    <row r="1517" spans="22:31" ht="18" customHeight="1">
      <c r="V1517">
        <f>IF(A1517="",0,IF(COUNTIF($A$3:A1517,A1517)=1,1,0))</f>
        <v>0</v>
      </c>
      <c r="W1517">
        <f t="shared" si="144"/>
        <v>0</v>
      </c>
      <c r="X1517" t="str">
        <f t="shared" si="145"/>
        <v/>
      </c>
      <c r="Y1517">
        <f>IF(X1517="",0,IF(COUNTIF($X$3:X1517,X1517)=1,1,0))</f>
        <v>0</v>
      </c>
      <c r="Z1517">
        <f>IF(V1517&lt;&gt;1,0,IF(X1517="",0,IF(COUNTIF($X$3:X1516,X1517)&gt;0,1,0)))</f>
        <v>0</v>
      </c>
      <c r="AA1517">
        <f t="shared" si="142"/>
        <v>0</v>
      </c>
      <c r="AB1517">
        <f t="shared" si="143"/>
        <v>0</v>
      </c>
      <c r="AC1517">
        <f>IF(I1517="",0,L1517*IFERROR(INDEX(کاتالوگ_محصولات!$G$4:$G$303,MATCH(I1517,کاتالوگ_محصولات!$A$4:$A$303,0)),0))</f>
        <v>0</v>
      </c>
      <c r="AD1517">
        <f t="shared" si="146"/>
        <v>0</v>
      </c>
      <c r="AE1517" t="str">
        <f t="shared" si="147"/>
        <v/>
      </c>
    </row>
    <row r="1518" spans="22:31" ht="18" customHeight="1">
      <c r="V1518">
        <f>IF(A1518="",0,IF(COUNTIF($A$3:A1518,A1518)=1,1,0))</f>
        <v>0</v>
      </c>
      <c r="W1518">
        <f t="shared" si="144"/>
        <v>0</v>
      </c>
      <c r="X1518" t="str">
        <f t="shared" si="145"/>
        <v/>
      </c>
      <c r="Y1518">
        <f>IF(X1518="",0,IF(COUNTIF($X$3:X1518,X1518)=1,1,0))</f>
        <v>0</v>
      </c>
      <c r="Z1518">
        <f>IF(V1518&lt;&gt;1,0,IF(X1518="",0,IF(COUNTIF($X$3:X1517,X1518)&gt;0,1,0)))</f>
        <v>0</v>
      </c>
      <c r="AA1518">
        <f t="shared" si="142"/>
        <v>0</v>
      </c>
      <c r="AB1518">
        <f t="shared" si="143"/>
        <v>0</v>
      </c>
      <c r="AC1518">
        <f>IF(I1518="",0,L1518*IFERROR(INDEX(کاتالوگ_محصولات!$G$4:$G$303,MATCH(I1518,کاتالوگ_محصولات!$A$4:$A$303,0)),0))</f>
        <v>0</v>
      </c>
      <c r="AD1518">
        <f t="shared" si="146"/>
        <v>0</v>
      </c>
      <c r="AE1518" t="str">
        <f t="shared" si="147"/>
        <v/>
      </c>
    </row>
    <row r="1519" spans="22:31" ht="18" customHeight="1">
      <c r="V1519">
        <f>IF(A1519="",0,IF(COUNTIF($A$3:A1519,A1519)=1,1,0))</f>
        <v>0</v>
      </c>
      <c r="W1519">
        <f t="shared" si="144"/>
        <v>0</v>
      </c>
      <c r="X1519" t="str">
        <f t="shared" si="145"/>
        <v/>
      </c>
      <c r="Y1519">
        <f>IF(X1519="",0,IF(COUNTIF($X$3:X1519,X1519)=1,1,0))</f>
        <v>0</v>
      </c>
      <c r="Z1519">
        <f>IF(V1519&lt;&gt;1,0,IF(X1519="",0,IF(COUNTIF($X$3:X1518,X1519)&gt;0,1,0)))</f>
        <v>0</v>
      </c>
      <c r="AA1519">
        <f t="shared" si="142"/>
        <v>0</v>
      </c>
      <c r="AB1519">
        <f t="shared" si="143"/>
        <v>0</v>
      </c>
      <c r="AC1519">
        <f>IF(I1519="",0,L1519*IFERROR(INDEX(کاتالوگ_محصولات!$G$4:$G$303,MATCH(I1519,کاتالوگ_محصولات!$A$4:$A$303,0)),0))</f>
        <v>0</v>
      </c>
      <c r="AD1519">
        <f t="shared" si="146"/>
        <v>0</v>
      </c>
      <c r="AE1519" t="str">
        <f t="shared" si="147"/>
        <v/>
      </c>
    </row>
    <row r="1520" spans="22:31" ht="18" customHeight="1">
      <c r="V1520">
        <f>IF(A1520="",0,IF(COUNTIF($A$3:A1520,A1520)=1,1,0))</f>
        <v>0</v>
      </c>
      <c r="W1520">
        <f t="shared" si="144"/>
        <v>0</v>
      </c>
      <c r="X1520" t="str">
        <f t="shared" si="145"/>
        <v/>
      </c>
      <c r="Y1520">
        <f>IF(X1520="",0,IF(COUNTIF($X$3:X1520,X1520)=1,1,0))</f>
        <v>0</v>
      </c>
      <c r="Z1520">
        <f>IF(V1520&lt;&gt;1,0,IF(X1520="",0,IF(COUNTIF($X$3:X1519,X1520)&gt;0,1,0)))</f>
        <v>0</v>
      </c>
      <c r="AA1520">
        <f t="shared" si="142"/>
        <v>0</v>
      </c>
      <c r="AB1520">
        <f t="shared" si="143"/>
        <v>0</v>
      </c>
      <c r="AC1520">
        <f>IF(I1520="",0,L1520*IFERROR(INDEX(کاتالوگ_محصولات!$G$4:$G$303,MATCH(I1520,کاتالوگ_محصولات!$A$4:$A$303,0)),0))</f>
        <v>0</v>
      </c>
      <c r="AD1520">
        <f t="shared" si="146"/>
        <v>0</v>
      </c>
      <c r="AE1520" t="str">
        <f t="shared" si="147"/>
        <v/>
      </c>
    </row>
    <row r="1521" spans="22:31" ht="18" customHeight="1">
      <c r="V1521">
        <f>IF(A1521="",0,IF(COUNTIF($A$3:A1521,A1521)=1,1,0))</f>
        <v>0</v>
      </c>
      <c r="W1521">
        <f t="shared" si="144"/>
        <v>0</v>
      </c>
      <c r="X1521" t="str">
        <f t="shared" si="145"/>
        <v/>
      </c>
      <c r="Y1521">
        <f>IF(X1521="",0,IF(COUNTIF($X$3:X1521,X1521)=1,1,0))</f>
        <v>0</v>
      </c>
      <c r="Z1521">
        <f>IF(V1521&lt;&gt;1,0,IF(X1521="",0,IF(COUNTIF($X$3:X1520,X1521)&gt;0,1,0)))</f>
        <v>0</v>
      </c>
      <c r="AA1521">
        <f t="shared" si="142"/>
        <v>0</v>
      </c>
      <c r="AB1521">
        <f t="shared" si="143"/>
        <v>0</v>
      </c>
      <c r="AC1521">
        <f>IF(I1521="",0,L1521*IFERROR(INDEX(کاتالوگ_محصولات!$G$4:$G$303,MATCH(I1521,کاتالوگ_محصولات!$A$4:$A$303,0)),0))</f>
        <v>0</v>
      </c>
      <c r="AD1521">
        <f t="shared" si="146"/>
        <v>0</v>
      </c>
      <c r="AE1521" t="str">
        <f t="shared" si="147"/>
        <v/>
      </c>
    </row>
    <row r="1522" spans="22:31" ht="18" customHeight="1">
      <c r="V1522">
        <f>IF(A1522="",0,IF(COUNTIF($A$3:A1522,A1522)=1,1,0))</f>
        <v>0</v>
      </c>
      <c r="W1522">
        <f t="shared" si="144"/>
        <v>0</v>
      </c>
      <c r="X1522" t="str">
        <f t="shared" si="145"/>
        <v/>
      </c>
      <c r="Y1522">
        <f>IF(X1522="",0,IF(COUNTIF($X$3:X1522,X1522)=1,1,0))</f>
        <v>0</v>
      </c>
      <c r="Z1522">
        <f>IF(V1522&lt;&gt;1,0,IF(X1522="",0,IF(COUNTIF($X$3:X1521,X1522)&gt;0,1,0)))</f>
        <v>0</v>
      </c>
      <c r="AA1522">
        <f t="shared" si="142"/>
        <v>0</v>
      </c>
      <c r="AB1522">
        <f t="shared" si="143"/>
        <v>0</v>
      </c>
      <c r="AC1522">
        <f>IF(I1522="",0,L1522*IFERROR(INDEX(کاتالوگ_محصولات!$G$4:$G$303,MATCH(I1522,کاتالوگ_محصولات!$A$4:$A$303,0)),0))</f>
        <v>0</v>
      </c>
      <c r="AD1522">
        <f t="shared" si="146"/>
        <v>0</v>
      </c>
      <c r="AE1522" t="str">
        <f t="shared" si="147"/>
        <v/>
      </c>
    </row>
    <row r="1523" spans="22:31" ht="18" customHeight="1">
      <c r="V1523">
        <f>IF(A1523="",0,IF(COUNTIF($A$3:A1523,A1523)=1,1,0))</f>
        <v>0</v>
      </c>
      <c r="W1523">
        <f t="shared" si="144"/>
        <v>0</v>
      </c>
      <c r="X1523" t="str">
        <f t="shared" si="145"/>
        <v/>
      </c>
      <c r="Y1523">
        <f>IF(X1523="",0,IF(COUNTIF($X$3:X1523,X1523)=1,1,0))</f>
        <v>0</v>
      </c>
      <c r="Z1523">
        <f>IF(V1523&lt;&gt;1,0,IF(X1523="",0,IF(COUNTIF($X$3:X1522,X1523)&gt;0,1,0)))</f>
        <v>0</v>
      </c>
      <c r="AA1523">
        <f t="shared" si="142"/>
        <v>0</v>
      </c>
      <c r="AB1523">
        <f t="shared" si="143"/>
        <v>0</v>
      </c>
      <c r="AC1523">
        <f>IF(I1523="",0,L1523*IFERROR(INDEX(کاتالوگ_محصولات!$G$4:$G$303,MATCH(I1523,کاتالوگ_محصولات!$A$4:$A$303,0)),0))</f>
        <v>0</v>
      </c>
      <c r="AD1523">
        <f t="shared" si="146"/>
        <v>0</v>
      </c>
      <c r="AE1523" t="str">
        <f t="shared" si="147"/>
        <v/>
      </c>
    </row>
    <row r="1524" spans="22:31" ht="18" customHeight="1">
      <c r="V1524">
        <f>IF(A1524="",0,IF(COUNTIF($A$3:A1524,A1524)=1,1,0))</f>
        <v>0</v>
      </c>
      <c r="W1524">
        <f t="shared" si="144"/>
        <v>0</v>
      </c>
      <c r="X1524" t="str">
        <f t="shared" si="145"/>
        <v/>
      </c>
      <c r="Y1524">
        <f>IF(X1524="",0,IF(COUNTIF($X$3:X1524,X1524)=1,1,0))</f>
        <v>0</v>
      </c>
      <c r="Z1524">
        <f>IF(V1524&lt;&gt;1,0,IF(X1524="",0,IF(COUNTIF($X$3:X1523,X1524)&gt;0,1,0)))</f>
        <v>0</v>
      </c>
      <c r="AA1524">
        <f t="shared" si="142"/>
        <v>0</v>
      </c>
      <c r="AB1524">
        <f t="shared" si="143"/>
        <v>0</v>
      </c>
      <c r="AC1524">
        <f>IF(I1524="",0,L1524*IFERROR(INDEX(کاتالوگ_محصولات!$G$4:$G$303,MATCH(I1524,کاتالوگ_محصولات!$A$4:$A$303,0)),0))</f>
        <v>0</v>
      </c>
      <c r="AD1524">
        <f t="shared" si="146"/>
        <v>0</v>
      </c>
      <c r="AE1524" t="str">
        <f t="shared" si="147"/>
        <v/>
      </c>
    </row>
    <row r="1525" spans="22:31" ht="18" customHeight="1">
      <c r="V1525">
        <f>IF(A1525="",0,IF(COUNTIF($A$3:A1525,A1525)=1,1,0))</f>
        <v>0</v>
      </c>
      <c r="W1525">
        <f t="shared" si="144"/>
        <v>0</v>
      </c>
      <c r="X1525" t="str">
        <f t="shared" si="145"/>
        <v/>
      </c>
      <c r="Y1525">
        <f>IF(X1525="",0,IF(COUNTIF($X$3:X1525,X1525)=1,1,0))</f>
        <v>0</v>
      </c>
      <c r="Z1525">
        <f>IF(V1525&lt;&gt;1,0,IF(X1525="",0,IF(COUNTIF($X$3:X1524,X1525)&gt;0,1,0)))</f>
        <v>0</v>
      </c>
      <c r="AA1525">
        <f t="shared" si="142"/>
        <v>0</v>
      </c>
      <c r="AB1525">
        <f t="shared" si="143"/>
        <v>0</v>
      </c>
      <c r="AC1525">
        <f>IF(I1525="",0,L1525*IFERROR(INDEX(کاتالوگ_محصولات!$G$4:$G$303,MATCH(I1525,کاتالوگ_محصولات!$A$4:$A$303,0)),0))</f>
        <v>0</v>
      </c>
      <c r="AD1525">
        <f t="shared" si="146"/>
        <v>0</v>
      </c>
      <c r="AE1525" t="str">
        <f t="shared" si="147"/>
        <v/>
      </c>
    </row>
    <row r="1526" spans="22:31" ht="18" customHeight="1">
      <c r="V1526">
        <f>IF(A1526="",0,IF(COUNTIF($A$3:A1526,A1526)=1,1,0))</f>
        <v>0</v>
      </c>
      <c r="W1526">
        <f t="shared" si="144"/>
        <v>0</v>
      </c>
      <c r="X1526" t="str">
        <f t="shared" si="145"/>
        <v/>
      </c>
      <c r="Y1526">
        <f>IF(X1526="",0,IF(COUNTIF($X$3:X1526,X1526)=1,1,0))</f>
        <v>0</v>
      </c>
      <c r="Z1526">
        <f>IF(V1526&lt;&gt;1,0,IF(X1526="",0,IF(COUNTIF($X$3:X1525,X1526)&gt;0,1,0)))</f>
        <v>0</v>
      </c>
      <c r="AA1526">
        <f t="shared" si="142"/>
        <v>0</v>
      </c>
      <c r="AB1526">
        <f t="shared" si="143"/>
        <v>0</v>
      </c>
      <c r="AC1526">
        <f>IF(I1526="",0,L1526*IFERROR(INDEX(کاتالوگ_محصولات!$G$4:$G$303,MATCH(I1526,کاتالوگ_محصولات!$A$4:$A$303,0)),0))</f>
        <v>0</v>
      </c>
      <c r="AD1526">
        <f t="shared" si="146"/>
        <v>0</v>
      </c>
      <c r="AE1526" t="str">
        <f t="shared" si="147"/>
        <v/>
      </c>
    </row>
    <row r="1527" spans="22:31" ht="18" customHeight="1">
      <c r="V1527">
        <f>IF(A1527="",0,IF(COUNTIF($A$3:A1527,A1527)=1,1,0))</f>
        <v>0</v>
      </c>
      <c r="W1527">
        <f t="shared" si="144"/>
        <v>0</v>
      </c>
      <c r="X1527" t="str">
        <f t="shared" si="145"/>
        <v/>
      </c>
      <c r="Y1527">
        <f>IF(X1527="",0,IF(COUNTIF($X$3:X1527,X1527)=1,1,0))</f>
        <v>0</v>
      </c>
      <c r="Z1527">
        <f>IF(V1527&lt;&gt;1,0,IF(X1527="",0,IF(COUNTIF($X$3:X1526,X1527)&gt;0,1,0)))</f>
        <v>0</v>
      </c>
      <c r="AA1527">
        <f t="shared" si="142"/>
        <v>0</v>
      </c>
      <c r="AB1527">
        <f t="shared" si="143"/>
        <v>0</v>
      </c>
      <c r="AC1527">
        <f>IF(I1527="",0,L1527*IFERROR(INDEX(کاتالوگ_محصولات!$G$4:$G$303,MATCH(I1527,کاتالوگ_محصولات!$A$4:$A$303,0)),0))</f>
        <v>0</v>
      </c>
      <c r="AD1527">
        <f t="shared" si="146"/>
        <v>0</v>
      </c>
      <c r="AE1527" t="str">
        <f t="shared" si="147"/>
        <v/>
      </c>
    </row>
    <row r="1528" spans="22:31" ht="18" customHeight="1">
      <c r="V1528">
        <f>IF(A1528="",0,IF(COUNTIF($A$3:A1528,A1528)=1,1,0))</f>
        <v>0</v>
      </c>
      <c r="W1528">
        <f t="shared" si="144"/>
        <v>0</v>
      </c>
      <c r="X1528" t="str">
        <f t="shared" si="145"/>
        <v/>
      </c>
      <c r="Y1528">
        <f>IF(X1528="",0,IF(COUNTIF($X$3:X1528,X1528)=1,1,0))</f>
        <v>0</v>
      </c>
      <c r="Z1528">
        <f>IF(V1528&lt;&gt;1,0,IF(X1528="",0,IF(COUNTIF($X$3:X1527,X1528)&gt;0,1,0)))</f>
        <v>0</v>
      </c>
      <c r="AA1528">
        <f t="shared" si="142"/>
        <v>0</v>
      </c>
      <c r="AB1528">
        <f t="shared" si="143"/>
        <v>0</v>
      </c>
      <c r="AC1528">
        <f>IF(I1528="",0,L1528*IFERROR(INDEX(کاتالوگ_محصولات!$G$4:$G$303,MATCH(I1528,کاتالوگ_محصولات!$A$4:$A$303,0)),0))</f>
        <v>0</v>
      </c>
      <c r="AD1528">
        <f t="shared" si="146"/>
        <v>0</v>
      </c>
      <c r="AE1528" t="str">
        <f t="shared" si="147"/>
        <v/>
      </c>
    </row>
    <row r="1529" spans="22:31" ht="18" customHeight="1">
      <c r="V1529">
        <f>IF(A1529="",0,IF(COUNTIF($A$3:A1529,A1529)=1,1,0))</f>
        <v>0</v>
      </c>
      <c r="W1529">
        <f t="shared" si="144"/>
        <v>0</v>
      </c>
      <c r="X1529" t="str">
        <f t="shared" si="145"/>
        <v/>
      </c>
      <c r="Y1529">
        <f>IF(X1529="",0,IF(COUNTIF($X$3:X1529,X1529)=1,1,0))</f>
        <v>0</v>
      </c>
      <c r="Z1529">
        <f>IF(V1529&lt;&gt;1,0,IF(X1529="",0,IF(COUNTIF($X$3:X1528,X1529)&gt;0,1,0)))</f>
        <v>0</v>
      </c>
      <c r="AA1529">
        <f t="shared" si="142"/>
        <v>0</v>
      </c>
      <c r="AB1529">
        <f t="shared" si="143"/>
        <v>0</v>
      </c>
      <c r="AC1529">
        <f>IF(I1529="",0,L1529*IFERROR(INDEX(کاتالوگ_محصولات!$G$4:$G$303,MATCH(I1529,کاتالوگ_محصولات!$A$4:$A$303,0)),0))</f>
        <v>0</v>
      </c>
      <c r="AD1529">
        <f t="shared" si="146"/>
        <v>0</v>
      </c>
      <c r="AE1529" t="str">
        <f t="shared" si="147"/>
        <v/>
      </c>
    </row>
    <row r="1530" spans="22:31" ht="18" customHeight="1">
      <c r="V1530">
        <f>IF(A1530="",0,IF(COUNTIF($A$3:A1530,A1530)=1,1,0))</f>
        <v>0</v>
      </c>
      <c r="W1530">
        <f t="shared" si="144"/>
        <v>0</v>
      </c>
      <c r="X1530" t="str">
        <f t="shared" si="145"/>
        <v/>
      </c>
      <c r="Y1530">
        <f>IF(X1530="",0,IF(COUNTIF($X$3:X1530,X1530)=1,1,0))</f>
        <v>0</v>
      </c>
      <c r="Z1530">
        <f>IF(V1530&lt;&gt;1,0,IF(X1530="",0,IF(COUNTIF($X$3:X1529,X1530)&gt;0,1,0)))</f>
        <v>0</v>
      </c>
      <c r="AA1530">
        <f t="shared" si="142"/>
        <v>0</v>
      </c>
      <c r="AB1530">
        <f t="shared" si="143"/>
        <v>0</v>
      </c>
      <c r="AC1530">
        <f>IF(I1530="",0,L1530*IFERROR(INDEX(کاتالوگ_محصولات!$G$4:$G$303,MATCH(I1530,کاتالوگ_محصولات!$A$4:$A$303,0)),0))</f>
        <v>0</v>
      </c>
      <c r="AD1530">
        <f t="shared" si="146"/>
        <v>0</v>
      </c>
      <c r="AE1530" t="str">
        <f t="shared" si="147"/>
        <v/>
      </c>
    </row>
    <row r="1531" spans="22:31" ht="18" customHeight="1">
      <c r="V1531">
        <f>IF(A1531="",0,IF(COUNTIF($A$3:A1531,A1531)=1,1,0))</f>
        <v>0</v>
      </c>
      <c r="W1531">
        <f t="shared" si="144"/>
        <v>0</v>
      </c>
      <c r="X1531" t="str">
        <f t="shared" si="145"/>
        <v/>
      </c>
      <c r="Y1531">
        <f>IF(X1531="",0,IF(COUNTIF($X$3:X1531,X1531)=1,1,0))</f>
        <v>0</v>
      </c>
      <c r="Z1531">
        <f>IF(V1531&lt;&gt;1,0,IF(X1531="",0,IF(COUNTIF($X$3:X1530,X1531)&gt;0,1,0)))</f>
        <v>0</v>
      </c>
      <c r="AA1531">
        <f t="shared" si="142"/>
        <v>0</v>
      </c>
      <c r="AB1531">
        <f t="shared" si="143"/>
        <v>0</v>
      </c>
      <c r="AC1531">
        <f>IF(I1531="",0,L1531*IFERROR(INDEX(کاتالوگ_محصولات!$G$4:$G$303,MATCH(I1531,کاتالوگ_محصولات!$A$4:$A$303,0)),0))</f>
        <v>0</v>
      </c>
      <c r="AD1531">
        <f t="shared" si="146"/>
        <v>0</v>
      </c>
      <c r="AE1531" t="str">
        <f t="shared" si="147"/>
        <v/>
      </c>
    </row>
    <row r="1532" spans="22:31" ht="18" customHeight="1">
      <c r="V1532">
        <f>IF(A1532="",0,IF(COUNTIF($A$3:A1532,A1532)=1,1,0))</f>
        <v>0</v>
      </c>
      <c r="W1532">
        <f t="shared" si="144"/>
        <v>0</v>
      </c>
      <c r="X1532" t="str">
        <f t="shared" si="145"/>
        <v/>
      </c>
      <c r="Y1532">
        <f>IF(X1532="",0,IF(COUNTIF($X$3:X1532,X1532)=1,1,0))</f>
        <v>0</v>
      </c>
      <c r="Z1532">
        <f>IF(V1532&lt;&gt;1,0,IF(X1532="",0,IF(COUNTIF($X$3:X1531,X1532)&gt;0,1,0)))</f>
        <v>0</v>
      </c>
      <c r="AA1532">
        <f t="shared" si="142"/>
        <v>0</v>
      </c>
      <c r="AB1532">
        <f t="shared" si="143"/>
        <v>0</v>
      </c>
      <c r="AC1532">
        <f>IF(I1532="",0,L1532*IFERROR(INDEX(کاتالوگ_محصولات!$G$4:$G$303,MATCH(I1532,کاتالوگ_محصولات!$A$4:$A$303,0)),0))</f>
        <v>0</v>
      </c>
      <c r="AD1532">
        <f t="shared" si="146"/>
        <v>0</v>
      </c>
      <c r="AE1532" t="str">
        <f t="shared" si="147"/>
        <v/>
      </c>
    </row>
    <row r="1533" spans="22:31" ht="18" customHeight="1">
      <c r="V1533">
        <f>IF(A1533="",0,IF(COUNTIF($A$3:A1533,A1533)=1,1,0))</f>
        <v>0</v>
      </c>
      <c r="W1533">
        <f t="shared" si="144"/>
        <v>0</v>
      </c>
      <c r="X1533" t="str">
        <f t="shared" si="145"/>
        <v/>
      </c>
      <c r="Y1533">
        <f>IF(X1533="",0,IF(COUNTIF($X$3:X1533,X1533)=1,1,0))</f>
        <v>0</v>
      </c>
      <c r="Z1533">
        <f>IF(V1533&lt;&gt;1,0,IF(X1533="",0,IF(COUNTIF($X$3:X1532,X1533)&gt;0,1,0)))</f>
        <v>0</v>
      </c>
      <c r="AA1533">
        <f t="shared" si="142"/>
        <v>0</v>
      </c>
      <c r="AB1533">
        <f t="shared" si="143"/>
        <v>0</v>
      </c>
      <c r="AC1533">
        <f>IF(I1533="",0,L1533*IFERROR(INDEX(کاتالوگ_محصولات!$G$4:$G$303,MATCH(I1533,کاتالوگ_محصولات!$A$4:$A$303,0)),0))</f>
        <v>0</v>
      </c>
      <c r="AD1533">
        <f t="shared" si="146"/>
        <v>0</v>
      </c>
      <c r="AE1533" t="str">
        <f t="shared" si="147"/>
        <v/>
      </c>
    </row>
    <row r="1534" spans="22:31" ht="18" customHeight="1">
      <c r="V1534">
        <f>IF(A1534="",0,IF(COUNTIF($A$3:A1534,A1534)=1,1,0))</f>
        <v>0</v>
      </c>
      <c r="W1534">
        <f t="shared" si="144"/>
        <v>0</v>
      </c>
      <c r="X1534" t="str">
        <f t="shared" si="145"/>
        <v/>
      </c>
      <c r="Y1534">
        <f>IF(X1534="",0,IF(COUNTIF($X$3:X1534,X1534)=1,1,0))</f>
        <v>0</v>
      </c>
      <c r="Z1534">
        <f>IF(V1534&lt;&gt;1,0,IF(X1534="",0,IF(COUNTIF($X$3:X1533,X1534)&gt;0,1,0)))</f>
        <v>0</v>
      </c>
      <c r="AA1534">
        <f t="shared" si="142"/>
        <v>0</v>
      </c>
      <c r="AB1534">
        <f t="shared" si="143"/>
        <v>0</v>
      </c>
      <c r="AC1534">
        <f>IF(I1534="",0,L1534*IFERROR(INDEX(کاتالوگ_محصولات!$G$4:$G$303,MATCH(I1534,کاتالوگ_محصولات!$A$4:$A$303,0)),0))</f>
        <v>0</v>
      </c>
      <c r="AD1534">
        <f t="shared" si="146"/>
        <v>0</v>
      </c>
      <c r="AE1534" t="str">
        <f t="shared" si="147"/>
        <v/>
      </c>
    </row>
    <row r="1535" spans="22:31" ht="18" customHeight="1">
      <c r="V1535">
        <f>IF(A1535="",0,IF(COUNTIF($A$3:A1535,A1535)=1,1,0))</f>
        <v>0</v>
      </c>
      <c r="W1535">
        <f t="shared" si="144"/>
        <v>0</v>
      </c>
      <c r="X1535" t="str">
        <f t="shared" si="145"/>
        <v/>
      </c>
      <c r="Y1535">
        <f>IF(X1535="",0,IF(COUNTIF($X$3:X1535,X1535)=1,1,0))</f>
        <v>0</v>
      </c>
      <c r="Z1535">
        <f>IF(V1535&lt;&gt;1,0,IF(X1535="",0,IF(COUNTIF($X$3:X1534,X1535)&gt;0,1,0)))</f>
        <v>0</v>
      </c>
      <c r="AA1535">
        <f t="shared" si="142"/>
        <v>0</v>
      </c>
      <c r="AB1535">
        <f t="shared" si="143"/>
        <v>0</v>
      </c>
      <c r="AC1535">
        <f>IF(I1535="",0,L1535*IFERROR(INDEX(کاتالوگ_محصولات!$G$4:$G$303,MATCH(I1535,کاتالوگ_محصولات!$A$4:$A$303,0)),0))</f>
        <v>0</v>
      </c>
      <c r="AD1535">
        <f t="shared" si="146"/>
        <v>0</v>
      </c>
      <c r="AE1535" t="str">
        <f t="shared" si="147"/>
        <v/>
      </c>
    </row>
    <row r="1536" spans="22:31" ht="18" customHeight="1">
      <c r="V1536">
        <f>IF(A1536="",0,IF(COUNTIF($A$3:A1536,A1536)=1,1,0))</f>
        <v>0</v>
      </c>
      <c r="W1536">
        <f t="shared" si="144"/>
        <v>0</v>
      </c>
      <c r="X1536" t="str">
        <f t="shared" si="145"/>
        <v/>
      </c>
      <c r="Y1536">
        <f>IF(X1536="",0,IF(COUNTIF($X$3:X1536,X1536)=1,1,0))</f>
        <v>0</v>
      </c>
      <c r="Z1536">
        <f>IF(V1536&lt;&gt;1,0,IF(X1536="",0,IF(COUNTIF($X$3:X1535,X1536)&gt;0,1,0)))</f>
        <v>0</v>
      </c>
      <c r="AA1536">
        <f t="shared" si="142"/>
        <v>0</v>
      </c>
      <c r="AB1536">
        <f t="shared" si="143"/>
        <v>0</v>
      </c>
      <c r="AC1536">
        <f>IF(I1536="",0,L1536*IFERROR(INDEX(کاتالوگ_محصولات!$G$4:$G$303,MATCH(I1536,کاتالوگ_محصولات!$A$4:$A$303,0)),0))</f>
        <v>0</v>
      </c>
      <c r="AD1536">
        <f t="shared" si="146"/>
        <v>0</v>
      </c>
      <c r="AE1536" t="str">
        <f t="shared" si="147"/>
        <v/>
      </c>
    </row>
    <row r="1537" spans="22:31" ht="18" customHeight="1">
      <c r="V1537">
        <f>IF(A1537="",0,IF(COUNTIF($A$3:A1537,A1537)=1,1,0))</f>
        <v>0</v>
      </c>
      <c r="W1537">
        <f t="shared" si="144"/>
        <v>0</v>
      </c>
      <c r="X1537" t="str">
        <f t="shared" si="145"/>
        <v/>
      </c>
      <c r="Y1537">
        <f>IF(X1537="",0,IF(COUNTIF($X$3:X1537,X1537)=1,1,0))</f>
        <v>0</v>
      </c>
      <c r="Z1537">
        <f>IF(V1537&lt;&gt;1,0,IF(X1537="",0,IF(COUNTIF($X$3:X1536,X1537)&gt;0,1,0)))</f>
        <v>0</v>
      </c>
      <c r="AA1537">
        <f t="shared" si="142"/>
        <v>0</v>
      </c>
      <c r="AB1537">
        <f t="shared" si="143"/>
        <v>0</v>
      </c>
      <c r="AC1537">
        <f>IF(I1537="",0,L1537*IFERROR(INDEX(کاتالوگ_محصولات!$G$4:$G$303,MATCH(I1537,کاتالوگ_محصولات!$A$4:$A$303,0)),0))</f>
        <v>0</v>
      </c>
      <c r="AD1537">
        <f t="shared" si="146"/>
        <v>0</v>
      </c>
      <c r="AE1537" t="str">
        <f t="shared" si="147"/>
        <v/>
      </c>
    </row>
    <row r="1538" spans="22:31" ht="18" customHeight="1">
      <c r="V1538">
        <f>IF(A1538="",0,IF(COUNTIF($A$3:A1538,A1538)=1,1,0))</f>
        <v>0</v>
      </c>
      <c r="W1538">
        <f t="shared" si="144"/>
        <v>0</v>
      </c>
      <c r="X1538" t="str">
        <f t="shared" si="145"/>
        <v/>
      </c>
      <c r="Y1538">
        <f>IF(X1538="",0,IF(COUNTIF($X$3:X1538,X1538)=1,1,0))</f>
        <v>0</v>
      </c>
      <c r="Z1538">
        <f>IF(V1538&lt;&gt;1,0,IF(X1538="",0,IF(COUNTIF($X$3:X1537,X1538)&gt;0,1,0)))</f>
        <v>0</v>
      </c>
      <c r="AA1538">
        <f t="shared" si="142"/>
        <v>0</v>
      </c>
      <c r="AB1538">
        <f t="shared" si="143"/>
        <v>0</v>
      </c>
      <c r="AC1538">
        <f>IF(I1538="",0,L1538*IFERROR(INDEX(کاتالوگ_محصولات!$G$4:$G$303,MATCH(I1538,کاتالوگ_محصولات!$A$4:$A$303,0)),0))</f>
        <v>0</v>
      </c>
      <c r="AD1538">
        <f t="shared" si="146"/>
        <v>0</v>
      </c>
      <c r="AE1538" t="str">
        <f t="shared" si="147"/>
        <v/>
      </c>
    </row>
    <row r="1539" spans="22:31" ht="18" customHeight="1">
      <c r="V1539">
        <f>IF(A1539="",0,IF(COUNTIF($A$3:A1539,A1539)=1,1,0))</f>
        <v>0</v>
      </c>
      <c r="W1539">
        <f t="shared" si="144"/>
        <v>0</v>
      </c>
      <c r="X1539" t="str">
        <f t="shared" si="145"/>
        <v/>
      </c>
      <c r="Y1539">
        <f>IF(X1539="",0,IF(COUNTIF($X$3:X1539,X1539)=1,1,0))</f>
        <v>0</v>
      </c>
      <c r="Z1539">
        <f>IF(V1539&lt;&gt;1,0,IF(X1539="",0,IF(COUNTIF($X$3:X1538,X1539)&gt;0,1,0)))</f>
        <v>0</v>
      </c>
      <c r="AA1539">
        <f t="shared" ref="AA1539:AA1602" si="148">IF(V1539=1,SUMIF($A$3:$A$1622,A1539,$O$3:$O$1622),0)</f>
        <v>0</v>
      </c>
      <c r="AB1539">
        <f t="shared" ref="AB1539:AB1602" si="149">IF(V1539=1,SUMIF($A$3:$A$1622,A1539,$L$3:$L$1622),0)</f>
        <v>0</v>
      </c>
      <c r="AC1539">
        <f>IF(I1539="",0,L1539*IFERROR(INDEX(کاتالوگ_محصولات!$G$4:$G$303,MATCH(I1539,کاتالوگ_محصولات!$A$4:$A$303,0)),0))</f>
        <v>0</v>
      </c>
      <c r="AD1539">
        <f t="shared" si="146"/>
        <v>0</v>
      </c>
      <c r="AE1539" t="str">
        <f t="shared" si="147"/>
        <v/>
      </c>
    </row>
    <row r="1540" spans="22:31" ht="18" customHeight="1">
      <c r="V1540">
        <f>IF(A1540="",0,IF(COUNTIF($A$3:A1540,A1540)=1,1,0))</f>
        <v>0</v>
      </c>
      <c r="W1540">
        <f t="shared" si="144"/>
        <v>0</v>
      </c>
      <c r="X1540" t="str">
        <f t="shared" si="145"/>
        <v/>
      </c>
      <c r="Y1540">
        <f>IF(X1540="",0,IF(COUNTIF($X$3:X1540,X1540)=1,1,0))</f>
        <v>0</v>
      </c>
      <c r="Z1540">
        <f>IF(V1540&lt;&gt;1,0,IF(X1540="",0,IF(COUNTIF($X$3:X1539,X1540)&gt;0,1,0)))</f>
        <v>0</v>
      </c>
      <c r="AA1540">
        <f t="shared" si="148"/>
        <v>0</v>
      </c>
      <c r="AB1540">
        <f t="shared" si="149"/>
        <v>0</v>
      </c>
      <c r="AC1540">
        <f>IF(I1540="",0,L1540*IFERROR(INDEX(کاتالوگ_محصولات!$G$4:$G$303,MATCH(I1540,کاتالوگ_محصولات!$A$4:$A$303,0)),0))</f>
        <v>0</v>
      </c>
      <c r="AD1540">
        <f t="shared" si="146"/>
        <v>0</v>
      </c>
      <c r="AE1540" t="str">
        <f t="shared" si="147"/>
        <v/>
      </c>
    </row>
    <row r="1541" spans="22:31" ht="18" customHeight="1">
      <c r="V1541">
        <f>IF(A1541="",0,IF(COUNTIF($A$3:A1541,A1541)=1,1,0))</f>
        <v>0</v>
      </c>
      <c r="W1541">
        <f t="shared" si="144"/>
        <v>0</v>
      </c>
      <c r="X1541" t="str">
        <f t="shared" si="145"/>
        <v/>
      </c>
      <c r="Y1541">
        <f>IF(X1541="",0,IF(COUNTIF($X$3:X1541,X1541)=1,1,0))</f>
        <v>0</v>
      </c>
      <c r="Z1541">
        <f>IF(V1541&lt;&gt;1,0,IF(X1541="",0,IF(COUNTIF($X$3:X1540,X1541)&gt;0,1,0)))</f>
        <v>0</v>
      </c>
      <c r="AA1541">
        <f t="shared" si="148"/>
        <v>0</v>
      </c>
      <c r="AB1541">
        <f t="shared" si="149"/>
        <v>0</v>
      </c>
      <c r="AC1541">
        <f>IF(I1541="",0,L1541*IFERROR(INDEX(کاتالوگ_محصولات!$G$4:$G$303,MATCH(I1541,کاتالوگ_محصولات!$A$4:$A$303,0)),0))</f>
        <v>0</v>
      </c>
      <c r="AD1541">
        <f t="shared" si="146"/>
        <v>0</v>
      </c>
      <c r="AE1541" t="str">
        <f t="shared" si="147"/>
        <v/>
      </c>
    </row>
    <row r="1542" spans="22:31" ht="18" customHeight="1">
      <c r="V1542">
        <f>IF(A1542="",0,IF(COUNTIF($A$3:A1542,A1542)=1,1,0))</f>
        <v>0</v>
      </c>
      <c r="W1542">
        <f t="shared" si="144"/>
        <v>0</v>
      </c>
      <c r="X1542" t="str">
        <f t="shared" si="145"/>
        <v/>
      </c>
      <c r="Y1542">
        <f>IF(X1542="",0,IF(COUNTIF($X$3:X1542,X1542)=1,1,0))</f>
        <v>0</v>
      </c>
      <c r="Z1542">
        <f>IF(V1542&lt;&gt;1,0,IF(X1542="",0,IF(COUNTIF($X$3:X1541,X1542)&gt;0,1,0)))</f>
        <v>0</v>
      </c>
      <c r="AA1542">
        <f t="shared" si="148"/>
        <v>0</v>
      </c>
      <c r="AB1542">
        <f t="shared" si="149"/>
        <v>0</v>
      </c>
      <c r="AC1542">
        <f>IF(I1542="",0,L1542*IFERROR(INDEX(کاتالوگ_محصولات!$G$4:$G$303,MATCH(I1542,کاتالوگ_محصولات!$A$4:$A$303,0)),0))</f>
        <v>0</v>
      </c>
      <c r="AD1542">
        <f t="shared" si="146"/>
        <v>0</v>
      </c>
      <c r="AE1542" t="str">
        <f t="shared" si="147"/>
        <v/>
      </c>
    </row>
    <row r="1543" spans="22:31" ht="18" customHeight="1">
      <c r="V1543">
        <f>IF(A1543="",0,IF(COUNTIF($A$3:A1543,A1543)=1,1,0))</f>
        <v>0</v>
      </c>
      <c r="W1543">
        <f t="shared" si="144"/>
        <v>0</v>
      </c>
      <c r="X1543" t="str">
        <f t="shared" si="145"/>
        <v/>
      </c>
      <c r="Y1543">
        <f>IF(X1543="",0,IF(COUNTIF($X$3:X1543,X1543)=1,1,0))</f>
        <v>0</v>
      </c>
      <c r="Z1543">
        <f>IF(V1543&lt;&gt;1,0,IF(X1543="",0,IF(COUNTIF($X$3:X1542,X1543)&gt;0,1,0)))</f>
        <v>0</v>
      </c>
      <c r="AA1543">
        <f t="shared" si="148"/>
        <v>0</v>
      </c>
      <c r="AB1543">
        <f t="shared" si="149"/>
        <v>0</v>
      </c>
      <c r="AC1543">
        <f>IF(I1543="",0,L1543*IFERROR(INDEX(کاتالوگ_محصولات!$G$4:$G$303,MATCH(I1543,کاتالوگ_محصولات!$A$4:$A$303,0)),0))</f>
        <v>0</v>
      </c>
      <c r="AD1543">
        <f t="shared" si="146"/>
        <v>0</v>
      </c>
      <c r="AE1543" t="str">
        <f t="shared" si="147"/>
        <v/>
      </c>
    </row>
    <row r="1544" spans="22:31" ht="18" customHeight="1">
      <c r="V1544">
        <f>IF(A1544="",0,IF(COUNTIF($A$3:A1544,A1544)=1,1,0))</f>
        <v>0</v>
      </c>
      <c r="W1544">
        <f t="shared" si="144"/>
        <v>0</v>
      </c>
      <c r="X1544" t="str">
        <f t="shared" si="145"/>
        <v/>
      </c>
      <c r="Y1544">
        <f>IF(X1544="",0,IF(COUNTIF($X$3:X1544,X1544)=1,1,0))</f>
        <v>0</v>
      </c>
      <c r="Z1544">
        <f>IF(V1544&lt;&gt;1,0,IF(X1544="",0,IF(COUNTIF($X$3:X1543,X1544)&gt;0,1,0)))</f>
        <v>0</v>
      </c>
      <c r="AA1544">
        <f t="shared" si="148"/>
        <v>0</v>
      </c>
      <c r="AB1544">
        <f t="shared" si="149"/>
        <v>0</v>
      </c>
      <c r="AC1544">
        <f>IF(I1544="",0,L1544*IFERROR(INDEX(کاتالوگ_محصولات!$G$4:$G$303,MATCH(I1544,کاتالوگ_محصولات!$A$4:$A$303,0)),0))</f>
        <v>0</v>
      </c>
      <c r="AD1544">
        <f t="shared" si="146"/>
        <v>0</v>
      </c>
      <c r="AE1544" t="str">
        <f t="shared" si="147"/>
        <v/>
      </c>
    </row>
    <row r="1545" spans="22:31" ht="18" customHeight="1">
      <c r="V1545">
        <f>IF(A1545="",0,IF(COUNTIF($A$3:A1545,A1545)=1,1,0))</f>
        <v>0</v>
      </c>
      <c r="W1545">
        <f t="shared" ref="W1545:W1608" si="150">IF(A1545="",0,L1545*M1545)</f>
        <v>0</v>
      </c>
      <c r="X1545" t="str">
        <f t="shared" ref="X1545:X1608" si="151">IF(R1545&lt;&gt;"",R1545,IF(AND(P1545&lt;&gt;"",Q1545&lt;&gt;""),P1545&amp;"|"&amp;Q1545,""))</f>
        <v/>
      </c>
      <c r="Y1545">
        <f>IF(X1545="",0,IF(COUNTIF($X$3:X1545,X1545)=1,1,0))</f>
        <v>0</v>
      </c>
      <c r="Z1545">
        <f>IF(V1545&lt;&gt;1,0,IF(X1545="",0,IF(COUNTIF($X$3:X1544,X1545)&gt;0,1,0)))</f>
        <v>0</v>
      </c>
      <c r="AA1545">
        <f t="shared" si="148"/>
        <v>0</v>
      </c>
      <c r="AB1545">
        <f t="shared" si="149"/>
        <v>0</v>
      </c>
      <c r="AC1545">
        <f>IF(I1545="",0,L1545*IFERROR(INDEX(کاتالوگ_محصولات!$G$4:$G$303,MATCH(I1545,کاتالوگ_محصولات!$A$4:$A$303,0)),0))</f>
        <v>0</v>
      </c>
      <c r="AD1545">
        <f t="shared" ref="AD1545:AD1608" si="152">IF(A1545="",0,O1545-AC1545)</f>
        <v>0</v>
      </c>
      <c r="AE1545" t="str">
        <f t="shared" ref="AE1545:AE1608" si="153">IF(B1545="","",LEFT(B1545,7))</f>
        <v/>
      </c>
    </row>
    <row r="1546" spans="22:31" ht="18" customHeight="1">
      <c r="V1546">
        <f>IF(A1546="",0,IF(COUNTIF($A$3:A1546,A1546)=1,1,0))</f>
        <v>0</v>
      </c>
      <c r="W1546">
        <f t="shared" si="150"/>
        <v>0</v>
      </c>
      <c r="X1546" t="str">
        <f t="shared" si="151"/>
        <v/>
      </c>
      <c r="Y1546">
        <f>IF(X1546="",0,IF(COUNTIF($X$3:X1546,X1546)=1,1,0))</f>
        <v>0</v>
      </c>
      <c r="Z1546">
        <f>IF(V1546&lt;&gt;1,0,IF(X1546="",0,IF(COUNTIF($X$3:X1545,X1546)&gt;0,1,0)))</f>
        <v>0</v>
      </c>
      <c r="AA1546">
        <f t="shared" si="148"/>
        <v>0</v>
      </c>
      <c r="AB1546">
        <f t="shared" si="149"/>
        <v>0</v>
      </c>
      <c r="AC1546">
        <f>IF(I1546="",0,L1546*IFERROR(INDEX(کاتالوگ_محصولات!$G$4:$G$303,MATCH(I1546,کاتالوگ_محصولات!$A$4:$A$303,0)),0))</f>
        <v>0</v>
      </c>
      <c r="AD1546">
        <f t="shared" si="152"/>
        <v>0</v>
      </c>
      <c r="AE1546" t="str">
        <f t="shared" si="153"/>
        <v/>
      </c>
    </row>
    <row r="1547" spans="22:31" ht="18" customHeight="1">
      <c r="V1547">
        <f>IF(A1547="",0,IF(COUNTIF($A$3:A1547,A1547)=1,1,0))</f>
        <v>0</v>
      </c>
      <c r="W1547">
        <f t="shared" si="150"/>
        <v>0</v>
      </c>
      <c r="X1547" t="str">
        <f t="shared" si="151"/>
        <v/>
      </c>
      <c r="Y1547">
        <f>IF(X1547="",0,IF(COUNTIF($X$3:X1547,X1547)=1,1,0))</f>
        <v>0</v>
      </c>
      <c r="Z1547">
        <f>IF(V1547&lt;&gt;1,0,IF(X1547="",0,IF(COUNTIF($X$3:X1546,X1547)&gt;0,1,0)))</f>
        <v>0</v>
      </c>
      <c r="AA1547">
        <f t="shared" si="148"/>
        <v>0</v>
      </c>
      <c r="AB1547">
        <f t="shared" si="149"/>
        <v>0</v>
      </c>
      <c r="AC1547">
        <f>IF(I1547="",0,L1547*IFERROR(INDEX(کاتالوگ_محصولات!$G$4:$G$303,MATCH(I1547,کاتالوگ_محصولات!$A$4:$A$303,0)),0))</f>
        <v>0</v>
      </c>
      <c r="AD1547">
        <f t="shared" si="152"/>
        <v>0</v>
      </c>
      <c r="AE1547" t="str">
        <f t="shared" si="153"/>
        <v/>
      </c>
    </row>
    <row r="1548" spans="22:31" ht="18" customHeight="1">
      <c r="V1548">
        <f>IF(A1548="",0,IF(COUNTIF($A$3:A1548,A1548)=1,1,0))</f>
        <v>0</v>
      </c>
      <c r="W1548">
        <f t="shared" si="150"/>
        <v>0</v>
      </c>
      <c r="X1548" t="str">
        <f t="shared" si="151"/>
        <v/>
      </c>
      <c r="Y1548">
        <f>IF(X1548="",0,IF(COUNTIF($X$3:X1548,X1548)=1,1,0))</f>
        <v>0</v>
      </c>
      <c r="Z1548">
        <f>IF(V1548&lt;&gt;1,0,IF(X1548="",0,IF(COUNTIF($X$3:X1547,X1548)&gt;0,1,0)))</f>
        <v>0</v>
      </c>
      <c r="AA1548">
        <f t="shared" si="148"/>
        <v>0</v>
      </c>
      <c r="AB1548">
        <f t="shared" si="149"/>
        <v>0</v>
      </c>
      <c r="AC1548">
        <f>IF(I1548="",0,L1548*IFERROR(INDEX(کاتالوگ_محصولات!$G$4:$G$303,MATCH(I1548,کاتالوگ_محصولات!$A$4:$A$303,0)),0))</f>
        <v>0</v>
      </c>
      <c r="AD1548">
        <f t="shared" si="152"/>
        <v>0</v>
      </c>
      <c r="AE1548" t="str">
        <f t="shared" si="153"/>
        <v/>
      </c>
    </row>
    <row r="1549" spans="22:31" ht="18" customHeight="1">
      <c r="V1549">
        <f>IF(A1549="",0,IF(COUNTIF($A$3:A1549,A1549)=1,1,0))</f>
        <v>0</v>
      </c>
      <c r="W1549">
        <f t="shared" si="150"/>
        <v>0</v>
      </c>
      <c r="X1549" t="str">
        <f t="shared" si="151"/>
        <v/>
      </c>
      <c r="Y1549">
        <f>IF(X1549="",0,IF(COUNTIF($X$3:X1549,X1549)=1,1,0))</f>
        <v>0</v>
      </c>
      <c r="Z1549">
        <f>IF(V1549&lt;&gt;1,0,IF(X1549="",0,IF(COUNTIF($X$3:X1548,X1549)&gt;0,1,0)))</f>
        <v>0</v>
      </c>
      <c r="AA1549">
        <f t="shared" si="148"/>
        <v>0</v>
      </c>
      <c r="AB1549">
        <f t="shared" si="149"/>
        <v>0</v>
      </c>
      <c r="AC1549">
        <f>IF(I1549="",0,L1549*IFERROR(INDEX(کاتالوگ_محصولات!$G$4:$G$303,MATCH(I1549,کاتالوگ_محصولات!$A$4:$A$303,0)),0))</f>
        <v>0</v>
      </c>
      <c r="AD1549">
        <f t="shared" si="152"/>
        <v>0</v>
      </c>
      <c r="AE1549" t="str">
        <f t="shared" si="153"/>
        <v/>
      </c>
    </row>
    <row r="1550" spans="22:31" ht="18" customHeight="1">
      <c r="V1550">
        <f>IF(A1550="",0,IF(COUNTIF($A$3:A1550,A1550)=1,1,0))</f>
        <v>0</v>
      </c>
      <c r="W1550">
        <f t="shared" si="150"/>
        <v>0</v>
      </c>
      <c r="X1550" t="str">
        <f t="shared" si="151"/>
        <v/>
      </c>
      <c r="Y1550">
        <f>IF(X1550="",0,IF(COUNTIF($X$3:X1550,X1550)=1,1,0))</f>
        <v>0</v>
      </c>
      <c r="Z1550">
        <f>IF(V1550&lt;&gt;1,0,IF(X1550="",0,IF(COUNTIF($X$3:X1549,X1550)&gt;0,1,0)))</f>
        <v>0</v>
      </c>
      <c r="AA1550">
        <f t="shared" si="148"/>
        <v>0</v>
      </c>
      <c r="AB1550">
        <f t="shared" si="149"/>
        <v>0</v>
      </c>
      <c r="AC1550">
        <f>IF(I1550="",0,L1550*IFERROR(INDEX(کاتالوگ_محصولات!$G$4:$G$303,MATCH(I1550,کاتالوگ_محصولات!$A$4:$A$303,0)),0))</f>
        <v>0</v>
      </c>
      <c r="AD1550">
        <f t="shared" si="152"/>
        <v>0</v>
      </c>
      <c r="AE1550" t="str">
        <f t="shared" si="153"/>
        <v/>
      </c>
    </row>
    <row r="1551" spans="22:31" ht="18" customHeight="1">
      <c r="V1551">
        <f>IF(A1551="",0,IF(COUNTIF($A$3:A1551,A1551)=1,1,0))</f>
        <v>0</v>
      </c>
      <c r="W1551">
        <f t="shared" si="150"/>
        <v>0</v>
      </c>
      <c r="X1551" t="str">
        <f t="shared" si="151"/>
        <v/>
      </c>
      <c r="Y1551">
        <f>IF(X1551="",0,IF(COUNTIF($X$3:X1551,X1551)=1,1,0))</f>
        <v>0</v>
      </c>
      <c r="Z1551">
        <f>IF(V1551&lt;&gt;1,0,IF(X1551="",0,IF(COUNTIF($X$3:X1550,X1551)&gt;0,1,0)))</f>
        <v>0</v>
      </c>
      <c r="AA1551">
        <f t="shared" si="148"/>
        <v>0</v>
      </c>
      <c r="AB1551">
        <f t="shared" si="149"/>
        <v>0</v>
      </c>
      <c r="AC1551">
        <f>IF(I1551="",0,L1551*IFERROR(INDEX(کاتالوگ_محصولات!$G$4:$G$303,MATCH(I1551,کاتالوگ_محصولات!$A$4:$A$303,0)),0))</f>
        <v>0</v>
      </c>
      <c r="AD1551">
        <f t="shared" si="152"/>
        <v>0</v>
      </c>
      <c r="AE1551" t="str">
        <f t="shared" si="153"/>
        <v/>
      </c>
    </row>
    <row r="1552" spans="22:31" ht="18" customHeight="1">
      <c r="V1552">
        <f>IF(A1552="",0,IF(COUNTIF($A$3:A1552,A1552)=1,1,0))</f>
        <v>0</v>
      </c>
      <c r="W1552">
        <f t="shared" si="150"/>
        <v>0</v>
      </c>
      <c r="X1552" t="str">
        <f t="shared" si="151"/>
        <v/>
      </c>
      <c r="Y1552">
        <f>IF(X1552="",0,IF(COUNTIF($X$3:X1552,X1552)=1,1,0))</f>
        <v>0</v>
      </c>
      <c r="Z1552">
        <f>IF(V1552&lt;&gt;1,0,IF(X1552="",0,IF(COUNTIF($X$3:X1551,X1552)&gt;0,1,0)))</f>
        <v>0</v>
      </c>
      <c r="AA1552">
        <f t="shared" si="148"/>
        <v>0</v>
      </c>
      <c r="AB1552">
        <f t="shared" si="149"/>
        <v>0</v>
      </c>
      <c r="AC1552">
        <f>IF(I1552="",0,L1552*IFERROR(INDEX(کاتالوگ_محصولات!$G$4:$G$303,MATCH(I1552,کاتالوگ_محصولات!$A$4:$A$303,0)),0))</f>
        <v>0</v>
      </c>
      <c r="AD1552">
        <f t="shared" si="152"/>
        <v>0</v>
      </c>
      <c r="AE1552" t="str">
        <f t="shared" si="153"/>
        <v/>
      </c>
    </row>
    <row r="1553" spans="22:31" ht="18" customHeight="1">
      <c r="V1553">
        <f>IF(A1553="",0,IF(COUNTIF($A$3:A1553,A1553)=1,1,0))</f>
        <v>0</v>
      </c>
      <c r="W1553">
        <f t="shared" si="150"/>
        <v>0</v>
      </c>
      <c r="X1553" t="str">
        <f t="shared" si="151"/>
        <v/>
      </c>
      <c r="Y1553">
        <f>IF(X1553="",0,IF(COUNTIF($X$3:X1553,X1553)=1,1,0))</f>
        <v>0</v>
      </c>
      <c r="Z1553">
        <f>IF(V1553&lt;&gt;1,0,IF(X1553="",0,IF(COUNTIF($X$3:X1552,X1553)&gt;0,1,0)))</f>
        <v>0</v>
      </c>
      <c r="AA1553">
        <f t="shared" si="148"/>
        <v>0</v>
      </c>
      <c r="AB1553">
        <f t="shared" si="149"/>
        <v>0</v>
      </c>
      <c r="AC1553">
        <f>IF(I1553="",0,L1553*IFERROR(INDEX(کاتالوگ_محصولات!$G$4:$G$303,MATCH(I1553,کاتالوگ_محصولات!$A$4:$A$303,0)),0))</f>
        <v>0</v>
      </c>
      <c r="AD1553">
        <f t="shared" si="152"/>
        <v>0</v>
      </c>
      <c r="AE1553" t="str">
        <f t="shared" si="153"/>
        <v/>
      </c>
    </row>
    <row r="1554" spans="22:31" ht="18" customHeight="1">
      <c r="V1554">
        <f>IF(A1554="",0,IF(COUNTIF($A$3:A1554,A1554)=1,1,0))</f>
        <v>0</v>
      </c>
      <c r="W1554">
        <f t="shared" si="150"/>
        <v>0</v>
      </c>
      <c r="X1554" t="str">
        <f t="shared" si="151"/>
        <v/>
      </c>
      <c r="Y1554">
        <f>IF(X1554="",0,IF(COUNTIF($X$3:X1554,X1554)=1,1,0))</f>
        <v>0</v>
      </c>
      <c r="Z1554">
        <f>IF(V1554&lt;&gt;1,0,IF(X1554="",0,IF(COUNTIF($X$3:X1553,X1554)&gt;0,1,0)))</f>
        <v>0</v>
      </c>
      <c r="AA1554">
        <f t="shared" si="148"/>
        <v>0</v>
      </c>
      <c r="AB1554">
        <f t="shared" si="149"/>
        <v>0</v>
      </c>
      <c r="AC1554">
        <f>IF(I1554="",0,L1554*IFERROR(INDEX(کاتالوگ_محصولات!$G$4:$G$303,MATCH(I1554,کاتالوگ_محصولات!$A$4:$A$303,0)),0))</f>
        <v>0</v>
      </c>
      <c r="AD1554">
        <f t="shared" si="152"/>
        <v>0</v>
      </c>
      <c r="AE1554" t="str">
        <f t="shared" si="153"/>
        <v/>
      </c>
    </row>
    <row r="1555" spans="22:31" ht="18" customHeight="1">
      <c r="V1555">
        <f>IF(A1555="",0,IF(COUNTIF($A$3:A1555,A1555)=1,1,0))</f>
        <v>0</v>
      </c>
      <c r="W1555">
        <f t="shared" si="150"/>
        <v>0</v>
      </c>
      <c r="X1555" t="str">
        <f t="shared" si="151"/>
        <v/>
      </c>
      <c r="Y1555">
        <f>IF(X1555="",0,IF(COUNTIF($X$3:X1555,X1555)=1,1,0))</f>
        <v>0</v>
      </c>
      <c r="Z1555">
        <f>IF(V1555&lt;&gt;1,0,IF(X1555="",0,IF(COUNTIF($X$3:X1554,X1555)&gt;0,1,0)))</f>
        <v>0</v>
      </c>
      <c r="AA1555">
        <f t="shared" si="148"/>
        <v>0</v>
      </c>
      <c r="AB1555">
        <f t="shared" si="149"/>
        <v>0</v>
      </c>
      <c r="AC1555">
        <f>IF(I1555="",0,L1555*IFERROR(INDEX(کاتالوگ_محصولات!$G$4:$G$303,MATCH(I1555,کاتالوگ_محصولات!$A$4:$A$303,0)),0))</f>
        <v>0</v>
      </c>
      <c r="AD1555">
        <f t="shared" si="152"/>
        <v>0</v>
      </c>
      <c r="AE1555" t="str">
        <f t="shared" si="153"/>
        <v/>
      </c>
    </row>
    <row r="1556" spans="22:31" ht="18" customHeight="1">
      <c r="V1556">
        <f>IF(A1556="",0,IF(COUNTIF($A$3:A1556,A1556)=1,1,0))</f>
        <v>0</v>
      </c>
      <c r="W1556">
        <f t="shared" si="150"/>
        <v>0</v>
      </c>
      <c r="X1556" t="str">
        <f t="shared" si="151"/>
        <v/>
      </c>
      <c r="Y1556">
        <f>IF(X1556="",0,IF(COUNTIF($X$3:X1556,X1556)=1,1,0))</f>
        <v>0</v>
      </c>
      <c r="Z1556">
        <f>IF(V1556&lt;&gt;1,0,IF(X1556="",0,IF(COUNTIF($X$3:X1555,X1556)&gt;0,1,0)))</f>
        <v>0</v>
      </c>
      <c r="AA1556">
        <f t="shared" si="148"/>
        <v>0</v>
      </c>
      <c r="AB1556">
        <f t="shared" si="149"/>
        <v>0</v>
      </c>
      <c r="AC1556">
        <f>IF(I1556="",0,L1556*IFERROR(INDEX(کاتالوگ_محصولات!$G$4:$G$303,MATCH(I1556,کاتالوگ_محصولات!$A$4:$A$303,0)),0))</f>
        <v>0</v>
      </c>
      <c r="AD1556">
        <f t="shared" si="152"/>
        <v>0</v>
      </c>
      <c r="AE1556" t="str">
        <f t="shared" si="153"/>
        <v/>
      </c>
    </row>
    <row r="1557" spans="22:31" ht="18" customHeight="1">
      <c r="V1557">
        <f>IF(A1557="",0,IF(COUNTIF($A$3:A1557,A1557)=1,1,0))</f>
        <v>0</v>
      </c>
      <c r="W1557">
        <f t="shared" si="150"/>
        <v>0</v>
      </c>
      <c r="X1557" t="str">
        <f t="shared" si="151"/>
        <v/>
      </c>
      <c r="Y1557">
        <f>IF(X1557="",0,IF(COUNTIF($X$3:X1557,X1557)=1,1,0))</f>
        <v>0</v>
      </c>
      <c r="Z1557">
        <f>IF(V1557&lt;&gt;1,0,IF(X1557="",0,IF(COUNTIF($X$3:X1556,X1557)&gt;0,1,0)))</f>
        <v>0</v>
      </c>
      <c r="AA1557">
        <f t="shared" si="148"/>
        <v>0</v>
      </c>
      <c r="AB1557">
        <f t="shared" si="149"/>
        <v>0</v>
      </c>
      <c r="AC1557">
        <f>IF(I1557="",0,L1557*IFERROR(INDEX(کاتالوگ_محصولات!$G$4:$G$303,MATCH(I1557,کاتالوگ_محصولات!$A$4:$A$303,0)),0))</f>
        <v>0</v>
      </c>
      <c r="AD1557">
        <f t="shared" si="152"/>
        <v>0</v>
      </c>
      <c r="AE1557" t="str">
        <f t="shared" si="153"/>
        <v/>
      </c>
    </row>
    <row r="1558" spans="22:31" ht="18" customHeight="1">
      <c r="V1558">
        <f>IF(A1558="",0,IF(COUNTIF($A$3:A1558,A1558)=1,1,0))</f>
        <v>0</v>
      </c>
      <c r="W1558">
        <f t="shared" si="150"/>
        <v>0</v>
      </c>
      <c r="X1558" t="str">
        <f t="shared" si="151"/>
        <v/>
      </c>
      <c r="Y1558">
        <f>IF(X1558="",0,IF(COUNTIF($X$3:X1558,X1558)=1,1,0))</f>
        <v>0</v>
      </c>
      <c r="Z1558">
        <f>IF(V1558&lt;&gt;1,0,IF(X1558="",0,IF(COUNTIF($X$3:X1557,X1558)&gt;0,1,0)))</f>
        <v>0</v>
      </c>
      <c r="AA1558">
        <f t="shared" si="148"/>
        <v>0</v>
      </c>
      <c r="AB1558">
        <f t="shared" si="149"/>
        <v>0</v>
      </c>
      <c r="AC1558">
        <f>IF(I1558="",0,L1558*IFERROR(INDEX(کاتالوگ_محصولات!$G$4:$G$303,MATCH(I1558,کاتالوگ_محصولات!$A$4:$A$303,0)),0))</f>
        <v>0</v>
      </c>
      <c r="AD1558">
        <f t="shared" si="152"/>
        <v>0</v>
      </c>
      <c r="AE1558" t="str">
        <f t="shared" si="153"/>
        <v/>
      </c>
    </row>
    <row r="1559" spans="22:31" ht="18" customHeight="1">
      <c r="V1559">
        <f>IF(A1559="",0,IF(COUNTIF($A$3:A1559,A1559)=1,1,0))</f>
        <v>0</v>
      </c>
      <c r="W1559">
        <f t="shared" si="150"/>
        <v>0</v>
      </c>
      <c r="X1559" t="str">
        <f t="shared" si="151"/>
        <v/>
      </c>
      <c r="Y1559">
        <f>IF(X1559="",0,IF(COUNTIF($X$3:X1559,X1559)=1,1,0))</f>
        <v>0</v>
      </c>
      <c r="Z1559">
        <f>IF(V1559&lt;&gt;1,0,IF(X1559="",0,IF(COUNTIF($X$3:X1558,X1559)&gt;0,1,0)))</f>
        <v>0</v>
      </c>
      <c r="AA1559">
        <f t="shared" si="148"/>
        <v>0</v>
      </c>
      <c r="AB1559">
        <f t="shared" si="149"/>
        <v>0</v>
      </c>
      <c r="AC1559">
        <f>IF(I1559="",0,L1559*IFERROR(INDEX(کاتالوگ_محصولات!$G$4:$G$303,MATCH(I1559,کاتالوگ_محصولات!$A$4:$A$303,0)),0))</f>
        <v>0</v>
      </c>
      <c r="AD1559">
        <f t="shared" si="152"/>
        <v>0</v>
      </c>
      <c r="AE1559" t="str">
        <f t="shared" si="153"/>
        <v/>
      </c>
    </row>
    <row r="1560" spans="22:31" ht="18" customHeight="1">
      <c r="V1560">
        <f>IF(A1560="",0,IF(COUNTIF($A$3:A1560,A1560)=1,1,0))</f>
        <v>0</v>
      </c>
      <c r="W1560">
        <f t="shared" si="150"/>
        <v>0</v>
      </c>
      <c r="X1560" t="str">
        <f t="shared" si="151"/>
        <v/>
      </c>
      <c r="Y1560">
        <f>IF(X1560="",0,IF(COUNTIF($X$3:X1560,X1560)=1,1,0))</f>
        <v>0</v>
      </c>
      <c r="Z1560">
        <f>IF(V1560&lt;&gt;1,0,IF(X1560="",0,IF(COUNTIF($X$3:X1559,X1560)&gt;0,1,0)))</f>
        <v>0</v>
      </c>
      <c r="AA1560">
        <f t="shared" si="148"/>
        <v>0</v>
      </c>
      <c r="AB1560">
        <f t="shared" si="149"/>
        <v>0</v>
      </c>
      <c r="AC1560">
        <f>IF(I1560="",0,L1560*IFERROR(INDEX(کاتالوگ_محصولات!$G$4:$G$303,MATCH(I1560,کاتالوگ_محصولات!$A$4:$A$303,0)),0))</f>
        <v>0</v>
      </c>
      <c r="AD1560">
        <f t="shared" si="152"/>
        <v>0</v>
      </c>
      <c r="AE1560" t="str">
        <f t="shared" si="153"/>
        <v/>
      </c>
    </row>
    <row r="1561" spans="22:31" ht="18" customHeight="1">
      <c r="V1561">
        <f>IF(A1561="",0,IF(COUNTIF($A$3:A1561,A1561)=1,1,0))</f>
        <v>0</v>
      </c>
      <c r="W1561">
        <f t="shared" si="150"/>
        <v>0</v>
      </c>
      <c r="X1561" t="str">
        <f t="shared" si="151"/>
        <v/>
      </c>
      <c r="Y1561">
        <f>IF(X1561="",0,IF(COUNTIF($X$3:X1561,X1561)=1,1,0))</f>
        <v>0</v>
      </c>
      <c r="Z1561">
        <f>IF(V1561&lt;&gt;1,0,IF(X1561="",0,IF(COUNTIF($X$3:X1560,X1561)&gt;0,1,0)))</f>
        <v>0</v>
      </c>
      <c r="AA1561">
        <f t="shared" si="148"/>
        <v>0</v>
      </c>
      <c r="AB1561">
        <f t="shared" si="149"/>
        <v>0</v>
      </c>
      <c r="AC1561">
        <f>IF(I1561="",0,L1561*IFERROR(INDEX(کاتالوگ_محصولات!$G$4:$G$303,MATCH(I1561,کاتالوگ_محصولات!$A$4:$A$303,0)),0))</f>
        <v>0</v>
      </c>
      <c r="AD1561">
        <f t="shared" si="152"/>
        <v>0</v>
      </c>
      <c r="AE1561" t="str">
        <f t="shared" si="153"/>
        <v/>
      </c>
    </row>
    <row r="1562" spans="22:31" ht="18" customHeight="1">
      <c r="V1562">
        <f>IF(A1562="",0,IF(COUNTIF($A$3:A1562,A1562)=1,1,0))</f>
        <v>0</v>
      </c>
      <c r="W1562">
        <f t="shared" si="150"/>
        <v>0</v>
      </c>
      <c r="X1562" t="str">
        <f t="shared" si="151"/>
        <v/>
      </c>
      <c r="Y1562">
        <f>IF(X1562="",0,IF(COUNTIF($X$3:X1562,X1562)=1,1,0))</f>
        <v>0</v>
      </c>
      <c r="Z1562">
        <f>IF(V1562&lt;&gt;1,0,IF(X1562="",0,IF(COUNTIF($X$3:X1561,X1562)&gt;0,1,0)))</f>
        <v>0</v>
      </c>
      <c r="AA1562">
        <f t="shared" si="148"/>
        <v>0</v>
      </c>
      <c r="AB1562">
        <f t="shared" si="149"/>
        <v>0</v>
      </c>
      <c r="AC1562">
        <f>IF(I1562="",0,L1562*IFERROR(INDEX(کاتالوگ_محصولات!$G$4:$G$303,MATCH(I1562,کاتالوگ_محصولات!$A$4:$A$303,0)),0))</f>
        <v>0</v>
      </c>
      <c r="AD1562">
        <f t="shared" si="152"/>
        <v>0</v>
      </c>
      <c r="AE1562" t="str">
        <f t="shared" si="153"/>
        <v/>
      </c>
    </row>
    <row r="1563" spans="22:31" ht="18" customHeight="1">
      <c r="V1563">
        <f>IF(A1563="",0,IF(COUNTIF($A$3:A1563,A1563)=1,1,0))</f>
        <v>0</v>
      </c>
      <c r="W1563">
        <f t="shared" si="150"/>
        <v>0</v>
      </c>
      <c r="X1563" t="str">
        <f t="shared" si="151"/>
        <v/>
      </c>
      <c r="Y1563">
        <f>IF(X1563="",0,IF(COUNTIF($X$3:X1563,X1563)=1,1,0))</f>
        <v>0</v>
      </c>
      <c r="Z1563">
        <f>IF(V1563&lt;&gt;1,0,IF(X1563="",0,IF(COUNTIF($X$3:X1562,X1563)&gt;0,1,0)))</f>
        <v>0</v>
      </c>
      <c r="AA1563">
        <f t="shared" si="148"/>
        <v>0</v>
      </c>
      <c r="AB1563">
        <f t="shared" si="149"/>
        <v>0</v>
      </c>
      <c r="AC1563">
        <f>IF(I1563="",0,L1563*IFERROR(INDEX(کاتالوگ_محصولات!$G$4:$G$303,MATCH(I1563,کاتالوگ_محصولات!$A$4:$A$303,0)),0))</f>
        <v>0</v>
      </c>
      <c r="AD1563">
        <f t="shared" si="152"/>
        <v>0</v>
      </c>
      <c r="AE1563" t="str">
        <f t="shared" si="153"/>
        <v/>
      </c>
    </row>
    <row r="1564" spans="22:31" ht="18" customHeight="1">
      <c r="V1564">
        <f>IF(A1564="",0,IF(COUNTIF($A$3:A1564,A1564)=1,1,0))</f>
        <v>0</v>
      </c>
      <c r="W1564">
        <f t="shared" si="150"/>
        <v>0</v>
      </c>
      <c r="X1564" t="str">
        <f t="shared" si="151"/>
        <v/>
      </c>
      <c r="Y1564">
        <f>IF(X1564="",0,IF(COUNTIF($X$3:X1564,X1564)=1,1,0))</f>
        <v>0</v>
      </c>
      <c r="Z1564">
        <f>IF(V1564&lt;&gt;1,0,IF(X1564="",0,IF(COUNTIF($X$3:X1563,X1564)&gt;0,1,0)))</f>
        <v>0</v>
      </c>
      <c r="AA1564">
        <f t="shared" si="148"/>
        <v>0</v>
      </c>
      <c r="AB1564">
        <f t="shared" si="149"/>
        <v>0</v>
      </c>
      <c r="AC1564">
        <f>IF(I1564="",0,L1564*IFERROR(INDEX(کاتالوگ_محصولات!$G$4:$G$303,MATCH(I1564,کاتالوگ_محصولات!$A$4:$A$303,0)),0))</f>
        <v>0</v>
      </c>
      <c r="AD1564">
        <f t="shared" si="152"/>
        <v>0</v>
      </c>
      <c r="AE1564" t="str">
        <f t="shared" si="153"/>
        <v/>
      </c>
    </row>
    <row r="1565" spans="22:31" ht="18" customHeight="1">
      <c r="V1565">
        <f>IF(A1565="",0,IF(COUNTIF($A$3:A1565,A1565)=1,1,0))</f>
        <v>0</v>
      </c>
      <c r="W1565">
        <f t="shared" si="150"/>
        <v>0</v>
      </c>
      <c r="X1565" t="str">
        <f t="shared" si="151"/>
        <v/>
      </c>
      <c r="Y1565">
        <f>IF(X1565="",0,IF(COUNTIF($X$3:X1565,X1565)=1,1,0))</f>
        <v>0</v>
      </c>
      <c r="Z1565">
        <f>IF(V1565&lt;&gt;1,0,IF(X1565="",0,IF(COUNTIF($X$3:X1564,X1565)&gt;0,1,0)))</f>
        <v>0</v>
      </c>
      <c r="AA1565">
        <f t="shared" si="148"/>
        <v>0</v>
      </c>
      <c r="AB1565">
        <f t="shared" si="149"/>
        <v>0</v>
      </c>
      <c r="AC1565">
        <f>IF(I1565="",0,L1565*IFERROR(INDEX(کاتالوگ_محصولات!$G$4:$G$303,MATCH(I1565,کاتالوگ_محصولات!$A$4:$A$303,0)),0))</f>
        <v>0</v>
      </c>
      <c r="AD1565">
        <f t="shared" si="152"/>
        <v>0</v>
      </c>
      <c r="AE1565" t="str">
        <f t="shared" si="153"/>
        <v/>
      </c>
    </row>
    <row r="1566" spans="22:31" ht="18" customHeight="1">
      <c r="V1566">
        <f>IF(A1566="",0,IF(COUNTIF($A$3:A1566,A1566)=1,1,0))</f>
        <v>0</v>
      </c>
      <c r="W1566">
        <f t="shared" si="150"/>
        <v>0</v>
      </c>
      <c r="X1566" t="str">
        <f t="shared" si="151"/>
        <v/>
      </c>
      <c r="Y1566">
        <f>IF(X1566="",0,IF(COUNTIF($X$3:X1566,X1566)=1,1,0))</f>
        <v>0</v>
      </c>
      <c r="Z1566">
        <f>IF(V1566&lt;&gt;1,0,IF(X1566="",0,IF(COUNTIF($X$3:X1565,X1566)&gt;0,1,0)))</f>
        <v>0</v>
      </c>
      <c r="AA1566">
        <f t="shared" si="148"/>
        <v>0</v>
      </c>
      <c r="AB1566">
        <f t="shared" si="149"/>
        <v>0</v>
      </c>
      <c r="AC1566">
        <f>IF(I1566="",0,L1566*IFERROR(INDEX(کاتالوگ_محصولات!$G$4:$G$303,MATCH(I1566,کاتالوگ_محصولات!$A$4:$A$303,0)),0))</f>
        <v>0</v>
      </c>
      <c r="AD1566">
        <f t="shared" si="152"/>
        <v>0</v>
      </c>
      <c r="AE1566" t="str">
        <f t="shared" si="153"/>
        <v/>
      </c>
    </row>
    <row r="1567" spans="22:31" ht="18" customHeight="1">
      <c r="V1567">
        <f>IF(A1567="",0,IF(COUNTIF($A$3:A1567,A1567)=1,1,0))</f>
        <v>0</v>
      </c>
      <c r="W1567">
        <f t="shared" si="150"/>
        <v>0</v>
      </c>
      <c r="X1567" t="str">
        <f t="shared" si="151"/>
        <v/>
      </c>
      <c r="Y1567">
        <f>IF(X1567="",0,IF(COUNTIF($X$3:X1567,X1567)=1,1,0))</f>
        <v>0</v>
      </c>
      <c r="Z1567">
        <f>IF(V1567&lt;&gt;1,0,IF(X1567="",0,IF(COUNTIF($X$3:X1566,X1567)&gt;0,1,0)))</f>
        <v>0</v>
      </c>
      <c r="AA1567">
        <f t="shared" si="148"/>
        <v>0</v>
      </c>
      <c r="AB1567">
        <f t="shared" si="149"/>
        <v>0</v>
      </c>
      <c r="AC1567">
        <f>IF(I1567="",0,L1567*IFERROR(INDEX(کاتالوگ_محصولات!$G$4:$G$303,MATCH(I1567,کاتالوگ_محصولات!$A$4:$A$303,0)),0))</f>
        <v>0</v>
      </c>
      <c r="AD1567">
        <f t="shared" si="152"/>
        <v>0</v>
      </c>
      <c r="AE1567" t="str">
        <f t="shared" si="153"/>
        <v/>
      </c>
    </row>
    <row r="1568" spans="22:31" ht="18" customHeight="1">
      <c r="V1568">
        <f>IF(A1568="",0,IF(COUNTIF($A$3:A1568,A1568)=1,1,0))</f>
        <v>0</v>
      </c>
      <c r="W1568">
        <f t="shared" si="150"/>
        <v>0</v>
      </c>
      <c r="X1568" t="str">
        <f t="shared" si="151"/>
        <v/>
      </c>
      <c r="Y1568">
        <f>IF(X1568="",0,IF(COUNTIF($X$3:X1568,X1568)=1,1,0))</f>
        <v>0</v>
      </c>
      <c r="Z1568">
        <f>IF(V1568&lt;&gt;1,0,IF(X1568="",0,IF(COUNTIF($X$3:X1567,X1568)&gt;0,1,0)))</f>
        <v>0</v>
      </c>
      <c r="AA1568">
        <f t="shared" si="148"/>
        <v>0</v>
      </c>
      <c r="AB1568">
        <f t="shared" si="149"/>
        <v>0</v>
      </c>
      <c r="AC1568">
        <f>IF(I1568="",0,L1568*IFERROR(INDEX(کاتالوگ_محصولات!$G$4:$G$303,MATCH(I1568,کاتالوگ_محصولات!$A$4:$A$303,0)),0))</f>
        <v>0</v>
      </c>
      <c r="AD1568">
        <f t="shared" si="152"/>
        <v>0</v>
      </c>
      <c r="AE1568" t="str">
        <f t="shared" si="153"/>
        <v/>
      </c>
    </row>
    <row r="1569" spans="22:31" ht="18" customHeight="1">
      <c r="V1569">
        <f>IF(A1569="",0,IF(COUNTIF($A$3:A1569,A1569)=1,1,0))</f>
        <v>0</v>
      </c>
      <c r="W1569">
        <f t="shared" si="150"/>
        <v>0</v>
      </c>
      <c r="X1569" t="str">
        <f t="shared" si="151"/>
        <v/>
      </c>
      <c r="Y1569">
        <f>IF(X1569="",0,IF(COUNTIF($X$3:X1569,X1569)=1,1,0))</f>
        <v>0</v>
      </c>
      <c r="Z1569">
        <f>IF(V1569&lt;&gt;1,0,IF(X1569="",0,IF(COUNTIF($X$3:X1568,X1569)&gt;0,1,0)))</f>
        <v>0</v>
      </c>
      <c r="AA1569">
        <f t="shared" si="148"/>
        <v>0</v>
      </c>
      <c r="AB1569">
        <f t="shared" si="149"/>
        <v>0</v>
      </c>
      <c r="AC1569">
        <f>IF(I1569="",0,L1569*IFERROR(INDEX(کاتالوگ_محصولات!$G$4:$G$303,MATCH(I1569,کاتالوگ_محصولات!$A$4:$A$303,0)),0))</f>
        <v>0</v>
      </c>
      <c r="AD1569">
        <f t="shared" si="152"/>
        <v>0</v>
      </c>
      <c r="AE1569" t="str">
        <f t="shared" si="153"/>
        <v/>
      </c>
    </row>
    <row r="1570" spans="22:31" ht="18" customHeight="1">
      <c r="V1570">
        <f>IF(A1570="",0,IF(COUNTIF($A$3:A1570,A1570)=1,1,0))</f>
        <v>0</v>
      </c>
      <c r="W1570">
        <f t="shared" si="150"/>
        <v>0</v>
      </c>
      <c r="X1570" t="str">
        <f t="shared" si="151"/>
        <v/>
      </c>
      <c r="Y1570">
        <f>IF(X1570="",0,IF(COUNTIF($X$3:X1570,X1570)=1,1,0))</f>
        <v>0</v>
      </c>
      <c r="Z1570">
        <f>IF(V1570&lt;&gt;1,0,IF(X1570="",0,IF(COUNTIF($X$3:X1569,X1570)&gt;0,1,0)))</f>
        <v>0</v>
      </c>
      <c r="AA1570">
        <f t="shared" si="148"/>
        <v>0</v>
      </c>
      <c r="AB1570">
        <f t="shared" si="149"/>
        <v>0</v>
      </c>
      <c r="AC1570">
        <f>IF(I1570="",0,L1570*IFERROR(INDEX(کاتالوگ_محصولات!$G$4:$G$303,MATCH(I1570,کاتالوگ_محصولات!$A$4:$A$303,0)),0))</f>
        <v>0</v>
      </c>
      <c r="AD1570">
        <f t="shared" si="152"/>
        <v>0</v>
      </c>
      <c r="AE1570" t="str">
        <f t="shared" si="153"/>
        <v/>
      </c>
    </row>
    <row r="1571" spans="22:31" ht="18" customHeight="1">
      <c r="V1571">
        <f>IF(A1571="",0,IF(COUNTIF($A$3:A1571,A1571)=1,1,0))</f>
        <v>0</v>
      </c>
      <c r="W1571">
        <f t="shared" si="150"/>
        <v>0</v>
      </c>
      <c r="X1571" t="str">
        <f t="shared" si="151"/>
        <v/>
      </c>
      <c r="Y1571">
        <f>IF(X1571="",0,IF(COUNTIF($X$3:X1571,X1571)=1,1,0))</f>
        <v>0</v>
      </c>
      <c r="Z1571">
        <f>IF(V1571&lt;&gt;1,0,IF(X1571="",0,IF(COUNTIF($X$3:X1570,X1571)&gt;0,1,0)))</f>
        <v>0</v>
      </c>
      <c r="AA1571">
        <f t="shared" si="148"/>
        <v>0</v>
      </c>
      <c r="AB1571">
        <f t="shared" si="149"/>
        <v>0</v>
      </c>
      <c r="AC1571">
        <f>IF(I1571="",0,L1571*IFERROR(INDEX(کاتالوگ_محصولات!$G$4:$G$303,MATCH(I1571,کاتالوگ_محصولات!$A$4:$A$303,0)),0))</f>
        <v>0</v>
      </c>
      <c r="AD1571">
        <f t="shared" si="152"/>
        <v>0</v>
      </c>
      <c r="AE1571" t="str">
        <f t="shared" si="153"/>
        <v/>
      </c>
    </row>
    <row r="1572" spans="22:31" ht="18" customHeight="1">
      <c r="V1572">
        <f>IF(A1572="",0,IF(COUNTIF($A$3:A1572,A1572)=1,1,0))</f>
        <v>0</v>
      </c>
      <c r="W1572">
        <f t="shared" si="150"/>
        <v>0</v>
      </c>
      <c r="X1572" t="str">
        <f t="shared" si="151"/>
        <v/>
      </c>
      <c r="Y1572">
        <f>IF(X1572="",0,IF(COUNTIF($X$3:X1572,X1572)=1,1,0))</f>
        <v>0</v>
      </c>
      <c r="Z1572">
        <f>IF(V1572&lt;&gt;1,0,IF(X1572="",0,IF(COUNTIF($X$3:X1571,X1572)&gt;0,1,0)))</f>
        <v>0</v>
      </c>
      <c r="AA1572">
        <f t="shared" si="148"/>
        <v>0</v>
      </c>
      <c r="AB1572">
        <f t="shared" si="149"/>
        <v>0</v>
      </c>
      <c r="AC1572">
        <f>IF(I1572="",0,L1572*IFERROR(INDEX(کاتالوگ_محصولات!$G$4:$G$303,MATCH(I1572,کاتالوگ_محصولات!$A$4:$A$303,0)),0))</f>
        <v>0</v>
      </c>
      <c r="AD1572">
        <f t="shared" si="152"/>
        <v>0</v>
      </c>
      <c r="AE1572" t="str">
        <f t="shared" si="153"/>
        <v/>
      </c>
    </row>
    <row r="1573" spans="22:31" ht="18" customHeight="1">
      <c r="V1573">
        <f>IF(A1573="",0,IF(COUNTIF($A$3:A1573,A1573)=1,1,0))</f>
        <v>0</v>
      </c>
      <c r="W1573">
        <f t="shared" si="150"/>
        <v>0</v>
      </c>
      <c r="X1573" t="str">
        <f t="shared" si="151"/>
        <v/>
      </c>
      <c r="Y1573">
        <f>IF(X1573="",0,IF(COUNTIF($X$3:X1573,X1573)=1,1,0))</f>
        <v>0</v>
      </c>
      <c r="Z1573">
        <f>IF(V1573&lt;&gt;1,0,IF(X1573="",0,IF(COUNTIF($X$3:X1572,X1573)&gt;0,1,0)))</f>
        <v>0</v>
      </c>
      <c r="AA1573">
        <f t="shared" si="148"/>
        <v>0</v>
      </c>
      <c r="AB1573">
        <f t="shared" si="149"/>
        <v>0</v>
      </c>
      <c r="AC1573">
        <f>IF(I1573="",0,L1573*IFERROR(INDEX(کاتالوگ_محصولات!$G$4:$G$303,MATCH(I1573,کاتالوگ_محصولات!$A$4:$A$303,0)),0))</f>
        <v>0</v>
      </c>
      <c r="AD1573">
        <f t="shared" si="152"/>
        <v>0</v>
      </c>
      <c r="AE1573" t="str">
        <f t="shared" si="153"/>
        <v/>
      </c>
    </row>
    <row r="1574" spans="22:31" ht="18" customHeight="1">
      <c r="V1574">
        <f>IF(A1574="",0,IF(COUNTIF($A$3:A1574,A1574)=1,1,0))</f>
        <v>0</v>
      </c>
      <c r="W1574">
        <f t="shared" si="150"/>
        <v>0</v>
      </c>
      <c r="X1574" t="str">
        <f t="shared" si="151"/>
        <v/>
      </c>
      <c r="Y1574">
        <f>IF(X1574="",0,IF(COUNTIF($X$3:X1574,X1574)=1,1,0))</f>
        <v>0</v>
      </c>
      <c r="Z1574">
        <f>IF(V1574&lt;&gt;1,0,IF(X1574="",0,IF(COUNTIF($X$3:X1573,X1574)&gt;0,1,0)))</f>
        <v>0</v>
      </c>
      <c r="AA1574">
        <f t="shared" si="148"/>
        <v>0</v>
      </c>
      <c r="AB1574">
        <f t="shared" si="149"/>
        <v>0</v>
      </c>
      <c r="AC1574">
        <f>IF(I1574="",0,L1574*IFERROR(INDEX(کاتالوگ_محصولات!$G$4:$G$303,MATCH(I1574,کاتالوگ_محصولات!$A$4:$A$303,0)),0))</f>
        <v>0</v>
      </c>
      <c r="AD1574">
        <f t="shared" si="152"/>
        <v>0</v>
      </c>
      <c r="AE1574" t="str">
        <f t="shared" si="153"/>
        <v/>
      </c>
    </row>
    <row r="1575" spans="22:31" ht="18" customHeight="1">
      <c r="V1575">
        <f>IF(A1575="",0,IF(COUNTIF($A$3:A1575,A1575)=1,1,0))</f>
        <v>0</v>
      </c>
      <c r="W1575">
        <f t="shared" si="150"/>
        <v>0</v>
      </c>
      <c r="X1575" t="str">
        <f t="shared" si="151"/>
        <v/>
      </c>
      <c r="Y1575">
        <f>IF(X1575="",0,IF(COUNTIF($X$3:X1575,X1575)=1,1,0))</f>
        <v>0</v>
      </c>
      <c r="Z1575">
        <f>IF(V1575&lt;&gt;1,0,IF(X1575="",0,IF(COUNTIF($X$3:X1574,X1575)&gt;0,1,0)))</f>
        <v>0</v>
      </c>
      <c r="AA1575">
        <f t="shared" si="148"/>
        <v>0</v>
      </c>
      <c r="AB1575">
        <f t="shared" si="149"/>
        <v>0</v>
      </c>
      <c r="AC1575">
        <f>IF(I1575="",0,L1575*IFERROR(INDEX(کاتالوگ_محصولات!$G$4:$G$303,MATCH(I1575,کاتالوگ_محصولات!$A$4:$A$303,0)),0))</f>
        <v>0</v>
      </c>
      <c r="AD1575">
        <f t="shared" si="152"/>
        <v>0</v>
      </c>
      <c r="AE1575" t="str">
        <f t="shared" si="153"/>
        <v/>
      </c>
    </row>
    <row r="1576" spans="22:31" ht="18" customHeight="1">
      <c r="V1576">
        <f>IF(A1576="",0,IF(COUNTIF($A$3:A1576,A1576)=1,1,0))</f>
        <v>0</v>
      </c>
      <c r="W1576">
        <f t="shared" si="150"/>
        <v>0</v>
      </c>
      <c r="X1576" t="str">
        <f t="shared" si="151"/>
        <v/>
      </c>
      <c r="Y1576">
        <f>IF(X1576="",0,IF(COUNTIF($X$3:X1576,X1576)=1,1,0))</f>
        <v>0</v>
      </c>
      <c r="Z1576">
        <f>IF(V1576&lt;&gt;1,0,IF(X1576="",0,IF(COUNTIF($X$3:X1575,X1576)&gt;0,1,0)))</f>
        <v>0</v>
      </c>
      <c r="AA1576">
        <f t="shared" si="148"/>
        <v>0</v>
      </c>
      <c r="AB1576">
        <f t="shared" si="149"/>
        <v>0</v>
      </c>
      <c r="AC1576">
        <f>IF(I1576="",0,L1576*IFERROR(INDEX(کاتالوگ_محصولات!$G$4:$G$303,MATCH(I1576,کاتالوگ_محصولات!$A$4:$A$303,0)),0))</f>
        <v>0</v>
      </c>
      <c r="AD1576">
        <f t="shared" si="152"/>
        <v>0</v>
      </c>
      <c r="AE1576" t="str">
        <f t="shared" si="153"/>
        <v/>
      </c>
    </row>
    <row r="1577" spans="22:31" ht="18" customHeight="1">
      <c r="V1577">
        <f>IF(A1577="",0,IF(COUNTIF($A$3:A1577,A1577)=1,1,0))</f>
        <v>0</v>
      </c>
      <c r="W1577">
        <f t="shared" si="150"/>
        <v>0</v>
      </c>
      <c r="X1577" t="str">
        <f t="shared" si="151"/>
        <v/>
      </c>
      <c r="Y1577">
        <f>IF(X1577="",0,IF(COUNTIF($X$3:X1577,X1577)=1,1,0))</f>
        <v>0</v>
      </c>
      <c r="Z1577">
        <f>IF(V1577&lt;&gt;1,0,IF(X1577="",0,IF(COUNTIF($X$3:X1576,X1577)&gt;0,1,0)))</f>
        <v>0</v>
      </c>
      <c r="AA1577">
        <f t="shared" si="148"/>
        <v>0</v>
      </c>
      <c r="AB1577">
        <f t="shared" si="149"/>
        <v>0</v>
      </c>
      <c r="AC1577">
        <f>IF(I1577="",0,L1577*IFERROR(INDEX(کاتالوگ_محصولات!$G$4:$G$303,MATCH(I1577,کاتالوگ_محصولات!$A$4:$A$303,0)),0))</f>
        <v>0</v>
      </c>
      <c r="AD1577">
        <f t="shared" si="152"/>
        <v>0</v>
      </c>
      <c r="AE1577" t="str">
        <f t="shared" si="153"/>
        <v/>
      </c>
    </row>
    <row r="1578" spans="22:31" ht="18" customHeight="1">
      <c r="V1578">
        <f>IF(A1578="",0,IF(COUNTIF($A$3:A1578,A1578)=1,1,0))</f>
        <v>0</v>
      </c>
      <c r="W1578">
        <f t="shared" si="150"/>
        <v>0</v>
      </c>
      <c r="X1578" t="str">
        <f t="shared" si="151"/>
        <v/>
      </c>
      <c r="Y1578">
        <f>IF(X1578="",0,IF(COUNTIF($X$3:X1578,X1578)=1,1,0))</f>
        <v>0</v>
      </c>
      <c r="Z1578">
        <f>IF(V1578&lt;&gt;1,0,IF(X1578="",0,IF(COUNTIF($X$3:X1577,X1578)&gt;0,1,0)))</f>
        <v>0</v>
      </c>
      <c r="AA1578">
        <f t="shared" si="148"/>
        <v>0</v>
      </c>
      <c r="AB1578">
        <f t="shared" si="149"/>
        <v>0</v>
      </c>
      <c r="AC1578">
        <f>IF(I1578="",0,L1578*IFERROR(INDEX(کاتالوگ_محصولات!$G$4:$G$303,MATCH(I1578,کاتالوگ_محصولات!$A$4:$A$303,0)),0))</f>
        <v>0</v>
      </c>
      <c r="AD1578">
        <f t="shared" si="152"/>
        <v>0</v>
      </c>
      <c r="AE1578" t="str">
        <f t="shared" si="153"/>
        <v/>
      </c>
    </row>
    <row r="1579" spans="22:31" ht="18" customHeight="1">
      <c r="V1579">
        <f>IF(A1579="",0,IF(COUNTIF($A$3:A1579,A1579)=1,1,0))</f>
        <v>0</v>
      </c>
      <c r="W1579">
        <f t="shared" si="150"/>
        <v>0</v>
      </c>
      <c r="X1579" t="str">
        <f t="shared" si="151"/>
        <v/>
      </c>
      <c r="Y1579">
        <f>IF(X1579="",0,IF(COUNTIF($X$3:X1579,X1579)=1,1,0))</f>
        <v>0</v>
      </c>
      <c r="Z1579">
        <f>IF(V1579&lt;&gt;1,0,IF(X1579="",0,IF(COUNTIF($X$3:X1578,X1579)&gt;0,1,0)))</f>
        <v>0</v>
      </c>
      <c r="AA1579">
        <f t="shared" si="148"/>
        <v>0</v>
      </c>
      <c r="AB1579">
        <f t="shared" si="149"/>
        <v>0</v>
      </c>
      <c r="AC1579">
        <f>IF(I1579="",0,L1579*IFERROR(INDEX(کاتالوگ_محصولات!$G$4:$G$303,MATCH(I1579,کاتالوگ_محصولات!$A$4:$A$303,0)),0))</f>
        <v>0</v>
      </c>
      <c r="AD1579">
        <f t="shared" si="152"/>
        <v>0</v>
      </c>
      <c r="AE1579" t="str">
        <f t="shared" si="153"/>
        <v/>
      </c>
    </row>
    <row r="1580" spans="22:31" ht="18" customHeight="1">
      <c r="V1580">
        <f>IF(A1580="",0,IF(COUNTIF($A$3:A1580,A1580)=1,1,0))</f>
        <v>0</v>
      </c>
      <c r="W1580">
        <f t="shared" si="150"/>
        <v>0</v>
      </c>
      <c r="X1580" t="str">
        <f t="shared" si="151"/>
        <v/>
      </c>
      <c r="Y1580">
        <f>IF(X1580="",0,IF(COUNTIF($X$3:X1580,X1580)=1,1,0))</f>
        <v>0</v>
      </c>
      <c r="Z1580">
        <f>IF(V1580&lt;&gt;1,0,IF(X1580="",0,IF(COUNTIF($X$3:X1579,X1580)&gt;0,1,0)))</f>
        <v>0</v>
      </c>
      <c r="AA1580">
        <f t="shared" si="148"/>
        <v>0</v>
      </c>
      <c r="AB1580">
        <f t="shared" si="149"/>
        <v>0</v>
      </c>
      <c r="AC1580">
        <f>IF(I1580="",0,L1580*IFERROR(INDEX(کاتالوگ_محصولات!$G$4:$G$303,MATCH(I1580,کاتالوگ_محصولات!$A$4:$A$303,0)),0))</f>
        <v>0</v>
      </c>
      <c r="AD1580">
        <f t="shared" si="152"/>
        <v>0</v>
      </c>
      <c r="AE1580" t="str">
        <f t="shared" si="153"/>
        <v/>
      </c>
    </row>
    <row r="1581" spans="22:31" ht="18" customHeight="1">
      <c r="V1581">
        <f>IF(A1581="",0,IF(COUNTIF($A$3:A1581,A1581)=1,1,0))</f>
        <v>0</v>
      </c>
      <c r="W1581">
        <f t="shared" si="150"/>
        <v>0</v>
      </c>
      <c r="X1581" t="str">
        <f t="shared" si="151"/>
        <v/>
      </c>
      <c r="Y1581">
        <f>IF(X1581="",0,IF(COUNTIF($X$3:X1581,X1581)=1,1,0))</f>
        <v>0</v>
      </c>
      <c r="Z1581">
        <f>IF(V1581&lt;&gt;1,0,IF(X1581="",0,IF(COUNTIF($X$3:X1580,X1581)&gt;0,1,0)))</f>
        <v>0</v>
      </c>
      <c r="AA1581">
        <f t="shared" si="148"/>
        <v>0</v>
      </c>
      <c r="AB1581">
        <f t="shared" si="149"/>
        <v>0</v>
      </c>
      <c r="AC1581">
        <f>IF(I1581="",0,L1581*IFERROR(INDEX(کاتالوگ_محصولات!$G$4:$G$303,MATCH(I1581,کاتالوگ_محصولات!$A$4:$A$303,0)),0))</f>
        <v>0</v>
      </c>
      <c r="AD1581">
        <f t="shared" si="152"/>
        <v>0</v>
      </c>
      <c r="AE1581" t="str">
        <f t="shared" si="153"/>
        <v/>
      </c>
    </row>
    <row r="1582" spans="22:31" ht="18" customHeight="1">
      <c r="V1582">
        <f>IF(A1582="",0,IF(COUNTIF($A$3:A1582,A1582)=1,1,0))</f>
        <v>0</v>
      </c>
      <c r="W1582">
        <f t="shared" si="150"/>
        <v>0</v>
      </c>
      <c r="X1582" t="str">
        <f t="shared" si="151"/>
        <v/>
      </c>
      <c r="Y1582">
        <f>IF(X1582="",0,IF(COUNTIF($X$3:X1582,X1582)=1,1,0))</f>
        <v>0</v>
      </c>
      <c r="Z1582">
        <f>IF(V1582&lt;&gt;1,0,IF(X1582="",0,IF(COUNTIF($X$3:X1581,X1582)&gt;0,1,0)))</f>
        <v>0</v>
      </c>
      <c r="AA1582">
        <f t="shared" si="148"/>
        <v>0</v>
      </c>
      <c r="AB1582">
        <f t="shared" si="149"/>
        <v>0</v>
      </c>
      <c r="AC1582">
        <f>IF(I1582="",0,L1582*IFERROR(INDEX(کاتالوگ_محصولات!$G$4:$G$303,MATCH(I1582,کاتالوگ_محصولات!$A$4:$A$303,0)),0))</f>
        <v>0</v>
      </c>
      <c r="AD1582">
        <f t="shared" si="152"/>
        <v>0</v>
      </c>
      <c r="AE1582" t="str">
        <f t="shared" si="153"/>
        <v/>
      </c>
    </row>
    <row r="1583" spans="22:31" ht="18" customHeight="1">
      <c r="V1583">
        <f>IF(A1583="",0,IF(COUNTIF($A$3:A1583,A1583)=1,1,0))</f>
        <v>0</v>
      </c>
      <c r="W1583">
        <f t="shared" si="150"/>
        <v>0</v>
      </c>
      <c r="X1583" t="str">
        <f t="shared" si="151"/>
        <v/>
      </c>
      <c r="Y1583">
        <f>IF(X1583="",0,IF(COUNTIF($X$3:X1583,X1583)=1,1,0))</f>
        <v>0</v>
      </c>
      <c r="Z1583">
        <f>IF(V1583&lt;&gt;1,0,IF(X1583="",0,IF(COUNTIF($X$3:X1582,X1583)&gt;0,1,0)))</f>
        <v>0</v>
      </c>
      <c r="AA1583">
        <f t="shared" si="148"/>
        <v>0</v>
      </c>
      <c r="AB1583">
        <f t="shared" si="149"/>
        <v>0</v>
      </c>
      <c r="AC1583">
        <f>IF(I1583="",0,L1583*IFERROR(INDEX(کاتالوگ_محصولات!$G$4:$G$303,MATCH(I1583,کاتالوگ_محصولات!$A$4:$A$303,0)),0))</f>
        <v>0</v>
      </c>
      <c r="AD1583">
        <f t="shared" si="152"/>
        <v>0</v>
      </c>
      <c r="AE1583" t="str">
        <f t="shared" si="153"/>
        <v/>
      </c>
    </row>
    <row r="1584" spans="22:31" ht="18" customHeight="1">
      <c r="V1584">
        <f>IF(A1584="",0,IF(COUNTIF($A$3:A1584,A1584)=1,1,0))</f>
        <v>0</v>
      </c>
      <c r="W1584">
        <f t="shared" si="150"/>
        <v>0</v>
      </c>
      <c r="X1584" t="str">
        <f t="shared" si="151"/>
        <v/>
      </c>
      <c r="Y1584">
        <f>IF(X1584="",0,IF(COUNTIF($X$3:X1584,X1584)=1,1,0))</f>
        <v>0</v>
      </c>
      <c r="Z1584">
        <f>IF(V1584&lt;&gt;1,0,IF(X1584="",0,IF(COUNTIF($X$3:X1583,X1584)&gt;0,1,0)))</f>
        <v>0</v>
      </c>
      <c r="AA1584">
        <f t="shared" si="148"/>
        <v>0</v>
      </c>
      <c r="AB1584">
        <f t="shared" si="149"/>
        <v>0</v>
      </c>
      <c r="AC1584">
        <f>IF(I1584="",0,L1584*IFERROR(INDEX(کاتالوگ_محصولات!$G$4:$G$303,MATCH(I1584,کاتالوگ_محصولات!$A$4:$A$303,0)),0))</f>
        <v>0</v>
      </c>
      <c r="AD1584">
        <f t="shared" si="152"/>
        <v>0</v>
      </c>
      <c r="AE1584" t="str">
        <f t="shared" si="153"/>
        <v/>
      </c>
    </row>
    <row r="1585" spans="22:31" ht="18" customHeight="1">
      <c r="V1585">
        <f>IF(A1585="",0,IF(COUNTIF($A$3:A1585,A1585)=1,1,0))</f>
        <v>0</v>
      </c>
      <c r="W1585">
        <f t="shared" si="150"/>
        <v>0</v>
      </c>
      <c r="X1585" t="str">
        <f t="shared" si="151"/>
        <v/>
      </c>
      <c r="Y1585">
        <f>IF(X1585="",0,IF(COUNTIF($X$3:X1585,X1585)=1,1,0))</f>
        <v>0</v>
      </c>
      <c r="Z1585">
        <f>IF(V1585&lt;&gt;1,0,IF(X1585="",0,IF(COUNTIF($X$3:X1584,X1585)&gt;0,1,0)))</f>
        <v>0</v>
      </c>
      <c r="AA1585">
        <f t="shared" si="148"/>
        <v>0</v>
      </c>
      <c r="AB1585">
        <f t="shared" si="149"/>
        <v>0</v>
      </c>
      <c r="AC1585">
        <f>IF(I1585="",0,L1585*IFERROR(INDEX(کاتالوگ_محصولات!$G$4:$G$303,MATCH(I1585,کاتالوگ_محصولات!$A$4:$A$303,0)),0))</f>
        <v>0</v>
      </c>
      <c r="AD1585">
        <f t="shared" si="152"/>
        <v>0</v>
      </c>
      <c r="AE1585" t="str">
        <f t="shared" si="153"/>
        <v/>
      </c>
    </row>
    <row r="1586" spans="22:31" ht="18" customHeight="1">
      <c r="V1586">
        <f>IF(A1586="",0,IF(COUNTIF($A$3:A1586,A1586)=1,1,0))</f>
        <v>0</v>
      </c>
      <c r="W1586">
        <f t="shared" si="150"/>
        <v>0</v>
      </c>
      <c r="X1586" t="str">
        <f t="shared" si="151"/>
        <v/>
      </c>
      <c r="Y1586">
        <f>IF(X1586="",0,IF(COUNTIF($X$3:X1586,X1586)=1,1,0))</f>
        <v>0</v>
      </c>
      <c r="Z1586">
        <f>IF(V1586&lt;&gt;1,0,IF(X1586="",0,IF(COUNTIF($X$3:X1585,X1586)&gt;0,1,0)))</f>
        <v>0</v>
      </c>
      <c r="AA1586">
        <f t="shared" si="148"/>
        <v>0</v>
      </c>
      <c r="AB1586">
        <f t="shared" si="149"/>
        <v>0</v>
      </c>
      <c r="AC1586">
        <f>IF(I1586="",0,L1586*IFERROR(INDEX(کاتالوگ_محصولات!$G$4:$G$303,MATCH(I1586,کاتالوگ_محصولات!$A$4:$A$303,0)),0))</f>
        <v>0</v>
      </c>
      <c r="AD1586">
        <f t="shared" si="152"/>
        <v>0</v>
      </c>
      <c r="AE1586" t="str">
        <f t="shared" si="153"/>
        <v/>
      </c>
    </row>
    <row r="1587" spans="22:31" ht="18" customHeight="1">
      <c r="V1587">
        <f>IF(A1587="",0,IF(COUNTIF($A$3:A1587,A1587)=1,1,0))</f>
        <v>0</v>
      </c>
      <c r="W1587">
        <f t="shared" si="150"/>
        <v>0</v>
      </c>
      <c r="X1587" t="str">
        <f t="shared" si="151"/>
        <v/>
      </c>
      <c r="Y1587">
        <f>IF(X1587="",0,IF(COUNTIF($X$3:X1587,X1587)=1,1,0))</f>
        <v>0</v>
      </c>
      <c r="Z1587">
        <f>IF(V1587&lt;&gt;1,0,IF(X1587="",0,IF(COUNTIF($X$3:X1586,X1587)&gt;0,1,0)))</f>
        <v>0</v>
      </c>
      <c r="AA1587">
        <f t="shared" si="148"/>
        <v>0</v>
      </c>
      <c r="AB1587">
        <f t="shared" si="149"/>
        <v>0</v>
      </c>
      <c r="AC1587">
        <f>IF(I1587="",0,L1587*IFERROR(INDEX(کاتالوگ_محصولات!$G$4:$G$303,MATCH(I1587,کاتالوگ_محصولات!$A$4:$A$303,0)),0))</f>
        <v>0</v>
      </c>
      <c r="AD1587">
        <f t="shared" si="152"/>
        <v>0</v>
      </c>
      <c r="AE1587" t="str">
        <f t="shared" si="153"/>
        <v/>
      </c>
    </row>
    <row r="1588" spans="22:31" ht="18" customHeight="1">
      <c r="V1588">
        <f>IF(A1588="",0,IF(COUNTIF($A$3:A1588,A1588)=1,1,0))</f>
        <v>0</v>
      </c>
      <c r="W1588">
        <f t="shared" si="150"/>
        <v>0</v>
      </c>
      <c r="X1588" t="str">
        <f t="shared" si="151"/>
        <v/>
      </c>
      <c r="Y1588">
        <f>IF(X1588="",0,IF(COUNTIF($X$3:X1588,X1588)=1,1,0))</f>
        <v>0</v>
      </c>
      <c r="Z1588">
        <f>IF(V1588&lt;&gt;1,0,IF(X1588="",0,IF(COUNTIF($X$3:X1587,X1588)&gt;0,1,0)))</f>
        <v>0</v>
      </c>
      <c r="AA1588">
        <f t="shared" si="148"/>
        <v>0</v>
      </c>
      <c r="AB1588">
        <f t="shared" si="149"/>
        <v>0</v>
      </c>
      <c r="AC1588">
        <f>IF(I1588="",0,L1588*IFERROR(INDEX(کاتالوگ_محصولات!$G$4:$G$303,MATCH(I1588,کاتالوگ_محصولات!$A$4:$A$303,0)),0))</f>
        <v>0</v>
      </c>
      <c r="AD1588">
        <f t="shared" si="152"/>
        <v>0</v>
      </c>
      <c r="AE1588" t="str">
        <f t="shared" si="153"/>
        <v/>
      </c>
    </row>
    <row r="1589" spans="22:31" ht="18" customHeight="1">
      <c r="V1589">
        <f>IF(A1589="",0,IF(COUNTIF($A$3:A1589,A1589)=1,1,0))</f>
        <v>0</v>
      </c>
      <c r="W1589">
        <f t="shared" si="150"/>
        <v>0</v>
      </c>
      <c r="X1589" t="str">
        <f t="shared" si="151"/>
        <v/>
      </c>
      <c r="Y1589">
        <f>IF(X1589="",0,IF(COUNTIF($X$3:X1589,X1589)=1,1,0))</f>
        <v>0</v>
      </c>
      <c r="Z1589">
        <f>IF(V1589&lt;&gt;1,0,IF(X1589="",0,IF(COUNTIF($X$3:X1588,X1589)&gt;0,1,0)))</f>
        <v>0</v>
      </c>
      <c r="AA1589">
        <f t="shared" si="148"/>
        <v>0</v>
      </c>
      <c r="AB1589">
        <f t="shared" si="149"/>
        <v>0</v>
      </c>
      <c r="AC1589">
        <f>IF(I1589="",0,L1589*IFERROR(INDEX(کاتالوگ_محصولات!$G$4:$G$303,MATCH(I1589,کاتالوگ_محصولات!$A$4:$A$303,0)),0))</f>
        <v>0</v>
      </c>
      <c r="AD1589">
        <f t="shared" si="152"/>
        <v>0</v>
      </c>
      <c r="AE1589" t="str">
        <f t="shared" si="153"/>
        <v/>
      </c>
    </row>
    <row r="1590" spans="22:31" ht="18" customHeight="1">
      <c r="V1590">
        <f>IF(A1590="",0,IF(COUNTIF($A$3:A1590,A1590)=1,1,0))</f>
        <v>0</v>
      </c>
      <c r="W1590">
        <f t="shared" si="150"/>
        <v>0</v>
      </c>
      <c r="X1590" t="str">
        <f t="shared" si="151"/>
        <v/>
      </c>
      <c r="Y1590">
        <f>IF(X1590="",0,IF(COUNTIF($X$3:X1590,X1590)=1,1,0))</f>
        <v>0</v>
      </c>
      <c r="Z1590">
        <f>IF(V1590&lt;&gt;1,0,IF(X1590="",0,IF(COUNTIF($X$3:X1589,X1590)&gt;0,1,0)))</f>
        <v>0</v>
      </c>
      <c r="AA1590">
        <f t="shared" si="148"/>
        <v>0</v>
      </c>
      <c r="AB1590">
        <f t="shared" si="149"/>
        <v>0</v>
      </c>
      <c r="AC1590">
        <f>IF(I1590="",0,L1590*IFERROR(INDEX(کاتالوگ_محصولات!$G$4:$G$303,MATCH(I1590,کاتالوگ_محصولات!$A$4:$A$303,0)),0))</f>
        <v>0</v>
      </c>
      <c r="AD1590">
        <f t="shared" si="152"/>
        <v>0</v>
      </c>
      <c r="AE1590" t="str">
        <f t="shared" si="153"/>
        <v/>
      </c>
    </row>
    <row r="1591" spans="22:31" ht="18" customHeight="1">
      <c r="V1591">
        <f>IF(A1591="",0,IF(COUNTIF($A$3:A1591,A1591)=1,1,0))</f>
        <v>0</v>
      </c>
      <c r="W1591">
        <f t="shared" si="150"/>
        <v>0</v>
      </c>
      <c r="X1591" t="str">
        <f t="shared" si="151"/>
        <v/>
      </c>
      <c r="Y1591">
        <f>IF(X1591="",0,IF(COUNTIF($X$3:X1591,X1591)=1,1,0))</f>
        <v>0</v>
      </c>
      <c r="Z1591">
        <f>IF(V1591&lt;&gt;1,0,IF(X1591="",0,IF(COUNTIF($X$3:X1590,X1591)&gt;0,1,0)))</f>
        <v>0</v>
      </c>
      <c r="AA1591">
        <f t="shared" si="148"/>
        <v>0</v>
      </c>
      <c r="AB1591">
        <f t="shared" si="149"/>
        <v>0</v>
      </c>
      <c r="AC1591">
        <f>IF(I1591="",0,L1591*IFERROR(INDEX(کاتالوگ_محصولات!$G$4:$G$303,MATCH(I1591,کاتالوگ_محصولات!$A$4:$A$303,0)),0))</f>
        <v>0</v>
      </c>
      <c r="AD1591">
        <f t="shared" si="152"/>
        <v>0</v>
      </c>
      <c r="AE1591" t="str">
        <f t="shared" si="153"/>
        <v/>
      </c>
    </row>
    <row r="1592" spans="22:31" ht="18" customHeight="1">
      <c r="V1592">
        <f>IF(A1592="",0,IF(COUNTIF($A$3:A1592,A1592)=1,1,0))</f>
        <v>0</v>
      </c>
      <c r="W1592">
        <f t="shared" si="150"/>
        <v>0</v>
      </c>
      <c r="X1592" t="str">
        <f t="shared" si="151"/>
        <v/>
      </c>
      <c r="Y1592">
        <f>IF(X1592="",0,IF(COUNTIF($X$3:X1592,X1592)=1,1,0))</f>
        <v>0</v>
      </c>
      <c r="Z1592">
        <f>IF(V1592&lt;&gt;1,0,IF(X1592="",0,IF(COUNTIF($X$3:X1591,X1592)&gt;0,1,0)))</f>
        <v>0</v>
      </c>
      <c r="AA1592">
        <f t="shared" si="148"/>
        <v>0</v>
      </c>
      <c r="AB1592">
        <f t="shared" si="149"/>
        <v>0</v>
      </c>
      <c r="AC1592">
        <f>IF(I1592="",0,L1592*IFERROR(INDEX(کاتالوگ_محصولات!$G$4:$G$303,MATCH(I1592,کاتالوگ_محصولات!$A$4:$A$303,0)),0))</f>
        <v>0</v>
      </c>
      <c r="AD1592">
        <f t="shared" si="152"/>
        <v>0</v>
      </c>
      <c r="AE1592" t="str">
        <f t="shared" si="153"/>
        <v/>
      </c>
    </row>
    <row r="1593" spans="22:31" ht="18" customHeight="1">
      <c r="V1593">
        <f>IF(A1593="",0,IF(COUNTIF($A$3:A1593,A1593)=1,1,0))</f>
        <v>0</v>
      </c>
      <c r="W1593">
        <f t="shared" si="150"/>
        <v>0</v>
      </c>
      <c r="X1593" t="str">
        <f t="shared" si="151"/>
        <v/>
      </c>
      <c r="Y1593">
        <f>IF(X1593="",0,IF(COUNTIF($X$3:X1593,X1593)=1,1,0))</f>
        <v>0</v>
      </c>
      <c r="Z1593">
        <f>IF(V1593&lt;&gt;1,0,IF(X1593="",0,IF(COUNTIF($X$3:X1592,X1593)&gt;0,1,0)))</f>
        <v>0</v>
      </c>
      <c r="AA1593">
        <f t="shared" si="148"/>
        <v>0</v>
      </c>
      <c r="AB1593">
        <f t="shared" si="149"/>
        <v>0</v>
      </c>
      <c r="AC1593">
        <f>IF(I1593="",0,L1593*IFERROR(INDEX(کاتالوگ_محصولات!$G$4:$G$303,MATCH(I1593,کاتالوگ_محصولات!$A$4:$A$303,0)),0))</f>
        <v>0</v>
      </c>
      <c r="AD1593">
        <f t="shared" si="152"/>
        <v>0</v>
      </c>
      <c r="AE1593" t="str">
        <f t="shared" si="153"/>
        <v/>
      </c>
    </row>
    <row r="1594" spans="22:31" ht="18" customHeight="1">
      <c r="V1594">
        <f>IF(A1594="",0,IF(COUNTIF($A$3:A1594,A1594)=1,1,0))</f>
        <v>0</v>
      </c>
      <c r="W1594">
        <f t="shared" si="150"/>
        <v>0</v>
      </c>
      <c r="X1594" t="str">
        <f t="shared" si="151"/>
        <v/>
      </c>
      <c r="Y1594">
        <f>IF(X1594="",0,IF(COUNTIF($X$3:X1594,X1594)=1,1,0))</f>
        <v>0</v>
      </c>
      <c r="Z1594">
        <f>IF(V1594&lt;&gt;1,0,IF(X1594="",0,IF(COUNTIF($X$3:X1593,X1594)&gt;0,1,0)))</f>
        <v>0</v>
      </c>
      <c r="AA1594">
        <f t="shared" si="148"/>
        <v>0</v>
      </c>
      <c r="AB1594">
        <f t="shared" si="149"/>
        <v>0</v>
      </c>
      <c r="AC1594">
        <f>IF(I1594="",0,L1594*IFERROR(INDEX(کاتالوگ_محصولات!$G$4:$G$303,MATCH(I1594,کاتالوگ_محصولات!$A$4:$A$303,0)),0))</f>
        <v>0</v>
      </c>
      <c r="AD1594">
        <f t="shared" si="152"/>
        <v>0</v>
      </c>
      <c r="AE1594" t="str">
        <f t="shared" si="153"/>
        <v/>
      </c>
    </row>
    <row r="1595" spans="22:31" ht="18" customHeight="1">
      <c r="V1595">
        <f>IF(A1595="",0,IF(COUNTIF($A$3:A1595,A1595)=1,1,0))</f>
        <v>0</v>
      </c>
      <c r="W1595">
        <f t="shared" si="150"/>
        <v>0</v>
      </c>
      <c r="X1595" t="str">
        <f t="shared" si="151"/>
        <v/>
      </c>
      <c r="Y1595">
        <f>IF(X1595="",0,IF(COUNTIF($X$3:X1595,X1595)=1,1,0))</f>
        <v>0</v>
      </c>
      <c r="Z1595">
        <f>IF(V1595&lt;&gt;1,0,IF(X1595="",0,IF(COUNTIF($X$3:X1594,X1595)&gt;0,1,0)))</f>
        <v>0</v>
      </c>
      <c r="AA1595">
        <f t="shared" si="148"/>
        <v>0</v>
      </c>
      <c r="AB1595">
        <f t="shared" si="149"/>
        <v>0</v>
      </c>
      <c r="AC1595">
        <f>IF(I1595="",0,L1595*IFERROR(INDEX(کاتالوگ_محصولات!$G$4:$G$303,MATCH(I1595,کاتالوگ_محصولات!$A$4:$A$303,0)),0))</f>
        <v>0</v>
      </c>
      <c r="AD1595">
        <f t="shared" si="152"/>
        <v>0</v>
      </c>
      <c r="AE1595" t="str">
        <f t="shared" si="153"/>
        <v/>
      </c>
    </row>
    <row r="1596" spans="22:31" ht="18" customHeight="1">
      <c r="V1596">
        <f>IF(A1596="",0,IF(COUNTIF($A$3:A1596,A1596)=1,1,0))</f>
        <v>0</v>
      </c>
      <c r="W1596">
        <f t="shared" si="150"/>
        <v>0</v>
      </c>
      <c r="X1596" t="str">
        <f t="shared" si="151"/>
        <v/>
      </c>
      <c r="Y1596">
        <f>IF(X1596="",0,IF(COUNTIF($X$3:X1596,X1596)=1,1,0))</f>
        <v>0</v>
      </c>
      <c r="Z1596">
        <f>IF(V1596&lt;&gt;1,0,IF(X1596="",0,IF(COUNTIF($X$3:X1595,X1596)&gt;0,1,0)))</f>
        <v>0</v>
      </c>
      <c r="AA1596">
        <f t="shared" si="148"/>
        <v>0</v>
      </c>
      <c r="AB1596">
        <f t="shared" si="149"/>
        <v>0</v>
      </c>
      <c r="AC1596">
        <f>IF(I1596="",0,L1596*IFERROR(INDEX(کاتالوگ_محصولات!$G$4:$G$303,MATCH(I1596,کاتالوگ_محصولات!$A$4:$A$303,0)),0))</f>
        <v>0</v>
      </c>
      <c r="AD1596">
        <f t="shared" si="152"/>
        <v>0</v>
      </c>
      <c r="AE1596" t="str">
        <f t="shared" si="153"/>
        <v/>
      </c>
    </row>
    <row r="1597" spans="22:31" ht="18" customHeight="1">
      <c r="V1597">
        <f>IF(A1597="",0,IF(COUNTIF($A$3:A1597,A1597)=1,1,0))</f>
        <v>0</v>
      </c>
      <c r="W1597">
        <f t="shared" si="150"/>
        <v>0</v>
      </c>
      <c r="X1597" t="str">
        <f t="shared" si="151"/>
        <v/>
      </c>
      <c r="Y1597">
        <f>IF(X1597="",0,IF(COUNTIF($X$3:X1597,X1597)=1,1,0))</f>
        <v>0</v>
      </c>
      <c r="Z1597">
        <f>IF(V1597&lt;&gt;1,0,IF(X1597="",0,IF(COUNTIF($X$3:X1596,X1597)&gt;0,1,0)))</f>
        <v>0</v>
      </c>
      <c r="AA1597">
        <f t="shared" si="148"/>
        <v>0</v>
      </c>
      <c r="AB1597">
        <f t="shared" si="149"/>
        <v>0</v>
      </c>
      <c r="AC1597">
        <f>IF(I1597="",0,L1597*IFERROR(INDEX(کاتالوگ_محصولات!$G$4:$G$303,MATCH(I1597,کاتالوگ_محصولات!$A$4:$A$303,0)),0))</f>
        <v>0</v>
      </c>
      <c r="AD1597">
        <f t="shared" si="152"/>
        <v>0</v>
      </c>
      <c r="AE1597" t="str">
        <f t="shared" si="153"/>
        <v/>
      </c>
    </row>
    <row r="1598" spans="22:31" ht="18" customHeight="1">
      <c r="V1598">
        <f>IF(A1598="",0,IF(COUNTIF($A$3:A1598,A1598)=1,1,0))</f>
        <v>0</v>
      </c>
      <c r="W1598">
        <f t="shared" si="150"/>
        <v>0</v>
      </c>
      <c r="X1598" t="str">
        <f t="shared" si="151"/>
        <v/>
      </c>
      <c r="Y1598">
        <f>IF(X1598="",0,IF(COUNTIF($X$3:X1598,X1598)=1,1,0))</f>
        <v>0</v>
      </c>
      <c r="Z1598">
        <f>IF(V1598&lt;&gt;1,0,IF(X1598="",0,IF(COUNTIF($X$3:X1597,X1598)&gt;0,1,0)))</f>
        <v>0</v>
      </c>
      <c r="AA1598">
        <f t="shared" si="148"/>
        <v>0</v>
      </c>
      <c r="AB1598">
        <f t="shared" si="149"/>
        <v>0</v>
      </c>
      <c r="AC1598">
        <f>IF(I1598="",0,L1598*IFERROR(INDEX(کاتالوگ_محصولات!$G$4:$G$303,MATCH(I1598,کاتالوگ_محصولات!$A$4:$A$303,0)),0))</f>
        <v>0</v>
      </c>
      <c r="AD1598">
        <f t="shared" si="152"/>
        <v>0</v>
      </c>
      <c r="AE1598" t="str">
        <f t="shared" si="153"/>
        <v/>
      </c>
    </row>
    <row r="1599" spans="22:31" ht="18" customHeight="1">
      <c r="V1599">
        <f>IF(A1599="",0,IF(COUNTIF($A$3:A1599,A1599)=1,1,0))</f>
        <v>0</v>
      </c>
      <c r="W1599">
        <f t="shared" si="150"/>
        <v>0</v>
      </c>
      <c r="X1599" t="str">
        <f t="shared" si="151"/>
        <v/>
      </c>
      <c r="Y1599">
        <f>IF(X1599="",0,IF(COUNTIF($X$3:X1599,X1599)=1,1,0))</f>
        <v>0</v>
      </c>
      <c r="Z1599">
        <f>IF(V1599&lt;&gt;1,0,IF(X1599="",0,IF(COUNTIF($X$3:X1598,X1599)&gt;0,1,0)))</f>
        <v>0</v>
      </c>
      <c r="AA1599">
        <f t="shared" si="148"/>
        <v>0</v>
      </c>
      <c r="AB1599">
        <f t="shared" si="149"/>
        <v>0</v>
      </c>
      <c r="AC1599">
        <f>IF(I1599="",0,L1599*IFERROR(INDEX(کاتالوگ_محصولات!$G$4:$G$303,MATCH(I1599,کاتالوگ_محصولات!$A$4:$A$303,0)),0))</f>
        <v>0</v>
      </c>
      <c r="AD1599">
        <f t="shared" si="152"/>
        <v>0</v>
      </c>
      <c r="AE1599" t="str">
        <f t="shared" si="153"/>
        <v/>
      </c>
    </row>
    <row r="1600" spans="22:31" ht="18" customHeight="1">
      <c r="V1600">
        <f>IF(A1600="",0,IF(COUNTIF($A$3:A1600,A1600)=1,1,0))</f>
        <v>0</v>
      </c>
      <c r="W1600">
        <f t="shared" si="150"/>
        <v>0</v>
      </c>
      <c r="X1600" t="str">
        <f t="shared" si="151"/>
        <v/>
      </c>
      <c r="Y1600">
        <f>IF(X1600="",0,IF(COUNTIF($X$3:X1600,X1600)=1,1,0))</f>
        <v>0</v>
      </c>
      <c r="Z1600">
        <f>IF(V1600&lt;&gt;1,0,IF(X1600="",0,IF(COUNTIF($X$3:X1599,X1600)&gt;0,1,0)))</f>
        <v>0</v>
      </c>
      <c r="AA1600">
        <f t="shared" si="148"/>
        <v>0</v>
      </c>
      <c r="AB1600">
        <f t="shared" si="149"/>
        <v>0</v>
      </c>
      <c r="AC1600">
        <f>IF(I1600="",0,L1600*IFERROR(INDEX(کاتالوگ_محصولات!$G$4:$G$303,MATCH(I1600,کاتالوگ_محصولات!$A$4:$A$303,0)),0))</f>
        <v>0</v>
      </c>
      <c r="AD1600">
        <f t="shared" si="152"/>
        <v>0</v>
      </c>
      <c r="AE1600" t="str">
        <f t="shared" si="153"/>
        <v/>
      </c>
    </row>
    <row r="1601" spans="22:31" ht="18" customHeight="1">
      <c r="V1601">
        <f>IF(A1601="",0,IF(COUNTIF($A$3:A1601,A1601)=1,1,0))</f>
        <v>0</v>
      </c>
      <c r="W1601">
        <f t="shared" si="150"/>
        <v>0</v>
      </c>
      <c r="X1601" t="str">
        <f t="shared" si="151"/>
        <v/>
      </c>
      <c r="Y1601">
        <f>IF(X1601="",0,IF(COUNTIF($X$3:X1601,X1601)=1,1,0))</f>
        <v>0</v>
      </c>
      <c r="Z1601">
        <f>IF(V1601&lt;&gt;1,0,IF(X1601="",0,IF(COUNTIF($X$3:X1600,X1601)&gt;0,1,0)))</f>
        <v>0</v>
      </c>
      <c r="AA1601">
        <f t="shared" si="148"/>
        <v>0</v>
      </c>
      <c r="AB1601">
        <f t="shared" si="149"/>
        <v>0</v>
      </c>
      <c r="AC1601">
        <f>IF(I1601="",0,L1601*IFERROR(INDEX(کاتالوگ_محصولات!$G$4:$G$303,MATCH(I1601,کاتالوگ_محصولات!$A$4:$A$303,0)),0))</f>
        <v>0</v>
      </c>
      <c r="AD1601">
        <f t="shared" si="152"/>
        <v>0</v>
      </c>
      <c r="AE1601" t="str">
        <f t="shared" si="153"/>
        <v/>
      </c>
    </row>
    <row r="1602" spans="22:31" ht="18" customHeight="1">
      <c r="V1602">
        <f>IF(A1602="",0,IF(COUNTIF($A$3:A1602,A1602)=1,1,0))</f>
        <v>0</v>
      </c>
      <c r="W1602">
        <f t="shared" si="150"/>
        <v>0</v>
      </c>
      <c r="X1602" t="str">
        <f t="shared" si="151"/>
        <v/>
      </c>
      <c r="Y1602">
        <f>IF(X1602="",0,IF(COUNTIF($X$3:X1602,X1602)=1,1,0))</f>
        <v>0</v>
      </c>
      <c r="Z1602">
        <f>IF(V1602&lt;&gt;1,0,IF(X1602="",0,IF(COUNTIF($X$3:X1601,X1602)&gt;0,1,0)))</f>
        <v>0</v>
      </c>
      <c r="AA1602">
        <f t="shared" si="148"/>
        <v>0</v>
      </c>
      <c r="AB1602">
        <f t="shared" si="149"/>
        <v>0</v>
      </c>
      <c r="AC1602">
        <f>IF(I1602="",0,L1602*IFERROR(INDEX(کاتالوگ_محصولات!$G$4:$G$303,MATCH(I1602,کاتالوگ_محصولات!$A$4:$A$303,0)),0))</f>
        <v>0</v>
      </c>
      <c r="AD1602">
        <f t="shared" si="152"/>
        <v>0</v>
      </c>
      <c r="AE1602" t="str">
        <f t="shared" si="153"/>
        <v/>
      </c>
    </row>
    <row r="1603" spans="22:31" ht="18" customHeight="1">
      <c r="V1603">
        <f>IF(A1603="",0,IF(COUNTIF($A$3:A1603,A1603)=1,1,0))</f>
        <v>0</v>
      </c>
      <c r="W1603">
        <f t="shared" si="150"/>
        <v>0</v>
      </c>
      <c r="X1603" t="str">
        <f t="shared" si="151"/>
        <v/>
      </c>
      <c r="Y1603">
        <f>IF(X1603="",0,IF(COUNTIF($X$3:X1603,X1603)=1,1,0))</f>
        <v>0</v>
      </c>
      <c r="Z1603">
        <f>IF(V1603&lt;&gt;1,0,IF(X1603="",0,IF(COUNTIF($X$3:X1602,X1603)&gt;0,1,0)))</f>
        <v>0</v>
      </c>
      <c r="AA1603">
        <f t="shared" ref="AA1603:AA1622" si="154">IF(V1603=1,SUMIF($A$3:$A$1622,A1603,$O$3:$O$1622),0)</f>
        <v>0</v>
      </c>
      <c r="AB1603">
        <f t="shared" ref="AB1603:AB1622" si="155">IF(V1603=1,SUMIF($A$3:$A$1622,A1603,$L$3:$L$1622),0)</f>
        <v>0</v>
      </c>
      <c r="AC1603">
        <f>IF(I1603="",0,L1603*IFERROR(INDEX(کاتالوگ_محصولات!$G$4:$G$303,MATCH(I1603,کاتالوگ_محصولات!$A$4:$A$303,0)),0))</f>
        <v>0</v>
      </c>
      <c r="AD1603">
        <f t="shared" si="152"/>
        <v>0</v>
      </c>
      <c r="AE1603" t="str">
        <f t="shared" si="153"/>
        <v/>
      </c>
    </row>
    <row r="1604" spans="22:31" ht="18" customHeight="1">
      <c r="V1604">
        <f>IF(A1604="",0,IF(COUNTIF($A$3:A1604,A1604)=1,1,0))</f>
        <v>0</v>
      </c>
      <c r="W1604">
        <f t="shared" si="150"/>
        <v>0</v>
      </c>
      <c r="X1604" t="str">
        <f t="shared" si="151"/>
        <v/>
      </c>
      <c r="Y1604">
        <f>IF(X1604="",0,IF(COUNTIF($X$3:X1604,X1604)=1,1,0))</f>
        <v>0</v>
      </c>
      <c r="Z1604">
        <f>IF(V1604&lt;&gt;1,0,IF(X1604="",0,IF(COUNTIF($X$3:X1603,X1604)&gt;0,1,0)))</f>
        <v>0</v>
      </c>
      <c r="AA1604">
        <f t="shared" si="154"/>
        <v>0</v>
      </c>
      <c r="AB1604">
        <f t="shared" si="155"/>
        <v>0</v>
      </c>
      <c r="AC1604">
        <f>IF(I1604="",0,L1604*IFERROR(INDEX(کاتالوگ_محصولات!$G$4:$G$303,MATCH(I1604,کاتالوگ_محصولات!$A$4:$A$303,0)),0))</f>
        <v>0</v>
      </c>
      <c r="AD1604">
        <f t="shared" si="152"/>
        <v>0</v>
      </c>
      <c r="AE1604" t="str">
        <f t="shared" si="153"/>
        <v/>
      </c>
    </row>
    <row r="1605" spans="22:31" ht="18" customHeight="1">
      <c r="V1605">
        <f>IF(A1605="",0,IF(COUNTIF($A$3:A1605,A1605)=1,1,0))</f>
        <v>0</v>
      </c>
      <c r="W1605">
        <f t="shared" si="150"/>
        <v>0</v>
      </c>
      <c r="X1605" t="str">
        <f t="shared" si="151"/>
        <v/>
      </c>
      <c r="Y1605">
        <f>IF(X1605="",0,IF(COUNTIF($X$3:X1605,X1605)=1,1,0))</f>
        <v>0</v>
      </c>
      <c r="Z1605">
        <f>IF(V1605&lt;&gt;1,0,IF(X1605="",0,IF(COUNTIF($X$3:X1604,X1605)&gt;0,1,0)))</f>
        <v>0</v>
      </c>
      <c r="AA1605">
        <f t="shared" si="154"/>
        <v>0</v>
      </c>
      <c r="AB1605">
        <f t="shared" si="155"/>
        <v>0</v>
      </c>
      <c r="AC1605">
        <f>IF(I1605="",0,L1605*IFERROR(INDEX(کاتالوگ_محصولات!$G$4:$G$303,MATCH(I1605,کاتالوگ_محصولات!$A$4:$A$303,0)),0))</f>
        <v>0</v>
      </c>
      <c r="AD1605">
        <f t="shared" si="152"/>
        <v>0</v>
      </c>
      <c r="AE1605" t="str">
        <f t="shared" si="153"/>
        <v/>
      </c>
    </row>
    <row r="1606" spans="22:31" ht="18" customHeight="1">
      <c r="V1606">
        <f>IF(A1606="",0,IF(COUNTIF($A$3:A1606,A1606)=1,1,0))</f>
        <v>0</v>
      </c>
      <c r="W1606">
        <f t="shared" si="150"/>
        <v>0</v>
      </c>
      <c r="X1606" t="str">
        <f t="shared" si="151"/>
        <v/>
      </c>
      <c r="Y1606">
        <f>IF(X1606="",0,IF(COUNTIF($X$3:X1606,X1606)=1,1,0))</f>
        <v>0</v>
      </c>
      <c r="Z1606">
        <f>IF(V1606&lt;&gt;1,0,IF(X1606="",0,IF(COUNTIF($X$3:X1605,X1606)&gt;0,1,0)))</f>
        <v>0</v>
      </c>
      <c r="AA1606">
        <f t="shared" si="154"/>
        <v>0</v>
      </c>
      <c r="AB1606">
        <f t="shared" si="155"/>
        <v>0</v>
      </c>
      <c r="AC1606">
        <f>IF(I1606="",0,L1606*IFERROR(INDEX(کاتالوگ_محصولات!$G$4:$G$303,MATCH(I1606,کاتالوگ_محصولات!$A$4:$A$303,0)),0))</f>
        <v>0</v>
      </c>
      <c r="AD1606">
        <f t="shared" si="152"/>
        <v>0</v>
      </c>
      <c r="AE1606" t="str">
        <f t="shared" si="153"/>
        <v/>
      </c>
    </row>
    <row r="1607" spans="22:31" ht="18" customHeight="1">
      <c r="V1607">
        <f>IF(A1607="",0,IF(COUNTIF($A$3:A1607,A1607)=1,1,0))</f>
        <v>0</v>
      </c>
      <c r="W1607">
        <f t="shared" si="150"/>
        <v>0</v>
      </c>
      <c r="X1607" t="str">
        <f t="shared" si="151"/>
        <v/>
      </c>
      <c r="Y1607">
        <f>IF(X1607="",0,IF(COUNTIF($X$3:X1607,X1607)=1,1,0))</f>
        <v>0</v>
      </c>
      <c r="Z1607">
        <f>IF(V1607&lt;&gt;1,0,IF(X1607="",0,IF(COUNTIF($X$3:X1606,X1607)&gt;0,1,0)))</f>
        <v>0</v>
      </c>
      <c r="AA1607">
        <f t="shared" si="154"/>
        <v>0</v>
      </c>
      <c r="AB1607">
        <f t="shared" si="155"/>
        <v>0</v>
      </c>
      <c r="AC1607">
        <f>IF(I1607="",0,L1607*IFERROR(INDEX(کاتالوگ_محصولات!$G$4:$G$303,MATCH(I1607,کاتالوگ_محصولات!$A$4:$A$303,0)),0))</f>
        <v>0</v>
      </c>
      <c r="AD1607">
        <f t="shared" si="152"/>
        <v>0</v>
      </c>
      <c r="AE1607" t="str">
        <f t="shared" si="153"/>
        <v/>
      </c>
    </row>
    <row r="1608" spans="22:31" ht="18" customHeight="1">
      <c r="V1608">
        <f>IF(A1608="",0,IF(COUNTIF($A$3:A1608,A1608)=1,1,0))</f>
        <v>0</v>
      </c>
      <c r="W1608">
        <f t="shared" si="150"/>
        <v>0</v>
      </c>
      <c r="X1608" t="str">
        <f t="shared" si="151"/>
        <v/>
      </c>
      <c r="Y1608">
        <f>IF(X1608="",0,IF(COUNTIF($X$3:X1608,X1608)=1,1,0))</f>
        <v>0</v>
      </c>
      <c r="Z1608">
        <f>IF(V1608&lt;&gt;1,0,IF(X1608="",0,IF(COUNTIF($X$3:X1607,X1608)&gt;0,1,0)))</f>
        <v>0</v>
      </c>
      <c r="AA1608">
        <f t="shared" si="154"/>
        <v>0</v>
      </c>
      <c r="AB1608">
        <f t="shared" si="155"/>
        <v>0</v>
      </c>
      <c r="AC1608">
        <f>IF(I1608="",0,L1608*IFERROR(INDEX(کاتالوگ_محصولات!$G$4:$G$303,MATCH(I1608,کاتالوگ_محصولات!$A$4:$A$303,0)),0))</f>
        <v>0</v>
      </c>
      <c r="AD1608">
        <f t="shared" si="152"/>
        <v>0</v>
      </c>
      <c r="AE1608" t="str">
        <f t="shared" si="153"/>
        <v/>
      </c>
    </row>
    <row r="1609" spans="22:31" ht="18" customHeight="1">
      <c r="V1609">
        <f>IF(A1609="",0,IF(COUNTIF($A$3:A1609,A1609)=1,1,0))</f>
        <v>0</v>
      </c>
      <c r="W1609">
        <f t="shared" ref="W1609:W1622" si="156">IF(A1609="",0,L1609*M1609)</f>
        <v>0</v>
      </c>
      <c r="X1609" t="str">
        <f t="shared" ref="X1609:X1622" si="157">IF(R1609&lt;&gt;"",R1609,IF(AND(P1609&lt;&gt;"",Q1609&lt;&gt;""),P1609&amp;"|"&amp;Q1609,""))</f>
        <v/>
      </c>
      <c r="Y1609">
        <f>IF(X1609="",0,IF(COUNTIF($X$3:X1609,X1609)=1,1,0))</f>
        <v>0</v>
      </c>
      <c r="Z1609">
        <f>IF(V1609&lt;&gt;1,0,IF(X1609="",0,IF(COUNTIF($X$3:X1608,X1609)&gt;0,1,0)))</f>
        <v>0</v>
      </c>
      <c r="AA1609">
        <f t="shared" si="154"/>
        <v>0</v>
      </c>
      <c r="AB1609">
        <f t="shared" si="155"/>
        <v>0</v>
      </c>
      <c r="AC1609">
        <f>IF(I1609="",0,L1609*IFERROR(INDEX(کاتالوگ_محصولات!$G$4:$G$303,MATCH(I1609,کاتالوگ_محصولات!$A$4:$A$303,0)),0))</f>
        <v>0</v>
      </c>
      <c r="AD1609">
        <f t="shared" ref="AD1609:AD1622" si="158">IF(A1609="",0,O1609-AC1609)</f>
        <v>0</v>
      </c>
      <c r="AE1609" t="str">
        <f t="shared" ref="AE1609:AE1622" si="159">IF(B1609="","",LEFT(B1609,7))</f>
        <v/>
      </c>
    </row>
    <row r="1610" spans="22:31" ht="18" customHeight="1">
      <c r="V1610">
        <f>IF(A1610="",0,IF(COUNTIF($A$3:A1610,A1610)=1,1,0))</f>
        <v>0</v>
      </c>
      <c r="W1610">
        <f t="shared" si="156"/>
        <v>0</v>
      </c>
      <c r="X1610" t="str">
        <f t="shared" si="157"/>
        <v/>
      </c>
      <c r="Y1610">
        <f>IF(X1610="",0,IF(COUNTIF($X$3:X1610,X1610)=1,1,0))</f>
        <v>0</v>
      </c>
      <c r="Z1610">
        <f>IF(V1610&lt;&gt;1,0,IF(X1610="",0,IF(COUNTIF($X$3:X1609,X1610)&gt;0,1,0)))</f>
        <v>0</v>
      </c>
      <c r="AA1610">
        <f t="shared" si="154"/>
        <v>0</v>
      </c>
      <c r="AB1610">
        <f t="shared" si="155"/>
        <v>0</v>
      </c>
      <c r="AC1610">
        <f>IF(I1610="",0,L1610*IFERROR(INDEX(کاتالوگ_محصولات!$G$4:$G$303,MATCH(I1610,کاتالوگ_محصولات!$A$4:$A$303,0)),0))</f>
        <v>0</v>
      </c>
      <c r="AD1610">
        <f t="shared" si="158"/>
        <v>0</v>
      </c>
      <c r="AE1610" t="str">
        <f t="shared" si="159"/>
        <v/>
      </c>
    </row>
    <row r="1611" spans="22:31" ht="18" customHeight="1">
      <c r="V1611">
        <f>IF(A1611="",0,IF(COUNTIF($A$3:A1611,A1611)=1,1,0))</f>
        <v>0</v>
      </c>
      <c r="W1611">
        <f t="shared" si="156"/>
        <v>0</v>
      </c>
      <c r="X1611" t="str">
        <f t="shared" si="157"/>
        <v/>
      </c>
      <c r="Y1611">
        <f>IF(X1611="",0,IF(COUNTIF($X$3:X1611,X1611)=1,1,0))</f>
        <v>0</v>
      </c>
      <c r="Z1611">
        <f>IF(V1611&lt;&gt;1,0,IF(X1611="",0,IF(COUNTIF($X$3:X1610,X1611)&gt;0,1,0)))</f>
        <v>0</v>
      </c>
      <c r="AA1611">
        <f t="shared" si="154"/>
        <v>0</v>
      </c>
      <c r="AB1611">
        <f t="shared" si="155"/>
        <v>0</v>
      </c>
      <c r="AC1611">
        <f>IF(I1611="",0,L1611*IFERROR(INDEX(کاتالوگ_محصولات!$G$4:$G$303,MATCH(I1611,کاتالوگ_محصولات!$A$4:$A$303,0)),0))</f>
        <v>0</v>
      </c>
      <c r="AD1611">
        <f t="shared" si="158"/>
        <v>0</v>
      </c>
      <c r="AE1611" t="str">
        <f t="shared" si="159"/>
        <v/>
      </c>
    </row>
    <row r="1612" spans="22:31" ht="18" customHeight="1">
      <c r="V1612">
        <f>IF(A1612="",0,IF(COUNTIF($A$3:A1612,A1612)=1,1,0))</f>
        <v>0</v>
      </c>
      <c r="W1612">
        <f t="shared" si="156"/>
        <v>0</v>
      </c>
      <c r="X1612" t="str">
        <f t="shared" si="157"/>
        <v/>
      </c>
      <c r="Y1612">
        <f>IF(X1612="",0,IF(COUNTIF($X$3:X1612,X1612)=1,1,0))</f>
        <v>0</v>
      </c>
      <c r="Z1612">
        <f>IF(V1612&lt;&gt;1,0,IF(X1612="",0,IF(COUNTIF($X$3:X1611,X1612)&gt;0,1,0)))</f>
        <v>0</v>
      </c>
      <c r="AA1612">
        <f t="shared" si="154"/>
        <v>0</v>
      </c>
      <c r="AB1612">
        <f t="shared" si="155"/>
        <v>0</v>
      </c>
      <c r="AC1612">
        <f>IF(I1612="",0,L1612*IFERROR(INDEX(کاتالوگ_محصولات!$G$4:$G$303,MATCH(I1612,کاتالوگ_محصولات!$A$4:$A$303,0)),0))</f>
        <v>0</v>
      </c>
      <c r="AD1612">
        <f t="shared" si="158"/>
        <v>0</v>
      </c>
      <c r="AE1612" t="str">
        <f t="shared" si="159"/>
        <v/>
      </c>
    </row>
    <row r="1613" spans="22:31" ht="18" customHeight="1">
      <c r="V1613">
        <f>IF(A1613="",0,IF(COUNTIF($A$3:A1613,A1613)=1,1,0))</f>
        <v>0</v>
      </c>
      <c r="W1613">
        <f t="shared" si="156"/>
        <v>0</v>
      </c>
      <c r="X1613" t="str">
        <f t="shared" si="157"/>
        <v/>
      </c>
      <c r="Y1613">
        <f>IF(X1613="",0,IF(COUNTIF($X$3:X1613,X1613)=1,1,0))</f>
        <v>0</v>
      </c>
      <c r="Z1613">
        <f>IF(V1613&lt;&gt;1,0,IF(X1613="",0,IF(COUNTIF($X$3:X1612,X1613)&gt;0,1,0)))</f>
        <v>0</v>
      </c>
      <c r="AA1613">
        <f t="shared" si="154"/>
        <v>0</v>
      </c>
      <c r="AB1613">
        <f t="shared" si="155"/>
        <v>0</v>
      </c>
      <c r="AC1613">
        <f>IF(I1613="",0,L1613*IFERROR(INDEX(کاتالوگ_محصولات!$G$4:$G$303,MATCH(I1613,کاتالوگ_محصولات!$A$4:$A$303,0)),0))</f>
        <v>0</v>
      </c>
      <c r="AD1613">
        <f t="shared" si="158"/>
        <v>0</v>
      </c>
      <c r="AE1613" t="str">
        <f t="shared" si="159"/>
        <v/>
      </c>
    </row>
    <row r="1614" spans="22:31" ht="18" customHeight="1">
      <c r="V1614">
        <f>IF(A1614="",0,IF(COUNTIF($A$3:A1614,A1614)=1,1,0))</f>
        <v>0</v>
      </c>
      <c r="W1614">
        <f t="shared" si="156"/>
        <v>0</v>
      </c>
      <c r="X1614" t="str">
        <f t="shared" si="157"/>
        <v/>
      </c>
      <c r="Y1614">
        <f>IF(X1614="",0,IF(COUNTIF($X$3:X1614,X1614)=1,1,0))</f>
        <v>0</v>
      </c>
      <c r="Z1614">
        <f>IF(V1614&lt;&gt;1,0,IF(X1614="",0,IF(COUNTIF($X$3:X1613,X1614)&gt;0,1,0)))</f>
        <v>0</v>
      </c>
      <c r="AA1614">
        <f t="shared" si="154"/>
        <v>0</v>
      </c>
      <c r="AB1614">
        <f t="shared" si="155"/>
        <v>0</v>
      </c>
      <c r="AC1614">
        <f>IF(I1614="",0,L1614*IFERROR(INDEX(کاتالوگ_محصولات!$G$4:$G$303,MATCH(I1614,کاتالوگ_محصولات!$A$4:$A$303,0)),0))</f>
        <v>0</v>
      </c>
      <c r="AD1614">
        <f t="shared" si="158"/>
        <v>0</v>
      </c>
      <c r="AE1614" t="str">
        <f t="shared" si="159"/>
        <v/>
      </c>
    </row>
    <row r="1615" spans="22:31" ht="18" customHeight="1">
      <c r="V1615">
        <f>IF(A1615="",0,IF(COUNTIF($A$3:A1615,A1615)=1,1,0))</f>
        <v>0</v>
      </c>
      <c r="W1615">
        <f t="shared" si="156"/>
        <v>0</v>
      </c>
      <c r="X1615" t="str">
        <f t="shared" si="157"/>
        <v/>
      </c>
      <c r="Y1615">
        <f>IF(X1615="",0,IF(COUNTIF($X$3:X1615,X1615)=1,1,0))</f>
        <v>0</v>
      </c>
      <c r="Z1615">
        <f>IF(V1615&lt;&gt;1,0,IF(X1615="",0,IF(COUNTIF($X$3:X1614,X1615)&gt;0,1,0)))</f>
        <v>0</v>
      </c>
      <c r="AA1615">
        <f t="shared" si="154"/>
        <v>0</v>
      </c>
      <c r="AB1615">
        <f t="shared" si="155"/>
        <v>0</v>
      </c>
      <c r="AC1615">
        <f>IF(I1615="",0,L1615*IFERROR(INDEX(کاتالوگ_محصولات!$G$4:$G$303,MATCH(I1615,کاتالوگ_محصولات!$A$4:$A$303,0)),0))</f>
        <v>0</v>
      </c>
      <c r="AD1615">
        <f t="shared" si="158"/>
        <v>0</v>
      </c>
      <c r="AE1615" t="str">
        <f t="shared" si="159"/>
        <v/>
      </c>
    </row>
    <row r="1616" spans="22:31" ht="18" customHeight="1">
      <c r="V1616">
        <f>IF(A1616="",0,IF(COUNTIF($A$3:A1616,A1616)=1,1,0))</f>
        <v>0</v>
      </c>
      <c r="W1616">
        <f t="shared" si="156"/>
        <v>0</v>
      </c>
      <c r="X1616" t="str">
        <f t="shared" si="157"/>
        <v/>
      </c>
      <c r="Y1616">
        <f>IF(X1616="",0,IF(COUNTIF($X$3:X1616,X1616)=1,1,0))</f>
        <v>0</v>
      </c>
      <c r="Z1616">
        <f>IF(V1616&lt;&gt;1,0,IF(X1616="",0,IF(COUNTIF($X$3:X1615,X1616)&gt;0,1,0)))</f>
        <v>0</v>
      </c>
      <c r="AA1616">
        <f t="shared" si="154"/>
        <v>0</v>
      </c>
      <c r="AB1616">
        <f t="shared" si="155"/>
        <v>0</v>
      </c>
      <c r="AC1616">
        <f>IF(I1616="",0,L1616*IFERROR(INDEX(کاتالوگ_محصولات!$G$4:$G$303,MATCH(I1616,کاتالوگ_محصولات!$A$4:$A$303,0)),0))</f>
        <v>0</v>
      </c>
      <c r="AD1616">
        <f t="shared" si="158"/>
        <v>0</v>
      </c>
      <c r="AE1616" t="str">
        <f t="shared" si="159"/>
        <v/>
      </c>
    </row>
    <row r="1617" spans="22:31" ht="18" customHeight="1">
      <c r="V1617">
        <f>IF(A1617="",0,IF(COUNTIF($A$3:A1617,A1617)=1,1,0))</f>
        <v>0</v>
      </c>
      <c r="W1617">
        <f t="shared" si="156"/>
        <v>0</v>
      </c>
      <c r="X1617" t="str">
        <f t="shared" si="157"/>
        <v/>
      </c>
      <c r="Y1617">
        <f>IF(X1617="",0,IF(COUNTIF($X$3:X1617,X1617)=1,1,0))</f>
        <v>0</v>
      </c>
      <c r="Z1617">
        <f>IF(V1617&lt;&gt;1,0,IF(X1617="",0,IF(COUNTIF($X$3:X1616,X1617)&gt;0,1,0)))</f>
        <v>0</v>
      </c>
      <c r="AA1617">
        <f t="shared" si="154"/>
        <v>0</v>
      </c>
      <c r="AB1617">
        <f t="shared" si="155"/>
        <v>0</v>
      </c>
      <c r="AC1617">
        <f>IF(I1617="",0,L1617*IFERROR(INDEX(کاتالوگ_محصولات!$G$4:$G$303,MATCH(I1617,کاتالوگ_محصولات!$A$4:$A$303,0)),0))</f>
        <v>0</v>
      </c>
      <c r="AD1617">
        <f t="shared" si="158"/>
        <v>0</v>
      </c>
      <c r="AE1617" t="str">
        <f t="shared" si="159"/>
        <v/>
      </c>
    </row>
    <row r="1618" spans="22:31" ht="18" customHeight="1">
      <c r="V1618">
        <f>IF(A1618="",0,IF(COUNTIF($A$3:A1618,A1618)=1,1,0))</f>
        <v>0</v>
      </c>
      <c r="W1618">
        <f t="shared" si="156"/>
        <v>0</v>
      </c>
      <c r="X1618" t="str">
        <f t="shared" si="157"/>
        <v/>
      </c>
      <c r="Y1618">
        <f>IF(X1618="",0,IF(COUNTIF($X$3:X1618,X1618)=1,1,0))</f>
        <v>0</v>
      </c>
      <c r="Z1618">
        <f>IF(V1618&lt;&gt;1,0,IF(X1618="",0,IF(COUNTIF($X$3:X1617,X1618)&gt;0,1,0)))</f>
        <v>0</v>
      </c>
      <c r="AA1618">
        <f t="shared" si="154"/>
        <v>0</v>
      </c>
      <c r="AB1618">
        <f t="shared" si="155"/>
        <v>0</v>
      </c>
      <c r="AC1618">
        <f>IF(I1618="",0,L1618*IFERROR(INDEX(کاتالوگ_محصولات!$G$4:$G$303,MATCH(I1618,کاتالوگ_محصولات!$A$4:$A$303,0)),0))</f>
        <v>0</v>
      </c>
      <c r="AD1618">
        <f t="shared" si="158"/>
        <v>0</v>
      </c>
      <c r="AE1618" t="str">
        <f t="shared" si="159"/>
        <v/>
      </c>
    </row>
    <row r="1619" spans="22:31" ht="18" customHeight="1">
      <c r="V1619">
        <f>IF(A1619="",0,IF(COUNTIF($A$3:A1619,A1619)=1,1,0))</f>
        <v>0</v>
      </c>
      <c r="W1619">
        <f t="shared" si="156"/>
        <v>0</v>
      </c>
      <c r="X1619" t="str">
        <f t="shared" si="157"/>
        <v/>
      </c>
      <c r="Y1619">
        <f>IF(X1619="",0,IF(COUNTIF($X$3:X1619,X1619)=1,1,0))</f>
        <v>0</v>
      </c>
      <c r="Z1619">
        <f>IF(V1619&lt;&gt;1,0,IF(X1619="",0,IF(COUNTIF($X$3:X1618,X1619)&gt;0,1,0)))</f>
        <v>0</v>
      </c>
      <c r="AA1619">
        <f t="shared" si="154"/>
        <v>0</v>
      </c>
      <c r="AB1619">
        <f t="shared" si="155"/>
        <v>0</v>
      </c>
      <c r="AC1619">
        <f>IF(I1619="",0,L1619*IFERROR(INDEX(کاتالوگ_محصولات!$G$4:$G$303,MATCH(I1619,کاتالوگ_محصولات!$A$4:$A$303,0)),0))</f>
        <v>0</v>
      </c>
      <c r="AD1619">
        <f t="shared" si="158"/>
        <v>0</v>
      </c>
      <c r="AE1619" t="str">
        <f t="shared" si="159"/>
        <v/>
      </c>
    </row>
    <row r="1620" spans="22:31" ht="18" customHeight="1">
      <c r="V1620">
        <f>IF(A1620="",0,IF(COUNTIF($A$3:A1620,A1620)=1,1,0))</f>
        <v>0</v>
      </c>
      <c r="W1620">
        <f t="shared" si="156"/>
        <v>0</v>
      </c>
      <c r="X1620" t="str">
        <f t="shared" si="157"/>
        <v/>
      </c>
      <c r="Y1620">
        <f>IF(X1620="",0,IF(COUNTIF($X$3:X1620,X1620)=1,1,0))</f>
        <v>0</v>
      </c>
      <c r="Z1620">
        <f>IF(V1620&lt;&gt;1,0,IF(X1620="",0,IF(COUNTIF($X$3:X1619,X1620)&gt;0,1,0)))</f>
        <v>0</v>
      </c>
      <c r="AA1620">
        <f t="shared" si="154"/>
        <v>0</v>
      </c>
      <c r="AB1620">
        <f t="shared" si="155"/>
        <v>0</v>
      </c>
      <c r="AC1620">
        <f>IF(I1620="",0,L1620*IFERROR(INDEX(کاتالوگ_محصولات!$G$4:$G$303,MATCH(I1620,کاتالوگ_محصولات!$A$4:$A$303,0)),0))</f>
        <v>0</v>
      </c>
      <c r="AD1620">
        <f t="shared" si="158"/>
        <v>0</v>
      </c>
      <c r="AE1620" t="str">
        <f t="shared" si="159"/>
        <v/>
      </c>
    </row>
    <row r="1621" spans="22:31" ht="18" customHeight="1">
      <c r="V1621">
        <f>IF(A1621="",0,IF(COUNTIF($A$3:A1621,A1621)=1,1,0))</f>
        <v>0</v>
      </c>
      <c r="W1621">
        <f t="shared" si="156"/>
        <v>0</v>
      </c>
      <c r="X1621" t="str">
        <f t="shared" si="157"/>
        <v/>
      </c>
      <c r="Y1621">
        <f>IF(X1621="",0,IF(COUNTIF($X$3:X1621,X1621)=1,1,0))</f>
        <v>0</v>
      </c>
      <c r="Z1621">
        <f>IF(V1621&lt;&gt;1,0,IF(X1621="",0,IF(COUNTIF($X$3:X1620,X1621)&gt;0,1,0)))</f>
        <v>0</v>
      </c>
      <c r="AA1621">
        <f t="shared" si="154"/>
        <v>0</v>
      </c>
      <c r="AB1621">
        <f t="shared" si="155"/>
        <v>0</v>
      </c>
      <c r="AC1621">
        <f>IF(I1621="",0,L1621*IFERROR(INDEX(کاتالوگ_محصولات!$G$4:$G$303,MATCH(I1621,کاتالوگ_محصولات!$A$4:$A$303,0)),0))</f>
        <v>0</v>
      </c>
      <c r="AD1621">
        <f t="shared" si="158"/>
        <v>0</v>
      </c>
      <c r="AE1621" t="str">
        <f t="shared" si="159"/>
        <v/>
      </c>
    </row>
    <row r="1622" spans="22:31" ht="18" customHeight="1">
      <c r="V1622">
        <f>IF(A1622="",0,IF(COUNTIF($A$3:A1622,A1622)=1,1,0))</f>
        <v>0</v>
      </c>
      <c r="W1622">
        <f t="shared" si="156"/>
        <v>0</v>
      </c>
      <c r="X1622" t="str">
        <f t="shared" si="157"/>
        <v/>
      </c>
      <c r="Y1622">
        <f>IF(X1622="",0,IF(COUNTIF($X$3:X1622,X1622)=1,1,0))</f>
        <v>0</v>
      </c>
      <c r="Z1622">
        <f>IF(V1622&lt;&gt;1,0,IF(X1622="",0,IF(COUNTIF($X$3:X1621,X1622)&gt;0,1,0)))</f>
        <v>0</v>
      </c>
      <c r="AA1622">
        <f t="shared" si="154"/>
        <v>0</v>
      </c>
      <c r="AB1622">
        <f t="shared" si="155"/>
        <v>0</v>
      </c>
      <c r="AC1622">
        <f>IF(I1622="",0,L1622*IFERROR(INDEX(کاتالوگ_محصولات!$G$4:$G$303,MATCH(I1622,کاتالوگ_محصولات!$A$4:$A$303,0)),0))</f>
        <v>0</v>
      </c>
      <c r="AD1622">
        <f t="shared" si="158"/>
        <v>0</v>
      </c>
      <c r="AE1622" t="str">
        <f t="shared" si="159"/>
        <v/>
      </c>
    </row>
    <row r="1623" spans="22:31" ht="18" customHeight="1"/>
    <row r="1624" spans="22:31" ht="18" customHeight="1"/>
    <row r="1625" spans="22:31" ht="18" customHeight="1"/>
    <row r="1626" spans="22:31" ht="18" customHeight="1"/>
    <row r="1627" spans="22:31" ht="18" customHeight="1"/>
    <row r="1628" spans="22:31" ht="18" customHeight="1"/>
    <row r="1629" spans="22:31" ht="18" customHeight="1"/>
    <row r="1630" spans="22:31" ht="18" customHeight="1"/>
    <row r="1631" spans="22:31" ht="18" customHeight="1"/>
    <row r="1632" spans="22:31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</sheetData>
  <sheetProtection formatCells="0" formatColumns="0" formatRows="0" insertColumns="0" insertRows="0" insertHyperlinks="0" deleteColumns="0" deleteRows="0" sort="0" autoFilter="0" pivotTables="0"/>
  <mergeCells count="9">
    <mergeCell ref="U96:U100"/>
    <mergeCell ref="U65:U68"/>
    <mergeCell ref="U50:U53"/>
    <mergeCell ref="U45:U47"/>
    <mergeCell ref="A1:U1"/>
    <mergeCell ref="U9:U12"/>
    <mergeCell ref="U27:U32"/>
    <mergeCell ref="U23:U25"/>
    <mergeCell ref="U39:U4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D4AF37"/>
  </sheetPr>
  <dimension ref="A1:L1503"/>
  <sheetViews>
    <sheetView rightToLeft="1" zoomScale="110" zoomScaleNormal="110" workbookViewId="0">
      <pane ySplit="3" topLeftCell="A293" activePane="bottomLeft" state="frozen"/>
      <selection pane="bottomLeft" activeCell="C303" sqref="C303"/>
    </sheetView>
  </sheetViews>
  <sheetFormatPr defaultColWidth="8.7109375" defaultRowHeight="15"/>
  <cols>
    <col min="1" max="2" width="19.7109375" customWidth="1"/>
    <col min="3" max="3" width="25.7109375" customWidth="1"/>
    <col min="4" max="5" width="19.7109375" customWidth="1"/>
    <col min="6" max="6" width="19.7109375" style="88" customWidth="1"/>
    <col min="7" max="7" width="19.7109375" customWidth="1"/>
    <col min="8" max="8" width="19.7109375" style="70" customWidth="1"/>
    <col min="9" max="12" width="19.7109375" customWidth="1"/>
  </cols>
  <sheetData>
    <row r="1" spans="1:12" ht="0.75" customHeight="1"/>
    <row r="2" spans="1:12" s="43" customFormat="1" ht="50.1" customHeight="1">
      <c r="A2" s="273" t="s">
        <v>775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</row>
    <row r="3" spans="1:12" ht="31.5" customHeight="1">
      <c r="A3" s="3" t="s">
        <v>52</v>
      </c>
      <c r="B3" s="2" t="s">
        <v>53</v>
      </c>
      <c r="C3" s="2" t="s">
        <v>54</v>
      </c>
      <c r="D3" s="3" t="s">
        <v>55</v>
      </c>
      <c r="E3" s="3" t="s">
        <v>56</v>
      </c>
      <c r="F3" s="89" t="s">
        <v>57</v>
      </c>
      <c r="G3" s="2" t="s">
        <v>58</v>
      </c>
      <c r="H3" s="58" t="s">
        <v>59</v>
      </c>
      <c r="I3" s="2" t="s">
        <v>60</v>
      </c>
      <c r="J3" s="3" t="s">
        <v>61</v>
      </c>
      <c r="K3" s="3" t="s">
        <v>62</v>
      </c>
      <c r="L3" s="2" t="s">
        <v>63</v>
      </c>
    </row>
    <row r="4" spans="1:12" ht="19.5" customHeight="1">
      <c r="A4" s="1" t="str">
        <f t="shared" ref="A4:A67" si="0">IF(C4="","","SKU-"&amp;TEXT(ROW()-3,"0000"))</f>
        <v>SKU-0001</v>
      </c>
      <c r="B4" s="63" t="s">
        <v>1008</v>
      </c>
      <c r="C4" t="s">
        <v>462</v>
      </c>
      <c r="D4" s="36" t="s">
        <v>64</v>
      </c>
      <c r="E4" s="36" t="s">
        <v>65</v>
      </c>
      <c r="F4" s="90" t="s">
        <v>69</v>
      </c>
      <c r="G4" s="7"/>
      <c r="H4" s="7">
        <v>3490000</v>
      </c>
      <c r="I4" s="8">
        <v>9</v>
      </c>
      <c r="J4" s="9">
        <f>IFERROR(SUMIF(لاگ_فاکتور!$I$3:$I$1622,A4,لاگ_فاکتور!$L$3:$L$1622),0)</f>
        <v>0</v>
      </c>
      <c r="K4" s="10">
        <f>MAX(0,I4-J4)</f>
        <v>9</v>
      </c>
      <c r="L4" s="1" t="str">
        <f>IF(C4="","",IF(K4&lt;=0,"🔴 تمام",IF(K4&lt;=تنظیمات_سیستم!$C$7,"🟠 کم","🟢 OK")))</f>
        <v>🟢 OK</v>
      </c>
    </row>
    <row r="5" spans="1:12" ht="19.5" customHeight="1">
      <c r="A5" s="1" t="str">
        <f t="shared" si="0"/>
        <v>SKU-0002</v>
      </c>
      <c r="B5" s="63" t="s">
        <v>1009</v>
      </c>
      <c r="C5" t="s">
        <v>463</v>
      </c>
      <c r="D5" s="36" t="s">
        <v>64</v>
      </c>
      <c r="E5" s="36" t="s">
        <v>65</v>
      </c>
      <c r="F5" s="90" t="s">
        <v>69</v>
      </c>
      <c r="G5" s="7"/>
      <c r="H5" s="7">
        <v>3490000</v>
      </c>
      <c r="I5" s="8">
        <v>9</v>
      </c>
      <c r="J5" s="9">
        <f>IFERROR(SUMIF(لاگ_فاکتور!$I$3:$I$1622,A5,لاگ_فاکتور!$L$3:$L$1622),0)</f>
        <v>0</v>
      </c>
      <c r="K5" s="10">
        <f t="shared" ref="K5:K67" si="1">MAX(0,I5-J5)</f>
        <v>9</v>
      </c>
      <c r="L5" s="1" t="str">
        <f>IF(C5="","",IF(K5&lt;=0,"🔴 تمام",IF(K5&lt;=تنظیمات_سیستم!$C$7,"🟠 کم","🟢 OK")))</f>
        <v>🟢 OK</v>
      </c>
    </row>
    <row r="6" spans="1:12" ht="19.5" customHeight="1">
      <c r="A6" s="1" t="str">
        <f t="shared" si="0"/>
        <v>SKU-0003</v>
      </c>
      <c r="B6" s="63" t="s">
        <v>781</v>
      </c>
      <c r="C6" t="s">
        <v>464</v>
      </c>
      <c r="D6" s="36" t="s">
        <v>64</v>
      </c>
      <c r="E6" s="36" t="s">
        <v>65</v>
      </c>
      <c r="F6" s="90" t="s">
        <v>69</v>
      </c>
      <c r="G6" s="7"/>
      <c r="H6" s="7">
        <v>3490000</v>
      </c>
      <c r="I6" s="8">
        <v>9</v>
      </c>
      <c r="J6" s="9">
        <f>IFERROR(SUMIF(لاگ_فاکتور!$I$3:$I$1622,A6,لاگ_فاکتور!$L$3:$L$1622),0)</f>
        <v>0</v>
      </c>
      <c r="K6" s="10">
        <f t="shared" si="1"/>
        <v>9</v>
      </c>
      <c r="L6" s="1" t="str">
        <f>IF(C6="","",IF(K6&lt;=0,"🔴 تمام",IF(K6&lt;=تنظیمات_سیستم!$C$7,"🟠 کم","🟢 OK")))</f>
        <v>🟢 OK</v>
      </c>
    </row>
    <row r="7" spans="1:12" ht="19.5" customHeight="1">
      <c r="A7" s="1" t="str">
        <f t="shared" si="0"/>
        <v>SKU-0004</v>
      </c>
      <c r="B7" s="63" t="s">
        <v>782</v>
      </c>
      <c r="C7" t="s">
        <v>465</v>
      </c>
      <c r="D7" s="36" t="s">
        <v>64</v>
      </c>
      <c r="E7" s="36" t="s">
        <v>65</v>
      </c>
      <c r="F7" s="90" t="s">
        <v>69</v>
      </c>
      <c r="G7" s="7"/>
      <c r="H7" s="7">
        <v>3490000</v>
      </c>
      <c r="I7" s="8">
        <v>9</v>
      </c>
      <c r="J7" s="9">
        <f>IFERROR(SUMIF(لاگ_فاکتور!$I$3:$I$1622,A7,لاگ_فاکتور!$L$3:$L$1622),0)</f>
        <v>0</v>
      </c>
      <c r="K7" s="10">
        <f t="shared" si="1"/>
        <v>9</v>
      </c>
      <c r="L7" s="1" t="str">
        <f>IF(C7="","",IF(K7&lt;=0,"🔴 تمام",IF(K7&lt;=تنظیمات_سیستم!$C$7,"🟠 کم","🟢 OK")))</f>
        <v>🟢 OK</v>
      </c>
    </row>
    <row r="8" spans="1:12" ht="19.5" customHeight="1">
      <c r="A8" s="1" t="str">
        <f t="shared" si="0"/>
        <v>SKU-0005</v>
      </c>
      <c r="B8" s="63" t="s">
        <v>783</v>
      </c>
      <c r="C8" t="s">
        <v>466</v>
      </c>
      <c r="D8" s="36" t="s">
        <v>64</v>
      </c>
      <c r="E8" s="36" t="s">
        <v>65</v>
      </c>
      <c r="F8" s="90" t="s">
        <v>69</v>
      </c>
      <c r="G8" s="7"/>
      <c r="H8" s="7">
        <v>3490000</v>
      </c>
      <c r="I8" s="8">
        <v>9</v>
      </c>
      <c r="J8" s="9">
        <f>IFERROR(SUMIF(لاگ_فاکتور!$I$3:$I$1622,A8,لاگ_فاکتور!$L$3:$L$1622),0)</f>
        <v>0</v>
      </c>
      <c r="K8" s="10">
        <f t="shared" si="1"/>
        <v>9</v>
      </c>
      <c r="L8" s="1" t="str">
        <f>IF(C8="","",IF(K8&lt;=0,"🔴 تمام",IF(K8&lt;=تنظیمات_سیستم!$C$7,"🟠 کم","🟢 OK")))</f>
        <v>🟢 OK</v>
      </c>
    </row>
    <row r="9" spans="1:12" ht="19.5" customHeight="1">
      <c r="A9" s="1" t="str">
        <f t="shared" si="0"/>
        <v>SKU-0006</v>
      </c>
      <c r="B9" s="63" t="s">
        <v>784</v>
      </c>
      <c r="C9" t="s">
        <v>467</v>
      </c>
      <c r="D9" s="36" t="s">
        <v>64</v>
      </c>
      <c r="E9" s="36" t="s">
        <v>65</v>
      </c>
      <c r="F9" s="90" t="s">
        <v>69</v>
      </c>
      <c r="G9" s="7"/>
      <c r="H9" s="7">
        <v>3490000</v>
      </c>
      <c r="I9" s="8">
        <v>9</v>
      </c>
      <c r="J9" s="9">
        <f>IFERROR(SUMIF(لاگ_فاکتور!$I$3:$I$1622,A9,لاگ_فاکتور!$L$3:$L$1622),0)</f>
        <v>0</v>
      </c>
      <c r="K9" s="10">
        <f t="shared" si="1"/>
        <v>9</v>
      </c>
      <c r="L9" s="1" t="str">
        <f>IF(C9="","",IF(K9&lt;=0,"🔴 تمام",IF(K9&lt;=تنظیمات_سیستم!$C$7,"🟠 کم","🟢 OK")))</f>
        <v>🟢 OK</v>
      </c>
    </row>
    <row r="10" spans="1:12" ht="19.5" customHeight="1">
      <c r="A10" s="1" t="str">
        <f t="shared" si="0"/>
        <v>SKU-0007</v>
      </c>
      <c r="B10" s="63" t="s">
        <v>785</v>
      </c>
      <c r="C10" t="s">
        <v>468</v>
      </c>
      <c r="D10" s="36" t="s">
        <v>64</v>
      </c>
      <c r="E10" s="36" t="s">
        <v>65</v>
      </c>
      <c r="F10" s="90" t="s">
        <v>69</v>
      </c>
      <c r="G10" s="7"/>
      <c r="H10" s="7">
        <v>3490000</v>
      </c>
      <c r="I10" s="8">
        <v>9</v>
      </c>
      <c r="J10" s="9">
        <f>IFERROR(SUMIF(لاگ_فاکتور!$I$3:$I$1622,A10,لاگ_فاکتور!$L$3:$L$1622),0)</f>
        <v>0</v>
      </c>
      <c r="K10" s="10">
        <f t="shared" si="1"/>
        <v>9</v>
      </c>
      <c r="L10" s="1" t="str">
        <f>IF(C10="","",IF(K10&lt;=0,"🔴 تمام",IF(K10&lt;=تنظیمات_سیستم!$C$7,"🟠 کم","🟢 OK")))</f>
        <v>🟢 OK</v>
      </c>
    </row>
    <row r="11" spans="1:12" ht="19.5" customHeight="1">
      <c r="A11" s="1" t="str">
        <f t="shared" si="0"/>
        <v>SKU-0008</v>
      </c>
      <c r="B11" s="63" t="s">
        <v>786</v>
      </c>
      <c r="C11" t="s">
        <v>469</v>
      </c>
      <c r="D11" s="36" t="s">
        <v>64</v>
      </c>
      <c r="E11" s="36" t="s">
        <v>65</v>
      </c>
      <c r="F11" s="90" t="s">
        <v>69</v>
      </c>
      <c r="G11" s="7"/>
      <c r="H11" s="7">
        <v>3490000</v>
      </c>
      <c r="I11" s="8">
        <v>9</v>
      </c>
      <c r="J11" s="9">
        <f>IFERROR(SUMIF(لاگ_فاکتور!$I$3:$I$1622,A11,لاگ_فاکتور!$L$3:$L$1622),0)</f>
        <v>0</v>
      </c>
      <c r="K11" s="10">
        <f t="shared" si="1"/>
        <v>9</v>
      </c>
      <c r="L11" s="1" t="str">
        <f>IF(C11="","",IF(K11&lt;=0,"🔴 تمام",IF(K11&lt;=تنظیمات_سیستم!$C$7,"🟠 کم","🟢 OK")))</f>
        <v>🟢 OK</v>
      </c>
    </row>
    <row r="12" spans="1:12" ht="19.5" customHeight="1">
      <c r="A12" s="1" t="str">
        <f t="shared" si="0"/>
        <v>SKU-0009</v>
      </c>
      <c r="B12" s="63" t="s">
        <v>787</v>
      </c>
      <c r="C12" t="s">
        <v>470</v>
      </c>
      <c r="D12" s="36" t="s">
        <v>73</v>
      </c>
      <c r="E12" s="36" t="s">
        <v>68</v>
      </c>
      <c r="F12" s="90" t="s">
        <v>66</v>
      </c>
      <c r="G12" s="7"/>
      <c r="H12" s="7">
        <v>2480000</v>
      </c>
      <c r="I12" s="8">
        <v>9</v>
      </c>
      <c r="J12" s="9">
        <f>IFERROR(SUMIF(لاگ_فاکتور!$I$3:$I$1622,A12,لاگ_فاکتور!$L$3:$L$1622),0)</f>
        <v>0</v>
      </c>
      <c r="K12" s="10">
        <f t="shared" si="1"/>
        <v>9</v>
      </c>
      <c r="L12" s="1" t="str">
        <f>IF(C12="","",IF(K12&lt;=0,"🔴 تمام",IF(K12&lt;=تنظیمات_سیستم!$C$7,"🟠 کم","🟢 OK")))</f>
        <v>🟢 OK</v>
      </c>
    </row>
    <row r="13" spans="1:12" ht="19.5" customHeight="1">
      <c r="A13" s="1" t="str">
        <f t="shared" si="0"/>
        <v>SKU-0010</v>
      </c>
      <c r="B13" s="63"/>
      <c r="C13" t="s">
        <v>471</v>
      </c>
      <c r="D13" s="36" t="s">
        <v>73</v>
      </c>
      <c r="E13" s="36" t="s">
        <v>68</v>
      </c>
      <c r="F13" s="90" t="s">
        <v>66</v>
      </c>
      <c r="G13" s="7"/>
      <c r="H13" s="7">
        <v>2480000</v>
      </c>
      <c r="I13" s="8">
        <v>9</v>
      </c>
      <c r="J13" s="9">
        <f>IFERROR(SUMIF(لاگ_فاکتور!$I$3:$I$1622,A13,لاگ_فاکتور!$L$3:$L$1622),0)</f>
        <v>0</v>
      </c>
      <c r="K13" s="10">
        <f t="shared" si="1"/>
        <v>9</v>
      </c>
      <c r="L13" s="1" t="str">
        <f>IF(C13="","",IF(K13&lt;=0,"🔴 تمام",IF(K13&lt;=تنظیمات_سیستم!$C$7,"🟠 کم","🟢 OK")))</f>
        <v>🟢 OK</v>
      </c>
    </row>
    <row r="14" spans="1:12" ht="19.5" customHeight="1">
      <c r="A14" s="1" t="str">
        <f t="shared" si="0"/>
        <v>SKU-0011</v>
      </c>
      <c r="B14" s="63" t="s">
        <v>789</v>
      </c>
      <c r="C14" t="s">
        <v>472</v>
      </c>
      <c r="D14" s="64" t="s">
        <v>73</v>
      </c>
      <c r="E14" s="36" t="s">
        <v>68</v>
      </c>
      <c r="F14" s="90" t="s">
        <v>66</v>
      </c>
      <c r="G14" s="7"/>
      <c r="H14" s="7">
        <v>2480000</v>
      </c>
      <c r="I14" s="8">
        <v>9</v>
      </c>
      <c r="J14" s="9">
        <f>IFERROR(SUMIF(لاگ_فاکتور!$I$3:$I$1622,A14,لاگ_فاکتور!$L$3:$L$1622),0)</f>
        <v>0</v>
      </c>
      <c r="K14" s="10">
        <f t="shared" si="1"/>
        <v>9</v>
      </c>
      <c r="L14" s="1" t="str">
        <f>IF(C14="","",IF(K14&lt;=0,"🔴 تمام",IF(K14&lt;=تنظیمات_سیستم!$C$7,"🟠 کم","🟢 OK")))</f>
        <v>🟢 OK</v>
      </c>
    </row>
    <row r="15" spans="1:12" ht="19.5" customHeight="1">
      <c r="A15" s="1" t="str">
        <f t="shared" si="0"/>
        <v>SKU-0012</v>
      </c>
      <c r="B15" s="63" t="s">
        <v>790</v>
      </c>
      <c r="C15" t="s">
        <v>473</v>
      </c>
      <c r="D15" s="36" t="s">
        <v>73</v>
      </c>
      <c r="E15" s="36" t="s">
        <v>68</v>
      </c>
      <c r="F15" s="90" t="s">
        <v>66</v>
      </c>
      <c r="G15" s="7"/>
      <c r="H15" s="7">
        <v>2480000</v>
      </c>
      <c r="I15" s="8">
        <v>9</v>
      </c>
      <c r="J15" s="9">
        <f>IFERROR(SUMIF(لاگ_فاکتور!$I$3:$I$1622,A15,لاگ_فاکتور!$L$3:$L$1622),0)</f>
        <v>0</v>
      </c>
      <c r="K15" s="10">
        <f t="shared" si="1"/>
        <v>9</v>
      </c>
      <c r="L15" s="1" t="str">
        <f>IF(C15="","",IF(K15&lt;=0,"🔴 تمام",IF(K15&lt;=تنظیمات_سیستم!$C$7,"🟠 کم","🟢 OK")))</f>
        <v>🟢 OK</v>
      </c>
    </row>
    <row r="16" spans="1:12" ht="19.5" customHeight="1">
      <c r="A16" s="1" t="str">
        <f t="shared" si="0"/>
        <v>SKU-0013</v>
      </c>
      <c r="B16" s="63" t="s">
        <v>788</v>
      </c>
      <c r="C16" t="s">
        <v>474</v>
      </c>
      <c r="D16" s="36" t="s">
        <v>73</v>
      </c>
      <c r="E16" s="36" t="s">
        <v>68</v>
      </c>
      <c r="F16" s="90" t="s">
        <v>66</v>
      </c>
      <c r="G16" s="7"/>
      <c r="H16" s="7">
        <v>2480000</v>
      </c>
      <c r="I16" s="8">
        <v>9</v>
      </c>
      <c r="J16" s="9">
        <f>IFERROR(SUMIF(لاگ_فاکتور!$I$3:$I$1622,A16,لاگ_فاکتور!$L$3:$L$1622),0)</f>
        <v>0</v>
      </c>
      <c r="K16" s="10">
        <f t="shared" si="1"/>
        <v>9</v>
      </c>
      <c r="L16" s="1" t="str">
        <f>IF(C16="","",IF(K16&lt;=0,"🔴 تمام",IF(K16&lt;=تنظیمات_سیستم!$C$7,"🟠 کم","🟢 OK")))</f>
        <v>🟢 OK</v>
      </c>
    </row>
    <row r="17" spans="1:12" ht="19.5" customHeight="1">
      <c r="A17" s="1" t="str">
        <f t="shared" si="0"/>
        <v>SKU-0014</v>
      </c>
      <c r="B17" s="63" t="s">
        <v>790</v>
      </c>
      <c r="C17" t="s">
        <v>475</v>
      </c>
      <c r="D17" s="36" t="s">
        <v>73</v>
      </c>
      <c r="E17" s="36" t="s">
        <v>68</v>
      </c>
      <c r="F17" s="90" t="s">
        <v>66</v>
      </c>
      <c r="G17" s="7"/>
      <c r="H17" s="7">
        <v>2480000</v>
      </c>
      <c r="I17" s="8">
        <v>9</v>
      </c>
      <c r="J17" s="9">
        <f>IFERROR(SUMIF(لاگ_فاکتور!$I$3:$I$1622,A17,لاگ_فاکتور!$L$3:$L$1622),0)</f>
        <v>0</v>
      </c>
      <c r="K17" s="10">
        <f t="shared" si="1"/>
        <v>9</v>
      </c>
      <c r="L17" s="1" t="str">
        <f>IF(C17="","",IF(K17&lt;=0,"🔴 تمام",IF(K17&lt;=تنظیمات_سیستم!$C$7,"🟠 کم","🟢 OK")))</f>
        <v>🟢 OK</v>
      </c>
    </row>
    <row r="18" spans="1:12" ht="19.5" customHeight="1">
      <c r="A18" s="1" t="str">
        <f t="shared" si="0"/>
        <v>SKU-0015</v>
      </c>
      <c r="B18" s="63" t="s">
        <v>791</v>
      </c>
      <c r="C18" t="s">
        <v>476</v>
      </c>
      <c r="D18" s="36" t="s">
        <v>73</v>
      </c>
      <c r="E18" s="36" t="s">
        <v>68</v>
      </c>
      <c r="F18" s="90" t="s">
        <v>66</v>
      </c>
      <c r="G18" s="7"/>
      <c r="H18" s="7">
        <v>2480000</v>
      </c>
      <c r="I18" s="8">
        <v>9</v>
      </c>
      <c r="J18" s="9">
        <f>IFERROR(SUMIF(لاگ_فاکتور!$I$3:$I$1622,A18,لاگ_فاکتور!$L$3:$L$1622),0)</f>
        <v>0</v>
      </c>
      <c r="K18" s="10">
        <f t="shared" si="1"/>
        <v>9</v>
      </c>
      <c r="L18" s="1" t="str">
        <f>IF(C18="","",IF(K18&lt;=0,"🔴 تمام",IF(K18&lt;=تنظیمات_سیستم!$C$7,"🟠 کم","🟢 OK")))</f>
        <v>🟢 OK</v>
      </c>
    </row>
    <row r="19" spans="1:12" ht="19.5" customHeight="1">
      <c r="A19" s="1" t="str">
        <f t="shared" si="0"/>
        <v>SKU-0016</v>
      </c>
      <c r="B19" s="63" t="s">
        <v>792</v>
      </c>
      <c r="C19" t="s">
        <v>477</v>
      </c>
      <c r="D19" s="36" t="s">
        <v>73</v>
      </c>
      <c r="E19" s="36" t="s">
        <v>68</v>
      </c>
      <c r="F19" s="90" t="s">
        <v>66</v>
      </c>
      <c r="G19" s="7"/>
      <c r="H19" s="7">
        <v>900000</v>
      </c>
      <c r="I19" s="8">
        <v>9</v>
      </c>
      <c r="J19" s="9">
        <f>IFERROR(SUMIF(لاگ_فاکتور!$I$3:$I$1622,A19,لاگ_فاکتور!$L$3:$L$1622),0)</f>
        <v>0</v>
      </c>
      <c r="K19" s="10">
        <f t="shared" si="1"/>
        <v>9</v>
      </c>
      <c r="L19" s="1" t="str">
        <f>IF(C19="","",IF(K19&lt;=0,"🔴 تمام",IF(K19&lt;=تنظیمات_سیستم!$C$7,"🟠 کم","🟢 OK")))</f>
        <v>🟢 OK</v>
      </c>
    </row>
    <row r="20" spans="1:12" ht="19.5" customHeight="1">
      <c r="A20" s="1" t="str">
        <f t="shared" si="0"/>
        <v>SKU-0017</v>
      </c>
      <c r="B20" s="63" t="s">
        <v>793</v>
      </c>
      <c r="C20" t="s">
        <v>1397</v>
      </c>
      <c r="D20" s="36" t="s">
        <v>73</v>
      </c>
      <c r="E20" s="36" t="s">
        <v>68</v>
      </c>
      <c r="F20" s="90" t="s">
        <v>66</v>
      </c>
      <c r="G20" s="7"/>
      <c r="H20" s="7">
        <v>900000</v>
      </c>
      <c r="I20" s="8">
        <v>9</v>
      </c>
      <c r="J20" s="9">
        <f>IFERROR(SUMIF(لاگ_فاکتور!$I$3:$I$1622,A20,لاگ_فاکتور!$L$3:$L$1622),0)</f>
        <v>0</v>
      </c>
      <c r="K20" s="10">
        <f t="shared" si="1"/>
        <v>9</v>
      </c>
      <c r="L20" s="1" t="str">
        <f>IF(C20="","",IF(K20&lt;=0,"🔴 تمام",IF(K20&lt;=تنظیمات_سیستم!$C$7,"🟠 کم","🟢 OK")))</f>
        <v>🟢 OK</v>
      </c>
    </row>
    <row r="21" spans="1:12" ht="19.5" customHeight="1">
      <c r="A21" s="1" t="str">
        <f t="shared" si="0"/>
        <v>SKU-0018</v>
      </c>
      <c r="B21" s="63" t="s">
        <v>794</v>
      </c>
      <c r="C21" t="s">
        <v>1398</v>
      </c>
      <c r="D21" s="36" t="s">
        <v>73</v>
      </c>
      <c r="E21" s="36" t="s">
        <v>68</v>
      </c>
      <c r="F21" s="90" t="s">
        <v>66</v>
      </c>
      <c r="G21" s="7"/>
      <c r="H21" s="7">
        <v>900000</v>
      </c>
      <c r="I21" s="8">
        <v>9</v>
      </c>
      <c r="J21" s="9">
        <f>IFERROR(SUMIF(لاگ_فاکتور!$I$3:$I$1622,A21,لاگ_فاکتور!$L$3:$L$1622),0)</f>
        <v>0</v>
      </c>
      <c r="K21" s="10">
        <f t="shared" si="1"/>
        <v>9</v>
      </c>
      <c r="L21" s="1" t="str">
        <f>IF(C21="","",IF(K21&lt;=0,"🔴 تمام",IF(K21&lt;=تنظیمات_سیستم!$C$7,"🟠 کم","🟢 OK")))</f>
        <v>🟢 OK</v>
      </c>
    </row>
    <row r="22" spans="1:12" ht="19.5" customHeight="1">
      <c r="A22" s="1" t="str">
        <f t="shared" si="0"/>
        <v>SKU-0019</v>
      </c>
      <c r="B22" s="63" t="s">
        <v>795</v>
      </c>
      <c r="C22" t="s">
        <v>478</v>
      </c>
      <c r="D22" s="36" t="s">
        <v>73</v>
      </c>
      <c r="E22" s="36" t="s">
        <v>68</v>
      </c>
      <c r="F22" s="90" t="s">
        <v>69</v>
      </c>
      <c r="G22" s="7"/>
      <c r="H22" s="7">
        <v>1080000</v>
      </c>
      <c r="I22" s="8">
        <v>9</v>
      </c>
      <c r="J22" s="9">
        <f>IFERROR(SUMIF(لاگ_فاکتور!$I$3:$I$1622,A22,لاگ_فاکتور!$L$3:$L$1622),0)</f>
        <v>0</v>
      </c>
      <c r="K22" s="10">
        <f t="shared" si="1"/>
        <v>9</v>
      </c>
      <c r="L22" s="1" t="str">
        <f>IF(C22="","",IF(K22&lt;=0,"🔴 تمام",IF(K22&lt;=تنظیمات_سیستم!$C$7,"🟠 کم","🟢 OK")))</f>
        <v>🟢 OK</v>
      </c>
    </row>
    <row r="23" spans="1:12" ht="19.5" customHeight="1">
      <c r="A23" s="1" t="str">
        <f t="shared" si="0"/>
        <v>SKU-0020</v>
      </c>
      <c r="B23" s="63" t="s">
        <v>796</v>
      </c>
      <c r="C23" t="s">
        <v>479</v>
      </c>
      <c r="D23" s="36" t="s">
        <v>73</v>
      </c>
      <c r="E23" s="36" t="s">
        <v>68</v>
      </c>
      <c r="F23" s="90" t="s">
        <v>69</v>
      </c>
      <c r="G23" s="7"/>
      <c r="H23" s="7">
        <v>1080000</v>
      </c>
      <c r="I23" s="8">
        <v>9</v>
      </c>
      <c r="J23" s="9">
        <f>IFERROR(SUMIF(لاگ_فاکتور!$I$3:$I$1622,A23,لاگ_فاکتور!$L$3:$L$1622),0)</f>
        <v>0</v>
      </c>
      <c r="K23" s="10">
        <f t="shared" si="1"/>
        <v>9</v>
      </c>
      <c r="L23" s="1" t="str">
        <f>IF(C23="","",IF(K23&lt;=0,"🔴 تمام",IF(K23&lt;=تنظیمات_سیستم!$C$7,"🟠 کم","🟢 OK")))</f>
        <v>🟢 OK</v>
      </c>
    </row>
    <row r="24" spans="1:12" ht="19.5" customHeight="1">
      <c r="A24" s="1" t="str">
        <f t="shared" si="0"/>
        <v>SKU-0021</v>
      </c>
      <c r="B24" s="63" t="s">
        <v>797</v>
      </c>
      <c r="C24" t="s">
        <v>480</v>
      </c>
      <c r="D24" s="36" t="s">
        <v>73</v>
      </c>
      <c r="E24" s="36" t="s">
        <v>68</v>
      </c>
      <c r="F24" s="90" t="s">
        <v>69</v>
      </c>
      <c r="G24" s="7"/>
      <c r="H24" s="7">
        <v>1080000</v>
      </c>
      <c r="I24" s="8">
        <v>9</v>
      </c>
      <c r="J24" s="9">
        <f>IFERROR(SUMIF(لاگ_فاکتور!$I$3:$I$1622,A24,لاگ_فاکتور!$L$3:$L$1622),0)</f>
        <v>0</v>
      </c>
      <c r="K24" s="10">
        <f t="shared" si="1"/>
        <v>9</v>
      </c>
      <c r="L24" s="1" t="str">
        <f>IF(C24="","",IF(K24&lt;=0,"🔴 تمام",IF(K24&lt;=تنظیمات_سیستم!$C$7,"🟠 کم","🟢 OK")))</f>
        <v>🟢 OK</v>
      </c>
    </row>
    <row r="25" spans="1:12" ht="19.5" customHeight="1">
      <c r="A25" s="1" t="str">
        <f t="shared" si="0"/>
        <v>SKU-0022</v>
      </c>
      <c r="B25" s="63" t="s">
        <v>798</v>
      </c>
      <c r="C25" t="s">
        <v>481</v>
      </c>
      <c r="D25" s="36" t="s">
        <v>73</v>
      </c>
      <c r="E25" s="36" t="s">
        <v>68</v>
      </c>
      <c r="F25" s="90" t="s">
        <v>69</v>
      </c>
      <c r="G25" s="7"/>
      <c r="H25" s="7">
        <v>1080000</v>
      </c>
      <c r="I25" s="8">
        <v>9</v>
      </c>
      <c r="J25" s="9">
        <f>IFERROR(SUMIF(لاگ_فاکتور!$I$3:$I$1622,A25,لاگ_فاکتور!$L$3:$L$1622),0)</f>
        <v>0</v>
      </c>
      <c r="K25" s="10">
        <f t="shared" si="1"/>
        <v>9</v>
      </c>
      <c r="L25" s="1" t="str">
        <f>IF(C25="","",IF(K25&lt;=0,"🔴 تمام",IF(K25&lt;=تنظیمات_سیستم!$C$7,"🟠 کم","🟢 OK")))</f>
        <v>🟢 OK</v>
      </c>
    </row>
    <row r="26" spans="1:12" ht="19.5" customHeight="1">
      <c r="A26" s="1" t="str">
        <f t="shared" si="0"/>
        <v>SKU-0023</v>
      </c>
      <c r="B26" s="63" t="s">
        <v>799</v>
      </c>
      <c r="C26" t="s">
        <v>482</v>
      </c>
      <c r="D26" s="36" t="s">
        <v>70</v>
      </c>
      <c r="E26" s="36" t="s">
        <v>65</v>
      </c>
      <c r="F26" s="90" t="s">
        <v>69</v>
      </c>
      <c r="G26" s="7"/>
      <c r="H26" s="7">
        <v>2800000</v>
      </c>
      <c r="I26" s="8">
        <v>9</v>
      </c>
      <c r="J26" s="9">
        <f>IFERROR(SUMIF(لاگ_فاکتور!$I$3:$I$1622,A26,لاگ_فاکتور!$L$3:$L$1622),0)</f>
        <v>0</v>
      </c>
      <c r="K26" s="10">
        <f t="shared" si="1"/>
        <v>9</v>
      </c>
      <c r="L26" s="1" t="str">
        <f>IF(C26="","",IF(K26&lt;=0,"🔴 تمام",IF(K26&lt;=تنظیمات_سیستم!$C$7,"🟠 کم","🟢 OK")))</f>
        <v>🟢 OK</v>
      </c>
    </row>
    <row r="27" spans="1:12" ht="19.5" customHeight="1">
      <c r="A27" s="1" t="str">
        <f t="shared" si="0"/>
        <v>SKU-0024</v>
      </c>
      <c r="B27" s="63" t="s">
        <v>800</v>
      </c>
      <c r="C27" t="s">
        <v>483</v>
      </c>
      <c r="D27" s="36" t="s">
        <v>64</v>
      </c>
      <c r="E27" s="36" t="s">
        <v>65</v>
      </c>
      <c r="F27" s="90" t="s">
        <v>69</v>
      </c>
      <c r="G27" s="7"/>
      <c r="H27" s="7">
        <v>2580000</v>
      </c>
      <c r="I27" s="8">
        <v>9</v>
      </c>
      <c r="J27" s="9">
        <f>IFERROR(SUMIF(لاگ_فاکتور!$I$3:$I$1622,A27,لاگ_فاکتور!$L$3:$L$1622),0)</f>
        <v>0</v>
      </c>
      <c r="K27" s="10">
        <f t="shared" si="1"/>
        <v>9</v>
      </c>
      <c r="L27" s="1" t="str">
        <f>IF(C27="","",IF(K27&lt;=0,"🔴 تمام",IF(K27&lt;=تنظیمات_سیستم!$C$7,"🟠 کم","🟢 OK")))</f>
        <v>🟢 OK</v>
      </c>
    </row>
    <row r="28" spans="1:12" ht="19.5" customHeight="1">
      <c r="A28" s="1" t="str">
        <f t="shared" si="0"/>
        <v>SKU-0025</v>
      </c>
      <c r="B28" s="63" t="s">
        <v>801</v>
      </c>
      <c r="C28" t="s">
        <v>484</v>
      </c>
      <c r="D28" s="36" t="s">
        <v>64</v>
      </c>
      <c r="E28" s="36" t="s">
        <v>65</v>
      </c>
      <c r="F28" s="90" t="s">
        <v>69</v>
      </c>
      <c r="G28" s="7"/>
      <c r="H28" s="7">
        <v>2580000</v>
      </c>
      <c r="I28" s="8">
        <v>9</v>
      </c>
      <c r="J28" s="9">
        <f>IFERROR(SUMIF(لاگ_فاکتور!$I$3:$I$1622,A28,لاگ_فاکتور!$L$3:$L$1622),0)</f>
        <v>0</v>
      </c>
      <c r="K28" s="10">
        <f t="shared" si="1"/>
        <v>9</v>
      </c>
      <c r="L28" s="1" t="str">
        <f>IF(C28="","",IF(K28&lt;=0,"🔴 تمام",IF(K28&lt;=تنظیمات_سیستم!$C$7,"🟠 کم","🟢 OK")))</f>
        <v>🟢 OK</v>
      </c>
    </row>
    <row r="29" spans="1:12" ht="19.5" customHeight="1">
      <c r="A29" s="1" t="str">
        <f t="shared" si="0"/>
        <v>SKU-0026</v>
      </c>
      <c r="B29" s="63" t="s">
        <v>802</v>
      </c>
      <c r="C29" t="s">
        <v>485</v>
      </c>
      <c r="D29" s="36" t="s">
        <v>64</v>
      </c>
      <c r="E29" s="36" t="s">
        <v>78</v>
      </c>
      <c r="F29" s="90" t="s">
        <v>69</v>
      </c>
      <c r="G29" s="7"/>
      <c r="H29" s="7">
        <v>1170000</v>
      </c>
      <c r="I29" s="8">
        <v>9</v>
      </c>
      <c r="J29" s="9">
        <f>IFERROR(SUMIF(لاگ_فاکتور!$I$3:$I$1622,A29,لاگ_فاکتور!$L$3:$L$1622),0)</f>
        <v>0</v>
      </c>
      <c r="K29" s="10">
        <f t="shared" si="1"/>
        <v>9</v>
      </c>
      <c r="L29" s="1" t="str">
        <f>IF(C29="","",IF(K29&lt;=0,"🔴 تمام",IF(K29&lt;=تنظیمات_سیستم!$C$7,"🟠 کم","🟢 OK")))</f>
        <v>🟢 OK</v>
      </c>
    </row>
    <row r="30" spans="1:12" ht="19.5" customHeight="1">
      <c r="A30" s="1" t="str">
        <f t="shared" si="0"/>
        <v>SKU-0027</v>
      </c>
      <c r="B30" s="63" t="s">
        <v>803</v>
      </c>
      <c r="C30" t="s">
        <v>486</v>
      </c>
      <c r="D30" s="36" t="s">
        <v>64</v>
      </c>
      <c r="E30" s="36" t="s">
        <v>78</v>
      </c>
      <c r="F30" s="90" t="s">
        <v>69</v>
      </c>
      <c r="G30" s="7"/>
      <c r="H30" s="7">
        <v>1170000</v>
      </c>
      <c r="I30" s="8">
        <v>9</v>
      </c>
      <c r="J30" s="9">
        <f>IFERROR(SUMIF(لاگ_فاکتور!$I$3:$I$1622,A30,لاگ_فاکتور!$L$3:$L$1622),0)</f>
        <v>0</v>
      </c>
      <c r="K30" s="10">
        <f t="shared" si="1"/>
        <v>9</v>
      </c>
      <c r="L30" s="1" t="str">
        <f>IF(C30="","",IF(K30&lt;=0,"🔴 تمام",IF(K30&lt;=تنظیمات_سیستم!$C$7,"🟠 کم","🟢 OK")))</f>
        <v>🟢 OK</v>
      </c>
    </row>
    <row r="31" spans="1:12" ht="19.5" customHeight="1">
      <c r="A31" s="1" t="str">
        <f t="shared" si="0"/>
        <v>SKU-0028</v>
      </c>
      <c r="B31" s="63" t="s">
        <v>804</v>
      </c>
      <c r="C31" t="s">
        <v>487</v>
      </c>
      <c r="D31" s="36" t="s">
        <v>64</v>
      </c>
      <c r="E31" s="36" t="s">
        <v>78</v>
      </c>
      <c r="F31" s="90" t="s">
        <v>69</v>
      </c>
      <c r="G31" s="7"/>
      <c r="H31" s="7">
        <v>1170000</v>
      </c>
      <c r="I31" s="8">
        <v>9</v>
      </c>
      <c r="J31" s="9">
        <f>IFERROR(SUMIF(لاگ_فاکتور!$I$3:$I$1622,A31,لاگ_فاکتور!$L$3:$L$1622),0)</f>
        <v>0</v>
      </c>
      <c r="K31" s="10">
        <f t="shared" si="1"/>
        <v>9</v>
      </c>
      <c r="L31" s="1" t="str">
        <f>IF(C31="","",IF(K31&lt;=0,"🔴 تمام",IF(K31&lt;=تنظیمات_سیستم!$C$7,"🟠 کم","🟢 OK")))</f>
        <v>🟢 OK</v>
      </c>
    </row>
    <row r="32" spans="1:12" ht="19.5" customHeight="1">
      <c r="A32" s="1" t="str">
        <f t="shared" si="0"/>
        <v>SKU-0029</v>
      </c>
      <c r="B32" s="63" t="s">
        <v>805</v>
      </c>
      <c r="C32" t="s">
        <v>488</v>
      </c>
      <c r="D32" s="36" t="s">
        <v>64</v>
      </c>
      <c r="E32" s="36" t="s">
        <v>78</v>
      </c>
      <c r="F32" s="90" t="s">
        <v>69</v>
      </c>
      <c r="G32" s="7"/>
      <c r="H32" s="7">
        <v>1170000</v>
      </c>
      <c r="I32" s="8">
        <v>9</v>
      </c>
      <c r="J32" s="9">
        <f>IFERROR(SUMIF(لاگ_فاکتور!$I$3:$I$1622,A32,لاگ_فاکتور!$L$3:$L$1622),0)</f>
        <v>0</v>
      </c>
      <c r="K32" s="10">
        <f t="shared" si="1"/>
        <v>9</v>
      </c>
      <c r="L32" s="1" t="str">
        <f>IF(C32="","",IF(K32&lt;=0,"🔴 تمام",IF(K32&lt;=تنظیمات_سیستم!$C$7,"🟠 کم","🟢 OK")))</f>
        <v>🟢 OK</v>
      </c>
    </row>
    <row r="33" spans="1:12" ht="19.5" customHeight="1">
      <c r="A33" s="1" t="str">
        <f t="shared" si="0"/>
        <v>SKU-0030</v>
      </c>
      <c r="B33" s="63" t="s">
        <v>806</v>
      </c>
      <c r="C33" t="s">
        <v>489</v>
      </c>
      <c r="D33" s="36" t="s">
        <v>64</v>
      </c>
      <c r="E33" s="36" t="s">
        <v>78</v>
      </c>
      <c r="F33" s="90" t="s">
        <v>69</v>
      </c>
      <c r="G33" s="7"/>
      <c r="H33" s="7">
        <v>1170000</v>
      </c>
      <c r="I33" s="8">
        <v>9</v>
      </c>
      <c r="J33" s="9">
        <f>IFERROR(SUMIF(لاگ_فاکتور!$I$3:$I$1622,A33,لاگ_فاکتور!$L$3:$L$1622),0)</f>
        <v>0</v>
      </c>
      <c r="K33" s="10">
        <f t="shared" si="1"/>
        <v>9</v>
      </c>
      <c r="L33" s="1" t="str">
        <f>IF(C33="","",IF(K33&lt;=0,"🔴 تمام",IF(K33&lt;=تنظیمات_سیستم!$C$7,"🟠 کم","🟢 OK")))</f>
        <v>🟢 OK</v>
      </c>
    </row>
    <row r="34" spans="1:12" ht="19.5" customHeight="1">
      <c r="A34" s="1" t="str">
        <f t="shared" si="0"/>
        <v>SKU-0031</v>
      </c>
      <c r="B34" s="63" t="s">
        <v>807</v>
      </c>
      <c r="C34" t="s">
        <v>490</v>
      </c>
      <c r="D34" s="36" t="s">
        <v>64</v>
      </c>
      <c r="E34" s="36" t="s">
        <v>78</v>
      </c>
      <c r="F34" s="90" t="s">
        <v>69</v>
      </c>
      <c r="G34" s="7"/>
      <c r="H34" s="7">
        <v>1170000</v>
      </c>
      <c r="I34" s="8">
        <v>9</v>
      </c>
      <c r="J34" s="9">
        <f>IFERROR(SUMIF(لاگ_فاکتور!$I$3:$I$1622,A34,لاگ_فاکتور!$L$3:$L$1622),0)</f>
        <v>0</v>
      </c>
      <c r="K34" s="10">
        <f t="shared" si="1"/>
        <v>9</v>
      </c>
      <c r="L34" s="1" t="str">
        <f>IF(C34="","",IF(K34&lt;=0,"🔴 تمام",IF(K34&lt;=تنظیمات_سیستم!$C$7,"🟠 کم","🟢 OK")))</f>
        <v>🟢 OK</v>
      </c>
    </row>
    <row r="35" spans="1:12" ht="19.5" customHeight="1">
      <c r="A35" s="1" t="str">
        <f t="shared" si="0"/>
        <v>SKU-0032</v>
      </c>
      <c r="B35" s="63" t="s">
        <v>803</v>
      </c>
      <c r="C35" t="s">
        <v>491</v>
      </c>
      <c r="D35" s="36" t="s">
        <v>73</v>
      </c>
      <c r="E35" s="36" t="s">
        <v>71</v>
      </c>
      <c r="F35" s="90" t="s">
        <v>492</v>
      </c>
      <c r="G35" s="7"/>
      <c r="H35" s="7">
        <v>1580000</v>
      </c>
      <c r="I35" s="8">
        <v>9</v>
      </c>
      <c r="J35" s="9">
        <f>IFERROR(SUMIF(لاگ_فاکتور!$I$3:$I$1622,A35,لاگ_فاکتور!$L$3:$L$1622),0)</f>
        <v>0</v>
      </c>
      <c r="K35" s="10">
        <f t="shared" si="1"/>
        <v>9</v>
      </c>
      <c r="L35" s="1" t="str">
        <f>IF(C35="","",IF(K35&lt;=0,"🔴 تمام",IF(K35&lt;=تنظیمات_سیستم!$C$7,"🟠 کم","🟢 OK")))</f>
        <v>🟢 OK</v>
      </c>
    </row>
    <row r="36" spans="1:12" ht="19.5" customHeight="1">
      <c r="A36" s="1" t="str">
        <f t="shared" si="0"/>
        <v>SKU-0033</v>
      </c>
      <c r="B36" s="63" t="s">
        <v>804</v>
      </c>
      <c r="C36" t="s">
        <v>493</v>
      </c>
      <c r="D36" s="36" t="s">
        <v>73</v>
      </c>
      <c r="E36" s="36" t="s">
        <v>71</v>
      </c>
      <c r="F36" s="90" t="s">
        <v>492</v>
      </c>
      <c r="G36" s="7"/>
      <c r="H36" s="7">
        <v>1580000</v>
      </c>
      <c r="I36" s="8">
        <v>9</v>
      </c>
      <c r="J36" s="9">
        <f>IFERROR(SUMIF(لاگ_فاکتور!$I$3:$I$1622,A36,لاگ_فاکتور!$L$3:$L$1622),0)</f>
        <v>0</v>
      </c>
      <c r="K36" s="10">
        <f t="shared" si="1"/>
        <v>9</v>
      </c>
      <c r="L36" s="1" t="str">
        <f>IF(C36="","",IF(K36&lt;=0,"🔴 تمام",IF(K36&lt;=تنظیمات_سیستم!$C$7,"🟠 کم","🟢 OK")))</f>
        <v>🟢 OK</v>
      </c>
    </row>
    <row r="37" spans="1:12" ht="19.5" customHeight="1">
      <c r="A37" s="1" t="str">
        <f t="shared" si="0"/>
        <v>SKU-0034</v>
      </c>
      <c r="B37" s="63" t="s">
        <v>805</v>
      </c>
      <c r="C37" t="s">
        <v>494</v>
      </c>
      <c r="D37" s="36" t="s">
        <v>73</v>
      </c>
      <c r="E37" s="36" t="s">
        <v>78</v>
      </c>
      <c r="F37" s="90" t="s">
        <v>66</v>
      </c>
      <c r="G37" s="7"/>
      <c r="H37" s="7">
        <v>2580000</v>
      </c>
      <c r="I37" s="8">
        <v>9</v>
      </c>
      <c r="J37" s="9">
        <f>IFERROR(SUMIF(لاگ_فاکتور!$I$3:$I$1622,A37,لاگ_فاکتور!$L$3:$L$1622),0)</f>
        <v>0</v>
      </c>
      <c r="K37" s="10">
        <f t="shared" si="1"/>
        <v>9</v>
      </c>
      <c r="L37" s="1" t="str">
        <f>IF(C37="","",IF(K37&lt;=0,"🔴 تمام",IF(K37&lt;=تنظیمات_سیستم!$C$7,"🟠 کم","🟢 OK")))</f>
        <v>🟢 OK</v>
      </c>
    </row>
    <row r="38" spans="1:12" ht="19.5" customHeight="1">
      <c r="A38" s="1" t="str">
        <f t="shared" si="0"/>
        <v>SKU-0035</v>
      </c>
      <c r="B38" s="63" t="s">
        <v>806</v>
      </c>
      <c r="C38" t="s">
        <v>495</v>
      </c>
      <c r="D38" s="36" t="s">
        <v>73</v>
      </c>
      <c r="E38" s="36" t="s">
        <v>78</v>
      </c>
      <c r="F38" s="90" t="s">
        <v>66</v>
      </c>
      <c r="G38" s="7"/>
      <c r="H38" s="7">
        <v>2580000</v>
      </c>
      <c r="I38" s="8">
        <v>9</v>
      </c>
      <c r="J38" s="9">
        <f>IFERROR(SUMIF(لاگ_فاکتور!$I$3:$I$1622,A38,لاگ_فاکتور!$L$3:$L$1622),0)</f>
        <v>0</v>
      </c>
      <c r="K38" s="10">
        <f t="shared" si="1"/>
        <v>9</v>
      </c>
      <c r="L38" s="1" t="str">
        <f>IF(C38="","",IF(K38&lt;=0,"🔴 تمام",IF(K38&lt;=تنظیمات_سیستم!$C$7,"🟠 کم","🟢 OK")))</f>
        <v>🟢 OK</v>
      </c>
    </row>
    <row r="39" spans="1:12" ht="19.5" customHeight="1">
      <c r="A39" s="1" t="str">
        <f t="shared" si="0"/>
        <v>SKU-0036</v>
      </c>
      <c r="B39" s="63" t="s">
        <v>807</v>
      </c>
      <c r="C39" t="s">
        <v>496</v>
      </c>
      <c r="D39" s="36" t="s">
        <v>73</v>
      </c>
      <c r="E39" s="36" t="s">
        <v>78</v>
      </c>
      <c r="F39" s="90" t="s">
        <v>66</v>
      </c>
      <c r="G39" s="7"/>
      <c r="H39" s="7">
        <v>2580000</v>
      </c>
      <c r="I39" s="8">
        <v>9</v>
      </c>
      <c r="J39" s="9">
        <f>IFERROR(SUMIF(لاگ_فاکتور!$I$3:$I$1622,A39,لاگ_فاکتور!$L$3:$L$1622),0)</f>
        <v>0</v>
      </c>
      <c r="K39" s="10">
        <f t="shared" si="1"/>
        <v>9</v>
      </c>
      <c r="L39" s="1" t="str">
        <f>IF(C39="","",IF(K39&lt;=0,"🔴 تمام",IF(K39&lt;=تنظیمات_سیستم!$C$7,"🟠 کم","🟢 OK")))</f>
        <v>🟢 OK</v>
      </c>
    </row>
    <row r="40" spans="1:12" ht="19.5" customHeight="1">
      <c r="A40" s="1" t="str">
        <f t="shared" si="0"/>
        <v>SKU-0037</v>
      </c>
      <c r="B40" s="63" t="s">
        <v>808</v>
      </c>
      <c r="C40" t="s">
        <v>497</v>
      </c>
      <c r="D40" s="36" t="s">
        <v>73</v>
      </c>
      <c r="E40" s="36" t="s">
        <v>78</v>
      </c>
      <c r="F40" s="90" t="s">
        <v>66</v>
      </c>
      <c r="G40" s="7"/>
      <c r="H40" s="7">
        <v>2580000</v>
      </c>
      <c r="I40" s="8">
        <v>9</v>
      </c>
      <c r="J40" s="9">
        <f>IFERROR(SUMIF(لاگ_فاکتور!$I$3:$I$1622,A40,لاگ_فاکتور!$L$3:$L$1622),0)</f>
        <v>0</v>
      </c>
      <c r="K40" s="10">
        <f t="shared" si="1"/>
        <v>9</v>
      </c>
      <c r="L40" s="1" t="str">
        <f>IF(C40="","",IF(K40&lt;=0,"🔴 تمام",IF(K40&lt;=تنظیمات_سیستم!$C$7,"🟠 کم","🟢 OK")))</f>
        <v>🟢 OK</v>
      </c>
    </row>
    <row r="41" spans="1:12" ht="19.5" customHeight="1">
      <c r="A41" s="1" t="str">
        <f t="shared" si="0"/>
        <v>SKU-0038</v>
      </c>
      <c r="B41" s="63" t="s">
        <v>809</v>
      </c>
      <c r="C41" t="s">
        <v>498</v>
      </c>
      <c r="D41" s="36" t="s">
        <v>73</v>
      </c>
      <c r="E41" s="36" t="s">
        <v>78</v>
      </c>
      <c r="F41" s="90" t="s">
        <v>66</v>
      </c>
      <c r="G41" s="7"/>
      <c r="H41" s="7">
        <v>2580000</v>
      </c>
      <c r="I41" s="8">
        <v>9</v>
      </c>
      <c r="J41" s="9">
        <f>IFERROR(SUMIF(لاگ_فاکتور!$I$3:$I$1622,A41,لاگ_فاکتور!$L$3:$L$1622),0)</f>
        <v>0</v>
      </c>
      <c r="K41" s="10">
        <f t="shared" si="1"/>
        <v>9</v>
      </c>
      <c r="L41" s="1" t="str">
        <f>IF(C41="","",IF(K41&lt;=0,"🔴 تمام",IF(K41&lt;=تنظیمات_سیستم!$C$7,"🟠 کم","🟢 OK")))</f>
        <v>🟢 OK</v>
      </c>
    </row>
    <row r="42" spans="1:12" ht="19.5" customHeight="1">
      <c r="A42" s="1" t="str">
        <f t="shared" si="0"/>
        <v>SKU-0039</v>
      </c>
      <c r="B42" s="63" t="s">
        <v>810</v>
      </c>
      <c r="C42" t="s">
        <v>499</v>
      </c>
      <c r="D42" s="36" t="s">
        <v>73</v>
      </c>
      <c r="E42" s="36" t="s">
        <v>78</v>
      </c>
      <c r="F42" s="90" t="s">
        <v>66</v>
      </c>
      <c r="G42" s="7"/>
      <c r="H42" s="7">
        <v>2580000</v>
      </c>
      <c r="I42" s="8">
        <v>9</v>
      </c>
      <c r="J42" s="9">
        <f>IFERROR(SUMIF(لاگ_فاکتور!$I$3:$I$1622,A42,لاگ_فاکتور!$L$3:$L$1622),0)</f>
        <v>0</v>
      </c>
      <c r="K42" s="10">
        <f t="shared" si="1"/>
        <v>9</v>
      </c>
      <c r="L42" s="1" t="str">
        <f>IF(C42="","",IF(K42&lt;=0,"🔴 تمام",IF(K42&lt;=تنظیمات_سیستم!$C$7,"🟠 کم","🟢 OK")))</f>
        <v>🟢 OK</v>
      </c>
    </row>
    <row r="43" spans="1:12" ht="19.5" customHeight="1">
      <c r="A43" s="1" t="str">
        <f t="shared" si="0"/>
        <v>SKU-0040</v>
      </c>
      <c r="B43" s="63" t="s">
        <v>811</v>
      </c>
      <c r="C43" t="s">
        <v>500</v>
      </c>
      <c r="D43" s="36" t="s">
        <v>73</v>
      </c>
      <c r="E43" s="36" t="s">
        <v>78</v>
      </c>
      <c r="F43" s="90" t="s">
        <v>66</v>
      </c>
      <c r="G43" s="7"/>
      <c r="H43" s="7">
        <v>2580000</v>
      </c>
      <c r="I43" s="8">
        <v>9</v>
      </c>
      <c r="J43" s="9">
        <f>IFERROR(SUMIF(لاگ_فاکتور!$I$3:$I$1622,A43,لاگ_فاکتور!$L$3:$L$1622),0)</f>
        <v>0</v>
      </c>
      <c r="K43" s="10">
        <f t="shared" si="1"/>
        <v>9</v>
      </c>
      <c r="L43" s="1" t="str">
        <f>IF(C43="","",IF(K43&lt;=0,"🔴 تمام",IF(K43&lt;=تنظیمات_سیستم!$C$7,"🟠 کم","🟢 OK")))</f>
        <v>🟢 OK</v>
      </c>
    </row>
    <row r="44" spans="1:12" ht="19.5" customHeight="1">
      <c r="A44" s="1" t="str">
        <f t="shared" si="0"/>
        <v>SKU-0041</v>
      </c>
      <c r="B44" s="63" t="s">
        <v>812</v>
      </c>
      <c r="C44" t="s">
        <v>501</v>
      </c>
      <c r="D44" s="36" t="s">
        <v>73</v>
      </c>
      <c r="E44" s="36" t="s">
        <v>78</v>
      </c>
      <c r="F44" s="90" t="s">
        <v>66</v>
      </c>
      <c r="G44" s="7"/>
      <c r="H44" s="7">
        <v>2580000</v>
      </c>
      <c r="I44" s="8">
        <v>9</v>
      </c>
      <c r="J44" s="9">
        <f>IFERROR(SUMIF(لاگ_فاکتور!$I$3:$I$1622,A44,لاگ_فاکتور!$L$3:$L$1622),0)</f>
        <v>0</v>
      </c>
      <c r="K44" s="10">
        <f t="shared" si="1"/>
        <v>9</v>
      </c>
      <c r="L44" s="1" t="str">
        <f>IF(C44="","",IF(K44&lt;=0,"🔴 تمام",IF(K44&lt;=تنظیمات_سیستم!$C$7,"🟠 کم","🟢 OK")))</f>
        <v>🟢 OK</v>
      </c>
    </row>
    <row r="45" spans="1:12" ht="19.5" customHeight="1">
      <c r="A45" s="1" t="str">
        <f t="shared" si="0"/>
        <v>SKU-0042</v>
      </c>
      <c r="B45" s="63" t="s">
        <v>813</v>
      </c>
      <c r="C45" t="s">
        <v>502</v>
      </c>
      <c r="D45" s="36" t="s">
        <v>73</v>
      </c>
      <c r="E45" s="36" t="s">
        <v>68</v>
      </c>
      <c r="F45" s="90" t="s">
        <v>69</v>
      </c>
      <c r="G45" s="7"/>
      <c r="H45" s="7">
        <v>2580000</v>
      </c>
      <c r="I45" s="8">
        <v>9</v>
      </c>
      <c r="J45" s="9">
        <f>IFERROR(SUMIF(لاگ_فاکتور!$I$3:$I$1622,A45,لاگ_فاکتور!$L$3:$L$1622),0)</f>
        <v>0</v>
      </c>
      <c r="K45" s="10">
        <f t="shared" si="1"/>
        <v>9</v>
      </c>
      <c r="L45" s="1" t="str">
        <f>IF(C45="","",IF(K45&lt;=0,"🔴 تمام",IF(K45&lt;=تنظیمات_سیستم!$C$7,"🟠 کم","🟢 OK")))</f>
        <v>🟢 OK</v>
      </c>
    </row>
    <row r="46" spans="1:12" ht="19.5" customHeight="1">
      <c r="A46" s="1" t="str">
        <f t="shared" si="0"/>
        <v>SKU-0043</v>
      </c>
      <c r="B46" s="63" t="s">
        <v>814</v>
      </c>
      <c r="C46" t="s">
        <v>503</v>
      </c>
      <c r="D46" s="36" t="s">
        <v>73</v>
      </c>
      <c r="E46" s="36" t="s">
        <v>68</v>
      </c>
      <c r="F46" s="90" t="s">
        <v>69</v>
      </c>
      <c r="G46" s="7"/>
      <c r="H46" s="7">
        <v>2580000</v>
      </c>
      <c r="I46" s="8">
        <v>9</v>
      </c>
      <c r="J46" s="9">
        <f>IFERROR(SUMIF(لاگ_فاکتور!$I$3:$I$1622,A46,لاگ_فاکتور!$L$3:$L$1622),0)</f>
        <v>0</v>
      </c>
      <c r="K46" s="10">
        <f t="shared" si="1"/>
        <v>9</v>
      </c>
      <c r="L46" s="1" t="str">
        <f>IF(C46="","",IF(K46&lt;=0,"🔴 تمام",IF(K46&lt;=تنظیمات_سیستم!$C$7,"🟠 کم","🟢 OK")))</f>
        <v>🟢 OK</v>
      </c>
    </row>
    <row r="47" spans="1:12" ht="19.5" customHeight="1">
      <c r="A47" s="1" t="str">
        <f t="shared" si="0"/>
        <v>SKU-0044</v>
      </c>
      <c r="B47" s="63" t="s">
        <v>815</v>
      </c>
      <c r="C47" t="s">
        <v>504</v>
      </c>
      <c r="D47" s="36" t="s">
        <v>73</v>
      </c>
      <c r="E47" s="36" t="s">
        <v>68</v>
      </c>
      <c r="F47" s="90" t="s">
        <v>69</v>
      </c>
      <c r="G47" s="7"/>
      <c r="H47" s="61">
        <v>2580000</v>
      </c>
      <c r="I47" s="8">
        <v>9</v>
      </c>
      <c r="J47" s="9">
        <f>IFERROR(SUMIF(لاگ_فاکتور!$I$3:$I$1622,A47,لاگ_فاکتور!$L$3:$L$1622),0)</f>
        <v>0</v>
      </c>
      <c r="K47" s="10">
        <f t="shared" si="1"/>
        <v>9</v>
      </c>
      <c r="L47" s="1" t="str">
        <f>IF(C47="","",IF(K47&lt;=0,"🔴 تمام",IF(K47&lt;=تنظیمات_سیستم!$C$7,"🟠 کم","🟢 OK")))</f>
        <v>🟢 OK</v>
      </c>
    </row>
    <row r="48" spans="1:12" ht="19.5" customHeight="1">
      <c r="A48" s="1" t="str">
        <f t="shared" si="0"/>
        <v>SKU-0045</v>
      </c>
      <c r="B48" s="63" t="s">
        <v>816</v>
      </c>
      <c r="C48" t="s">
        <v>505</v>
      </c>
      <c r="D48" s="36" t="s">
        <v>73</v>
      </c>
      <c r="E48" s="36" t="s">
        <v>68</v>
      </c>
      <c r="F48" s="90" t="s">
        <v>69</v>
      </c>
      <c r="G48" s="7"/>
      <c r="H48" s="7">
        <v>2580000</v>
      </c>
      <c r="I48" s="8">
        <v>9</v>
      </c>
      <c r="J48" s="9">
        <f>IFERROR(SUMIF(لاگ_فاکتور!$I$3:$I$1622,A48,لاگ_فاکتور!$L$3:$L$1622),0)</f>
        <v>0</v>
      </c>
      <c r="K48" s="10">
        <f t="shared" si="1"/>
        <v>9</v>
      </c>
      <c r="L48" s="1" t="str">
        <f>IF(C48="","",IF(K48&lt;=0,"🔴 تمام",IF(K48&lt;=تنظیمات_سیستم!$C$7,"🟠 کم","🟢 OK")))</f>
        <v>🟢 OK</v>
      </c>
    </row>
    <row r="49" spans="1:12" ht="19.5" customHeight="1">
      <c r="A49" s="1" t="str">
        <f t="shared" si="0"/>
        <v>SKU-0046</v>
      </c>
      <c r="B49" s="63" t="s">
        <v>817</v>
      </c>
      <c r="C49" t="s">
        <v>506</v>
      </c>
      <c r="D49" s="36" t="s">
        <v>73</v>
      </c>
      <c r="E49" s="36" t="s">
        <v>68</v>
      </c>
      <c r="F49" s="90" t="s">
        <v>69</v>
      </c>
      <c r="G49" s="7"/>
      <c r="H49" s="7">
        <v>2580000</v>
      </c>
      <c r="I49" s="8">
        <v>9</v>
      </c>
      <c r="J49" s="9">
        <f>IFERROR(SUMIF(لاگ_فاکتور!$I$3:$I$1622,A49,لاگ_فاکتور!$L$3:$L$1622),0)</f>
        <v>0</v>
      </c>
      <c r="K49" s="10">
        <f t="shared" si="1"/>
        <v>9</v>
      </c>
      <c r="L49" s="1" t="str">
        <f>IF(C49="","",IF(K49&lt;=0,"🔴 تمام",IF(K49&lt;=تنظیمات_سیستم!$C$7,"🟠 کم","🟢 OK")))</f>
        <v>🟢 OK</v>
      </c>
    </row>
    <row r="50" spans="1:12" ht="19.5" customHeight="1">
      <c r="A50" s="1" t="str">
        <f t="shared" si="0"/>
        <v>SKU-0047</v>
      </c>
      <c r="B50" s="63" t="s">
        <v>818</v>
      </c>
      <c r="C50" t="s">
        <v>507</v>
      </c>
      <c r="D50" s="36" t="s">
        <v>73</v>
      </c>
      <c r="E50" s="36" t="s">
        <v>68</v>
      </c>
      <c r="F50" s="90" t="s">
        <v>69</v>
      </c>
      <c r="G50" s="7"/>
      <c r="H50" s="7">
        <v>2580000</v>
      </c>
      <c r="I50" s="8">
        <v>9</v>
      </c>
      <c r="J50" s="9">
        <f>IFERROR(SUMIF(لاگ_فاکتور!$I$3:$I$1622,A50,لاگ_فاکتور!$L$3:$L$1622),0)</f>
        <v>0</v>
      </c>
      <c r="K50" s="10">
        <f t="shared" si="1"/>
        <v>9</v>
      </c>
      <c r="L50" s="1" t="str">
        <f>IF(C50="","",IF(K50&lt;=0,"🔴 تمام",IF(K50&lt;=تنظیمات_سیستم!$C$7,"🟠 کم","🟢 OK")))</f>
        <v>🟢 OK</v>
      </c>
    </row>
    <row r="51" spans="1:12" ht="19.5" customHeight="1">
      <c r="A51" s="1" t="str">
        <f t="shared" si="0"/>
        <v>SKU-0048</v>
      </c>
      <c r="B51" s="63" t="s">
        <v>824</v>
      </c>
      <c r="C51" t="s">
        <v>508</v>
      </c>
      <c r="D51" s="36" t="s">
        <v>73</v>
      </c>
      <c r="E51" s="36" t="s">
        <v>68</v>
      </c>
      <c r="F51" s="90" t="s">
        <v>69</v>
      </c>
      <c r="G51" s="7"/>
      <c r="H51" s="7">
        <v>2580000</v>
      </c>
      <c r="I51" s="8">
        <v>9</v>
      </c>
      <c r="J51" s="9">
        <f>IFERROR(SUMIF(لاگ_فاکتور!$I$3:$I$1622,A51,لاگ_فاکتور!$L$3:$L$1622),0)</f>
        <v>0</v>
      </c>
      <c r="K51" s="10">
        <f t="shared" si="1"/>
        <v>9</v>
      </c>
      <c r="L51" s="1" t="str">
        <f>IF(C51="","",IF(K51&lt;=0,"🔴 تمام",IF(K51&lt;=تنظیمات_سیستم!$C$7,"🟠 کم","🟢 OK")))</f>
        <v>🟢 OK</v>
      </c>
    </row>
    <row r="52" spans="1:12" ht="19.5" customHeight="1">
      <c r="A52" s="1" t="str">
        <f t="shared" si="0"/>
        <v>SKU-0049</v>
      </c>
      <c r="B52" s="63" t="s">
        <v>825</v>
      </c>
      <c r="C52" t="s">
        <v>509</v>
      </c>
      <c r="D52" s="36" t="s">
        <v>73</v>
      </c>
      <c r="E52" s="36" t="s">
        <v>68</v>
      </c>
      <c r="F52" s="90" t="s">
        <v>69</v>
      </c>
      <c r="G52" s="7"/>
      <c r="H52" s="7">
        <v>2580000</v>
      </c>
      <c r="I52" s="8">
        <v>9</v>
      </c>
      <c r="J52" s="9">
        <f>IFERROR(SUMIF(لاگ_فاکتور!$I$3:$I$1622,A52,لاگ_فاکتور!$L$3:$L$1622),0)</f>
        <v>0</v>
      </c>
      <c r="K52" s="10">
        <f t="shared" si="1"/>
        <v>9</v>
      </c>
      <c r="L52" s="1" t="str">
        <f>IF(C52="","",IF(K52&lt;=0,"🔴 تمام",IF(K52&lt;=تنظیمات_سیستم!$C$7,"🟠 کم","🟢 OK")))</f>
        <v>🟢 OK</v>
      </c>
    </row>
    <row r="53" spans="1:12" ht="19.5" customHeight="1">
      <c r="A53" s="1" t="str">
        <f t="shared" si="0"/>
        <v>SKU-0050</v>
      </c>
      <c r="B53" s="63" t="s">
        <v>819</v>
      </c>
      <c r="C53" t="s">
        <v>510</v>
      </c>
      <c r="D53" s="36" t="s">
        <v>73</v>
      </c>
      <c r="E53" s="36" t="s">
        <v>68</v>
      </c>
      <c r="F53" s="90" t="s">
        <v>69</v>
      </c>
      <c r="G53" s="7"/>
      <c r="H53" s="7">
        <v>2480000</v>
      </c>
      <c r="I53" s="8">
        <v>9</v>
      </c>
      <c r="J53" s="9">
        <f>IFERROR(SUMIF(لاگ_فاکتور!$I$3:$I$1622,A53,لاگ_فاکتور!$L$3:$L$1622),0)</f>
        <v>0</v>
      </c>
      <c r="K53" s="10">
        <f t="shared" si="1"/>
        <v>9</v>
      </c>
      <c r="L53" s="1" t="str">
        <f>IF(C53="","",IF(K53&lt;=0,"🔴 تمام",IF(K53&lt;=تنظیمات_سیستم!$C$7,"🟠 کم","🟢 OK")))</f>
        <v>🟢 OK</v>
      </c>
    </row>
    <row r="54" spans="1:12" ht="19.5" customHeight="1">
      <c r="A54" s="1" t="str">
        <f t="shared" si="0"/>
        <v>SKU-0051</v>
      </c>
      <c r="B54" s="63" t="s">
        <v>820</v>
      </c>
      <c r="C54" t="s">
        <v>511</v>
      </c>
      <c r="D54" s="36" t="s">
        <v>73</v>
      </c>
      <c r="E54" s="36" t="s">
        <v>68</v>
      </c>
      <c r="F54" s="90" t="s">
        <v>69</v>
      </c>
      <c r="G54" s="7"/>
      <c r="H54" s="7">
        <v>2480000</v>
      </c>
      <c r="I54" s="8">
        <v>9</v>
      </c>
      <c r="J54" s="9">
        <f>IFERROR(SUMIF(لاگ_فاکتور!$I$3:$I$1622,A54,لاگ_فاکتور!$L$3:$L$1622),0)</f>
        <v>0</v>
      </c>
      <c r="K54" s="10">
        <f t="shared" si="1"/>
        <v>9</v>
      </c>
      <c r="L54" s="1" t="str">
        <f>IF(C54="","",IF(K54&lt;=0,"🔴 تمام",IF(K54&lt;=تنظیمات_سیستم!$C$7,"🟠 کم","🟢 OK")))</f>
        <v>🟢 OK</v>
      </c>
    </row>
    <row r="55" spans="1:12" ht="19.5" customHeight="1">
      <c r="A55" s="1" t="str">
        <f t="shared" si="0"/>
        <v>SKU-0052</v>
      </c>
      <c r="B55" s="63" t="s">
        <v>821</v>
      </c>
      <c r="C55" t="s">
        <v>512</v>
      </c>
      <c r="D55" s="36" t="s">
        <v>73</v>
      </c>
      <c r="E55" s="36" t="s">
        <v>68</v>
      </c>
      <c r="F55" s="90" t="s">
        <v>69</v>
      </c>
      <c r="G55" s="7"/>
      <c r="H55" s="7">
        <v>2480000</v>
      </c>
      <c r="I55" s="8">
        <v>9</v>
      </c>
      <c r="J55" s="9">
        <f>IFERROR(SUMIF(لاگ_فاکتور!$I$3:$I$1622,A55,لاگ_فاکتور!$L$3:$L$1622),0)</f>
        <v>0</v>
      </c>
      <c r="K55" s="10">
        <f t="shared" si="1"/>
        <v>9</v>
      </c>
      <c r="L55" s="1" t="str">
        <f>IF(C55="","",IF(K55&lt;=0,"🔴 تمام",IF(K55&lt;=تنظیمات_سیستم!$C$7,"🟠 کم","🟢 OK")))</f>
        <v>🟢 OK</v>
      </c>
    </row>
    <row r="56" spans="1:12" ht="19.5" customHeight="1">
      <c r="A56" s="1" t="str">
        <f t="shared" si="0"/>
        <v>SKU-0053</v>
      </c>
      <c r="B56" s="63" t="s">
        <v>822</v>
      </c>
      <c r="C56" t="s">
        <v>513</v>
      </c>
      <c r="D56" s="36" t="s">
        <v>73</v>
      </c>
      <c r="E56" s="36" t="s">
        <v>68</v>
      </c>
      <c r="F56" s="90" t="s">
        <v>69</v>
      </c>
      <c r="G56" s="7"/>
      <c r="H56" s="7">
        <v>2480000</v>
      </c>
      <c r="I56" s="8">
        <v>9</v>
      </c>
      <c r="J56" s="9">
        <f>IFERROR(SUMIF(لاگ_فاکتور!$I$3:$I$1622,A56,لاگ_فاکتور!$L$3:$L$1622),0)</f>
        <v>0</v>
      </c>
      <c r="K56" s="10">
        <f t="shared" si="1"/>
        <v>9</v>
      </c>
      <c r="L56" s="1" t="str">
        <f>IF(C56="","",IF(K56&lt;=0,"🔴 تمام",IF(K56&lt;=تنظیمات_سیستم!$C$7,"🟠 کم","🟢 OK")))</f>
        <v>🟢 OK</v>
      </c>
    </row>
    <row r="57" spans="1:12" ht="19.5" customHeight="1">
      <c r="A57" s="1" t="str">
        <f t="shared" si="0"/>
        <v>SKU-0054</v>
      </c>
      <c r="B57" s="63" t="s">
        <v>823</v>
      </c>
      <c r="C57" t="s">
        <v>514</v>
      </c>
      <c r="D57" s="36" t="s">
        <v>73</v>
      </c>
      <c r="E57" s="36" t="s">
        <v>68</v>
      </c>
      <c r="F57" s="90" t="s">
        <v>69</v>
      </c>
      <c r="G57" s="7"/>
      <c r="H57" s="7">
        <v>2480000</v>
      </c>
      <c r="I57" s="8">
        <v>9</v>
      </c>
      <c r="J57" s="9">
        <f>IFERROR(SUMIF(لاگ_فاکتور!$I$3:$I$1622,A57,لاگ_فاکتور!$L$3:$L$1622),0)</f>
        <v>0</v>
      </c>
      <c r="K57" s="10">
        <f t="shared" si="1"/>
        <v>9</v>
      </c>
      <c r="L57" s="1" t="str">
        <f>IF(C57="","",IF(K57&lt;=0,"🔴 تمام",IF(K57&lt;=تنظیمات_سیستم!$C$7,"🟠 کم","🟢 OK")))</f>
        <v>🟢 OK</v>
      </c>
    </row>
    <row r="58" spans="1:12" ht="19.5" customHeight="1">
      <c r="A58" s="1" t="str">
        <f t="shared" si="0"/>
        <v>SKU-0055</v>
      </c>
      <c r="B58" s="63" t="s">
        <v>824</v>
      </c>
      <c r="C58" t="s">
        <v>515</v>
      </c>
      <c r="D58" s="36" t="s">
        <v>73</v>
      </c>
      <c r="E58" s="36" t="s">
        <v>68</v>
      </c>
      <c r="F58" s="90" t="s">
        <v>69</v>
      </c>
      <c r="G58" s="7"/>
      <c r="H58" s="7">
        <v>2480000</v>
      </c>
      <c r="I58" s="8">
        <v>9</v>
      </c>
      <c r="J58" s="9">
        <f>IFERROR(SUMIF(لاگ_فاکتور!$I$3:$I$1622,A58,لاگ_فاکتور!$L$3:$L$1622),0)</f>
        <v>0</v>
      </c>
      <c r="K58" s="10">
        <f t="shared" si="1"/>
        <v>9</v>
      </c>
      <c r="L58" s="1" t="str">
        <f>IF(C58="","",IF(K58&lt;=0,"🔴 تمام",IF(K58&lt;=تنظیمات_سیستم!$C$7,"🟠 کم","🟢 OK")))</f>
        <v>🟢 OK</v>
      </c>
    </row>
    <row r="59" spans="1:12" ht="19.5" customHeight="1">
      <c r="A59" s="1" t="str">
        <f t="shared" si="0"/>
        <v>SKU-0056</v>
      </c>
      <c r="B59" s="63" t="s">
        <v>825</v>
      </c>
      <c r="C59" t="s">
        <v>516</v>
      </c>
      <c r="D59" s="36" t="s">
        <v>73</v>
      </c>
      <c r="E59" s="36" t="s">
        <v>68</v>
      </c>
      <c r="F59" s="90" t="s">
        <v>69</v>
      </c>
      <c r="G59" s="7"/>
      <c r="H59" s="7">
        <v>2480000</v>
      </c>
      <c r="I59" s="8">
        <v>9</v>
      </c>
      <c r="J59" s="9">
        <f>IFERROR(SUMIF(لاگ_فاکتور!$I$3:$I$1622,A59,لاگ_فاکتور!$L$3:$L$1622),0)</f>
        <v>0</v>
      </c>
      <c r="K59" s="10">
        <f t="shared" si="1"/>
        <v>9</v>
      </c>
      <c r="L59" s="1" t="str">
        <f>IF(C59="","",IF(K59&lt;=0,"🔴 تمام",IF(K59&lt;=تنظیمات_سیستم!$C$7,"🟠 کم","🟢 OK")))</f>
        <v>🟢 OK</v>
      </c>
    </row>
    <row r="60" spans="1:12" ht="19.5" customHeight="1">
      <c r="A60" s="1" t="str">
        <f t="shared" si="0"/>
        <v>SKU-0057</v>
      </c>
      <c r="B60" s="63" t="s">
        <v>826</v>
      </c>
      <c r="C60" t="s">
        <v>517</v>
      </c>
      <c r="D60" s="36" t="s">
        <v>73</v>
      </c>
      <c r="E60" s="36" t="s">
        <v>68</v>
      </c>
      <c r="F60" s="90" t="s">
        <v>69</v>
      </c>
      <c r="G60" s="7"/>
      <c r="H60" s="7">
        <v>2480000</v>
      </c>
      <c r="I60" s="8">
        <v>9</v>
      </c>
      <c r="J60" s="9">
        <f>IFERROR(SUMIF(لاگ_فاکتور!$I$3:$I$1622,A60,لاگ_فاکتور!$L$3:$L$1622),0)</f>
        <v>0</v>
      </c>
      <c r="K60" s="10">
        <f t="shared" si="1"/>
        <v>9</v>
      </c>
      <c r="L60" s="1" t="str">
        <f>IF(C60="","",IF(K60&lt;=0,"🔴 تمام",IF(K60&lt;=تنظیمات_سیستم!$C$7,"🟠 کم","🟢 OK")))</f>
        <v>🟢 OK</v>
      </c>
    </row>
    <row r="61" spans="1:12" ht="19.5" customHeight="1">
      <c r="A61" s="1" t="str">
        <f t="shared" si="0"/>
        <v>SKU-0058</v>
      </c>
      <c r="B61" s="63" t="s">
        <v>827</v>
      </c>
      <c r="C61" t="s">
        <v>518</v>
      </c>
      <c r="D61" s="36" t="s">
        <v>73</v>
      </c>
      <c r="E61" s="36" t="s">
        <v>68</v>
      </c>
      <c r="F61" s="90" t="s">
        <v>69</v>
      </c>
      <c r="G61" s="7"/>
      <c r="H61" s="7">
        <v>2580000</v>
      </c>
      <c r="I61" s="8">
        <v>9</v>
      </c>
      <c r="J61" s="9">
        <f>IFERROR(SUMIF(لاگ_فاکتور!$I$3:$I$1622,A61,لاگ_فاکتور!$L$3:$L$1622),0)</f>
        <v>0</v>
      </c>
      <c r="K61" s="10">
        <f t="shared" si="1"/>
        <v>9</v>
      </c>
      <c r="L61" s="1" t="str">
        <f>IF(C61="","",IF(K61&lt;=0,"🔴 تمام",IF(K61&lt;=تنظیمات_سیستم!$C$7,"🟠 کم","🟢 OK")))</f>
        <v>🟢 OK</v>
      </c>
    </row>
    <row r="62" spans="1:12" ht="19.5" customHeight="1">
      <c r="A62" s="1" t="str">
        <f t="shared" si="0"/>
        <v>SKU-0059</v>
      </c>
      <c r="B62" s="63" t="s">
        <v>828</v>
      </c>
      <c r="C62" t="s">
        <v>519</v>
      </c>
      <c r="D62" s="36" t="s">
        <v>73</v>
      </c>
      <c r="E62" s="36" t="s">
        <v>68</v>
      </c>
      <c r="F62" s="90" t="s">
        <v>69</v>
      </c>
      <c r="G62" s="7"/>
      <c r="H62" s="7">
        <v>2580000</v>
      </c>
      <c r="I62" s="8">
        <v>9</v>
      </c>
      <c r="J62" s="9">
        <f>IFERROR(SUMIF(لاگ_فاکتور!$I$3:$I$1622,A62,لاگ_فاکتور!$L$3:$L$1622),0)</f>
        <v>0</v>
      </c>
      <c r="K62" s="10">
        <f t="shared" si="1"/>
        <v>9</v>
      </c>
      <c r="L62" s="1" t="str">
        <f>IF(C62="","",IF(K62&lt;=0,"🔴 تمام",IF(K62&lt;=تنظیمات_سیستم!$C$7,"🟠 کم","🟢 OK")))</f>
        <v>🟢 OK</v>
      </c>
    </row>
    <row r="63" spans="1:12" ht="19.5" customHeight="1">
      <c r="A63" s="1" t="str">
        <f t="shared" si="0"/>
        <v>SKU-0060</v>
      </c>
      <c r="B63" s="63" t="s">
        <v>829</v>
      </c>
      <c r="C63" t="s">
        <v>520</v>
      </c>
      <c r="D63" s="36" t="s">
        <v>73</v>
      </c>
      <c r="E63" s="36" t="s">
        <v>68</v>
      </c>
      <c r="F63" s="90" t="s">
        <v>69</v>
      </c>
      <c r="G63" s="7"/>
      <c r="H63" s="7">
        <v>2580000</v>
      </c>
      <c r="I63" s="8">
        <v>9</v>
      </c>
      <c r="J63" s="9">
        <f>IFERROR(SUMIF(لاگ_فاکتور!$I$3:$I$1622,A63,لاگ_فاکتور!$L$3:$L$1622),0)</f>
        <v>0</v>
      </c>
      <c r="K63" s="10">
        <f t="shared" si="1"/>
        <v>9</v>
      </c>
      <c r="L63" s="1" t="str">
        <f>IF(C63="","",IF(K63&lt;=0,"🔴 تمام",IF(K63&lt;=تنظیمات_سیستم!$C$7,"🟠 کم","🟢 OK")))</f>
        <v>🟢 OK</v>
      </c>
    </row>
    <row r="64" spans="1:12" ht="19.5" customHeight="1">
      <c r="A64" s="1" t="str">
        <f t="shared" si="0"/>
        <v>SKU-0061</v>
      </c>
      <c r="B64" s="63" t="s">
        <v>830</v>
      </c>
      <c r="C64" t="s">
        <v>521</v>
      </c>
      <c r="D64" s="36" t="s">
        <v>73</v>
      </c>
      <c r="E64" s="36" t="s">
        <v>68</v>
      </c>
      <c r="F64" s="90" t="s">
        <v>69</v>
      </c>
      <c r="G64" s="7"/>
      <c r="H64" s="7">
        <v>2580000</v>
      </c>
      <c r="I64" s="8">
        <v>9</v>
      </c>
      <c r="J64" s="9">
        <f>IFERROR(SUMIF(لاگ_فاکتور!$I$3:$I$1622,A64,لاگ_فاکتور!$L$3:$L$1622),0)</f>
        <v>0</v>
      </c>
      <c r="K64" s="10">
        <f t="shared" si="1"/>
        <v>9</v>
      </c>
      <c r="L64" s="1" t="str">
        <f>IF(C64="","",IF(K64&lt;=0,"🔴 تمام",IF(K64&lt;=تنظیمات_سیستم!$C$7,"🟠 کم","🟢 OK")))</f>
        <v>🟢 OK</v>
      </c>
    </row>
    <row r="65" spans="1:12" ht="19.5" customHeight="1">
      <c r="A65" s="1" t="str">
        <f t="shared" si="0"/>
        <v>SKU-0062</v>
      </c>
      <c r="B65" s="63" t="s">
        <v>831</v>
      </c>
      <c r="C65" t="s">
        <v>522</v>
      </c>
      <c r="D65" s="36" t="s">
        <v>73</v>
      </c>
      <c r="E65" s="36" t="s">
        <v>68</v>
      </c>
      <c r="F65" s="90" t="s">
        <v>69</v>
      </c>
      <c r="G65" s="7"/>
      <c r="H65" s="7">
        <v>2580000</v>
      </c>
      <c r="I65" s="8">
        <v>9</v>
      </c>
      <c r="J65" s="9">
        <f>IFERROR(SUMIF(لاگ_فاکتور!$I$3:$I$1622,A65,لاگ_فاکتور!$L$3:$L$1622),0)</f>
        <v>0</v>
      </c>
      <c r="K65" s="10">
        <f t="shared" si="1"/>
        <v>9</v>
      </c>
      <c r="L65" s="1" t="str">
        <f>IF(C65="","",IF(K65&lt;=0,"🔴 تمام",IF(K65&lt;=تنظیمات_سیستم!$C$7,"🟠 کم","🟢 OK")))</f>
        <v>🟢 OK</v>
      </c>
    </row>
    <row r="66" spans="1:12" ht="19.5" customHeight="1">
      <c r="A66" s="1" t="str">
        <f t="shared" si="0"/>
        <v>SKU-0063</v>
      </c>
      <c r="B66" s="63" t="s">
        <v>832</v>
      </c>
      <c r="C66" t="s">
        <v>523</v>
      </c>
      <c r="D66" s="36" t="s">
        <v>73</v>
      </c>
      <c r="E66" s="36" t="s">
        <v>68</v>
      </c>
      <c r="F66" s="90" t="s">
        <v>69</v>
      </c>
      <c r="G66" s="7"/>
      <c r="H66" s="7">
        <v>2580000</v>
      </c>
      <c r="I66" s="8">
        <v>9</v>
      </c>
      <c r="J66" s="9">
        <f>IFERROR(SUMIF(لاگ_فاکتور!$I$3:$I$1622,A66,لاگ_فاکتور!$L$3:$L$1622),0)</f>
        <v>0</v>
      </c>
      <c r="K66" s="10">
        <f t="shared" si="1"/>
        <v>9</v>
      </c>
      <c r="L66" s="1" t="str">
        <f>IF(C66="","",IF(K66&lt;=0,"🔴 تمام",IF(K66&lt;=تنظیمات_سیستم!$C$7,"🟠 کم","🟢 OK")))</f>
        <v>🟢 OK</v>
      </c>
    </row>
    <row r="67" spans="1:12" ht="19.5" customHeight="1">
      <c r="A67" s="1" t="str">
        <f t="shared" si="0"/>
        <v>SKU-0064</v>
      </c>
      <c r="B67" s="63" t="s">
        <v>833</v>
      </c>
      <c r="C67" t="s">
        <v>524</v>
      </c>
      <c r="D67" s="36" t="s">
        <v>73</v>
      </c>
      <c r="E67" s="36" t="s">
        <v>68</v>
      </c>
      <c r="F67" s="90" t="s">
        <v>69</v>
      </c>
      <c r="G67" s="7"/>
      <c r="H67" s="7">
        <v>2580000</v>
      </c>
      <c r="I67" s="8">
        <v>9</v>
      </c>
      <c r="J67" s="9">
        <f>IFERROR(SUMIF(لاگ_فاکتور!$I$3:$I$1622,A67,لاگ_فاکتور!$L$3:$L$1622),0)</f>
        <v>0</v>
      </c>
      <c r="K67" s="10">
        <f t="shared" si="1"/>
        <v>9</v>
      </c>
      <c r="L67" s="1" t="str">
        <f>IF(C67="","",IF(K67&lt;=0,"🔴 تمام",IF(K67&lt;=تنظیمات_سیستم!$C$7,"🟠 کم","🟢 OK")))</f>
        <v>🟢 OK</v>
      </c>
    </row>
    <row r="68" spans="1:12" ht="19.5" customHeight="1">
      <c r="A68" s="1" t="str">
        <f t="shared" ref="A68:A131" si="2">IF(C68="","","SKU-"&amp;TEXT(ROW()-3,"0000"))</f>
        <v>SKU-0065</v>
      </c>
      <c r="B68" s="63" t="s">
        <v>834</v>
      </c>
      <c r="C68" t="s">
        <v>525</v>
      </c>
      <c r="D68" s="36" t="s">
        <v>73</v>
      </c>
      <c r="E68" s="36" t="s">
        <v>68</v>
      </c>
      <c r="F68" s="90" t="s">
        <v>69</v>
      </c>
      <c r="G68" s="7"/>
      <c r="H68" s="7">
        <v>2580000</v>
      </c>
      <c r="I68" s="8">
        <v>9</v>
      </c>
      <c r="J68" s="9">
        <f>IFERROR(SUMIF(لاگ_فاکتور!$I$3:$I$1622,A68,لاگ_فاکتور!$L$3:$L$1622),0)</f>
        <v>0</v>
      </c>
      <c r="K68" s="10">
        <f t="shared" ref="K68:K131" si="3">MAX(0,I68-J68)</f>
        <v>9</v>
      </c>
      <c r="L68" s="1" t="str">
        <f>IF(C68="","",IF(K68&lt;=0,"🔴 تمام",IF(K68&lt;=تنظیمات_سیستم!$C$7,"🟠 کم","🟢 OK")))</f>
        <v>🟢 OK</v>
      </c>
    </row>
    <row r="69" spans="1:12" ht="19.5" customHeight="1">
      <c r="A69" s="1" t="str">
        <f t="shared" si="2"/>
        <v>SKU-0066</v>
      </c>
      <c r="B69" s="63" t="s">
        <v>801</v>
      </c>
      <c r="C69" t="s">
        <v>526</v>
      </c>
      <c r="D69" s="36" t="s">
        <v>73</v>
      </c>
      <c r="E69" s="36" t="s">
        <v>527</v>
      </c>
      <c r="F69" s="90" t="s">
        <v>66</v>
      </c>
      <c r="G69" s="7"/>
      <c r="H69" s="7">
        <v>3580000</v>
      </c>
      <c r="I69" s="8">
        <v>9</v>
      </c>
      <c r="J69" s="9">
        <f>IFERROR(SUMIF(لاگ_فاکتور!$I$3:$I$1622,A69,لاگ_فاکتور!$L$3:$L$1622),0)</f>
        <v>0</v>
      </c>
      <c r="K69" s="10">
        <f t="shared" si="3"/>
        <v>9</v>
      </c>
      <c r="L69" s="1" t="str">
        <f>IF(C69="","",IF(K69&lt;=0,"🔴 تمام",IF(K69&lt;=تنظیمات_سیستم!$C$7,"🟠 کم","🟢 OK")))</f>
        <v>🟢 OK</v>
      </c>
    </row>
    <row r="70" spans="1:12" ht="19.5" customHeight="1">
      <c r="A70" s="1" t="str">
        <f t="shared" si="2"/>
        <v>SKU-0067</v>
      </c>
      <c r="B70" s="63" t="s">
        <v>802</v>
      </c>
      <c r="C70" t="s">
        <v>528</v>
      </c>
      <c r="D70" s="36" t="s">
        <v>73</v>
      </c>
      <c r="E70" s="36" t="s">
        <v>527</v>
      </c>
      <c r="F70" s="90" t="s">
        <v>66</v>
      </c>
      <c r="G70" s="7"/>
      <c r="H70" s="7">
        <v>3580000</v>
      </c>
      <c r="I70" s="8">
        <v>9</v>
      </c>
      <c r="J70" s="9">
        <f>IFERROR(SUMIF(لاگ_فاکتور!$I$3:$I$1622,A70,لاگ_فاکتور!$L$3:$L$1622),0)</f>
        <v>0</v>
      </c>
      <c r="K70" s="10">
        <f t="shared" si="3"/>
        <v>9</v>
      </c>
      <c r="L70" s="1" t="str">
        <f>IF(C70="","",IF(K70&lt;=0,"🔴 تمام",IF(K70&lt;=تنظیمات_سیستم!$C$7,"🟠 کم","🟢 OK")))</f>
        <v>🟢 OK</v>
      </c>
    </row>
    <row r="71" spans="1:12" ht="19.5" customHeight="1">
      <c r="A71" s="1" t="str">
        <f t="shared" si="2"/>
        <v>SKU-0068</v>
      </c>
      <c r="B71" s="63" t="s">
        <v>802</v>
      </c>
      <c r="C71" t="s">
        <v>529</v>
      </c>
      <c r="D71" s="36" t="s">
        <v>73</v>
      </c>
      <c r="E71" s="36" t="s">
        <v>527</v>
      </c>
      <c r="F71" s="90" t="s">
        <v>66</v>
      </c>
      <c r="G71" s="7"/>
      <c r="H71" s="7">
        <v>3580000</v>
      </c>
      <c r="I71" s="8">
        <v>9</v>
      </c>
      <c r="J71" s="9">
        <f>IFERROR(SUMIF(لاگ_فاکتور!$I$3:$I$1622,A71,لاگ_فاکتور!$L$3:$L$1622),0)</f>
        <v>0</v>
      </c>
      <c r="K71" s="10">
        <f t="shared" si="3"/>
        <v>9</v>
      </c>
      <c r="L71" s="1" t="str">
        <f>IF(C71="","",IF(K71&lt;=0,"🔴 تمام",IF(K71&lt;=تنظیمات_سیستم!$C$7,"🟠 کم","🟢 OK")))</f>
        <v>🟢 OK</v>
      </c>
    </row>
    <row r="72" spans="1:12" ht="19.5" customHeight="1">
      <c r="A72" s="1" t="str">
        <f t="shared" si="2"/>
        <v>SKU-0069</v>
      </c>
      <c r="B72" s="63" t="s">
        <v>800</v>
      </c>
      <c r="C72" t="s">
        <v>530</v>
      </c>
      <c r="D72" s="36" t="s">
        <v>73</v>
      </c>
      <c r="E72" s="36" t="s">
        <v>527</v>
      </c>
      <c r="F72" s="90" t="s">
        <v>66</v>
      </c>
      <c r="G72" s="7"/>
      <c r="H72" s="7">
        <v>3580000</v>
      </c>
      <c r="I72" s="8">
        <v>9</v>
      </c>
      <c r="J72" s="9">
        <f>IFERROR(SUMIF(لاگ_فاکتور!$I$3:$I$1622,A72,لاگ_فاکتور!$L$3:$L$1622),0)</f>
        <v>0</v>
      </c>
      <c r="K72" s="10">
        <f t="shared" si="3"/>
        <v>9</v>
      </c>
      <c r="L72" s="1" t="str">
        <f>IF(C72="","",IF(K72&lt;=0,"🔴 تمام",IF(K72&lt;=تنظیمات_سیستم!$C$7,"🟠 کم","🟢 OK")))</f>
        <v>🟢 OK</v>
      </c>
    </row>
    <row r="73" spans="1:12" ht="19.5" customHeight="1">
      <c r="A73" s="1" t="str">
        <f t="shared" si="2"/>
        <v>SKU-0070</v>
      </c>
      <c r="B73" s="63" t="s">
        <v>1010</v>
      </c>
      <c r="C73" t="s">
        <v>531</v>
      </c>
      <c r="D73" s="36" t="s">
        <v>73</v>
      </c>
      <c r="E73" s="36" t="s">
        <v>527</v>
      </c>
      <c r="F73" s="90" t="s">
        <v>66</v>
      </c>
      <c r="G73" s="7"/>
      <c r="H73" s="7">
        <v>3580000</v>
      </c>
      <c r="I73" s="8">
        <v>9</v>
      </c>
      <c r="J73" s="9">
        <f>IFERROR(SUMIF(لاگ_فاکتور!$I$3:$I$1622,A73,لاگ_فاکتور!$L$3:$L$1622),0)</f>
        <v>0</v>
      </c>
      <c r="K73" s="10">
        <f t="shared" si="3"/>
        <v>9</v>
      </c>
      <c r="L73" s="1" t="str">
        <f>IF(C73="","",IF(K73&lt;=0,"🔴 تمام",IF(K73&lt;=تنظیمات_سیستم!$C$7,"🟠 کم","🟢 OK")))</f>
        <v>🟢 OK</v>
      </c>
    </row>
    <row r="74" spans="1:12" ht="19.5" customHeight="1">
      <c r="A74" s="1" t="str">
        <f t="shared" si="2"/>
        <v>SKU-0071</v>
      </c>
      <c r="B74" s="63" t="s">
        <v>1011</v>
      </c>
      <c r="C74" t="s">
        <v>1155</v>
      </c>
      <c r="D74" s="36" t="s">
        <v>73</v>
      </c>
      <c r="E74" s="36" t="s">
        <v>527</v>
      </c>
      <c r="F74" s="90" t="s">
        <v>66</v>
      </c>
      <c r="G74" s="7"/>
      <c r="H74" s="7">
        <v>3850000</v>
      </c>
      <c r="I74" s="8">
        <v>9</v>
      </c>
      <c r="J74" s="9">
        <f>IFERROR(SUMIF(لاگ_فاکتور!$I$3:$I$1622,A74,لاگ_فاکتور!$L$3:$L$1622),0)</f>
        <v>0</v>
      </c>
      <c r="K74" s="10">
        <f t="shared" si="3"/>
        <v>9</v>
      </c>
      <c r="L74" s="1" t="str">
        <f>IF(C74="","",IF(K74&lt;=0,"🔴 تمام",IF(K74&lt;=تنظیمات_سیستم!$C$7,"🟠 کم","🟢 OK")))</f>
        <v>🟢 OK</v>
      </c>
    </row>
    <row r="75" spans="1:12" ht="19.5" customHeight="1">
      <c r="A75" s="1" t="str">
        <f t="shared" si="2"/>
        <v>SKU-0072</v>
      </c>
      <c r="B75" s="63" t="s">
        <v>1012</v>
      </c>
      <c r="C75" t="s">
        <v>532</v>
      </c>
      <c r="D75" s="36" t="s">
        <v>64</v>
      </c>
      <c r="E75" s="36" t="s">
        <v>78</v>
      </c>
      <c r="F75" s="90" t="s">
        <v>66</v>
      </c>
      <c r="G75" s="7"/>
      <c r="H75" s="7">
        <v>4580000</v>
      </c>
      <c r="I75" s="8">
        <v>9</v>
      </c>
      <c r="J75" s="9">
        <f>IFERROR(SUMIF(لاگ_فاکتور!$I$3:$I$1622,A75,لاگ_فاکتور!$L$3:$L$1622),0)</f>
        <v>0</v>
      </c>
      <c r="K75" s="10">
        <f t="shared" si="3"/>
        <v>9</v>
      </c>
      <c r="L75" s="1" t="str">
        <f>IF(C75="","",IF(K75&lt;=0,"🔴 تمام",IF(K75&lt;=تنظیمات_سیستم!$C$7,"🟠 کم","🟢 OK")))</f>
        <v>🟢 OK</v>
      </c>
    </row>
    <row r="76" spans="1:12" ht="19.5" customHeight="1">
      <c r="A76" s="1" t="str">
        <f t="shared" si="2"/>
        <v>SKU-0073</v>
      </c>
      <c r="B76" s="63" t="s">
        <v>1013</v>
      </c>
      <c r="C76" t="s">
        <v>533</v>
      </c>
      <c r="D76" s="36" t="s">
        <v>64</v>
      </c>
      <c r="E76" s="36" t="s">
        <v>78</v>
      </c>
      <c r="F76" s="90" t="s">
        <v>66</v>
      </c>
      <c r="G76" s="7"/>
      <c r="H76" s="7">
        <v>4580000</v>
      </c>
      <c r="I76" s="8">
        <v>9</v>
      </c>
      <c r="J76" s="9">
        <f>IFERROR(SUMIF(لاگ_فاکتور!$I$3:$I$1622,A76,لاگ_فاکتور!$L$3:$L$1622),0)</f>
        <v>0</v>
      </c>
      <c r="K76" s="10">
        <f t="shared" si="3"/>
        <v>9</v>
      </c>
      <c r="L76" s="1" t="str">
        <f>IF(C76="","",IF(K76&lt;=0,"🔴 تمام",IF(K76&lt;=تنظیمات_سیستم!$C$7,"🟠 کم","🟢 OK")))</f>
        <v>🟢 OK</v>
      </c>
    </row>
    <row r="77" spans="1:12" ht="19.5" customHeight="1">
      <c r="A77" s="1" t="str">
        <f t="shared" si="2"/>
        <v>SKU-0074</v>
      </c>
      <c r="B77" s="63" t="s">
        <v>1014</v>
      </c>
      <c r="C77" t="s">
        <v>534</v>
      </c>
      <c r="D77" s="36" t="s">
        <v>64</v>
      </c>
      <c r="E77" s="36" t="s">
        <v>78</v>
      </c>
      <c r="F77" s="90" t="s">
        <v>66</v>
      </c>
      <c r="G77" s="7"/>
      <c r="H77" s="7">
        <v>4580000</v>
      </c>
      <c r="I77" s="8">
        <v>9</v>
      </c>
      <c r="J77" s="9">
        <f>IFERROR(SUMIF(لاگ_فاکتور!$I$3:$I$1622,A77,لاگ_فاکتور!$L$3:$L$1622),0)</f>
        <v>0</v>
      </c>
      <c r="K77" s="10">
        <f t="shared" si="3"/>
        <v>9</v>
      </c>
      <c r="L77" s="1" t="str">
        <f>IF(C77="","",IF(K77&lt;=0,"🔴 تمام",IF(K77&lt;=تنظیمات_سیستم!$C$7,"🟠 کم","🟢 OK")))</f>
        <v>🟢 OK</v>
      </c>
    </row>
    <row r="78" spans="1:12" ht="19.5" customHeight="1">
      <c r="A78" s="1" t="str">
        <f t="shared" si="2"/>
        <v>SKU-0075</v>
      </c>
      <c r="B78" s="63" t="s">
        <v>1015</v>
      </c>
      <c r="C78" t="s">
        <v>535</v>
      </c>
      <c r="D78" s="36" t="s">
        <v>64</v>
      </c>
      <c r="E78" s="36" t="s">
        <v>78</v>
      </c>
      <c r="F78" s="90" t="s">
        <v>66</v>
      </c>
      <c r="G78" s="7"/>
      <c r="H78" s="7">
        <v>4580000</v>
      </c>
      <c r="I78" s="8">
        <v>9</v>
      </c>
      <c r="J78" s="9">
        <f>IFERROR(SUMIF(لاگ_فاکتور!$I$3:$I$1622,A78,لاگ_فاکتور!$L$3:$L$1622),0)</f>
        <v>0</v>
      </c>
      <c r="K78" s="10">
        <f t="shared" si="3"/>
        <v>9</v>
      </c>
      <c r="L78" s="1" t="str">
        <f>IF(C78="","",IF(K78&lt;=0,"🔴 تمام",IF(K78&lt;=تنظیمات_سیستم!$C$7,"🟠 کم","🟢 OK")))</f>
        <v>🟢 OK</v>
      </c>
    </row>
    <row r="79" spans="1:12" ht="19.5" customHeight="1">
      <c r="A79" s="1" t="str">
        <f t="shared" si="2"/>
        <v>SKU-0076</v>
      </c>
      <c r="B79" s="63" t="s">
        <v>1016</v>
      </c>
      <c r="C79" t="s">
        <v>536</v>
      </c>
      <c r="D79" s="36" t="s">
        <v>64</v>
      </c>
      <c r="E79" s="36" t="s">
        <v>78</v>
      </c>
      <c r="F79" s="90" t="s">
        <v>66</v>
      </c>
      <c r="G79" s="7"/>
      <c r="H79" s="7">
        <v>4580000</v>
      </c>
      <c r="I79" s="8">
        <v>9</v>
      </c>
      <c r="J79" s="9">
        <f>IFERROR(SUMIF(لاگ_فاکتور!$I$3:$I$1622,A79,لاگ_فاکتور!$L$3:$L$1622),0)</f>
        <v>0</v>
      </c>
      <c r="K79" s="10">
        <f t="shared" si="3"/>
        <v>9</v>
      </c>
      <c r="L79" s="1" t="str">
        <f>IF(C79="","",IF(K79&lt;=0,"🔴 تمام",IF(K79&lt;=تنظیمات_سیستم!$C$7,"🟠 کم","🟢 OK")))</f>
        <v>🟢 OK</v>
      </c>
    </row>
    <row r="80" spans="1:12" ht="19.5" customHeight="1">
      <c r="A80" s="1" t="str">
        <f t="shared" si="2"/>
        <v>SKU-0077</v>
      </c>
      <c r="B80" s="63" t="s">
        <v>1017</v>
      </c>
      <c r="C80" t="s">
        <v>537</v>
      </c>
      <c r="D80" s="36" t="s">
        <v>64</v>
      </c>
      <c r="E80" s="36" t="s">
        <v>78</v>
      </c>
      <c r="F80" s="90" t="s">
        <v>66</v>
      </c>
      <c r="G80" s="7"/>
      <c r="H80" s="7">
        <v>4580000</v>
      </c>
      <c r="I80" s="8">
        <v>9</v>
      </c>
      <c r="J80" s="9">
        <f>IFERROR(SUMIF(لاگ_فاکتور!$I$3:$I$1622,A80,لاگ_فاکتور!$L$3:$L$1622),0)</f>
        <v>0</v>
      </c>
      <c r="K80" s="10">
        <f t="shared" si="3"/>
        <v>9</v>
      </c>
      <c r="L80" s="1" t="str">
        <f>IF(C80="","",IF(K80&lt;=0,"🔴 تمام",IF(K80&lt;=تنظیمات_سیستم!$C$7,"🟠 کم","🟢 OK")))</f>
        <v>🟢 OK</v>
      </c>
    </row>
    <row r="81" spans="1:12" ht="19.5" customHeight="1">
      <c r="A81" s="1" t="str">
        <f t="shared" si="2"/>
        <v>SKU-0078</v>
      </c>
      <c r="B81" s="63" t="s">
        <v>1018</v>
      </c>
      <c r="C81" t="s">
        <v>538</v>
      </c>
      <c r="D81" s="36" t="s">
        <v>64</v>
      </c>
      <c r="E81" s="36" t="s">
        <v>78</v>
      </c>
      <c r="F81" s="90" t="s">
        <v>66</v>
      </c>
      <c r="G81" s="7"/>
      <c r="H81" s="7">
        <v>4580000</v>
      </c>
      <c r="I81" s="8">
        <v>9</v>
      </c>
      <c r="J81" s="9">
        <f>IFERROR(SUMIF(لاگ_فاکتور!$I$3:$I$1622,A81,لاگ_فاکتور!$L$3:$L$1622),0)</f>
        <v>0</v>
      </c>
      <c r="K81" s="10">
        <f t="shared" si="3"/>
        <v>9</v>
      </c>
      <c r="L81" s="1" t="str">
        <f>IF(C81="","",IF(K81&lt;=0,"🔴 تمام",IF(K81&lt;=تنظیمات_سیستم!$C$7,"🟠 کم","🟢 OK")))</f>
        <v>🟢 OK</v>
      </c>
    </row>
    <row r="82" spans="1:12" ht="19.5" customHeight="1">
      <c r="A82" s="1" t="str">
        <f t="shared" si="2"/>
        <v>SKU-0079</v>
      </c>
      <c r="B82" s="63" t="s">
        <v>1019</v>
      </c>
      <c r="C82" t="s">
        <v>539</v>
      </c>
      <c r="D82" s="36" t="s">
        <v>64</v>
      </c>
      <c r="E82" s="36" t="s">
        <v>78</v>
      </c>
      <c r="F82" s="90" t="s">
        <v>66</v>
      </c>
      <c r="G82" s="7"/>
      <c r="H82" s="7">
        <v>4580000</v>
      </c>
      <c r="I82" s="8">
        <v>9</v>
      </c>
      <c r="J82" s="9">
        <f>IFERROR(SUMIF(لاگ_فاکتور!$I$3:$I$1622,A82,لاگ_فاکتور!$L$3:$L$1622),0)</f>
        <v>0</v>
      </c>
      <c r="K82" s="10">
        <f t="shared" si="3"/>
        <v>9</v>
      </c>
      <c r="L82" s="1" t="str">
        <f>IF(C82="","",IF(K82&lt;=0,"🔴 تمام",IF(K82&lt;=تنظیمات_سیستم!$C$7,"🟠 کم","🟢 OK")))</f>
        <v>🟢 OK</v>
      </c>
    </row>
    <row r="83" spans="1:12" ht="19.5" customHeight="1">
      <c r="A83" s="1" t="str">
        <f t="shared" si="2"/>
        <v>SKU-0080</v>
      </c>
      <c r="B83" s="63" t="s">
        <v>1020</v>
      </c>
      <c r="C83" t="s">
        <v>540</v>
      </c>
      <c r="D83" s="36" t="s">
        <v>64</v>
      </c>
      <c r="E83" s="36" t="s">
        <v>78</v>
      </c>
      <c r="F83" s="90" t="s">
        <v>66</v>
      </c>
      <c r="G83" s="7"/>
      <c r="H83" s="7">
        <v>4580000</v>
      </c>
      <c r="I83" s="8">
        <v>9</v>
      </c>
      <c r="J83" s="9">
        <f>IFERROR(SUMIF(لاگ_فاکتور!$I$3:$I$1622,A83,لاگ_فاکتور!$L$3:$L$1622),0)</f>
        <v>0</v>
      </c>
      <c r="K83" s="10">
        <f t="shared" si="3"/>
        <v>9</v>
      </c>
      <c r="L83" s="1" t="str">
        <f>IF(C83="","",IF(K83&lt;=0,"🔴 تمام",IF(K83&lt;=تنظیمات_سیستم!$C$7,"🟠 کم","🟢 OK")))</f>
        <v>🟢 OK</v>
      </c>
    </row>
    <row r="84" spans="1:12" ht="19.5" customHeight="1">
      <c r="A84" s="1" t="str">
        <f t="shared" si="2"/>
        <v>SKU-0081</v>
      </c>
      <c r="B84" s="63" t="s">
        <v>1021</v>
      </c>
      <c r="C84" t="s">
        <v>541</v>
      </c>
      <c r="D84" s="36" t="s">
        <v>64</v>
      </c>
      <c r="E84" s="36" t="s">
        <v>78</v>
      </c>
      <c r="F84" s="90" t="s">
        <v>66</v>
      </c>
      <c r="G84" s="7"/>
      <c r="H84" s="7">
        <v>4580000</v>
      </c>
      <c r="I84" s="8">
        <v>9</v>
      </c>
      <c r="J84" s="9">
        <f>IFERROR(SUMIF(لاگ_فاکتور!$I$3:$I$1622,A84,لاگ_فاکتور!$L$3:$L$1622),0)</f>
        <v>0</v>
      </c>
      <c r="K84" s="10">
        <f t="shared" si="3"/>
        <v>9</v>
      </c>
      <c r="L84" s="1" t="str">
        <f>IF(C84="","",IF(K84&lt;=0,"🔴 تمام",IF(K84&lt;=تنظیمات_سیستم!$C$7,"🟠 کم","🟢 OK")))</f>
        <v>🟢 OK</v>
      </c>
    </row>
    <row r="85" spans="1:12" ht="19.5" customHeight="1">
      <c r="A85" s="1" t="str">
        <f t="shared" si="2"/>
        <v>SKU-0082</v>
      </c>
      <c r="B85" s="63" t="s">
        <v>1022</v>
      </c>
      <c r="C85" t="s">
        <v>542</v>
      </c>
      <c r="D85" s="36" t="s">
        <v>64</v>
      </c>
      <c r="E85" s="36" t="s">
        <v>78</v>
      </c>
      <c r="F85" s="90" t="s">
        <v>66</v>
      </c>
      <c r="G85" s="7"/>
      <c r="H85" s="7">
        <v>4580000</v>
      </c>
      <c r="I85" s="8">
        <v>9</v>
      </c>
      <c r="J85" s="9">
        <f>IFERROR(SUMIF(لاگ_فاکتور!$I$3:$I$1622,A85,لاگ_فاکتور!$L$3:$L$1622),0)</f>
        <v>0</v>
      </c>
      <c r="K85" s="10">
        <f t="shared" si="3"/>
        <v>9</v>
      </c>
      <c r="L85" s="1" t="str">
        <f>IF(C85="","",IF(K85&lt;=0,"🔴 تمام",IF(K85&lt;=تنظیمات_سیستم!$C$7,"🟠 کم","🟢 OK")))</f>
        <v>🟢 OK</v>
      </c>
    </row>
    <row r="86" spans="1:12" ht="19.5" customHeight="1">
      <c r="A86" s="1" t="str">
        <f t="shared" si="2"/>
        <v>SKU-0083</v>
      </c>
      <c r="B86" s="63" t="s">
        <v>1023</v>
      </c>
      <c r="C86" t="s">
        <v>543</v>
      </c>
      <c r="D86" s="36" t="s">
        <v>64</v>
      </c>
      <c r="E86" s="36" t="s">
        <v>78</v>
      </c>
      <c r="F86" s="90" t="s">
        <v>66</v>
      </c>
      <c r="G86" s="7"/>
      <c r="H86" s="7">
        <v>4580000</v>
      </c>
      <c r="I86" s="8">
        <v>9</v>
      </c>
      <c r="J86" s="9">
        <f>IFERROR(SUMIF(لاگ_فاکتور!$I$3:$I$1622,A86,لاگ_فاکتور!$L$3:$L$1622),0)</f>
        <v>0</v>
      </c>
      <c r="K86" s="10">
        <f t="shared" si="3"/>
        <v>9</v>
      </c>
      <c r="L86" s="1" t="str">
        <f>IF(C86="","",IF(K86&lt;=0,"🔴 تمام",IF(K86&lt;=تنظیمات_سیستم!$C$7,"🟠 کم","🟢 OK")))</f>
        <v>🟢 OK</v>
      </c>
    </row>
    <row r="87" spans="1:12" ht="19.5" customHeight="1">
      <c r="A87" s="1" t="str">
        <f t="shared" si="2"/>
        <v>SKU-0084</v>
      </c>
      <c r="B87" s="63"/>
      <c r="C87" t="s">
        <v>544</v>
      </c>
      <c r="D87" s="36" t="s">
        <v>64</v>
      </c>
      <c r="E87" s="36" t="s">
        <v>78</v>
      </c>
      <c r="F87" s="90" t="s">
        <v>66</v>
      </c>
      <c r="G87" s="7"/>
      <c r="H87" s="7">
        <v>4580000</v>
      </c>
      <c r="I87" s="8">
        <v>9</v>
      </c>
      <c r="J87" s="9">
        <f>IFERROR(SUMIF(لاگ_فاکتور!$I$3:$I$1622,A87,لاگ_فاکتور!$L$3:$L$1622),0)</f>
        <v>0</v>
      </c>
      <c r="K87" s="10">
        <f t="shared" si="3"/>
        <v>9</v>
      </c>
      <c r="L87" s="1" t="str">
        <f>IF(C87="","",IF(K87&lt;=0,"🔴 تمام",IF(K87&lt;=تنظیمات_سیستم!$C$7,"🟠 کم","🟢 OK")))</f>
        <v>🟢 OK</v>
      </c>
    </row>
    <row r="88" spans="1:12" ht="19.5" customHeight="1">
      <c r="A88" s="1" t="str">
        <f t="shared" si="2"/>
        <v>SKU-0085</v>
      </c>
      <c r="B88" s="63" t="s">
        <v>1024</v>
      </c>
      <c r="C88" t="s">
        <v>545</v>
      </c>
      <c r="D88" s="36" t="s">
        <v>64</v>
      </c>
      <c r="E88" s="36" t="s">
        <v>78</v>
      </c>
      <c r="F88" s="90" t="s">
        <v>66</v>
      </c>
      <c r="G88" s="7"/>
      <c r="H88" s="7">
        <v>4580000</v>
      </c>
      <c r="I88" s="8">
        <v>9</v>
      </c>
      <c r="J88" s="9">
        <f>IFERROR(SUMIF(لاگ_فاکتور!$I$3:$I$1622,A88,لاگ_فاکتور!$L$3:$L$1622),0)</f>
        <v>0</v>
      </c>
      <c r="K88" s="10">
        <f t="shared" si="3"/>
        <v>9</v>
      </c>
      <c r="L88" s="1" t="str">
        <f>IF(C88="","",IF(K88&lt;=0,"🔴 تمام",IF(K88&lt;=تنظیمات_سیستم!$C$7,"🟠 کم","🟢 OK")))</f>
        <v>🟢 OK</v>
      </c>
    </row>
    <row r="89" spans="1:12" ht="19.5" customHeight="1">
      <c r="A89" s="1" t="str">
        <f t="shared" si="2"/>
        <v>SKU-0086</v>
      </c>
      <c r="B89" s="63" t="s">
        <v>1025</v>
      </c>
      <c r="C89" t="s">
        <v>546</v>
      </c>
      <c r="D89" s="36" t="s">
        <v>64</v>
      </c>
      <c r="E89" s="36" t="s">
        <v>78</v>
      </c>
      <c r="F89" s="90" t="s">
        <v>66</v>
      </c>
      <c r="G89" s="7"/>
      <c r="H89" s="7">
        <v>4580000</v>
      </c>
      <c r="I89" s="8">
        <v>9</v>
      </c>
      <c r="J89" s="9">
        <f>IFERROR(SUMIF(لاگ_فاکتور!$I$3:$I$1622,A89,لاگ_فاکتور!$L$3:$L$1622),0)</f>
        <v>0</v>
      </c>
      <c r="K89" s="10">
        <f t="shared" si="3"/>
        <v>9</v>
      </c>
      <c r="L89" s="1" t="str">
        <f>IF(C89="","",IF(K89&lt;=0,"🔴 تمام",IF(K89&lt;=تنظیمات_سیستم!$C$7,"🟠 کم","🟢 OK")))</f>
        <v>🟢 OK</v>
      </c>
    </row>
    <row r="90" spans="1:12" ht="19.5" customHeight="1">
      <c r="A90" s="1" t="str">
        <f t="shared" si="2"/>
        <v>SKU-0087</v>
      </c>
      <c r="B90" s="63" t="s">
        <v>1026</v>
      </c>
      <c r="C90" t="s">
        <v>547</v>
      </c>
      <c r="D90" s="36" t="s">
        <v>64</v>
      </c>
      <c r="E90" s="36" t="s">
        <v>78</v>
      </c>
      <c r="F90" s="90" t="s">
        <v>66</v>
      </c>
      <c r="G90" s="7"/>
      <c r="H90" s="7">
        <v>4580000</v>
      </c>
      <c r="I90" s="8">
        <v>9</v>
      </c>
      <c r="J90" s="9">
        <f>IFERROR(SUMIF(لاگ_فاکتور!$I$3:$I$1622,A90,لاگ_فاکتور!$L$3:$L$1622),0)</f>
        <v>0</v>
      </c>
      <c r="K90" s="10">
        <f t="shared" si="3"/>
        <v>9</v>
      </c>
      <c r="L90" s="1" t="str">
        <f>IF(C90="","",IF(K90&lt;=0,"🔴 تمام",IF(K90&lt;=تنظیمات_سیستم!$C$7,"🟠 کم","🟢 OK")))</f>
        <v>🟢 OK</v>
      </c>
    </row>
    <row r="91" spans="1:12" ht="19.5" customHeight="1">
      <c r="A91" s="1" t="str">
        <f t="shared" si="2"/>
        <v>SKU-0088</v>
      </c>
      <c r="B91" s="63" t="s">
        <v>1027</v>
      </c>
      <c r="C91" t="s">
        <v>548</v>
      </c>
      <c r="D91" s="36" t="s">
        <v>64</v>
      </c>
      <c r="E91" s="36" t="s">
        <v>78</v>
      </c>
      <c r="F91" s="90" t="s">
        <v>66</v>
      </c>
      <c r="G91" s="7"/>
      <c r="H91" s="7">
        <v>4580000</v>
      </c>
      <c r="I91" s="8">
        <v>9</v>
      </c>
      <c r="J91" s="9">
        <f>IFERROR(SUMIF(لاگ_فاکتور!$I$3:$I$1622,A91,لاگ_فاکتور!$L$3:$L$1622),0)</f>
        <v>0</v>
      </c>
      <c r="K91" s="10">
        <f t="shared" si="3"/>
        <v>9</v>
      </c>
      <c r="L91" s="1" t="str">
        <f>IF(C91="","",IF(K91&lt;=0,"🔴 تمام",IF(K91&lt;=تنظیمات_سیستم!$C$7,"🟠 کم","🟢 OK")))</f>
        <v>🟢 OK</v>
      </c>
    </row>
    <row r="92" spans="1:12" ht="19.5" customHeight="1">
      <c r="A92" s="1" t="str">
        <f t="shared" si="2"/>
        <v>SKU-0089</v>
      </c>
      <c r="B92" s="63" t="s">
        <v>1028</v>
      </c>
      <c r="C92" t="s">
        <v>549</v>
      </c>
      <c r="D92" s="36" t="s">
        <v>64</v>
      </c>
      <c r="E92" s="36" t="s">
        <v>78</v>
      </c>
      <c r="F92" s="90" t="s">
        <v>66</v>
      </c>
      <c r="G92" s="7"/>
      <c r="H92" s="7">
        <v>4580000</v>
      </c>
      <c r="I92" s="8">
        <v>9</v>
      </c>
      <c r="J92" s="9">
        <f>IFERROR(SUMIF(لاگ_فاکتور!$I$3:$I$1622,A92,لاگ_فاکتور!$L$3:$L$1622),0)</f>
        <v>0</v>
      </c>
      <c r="K92" s="10">
        <f t="shared" si="3"/>
        <v>9</v>
      </c>
      <c r="L92" s="1" t="str">
        <f>IF(C92="","",IF(K92&lt;=0,"🔴 تمام",IF(K92&lt;=تنظیمات_سیستم!$C$7,"🟠 کم","🟢 OK")))</f>
        <v>🟢 OK</v>
      </c>
    </row>
    <row r="93" spans="1:12" ht="19.5" customHeight="1">
      <c r="A93" s="1" t="str">
        <f t="shared" si="2"/>
        <v>SKU-0090</v>
      </c>
      <c r="B93" s="63" t="s">
        <v>1029</v>
      </c>
      <c r="C93" t="s">
        <v>550</v>
      </c>
      <c r="D93" s="36" t="s">
        <v>73</v>
      </c>
      <c r="E93" s="36" t="s">
        <v>71</v>
      </c>
      <c r="F93" s="90" t="s">
        <v>66</v>
      </c>
      <c r="G93" s="7"/>
      <c r="H93" s="7">
        <v>2680000</v>
      </c>
      <c r="I93" s="8">
        <v>9</v>
      </c>
      <c r="J93" s="9">
        <f>IFERROR(SUMIF(لاگ_فاکتور!$I$3:$I$1622,A93,لاگ_فاکتور!$L$3:$L$1622),0)</f>
        <v>0</v>
      </c>
      <c r="K93" s="10">
        <f t="shared" si="3"/>
        <v>9</v>
      </c>
      <c r="L93" s="1" t="str">
        <f>IF(C93="","",IF(K93&lt;=0,"🔴 تمام",IF(K93&lt;=تنظیمات_سیستم!$C$7,"🟠 کم","🟢 OK")))</f>
        <v>🟢 OK</v>
      </c>
    </row>
    <row r="94" spans="1:12" ht="19.5" customHeight="1">
      <c r="A94" s="1" t="str">
        <f t="shared" si="2"/>
        <v>SKU-0091</v>
      </c>
      <c r="B94" s="63" t="s">
        <v>1030</v>
      </c>
      <c r="C94" t="s">
        <v>551</v>
      </c>
      <c r="D94" s="36" t="s">
        <v>73</v>
      </c>
      <c r="E94" s="36" t="s">
        <v>71</v>
      </c>
      <c r="F94" s="90" t="s">
        <v>66</v>
      </c>
      <c r="G94" s="7"/>
      <c r="H94" s="7">
        <v>2680000</v>
      </c>
      <c r="I94" s="8">
        <v>9</v>
      </c>
      <c r="J94" s="9">
        <f>IFERROR(SUMIF(لاگ_فاکتور!$I$3:$I$1622,A94,لاگ_فاکتور!$L$3:$L$1622),0)</f>
        <v>0</v>
      </c>
      <c r="K94" s="10">
        <f t="shared" si="3"/>
        <v>9</v>
      </c>
      <c r="L94" s="1" t="str">
        <f>IF(C94="","",IF(K94&lt;=0,"🔴 تمام",IF(K94&lt;=تنظیمات_سیستم!$C$7,"🟠 کم","🟢 OK")))</f>
        <v>🟢 OK</v>
      </c>
    </row>
    <row r="95" spans="1:12" ht="19.5" customHeight="1">
      <c r="A95" s="1" t="str">
        <f t="shared" si="2"/>
        <v>SKU-0092</v>
      </c>
      <c r="B95" s="63" t="s">
        <v>1007</v>
      </c>
      <c r="C95" t="s">
        <v>552</v>
      </c>
      <c r="D95" s="36" t="s">
        <v>73</v>
      </c>
      <c r="E95" s="36" t="s">
        <v>553</v>
      </c>
      <c r="F95" s="90" t="s">
        <v>69</v>
      </c>
      <c r="G95" s="7"/>
      <c r="H95" s="7">
        <v>3780000</v>
      </c>
      <c r="I95" s="8">
        <v>9</v>
      </c>
      <c r="J95" s="9">
        <f>IFERROR(SUMIF(لاگ_فاکتور!$I$3:$I$1622,A95,لاگ_فاکتور!$L$3:$L$1622),0)</f>
        <v>0</v>
      </c>
      <c r="K95" s="10">
        <f t="shared" si="3"/>
        <v>9</v>
      </c>
      <c r="L95" s="1" t="str">
        <f>IF(C95="","",IF(K95&lt;=0,"🔴 تمام",IF(K95&lt;=تنظیمات_سیستم!$C$7,"🟠 کم","🟢 OK")))</f>
        <v>🟢 OK</v>
      </c>
    </row>
    <row r="96" spans="1:12" ht="19.5" customHeight="1">
      <c r="A96" s="1" t="str">
        <f t="shared" si="2"/>
        <v>SKU-0093</v>
      </c>
      <c r="B96" s="63" t="s">
        <v>1031</v>
      </c>
      <c r="C96" t="s">
        <v>554</v>
      </c>
      <c r="D96" s="36" t="s">
        <v>73</v>
      </c>
      <c r="E96" s="36" t="s">
        <v>553</v>
      </c>
      <c r="F96" s="90" t="s">
        <v>69</v>
      </c>
      <c r="G96" s="7"/>
      <c r="H96" s="7">
        <v>3780000</v>
      </c>
      <c r="I96" s="8">
        <v>9</v>
      </c>
      <c r="J96" s="9">
        <f>IFERROR(SUMIF(لاگ_فاکتور!$I$3:$I$1622,A96,لاگ_فاکتور!$L$3:$L$1622),0)</f>
        <v>0</v>
      </c>
      <c r="K96" s="10">
        <f t="shared" si="3"/>
        <v>9</v>
      </c>
      <c r="L96" s="1" t="str">
        <f>IF(C96="","",IF(K96&lt;=0,"🔴 تمام",IF(K96&lt;=تنظیمات_سیستم!$C$7,"🟠 کم","🟢 OK")))</f>
        <v>🟢 OK</v>
      </c>
    </row>
    <row r="97" spans="1:12" ht="19.5" customHeight="1">
      <c r="A97" s="1" t="str">
        <f t="shared" si="2"/>
        <v>SKU-0094</v>
      </c>
      <c r="B97" s="63" t="s">
        <v>1032</v>
      </c>
      <c r="C97" t="s">
        <v>555</v>
      </c>
      <c r="D97" s="36" t="s">
        <v>73</v>
      </c>
      <c r="E97" s="36" t="s">
        <v>553</v>
      </c>
      <c r="F97" s="90" t="s">
        <v>69</v>
      </c>
      <c r="G97" s="7"/>
      <c r="H97" s="7">
        <v>3780000</v>
      </c>
      <c r="I97" s="8">
        <v>9</v>
      </c>
      <c r="J97" s="9">
        <f>IFERROR(SUMIF(لاگ_فاکتور!$I$3:$I$1622,A97,لاگ_فاکتور!$L$3:$L$1622),0)</f>
        <v>0</v>
      </c>
      <c r="K97" s="10">
        <f t="shared" si="3"/>
        <v>9</v>
      </c>
      <c r="L97" s="1" t="str">
        <f>IF(C97="","",IF(K97&lt;=0,"🔴 تمام",IF(K97&lt;=تنظیمات_سیستم!$C$7,"🟠 کم","🟢 OK")))</f>
        <v>🟢 OK</v>
      </c>
    </row>
    <row r="98" spans="1:12" ht="19.5" customHeight="1">
      <c r="A98" s="1" t="str">
        <f t="shared" si="2"/>
        <v>SKU-0095</v>
      </c>
      <c r="B98" s="63" t="s">
        <v>1033</v>
      </c>
      <c r="C98" t="s">
        <v>556</v>
      </c>
      <c r="D98" s="36" t="s">
        <v>73</v>
      </c>
      <c r="E98" s="36" t="s">
        <v>553</v>
      </c>
      <c r="F98" s="90" t="s">
        <v>69</v>
      </c>
      <c r="G98" s="7"/>
      <c r="H98" s="7">
        <v>3780000</v>
      </c>
      <c r="I98" s="8">
        <v>9</v>
      </c>
      <c r="J98" s="9">
        <f>IFERROR(SUMIF(لاگ_فاکتور!$I$3:$I$1622,A98,لاگ_فاکتور!$L$3:$L$1622),0)</f>
        <v>0</v>
      </c>
      <c r="K98" s="10">
        <f t="shared" si="3"/>
        <v>9</v>
      </c>
      <c r="L98" s="1" t="str">
        <f>IF(C98="","",IF(K98&lt;=0,"🔴 تمام",IF(K98&lt;=تنظیمات_سیستم!$C$7,"🟠 کم","🟢 OK")))</f>
        <v>🟢 OK</v>
      </c>
    </row>
    <row r="99" spans="1:12" ht="19.5" customHeight="1">
      <c r="A99" s="1" t="str">
        <f t="shared" si="2"/>
        <v>SKU-0096</v>
      </c>
      <c r="B99" s="63" t="s">
        <v>1034</v>
      </c>
      <c r="C99" t="s">
        <v>557</v>
      </c>
      <c r="D99" s="36" t="s">
        <v>73</v>
      </c>
      <c r="E99" s="36" t="s">
        <v>553</v>
      </c>
      <c r="F99" s="90" t="s">
        <v>69</v>
      </c>
      <c r="G99" s="7"/>
      <c r="H99" s="7">
        <v>3780000</v>
      </c>
      <c r="I99" s="8">
        <v>9</v>
      </c>
      <c r="J99" s="9">
        <f>IFERROR(SUMIF(لاگ_فاکتور!$I$3:$I$1622,A99,لاگ_فاکتور!$L$3:$L$1622),0)</f>
        <v>0</v>
      </c>
      <c r="K99" s="10">
        <f t="shared" si="3"/>
        <v>9</v>
      </c>
      <c r="L99" s="1" t="str">
        <f>IF(C99="","",IF(K99&lt;=0,"🔴 تمام",IF(K99&lt;=تنظیمات_سیستم!$C$7,"🟠 کم","🟢 OK")))</f>
        <v>🟢 OK</v>
      </c>
    </row>
    <row r="100" spans="1:12" ht="19.5" customHeight="1">
      <c r="A100" s="1" t="str">
        <f t="shared" si="2"/>
        <v>SKU-0097</v>
      </c>
      <c r="B100" s="63" t="s">
        <v>1035</v>
      </c>
      <c r="C100" t="s">
        <v>558</v>
      </c>
      <c r="D100" s="36" t="s">
        <v>73</v>
      </c>
      <c r="E100" s="36" t="s">
        <v>553</v>
      </c>
      <c r="F100" s="90" t="s">
        <v>69</v>
      </c>
      <c r="G100" s="7"/>
      <c r="H100" s="7">
        <v>3780000</v>
      </c>
      <c r="I100" s="8">
        <v>9</v>
      </c>
      <c r="J100" s="9">
        <f>IFERROR(SUMIF(لاگ_فاکتور!$I$3:$I$1622,A100,لاگ_فاکتور!$L$3:$L$1622),0)</f>
        <v>0</v>
      </c>
      <c r="K100" s="10">
        <f t="shared" si="3"/>
        <v>9</v>
      </c>
      <c r="L100" s="1" t="str">
        <f>IF(C100="","",IF(K100&lt;=0,"🔴 تمام",IF(K100&lt;=تنظیمات_سیستم!$C$7,"🟠 کم","🟢 OK")))</f>
        <v>🟢 OK</v>
      </c>
    </row>
    <row r="101" spans="1:12" ht="19.5" customHeight="1">
      <c r="A101" s="1" t="str">
        <f t="shared" si="2"/>
        <v>SKU-0098</v>
      </c>
      <c r="B101" s="63" t="s">
        <v>1036</v>
      </c>
      <c r="C101" t="s">
        <v>559</v>
      </c>
      <c r="D101" s="36" t="s">
        <v>73</v>
      </c>
      <c r="E101" s="36" t="s">
        <v>553</v>
      </c>
      <c r="F101" s="90" t="s">
        <v>69</v>
      </c>
      <c r="G101" s="7"/>
      <c r="H101" s="7">
        <v>3780000</v>
      </c>
      <c r="I101" s="8">
        <v>9</v>
      </c>
      <c r="J101" s="9">
        <f>IFERROR(SUMIF(لاگ_فاکتور!$I$3:$I$1622,A101,لاگ_فاکتور!$L$3:$L$1622),0)</f>
        <v>0</v>
      </c>
      <c r="K101" s="10">
        <f t="shared" si="3"/>
        <v>9</v>
      </c>
      <c r="L101" s="1" t="str">
        <f>IF(C101="","",IF(K101&lt;=0,"🔴 تمام",IF(K101&lt;=تنظیمات_سیستم!$C$7,"🟠 کم","🟢 OK")))</f>
        <v>🟢 OK</v>
      </c>
    </row>
    <row r="102" spans="1:12" ht="19.5" customHeight="1">
      <c r="A102" s="1" t="str">
        <f t="shared" si="2"/>
        <v>SKU-0099</v>
      </c>
      <c r="B102" s="63" t="s">
        <v>1037</v>
      </c>
      <c r="C102" t="s">
        <v>560</v>
      </c>
      <c r="D102" s="36" t="s">
        <v>73</v>
      </c>
      <c r="E102" s="36" t="s">
        <v>553</v>
      </c>
      <c r="F102" s="90" t="s">
        <v>69</v>
      </c>
      <c r="G102" s="7"/>
      <c r="H102" s="7">
        <v>3780000</v>
      </c>
      <c r="I102" s="8">
        <v>9</v>
      </c>
      <c r="J102" s="9">
        <f>IFERROR(SUMIF(لاگ_فاکتور!$I$3:$I$1622,A102,لاگ_فاکتور!$L$3:$L$1622),0)</f>
        <v>0</v>
      </c>
      <c r="K102" s="10">
        <f t="shared" si="3"/>
        <v>9</v>
      </c>
      <c r="L102" s="1" t="str">
        <f>IF(C102="","",IF(K102&lt;=0,"🔴 تمام",IF(K102&lt;=تنظیمات_سیستم!$C$7,"🟠 کم","🟢 OK")))</f>
        <v>🟢 OK</v>
      </c>
    </row>
    <row r="103" spans="1:12" ht="19.5" customHeight="1">
      <c r="A103" s="1" t="str">
        <f t="shared" si="2"/>
        <v>SKU-0100</v>
      </c>
      <c r="B103" s="63" t="s">
        <v>1038</v>
      </c>
      <c r="C103" t="s">
        <v>561</v>
      </c>
      <c r="D103" s="36" t="s">
        <v>73</v>
      </c>
      <c r="E103" s="36" t="s">
        <v>553</v>
      </c>
      <c r="F103" s="90" t="s">
        <v>69</v>
      </c>
      <c r="G103" s="7"/>
      <c r="H103" s="7">
        <v>3780000</v>
      </c>
      <c r="I103" s="8">
        <v>9</v>
      </c>
      <c r="J103" s="9">
        <f>IFERROR(SUMIF(لاگ_فاکتور!$I$3:$I$1622,A103,لاگ_فاکتور!$L$3:$L$1622),0)</f>
        <v>0</v>
      </c>
      <c r="K103" s="10">
        <f t="shared" si="3"/>
        <v>9</v>
      </c>
      <c r="L103" s="1" t="str">
        <f>IF(C103="","",IF(K103&lt;=0,"🔴 تمام",IF(K103&lt;=تنظیمات_سیستم!$C$7,"🟠 کم","🟢 OK")))</f>
        <v>🟢 OK</v>
      </c>
    </row>
    <row r="104" spans="1:12" ht="19.5" customHeight="1">
      <c r="A104" s="1" t="str">
        <f t="shared" si="2"/>
        <v>SKU-0101</v>
      </c>
      <c r="B104" s="63" t="s">
        <v>1039</v>
      </c>
      <c r="C104" t="s">
        <v>562</v>
      </c>
      <c r="D104" s="36" t="s">
        <v>73</v>
      </c>
      <c r="E104" s="36" t="s">
        <v>553</v>
      </c>
      <c r="F104" s="90" t="s">
        <v>69</v>
      </c>
      <c r="G104" s="7"/>
      <c r="H104" s="7">
        <v>3780000</v>
      </c>
      <c r="I104" s="8">
        <v>9</v>
      </c>
      <c r="J104" s="9">
        <f>IFERROR(SUMIF(لاگ_فاکتور!$I$3:$I$1622,A104,لاگ_فاکتور!$L$3:$L$1622),0)</f>
        <v>0</v>
      </c>
      <c r="K104" s="10">
        <f t="shared" si="3"/>
        <v>9</v>
      </c>
      <c r="L104" s="1" t="str">
        <f>IF(C104="","",IF(K104&lt;=0,"🔴 تمام",IF(K104&lt;=تنظیمات_سیستم!$C$7,"🟠 کم","🟢 OK")))</f>
        <v>🟢 OK</v>
      </c>
    </row>
    <row r="105" spans="1:12" ht="19.5" customHeight="1">
      <c r="A105" s="1" t="str">
        <f t="shared" si="2"/>
        <v>SKU-0102</v>
      </c>
      <c r="B105" s="63" t="s">
        <v>1040</v>
      </c>
      <c r="C105" t="s">
        <v>563</v>
      </c>
      <c r="D105" s="36" t="s">
        <v>564</v>
      </c>
      <c r="E105" s="36" t="s">
        <v>553</v>
      </c>
      <c r="F105" s="90" t="s">
        <v>69</v>
      </c>
      <c r="G105" s="7"/>
      <c r="H105" s="7">
        <v>2950000</v>
      </c>
      <c r="I105" s="8">
        <v>9</v>
      </c>
      <c r="J105" s="9">
        <f>IFERROR(SUMIF(لاگ_فاکتور!$I$3:$I$1622,A105,لاگ_فاکتور!$L$3:$L$1622),0)</f>
        <v>0</v>
      </c>
      <c r="K105" s="10">
        <f t="shared" si="3"/>
        <v>9</v>
      </c>
      <c r="L105" s="1" t="str">
        <f>IF(C105="","",IF(K105&lt;=0,"🔴 تمام",IF(K105&lt;=تنظیمات_سیستم!$C$7,"🟠 کم","🟢 OK")))</f>
        <v>🟢 OK</v>
      </c>
    </row>
    <row r="106" spans="1:12" ht="19.5" customHeight="1">
      <c r="A106" s="1" t="str">
        <f t="shared" si="2"/>
        <v>SKU-0103</v>
      </c>
      <c r="B106" s="63" t="s">
        <v>1041</v>
      </c>
      <c r="C106" t="s">
        <v>565</v>
      </c>
      <c r="D106" s="36" t="s">
        <v>564</v>
      </c>
      <c r="E106" s="36" t="s">
        <v>553</v>
      </c>
      <c r="F106" s="90" t="s">
        <v>69</v>
      </c>
      <c r="G106" s="7"/>
      <c r="H106" s="7">
        <v>2950000</v>
      </c>
      <c r="I106" s="8">
        <v>9</v>
      </c>
      <c r="J106" s="9">
        <f>IFERROR(SUMIF(لاگ_فاکتور!$I$3:$I$1622,A106,لاگ_فاکتور!$L$3:$L$1622),0)</f>
        <v>0</v>
      </c>
      <c r="K106" s="10">
        <f t="shared" si="3"/>
        <v>9</v>
      </c>
      <c r="L106" s="1" t="str">
        <f>IF(C106="","",IF(K106&lt;=0,"🔴 تمام",IF(K106&lt;=تنظیمات_سیستم!$C$7,"🟠 کم","🟢 OK")))</f>
        <v>🟢 OK</v>
      </c>
    </row>
    <row r="107" spans="1:12" ht="19.5" customHeight="1">
      <c r="A107" s="1" t="str">
        <f t="shared" si="2"/>
        <v>SKU-0104</v>
      </c>
      <c r="B107" s="63" t="s">
        <v>1042</v>
      </c>
      <c r="C107" t="s">
        <v>566</v>
      </c>
      <c r="D107" s="36" t="s">
        <v>564</v>
      </c>
      <c r="E107" s="36" t="s">
        <v>553</v>
      </c>
      <c r="F107" s="90" t="s">
        <v>69</v>
      </c>
      <c r="G107" s="7"/>
      <c r="H107" s="7">
        <v>2950000</v>
      </c>
      <c r="I107" s="8">
        <v>9</v>
      </c>
      <c r="J107" s="9">
        <f>IFERROR(SUMIF(لاگ_فاکتور!$I$3:$I$1622,A107,لاگ_فاکتور!$L$3:$L$1622),0)</f>
        <v>0</v>
      </c>
      <c r="K107" s="10">
        <f t="shared" si="3"/>
        <v>9</v>
      </c>
      <c r="L107" s="1" t="str">
        <f>IF(C107="","",IF(K107&lt;=0,"🔴 تمام",IF(K107&lt;=تنظیمات_سیستم!$C$7,"🟠 کم","🟢 OK")))</f>
        <v>🟢 OK</v>
      </c>
    </row>
    <row r="108" spans="1:12" ht="19.5" customHeight="1">
      <c r="A108" s="1" t="str">
        <f t="shared" si="2"/>
        <v>SKU-0105</v>
      </c>
      <c r="B108" s="63" t="s">
        <v>1044</v>
      </c>
      <c r="C108" t="s">
        <v>567</v>
      </c>
      <c r="D108" s="36" t="s">
        <v>64</v>
      </c>
      <c r="E108" s="36" t="s">
        <v>76</v>
      </c>
      <c r="F108" s="90" t="s">
        <v>69</v>
      </c>
      <c r="G108" s="7"/>
      <c r="H108" s="7">
        <v>1680000</v>
      </c>
      <c r="I108" s="8">
        <v>9</v>
      </c>
      <c r="J108" s="9">
        <f>IFERROR(SUMIF(لاگ_فاکتور!$I$3:$I$1622,A108,لاگ_فاکتور!$L$3:$L$1622),0)</f>
        <v>0</v>
      </c>
      <c r="K108" s="10">
        <f t="shared" si="3"/>
        <v>9</v>
      </c>
      <c r="L108" s="1" t="str">
        <f>IF(C108="","",IF(K108&lt;=0,"🔴 تمام",IF(K108&lt;=تنظیمات_سیستم!$C$7,"🟠 کم","🟢 OK")))</f>
        <v>🟢 OK</v>
      </c>
    </row>
    <row r="109" spans="1:12" ht="19.5" customHeight="1">
      <c r="A109" s="1" t="str">
        <f t="shared" si="2"/>
        <v>SKU-0106</v>
      </c>
      <c r="B109" s="63" t="s">
        <v>1043</v>
      </c>
      <c r="C109" t="s">
        <v>568</v>
      </c>
      <c r="D109" s="36" t="s">
        <v>64</v>
      </c>
      <c r="E109" s="36" t="s">
        <v>78</v>
      </c>
      <c r="F109" s="90" t="s">
        <v>69</v>
      </c>
      <c r="G109" s="7"/>
      <c r="H109" s="7">
        <v>1680000</v>
      </c>
      <c r="I109" s="8">
        <v>9</v>
      </c>
      <c r="J109" s="9">
        <f>IFERROR(SUMIF(لاگ_فاکتور!$I$3:$I$1622,A109,لاگ_فاکتور!$L$3:$L$1622),0)</f>
        <v>0</v>
      </c>
      <c r="K109" s="10">
        <f t="shared" si="3"/>
        <v>9</v>
      </c>
      <c r="L109" s="1" t="str">
        <f>IF(C109="","",IF(K109&lt;=0,"🔴 تمام",IF(K109&lt;=تنظیمات_سیستم!$C$7,"🟠 کم","🟢 OK")))</f>
        <v>🟢 OK</v>
      </c>
    </row>
    <row r="110" spans="1:12" ht="19.5" customHeight="1">
      <c r="A110" s="1" t="str">
        <f t="shared" si="2"/>
        <v>SKU-0107</v>
      </c>
      <c r="B110" s="63" t="s">
        <v>835</v>
      </c>
      <c r="C110" t="s">
        <v>569</v>
      </c>
      <c r="D110" s="36" t="s">
        <v>64</v>
      </c>
      <c r="E110" s="36" t="s">
        <v>65</v>
      </c>
      <c r="F110" s="90" t="s">
        <v>69</v>
      </c>
      <c r="G110" s="7"/>
      <c r="H110" s="7"/>
      <c r="I110" s="8">
        <v>9</v>
      </c>
      <c r="J110" s="9">
        <f>IFERROR(SUMIF(لاگ_فاکتور!$I$3:$I$1622,A110,لاگ_فاکتور!$L$3:$L$1622),0)</f>
        <v>0</v>
      </c>
      <c r="K110" s="10">
        <f t="shared" si="3"/>
        <v>9</v>
      </c>
      <c r="L110" s="1" t="str">
        <f>IF(C110="","",IF(K110&lt;=0,"🔴 تمام",IF(K110&lt;=تنظیمات_سیستم!$C$7,"🟠 کم","🟢 OK")))</f>
        <v>🟢 OK</v>
      </c>
    </row>
    <row r="111" spans="1:12" ht="19.5" customHeight="1">
      <c r="A111" s="1" t="str">
        <f t="shared" si="2"/>
        <v>SKU-0108</v>
      </c>
      <c r="B111" s="63" t="s">
        <v>836</v>
      </c>
      <c r="C111" t="s">
        <v>570</v>
      </c>
      <c r="D111" s="36" t="s">
        <v>64</v>
      </c>
      <c r="E111" s="36" t="s">
        <v>65</v>
      </c>
      <c r="F111" s="90" t="s">
        <v>69</v>
      </c>
      <c r="G111" s="7"/>
      <c r="H111" s="7">
        <v>1680000</v>
      </c>
      <c r="I111" s="8">
        <v>9</v>
      </c>
      <c r="J111" s="9">
        <f>IFERROR(SUMIF(لاگ_فاکتور!$I$3:$I$1622,A111,لاگ_فاکتور!$L$3:$L$1622),0)</f>
        <v>0</v>
      </c>
      <c r="K111" s="10">
        <f t="shared" si="3"/>
        <v>9</v>
      </c>
      <c r="L111" s="1" t="str">
        <f>IF(C111="","",IF(K111&lt;=0,"🔴 تمام",IF(K111&lt;=تنظیمات_سیستم!$C$7,"🟠 کم","🟢 OK")))</f>
        <v>🟢 OK</v>
      </c>
    </row>
    <row r="112" spans="1:12" ht="19.5" customHeight="1">
      <c r="A112" s="1" t="str">
        <f t="shared" si="2"/>
        <v>SKU-0109</v>
      </c>
      <c r="B112" s="63" t="s">
        <v>837</v>
      </c>
      <c r="C112" t="s">
        <v>571</v>
      </c>
      <c r="D112" s="36" t="s">
        <v>64</v>
      </c>
      <c r="E112" s="36" t="s">
        <v>65</v>
      </c>
      <c r="F112" s="90" t="s">
        <v>69</v>
      </c>
      <c r="G112" s="7"/>
      <c r="H112" s="7"/>
      <c r="I112" s="8">
        <v>9</v>
      </c>
      <c r="J112" s="9">
        <f>IFERROR(SUMIF(لاگ_فاکتور!$I$3:$I$1622,A112,لاگ_فاکتور!$L$3:$L$1622),0)</f>
        <v>0</v>
      </c>
      <c r="K112" s="10">
        <f t="shared" si="3"/>
        <v>9</v>
      </c>
      <c r="L112" s="1" t="str">
        <f>IF(C112="","",IF(K112&lt;=0,"🔴 تمام",IF(K112&lt;=تنظیمات_سیستم!$C$7,"🟠 کم","🟢 OK")))</f>
        <v>🟢 OK</v>
      </c>
    </row>
    <row r="113" spans="1:12" ht="19.5" customHeight="1">
      <c r="A113" s="1" t="str">
        <f t="shared" si="2"/>
        <v>SKU-0110</v>
      </c>
      <c r="B113" s="63" t="s">
        <v>838</v>
      </c>
      <c r="C113" t="s">
        <v>572</v>
      </c>
      <c r="D113" s="36" t="s">
        <v>64</v>
      </c>
      <c r="E113" s="36" t="s">
        <v>65</v>
      </c>
      <c r="F113" s="90" t="s">
        <v>69</v>
      </c>
      <c r="G113" s="7"/>
      <c r="H113" s="7"/>
      <c r="I113" s="8">
        <v>9</v>
      </c>
      <c r="J113" s="9">
        <f>IFERROR(SUMIF(لاگ_فاکتور!$I$3:$I$1622,A113,لاگ_فاکتور!$L$3:$L$1622),0)</f>
        <v>0</v>
      </c>
      <c r="K113" s="10">
        <f t="shared" si="3"/>
        <v>9</v>
      </c>
      <c r="L113" s="1" t="str">
        <f>IF(C113="","",IF(K113&lt;=0,"🔴 تمام",IF(K113&lt;=تنظیمات_سیستم!$C$7,"🟠 کم","🟢 OK")))</f>
        <v>🟢 OK</v>
      </c>
    </row>
    <row r="114" spans="1:12" ht="19.5" customHeight="1">
      <c r="A114" s="1" t="str">
        <f t="shared" si="2"/>
        <v>SKU-0111</v>
      </c>
      <c r="B114" s="63" t="s">
        <v>1045</v>
      </c>
      <c r="C114" t="s">
        <v>573</v>
      </c>
      <c r="D114" s="36" t="s">
        <v>64</v>
      </c>
      <c r="E114" s="36" t="s">
        <v>78</v>
      </c>
      <c r="F114" s="90" t="s">
        <v>66</v>
      </c>
      <c r="G114" s="7"/>
      <c r="H114" s="7">
        <v>2380000</v>
      </c>
      <c r="I114" s="8">
        <v>9</v>
      </c>
      <c r="J114" s="9">
        <f>IFERROR(SUMIF(لاگ_فاکتور!$I$3:$I$1622,A114,لاگ_فاکتور!$L$3:$L$1622),0)</f>
        <v>0</v>
      </c>
      <c r="K114" s="10">
        <f t="shared" si="3"/>
        <v>9</v>
      </c>
      <c r="L114" s="1" t="str">
        <f>IF(C114="","",IF(K114&lt;=0,"🔴 تمام",IF(K114&lt;=تنظیمات_سیستم!$C$7,"🟠 کم","🟢 OK")))</f>
        <v>🟢 OK</v>
      </c>
    </row>
    <row r="115" spans="1:12" ht="19.5" customHeight="1">
      <c r="A115" s="1" t="str">
        <f t="shared" si="2"/>
        <v>SKU-0112</v>
      </c>
      <c r="B115" s="63" t="s">
        <v>1046</v>
      </c>
      <c r="C115" t="s">
        <v>574</v>
      </c>
      <c r="D115" s="36" t="s">
        <v>64</v>
      </c>
      <c r="E115" s="36" t="s">
        <v>78</v>
      </c>
      <c r="F115" s="90" t="s">
        <v>66</v>
      </c>
      <c r="G115" s="7"/>
      <c r="H115" s="7">
        <v>1440000</v>
      </c>
      <c r="I115" s="8">
        <v>9</v>
      </c>
      <c r="J115" s="9">
        <f>IFERROR(SUMIF(لاگ_فاکتور!$I$3:$I$1622,A115,لاگ_فاکتور!$L$3:$L$1622),0)</f>
        <v>0</v>
      </c>
      <c r="K115" s="10">
        <f t="shared" si="3"/>
        <v>9</v>
      </c>
      <c r="L115" s="1" t="str">
        <f>IF(C115="","",IF(K115&lt;=0,"🔴 تمام",IF(K115&lt;=تنظیمات_سیستم!$C$7,"🟠 کم","🟢 OK")))</f>
        <v>🟢 OK</v>
      </c>
    </row>
    <row r="116" spans="1:12" ht="19.5" customHeight="1">
      <c r="A116" s="1" t="str">
        <f t="shared" si="2"/>
        <v>SKU-0113</v>
      </c>
      <c r="B116" s="63" t="s">
        <v>1047</v>
      </c>
      <c r="C116" t="s">
        <v>575</v>
      </c>
      <c r="D116" s="36" t="s">
        <v>64</v>
      </c>
      <c r="E116" s="36" t="s">
        <v>78</v>
      </c>
      <c r="F116" s="90" t="s">
        <v>66</v>
      </c>
      <c r="G116" s="7"/>
      <c r="H116" s="7">
        <v>1440000</v>
      </c>
      <c r="I116" s="8">
        <v>9</v>
      </c>
      <c r="J116" s="9">
        <f>IFERROR(SUMIF(لاگ_فاکتور!$I$3:$I$1622,A116,لاگ_فاکتور!$L$3:$L$1622),0)</f>
        <v>0</v>
      </c>
      <c r="K116" s="10">
        <f t="shared" si="3"/>
        <v>9</v>
      </c>
      <c r="L116" s="1" t="str">
        <f>IF(C116="","",IF(K116&lt;=0,"🔴 تمام",IF(K116&lt;=تنظیمات_سیستم!$C$7,"🟠 کم","🟢 OK")))</f>
        <v>🟢 OK</v>
      </c>
    </row>
    <row r="117" spans="1:12" ht="19.5" customHeight="1">
      <c r="A117" s="1" t="str">
        <f t="shared" si="2"/>
        <v>SKU-0114</v>
      </c>
      <c r="B117" s="63" t="s">
        <v>1048</v>
      </c>
      <c r="C117" t="s">
        <v>576</v>
      </c>
      <c r="D117" s="36" t="s">
        <v>64</v>
      </c>
      <c r="E117" s="36" t="s">
        <v>78</v>
      </c>
      <c r="F117" s="90" t="s">
        <v>66</v>
      </c>
      <c r="G117" s="7"/>
      <c r="H117" s="7">
        <v>1440000</v>
      </c>
      <c r="I117" s="8">
        <v>9</v>
      </c>
      <c r="J117" s="9">
        <f>IFERROR(SUMIF(لاگ_فاکتور!$I$3:$I$1622,A117,لاگ_فاکتور!$L$3:$L$1622),0)</f>
        <v>0</v>
      </c>
      <c r="K117" s="10">
        <f t="shared" si="3"/>
        <v>9</v>
      </c>
      <c r="L117" s="1" t="str">
        <f>IF(C117="","",IF(K117&lt;=0,"🔴 تمام",IF(K117&lt;=تنظیمات_سیستم!$C$7,"🟠 کم","🟢 OK")))</f>
        <v>🟢 OK</v>
      </c>
    </row>
    <row r="118" spans="1:12" ht="19.5" customHeight="1">
      <c r="A118" s="1" t="str">
        <f t="shared" si="2"/>
        <v>SKU-0115</v>
      </c>
      <c r="B118" s="63" t="s">
        <v>902</v>
      </c>
      <c r="C118" t="s">
        <v>577</v>
      </c>
      <c r="D118" s="36" t="s">
        <v>578</v>
      </c>
      <c r="E118" s="36" t="s">
        <v>68</v>
      </c>
      <c r="F118" s="90" t="s">
        <v>66</v>
      </c>
      <c r="G118" s="7"/>
      <c r="H118" s="7">
        <v>3980000</v>
      </c>
      <c r="I118" s="8">
        <v>9</v>
      </c>
      <c r="J118" s="9">
        <f>IFERROR(SUMIF(لاگ_فاکتور!$I$3:$I$1622,A118,لاگ_فاکتور!$L$3:$L$1622),0)</f>
        <v>0</v>
      </c>
      <c r="K118" s="10">
        <f t="shared" si="3"/>
        <v>9</v>
      </c>
      <c r="L118" s="1" t="str">
        <f>IF(C118="","",IF(K118&lt;=0,"🔴 تمام",IF(K118&lt;=تنظیمات_سیستم!$C$7,"🟠 کم","🟢 OK")))</f>
        <v>🟢 OK</v>
      </c>
    </row>
    <row r="119" spans="1:12" ht="19.5" customHeight="1">
      <c r="A119" s="1" t="str">
        <f t="shared" si="2"/>
        <v>SKU-0116</v>
      </c>
      <c r="B119" s="63" t="s">
        <v>903</v>
      </c>
      <c r="C119" t="s">
        <v>579</v>
      </c>
      <c r="D119" s="36" t="s">
        <v>578</v>
      </c>
      <c r="E119" s="36" t="s">
        <v>68</v>
      </c>
      <c r="F119" s="90" t="s">
        <v>66</v>
      </c>
      <c r="G119" s="7"/>
      <c r="H119" s="7">
        <v>3980000</v>
      </c>
      <c r="I119" s="8">
        <v>9</v>
      </c>
      <c r="J119" s="9">
        <f>IFERROR(SUMIF(لاگ_فاکتور!$I$3:$I$1622,A119,لاگ_فاکتور!$L$3:$L$1622),0)</f>
        <v>0</v>
      </c>
      <c r="K119" s="10">
        <f t="shared" si="3"/>
        <v>9</v>
      </c>
      <c r="L119" s="1" t="str">
        <f>IF(C119="","",IF(K119&lt;=0,"🔴 تمام",IF(K119&lt;=تنظیمات_سیستم!$C$7,"🟠 کم","🟢 OK")))</f>
        <v>🟢 OK</v>
      </c>
    </row>
    <row r="120" spans="1:12" ht="19.5" customHeight="1">
      <c r="A120" s="1" t="str">
        <f t="shared" si="2"/>
        <v>SKU-0117</v>
      </c>
      <c r="B120" s="63" t="s">
        <v>1049</v>
      </c>
      <c r="C120" t="s">
        <v>580</v>
      </c>
      <c r="D120" s="36" t="s">
        <v>581</v>
      </c>
      <c r="E120" s="36" t="s">
        <v>65</v>
      </c>
      <c r="F120" s="90" t="s">
        <v>69</v>
      </c>
      <c r="G120" s="7"/>
      <c r="H120" s="7">
        <v>2380000</v>
      </c>
      <c r="I120" s="8">
        <v>9</v>
      </c>
      <c r="J120" s="9">
        <f>IFERROR(SUMIF(لاگ_فاکتور!$I$3:$I$1622,A120,لاگ_فاکتور!$L$3:$L$1622),0)</f>
        <v>0</v>
      </c>
      <c r="K120" s="10">
        <f t="shared" si="3"/>
        <v>9</v>
      </c>
      <c r="L120" s="1" t="str">
        <f>IF(C120="","",IF(K120&lt;=0,"🔴 تمام",IF(K120&lt;=تنظیمات_سیستم!$C$7,"🟠 کم","🟢 OK")))</f>
        <v>🟢 OK</v>
      </c>
    </row>
    <row r="121" spans="1:12" ht="19.5" customHeight="1">
      <c r="A121" s="1" t="str">
        <f t="shared" si="2"/>
        <v>SKU-0118</v>
      </c>
      <c r="B121" s="63" t="s">
        <v>1050</v>
      </c>
      <c r="C121" t="s">
        <v>582</v>
      </c>
      <c r="D121" s="36" t="s">
        <v>581</v>
      </c>
      <c r="E121" s="36" t="s">
        <v>65</v>
      </c>
      <c r="F121" s="90" t="s">
        <v>69</v>
      </c>
      <c r="G121" s="7"/>
      <c r="H121" s="7">
        <v>2380000</v>
      </c>
      <c r="I121" s="8">
        <v>9</v>
      </c>
      <c r="J121" s="9">
        <f>IFERROR(SUMIF(لاگ_فاکتور!$I$3:$I$1622,A121,لاگ_فاکتور!$L$3:$L$1622),0)</f>
        <v>0</v>
      </c>
      <c r="K121" s="10">
        <f t="shared" si="3"/>
        <v>9</v>
      </c>
      <c r="L121" s="1" t="str">
        <f>IF(C121="","",IF(K121&lt;=0,"🔴 تمام",IF(K121&lt;=تنظیمات_سیستم!$C$7,"🟠 کم","🟢 OK")))</f>
        <v>🟢 OK</v>
      </c>
    </row>
    <row r="122" spans="1:12" ht="19.5" customHeight="1">
      <c r="A122" s="1" t="str">
        <f t="shared" si="2"/>
        <v>SKU-0119</v>
      </c>
      <c r="B122" s="63" t="s">
        <v>1051</v>
      </c>
      <c r="C122" t="s">
        <v>583</v>
      </c>
      <c r="D122" s="36" t="s">
        <v>581</v>
      </c>
      <c r="E122" s="36" t="s">
        <v>65</v>
      </c>
      <c r="F122" s="90" t="s">
        <v>69</v>
      </c>
      <c r="G122" s="7"/>
      <c r="H122" s="7">
        <v>2380000</v>
      </c>
      <c r="I122" s="8">
        <v>9</v>
      </c>
      <c r="J122" s="9">
        <f>IFERROR(SUMIF(لاگ_فاکتور!$I$3:$I$1622,A122,لاگ_فاکتور!$L$3:$L$1622),0)</f>
        <v>0</v>
      </c>
      <c r="K122" s="10">
        <f t="shared" si="3"/>
        <v>9</v>
      </c>
      <c r="L122" s="1" t="str">
        <f>IF(C122="","",IF(K122&lt;=0,"🔴 تمام",IF(K122&lt;=تنظیمات_سیستم!$C$7,"🟠 کم","🟢 OK")))</f>
        <v>🟢 OK</v>
      </c>
    </row>
    <row r="123" spans="1:12" ht="19.5" customHeight="1">
      <c r="A123" s="1" t="str">
        <f t="shared" si="2"/>
        <v>SKU-0120</v>
      </c>
      <c r="B123" s="63" t="s">
        <v>841</v>
      </c>
      <c r="C123" t="s">
        <v>584</v>
      </c>
      <c r="D123" s="36" t="s">
        <v>581</v>
      </c>
      <c r="E123" s="36" t="s">
        <v>65</v>
      </c>
      <c r="F123" s="90" t="s">
        <v>69</v>
      </c>
      <c r="G123" s="7"/>
      <c r="H123" s="7">
        <v>2380000</v>
      </c>
      <c r="I123" s="8">
        <v>9</v>
      </c>
      <c r="J123" s="9">
        <f>IFERROR(SUMIF(لاگ_فاکتور!$I$3:$I$1622,A123,لاگ_فاکتور!$L$3:$L$1622),0)</f>
        <v>0</v>
      </c>
      <c r="K123" s="10">
        <f t="shared" si="3"/>
        <v>9</v>
      </c>
      <c r="L123" s="1" t="str">
        <f>IF(C123="","",IF(K123&lt;=0,"🔴 تمام",IF(K123&lt;=تنظیمات_سیستم!$C$7,"🟠 کم","🟢 OK")))</f>
        <v>🟢 OK</v>
      </c>
    </row>
    <row r="124" spans="1:12" ht="19.5" customHeight="1">
      <c r="A124" s="1" t="str">
        <f t="shared" si="2"/>
        <v>SKU-0121</v>
      </c>
      <c r="B124" s="63" t="s">
        <v>842</v>
      </c>
      <c r="C124" t="s">
        <v>585</v>
      </c>
      <c r="D124" s="36" t="s">
        <v>581</v>
      </c>
      <c r="E124" s="36" t="s">
        <v>65</v>
      </c>
      <c r="F124" s="90" t="s">
        <v>69</v>
      </c>
      <c r="G124" s="7"/>
      <c r="H124" s="7">
        <v>2380000</v>
      </c>
      <c r="I124" s="8">
        <v>9</v>
      </c>
      <c r="J124" s="9">
        <f>IFERROR(SUMIF(لاگ_فاکتور!$I$3:$I$1622,A124,لاگ_فاکتور!$L$3:$L$1622),0)</f>
        <v>0</v>
      </c>
      <c r="K124" s="10">
        <f t="shared" si="3"/>
        <v>9</v>
      </c>
      <c r="L124" s="1" t="str">
        <f>IF(C124="","",IF(K124&lt;=0,"🔴 تمام",IF(K124&lt;=تنظیمات_سیستم!$C$7,"🟠 کم","🟢 OK")))</f>
        <v>🟢 OK</v>
      </c>
    </row>
    <row r="125" spans="1:12" ht="19.5" customHeight="1">
      <c r="A125" s="1" t="str">
        <f t="shared" si="2"/>
        <v>SKU-0122</v>
      </c>
      <c r="B125" s="63" t="s">
        <v>840</v>
      </c>
      <c r="C125" t="s">
        <v>586</v>
      </c>
      <c r="D125" s="36" t="s">
        <v>581</v>
      </c>
      <c r="E125" s="36" t="s">
        <v>65</v>
      </c>
      <c r="F125" s="90" t="s">
        <v>69</v>
      </c>
      <c r="G125" s="7"/>
      <c r="H125" s="7">
        <v>2380000</v>
      </c>
      <c r="I125" s="8">
        <v>9</v>
      </c>
      <c r="J125" s="9">
        <f>IFERROR(SUMIF(لاگ_فاکتور!$I$3:$I$1622,A125,لاگ_فاکتور!$L$3:$L$1622),0)</f>
        <v>0</v>
      </c>
      <c r="K125" s="10">
        <f t="shared" si="3"/>
        <v>9</v>
      </c>
      <c r="L125" s="1" t="str">
        <f>IF(C125="","",IF(K125&lt;=0,"🔴 تمام",IF(K125&lt;=تنظیمات_سیستم!$C$7,"🟠 کم","🟢 OK")))</f>
        <v>🟢 OK</v>
      </c>
    </row>
    <row r="126" spans="1:12" ht="19.5" customHeight="1">
      <c r="A126" s="1" t="str">
        <f t="shared" si="2"/>
        <v>SKU-0123</v>
      </c>
      <c r="B126" s="63" t="s">
        <v>1052</v>
      </c>
      <c r="C126" t="s">
        <v>587</v>
      </c>
      <c r="D126" s="36" t="s">
        <v>581</v>
      </c>
      <c r="E126" s="36" t="s">
        <v>65</v>
      </c>
      <c r="F126" s="90" t="s">
        <v>69</v>
      </c>
      <c r="G126" s="7"/>
      <c r="H126" s="7">
        <v>2380000</v>
      </c>
      <c r="I126" s="8">
        <v>9</v>
      </c>
      <c r="J126" s="9">
        <f>IFERROR(SUMIF(لاگ_فاکتور!$I$3:$I$1622,A126,لاگ_فاکتور!$L$3:$L$1622),0)</f>
        <v>0</v>
      </c>
      <c r="K126" s="10">
        <f t="shared" si="3"/>
        <v>9</v>
      </c>
      <c r="L126" s="1" t="str">
        <f>IF(C126="","",IF(K126&lt;=0,"🔴 تمام",IF(K126&lt;=تنظیمات_سیستم!$C$7,"🟠 کم","🟢 OK")))</f>
        <v>🟢 OK</v>
      </c>
    </row>
    <row r="127" spans="1:12" ht="19.5" customHeight="1">
      <c r="A127" s="1" t="str">
        <f t="shared" si="2"/>
        <v>SKU-0124</v>
      </c>
      <c r="B127" s="63" t="s">
        <v>1053</v>
      </c>
      <c r="C127" t="s">
        <v>588</v>
      </c>
      <c r="D127" s="36" t="s">
        <v>581</v>
      </c>
      <c r="E127" s="36" t="s">
        <v>65</v>
      </c>
      <c r="F127" s="90" t="s">
        <v>69</v>
      </c>
      <c r="G127" s="7"/>
      <c r="H127" s="7">
        <v>2380000</v>
      </c>
      <c r="I127" s="8">
        <v>9</v>
      </c>
      <c r="J127" s="9">
        <f>IFERROR(SUMIF(لاگ_فاکتور!$I$3:$I$1622,A127,لاگ_فاکتور!$L$3:$L$1622),0)</f>
        <v>0</v>
      </c>
      <c r="K127" s="10">
        <f t="shared" si="3"/>
        <v>9</v>
      </c>
      <c r="L127" s="1" t="str">
        <f>IF(C127="","",IF(K127&lt;=0,"🔴 تمام",IF(K127&lt;=تنظیمات_سیستم!$C$7,"🟠 کم","🟢 OK")))</f>
        <v>🟢 OK</v>
      </c>
    </row>
    <row r="128" spans="1:12" ht="19.5" customHeight="1">
      <c r="A128" s="1" t="str">
        <f t="shared" si="2"/>
        <v>SKU-0125</v>
      </c>
      <c r="B128" s="63" t="s">
        <v>1054</v>
      </c>
      <c r="C128" t="s">
        <v>589</v>
      </c>
      <c r="D128" s="36" t="s">
        <v>581</v>
      </c>
      <c r="E128" s="36" t="s">
        <v>65</v>
      </c>
      <c r="F128" s="90" t="s">
        <v>69</v>
      </c>
      <c r="G128" s="7"/>
      <c r="H128" s="7">
        <v>2380000</v>
      </c>
      <c r="I128" s="8">
        <v>9</v>
      </c>
      <c r="J128" s="9">
        <f>IFERROR(SUMIF(لاگ_فاکتور!$I$3:$I$1622,A128,لاگ_فاکتور!$L$3:$L$1622),0)</f>
        <v>0</v>
      </c>
      <c r="K128" s="10">
        <f t="shared" si="3"/>
        <v>9</v>
      </c>
      <c r="L128" s="1" t="str">
        <f>IF(C128="","",IF(K128&lt;=0,"🔴 تمام",IF(K128&lt;=تنظیمات_سیستم!$C$7,"🟠 کم","🟢 OK")))</f>
        <v>🟢 OK</v>
      </c>
    </row>
    <row r="129" spans="1:12" ht="19.5" customHeight="1">
      <c r="A129" s="1" t="str">
        <f t="shared" si="2"/>
        <v>SKU-0126</v>
      </c>
      <c r="B129" s="63" t="s">
        <v>843</v>
      </c>
      <c r="C129" t="s">
        <v>590</v>
      </c>
      <c r="D129" s="36" t="s">
        <v>64</v>
      </c>
      <c r="E129" s="36" t="s">
        <v>65</v>
      </c>
      <c r="F129" s="90" t="s">
        <v>69</v>
      </c>
      <c r="G129" s="7"/>
      <c r="H129" s="7">
        <v>3680000</v>
      </c>
      <c r="I129" s="8">
        <v>9</v>
      </c>
      <c r="J129" s="9">
        <f>IFERROR(SUMIF(لاگ_فاکتور!$I$3:$I$1622,A129,لاگ_فاکتور!$L$3:$L$1622),0)</f>
        <v>0</v>
      </c>
      <c r="K129" s="10">
        <f t="shared" si="3"/>
        <v>9</v>
      </c>
      <c r="L129" s="1" t="str">
        <f>IF(C129="","",IF(K129&lt;=0,"🔴 تمام",IF(K129&lt;=تنظیمات_سیستم!$C$7,"🟠 کم","🟢 OK")))</f>
        <v>🟢 OK</v>
      </c>
    </row>
    <row r="130" spans="1:12" ht="19.5" customHeight="1">
      <c r="A130" s="1" t="str">
        <f t="shared" si="2"/>
        <v>SKU-0127</v>
      </c>
      <c r="B130" s="63" t="s">
        <v>844</v>
      </c>
      <c r="C130" t="s">
        <v>591</v>
      </c>
      <c r="D130" s="36" t="s">
        <v>64</v>
      </c>
      <c r="E130" s="36" t="s">
        <v>65</v>
      </c>
      <c r="F130" s="90" t="s">
        <v>69</v>
      </c>
      <c r="G130" s="7"/>
      <c r="H130" s="7">
        <v>3680000</v>
      </c>
      <c r="I130" s="8">
        <v>9</v>
      </c>
      <c r="J130" s="9">
        <f>IFERROR(SUMIF(لاگ_فاکتور!$I$3:$I$1622,A130,لاگ_فاکتور!$L$3:$L$1622),0)</f>
        <v>0</v>
      </c>
      <c r="K130" s="10">
        <f t="shared" si="3"/>
        <v>9</v>
      </c>
      <c r="L130" s="1" t="str">
        <f>IF(C130="","",IF(K130&lt;=0,"🔴 تمام",IF(K130&lt;=تنظیمات_سیستم!$C$7,"🟠 کم","🟢 OK")))</f>
        <v>🟢 OK</v>
      </c>
    </row>
    <row r="131" spans="1:12" ht="19.5" customHeight="1">
      <c r="A131" s="1" t="str">
        <f t="shared" si="2"/>
        <v>SKU-0128</v>
      </c>
      <c r="B131" s="63" t="s">
        <v>845</v>
      </c>
      <c r="C131" t="s">
        <v>592</v>
      </c>
      <c r="D131" s="36" t="s">
        <v>64</v>
      </c>
      <c r="E131" s="36" t="s">
        <v>65</v>
      </c>
      <c r="F131" s="90" t="s">
        <v>69</v>
      </c>
      <c r="G131" s="7"/>
      <c r="H131" s="7">
        <v>3680000</v>
      </c>
      <c r="I131" s="8">
        <v>9</v>
      </c>
      <c r="J131" s="9">
        <f>IFERROR(SUMIF(لاگ_فاکتور!$I$3:$I$1622,A131,لاگ_فاکتور!$L$3:$L$1622),0)</f>
        <v>0</v>
      </c>
      <c r="K131" s="10">
        <f t="shared" si="3"/>
        <v>9</v>
      </c>
      <c r="L131" s="1" t="str">
        <f>IF(C131="","",IF(K131&lt;=0,"🔴 تمام",IF(K131&lt;=تنظیمات_سیستم!$C$7,"🟠 کم","🟢 OK")))</f>
        <v>🟢 OK</v>
      </c>
    </row>
    <row r="132" spans="1:12" ht="19.5" customHeight="1">
      <c r="A132" s="1" t="str">
        <f t="shared" ref="A132:A195" si="4">IF(C132="","","SKU-"&amp;TEXT(ROW()-3,"0000"))</f>
        <v>SKU-0129</v>
      </c>
      <c r="B132" s="63" t="s">
        <v>846</v>
      </c>
      <c r="C132" t="s">
        <v>593</v>
      </c>
      <c r="D132" s="36" t="s">
        <v>64</v>
      </c>
      <c r="E132" s="36" t="s">
        <v>65</v>
      </c>
      <c r="F132" s="90" t="s">
        <v>69</v>
      </c>
      <c r="G132" s="7"/>
      <c r="H132" s="7">
        <v>3680000</v>
      </c>
      <c r="I132" s="8">
        <v>9</v>
      </c>
      <c r="J132" s="9">
        <f>IFERROR(SUMIF(لاگ_فاکتور!$I$3:$I$1622,A132,لاگ_فاکتور!$L$3:$L$1622),0)</f>
        <v>0</v>
      </c>
      <c r="K132" s="10">
        <f t="shared" ref="K132:K195" si="5">MAX(0,I132-J132)</f>
        <v>9</v>
      </c>
      <c r="L132" s="1" t="str">
        <f>IF(C132="","",IF(K132&lt;=0,"🔴 تمام",IF(K132&lt;=تنظیمات_سیستم!$C$7,"🟠 کم","🟢 OK")))</f>
        <v>🟢 OK</v>
      </c>
    </row>
    <row r="133" spans="1:12" ht="19.5" customHeight="1">
      <c r="A133" s="1" t="str">
        <f t="shared" si="4"/>
        <v>SKU-0130</v>
      </c>
      <c r="B133" s="63" t="s">
        <v>847</v>
      </c>
      <c r="C133" t="s">
        <v>594</v>
      </c>
      <c r="D133" s="36" t="s">
        <v>64</v>
      </c>
      <c r="E133" s="36" t="s">
        <v>65</v>
      </c>
      <c r="F133" s="90" t="s">
        <v>69</v>
      </c>
      <c r="G133" s="7"/>
      <c r="H133" s="7">
        <v>3680000</v>
      </c>
      <c r="I133" s="8">
        <v>9</v>
      </c>
      <c r="J133" s="9">
        <f>IFERROR(SUMIF(لاگ_فاکتور!$I$3:$I$1622,A133,لاگ_فاکتور!$L$3:$L$1622),0)</f>
        <v>0</v>
      </c>
      <c r="K133" s="10">
        <f t="shared" si="5"/>
        <v>9</v>
      </c>
      <c r="L133" s="1" t="str">
        <f>IF(C133="","",IF(K133&lt;=0,"🔴 تمام",IF(K133&lt;=تنظیمات_سیستم!$C$7,"🟠 کم","🟢 OK")))</f>
        <v>🟢 OK</v>
      </c>
    </row>
    <row r="134" spans="1:12" ht="19.5" customHeight="1">
      <c r="A134" s="1" t="str">
        <f t="shared" si="4"/>
        <v>SKU-0131</v>
      </c>
      <c r="B134" s="63" t="s">
        <v>848</v>
      </c>
      <c r="C134" t="s">
        <v>595</v>
      </c>
      <c r="D134" s="36" t="s">
        <v>64</v>
      </c>
      <c r="E134" s="36" t="s">
        <v>65</v>
      </c>
      <c r="F134" s="90" t="s">
        <v>69</v>
      </c>
      <c r="G134" s="7"/>
      <c r="H134" s="7">
        <v>3680000</v>
      </c>
      <c r="I134" s="8">
        <v>9</v>
      </c>
      <c r="J134" s="9">
        <f>IFERROR(SUMIF(لاگ_فاکتور!$I$3:$I$1622,A134,لاگ_فاکتور!$L$3:$L$1622),0)</f>
        <v>0</v>
      </c>
      <c r="K134" s="10">
        <f t="shared" si="5"/>
        <v>9</v>
      </c>
      <c r="L134" s="1" t="str">
        <f>IF(C134="","",IF(K134&lt;=0,"🔴 تمام",IF(K134&lt;=تنظیمات_سیستم!$C$7,"🟠 کم","🟢 OK")))</f>
        <v>🟢 OK</v>
      </c>
    </row>
    <row r="135" spans="1:12" ht="19.5" customHeight="1">
      <c r="A135" s="1" t="str">
        <f t="shared" si="4"/>
        <v>SKU-0132</v>
      </c>
      <c r="B135" s="63" t="s">
        <v>849</v>
      </c>
      <c r="C135" t="s">
        <v>596</v>
      </c>
      <c r="D135" s="36" t="s">
        <v>64</v>
      </c>
      <c r="E135" s="36" t="s">
        <v>65</v>
      </c>
      <c r="F135" s="90" t="s">
        <v>69</v>
      </c>
      <c r="G135" s="7"/>
      <c r="H135" s="7">
        <v>3680000</v>
      </c>
      <c r="I135" s="8">
        <v>9</v>
      </c>
      <c r="J135" s="9">
        <f>IFERROR(SUMIF(لاگ_فاکتور!$I$3:$I$1622,A135,لاگ_فاکتور!$L$3:$L$1622),0)</f>
        <v>0</v>
      </c>
      <c r="K135" s="10">
        <f t="shared" si="5"/>
        <v>9</v>
      </c>
      <c r="L135" s="1" t="str">
        <f>IF(C135="","",IF(K135&lt;=0,"🔴 تمام",IF(K135&lt;=تنظیمات_سیستم!$C$7,"🟠 کم","🟢 OK")))</f>
        <v>🟢 OK</v>
      </c>
    </row>
    <row r="136" spans="1:12" ht="19.5" customHeight="1">
      <c r="A136" s="1" t="str">
        <f t="shared" si="4"/>
        <v>SKU-0133</v>
      </c>
      <c r="B136" s="63" t="s">
        <v>850</v>
      </c>
      <c r="C136" t="s">
        <v>597</v>
      </c>
      <c r="D136" s="36" t="s">
        <v>64</v>
      </c>
      <c r="E136" s="36" t="s">
        <v>65</v>
      </c>
      <c r="F136" s="90" t="s">
        <v>69</v>
      </c>
      <c r="G136" s="7"/>
      <c r="H136" s="7">
        <v>3680000</v>
      </c>
      <c r="I136" s="8">
        <v>9</v>
      </c>
      <c r="J136" s="9">
        <f>IFERROR(SUMIF(لاگ_فاکتور!$I$3:$I$1622,A136,لاگ_فاکتور!$L$3:$L$1622),0)</f>
        <v>0</v>
      </c>
      <c r="K136" s="10">
        <f t="shared" si="5"/>
        <v>9</v>
      </c>
      <c r="L136" s="1" t="str">
        <f>IF(C136="","",IF(K136&lt;=0,"🔴 تمام",IF(K136&lt;=تنظیمات_سیستم!$C$7,"🟠 کم","🟢 OK")))</f>
        <v>🟢 OK</v>
      </c>
    </row>
    <row r="137" spans="1:12" ht="19.5" customHeight="1">
      <c r="A137" s="1" t="str">
        <f t="shared" si="4"/>
        <v>SKU-0134</v>
      </c>
      <c r="B137" s="63" t="s">
        <v>851</v>
      </c>
      <c r="C137" t="s">
        <v>598</v>
      </c>
      <c r="D137" s="36" t="s">
        <v>64</v>
      </c>
      <c r="E137" s="36" t="s">
        <v>65</v>
      </c>
      <c r="F137" s="90" t="s">
        <v>69</v>
      </c>
      <c r="G137" s="7"/>
      <c r="H137" s="7">
        <v>3680000</v>
      </c>
      <c r="I137" s="8">
        <v>9</v>
      </c>
      <c r="J137" s="9">
        <f>IFERROR(SUMIF(لاگ_فاکتور!$I$3:$I$1622,A137,لاگ_فاکتور!$L$3:$L$1622),0)</f>
        <v>0</v>
      </c>
      <c r="K137" s="10">
        <f t="shared" si="5"/>
        <v>9</v>
      </c>
      <c r="L137" s="1" t="str">
        <f>IF(C137="","",IF(K137&lt;=0,"🔴 تمام",IF(K137&lt;=تنظیمات_سیستم!$C$7,"🟠 کم","🟢 OK")))</f>
        <v>🟢 OK</v>
      </c>
    </row>
    <row r="138" spans="1:12" ht="19.5" customHeight="1">
      <c r="A138" s="1" t="str">
        <f t="shared" si="4"/>
        <v>SKU-0135</v>
      </c>
      <c r="B138" s="63" t="s">
        <v>852</v>
      </c>
      <c r="C138" t="s">
        <v>599</v>
      </c>
      <c r="D138" s="36" t="s">
        <v>73</v>
      </c>
      <c r="E138" s="36" t="s">
        <v>76</v>
      </c>
      <c r="F138" s="90" t="s">
        <v>72</v>
      </c>
      <c r="G138" s="7"/>
      <c r="H138" s="7">
        <v>3780000</v>
      </c>
      <c r="I138" s="8">
        <v>9</v>
      </c>
      <c r="J138" s="9">
        <f>IFERROR(SUMIF(لاگ_فاکتور!$I$3:$I$1622,A138,لاگ_فاکتور!$L$3:$L$1622),0)</f>
        <v>0</v>
      </c>
      <c r="K138" s="10">
        <f t="shared" si="5"/>
        <v>9</v>
      </c>
      <c r="L138" s="1" t="str">
        <f>IF(C138="","",IF(K138&lt;=0,"🔴 تمام",IF(K138&lt;=تنظیمات_سیستم!$C$7,"🟠 کم","🟢 OK")))</f>
        <v>🟢 OK</v>
      </c>
    </row>
    <row r="139" spans="1:12" ht="19.5" customHeight="1">
      <c r="A139" s="1" t="str">
        <f t="shared" si="4"/>
        <v>SKU-0136</v>
      </c>
      <c r="B139" s="63" t="s">
        <v>853</v>
      </c>
      <c r="C139" t="s">
        <v>600</v>
      </c>
      <c r="D139" s="36" t="s">
        <v>73</v>
      </c>
      <c r="E139" s="36" t="s">
        <v>76</v>
      </c>
      <c r="F139" s="90" t="s">
        <v>66</v>
      </c>
      <c r="G139" s="7"/>
      <c r="H139" s="7">
        <v>3780000</v>
      </c>
      <c r="I139" s="8">
        <v>9</v>
      </c>
      <c r="J139" s="9">
        <f>IFERROR(SUMIF(لاگ_فاکتور!$I$3:$I$1622,A139,لاگ_فاکتور!$L$3:$L$1622),0)</f>
        <v>0</v>
      </c>
      <c r="K139" s="10">
        <f t="shared" si="5"/>
        <v>9</v>
      </c>
      <c r="L139" s="1" t="str">
        <f>IF(C139="","",IF(K139&lt;=0,"🔴 تمام",IF(K139&lt;=تنظیمات_سیستم!$C$7,"🟠 کم","🟢 OK")))</f>
        <v>🟢 OK</v>
      </c>
    </row>
    <row r="140" spans="1:12" ht="19.5" customHeight="1">
      <c r="A140" s="1" t="str">
        <f t="shared" si="4"/>
        <v>SKU-0137</v>
      </c>
      <c r="B140" s="63" t="s">
        <v>854</v>
      </c>
      <c r="C140" t="s">
        <v>601</v>
      </c>
      <c r="D140" s="36" t="s">
        <v>73</v>
      </c>
      <c r="E140" s="36" t="s">
        <v>76</v>
      </c>
      <c r="F140" s="90" t="s">
        <v>66</v>
      </c>
      <c r="G140" s="7"/>
      <c r="H140" s="7">
        <v>3780000</v>
      </c>
      <c r="I140" s="8">
        <v>9</v>
      </c>
      <c r="J140" s="9">
        <f>IFERROR(SUMIF(لاگ_فاکتور!$I$3:$I$1622,A140,لاگ_فاکتور!$L$3:$L$1622),0)</f>
        <v>0</v>
      </c>
      <c r="K140" s="10">
        <f t="shared" si="5"/>
        <v>9</v>
      </c>
      <c r="L140" s="1" t="str">
        <f>IF(C140="","",IF(K140&lt;=0,"🔴 تمام",IF(K140&lt;=تنظیمات_سیستم!$C$7,"🟠 کم","🟢 OK")))</f>
        <v>🟢 OK</v>
      </c>
    </row>
    <row r="141" spans="1:12" ht="19.5" customHeight="1">
      <c r="A141" s="1" t="str">
        <f t="shared" si="4"/>
        <v>SKU-0138</v>
      </c>
      <c r="B141" s="63" t="s">
        <v>855</v>
      </c>
      <c r="C141" t="s">
        <v>602</v>
      </c>
      <c r="D141" s="36" t="s">
        <v>73</v>
      </c>
      <c r="E141" s="36" t="s">
        <v>76</v>
      </c>
      <c r="F141" s="90" t="s">
        <v>66</v>
      </c>
      <c r="G141" s="7"/>
      <c r="H141" s="7">
        <v>3780000</v>
      </c>
      <c r="I141" s="8">
        <v>9</v>
      </c>
      <c r="J141" s="9">
        <f>IFERROR(SUMIF(لاگ_فاکتور!$I$3:$I$1622,A141,لاگ_فاکتور!$L$3:$L$1622),0)</f>
        <v>0</v>
      </c>
      <c r="K141" s="10">
        <f t="shared" si="5"/>
        <v>9</v>
      </c>
      <c r="L141" s="1" t="str">
        <f>IF(C141="","",IF(K141&lt;=0,"🔴 تمام",IF(K141&lt;=تنظیمات_سیستم!$C$7,"🟠 کم","🟢 OK")))</f>
        <v>🟢 OK</v>
      </c>
    </row>
    <row r="142" spans="1:12" ht="19.5" customHeight="1">
      <c r="A142" s="1" t="str">
        <f t="shared" si="4"/>
        <v>SKU-0139</v>
      </c>
      <c r="B142" s="63" t="s">
        <v>856</v>
      </c>
      <c r="C142" t="s">
        <v>603</v>
      </c>
      <c r="D142" s="36" t="s">
        <v>73</v>
      </c>
      <c r="E142" s="36" t="s">
        <v>76</v>
      </c>
      <c r="F142" s="90" t="s">
        <v>66</v>
      </c>
      <c r="G142" s="7"/>
      <c r="H142" s="7">
        <v>3780000</v>
      </c>
      <c r="I142" s="8">
        <v>9</v>
      </c>
      <c r="J142" s="9">
        <f>IFERROR(SUMIF(لاگ_فاکتور!$I$3:$I$1622,A142,لاگ_فاکتور!$L$3:$L$1622),0)</f>
        <v>0</v>
      </c>
      <c r="K142" s="10">
        <f t="shared" si="5"/>
        <v>9</v>
      </c>
      <c r="L142" s="1" t="str">
        <f>IF(C142="","",IF(K142&lt;=0,"🔴 تمام",IF(K142&lt;=تنظیمات_سیستم!$C$7,"🟠 کم","🟢 OK")))</f>
        <v>🟢 OK</v>
      </c>
    </row>
    <row r="143" spans="1:12" ht="19.5" customHeight="1">
      <c r="A143" s="1" t="str">
        <f t="shared" si="4"/>
        <v>SKU-0140</v>
      </c>
      <c r="B143" s="63" t="s">
        <v>857</v>
      </c>
      <c r="C143" t="s">
        <v>604</v>
      </c>
      <c r="D143" s="36" t="s">
        <v>73</v>
      </c>
      <c r="E143" s="36" t="s">
        <v>76</v>
      </c>
      <c r="F143" s="90" t="s">
        <v>66</v>
      </c>
      <c r="G143" s="7"/>
      <c r="H143" s="7">
        <v>3780000</v>
      </c>
      <c r="I143" s="8">
        <v>9</v>
      </c>
      <c r="J143" s="9">
        <f>IFERROR(SUMIF(لاگ_فاکتور!$I$3:$I$1622,A143,لاگ_فاکتور!$L$3:$L$1622),0)</f>
        <v>0</v>
      </c>
      <c r="K143" s="10">
        <f t="shared" si="5"/>
        <v>9</v>
      </c>
      <c r="L143" s="1" t="str">
        <f>IF(C143="","",IF(K143&lt;=0,"🔴 تمام",IF(K143&lt;=تنظیمات_سیستم!$C$7,"🟠 کم","🟢 OK")))</f>
        <v>🟢 OK</v>
      </c>
    </row>
    <row r="144" spans="1:12" ht="19.5" customHeight="1">
      <c r="A144" s="1" t="str">
        <f t="shared" si="4"/>
        <v>SKU-0141</v>
      </c>
      <c r="B144" s="63" t="s">
        <v>858</v>
      </c>
      <c r="C144" t="s">
        <v>605</v>
      </c>
      <c r="D144" s="36" t="s">
        <v>73</v>
      </c>
      <c r="E144" s="36" t="s">
        <v>76</v>
      </c>
      <c r="F144" s="90" t="s">
        <v>66</v>
      </c>
      <c r="G144" s="7"/>
      <c r="H144" s="7">
        <v>3780000</v>
      </c>
      <c r="I144" s="8">
        <v>9</v>
      </c>
      <c r="J144" s="9">
        <f>IFERROR(SUMIF(لاگ_فاکتور!$I$3:$I$1622,A144,لاگ_فاکتور!$L$3:$L$1622),0)</f>
        <v>0</v>
      </c>
      <c r="K144" s="10">
        <f t="shared" si="5"/>
        <v>9</v>
      </c>
      <c r="L144" s="1" t="str">
        <f>IF(C144="","",IF(K144&lt;=0,"🔴 تمام",IF(K144&lt;=تنظیمات_سیستم!$C$7,"🟠 کم","🟢 OK")))</f>
        <v>🟢 OK</v>
      </c>
    </row>
    <row r="145" spans="1:12" ht="19.5" customHeight="1">
      <c r="A145" s="1" t="str">
        <f t="shared" si="4"/>
        <v>SKU-0142</v>
      </c>
      <c r="B145" s="63" t="s">
        <v>859</v>
      </c>
      <c r="C145" t="s">
        <v>606</v>
      </c>
      <c r="D145" s="36" t="s">
        <v>73</v>
      </c>
      <c r="E145" s="36" t="s">
        <v>76</v>
      </c>
      <c r="F145" s="90" t="s">
        <v>66</v>
      </c>
      <c r="G145" s="7"/>
      <c r="H145" s="7">
        <v>3780000</v>
      </c>
      <c r="I145" s="8">
        <v>9</v>
      </c>
      <c r="J145" s="9">
        <f>IFERROR(SUMIF(لاگ_فاکتور!$I$3:$I$1622,A145,لاگ_فاکتور!$L$3:$L$1622),0)</f>
        <v>0</v>
      </c>
      <c r="K145" s="10">
        <f t="shared" si="5"/>
        <v>9</v>
      </c>
      <c r="L145" s="1" t="str">
        <f>IF(C145="","",IF(K145&lt;=0,"🔴 تمام",IF(K145&lt;=تنظیمات_سیستم!$C$7,"🟠 کم","🟢 OK")))</f>
        <v>🟢 OK</v>
      </c>
    </row>
    <row r="146" spans="1:12" ht="19.5" customHeight="1">
      <c r="A146" s="1" t="str">
        <f t="shared" si="4"/>
        <v>SKU-0143</v>
      </c>
      <c r="B146" s="63" t="s">
        <v>860</v>
      </c>
      <c r="C146" t="s">
        <v>607</v>
      </c>
      <c r="D146" s="36" t="s">
        <v>73</v>
      </c>
      <c r="E146" s="36" t="s">
        <v>76</v>
      </c>
      <c r="F146" s="90" t="s">
        <v>66</v>
      </c>
      <c r="G146" s="7"/>
      <c r="H146" s="7">
        <v>3780000</v>
      </c>
      <c r="I146" s="8">
        <v>9</v>
      </c>
      <c r="J146" s="9">
        <f>IFERROR(SUMIF(لاگ_فاکتور!$I$3:$I$1622,A146,لاگ_فاکتور!$L$3:$L$1622),0)</f>
        <v>0</v>
      </c>
      <c r="K146" s="10">
        <f t="shared" si="5"/>
        <v>9</v>
      </c>
      <c r="L146" s="1" t="str">
        <f>IF(C146="","",IF(K146&lt;=0,"🔴 تمام",IF(K146&lt;=تنظیمات_سیستم!$C$7,"🟠 کم","🟢 OK")))</f>
        <v>🟢 OK</v>
      </c>
    </row>
    <row r="147" spans="1:12" ht="19.5" customHeight="1">
      <c r="A147" s="1" t="str">
        <f t="shared" si="4"/>
        <v>SKU-0144</v>
      </c>
      <c r="B147" s="63" t="s">
        <v>861</v>
      </c>
      <c r="C147" t="s">
        <v>608</v>
      </c>
      <c r="D147" s="36" t="s">
        <v>73</v>
      </c>
      <c r="E147" s="36" t="s">
        <v>76</v>
      </c>
      <c r="F147" s="90" t="s">
        <v>66</v>
      </c>
      <c r="G147" s="7"/>
      <c r="H147" s="7">
        <v>3780000</v>
      </c>
      <c r="I147" s="8">
        <v>9</v>
      </c>
      <c r="J147" s="9">
        <f>IFERROR(SUMIF(لاگ_فاکتور!$I$3:$I$1622,A147,لاگ_فاکتور!$L$3:$L$1622),0)</f>
        <v>0</v>
      </c>
      <c r="K147" s="10">
        <f t="shared" si="5"/>
        <v>9</v>
      </c>
      <c r="L147" s="1" t="str">
        <f>IF(C147="","",IF(K147&lt;=0,"🔴 تمام",IF(K147&lt;=تنظیمات_سیستم!$C$7,"🟠 کم","🟢 OK")))</f>
        <v>🟢 OK</v>
      </c>
    </row>
    <row r="148" spans="1:12" ht="19.5" customHeight="1">
      <c r="A148" s="1" t="str">
        <f t="shared" si="4"/>
        <v>SKU-0145</v>
      </c>
      <c r="B148" s="63" t="s">
        <v>862</v>
      </c>
      <c r="C148" t="s">
        <v>609</v>
      </c>
      <c r="D148" s="36" t="s">
        <v>73</v>
      </c>
      <c r="E148" s="36" t="s">
        <v>76</v>
      </c>
      <c r="F148" s="90" t="s">
        <v>66</v>
      </c>
      <c r="G148" s="7"/>
      <c r="H148" s="7">
        <v>3780000</v>
      </c>
      <c r="I148" s="8">
        <v>9</v>
      </c>
      <c r="J148" s="9">
        <f>IFERROR(SUMIF(لاگ_فاکتور!$I$3:$I$1622,A148,لاگ_فاکتور!$L$3:$L$1622),0)</f>
        <v>0</v>
      </c>
      <c r="K148" s="10">
        <f t="shared" si="5"/>
        <v>9</v>
      </c>
      <c r="L148" s="1" t="str">
        <f>IF(C148="","",IF(K148&lt;=0,"🔴 تمام",IF(K148&lt;=تنظیمات_سیستم!$C$7,"🟠 کم","🟢 OK")))</f>
        <v>🟢 OK</v>
      </c>
    </row>
    <row r="149" spans="1:12" ht="19.5" customHeight="1">
      <c r="A149" s="1" t="str">
        <f t="shared" si="4"/>
        <v>SKU-0146</v>
      </c>
      <c r="B149" s="63" t="s">
        <v>863</v>
      </c>
      <c r="C149" t="s">
        <v>610</v>
      </c>
      <c r="D149" s="36" t="s">
        <v>73</v>
      </c>
      <c r="E149" s="36" t="s">
        <v>76</v>
      </c>
      <c r="F149" s="90" t="s">
        <v>66</v>
      </c>
      <c r="G149" s="7"/>
      <c r="H149" s="7">
        <v>3780000</v>
      </c>
      <c r="I149" s="8">
        <v>9</v>
      </c>
      <c r="J149" s="9">
        <f>IFERROR(SUMIF(لاگ_فاکتور!$I$3:$I$1622,A149,لاگ_فاکتور!$L$3:$L$1622),0)</f>
        <v>0</v>
      </c>
      <c r="K149" s="10">
        <f t="shared" si="5"/>
        <v>9</v>
      </c>
      <c r="L149" s="1" t="str">
        <f>IF(C149="","",IF(K149&lt;=0,"🔴 تمام",IF(K149&lt;=تنظیمات_سیستم!$C$7,"🟠 کم","🟢 OK")))</f>
        <v>🟢 OK</v>
      </c>
    </row>
    <row r="150" spans="1:12" ht="19.5" customHeight="1">
      <c r="A150" s="1" t="str">
        <f t="shared" si="4"/>
        <v>SKU-0147</v>
      </c>
      <c r="B150" s="63" t="s">
        <v>864</v>
      </c>
      <c r="C150" t="s">
        <v>611</v>
      </c>
      <c r="D150" s="36" t="s">
        <v>73</v>
      </c>
      <c r="E150" s="36" t="s">
        <v>76</v>
      </c>
      <c r="F150" s="90" t="s">
        <v>66</v>
      </c>
      <c r="G150" s="7"/>
      <c r="H150" s="7">
        <v>3450000</v>
      </c>
      <c r="I150" s="8">
        <v>9</v>
      </c>
      <c r="J150" s="9">
        <f>IFERROR(SUMIF(لاگ_فاکتور!$I$3:$I$1622,A150,لاگ_فاکتور!$L$3:$L$1622),0)</f>
        <v>0</v>
      </c>
      <c r="K150" s="10">
        <f t="shared" si="5"/>
        <v>9</v>
      </c>
      <c r="L150" s="1" t="str">
        <f>IF(C150="","",IF(K150&lt;=0,"🔴 تمام",IF(K150&lt;=تنظیمات_سیستم!$C$7,"🟠 کم","🟢 OK")))</f>
        <v>🟢 OK</v>
      </c>
    </row>
    <row r="151" spans="1:12" ht="19.5" customHeight="1">
      <c r="A151" s="1" t="str">
        <f t="shared" si="4"/>
        <v>SKU-0148</v>
      </c>
      <c r="B151" s="63" t="s">
        <v>865</v>
      </c>
      <c r="C151" t="s">
        <v>612</v>
      </c>
      <c r="D151" s="36" t="s">
        <v>73</v>
      </c>
      <c r="E151" s="36" t="s">
        <v>76</v>
      </c>
      <c r="F151" s="90" t="s">
        <v>66</v>
      </c>
      <c r="G151" s="7"/>
      <c r="H151" s="7">
        <v>3450000</v>
      </c>
      <c r="I151" s="8">
        <v>9</v>
      </c>
      <c r="J151" s="9">
        <f>IFERROR(SUMIF(لاگ_فاکتور!$I$3:$I$1622,A151,لاگ_فاکتور!$L$3:$L$1622),0)</f>
        <v>0</v>
      </c>
      <c r="K151" s="10">
        <f t="shared" si="5"/>
        <v>9</v>
      </c>
      <c r="L151" s="1" t="str">
        <f>IF(C151="","",IF(K151&lt;=0,"🔴 تمام",IF(K151&lt;=تنظیمات_سیستم!$C$7,"🟠 کم","🟢 OK")))</f>
        <v>🟢 OK</v>
      </c>
    </row>
    <row r="152" spans="1:12" ht="19.5" customHeight="1">
      <c r="A152" s="1" t="str">
        <f t="shared" si="4"/>
        <v>SKU-0149</v>
      </c>
      <c r="B152" s="63" t="s">
        <v>866</v>
      </c>
      <c r="C152" t="s">
        <v>613</v>
      </c>
      <c r="D152" s="36" t="s">
        <v>73</v>
      </c>
      <c r="E152" s="36" t="s">
        <v>76</v>
      </c>
      <c r="F152" s="90" t="s">
        <v>66</v>
      </c>
      <c r="G152" s="7"/>
      <c r="H152" s="7">
        <v>3450000</v>
      </c>
      <c r="I152" s="8">
        <v>9</v>
      </c>
      <c r="J152" s="9">
        <f>IFERROR(SUMIF(لاگ_فاکتور!$I$3:$I$1622,A152,لاگ_فاکتور!$L$3:$L$1622),0)</f>
        <v>0</v>
      </c>
      <c r="K152" s="10">
        <f t="shared" si="5"/>
        <v>9</v>
      </c>
      <c r="L152" s="1" t="str">
        <f>IF(C152="","",IF(K152&lt;=0,"🔴 تمام",IF(K152&lt;=تنظیمات_سیستم!$C$7,"🟠 کم","🟢 OK")))</f>
        <v>🟢 OK</v>
      </c>
    </row>
    <row r="153" spans="1:12" ht="19.5" customHeight="1">
      <c r="A153" s="1" t="str">
        <f t="shared" si="4"/>
        <v>SKU-0150</v>
      </c>
      <c r="B153" s="63" t="s">
        <v>867</v>
      </c>
      <c r="C153" t="s">
        <v>614</v>
      </c>
      <c r="D153" s="36" t="s">
        <v>73</v>
      </c>
      <c r="E153" s="36" t="s">
        <v>76</v>
      </c>
      <c r="F153" s="90" t="s">
        <v>66</v>
      </c>
      <c r="G153" s="7"/>
      <c r="H153" s="7">
        <v>3450000</v>
      </c>
      <c r="I153" s="8">
        <v>9</v>
      </c>
      <c r="J153" s="9">
        <f>IFERROR(SUMIF(لاگ_فاکتور!$I$3:$I$1622,A153,لاگ_فاکتور!$L$3:$L$1622),0)</f>
        <v>0</v>
      </c>
      <c r="K153" s="10">
        <f t="shared" si="5"/>
        <v>9</v>
      </c>
      <c r="L153" s="1" t="str">
        <f>IF(C153="","",IF(K153&lt;=0,"🔴 تمام",IF(K153&lt;=تنظیمات_سیستم!$C$7,"🟠 کم","🟢 OK")))</f>
        <v>🟢 OK</v>
      </c>
    </row>
    <row r="154" spans="1:12" ht="19.5" customHeight="1">
      <c r="A154" s="1" t="str">
        <f t="shared" si="4"/>
        <v>SKU-0151</v>
      </c>
      <c r="B154" s="63" t="s">
        <v>868</v>
      </c>
      <c r="C154" t="s">
        <v>615</v>
      </c>
      <c r="D154" s="36" t="s">
        <v>73</v>
      </c>
      <c r="E154" s="36" t="s">
        <v>76</v>
      </c>
      <c r="F154" s="90" t="s">
        <v>66</v>
      </c>
      <c r="G154" s="7"/>
      <c r="H154" s="7">
        <v>3450000</v>
      </c>
      <c r="I154" s="8">
        <v>9</v>
      </c>
      <c r="J154" s="9">
        <f>IFERROR(SUMIF(لاگ_فاکتور!$I$3:$I$1622,A154,لاگ_فاکتور!$L$3:$L$1622),0)</f>
        <v>0</v>
      </c>
      <c r="K154" s="10">
        <f t="shared" si="5"/>
        <v>9</v>
      </c>
      <c r="L154" s="1" t="str">
        <f>IF(C154="","",IF(K154&lt;=0,"🔴 تمام",IF(K154&lt;=تنظیمات_سیستم!$C$7,"🟠 کم","🟢 OK")))</f>
        <v>🟢 OK</v>
      </c>
    </row>
    <row r="155" spans="1:12" ht="19.5" customHeight="1">
      <c r="A155" s="1" t="str">
        <f t="shared" si="4"/>
        <v>SKU-0152</v>
      </c>
      <c r="B155" s="63" t="s">
        <v>869</v>
      </c>
      <c r="C155" t="s">
        <v>616</v>
      </c>
      <c r="D155" s="36" t="s">
        <v>73</v>
      </c>
      <c r="E155" s="36" t="s">
        <v>76</v>
      </c>
      <c r="F155" s="90" t="s">
        <v>66</v>
      </c>
      <c r="G155" s="7"/>
      <c r="H155" s="7">
        <v>3450000</v>
      </c>
      <c r="I155" s="8">
        <v>9</v>
      </c>
      <c r="J155" s="9">
        <f>IFERROR(SUMIF(لاگ_فاکتور!$I$3:$I$1622,A155,لاگ_فاکتور!$L$3:$L$1622),0)</f>
        <v>0</v>
      </c>
      <c r="K155" s="10">
        <f t="shared" si="5"/>
        <v>9</v>
      </c>
      <c r="L155" s="1" t="str">
        <f>IF(C155="","",IF(K155&lt;=0,"🔴 تمام",IF(K155&lt;=تنظیمات_سیستم!$C$7,"🟠 کم","🟢 OK")))</f>
        <v>🟢 OK</v>
      </c>
    </row>
    <row r="156" spans="1:12" ht="19.5" customHeight="1">
      <c r="A156" s="1" t="str">
        <f t="shared" si="4"/>
        <v>SKU-0153</v>
      </c>
      <c r="B156" s="63" t="s">
        <v>870</v>
      </c>
      <c r="C156" t="s">
        <v>617</v>
      </c>
      <c r="D156" s="36" t="s">
        <v>73</v>
      </c>
      <c r="E156" s="36" t="s">
        <v>76</v>
      </c>
      <c r="F156" s="90" t="s">
        <v>66</v>
      </c>
      <c r="G156" s="7"/>
      <c r="H156" s="7">
        <v>3450000</v>
      </c>
      <c r="I156" s="8">
        <v>9</v>
      </c>
      <c r="J156" s="9">
        <f>IFERROR(SUMIF(لاگ_فاکتور!$I$3:$I$1622,A156,لاگ_فاکتور!$L$3:$L$1622),0)</f>
        <v>0</v>
      </c>
      <c r="K156" s="10">
        <f t="shared" si="5"/>
        <v>9</v>
      </c>
      <c r="L156" s="1" t="str">
        <f>IF(C156="","",IF(K156&lt;=0,"🔴 تمام",IF(K156&lt;=تنظیمات_سیستم!$C$7,"🟠 کم","🟢 OK")))</f>
        <v>🟢 OK</v>
      </c>
    </row>
    <row r="157" spans="1:12" ht="19.5" customHeight="1">
      <c r="A157" s="1" t="str">
        <f t="shared" si="4"/>
        <v>SKU-0154</v>
      </c>
      <c r="B157" s="63" t="s">
        <v>871</v>
      </c>
      <c r="C157" t="s">
        <v>618</v>
      </c>
      <c r="D157" s="36" t="s">
        <v>73</v>
      </c>
      <c r="E157" s="36" t="s">
        <v>76</v>
      </c>
      <c r="F157" s="90" t="s">
        <v>66</v>
      </c>
      <c r="G157" s="7"/>
      <c r="H157" s="7">
        <v>3450000</v>
      </c>
      <c r="I157" s="8">
        <v>9</v>
      </c>
      <c r="J157" s="9">
        <f>IFERROR(SUMIF(لاگ_فاکتور!$I$3:$I$1622,A157,لاگ_فاکتور!$L$3:$L$1622),0)</f>
        <v>0</v>
      </c>
      <c r="K157" s="10">
        <f t="shared" si="5"/>
        <v>9</v>
      </c>
      <c r="L157" s="1" t="str">
        <f>IF(C157="","",IF(K157&lt;=0,"🔴 تمام",IF(K157&lt;=تنظیمات_سیستم!$C$7,"🟠 کم","🟢 OK")))</f>
        <v>🟢 OK</v>
      </c>
    </row>
    <row r="158" spans="1:12" ht="19.5" customHeight="1">
      <c r="A158" s="1" t="str">
        <f t="shared" si="4"/>
        <v>SKU-0155</v>
      </c>
      <c r="B158" s="63" t="s">
        <v>872</v>
      </c>
      <c r="C158" t="s">
        <v>619</v>
      </c>
      <c r="D158" s="36" t="s">
        <v>73</v>
      </c>
      <c r="E158" s="36" t="s">
        <v>76</v>
      </c>
      <c r="F158" s="90" t="s">
        <v>66</v>
      </c>
      <c r="G158" s="7"/>
      <c r="H158" s="7">
        <v>3450000</v>
      </c>
      <c r="I158" s="8">
        <v>9</v>
      </c>
      <c r="J158" s="9">
        <f>IFERROR(SUMIF(لاگ_فاکتور!$I$3:$I$1622,A158,لاگ_فاکتور!$L$3:$L$1622),0)</f>
        <v>0</v>
      </c>
      <c r="K158" s="10">
        <f t="shared" si="5"/>
        <v>9</v>
      </c>
      <c r="L158" s="1" t="str">
        <f>IF(C158="","",IF(K158&lt;=0,"🔴 تمام",IF(K158&lt;=تنظیمات_سیستم!$C$7,"🟠 کم","🟢 OK")))</f>
        <v>🟢 OK</v>
      </c>
    </row>
    <row r="159" spans="1:12" ht="19.5" customHeight="1">
      <c r="A159" s="1" t="str">
        <f t="shared" si="4"/>
        <v>SKU-0156</v>
      </c>
      <c r="B159" s="63" t="s">
        <v>873</v>
      </c>
      <c r="C159" t="s">
        <v>620</v>
      </c>
      <c r="D159" s="36" t="s">
        <v>73</v>
      </c>
      <c r="E159" s="36" t="s">
        <v>76</v>
      </c>
      <c r="F159" s="90" t="s">
        <v>66</v>
      </c>
      <c r="G159" s="7"/>
      <c r="H159" s="7">
        <v>3450000</v>
      </c>
      <c r="I159" s="8">
        <v>9</v>
      </c>
      <c r="J159" s="9">
        <f>IFERROR(SUMIF(لاگ_فاکتور!$I$3:$I$1622,A159,لاگ_فاکتور!$L$3:$L$1622),0)</f>
        <v>0</v>
      </c>
      <c r="K159" s="10">
        <f t="shared" si="5"/>
        <v>9</v>
      </c>
      <c r="L159" s="1" t="str">
        <f>IF(C159="","",IF(K159&lt;=0,"🔴 تمام",IF(K159&lt;=تنظیمات_سیستم!$C$7,"🟠 کم","🟢 OK")))</f>
        <v>🟢 OK</v>
      </c>
    </row>
    <row r="160" spans="1:12" ht="19.5" customHeight="1">
      <c r="A160" s="1" t="str">
        <f t="shared" si="4"/>
        <v>SKU-0157</v>
      </c>
      <c r="B160" s="63" t="s">
        <v>874</v>
      </c>
      <c r="C160" t="s">
        <v>621</v>
      </c>
      <c r="D160" s="36" t="s">
        <v>73</v>
      </c>
      <c r="E160" s="36" t="s">
        <v>76</v>
      </c>
      <c r="F160" s="90" t="s">
        <v>66</v>
      </c>
      <c r="G160" s="7"/>
      <c r="H160" s="7">
        <v>3450000</v>
      </c>
      <c r="I160" s="8">
        <v>9</v>
      </c>
      <c r="J160" s="9">
        <f>IFERROR(SUMIF(لاگ_فاکتور!$I$3:$I$1622,A160,لاگ_فاکتور!$L$3:$L$1622),0)</f>
        <v>0</v>
      </c>
      <c r="K160" s="10">
        <f t="shared" si="5"/>
        <v>9</v>
      </c>
      <c r="L160" s="1" t="str">
        <f>IF(C160="","",IF(K160&lt;=0,"🔴 تمام",IF(K160&lt;=تنظیمات_سیستم!$C$7,"🟠 کم","🟢 OK")))</f>
        <v>🟢 OK</v>
      </c>
    </row>
    <row r="161" spans="1:12" ht="19.5" customHeight="1">
      <c r="A161" s="1" t="str">
        <f t="shared" si="4"/>
        <v>SKU-0158</v>
      </c>
      <c r="B161" s="63" t="s">
        <v>875</v>
      </c>
      <c r="C161" t="s">
        <v>622</v>
      </c>
      <c r="D161" s="36" t="s">
        <v>73</v>
      </c>
      <c r="E161" s="36" t="s">
        <v>76</v>
      </c>
      <c r="F161" s="90" t="s">
        <v>66</v>
      </c>
      <c r="G161" s="7"/>
      <c r="H161" s="7">
        <v>3450000</v>
      </c>
      <c r="I161" s="8">
        <v>9</v>
      </c>
      <c r="J161" s="9">
        <f>IFERROR(SUMIF(لاگ_فاکتور!$I$3:$I$1622,A161,لاگ_فاکتور!$L$3:$L$1622),0)</f>
        <v>0</v>
      </c>
      <c r="K161" s="10">
        <f t="shared" si="5"/>
        <v>9</v>
      </c>
      <c r="L161" s="1" t="str">
        <f>IF(C161="","",IF(K161&lt;=0,"🔴 تمام",IF(K161&lt;=تنظیمات_سیستم!$C$7,"🟠 کم","🟢 OK")))</f>
        <v>🟢 OK</v>
      </c>
    </row>
    <row r="162" spans="1:12" ht="19.5" customHeight="1">
      <c r="A162" s="1" t="str">
        <f t="shared" si="4"/>
        <v>SKU-0159</v>
      </c>
      <c r="B162" s="63" t="s">
        <v>876</v>
      </c>
      <c r="C162" t="s">
        <v>623</v>
      </c>
      <c r="D162" s="36" t="s">
        <v>73</v>
      </c>
      <c r="E162" s="36" t="s">
        <v>76</v>
      </c>
      <c r="F162" s="90" t="s">
        <v>66</v>
      </c>
      <c r="G162" s="7"/>
      <c r="H162" s="7">
        <v>2380000</v>
      </c>
      <c r="I162" s="8">
        <v>9</v>
      </c>
      <c r="J162" s="9">
        <f>IFERROR(SUMIF(لاگ_فاکتور!$I$3:$I$1622,A162,لاگ_فاکتور!$L$3:$L$1622),0)</f>
        <v>0</v>
      </c>
      <c r="K162" s="10">
        <f t="shared" si="5"/>
        <v>9</v>
      </c>
      <c r="L162" s="1" t="str">
        <f>IF(C162="","",IF(K162&lt;=0,"🔴 تمام",IF(K162&lt;=تنظیمات_سیستم!$C$7,"🟠 کم","🟢 OK")))</f>
        <v>🟢 OK</v>
      </c>
    </row>
    <row r="163" spans="1:12" ht="19.5" customHeight="1">
      <c r="A163" s="1" t="str">
        <f t="shared" si="4"/>
        <v>SKU-0160</v>
      </c>
      <c r="B163" s="63" t="s">
        <v>877</v>
      </c>
      <c r="C163" t="s">
        <v>624</v>
      </c>
      <c r="D163" s="36" t="s">
        <v>73</v>
      </c>
      <c r="E163" s="36" t="s">
        <v>76</v>
      </c>
      <c r="F163" s="90" t="s">
        <v>66</v>
      </c>
      <c r="G163" s="7"/>
      <c r="H163" s="7">
        <v>2380000</v>
      </c>
      <c r="I163" s="8">
        <v>9</v>
      </c>
      <c r="J163" s="9">
        <f>IFERROR(SUMIF(لاگ_فاکتور!$I$3:$I$1622,A163,لاگ_فاکتور!$L$3:$L$1622),0)</f>
        <v>0</v>
      </c>
      <c r="K163" s="10">
        <f t="shared" si="5"/>
        <v>9</v>
      </c>
      <c r="L163" s="1" t="str">
        <f>IF(C163="","",IF(K163&lt;=0,"🔴 تمام",IF(K163&lt;=تنظیمات_سیستم!$C$7,"🟠 کم","🟢 OK")))</f>
        <v>🟢 OK</v>
      </c>
    </row>
    <row r="164" spans="1:12" ht="19.5" customHeight="1">
      <c r="A164" s="1" t="str">
        <f t="shared" si="4"/>
        <v>SKU-0161</v>
      </c>
      <c r="B164" s="63" t="s">
        <v>878</v>
      </c>
      <c r="C164" t="s">
        <v>625</v>
      </c>
      <c r="D164" s="36" t="s">
        <v>73</v>
      </c>
      <c r="E164" s="36" t="s">
        <v>76</v>
      </c>
      <c r="F164" s="90" t="s">
        <v>66</v>
      </c>
      <c r="G164" s="7"/>
      <c r="H164" s="7">
        <v>2380000</v>
      </c>
      <c r="I164" s="8">
        <v>9</v>
      </c>
      <c r="J164" s="9">
        <f>IFERROR(SUMIF(لاگ_فاکتور!$I$3:$I$1622,A164,لاگ_فاکتور!$L$3:$L$1622),0)</f>
        <v>0</v>
      </c>
      <c r="K164" s="10">
        <f t="shared" si="5"/>
        <v>9</v>
      </c>
      <c r="L164" s="1" t="str">
        <f>IF(C164="","",IF(K164&lt;=0,"🔴 تمام",IF(K164&lt;=تنظیمات_سیستم!$C$7,"🟠 کم","🟢 OK")))</f>
        <v>🟢 OK</v>
      </c>
    </row>
    <row r="165" spans="1:12" ht="19.5" customHeight="1">
      <c r="A165" s="1" t="str">
        <f t="shared" si="4"/>
        <v>SKU-0162</v>
      </c>
      <c r="B165" s="63" t="s">
        <v>879</v>
      </c>
      <c r="C165" t="s">
        <v>626</v>
      </c>
      <c r="D165" s="36" t="s">
        <v>73</v>
      </c>
      <c r="E165" s="36" t="s">
        <v>76</v>
      </c>
      <c r="F165" s="90" t="s">
        <v>66</v>
      </c>
      <c r="G165" s="7"/>
      <c r="H165" s="7">
        <v>2380000</v>
      </c>
      <c r="I165" s="8">
        <v>9</v>
      </c>
      <c r="J165" s="9">
        <f>IFERROR(SUMIF(لاگ_فاکتور!$I$3:$I$1622,A165,لاگ_فاکتور!$L$3:$L$1622),0)</f>
        <v>0</v>
      </c>
      <c r="K165" s="10">
        <f t="shared" si="5"/>
        <v>9</v>
      </c>
      <c r="L165" s="1" t="str">
        <f>IF(C165="","",IF(K165&lt;=0,"🔴 تمام",IF(K165&lt;=تنظیمات_سیستم!$C$7,"🟠 کم","🟢 OK")))</f>
        <v>🟢 OK</v>
      </c>
    </row>
    <row r="166" spans="1:12" ht="19.5" customHeight="1">
      <c r="A166" s="1" t="str">
        <f t="shared" si="4"/>
        <v>SKU-0163</v>
      </c>
      <c r="B166" s="63" t="s">
        <v>880</v>
      </c>
      <c r="C166" t="s">
        <v>627</v>
      </c>
      <c r="D166" s="36" t="s">
        <v>73</v>
      </c>
      <c r="E166" s="36" t="s">
        <v>76</v>
      </c>
      <c r="F166" s="90" t="s">
        <v>66</v>
      </c>
      <c r="G166" s="7"/>
      <c r="H166" s="7">
        <v>2380000</v>
      </c>
      <c r="I166" s="8">
        <v>9</v>
      </c>
      <c r="J166" s="9">
        <f>IFERROR(SUMIF(لاگ_فاکتور!$I$3:$I$1622,A166,لاگ_فاکتور!$L$3:$L$1622),0)</f>
        <v>0</v>
      </c>
      <c r="K166" s="10">
        <f t="shared" si="5"/>
        <v>9</v>
      </c>
      <c r="L166" s="1" t="str">
        <f>IF(C166="","",IF(K166&lt;=0,"🔴 تمام",IF(K166&lt;=تنظیمات_سیستم!$C$7,"🟠 کم","🟢 OK")))</f>
        <v>🟢 OK</v>
      </c>
    </row>
    <row r="167" spans="1:12" ht="19.5" customHeight="1">
      <c r="A167" s="1" t="str">
        <f t="shared" si="4"/>
        <v>SKU-0164</v>
      </c>
      <c r="B167" s="63" t="s">
        <v>881</v>
      </c>
      <c r="C167" t="s">
        <v>628</v>
      </c>
      <c r="D167" s="36" t="s">
        <v>64</v>
      </c>
      <c r="E167" s="36" t="s">
        <v>629</v>
      </c>
      <c r="F167" s="90" t="s">
        <v>66</v>
      </c>
      <c r="G167" s="7"/>
      <c r="H167" s="7">
        <v>1320000</v>
      </c>
      <c r="I167" s="8">
        <v>9</v>
      </c>
      <c r="J167" s="9">
        <f>IFERROR(SUMIF(لاگ_فاکتور!$I$3:$I$1622,A167,لاگ_فاکتور!$L$3:$L$1622),0)</f>
        <v>0</v>
      </c>
      <c r="K167" s="10">
        <f t="shared" si="5"/>
        <v>9</v>
      </c>
      <c r="L167" s="1" t="str">
        <f>IF(C167="","",IF(K167&lt;=0,"🔴 تمام",IF(K167&lt;=تنظیمات_سیستم!$C$7,"🟠 کم","🟢 OK")))</f>
        <v>🟢 OK</v>
      </c>
    </row>
    <row r="168" spans="1:12" ht="19.5" customHeight="1">
      <c r="A168" s="1" t="str">
        <f t="shared" si="4"/>
        <v>SKU-0165</v>
      </c>
      <c r="B168" s="63" t="s">
        <v>882</v>
      </c>
      <c r="C168" t="s">
        <v>630</v>
      </c>
      <c r="D168" s="36" t="s">
        <v>64</v>
      </c>
      <c r="E168" s="36" t="s">
        <v>629</v>
      </c>
      <c r="F168" s="90" t="s">
        <v>66</v>
      </c>
      <c r="G168" s="7"/>
      <c r="H168" s="7">
        <v>1320000</v>
      </c>
      <c r="I168" s="8">
        <v>9</v>
      </c>
      <c r="J168" s="9">
        <f>IFERROR(SUMIF(لاگ_فاکتور!$I$3:$I$1622,A168,لاگ_فاکتور!$L$3:$L$1622),0)</f>
        <v>0</v>
      </c>
      <c r="K168" s="10">
        <f t="shared" si="5"/>
        <v>9</v>
      </c>
      <c r="L168" s="1" t="str">
        <f>IF(C168="","",IF(K168&lt;=0,"🔴 تمام",IF(K168&lt;=تنظیمات_سیستم!$C$7,"🟠 کم","🟢 OK")))</f>
        <v>🟢 OK</v>
      </c>
    </row>
    <row r="169" spans="1:12" ht="19.5" customHeight="1">
      <c r="A169" s="1" t="str">
        <f t="shared" si="4"/>
        <v>SKU-0166</v>
      </c>
      <c r="B169" s="63" t="s">
        <v>883</v>
      </c>
      <c r="C169" t="s">
        <v>631</v>
      </c>
      <c r="D169" s="36" t="s">
        <v>64</v>
      </c>
      <c r="E169" s="36" t="s">
        <v>629</v>
      </c>
      <c r="F169" s="90" t="s">
        <v>66</v>
      </c>
      <c r="G169" s="7"/>
      <c r="H169" s="7">
        <v>1320000</v>
      </c>
      <c r="I169" s="8">
        <v>9</v>
      </c>
      <c r="J169" s="9">
        <f>IFERROR(SUMIF(لاگ_فاکتور!$I$3:$I$1622,A169,لاگ_فاکتور!$L$3:$L$1622),0)</f>
        <v>0</v>
      </c>
      <c r="K169" s="10">
        <f t="shared" si="5"/>
        <v>9</v>
      </c>
      <c r="L169" s="1" t="str">
        <f>IF(C169="","",IF(K169&lt;=0,"🔴 تمام",IF(K169&lt;=تنظیمات_سیستم!$C$7,"🟠 کم","🟢 OK")))</f>
        <v>🟢 OK</v>
      </c>
    </row>
    <row r="170" spans="1:12" ht="19.5" customHeight="1">
      <c r="A170" s="1" t="str">
        <f t="shared" si="4"/>
        <v>SKU-0167</v>
      </c>
      <c r="B170" s="63" t="s">
        <v>884</v>
      </c>
      <c r="C170" t="s">
        <v>632</v>
      </c>
      <c r="D170" s="36" t="s">
        <v>64</v>
      </c>
      <c r="E170" s="36" t="s">
        <v>82</v>
      </c>
      <c r="F170" s="90" t="s">
        <v>66</v>
      </c>
      <c r="G170" s="7"/>
      <c r="H170" s="7">
        <v>2580000</v>
      </c>
      <c r="I170" s="8">
        <v>4</v>
      </c>
      <c r="J170" s="9">
        <f>IFERROR(SUMIF(لاگ_فاکتور!$I$3:$I$1622,A170,لاگ_فاکتور!$L$3:$L$1622),0)</f>
        <v>0</v>
      </c>
      <c r="K170" s="10">
        <f t="shared" si="5"/>
        <v>4</v>
      </c>
      <c r="L170" s="1" t="str">
        <f>IF(C170="","",IF(K170&lt;=0,"🔴 تمام",IF(K170&lt;=تنظیمات_سیستم!$C$7,"🟠 کم","🟢 OK")))</f>
        <v>🟢 OK</v>
      </c>
    </row>
    <row r="171" spans="1:12" ht="19.5" customHeight="1">
      <c r="A171" s="1" t="str">
        <f t="shared" si="4"/>
        <v>SKU-0168</v>
      </c>
      <c r="B171" s="63" t="s">
        <v>885</v>
      </c>
      <c r="C171" t="s">
        <v>633</v>
      </c>
      <c r="D171" s="36" t="s">
        <v>64</v>
      </c>
      <c r="E171" s="36" t="s">
        <v>82</v>
      </c>
      <c r="F171" s="90" t="s">
        <v>66</v>
      </c>
      <c r="G171" s="7"/>
      <c r="H171" s="7">
        <v>2580000</v>
      </c>
      <c r="I171" s="8">
        <v>9</v>
      </c>
      <c r="J171" s="9">
        <f>IFERROR(SUMIF(لاگ_فاکتور!$I$3:$I$1622,A171,لاگ_فاکتور!$L$3:$L$1622),0)</f>
        <v>0</v>
      </c>
      <c r="K171" s="10">
        <f t="shared" si="5"/>
        <v>9</v>
      </c>
      <c r="L171" s="1" t="str">
        <f>IF(C171="","",IF(K171&lt;=0,"🔴 تمام",IF(K171&lt;=تنظیمات_سیستم!$C$7,"🟠 کم","🟢 OK")))</f>
        <v>🟢 OK</v>
      </c>
    </row>
    <row r="172" spans="1:12" ht="19.5" customHeight="1">
      <c r="A172" s="1" t="str">
        <f t="shared" si="4"/>
        <v>SKU-0169</v>
      </c>
      <c r="B172" s="63" t="s">
        <v>886</v>
      </c>
      <c r="C172" t="s">
        <v>634</v>
      </c>
      <c r="D172" s="36" t="s">
        <v>635</v>
      </c>
      <c r="E172" s="36" t="s">
        <v>65</v>
      </c>
      <c r="F172" s="90" t="s">
        <v>69</v>
      </c>
      <c r="G172" s="7"/>
      <c r="H172" s="7">
        <v>1280000</v>
      </c>
      <c r="I172" s="8">
        <v>9</v>
      </c>
      <c r="J172" s="9">
        <f>IFERROR(SUMIF(لاگ_فاکتور!$I$3:$I$1622,A172,لاگ_فاکتور!$L$3:$L$1622),0)</f>
        <v>0</v>
      </c>
      <c r="K172" s="10">
        <f t="shared" si="5"/>
        <v>9</v>
      </c>
      <c r="L172" s="1" t="str">
        <f>IF(C172="","",IF(K172&lt;=0,"🔴 تمام",IF(K172&lt;=تنظیمات_سیستم!$C$7,"🟠 کم","🟢 OK")))</f>
        <v>🟢 OK</v>
      </c>
    </row>
    <row r="173" spans="1:12" ht="19.5" customHeight="1">
      <c r="A173" s="1" t="str">
        <f t="shared" si="4"/>
        <v>SKU-0170</v>
      </c>
      <c r="B173" s="63" t="s">
        <v>887</v>
      </c>
      <c r="C173" t="s">
        <v>636</v>
      </c>
      <c r="D173" s="36" t="s">
        <v>635</v>
      </c>
      <c r="E173" s="36" t="s">
        <v>65</v>
      </c>
      <c r="F173" s="90" t="s">
        <v>69</v>
      </c>
      <c r="G173" s="7"/>
      <c r="H173" s="7">
        <v>1280000</v>
      </c>
      <c r="I173" s="8">
        <v>9</v>
      </c>
      <c r="J173" s="9">
        <f>IFERROR(SUMIF(لاگ_فاکتور!$I$3:$I$1622,A173,لاگ_فاکتور!$L$3:$L$1622),0)</f>
        <v>0</v>
      </c>
      <c r="K173" s="10">
        <f t="shared" si="5"/>
        <v>9</v>
      </c>
      <c r="L173" s="1" t="str">
        <f>IF(C173="","",IF(K173&lt;=0,"🔴 تمام",IF(K173&lt;=تنظیمات_سیستم!$C$7,"🟠 کم","🟢 OK")))</f>
        <v>🟢 OK</v>
      </c>
    </row>
    <row r="174" spans="1:12" ht="19.5" customHeight="1">
      <c r="A174" s="1" t="str">
        <f t="shared" si="4"/>
        <v>SKU-0171</v>
      </c>
      <c r="B174" s="63" t="s">
        <v>888</v>
      </c>
      <c r="C174" t="s">
        <v>637</v>
      </c>
      <c r="D174" s="36" t="s">
        <v>635</v>
      </c>
      <c r="E174" s="36" t="s">
        <v>65</v>
      </c>
      <c r="F174" s="90" t="s">
        <v>69</v>
      </c>
      <c r="G174" s="7"/>
      <c r="H174" s="7">
        <v>1280000</v>
      </c>
      <c r="I174" s="8">
        <v>9</v>
      </c>
      <c r="J174" s="9">
        <f>IFERROR(SUMIF(لاگ_فاکتور!$I$3:$I$1622,A174,لاگ_فاکتور!$L$3:$L$1622),0)</f>
        <v>0</v>
      </c>
      <c r="K174" s="10">
        <f t="shared" si="5"/>
        <v>9</v>
      </c>
      <c r="L174" s="1" t="str">
        <f>IF(C174="","",IF(K174&lt;=0,"🔴 تمام",IF(K174&lt;=تنظیمات_سیستم!$C$7,"🟠 کم","🟢 OK")))</f>
        <v>🟢 OK</v>
      </c>
    </row>
    <row r="175" spans="1:12" ht="19.5" customHeight="1">
      <c r="A175" s="1" t="str">
        <f t="shared" si="4"/>
        <v>SKU-0172</v>
      </c>
      <c r="B175" s="63" t="s">
        <v>889</v>
      </c>
      <c r="C175" t="s">
        <v>638</v>
      </c>
      <c r="D175" s="36" t="s">
        <v>635</v>
      </c>
      <c r="E175" s="36" t="s">
        <v>65</v>
      </c>
      <c r="F175" s="90" t="s">
        <v>69</v>
      </c>
      <c r="G175" s="7"/>
      <c r="H175" s="7">
        <v>1280000</v>
      </c>
      <c r="I175" s="8">
        <v>9</v>
      </c>
      <c r="J175" s="9">
        <f>IFERROR(SUMIF(لاگ_فاکتور!$I$3:$I$1622,A175,لاگ_فاکتور!$L$3:$L$1622),0)</f>
        <v>0</v>
      </c>
      <c r="K175" s="10">
        <f t="shared" si="5"/>
        <v>9</v>
      </c>
      <c r="L175" s="1" t="str">
        <f>IF(C175="","",IF(K175&lt;=0,"🔴 تمام",IF(K175&lt;=تنظیمات_سیستم!$C$7,"🟠 کم","🟢 OK")))</f>
        <v>🟢 OK</v>
      </c>
    </row>
    <row r="176" spans="1:12" ht="19.5" customHeight="1">
      <c r="A176" s="1" t="str">
        <f t="shared" si="4"/>
        <v>SKU-0173</v>
      </c>
      <c r="B176" s="63" t="s">
        <v>890</v>
      </c>
      <c r="C176" t="s">
        <v>639</v>
      </c>
      <c r="D176" s="36" t="s">
        <v>635</v>
      </c>
      <c r="E176" s="36" t="s">
        <v>65</v>
      </c>
      <c r="F176" s="90" t="s">
        <v>69</v>
      </c>
      <c r="G176" s="7"/>
      <c r="H176" s="7">
        <v>1280000</v>
      </c>
      <c r="I176" s="8">
        <v>9</v>
      </c>
      <c r="J176" s="9">
        <f>IFERROR(SUMIF(لاگ_فاکتور!$I$3:$I$1622,A176,لاگ_فاکتور!$L$3:$L$1622),0)</f>
        <v>0</v>
      </c>
      <c r="K176" s="10">
        <f t="shared" si="5"/>
        <v>9</v>
      </c>
      <c r="L176" s="1" t="str">
        <f>IF(C176="","",IF(K176&lt;=0,"🔴 تمام",IF(K176&lt;=تنظیمات_سیستم!$C$7,"🟠 کم","🟢 OK")))</f>
        <v>🟢 OK</v>
      </c>
    </row>
    <row r="177" spans="1:12" ht="19.5" customHeight="1">
      <c r="A177" s="1" t="str">
        <f t="shared" si="4"/>
        <v>SKU-0174</v>
      </c>
      <c r="B177" s="63" t="s">
        <v>891</v>
      </c>
      <c r="C177" t="s">
        <v>640</v>
      </c>
      <c r="D177" s="36" t="s">
        <v>635</v>
      </c>
      <c r="E177" s="36" t="s">
        <v>65</v>
      </c>
      <c r="F177" s="90" t="s">
        <v>69</v>
      </c>
      <c r="G177" s="7"/>
      <c r="H177" s="7">
        <v>1280000</v>
      </c>
      <c r="I177" s="8">
        <v>9</v>
      </c>
      <c r="J177" s="9">
        <f>IFERROR(SUMIF(لاگ_فاکتور!$I$3:$I$1622,A177,لاگ_فاکتور!$L$3:$L$1622),0)</f>
        <v>0</v>
      </c>
      <c r="K177" s="10">
        <f t="shared" si="5"/>
        <v>9</v>
      </c>
      <c r="L177" s="1" t="str">
        <f>IF(C177="","",IF(K177&lt;=0,"🔴 تمام",IF(K177&lt;=تنظیمات_سیستم!$C$7,"🟠 کم","🟢 OK")))</f>
        <v>🟢 OK</v>
      </c>
    </row>
    <row r="178" spans="1:12" ht="19.5" customHeight="1">
      <c r="A178" s="1" t="str">
        <f t="shared" si="4"/>
        <v>SKU-0175</v>
      </c>
      <c r="B178" s="63" t="s">
        <v>892</v>
      </c>
      <c r="C178" t="s">
        <v>641</v>
      </c>
      <c r="D178" s="36" t="s">
        <v>635</v>
      </c>
      <c r="E178" s="36" t="s">
        <v>65</v>
      </c>
      <c r="F178" s="90" t="s">
        <v>69</v>
      </c>
      <c r="G178" s="7"/>
      <c r="H178" s="7">
        <v>1280000</v>
      </c>
      <c r="I178" s="8">
        <v>9</v>
      </c>
      <c r="J178" s="9">
        <f>IFERROR(SUMIF(لاگ_فاکتور!$I$3:$I$1622,A178,لاگ_فاکتور!$L$3:$L$1622),0)</f>
        <v>0</v>
      </c>
      <c r="K178" s="10">
        <f t="shared" si="5"/>
        <v>9</v>
      </c>
      <c r="L178" s="1" t="str">
        <f>IF(C178="","",IF(K178&lt;=0,"🔴 تمام",IF(K178&lt;=تنظیمات_سیستم!$C$7,"🟠 کم","🟢 OK")))</f>
        <v>🟢 OK</v>
      </c>
    </row>
    <row r="179" spans="1:12" ht="19.5" customHeight="1">
      <c r="A179" s="1" t="str">
        <f t="shared" si="4"/>
        <v>SKU-0176</v>
      </c>
      <c r="B179" s="63" t="s">
        <v>893</v>
      </c>
      <c r="C179" t="s">
        <v>642</v>
      </c>
      <c r="D179" s="36" t="s">
        <v>635</v>
      </c>
      <c r="E179" s="36" t="s">
        <v>65</v>
      </c>
      <c r="F179" s="90" t="s">
        <v>69</v>
      </c>
      <c r="G179" s="7"/>
      <c r="H179" s="7">
        <v>1280000</v>
      </c>
      <c r="I179" s="8">
        <v>9</v>
      </c>
      <c r="J179" s="9">
        <f>IFERROR(SUMIF(لاگ_فاکتور!$I$3:$I$1622,A179,لاگ_فاکتور!$L$3:$L$1622),0)</f>
        <v>0</v>
      </c>
      <c r="K179" s="10">
        <f t="shared" si="5"/>
        <v>9</v>
      </c>
      <c r="L179" s="1" t="str">
        <f>IF(C179="","",IF(K179&lt;=0,"🔴 تمام",IF(K179&lt;=تنظیمات_سیستم!$C$7,"🟠 کم","🟢 OK")))</f>
        <v>🟢 OK</v>
      </c>
    </row>
    <row r="180" spans="1:12" ht="19.5" customHeight="1">
      <c r="A180" s="1" t="str">
        <f t="shared" si="4"/>
        <v>SKU-0177</v>
      </c>
      <c r="B180" s="63" t="s">
        <v>894</v>
      </c>
      <c r="C180" t="s">
        <v>643</v>
      </c>
      <c r="D180" s="36" t="s">
        <v>581</v>
      </c>
      <c r="E180" s="36" t="s">
        <v>644</v>
      </c>
      <c r="F180" s="90" t="s">
        <v>69</v>
      </c>
      <c r="G180" s="7"/>
      <c r="H180" s="7">
        <v>1180000</v>
      </c>
      <c r="I180" s="8">
        <v>9</v>
      </c>
      <c r="J180" s="9">
        <f>IFERROR(SUMIF(لاگ_فاکتور!$I$3:$I$1622,A180,لاگ_فاکتور!$L$3:$L$1622),0)</f>
        <v>0</v>
      </c>
      <c r="K180" s="10">
        <f t="shared" si="5"/>
        <v>9</v>
      </c>
      <c r="L180" s="1" t="str">
        <f>IF(C180="","",IF(K180&lt;=0,"🔴 تمام",IF(K180&lt;=تنظیمات_سیستم!$C$7,"🟠 کم","🟢 OK")))</f>
        <v>🟢 OK</v>
      </c>
    </row>
    <row r="181" spans="1:12" ht="19.5" customHeight="1">
      <c r="A181" s="1" t="str">
        <f t="shared" si="4"/>
        <v>SKU-0178</v>
      </c>
      <c r="B181" s="63" t="s">
        <v>895</v>
      </c>
      <c r="C181" t="s">
        <v>645</v>
      </c>
      <c r="D181" s="36" t="s">
        <v>581</v>
      </c>
      <c r="E181" s="36" t="s">
        <v>644</v>
      </c>
      <c r="F181" s="90" t="s">
        <v>69</v>
      </c>
      <c r="G181" s="7"/>
      <c r="H181" s="7">
        <v>1180000</v>
      </c>
      <c r="I181" s="8">
        <v>9</v>
      </c>
      <c r="J181" s="9">
        <f>IFERROR(SUMIF(لاگ_فاکتور!$I$3:$I$1622,A181,لاگ_فاکتور!$L$3:$L$1622),0)</f>
        <v>0</v>
      </c>
      <c r="K181" s="10">
        <f t="shared" si="5"/>
        <v>9</v>
      </c>
      <c r="L181" s="1" t="str">
        <f>IF(C181="","",IF(K181&lt;=0,"🔴 تمام",IF(K181&lt;=تنظیمات_سیستم!$C$7,"🟠 کم","🟢 OK")))</f>
        <v>🟢 OK</v>
      </c>
    </row>
    <row r="182" spans="1:12" ht="19.5" customHeight="1">
      <c r="A182" s="1" t="str">
        <f t="shared" si="4"/>
        <v>SKU-0179</v>
      </c>
      <c r="B182" s="63" t="s">
        <v>896</v>
      </c>
      <c r="C182" t="s">
        <v>1457</v>
      </c>
      <c r="D182" s="36" t="s">
        <v>581</v>
      </c>
      <c r="E182" s="36" t="s">
        <v>644</v>
      </c>
      <c r="F182" s="90" t="s">
        <v>69</v>
      </c>
      <c r="G182" s="7"/>
      <c r="H182" s="7">
        <v>3180000</v>
      </c>
      <c r="I182" s="8">
        <v>9</v>
      </c>
      <c r="J182" s="9">
        <f>IFERROR(SUMIF(لاگ_فاکتور!$I$3:$I$1622,A182,لاگ_فاکتور!$L$3:$L$1622),0)</f>
        <v>0</v>
      </c>
      <c r="K182" s="10">
        <f t="shared" si="5"/>
        <v>9</v>
      </c>
      <c r="L182" s="1" t="str">
        <f>IF(C182="","",IF(K182&lt;=0,"🔴 تمام",IF(K182&lt;=تنظیمات_سیستم!$C$7,"🟠 کم","🟢 OK")))</f>
        <v>🟢 OK</v>
      </c>
    </row>
    <row r="183" spans="1:12" ht="19.5" customHeight="1">
      <c r="A183" s="1" t="str">
        <f t="shared" si="4"/>
        <v>SKU-0180</v>
      </c>
      <c r="B183" s="63" t="s">
        <v>897</v>
      </c>
      <c r="C183" t="s">
        <v>1454</v>
      </c>
      <c r="D183" s="36" t="s">
        <v>581</v>
      </c>
      <c r="E183" s="36" t="s">
        <v>644</v>
      </c>
      <c r="F183" s="90" t="s">
        <v>69</v>
      </c>
      <c r="G183" s="7"/>
      <c r="H183" s="7">
        <v>928000</v>
      </c>
      <c r="I183" s="8">
        <v>9</v>
      </c>
      <c r="J183" s="9">
        <f>IFERROR(SUMIF(لاگ_فاکتور!$I$3:$I$1622,A183,لاگ_فاکتور!$L$3:$L$1622),0)</f>
        <v>0</v>
      </c>
      <c r="K183" s="10">
        <f t="shared" si="5"/>
        <v>9</v>
      </c>
      <c r="L183" s="1" t="str">
        <f>IF(C183="","",IF(K183&lt;=0,"🔴 تمام",IF(K183&lt;=تنظیمات_سیستم!$C$7,"🟠 کم","🟢 OK")))</f>
        <v>🟢 OK</v>
      </c>
    </row>
    <row r="184" spans="1:12" ht="19.5" customHeight="1">
      <c r="A184" s="1" t="str">
        <f t="shared" si="4"/>
        <v>SKU-0181</v>
      </c>
      <c r="B184" s="63" t="s">
        <v>898</v>
      </c>
      <c r="C184" t="s">
        <v>648</v>
      </c>
      <c r="D184" s="36" t="s">
        <v>581</v>
      </c>
      <c r="E184" s="36" t="s">
        <v>644</v>
      </c>
      <c r="F184" s="90" t="s">
        <v>69</v>
      </c>
      <c r="G184" s="7"/>
      <c r="H184" s="7">
        <v>1180000</v>
      </c>
      <c r="I184" s="8">
        <v>9</v>
      </c>
      <c r="J184" s="9">
        <f>IFERROR(SUMIF(لاگ_فاکتور!$I$3:$I$1622,A184,لاگ_فاکتور!$L$3:$L$1622),0)</f>
        <v>0</v>
      </c>
      <c r="K184" s="10">
        <f t="shared" si="5"/>
        <v>9</v>
      </c>
      <c r="L184" s="1" t="str">
        <f>IF(C184="","",IF(K184&lt;=0,"🔴 تمام",IF(K184&lt;=تنظیمات_سیستم!$C$7,"🟠 کم","🟢 OK")))</f>
        <v>🟢 OK</v>
      </c>
    </row>
    <row r="185" spans="1:12" ht="19.5" customHeight="1">
      <c r="A185" s="1" t="str">
        <f t="shared" si="4"/>
        <v>SKU-0182</v>
      </c>
      <c r="B185" s="63" t="s">
        <v>899</v>
      </c>
      <c r="C185" t="s">
        <v>649</v>
      </c>
      <c r="D185" s="36" t="s">
        <v>581</v>
      </c>
      <c r="E185" s="36" t="s">
        <v>644</v>
      </c>
      <c r="F185" s="90" t="s">
        <v>69</v>
      </c>
      <c r="G185" s="7"/>
      <c r="H185" s="7">
        <v>1180000</v>
      </c>
      <c r="I185" s="8">
        <v>9</v>
      </c>
      <c r="J185" s="9">
        <f>IFERROR(SUMIF(لاگ_فاکتور!$I$3:$I$1622,A185,لاگ_فاکتور!$L$3:$L$1622),0)</f>
        <v>0</v>
      </c>
      <c r="K185" s="10">
        <f t="shared" si="5"/>
        <v>9</v>
      </c>
      <c r="L185" s="1" t="str">
        <f>IF(C185="","",IF(K185&lt;=0,"🔴 تمام",IF(K185&lt;=تنظیمات_سیستم!$C$7,"🟠 کم","🟢 OK")))</f>
        <v>🟢 OK</v>
      </c>
    </row>
    <row r="186" spans="1:12" ht="19.5" customHeight="1">
      <c r="A186" s="1" t="str">
        <f t="shared" si="4"/>
        <v>SKU-0183</v>
      </c>
      <c r="B186" s="63" t="s">
        <v>900</v>
      </c>
      <c r="C186" t="s">
        <v>650</v>
      </c>
      <c r="D186" s="36" t="s">
        <v>578</v>
      </c>
      <c r="E186" s="36" t="s">
        <v>68</v>
      </c>
      <c r="F186" s="90" t="s">
        <v>72</v>
      </c>
      <c r="G186" s="7"/>
      <c r="H186" s="7">
        <v>3200000</v>
      </c>
      <c r="I186" s="8">
        <v>9</v>
      </c>
      <c r="J186" s="9">
        <f>IFERROR(SUMIF(لاگ_فاکتور!$I$3:$I$1622,A186,لاگ_فاکتور!$L$3:$L$1622),0)</f>
        <v>0</v>
      </c>
      <c r="K186" s="10">
        <f t="shared" si="5"/>
        <v>9</v>
      </c>
      <c r="L186" s="1" t="str">
        <f>IF(C186="","",IF(K186&lt;=0,"🔴 تمام",IF(K186&lt;=تنظیمات_سیستم!$C$7,"🟠 کم","🟢 OK")))</f>
        <v>🟢 OK</v>
      </c>
    </row>
    <row r="187" spans="1:12" ht="19.5" customHeight="1">
      <c r="A187" s="1" t="str">
        <f t="shared" si="4"/>
        <v>SKU-0184</v>
      </c>
      <c r="B187" s="63" t="s">
        <v>901</v>
      </c>
      <c r="C187" t="s">
        <v>651</v>
      </c>
      <c r="D187" s="36" t="s">
        <v>578</v>
      </c>
      <c r="E187" s="36" t="s">
        <v>68</v>
      </c>
      <c r="F187" s="90" t="s">
        <v>72</v>
      </c>
      <c r="G187" s="7"/>
      <c r="H187" s="7">
        <v>3200000</v>
      </c>
      <c r="I187" s="8">
        <v>9</v>
      </c>
      <c r="J187" s="9">
        <f>IFERROR(SUMIF(لاگ_فاکتور!$I$3:$I$1622,A187,لاگ_فاکتور!$L$3:$L$1622),0)</f>
        <v>0</v>
      </c>
      <c r="K187" s="10">
        <f t="shared" si="5"/>
        <v>9</v>
      </c>
      <c r="L187" s="1" t="str">
        <f>IF(C187="","",IF(K187&lt;=0,"🔴 تمام",IF(K187&lt;=تنظیمات_سیستم!$C$7,"🟠 کم","🟢 OK")))</f>
        <v>🟢 OK</v>
      </c>
    </row>
    <row r="188" spans="1:12" ht="19.5" customHeight="1">
      <c r="A188" s="1" t="str">
        <f t="shared" si="4"/>
        <v>SKU-0185</v>
      </c>
      <c r="B188" s="63" t="s">
        <v>902</v>
      </c>
      <c r="C188" t="s">
        <v>652</v>
      </c>
      <c r="D188" s="36" t="s">
        <v>578</v>
      </c>
      <c r="E188" s="36" t="s">
        <v>68</v>
      </c>
      <c r="F188" s="90" t="s">
        <v>72</v>
      </c>
      <c r="G188" s="7"/>
      <c r="H188" s="7"/>
      <c r="I188" s="8">
        <v>9</v>
      </c>
      <c r="J188" s="9">
        <f>IFERROR(SUMIF(لاگ_فاکتور!$I$3:$I$1622,A188,لاگ_فاکتور!$L$3:$L$1622),0)</f>
        <v>0</v>
      </c>
      <c r="K188" s="10">
        <f t="shared" si="5"/>
        <v>9</v>
      </c>
      <c r="L188" s="1" t="str">
        <f>IF(C188="","",IF(K188&lt;=0,"🔴 تمام",IF(K188&lt;=تنظیمات_سیستم!$C$7,"🟠 کم","🟢 OK")))</f>
        <v>🟢 OK</v>
      </c>
    </row>
    <row r="189" spans="1:12" ht="19.5" customHeight="1">
      <c r="A189" s="1" t="str">
        <f t="shared" si="4"/>
        <v>SKU-0186</v>
      </c>
      <c r="B189" s="63" t="s">
        <v>903</v>
      </c>
      <c r="C189" t="s">
        <v>653</v>
      </c>
      <c r="D189" s="36" t="s">
        <v>578</v>
      </c>
      <c r="E189" s="36" t="s">
        <v>68</v>
      </c>
      <c r="F189" s="90" t="s">
        <v>72</v>
      </c>
      <c r="G189" s="7"/>
      <c r="H189" s="7">
        <v>2600000</v>
      </c>
      <c r="I189" s="8">
        <v>9</v>
      </c>
      <c r="J189" s="9">
        <f>IFERROR(SUMIF(لاگ_فاکتور!$I$3:$I$1622,A189,لاگ_فاکتور!$L$3:$L$1622),0)</f>
        <v>0</v>
      </c>
      <c r="K189" s="10">
        <f t="shared" si="5"/>
        <v>9</v>
      </c>
      <c r="L189" s="1" t="str">
        <f>IF(C189="","",IF(K189&lt;=0,"🔴 تمام",IF(K189&lt;=تنظیمات_سیستم!$C$7,"🟠 کم","🟢 OK")))</f>
        <v>🟢 OK</v>
      </c>
    </row>
    <row r="190" spans="1:12" ht="19.5" customHeight="1">
      <c r="A190" s="1" t="str">
        <f t="shared" si="4"/>
        <v>SKU-0187</v>
      </c>
      <c r="B190" s="63" t="s">
        <v>904</v>
      </c>
      <c r="C190" t="s">
        <v>654</v>
      </c>
      <c r="D190" s="36" t="s">
        <v>64</v>
      </c>
      <c r="E190" s="36" t="s">
        <v>68</v>
      </c>
      <c r="F190" s="90" t="s">
        <v>72</v>
      </c>
      <c r="G190" s="7"/>
      <c r="H190" s="7">
        <v>1100000</v>
      </c>
      <c r="I190" s="8">
        <v>9</v>
      </c>
      <c r="J190" s="9">
        <f>IFERROR(SUMIF(لاگ_فاکتور!$I$3:$I$1622,A190,لاگ_فاکتور!$L$3:$L$1622),0)</f>
        <v>0</v>
      </c>
      <c r="K190" s="10">
        <f t="shared" si="5"/>
        <v>9</v>
      </c>
      <c r="L190" s="1" t="str">
        <f>IF(C190="","",IF(K190&lt;=0,"🔴 تمام",IF(K190&lt;=تنظیمات_سیستم!$C$7,"🟠 کم","🟢 OK")))</f>
        <v>🟢 OK</v>
      </c>
    </row>
    <row r="191" spans="1:12" ht="19.5" customHeight="1">
      <c r="A191" s="1" t="str">
        <f t="shared" si="4"/>
        <v>SKU-0188</v>
      </c>
      <c r="B191" s="63" t="s">
        <v>905</v>
      </c>
      <c r="C191" t="s">
        <v>655</v>
      </c>
      <c r="D191" s="36" t="s">
        <v>64</v>
      </c>
      <c r="E191" s="36" t="s">
        <v>68</v>
      </c>
      <c r="F191" s="90" t="s">
        <v>72</v>
      </c>
      <c r="G191" s="7"/>
      <c r="H191" s="7">
        <v>1180000</v>
      </c>
      <c r="I191" s="8">
        <v>9</v>
      </c>
      <c r="J191" s="9">
        <f>IFERROR(SUMIF(لاگ_فاکتور!$I$3:$I$1622,A191,لاگ_فاکتور!$L$3:$L$1622),0)</f>
        <v>0</v>
      </c>
      <c r="K191" s="10">
        <f t="shared" si="5"/>
        <v>9</v>
      </c>
      <c r="L191" s="1" t="str">
        <f>IF(C191="","",IF(K191&lt;=0,"🔴 تمام",IF(K191&lt;=تنظیمات_سیستم!$C$7,"🟠 کم","🟢 OK")))</f>
        <v>🟢 OK</v>
      </c>
    </row>
    <row r="192" spans="1:12" ht="19.5" customHeight="1">
      <c r="A192" s="1" t="str">
        <f t="shared" si="4"/>
        <v>SKU-0189</v>
      </c>
      <c r="B192" s="63" t="s">
        <v>906</v>
      </c>
      <c r="C192" t="s">
        <v>656</v>
      </c>
      <c r="D192" s="36" t="s">
        <v>64</v>
      </c>
      <c r="E192" s="36" t="s">
        <v>68</v>
      </c>
      <c r="F192" s="90" t="s">
        <v>72</v>
      </c>
      <c r="G192" s="7"/>
      <c r="H192" s="7">
        <v>1100000</v>
      </c>
      <c r="I192" s="8">
        <v>9</v>
      </c>
      <c r="J192" s="9">
        <f>IFERROR(SUMIF(لاگ_فاکتور!$I$3:$I$1622,A192,لاگ_فاکتور!$L$3:$L$1622),0)</f>
        <v>0</v>
      </c>
      <c r="K192" s="10">
        <f t="shared" si="5"/>
        <v>9</v>
      </c>
      <c r="L192" s="1" t="str">
        <f>IF(C192="","",IF(K192&lt;=0,"🔴 تمام",IF(K192&lt;=تنظیمات_سیستم!$C$7,"🟠 کم","🟢 OK")))</f>
        <v>🟢 OK</v>
      </c>
    </row>
    <row r="193" spans="1:12" ht="19.5" customHeight="1">
      <c r="A193" s="1" t="str">
        <f t="shared" si="4"/>
        <v>SKU-0190</v>
      </c>
      <c r="B193" s="63" t="s">
        <v>907</v>
      </c>
      <c r="C193" t="s">
        <v>657</v>
      </c>
      <c r="D193" s="36" t="s">
        <v>70</v>
      </c>
      <c r="E193" s="36" t="s">
        <v>68</v>
      </c>
      <c r="F193" s="90" t="s">
        <v>72</v>
      </c>
      <c r="G193" s="7"/>
      <c r="H193" s="7">
        <v>2650000</v>
      </c>
      <c r="I193" s="8">
        <v>9</v>
      </c>
      <c r="J193" s="9">
        <f>IFERROR(SUMIF(لاگ_فاکتور!$I$3:$I$1622,A193,لاگ_فاکتور!$L$3:$L$1622),0)</f>
        <v>0</v>
      </c>
      <c r="K193" s="10">
        <f t="shared" si="5"/>
        <v>9</v>
      </c>
      <c r="L193" s="1" t="str">
        <f>IF(C193="","",IF(K193&lt;=0,"🔴 تمام",IF(K193&lt;=تنظیمات_سیستم!$C$7,"🟠 کم","🟢 OK")))</f>
        <v>🟢 OK</v>
      </c>
    </row>
    <row r="194" spans="1:12" ht="19.5" customHeight="1">
      <c r="A194" s="1" t="str">
        <f t="shared" si="4"/>
        <v>SKU-0191</v>
      </c>
      <c r="B194" s="63" t="s">
        <v>908</v>
      </c>
      <c r="C194" t="s">
        <v>658</v>
      </c>
      <c r="D194" s="36" t="s">
        <v>70</v>
      </c>
      <c r="E194" s="36" t="s">
        <v>68</v>
      </c>
      <c r="F194" s="90" t="s">
        <v>72</v>
      </c>
      <c r="G194" s="7"/>
      <c r="H194" s="7">
        <v>2650000</v>
      </c>
      <c r="I194" s="8">
        <v>9</v>
      </c>
      <c r="J194" s="9">
        <f>IFERROR(SUMIF(لاگ_فاکتور!$I$3:$I$1622,A194,لاگ_فاکتور!$L$3:$L$1622),0)</f>
        <v>0</v>
      </c>
      <c r="K194" s="10">
        <f t="shared" si="5"/>
        <v>9</v>
      </c>
      <c r="L194" s="1" t="str">
        <f>IF(C194="","",IF(K194&lt;=0,"🔴 تمام",IF(K194&lt;=تنظیمات_سیستم!$C$7,"🟠 کم","🟢 OK")))</f>
        <v>🟢 OK</v>
      </c>
    </row>
    <row r="195" spans="1:12" ht="19.5" customHeight="1">
      <c r="A195" s="1" t="str">
        <f t="shared" si="4"/>
        <v>SKU-0192</v>
      </c>
      <c r="B195" s="63" t="s">
        <v>909</v>
      </c>
      <c r="C195" t="s">
        <v>659</v>
      </c>
      <c r="D195" s="36" t="s">
        <v>70</v>
      </c>
      <c r="E195" s="36" t="s">
        <v>68</v>
      </c>
      <c r="F195" s="90" t="s">
        <v>72</v>
      </c>
      <c r="G195" s="7"/>
      <c r="H195" s="7">
        <v>2650000</v>
      </c>
      <c r="I195" s="8">
        <v>9</v>
      </c>
      <c r="J195" s="9">
        <f>IFERROR(SUMIF(لاگ_فاکتور!$I$3:$I$1622,A195,لاگ_فاکتور!$L$3:$L$1622),0)</f>
        <v>0</v>
      </c>
      <c r="K195" s="10">
        <f t="shared" si="5"/>
        <v>9</v>
      </c>
      <c r="L195" s="1" t="str">
        <f>IF(C195="","",IF(K195&lt;=0,"🔴 تمام",IF(K195&lt;=تنظیمات_سیستم!$C$7,"🟠 کم","🟢 OK")))</f>
        <v>🟢 OK</v>
      </c>
    </row>
    <row r="196" spans="1:12" ht="19.5" customHeight="1">
      <c r="A196" s="1" t="str">
        <f t="shared" ref="A196:A259" si="6">IF(C196="","","SKU-"&amp;TEXT(ROW()-3,"0000"))</f>
        <v>SKU-0193</v>
      </c>
      <c r="B196" s="63" t="s">
        <v>910</v>
      </c>
      <c r="C196" t="s">
        <v>660</v>
      </c>
      <c r="D196" s="36" t="s">
        <v>70</v>
      </c>
      <c r="E196" s="36" t="s">
        <v>68</v>
      </c>
      <c r="F196" s="90" t="s">
        <v>72</v>
      </c>
      <c r="G196" s="7"/>
      <c r="H196" s="7">
        <v>2650000</v>
      </c>
      <c r="I196" s="8">
        <v>9</v>
      </c>
      <c r="J196" s="9">
        <f>IFERROR(SUMIF(لاگ_فاکتور!$I$3:$I$1622,A196,لاگ_فاکتور!$L$3:$L$1622),0)</f>
        <v>0</v>
      </c>
      <c r="K196" s="10">
        <f t="shared" ref="K196:K259" si="7">MAX(0,I196-J196)</f>
        <v>9</v>
      </c>
      <c r="L196" s="1" t="str">
        <f>IF(C196="","",IF(K196&lt;=0,"🔴 تمام",IF(K196&lt;=تنظیمات_سیستم!$C$7,"🟠 کم","🟢 OK")))</f>
        <v>🟢 OK</v>
      </c>
    </row>
    <row r="197" spans="1:12" ht="19.5" customHeight="1">
      <c r="A197" s="1" t="str">
        <f t="shared" si="6"/>
        <v>SKU-0194</v>
      </c>
      <c r="B197" s="63" t="s">
        <v>911</v>
      </c>
      <c r="C197" t="s">
        <v>661</v>
      </c>
      <c r="D197" s="36" t="s">
        <v>70</v>
      </c>
      <c r="E197" s="36" t="s">
        <v>78</v>
      </c>
      <c r="F197" s="90" t="s">
        <v>72</v>
      </c>
      <c r="G197" s="7"/>
      <c r="H197" s="7">
        <v>1800000</v>
      </c>
      <c r="I197" s="8">
        <v>9</v>
      </c>
      <c r="J197" s="9">
        <f>IFERROR(SUMIF(لاگ_فاکتور!$I$3:$I$1622,A197,لاگ_فاکتور!$L$3:$L$1622),0)</f>
        <v>0</v>
      </c>
      <c r="K197" s="10">
        <f t="shared" si="7"/>
        <v>9</v>
      </c>
      <c r="L197" s="1" t="str">
        <f>IF(C197="","",IF(K197&lt;=0,"🔴 تمام",IF(K197&lt;=تنظیمات_سیستم!$C$7,"🟠 کم","🟢 OK")))</f>
        <v>🟢 OK</v>
      </c>
    </row>
    <row r="198" spans="1:12" ht="19.5" customHeight="1">
      <c r="A198" s="1" t="str">
        <f t="shared" si="6"/>
        <v>SKU-0195</v>
      </c>
      <c r="B198" s="63" t="s">
        <v>912</v>
      </c>
      <c r="C198" t="s">
        <v>662</v>
      </c>
      <c r="D198" s="36" t="s">
        <v>70</v>
      </c>
      <c r="E198" s="36" t="s">
        <v>78</v>
      </c>
      <c r="F198" s="90" t="s">
        <v>72</v>
      </c>
      <c r="G198" s="7"/>
      <c r="H198" s="7">
        <v>1800000</v>
      </c>
      <c r="I198" s="8">
        <v>9</v>
      </c>
      <c r="J198" s="9">
        <f>IFERROR(SUMIF(لاگ_فاکتور!$I$3:$I$1622,A198,لاگ_فاکتور!$L$3:$L$1622),0)</f>
        <v>0</v>
      </c>
      <c r="K198" s="10">
        <f t="shared" si="7"/>
        <v>9</v>
      </c>
      <c r="L198" s="1" t="str">
        <f>IF(C198="","",IF(K198&lt;=0,"🔴 تمام",IF(K198&lt;=تنظیمات_سیستم!$C$7,"🟠 کم","🟢 OK")))</f>
        <v>🟢 OK</v>
      </c>
    </row>
    <row r="199" spans="1:12" ht="19.5" customHeight="1">
      <c r="A199" s="1" t="str">
        <f t="shared" si="6"/>
        <v>SKU-0196</v>
      </c>
      <c r="B199" s="63" t="s">
        <v>913</v>
      </c>
      <c r="C199" t="s">
        <v>663</v>
      </c>
      <c r="D199" s="36" t="s">
        <v>581</v>
      </c>
      <c r="E199" s="36" t="s">
        <v>82</v>
      </c>
      <c r="F199" s="90" t="s">
        <v>66</v>
      </c>
      <c r="G199" s="7"/>
      <c r="H199" s="7">
        <v>1200000</v>
      </c>
      <c r="I199" s="8">
        <v>9</v>
      </c>
      <c r="J199" s="9">
        <f>IFERROR(SUMIF(لاگ_فاکتور!$I$3:$I$1622,A199,لاگ_فاکتور!$L$3:$L$1622),0)</f>
        <v>0</v>
      </c>
      <c r="K199" s="10">
        <f t="shared" si="7"/>
        <v>9</v>
      </c>
      <c r="L199" s="1" t="str">
        <f>IF(C199="","",IF(K199&lt;=0,"🔴 تمام",IF(K199&lt;=تنظیمات_سیستم!$C$7,"🟠 کم","🟢 OK")))</f>
        <v>🟢 OK</v>
      </c>
    </row>
    <row r="200" spans="1:12" ht="19.5" customHeight="1">
      <c r="A200" s="1" t="str">
        <f t="shared" si="6"/>
        <v>SKU-0197</v>
      </c>
      <c r="B200" s="63" t="s">
        <v>914</v>
      </c>
      <c r="C200" t="s">
        <v>664</v>
      </c>
      <c r="D200" s="36" t="s">
        <v>581</v>
      </c>
      <c r="E200" s="36" t="s">
        <v>82</v>
      </c>
      <c r="F200" s="90" t="s">
        <v>66</v>
      </c>
      <c r="G200" s="7"/>
      <c r="H200" s="7">
        <v>1200000</v>
      </c>
      <c r="I200" s="8">
        <v>9</v>
      </c>
      <c r="J200" s="9">
        <f>IFERROR(SUMIF(لاگ_فاکتور!$I$3:$I$1622,A200,لاگ_فاکتور!$L$3:$L$1622),0)</f>
        <v>0</v>
      </c>
      <c r="K200" s="10">
        <f t="shared" si="7"/>
        <v>9</v>
      </c>
      <c r="L200" s="1" t="str">
        <f>IF(C200="","",IF(K200&lt;=0,"🔴 تمام",IF(K200&lt;=تنظیمات_سیستم!$C$7,"🟠 کم","🟢 OK")))</f>
        <v>🟢 OK</v>
      </c>
    </row>
    <row r="201" spans="1:12" ht="19.5" customHeight="1">
      <c r="A201" s="1" t="str">
        <f t="shared" si="6"/>
        <v>SKU-0198</v>
      </c>
      <c r="B201" s="63" t="s">
        <v>915</v>
      </c>
      <c r="C201" t="s">
        <v>665</v>
      </c>
      <c r="D201" s="36" t="s">
        <v>581</v>
      </c>
      <c r="E201" s="36" t="s">
        <v>82</v>
      </c>
      <c r="F201" s="90" t="s">
        <v>66</v>
      </c>
      <c r="G201" s="7"/>
      <c r="H201" s="7">
        <v>1200000</v>
      </c>
      <c r="I201" s="8">
        <v>9</v>
      </c>
      <c r="J201" s="9">
        <f>IFERROR(SUMIF(لاگ_فاکتور!$I$3:$I$1622,A201,لاگ_فاکتور!$L$3:$L$1622),0)</f>
        <v>0</v>
      </c>
      <c r="K201" s="10">
        <f t="shared" si="7"/>
        <v>9</v>
      </c>
      <c r="L201" s="1" t="str">
        <f>IF(C201="","",IF(K201&lt;=0,"🔴 تمام",IF(K201&lt;=تنظیمات_سیستم!$C$7,"🟠 کم","🟢 OK")))</f>
        <v>🟢 OK</v>
      </c>
    </row>
    <row r="202" spans="1:12" ht="19.5" customHeight="1">
      <c r="A202" s="1" t="str">
        <f t="shared" si="6"/>
        <v>SKU-0199</v>
      </c>
      <c r="B202" s="63" t="s">
        <v>916</v>
      </c>
      <c r="C202" t="s">
        <v>666</v>
      </c>
      <c r="D202" s="36" t="s">
        <v>581</v>
      </c>
      <c r="E202" s="36" t="s">
        <v>82</v>
      </c>
      <c r="F202" s="90" t="s">
        <v>66</v>
      </c>
      <c r="G202" s="7"/>
      <c r="H202" s="7">
        <v>1200000</v>
      </c>
      <c r="I202" s="8">
        <v>9</v>
      </c>
      <c r="J202" s="9">
        <f>IFERROR(SUMIF(لاگ_فاکتور!$I$3:$I$1622,A202,لاگ_فاکتور!$L$3:$L$1622),0)</f>
        <v>0</v>
      </c>
      <c r="K202" s="10">
        <f t="shared" si="7"/>
        <v>9</v>
      </c>
      <c r="L202" s="1" t="str">
        <f>IF(C202="","",IF(K202&lt;=0,"🔴 تمام",IF(K202&lt;=تنظیمات_سیستم!$C$7,"🟠 کم","🟢 OK")))</f>
        <v>🟢 OK</v>
      </c>
    </row>
    <row r="203" spans="1:12" ht="19.5" customHeight="1">
      <c r="A203" s="1" t="str">
        <f t="shared" si="6"/>
        <v>SKU-0200</v>
      </c>
      <c r="B203" s="63" t="s">
        <v>917</v>
      </c>
      <c r="C203" t="s">
        <v>667</v>
      </c>
      <c r="D203" s="36" t="s">
        <v>581</v>
      </c>
      <c r="E203" s="36" t="s">
        <v>82</v>
      </c>
      <c r="F203" s="90" t="s">
        <v>66</v>
      </c>
      <c r="G203" s="7"/>
      <c r="H203" s="7">
        <v>1200000</v>
      </c>
      <c r="I203" s="8">
        <v>9</v>
      </c>
      <c r="J203" s="9">
        <f>IFERROR(SUMIF(لاگ_فاکتور!$I$3:$I$1622,A203,لاگ_فاکتور!$L$3:$L$1622),0)</f>
        <v>0</v>
      </c>
      <c r="K203" s="10">
        <f t="shared" si="7"/>
        <v>9</v>
      </c>
      <c r="L203" s="1" t="str">
        <f>IF(C203="","",IF(K203&lt;=0,"🔴 تمام",IF(K203&lt;=تنظیمات_سیستم!$C$7,"🟠 کم","🟢 OK")))</f>
        <v>🟢 OK</v>
      </c>
    </row>
    <row r="204" spans="1:12" ht="19.5" customHeight="1">
      <c r="A204" s="1" t="str">
        <f t="shared" si="6"/>
        <v>SKU-0201</v>
      </c>
      <c r="B204" s="63" t="s">
        <v>918</v>
      </c>
      <c r="C204" t="s">
        <v>668</v>
      </c>
      <c r="D204" s="36" t="s">
        <v>581</v>
      </c>
      <c r="E204" s="36" t="s">
        <v>82</v>
      </c>
      <c r="F204" s="90" t="s">
        <v>66</v>
      </c>
      <c r="G204" s="7"/>
      <c r="H204" s="7">
        <v>1200000</v>
      </c>
      <c r="I204" s="8">
        <v>9</v>
      </c>
      <c r="J204" s="9">
        <f>IFERROR(SUMIF(لاگ_فاکتور!$I$3:$I$1622,A204,لاگ_فاکتور!$L$3:$L$1622),0)</f>
        <v>0</v>
      </c>
      <c r="K204" s="10">
        <f t="shared" si="7"/>
        <v>9</v>
      </c>
      <c r="L204" s="1" t="str">
        <f>IF(C204="","",IF(K204&lt;=0,"🔴 تمام",IF(K204&lt;=تنظیمات_سیستم!$C$7,"🟠 کم","🟢 OK")))</f>
        <v>🟢 OK</v>
      </c>
    </row>
    <row r="205" spans="1:12" ht="19.5" customHeight="1">
      <c r="A205" s="1" t="str">
        <f t="shared" si="6"/>
        <v>SKU-0202</v>
      </c>
      <c r="B205" s="63" t="s">
        <v>919</v>
      </c>
      <c r="C205" t="s">
        <v>669</v>
      </c>
      <c r="D205" s="36" t="s">
        <v>73</v>
      </c>
      <c r="E205" s="36" t="s">
        <v>78</v>
      </c>
      <c r="F205" s="90" t="s">
        <v>66</v>
      </c>
      <c r="G205" s="7"/>
      <c r="H205" s="7">
        <v>1680000</v>
      </c>
      <c r="I205" s="8">
        <v>9</v>
      </c>
      <c r="J205" s="9">
        <f>IFERROR(SUMIF(لاگ_فاکتور!$I$3:$I$1622,A205,لاگ_فاکتور!$L$3:$L$1622),0)</f>
        <v>0</v>
      </c>
      <c r="K205" s="10">
        <f t="shared" si="7"/>
        <v>9</v>
      </c>
      <c r="L205" s="1" t="str">
        <f>IF(C205="","",IF(K205&lt;=0,"🔴 تمام",IF(K205&lt;=تنظیمات_سیستم!$C$7,"🟠 کم","🟢 OK")))</f>
        <v>🟢 OK</v>
      </c>
    </row>
    <row r="206" spans="1:12" ht="19.5" customHeight="1">
      <c r="A206" s="1" t="str">
        <f t="shared" si="6"/>
        <v>SKU-0203</v>
      </c>
      <c r="B206" s="63" t="s">
        <v>920</v>
      </c>
      <c r="C206" t="s">
        <v>670</v>
      </c>
      <c r="D206" s="36" t="s">
        <v>73</v>
      </c>
      <c r="E206" s="36" t="s">
        <v>78</v>
      </c>
      <c r="F206" s="90" t="s">
        <v>66</v>
      </c>
      <c r="G206" s="7"/>
      <c r="H206" s="7">
        <v>1680000</v>
      </c>
      <c r="I206" s="8">
        <v>9</v>
      </c>
      <c r="J206" s="9">
        <f>IFERROR(SUMIF(لاگ_فاکتور!$I$3:$I$1622,A206,لاگ_فاکتور!$L$3:$L$1622),0)</f>
        <v>0</v>
      </c>
      <c r="K206" s="10">
        <f t="shared" si="7"/>
        <v>9</v>
      </c>
      <c r="L206" s="1" t="str">
        <f>IF(C206="","",IF(K206&lt;=0,"🔴 تمام",IF(K206&lt;=تنظیمات_سیستم!$C$7,"🟠 کم","🟢 OK")))</f>
        <v>🟢 OK</v>
      </c>
    </row>
    <row r="207" spans="1:12" ht="19.5" customHeight="1">
      <c r="A207" s="1" t="str">
        <f t="shared" si="6"/>
        <v>SKU-0204</v>
      </c>
      <c r="B207" s="63" t="s">
        <v>921</v>
      </c>
      <c r="C207" t="s">
        <v>671</v>
      </c>
      <c r="D207" s="36" t="s">
        <v>64</v>
      </c>
      <c r="E207" s="36" t="s">
        <v>78</v>
      </c>
      <c r="F207" s="90" t="s">
        <v>66</v>
      </c>
      <c r="G207" s="7"/>
      <c r="H207" s="7">
        <v>1980000</v>
      </c>
      <c r="I207" s="8">
        <v>9</v>
      </c>
      <c r="J207" s="9">
        <f>IFERROR(SUMIF(لاگ_فاکتور!$I$3:$I$1622,A207,لاگ_فاکتور!$L$3:$L$1622),0)</f>
        <v>0</v>
      </c>
      <c r="K207" s="10">
        <f t="shared" si="7"/>
        <v>9</v>
      </c>
      <c r="L207" s="1" t="str">
        <f>IF(C207="","",IF(K207&lt;=0,"🔴 تمام",IF(K207&lt;=تنظیمات_سیستم!$C$7,"🟠 کم","🟢 OK")))</f>
        <v>🟢 OK</v>
      </c>
    </row>
    <row r="208" spans="1:12" ht="19.5" customHeight="1">
      <c r="A208" s="1" t="str">
        <f t="shared" si="6"/>
        <v>SKU-0205</v>
      </c>
      <c r="B208" s="63" t="s">
        <v>922</v>
      </c>
      <c r="C208" t="s">
        <v>672</v>
      </c>
      <c r="D208" s="36" t="s">
        <v>64</v>
      </c>
      <c r="E208" s="36" t="s">
        <v>78</v>
      </c>
      <c r="F208" s="90" t="s">
        <v>66</v>
      </c>
      <c r="G208" s="7"/>
      <c r="H208" s="7"/>
      <c r="I208" s="8">
        <v>9</v>
      </c>
      <c r="J208" s="9">
        <f>IFERROR(SUMIF(لاگ_فاکتور!$I$3:$I$1622,A208,لاگ_فاکتور!$L$3:$L$1622),0)</f>
        <v>0</v>
      </c>
      <c r="K208" s="10">
        <f t="shared" si="7"/>
        <v>9</v>
      </c>
      <c r="L208" s="1" t="str">
        <f>IF(C208="","",IF(K208&lt;=0,"🔴 تمام",IF(K208&lt;=تنظیمات_سیستم!$C$7,"🟠 کم","🟢 OK")))</f>
        <v>🟢 OK</v>
      </c>
    </row>
    <row r="209" spans="1:12" ht="19.5" customHeight="1">
      <c r="A209" s="1" t="str">
        <f t="shared" si="6"/>
        <v>SKU-0206</v>
      </c>
      <c r="B209" s="63" t="s">
        <v>923</v>
      </c>
      <c r="C209" t="s">
        <v>673</v>
      </c>
      <c r="D209" s="36" t="s">
        <v>64</v>
      </c>
      <c r="E209" s="36" t="s">
        <v>78</v>
      </c>
      <c r="F209" s="90" t="s">
        <v>66</v>
      </c>
      <c r="G209" s="7"/>
      <c r="H209" s="7"/>
      <c r="I209" s="8">
        <v>9</v>
      </c>
      <c r="J209" s="9">
        <f>IFERROR(SUMIF(لاگ_فاکتور!$I$3:$I$1622,A209,لاگ_فاکتور!$L$3:$L$1622),0)</f>
        <v>0</v>
      </c>
      <c r="K209" s="10">
        <f t="shared" si="7"/>
        <v>9</v>
      </c>
      <c r="L209" s="1" t="str">
        <f>IF(C209="","",IF(K209&lt;=0,"🔴 تمام",IF(K209&lt;=تنظیمات_سیستم!$C$7,"🟠 کم","🟢 OK")))</f>
        <v>🟢 OK</v>
      </c>
    </row>
    <row r="210" spans="1:12" ht="19.5" customHeight="1">
      <c r="A210" s="1" t="str">
        <f t="shared" si="6"/>
        <v>SKU-0207</v>
      </c>
      <c r="B210" s="63" t="s">
        <v>924</v>
      </c>
      <c r="C210" t="s">
        <v>674</v>
      </c>
      <c r="D210" s="36" t="s">
        <v>64</v>
      </c>
      <c r="E210" s="36" t="s">
        <v>78</v>
      </c>
      <c r="F210" s="90" t="s">
        <v>66</v>
      </c>
      <c r="G210" s="7"/>
      <c r="H210" s="7"/>
      <c r="I210" s="8">
        <v>9</v>
      </c>
      <c r="J210" s="9">
        <f>IFERROR(SUMIF(لاگ_فاکتور!$I$3:$I$1622,A210,لاگ_فاکتور!$L$3:$L$1622),0)</f>
        <v>0</v>
      </c>
      <c r="K210" s="10">
        <f t="shared" si="7"/>
        <v>9</v>
      </c>
      <c r="L210" s="1" t="str">
        <f>IF(C210="","",IF(K210&lt;=0,"🔴 تمام",IF(K210&lt;=تنظیمات_سیستم!$C$7,"🟠 کم","🟢 OK")))</f>
        <v>🟢 OK</v>
      </c>
    </row>
    <row r="211" spans="1:12" ht="19.5" customHeight="1">
      <c r="A211" s="1" t="str">
        <f t="shared" si="6"/>
        <v>SKU-0208</v>
      </c>
      <c r="B211" s="63" t="s">
        <v>925</v>
      </c>
      <c r="C211" t="s">
        <v>675</v>
      </c>
      <c r="D211" s="36" t="s">
        <v>64</v>
      </c>
      <c r="E211" s="36" t="s">
        <v>78</v>
      </c>
      <c r="F211" s="90" t="s">
        <v>66</v>
      </c>
      <c r="G211" s="7"/>
      <c r="H211" s="7"/>
      <c r="I211" s="8">
        <v>9</v>
      </c>
      <c r="J211" s="9">
        <f>IFERROR(SUMIF(لاگ_فاکتور!$I$3:$I$1622,A211,لاگ_فاکتور!$L$3:$L$1622),0)</f>
        <v>0</v>
      </c>
      <c r="K211" s="10">
        <f t="shared" si="7"/>
        <v>9</v>
      </c>
      <c r="L211" s="1" t="str">
        <f>IF(C211="","",IF(K211&lt;=0,"🔴 تمام",IF(K211&lt;=تنظیمات_سیستم!$C$7,"🟠 کم","🟢 OK")))</f>
        <v>🟢 OK</v>
      </c>
    </row>
    <row r="212" spans="1:12" ht="19.5" customHeight="1">
      <c r="A212" s="1" t="str">
        <f t="shared" si="6"/>
        <v>SKU-0209</v>
      </c>
      <c r="B212" s="63" t="s">
        <v>926</v>
      </c>
      <c r="C212" t="s">
        <v>676</v>
      </c>
      <c r="D212" s="36" t="s">
        <v>64</v>
      </c>
      <c r="E212" s="36" t="s">
        <v>78</v>
      </c>
      <c r="F212" s="90" t="s">
        <v>66</v>
      </c>
      <c r="G212" s="7"/>
      <c r="H212" s="7"/>
      <c r="I212" s="8">
        <v>9</v>
      </c>
      <c r="J212" s="9">
        <f>IFERROR(SUMIF(لاگ_فاکتور!$I$3:$I$1622,A212,لاگ_فاکتور!$L$3:$L$1622),0)</f>
        <v>0</v>
      </c>
      <c r="K212" s="10">
        <f t="shared" si="7"/>
        <v>9</v>
      </c>
      <c r="L212" s="1" t="str">
        <f>IF(C212="","",IF(K212&lt;=0,"🔴 تمام",IF(K212&lt;=تنظیمات_سیستم!$C$7,"🟠 کم","🟢 OK")))</f>
        <v>🟢 OK</v>
      </c>
    </row>
    <row r="213" spans="1:12" ht="19.5" customHeight="1">
      <c r="A213" s="1" t="str">
        <f t="shared" si="6"/>
        <v>SKU-0210</v>
      </c>
      <c r="B213" s="63" t="s">
        <v>927</v>
      </c>
      <c r="C213" t="s">
        <v>1154</v>
      </c>
      <c r="D213" s="36" t="s">
        <v>70</v>
      </c>
      <c r="E213" s="36" t="s">
        <v>677</v>
      </c>
      <c r="F213" s="90" t="s">
        <v>72</v>
      </c>
      <c r="G213" s="7"/>
      <c r="H213" s="7">
        <v>3850000</v>
      </c>
      <c r="I213" s="8">
        <v>9</v>
      </c>
      <c r="J213" s="9">
        <f>IFERROR(SUMIF(لاگ_فاکتور!$I$3:$I$1622,A213,لاگ_فاکتور!$L$3:$L$1622),0)</f>
        <v>0</v>
      </c>
      <c r="K213" s="10">
        <f t="shared" si="7"/>
        <v>9</v>
      </c>
      <c r="L213" s="1" t="str">
        <f>IF(C213="","",IF(K213&lt;=0,"🔴 تمام",IF(K213&lt;=تنظیمات_سیستم!$C$7,"🟠 کم","🟢 OK")))</f>
        <v>🟢 OK</v>
      </c>
    </row>
    <row r="214" spans="1:12" ht="19.5" customHeight="1">
      <c r="A214" s="1" t="str">
        <f t="shared" si="6"/>
        <v>SKU-0211</v>
      </c>
      <c r="B214" s="63" t="s">
        <v>928</v>
      </c>
      <c r="C214" t="s">
        <v>678</v>
      </c>
      <c r="D214" s="36" t="s">
        <v>77</v>
      </c>
      <c r="E214" s="36" t="s">
        <v>65</v>
      </c>
      <c r="F214" s="90" t="s">
        <v>69</v>
      </c>
      <c r="G214" s="7"/>
      <c r="H214" s="7"/>
      <c r="I214" s="8">
        <v>9</v>
      </c>
      <c r="J214" s="9">
        <f>IFERROR(SUMIF(لاگ_فاکتور!$I$3:$I$1622,A214,لاگ_فاکتور!$L$3:$L$1622),0)</f>
        <v>0</v>
      </c>
      <c r="K214" s="10">
        <f t="shared" si="7"/>
        <v>9</v>
      </c>
      <c r="L214" s="1" t="str">
        <f>IF(C214="","",IF(K214&lt;=0,"🔴 تمام",IF(K214&lt;=تنظیمات_سیستم!$C$7,"🟠 کم","🟢 OK")))</f>
        <v>🟢 OK</v>
      </c>
    </row>
    <row r="215" spans="1:12" ht="19.5" customHeight="1">
      <c r="A215" s="1" t="str">
        <f t="shared" si="6"/>
        <v>SKU-0212</v>
      </c>
      <c r="B215" s="63" t="s">
        <v>929</v>
      </c>
      <c r="C215" t="s">
        <v>679</v>
      </c>
      <c r="D215" s="36" t="s">
        <v>77</v>
      </c>
      <c r="E215" s="36" t="s">
        <v>680</v>
      </c>
      <c r="F215" s="90" t="s">
        <v>69</v>
      </c>
      <c r="G215" s="7"/>
      <c r="H215" s="7"/>
      <c r="I215" s="8">
        <v>9</v>
      </c>
      <c r="J215" s="9">
        <f>IFERROR(SUMIF(لاگ_فاکتور!$I$3:$I$1622,A215,لاگ_فاکتور!$L$3:$L$1622),0)</f>
        <v>0</v>
      </c>
      <c r="K215" s="10">
        <f t="shared" si="7"/>
        <v>9</v>
      </c>
      <c r="L215" s="1" t="str">
        <f>IF(C215="","",IF(K215&lt;=0,"🔴 تمام",IF(K215&lt;=تنظیمات_سیستم!$C$7,"🟠 کم","🟢 OK")))</f>
        <v>🟢 OK</v>
      </c>
    </row>
    <row r="216" spans="1:12" ht="19.5" customHeight="1">
      <c r="A216" s="1" t="str">
        <f t="shared" si="6"/>
        <v>SKU-0213</v>
      </c>
      <c r="B216" s="63" t="s">
        <v>930</v>
      </c>
      <c r="C216" t="s">
        <v>681</v>
      </c>
      <c r="D216" s="36" t="s">
        <v>77</v>
      </c>
      <c r="E216" s="36" t="s">
        <v>680</v>
      </c>
      <c r="F216" s="90" t="s">
        <v>69</v>
      </c>
      <c r="G216" s="7"/>
      <c r="H216" s="7">
        <v>4200000</v>
      </c>
      <c r="I216" s="8">
        <v>9</v>
      </c>
      <c r="J216" s="9">
        <f>IFERROR(SUMIF(لاگ_فاکتور!$I$3:$I$1622,A216,لاگ_فاکتور!$L$3:$L$1622),0)</f>
        <v>0</v>
      </c>
      <c r="K216" s="10">
        <f t="shared" si="7"/>
        <v>9</v>
      </c>
      <c r="L216" s="1" t="str">
        <f>IF(C216="","",IF(K216&lt;=0,"🔴 تمام",IF(K216&lt;=تنظیمات_سیستم!$C$7,"🟠 کم","🟢 OK")))</f>
        <v>🟢 OK</v>
      </c>
    </row>
    <row r="217" spans="1:12" ht="19.5" customHeight="1">
      <c r="A217" s="1" t="str">
        <f t="shared" si="6"/>
        <v>SKU-0214</v>
      </c>
      <c r="B217" s="63" t="s">
        <v>931</v>
      </c>
      <c r="C217" t="s">
        <v>682</v>
      </c>
      <c r="D217" s="36" t="s">
        <v>73</v>
      </c>
      <c r="E217" s="36" t="s">
        <v>74</v>
      </c>
      <c r="F217" s="90" t="s">
        <v>66</v>
      </c>
      <c r="G217" s="7"/>
      <c r="H217" s="7"/>
      <c r="I217" s="8">
        <v>9</v>
      </c>
      <c r="J217" s="9">
        <f>IFERROR(SUMIF(لاگ_فاکتور!$I$3:$I$1622,A217,لاگ_فاکتور!$L$3:$L$1622),0)</f>
        <v>0</v>
      </c>
      <c r="K217" s="10">
        <f t="shared" si="7"/>
        <v>9</v>
      </c>
      <c r="L217" s="1" t="str">
        <f>IF(C217="","",IF(K217&lt;=0,"🔴 تمام",IF(K217&lt;=تنظیمات_سیستم!$C$7,"🟠 کم","🟢 OK")))</f>
        <v>🟢 OK</v>
      </c>
    </row>
    <row r="218" spans="1:12" ht="19.5" customHeight="1">
      <c r="A218" s="1" t="str">
        <f t="shared" si="6"/>
        <v>SKU-0215</v>
      </c>
      <c r="B218" s="63" t="s">
        <v>932</v>
      </c>
      <c r="C218" t="s">
        <v>1077</v>
      </c>
      <c r="D218" s="36" t="s">
        <v>73</v>
      </c>
      <c r="E218" s="36" t="s">
        <v>78</v>
      </c>
      <c r="F218" s="90" t="s">
        <v>66</v>
      </c>
      <c r="G218" s="7"/>
      <c r="H218" s="7">
        <v>2680000</v>
      </c>
      <c r="I218" s="8">
        <v>9</v>
      </c>
      <c r="J218" s="9">
        <f>IFERROR(SUMIF(لاگ_فاکتور!$I$3:$I$1622,A218,لاگ_فاکتور!$L$3:$L$1622),0)</f>
        <v>0</v>
      </c>
      <c r="K218" s="10">
        <f t="shared" si="7"/>
        <v>9</v>
      </c>
      <c r="L218" s="1" t="str">
        <f>IF(C218="","",IF(K218&lt;=0,"🔴 تمام",IF(K218&lt;=تنظیمات_سیستم!$C$7,"🟠 کم","🟢 OK")))</f>
        <v>🟢 OK</v>
      </c>
    </row>
    <row r="219" spans="1:12" ht="19.5" customHeight="1">
      <c r="A219" s="1" t="str">
        <f t="shared" si="6"/>
        <v>SKU-0216</v>
      </c>
      <c r="B219" s="63" t="s">
        <v>933</v>
      </c>
      <c r="C219" t="s">
        <v>64</v>
      </c>
      <c r="D219" s="36" t="s">
        <v>73</v>
      </c>
      <c r="E219" s="36" t="s">
        <v>78</v>
      </c>
      <c r="F219" s="90" t="s">
        <v>66</v>
      </c>
      <c r="G219" s="7">
        <v>1580000</v>
      </c>
      <c r="H219" s="7">
        <v>2200000</v>
      </c>
      <c r="I219" s="8">
        <v>9</v>
      </c>
      <c r="J219" s="9">
        <f>IFERROR(SUMIF(لاگ_فاکتور!$I$3:$I$1622,A219,لاگ_فاکتور!$L$3:$L$1622),0)</f>
        <v>0</v>
      </c>
      <c r="K219" s="10">
        <f t="shared" si="7"/>
        <v>9</v>
      </c>
      <c r="L219" s="1" t="str">
        <f>IF(C219="","",IF(K219&lt;=0,"🔴 تمام",IF(K219&lt;=تنظیمات_سیستم!$C$7,"🟠 کم","🟢 OK")))</f>
        <v>🟢 OK</v>
      </c>
    </row>
    <row r="220" spans="1:12" ht="19.5" customHeight="1">
      <c r="A220" s="1" t="str">
        <f t="shared" si="6"/>
        <v>SKU-0217</v>
      </c>
      <c r="B220" s="63" t="s">
        <v>934</v>
      </c>
      <c r="C220" t="s">
        <v>683</v>
      </c>
      <c r="D220" s="36" t="s">
        <v>73</v>
      </c>
      <c r="E220" s="36" t="s">
        <v>78</v>
      </c>
      <c r="F220" s="90" t="s">
        <v>66</v>
      </c>
      <c r="G220" s="7"/>
      <c r="H220" s="7"/>
      <c r="I220" s="8">
        <v>9</v>
      </c>
      <c r="J220" s="9">
        <f>IFERROR(SUMIF(لاگ_فاکتور!$I$3:$I$1622,A220,لاگ_فاکتور!$L$3:$L$1622),0)</f>
        <v>0</v>
      </c>
      <c r="K220" s="10">
        <f t="shared" si="7"/>
        <v>9</v>
      </c>
      <c r="L220" s="1" t="str">
        <f>IF(C220="","",IF(K220&lt;=0,"🔴 تمام",IF(K220&lt;=تنظیمات_سیستم!$C$7,"🟠 کم","🟢 OK")))</f>
        <v>🟢 OK</v>
      </c>
    </row>
    <row r="221" spans="1:12" ht="19.5" customHeight="1">
      <c r="A221" s="1" t="str">
        <f t="shared" si="6"/>
        <v>SKU-0218</v>
      </c>
      <c r="B221" s="63" t="s">
        <v>935</v>
      </c>
      <c r="C221" t="s">
        <v>684</v>
      </c>
      <c r="D221" s="36" t="s">
        <v>70</v>
      </c>
      <c r="E221" s="36" t="s">
        <v>685</v>
      </c>
      <c r="F221" s="90" t="s">
        <v>72</v>
      </c>
      <c r="G221" s="7"/>
      <c r="H221" s="7">
        <v>4180000</v>
      </c>
      <c r="I221" s="8">
        <v>9</v>
      </c>
      <c r="J221" s="9">
        <f>IFERROR(SUMIF(لاگ_فاکتور!$I$3:$I$1622,A221,لاگ_فاکتور!$L$3:$L$1622),0)</f>
        <v>0</v>
      </c>
      <c r="K221" s="10">
        <f t="shared" si="7"/>
        <v>9</v>
      </c>
      <c r="L221" s="1" t="str">
        <f>IF(C221="","",IF(K221&lt;=0,"🔴 تمام",IF(K221&lt;=تنظیمات_سیستم!$C$7,"🟠 کم","🟢 OK")))</f>
        <v>🟢 OK</v>
      </c>
    </row>
    <row r="222" spans="1:12" ht="19.5" customHeight="1">
      <c r="A222" s="1" t="str">
        <f t="shared" si="6"/>
        <v>SKU-0219</v>
      </c>
      <c r="B222" s="63" t="s">
        <v>936</v>
      </c>
      <c r="C222" t="s">
        <v>686</v>
      </c>
      <c r="D222" s="36" t="s">
        <v>70</v>
      </c>
      <c r="E222" s="36" t="s">
        <v>685</v>
      </c>
      <c r="F222" s="90" t="s">
        <v>72</v>
      </c>
      <c r="G222" s="7"/>
      <c r="H222" s="7">
        <v>4180000</v>
      </c>
      <c r="I222" s="8">
        <v>9</v>
      </c>
      <c r="J222" s="9">
        <f>IFERROR(SUMIF(لاگ_فاکتور!$I$3:$I$1622,A222,لاگ_فاکتور!$L$3:$L$1622),0)</f>
        <v>0</v>
      </c>
      <c r="K222" s="10">
        <f t="shared" si="7"/>
        <v>9</v>
      </c>
      <c r="L222" s="1" t="str">
        <f>IF(C222="","",IF(K222&lt;=0,"🔴 تمام",IF(K222&lt;=تنظیمات_سیستم!$C$7,"🟠 کم","🟢 OK")))</f>
        <v>🟢 OK</v>
      </c>
    </row>
    <row r="223" spans="1:12" ht="19.5" customHeight="1">
      <c r="A223" s="1" t="str">
        <f t="shared" si="6"/>
        <v>SKU-0220</v>
      </c>
      <c r="B223" s="63" t="s">
        <v>937</v>
      </c>
      <c r="C223" t="s">
        <v>687</v>
      </c>
      <c r="D223" s="36" t="s">
        <v>70</v>
      </c>
      <c r="E223" s="36" t="s">
        <v>685</v>
      </c>
      <c r="F223" s="90" t="s">
        <v>72</v>
      </c>
      <c r="G223" s="7"/>
      <c r="H223" s="7">
        <v>4180000</v>
      </c>
      <c r="I223" s="8">
        <v>9</v>
      </c>
      <c r="J223" s="9">
        <f>IFERROR(SUMIF(لاگ_فاکتور!$I$3:$I$1622,A223,لاگ_فاکتور!$L$3:$L$1622),0)</f>
        <v>0</v>
      </c>
      <c r="K223" s="10">
        <f t="shared" si="7"/>
        <v>9</v>
      </c>
      <c r="L223" s="1" t="str">
        <f>IF(C223="","",IF(K223&lt;=0,"🔴 تمام",IF(K223&lt;=تنظیمات_سیستم!$C$7,"🟠 کم","🟢 OK")))</f>
        <v>🟢 OK</v>
      </c>
    </row>
    <row r="224" spans="1:12" ht="19.5" customHeight="1">
      <c r="A224" s="1" t="str">
        <f t="shared" si="6"/>
        <v>SKU-0221</v>
      </c>
      <c r="B224" s="63" t="s">
        <v>938</v>
      </c>
      <c r="C224" t="s">
        <v>688</v>
      </c>
      <c r="D224" s="36" t="s">
        <v>70</v>
      </c>
      <c r="E224" s="36" t="s">
        <v>685</v>
      </c>
      <c r="F224" s="90" t="s">
        <v>72</v>
      </c>
      <c r="G224" s="7"/>
      <c r="H224" s="7">
        <v>4180000</v>
      </c>
      <c r="I224" s="8">
        <v>9</v>
      </c>
      <c r="J224" s="9">
        <f>IFERROR(SUMIF(لاگ_فاکتور!$I$3:$I$1622,A224,لاگ_فاکتور!$L$3:$L$1622),0)</f>
        <v>0</v>
      </c>
      <c r="K224" s="10">
        <f t="shared" si="7"/>
        <v>9</v>
      </c>
      <c r="L224" s="1" t="str">
        <f>IF(C224="","",IF(K224&lt;=0,"🔴 تمام",IF(K224&lt;=تنظیمات_سیستم!$C$7,"🟠 کم","🟢 OK")))</f>
        <v>🟢 OK</v>
      </c>
    </row>
    <row r="225" spans="1:12" ht="19.5" customHeight="1">
      <c r="A225" s="1" t="str">
        <f t="shared" si="6"/>
        <v>SKU-0222</v>
      </c>
      <c r="B225" s="63" t="s">
        <v>939</v>
      </c>
      <c r="C225" t="s">
        <v>689</v>
      </c>
      <c r="D225" s="36" t="s">
        <v>70</v>
      </c>
      <c r="E225" s="36" t="s">
        <v>685</v>
      </c>
      <c r="F225" s="90" t="s">
        <v>72</v>
      </c>
      <c r="G225" s="7"/>
      <c r="H225" s="7">
        <v>4180000</v>
      </c>
      <c r="I225" s="8">
        <v>9</v>
      </c>
      <c r="J225" s="9">
        <f>IFERROR(SUMIF(لاگ_فاکتور!$I$3:$I$1622,A225,لاگ_فاکتور!$L$3:$L$1622),0)</f>
        <v>0</v>
      </c>
      <c r="K225" s="10">
        <f t="shared" si="7"/>
        <v>9</v>
      </c>
      <c r="L225" s="1" t="str">
        <f>IF(C225="","",IF(K225&lt;=0,"🔴 تمام",IF(K225&lt;=تنظیمات_سیستم!$C$7,"🟠 کم","🟢 OK")))</f>
        <v>🟢 OK</v>
      </c>
    </row>
    <row r="226" spans="1:12" ht="19.5" customHeight="1">
      <c r="A226" s="1" t="str">
        <f t="shared" si="6"/>
        <v>SKU-0223</v>
      </c>
      <c r="B226" s="63" t="s">
        <v>940</v>
      </c>
      <c r="C226" t="s">
        <v>690</v>
      </c>
      <c r="D226" s="36" t="s">
        <v>70</v>
      </c>
      <c r="E226" s="36" t="s">
        <v>685</v>
      </c>
      <c r="F226" s="90" t="s">
        <v>72</v>
      </c>
      <c r="G226" s="7"/>
      <c r="H226" s="7">
        <v>4180000</v>
      </c>
      <c r="I226" s="8">
        <v>9</v>
      </c>
      <c r="J226" s="9">
        <f>IFERROR(SUMIF(لاگ_فاکتور!$I$3:$I$1622,A226,لاگ_فاکتور!$L$3:$L$1622),0)</f>
        <v>0</v>
      </c>
      <c r="K226" s="10">
        <f t="shared" si="7"/>
        <v>9</v>
      </c>
      <c r="L226" s="1" t="str">
        <f>IF(C226="","",IF(K226&lt;=0,"🔴 تمام",IF(K226&lt;=تنظیمات_سیستم!$C$7,"🟠 کم","🟢 OK")))</f>
        <v>🟢 OK</v>
      </c>
    </row>
    <row r="227" spans="1:12" ht="19.5" customHeight="1">
      <c r="A227" s="1" t="str">
        <f t="shared" si="6"/>
        <v>SKU-0224</v>
      </c>
      <c r="B227" s="63" t="s">
        <v>941</v>
      </c>
      <c r="C227" t="s">
        <v>691</v>
      </c>
      <c r="D227" s="36" t="s">
        <v>635</v>
      </c>
      <c r="E227" s="36" t="s">
        <v>78</v>
      </c>
      <c r="F227" s="90" t="s">
        <v>69</v>
      </c>
      <c r="G227" s="7"/>
      <c r="H227" s="7">
        <v>1280000</v>
      </c>
      <c r="I227" s="8">
        <v>9</v>
      </c>
      <c r="J227" s="9">
        <f>IFERROR(SUMIF(لاگ_فاکتور!$I$3:$I$1622,A227,لاگ_فاکتور!$L$3:$L$1622),0)</f>
        <v>0</v>
      </c>
      <c r="K227" s="10">
        <f t="shared" si="7"/>
        <v>9</v>
      </c>
      <c r="L227" s="1" t="str">
        <f>IF(C227="","",IF(K227&lt;=0,"🔴 تمام",IF(K227&lt;=تنظیمات_سیستم!$C$7,"🟠 کم","🟢 OK")))</f>
        <v>🟢 OK</v>
      </c>
    </row>
    <row r="228" spans="1:12" ht="19.5" customHeight="1">
      <c r="A228" s="1" t="str">
        <f t="shared" si="6"/>
        <v>SKU-0225</v>
      </c>
      <c r="B228" s="63" t="s">
        <v>942</v>
      </c>
      <c r="C228" t="s">
        <v>692</v>
      </c>
      <c r="D228" s="36" t="s">
        <v>635</v>
      </c>
      <c r="E228" s="36" t="s">
        <v>78</v>
      </c>
      <c r="F228" s="90" t="s">
        <v>72</v>
      </c>
      <c r="G228" s="7"/>
      <c r="H228" s="7">
        <v>1280000</v>
      </c>
      <c r="I228" s="8">
        <v>9</v>
      </c>
      <c r="J228" s="9">
        <f>IFERROR(SUMIF(لاگ_فاکتور!$I$3:$I$1622,A228,لاگ_فاکتور!$L$3:$L$1622),0)</f>
        <v>0</v>
      </c>
      <c r="K228" s="10">
        <f t="shared" si="7"/>
        <v>9</v>
      </c>
      <c r="L228" s="1" t="str">
        <f>IF(C228="","",IF(K228&lt;=0,"🔴 تمام",IF(K228&lt;=تنظیمات_سیستم!$C$7,"🟠 کم","🟢 OK")))</f>
        <v>🟢 OK</v>
      </c>
    </row>
    <row r="229" spans="1:12" ht="19.5" customHeight="1">
      <c r="A229" s="1" t="str">
        <f t="shared" si="6"/>
        <v>SKU-0226</v>
      </c>
      <c r="B229" s="63" t="s">
        <v>943</v>
      </c>
      <c r="C229" t="s">
        <v>693</v>
      </c>
      <c r="D229" s="36" t="s">
        <v>73</v>
      </c>
      <c r="E229" s="36" t="s">
        <v>71</v>
      </c>
      <c r="F229" s="90" t="s">
        <v>66</v>
      </c>
      <c r="G229" s="7"/>
      <c r="H229" s="7"/>
      <c r="I229" s="8">
        <v>9</v>
      </c>
      <c r="J229" s="9">
        <f>IFERROR(SUMIF(لاگ_فاکتور!$I$3:$I$1622,A229,لاگ_فاکتور!$L$3:$L$1622),0)</f>
        <v>0</v>
      </c>
      <c r="K229" s="10">
        <f t="shared" si="7"/>
        <v>9</v>
      </c>
      <c r="L229" s="1" t="str">
        <f>IF(C229="","",IF(K229&lt;=0,"🔴 تمام",IF(K229&lt;=تنظیمات_سیستم!$C$7,"🟠 کم","🟢 OK")))</f>
        <v>🟢 OK</v>
      </c>
    </row>
    <row r="230" spans="1:12" ht="19.5" customHeight="1">
      <c r="A230" s="1" t="str">
        <f t="shared" si="6"/>
        <v>SKU-0227</v>
      </c>
      <c r="B230" s="63" t="s">
        <v>944</v>
      </c>
      <c r="C230" t="s">
        <v>694</v>
      </c>
      <c r="D230" s="36" t="s">
        <v>73</v>
      </c>
      <c r="E230" s="36" t="s">
        <v>71</v>
      </c>
      <c r="F230" s="90" t="s">
        <v>66</v>
      </c>
      <c r="G230" s="7"/>
      <c r="H230" s="7"/>
      <c r="I230" s="8">
        <v>9</v>
      </c>
      <c r="J230" s="9">
        <f>IFERROR(SUMIF(لاگ_فاکتور!$I$3:$I$1622,A230,لاگ_فاکتور!$L$3:$L$1622),0)</f>
        <v>0</v>
      </c>
      <c r="K230" s="10">
        <f t="shared" si="7"/>
        <v>9</v>
      </c>
      <c r="L230" s="1" t="str">
        <f>IF(C230="","",IF(K230&lt;=0,"🔴 تمام",IF(K230&lt;=تنظیمات_سیستم!$C$7,"🟠 کم","🟢 OK")))</f>
        <v>🟢 OK</v>
      </c>
    </row>
    <row r="231" spans="1:12" ht="19.5" customHeight="1">
      <c r="A231" s="1" t="str">
        <f t="shared" si="6"/>
        <v>SKU-0228</v>
      </c>
      <c r="B231" s="63" t="s">
        <v>945</v>
      </c>
      <c r="C231" t="s">
        <v>695</v>
      </c>
      <c r="D231" s="36" t="s">
        <v>73</v>
      </c>
      <c r="E231" s="36" t="s">
        <v>71</v>
      </c>
      <c r="F231" s="90" t="s">
        <v>66</v>
      </c>
      <c r="G231" s="7"/>
      <c r="H231" s="7"/>
      <c r="I231" s="8">
        <v>9</v>
      </c>
      <c r="J231" s="9">
        <f>IFERROR(SUMIF(لاگ_فاکتور!$I$3:$I$1622,A231,لاگ_فاکتور!$L$3:$L$1622),0)</f>
        <v>0</v>
      </c>
      <c r="K231" s="10">
        <f t="shared" si="7"/>
        <v>9</v>
      </c>
      <c r="L231" s="1" t="str">
        <f>IF(C231="","",IF(K231&lt;=0,"🔴 تمام",IF(K231&lt;=تنظیمات_سیستم!$C$7,"🟠 کم","🟢 OK")))</f>
        <v>🟢 OK</v>
      </c>
    </row>
    <row r="232" spans="1:12" ht="19.5" customHeight="1">
      <c r="A232" s="1" t="str">
        <f t="shared" si="6"/>
        <v>SKU-0229</v>
      </c>
      <c r="B232" s="63" t="s">
        <v>946</v>
      </c>
      <c r="C232" t="s">
        <v>696</v>
      </c>
      <c r="D232" s="36" t="s">
        <v>77</v>
      </c>
      <c r="E232" s="36" t="s">
        <v>68</v>
      </c>
      <c r="F232" s="90" t="s">
        <v>69</v>
      </c>
      <c r="G232" s="7"/>
      <c r="H232" s="7">
        <v>2980000</v>
      </c>
      <c r="I232" s="8">
        <v>9</v>
      </c>
      <c r="J232" s="9">
        <f>IFERROR(SUMIF(لاگ_فاکتور!$I$3:$I$1622,A232,لاگ_فاکتور!$L$3:$L$1622),0)</f>
        <v>0</v>
      </c>
      <c r="K232" s="10">
        <f t="shared" si="7"/>
        <v>9</v>
      </c>
      <c r="L232" s="1" t="str">
        <f>IF(C232="","",IF(K232&lt;=0,"🔴 تمام",IF(K232&lt;=تنظیمات_سیستم!$C$7,"🟠 کم","🟢 OK")))</f>
        <v>🟢 OK</v>
      </c>
    </row>
    <row r="233" spans="1:12" ht="19.5" customHeight="1">
      <c r="A233" s="1" t="str">
        <f t="shared" si="6"/>
        <v>SKU-0230</v>
      </c>
      <c r="B233" s="63" t="s">
        <v>947</v>
      </c>
      <c r="C233" t="s">
        <v>697</v>
      </c>
      <c r="D233" s="36" t="s">
        <v>77</v>
      </c>
      <c r="E233" s="36" t="s">
        <v>68</v>
      </c>
      <c r="F233" s="90" t="s">
        <v>69</v>
      </c>
      <c r="G233" s="7"/>
      <c r="H233" s="7">
        <v>2980000</v>
      </c>
      <c r="I233" s="8">
        <v>9</v>
      </c>
      <c r="J233" s="9">
        <f>IFERROR(SUMIF(لاگ_فاکتور!$I$3:$I$1622,A233,لاگ_فاکتور!$L$3:$L$1622),0)</f>
        <v>0</v>
      </c>
      <c r="K233" s="10">
        <f t="shared" si="7"/>
        <v>9</v>
      </c>
      <c r="L233" s="1" t="str">
        <f>IF(C233="","",IF(K233&lt;=0,"🔴 تمام",IF(K233&lt;=تنظیمات_سیستم!$C$7,"🟠 کم","🟢 OK")))</f>
        <v>🟢 OK</v>
      </c>
    </row>
    <row r="234" spans="1:12" ht="19.5" customHeight="1">
      <c r="A234" s="1" t="str">
        <f t="shared" si="6"/>
        <v>SKU-0231</v>
      </c>
      <c r="B234" s="63" t="s">
        <v>948</v>
      </c>
      <c r="C234" t="s">
        <v>698</v>
      </c>
      <c r="D234" s="36" t="s">
        <v>77</v>
      </c>
      <c r="E234" s="36" t="s">
        <v>68</v>
      </c>
      <c r="F234" s="90" t="s">
        <v>69</v>
      </c>
      <c r="G234" s="7"/>
      <c r="H234" s="7">
        <v>2980000</v>
      </c>
      <c r="I234" s="8">
        <v>9</v>
      </c>
      <c r="J234" s="9">
        <f>IFERROR(SUMIF(لاگ_فاکتور!$I$3:$I$1622,A234,لاگ_فاکتور!$L$3:$L$1622),0)</f>
        <v>0</v>
      </c>
      <c r="K234" s="10">
        <f t="shared" si="7"/>
        <v>9</v>
      </c>
      <c r="L234" s="1" t="str">
        <f>IF(C234="","",IF(K234&lt;=0,"🔴 تمام",IF(K234&lt;=تنظیمات_سیستم!$C$7,"🟠 کم","🟢 OK")))</f>
        <v>🟢 OK</v>
      </c>
    </row>
    <row r="235" spans="1:12" ht="19.5" customHeight="1">
      <c r="A235" s="1" t="str">
        <f t="shared" si="6"/>
        <v>SKU-0232</v>
      </c>
      <c r="B235" s="63" t="s">
        <v>949</v>
      </c>
      <c r="C235" t="s">
        <v>699</v>
      </c>
      <c r="D235" s="36" t="s">
        <v>77</v>
      </c>
      <c r="E235" s="36" t="s">
        <v>68</v>
      </c>
      <c r="F235" s="90" t="s">
        <v>69</v>
      </c>
      <c r="G235" s="7"/>
      <c r="H235" s="7">
        <v>2980000</v>
      </c>
      <c r="I235" s="8">
        <v>9</v>
      </c>
      <c r="J235" s="9">
        <f>IFERROR(SUMIF(لاگ_فاکتور!$I$3:$I$1622,A235,لاگ_فاکتور!$L$3:$L$1622),0)</f>
        <v>0</v>
      </c>
      <c r="K235" s="10">
        <f t="shared" si="7"/>
        <v>9</v>
      </c>
      <c r="L235" s="1" t="str">
        <f>IF(C235="","",IF(K235&lt;=0,"🔴 تمام",IF(K235&lt;=تنظیمات_سیستم!$C$7,"🟠 کم","🟢 OK")))</f>
        <v>🟢 OK</v>
      </c>
    </row>
    <row r="236" spans="1:12" ht="19.5" customHeight="1">
      <c r="A236" s="1" t="str">
        <f t="shared" si="6"/>
        <v>SKU-0233</v>
      </c>
      <c r="B236" s="63" t="s">
        <v>950</v>
      </c>
      <c r="C236" t="s">
        <v>700</v>
      </c>
      <c r="D236" s="36" t="s">
        <v>564</v>
      </c>
      <c r="E236" s="36" t="s">
        <v>68</v>
      </c>
      <c r="F236" s="90" t="s">
        <v>69</v>
      </c>
      <c r="G236" s="7"/>
      <c r="H236" s="7">
        <v>720000</v>
      </c>
      <c r="I236" s="8">
        <v>9</v>
      </c>
      <c r="J236" s="9">
        <f>IFERROR(SUMIF(لاگ_فاکتور!$I$3:$I$1622,A236,لاگ_فاکتور!$L$3:$L$1622),0)</f>
        <v>0</v>
      </c>
      <c r="K236" s="10">
        <f t="shared" si="7"/>
        <v>9</v>
      </c>
      <c r="L236" s="1" t="str">
        <f>IF(C236="","",IF(K236&lt;=0,"🔴 تمام",IF(K236&lt;=تنظیمات_سیستم!$C$7,"🟠 کم","🟢 OK")))</f>
        <v>🟢 OK</v>
      </c>
    </row>
    <row r="237" spans="1:12" ht="19.5" customHeight="1">
      <c r="A237" s="1" t="str">
        <f t="shared" si="6"/>
        <v>SKU-0234</v>
      </c>
      <c r="B237" s="63" t="s">
        <v>951</v>
      </c>
      <c r="C237" t="s">
        <v>701</v>
      </c>
      <c r="D237" s="36" t="s">
        <v>564</v>
      </c>
      <c r="E237" s="36" t="s">
        <v>68</v>
      </c>
      <c r="F237" s="90" t="s">
        <v>69</v>
      </c>
      <c r="G237" s="7"/>
      <c r="H237" s="7">
        <v>720000</v>
      </c>
      <c r="I237" s="8">
        <v>9</v>
      </c>
      <c r="J237" s="9">
        <f>IFERROR(SUMIF(لاگ_فاکتور!$I$3:$I$1622,A237,لاگ_فاکتور!$L$3:$L$1622),0)</f>
        <v>0</v>
      </c>
      <c r="K237" s="10">
        <f t="shared" si="7"/>
        <v>9</v>
      </c>
      <c r="L237" s="1" t="str">
        <f>IF(C237="","",IF(K237&lt;=0,"🔴 تمام",IF(K237&lt;=تنظیمات_سیستم!$C$7,"🟠 کم","🟢 OK")))</f>
        <v>🟢 OK</v>
      </c>
    </row>
    <row r="238" spans="1:12" ht="19.5" customHeight="1">
      <c r="A238" s="1" t="str">
        <f t="shared" si="6"/>
        <v>SKU-0235</v>
      </c>
      <c r="B238" s="63" t="s">
        <v>952</v>
      </c>
      <c r="C238" t="s">
        <v>702</v>
      </c>
      <c r="D238" s="36" t="s">
        <v>564</v>
      </c>
      <c r="E238" s="36" t="s">
        <v>68</v>
      </c>
      <c r="F238" s="90" t="s">
        <v>69</v>
      </c>
      <c r="G238" s="7"/>
      <c r="H238" s="7">
        <v>720000</v>
      </c>
      <c r="I238" s="8">
        <v>9</v>
      </c>
      <c r="J238" s="9">
        <f>IFERROR(SUMIF(لاگ_فاکتور!$I$3:$I$1622,A238,لاگ_فاکتور!$L$3:$L$1622),0)</f>
        <v>0</v>
      </c>
      <c r="K238" s="10">
        <f t="shared" si="7"/>
        <v>9</v>
      </c>
      <c r="L238" s="1" t="str">
        <f>IF(C238="","",IF(K238&lt;=0,"🔴 تمام",IF(K238&lt;=تنظیمات_سیستم!$C$7,"🟠 کم","🟢 OK")))</f>
        <v>🟢 OK</v>
      </c>
    </row>
    <row r="239" spans="1:12" ht="19.5" customHeight="1">
      <c r="A239" s="1" t="str">
        <f t="shared" si="6"/>
        <v>SKU-0236</v>
      </c>
      <c r="B239" s="63" t="s">
        <v>953</v>
      </c>
      <c r="C239" t="s">
        <v>703</v>
      </c>
      <c r="D239" s="36" t="s">
        <v>73</v>
      </c>
      <c r="E239" s="36" t="s">
        <v>68</v>
      </c>
      <c r="F239" s="90" t="s">
        <v>69</v>
      </c>
      <c r="G239" s="7"/>
      <c r="H239" s="7">
        <v>720000</v>
      </c>
      <c r="I239" s="8">
        <v>9</v>
      </c>
      <c r="J239" s="9">
        <f>IFERROR(SUMIF(لاگ_فاکتور!$I$3:$I$1622,A239,لاگ_فاکتور!$L$3:$L$1622),0)</f>
        <v>0</v>
      </c>
      <c r="K239" s="10">
        <f t="shared" si="7"/>
        <v>9</v>
      </c>
      <c r="L239" s="1" t="str">
        <f>IF(C239="","",IF(K239&lt;=0,"🔴 تمام",IF(K239&lt;=تنظیمات_سیستم!$C$7,"🟠 کم","🟢 OK")))</f>
        <v>🟢 OK</v>
      </c>
    </row>
    <row r="240" spans="1:12" ht="19.5" customHeight="1">
      <c r="A240" s="1" t="str">
        <f t="shared" si="6"/>
        <v>SKU-0237</v>
      </c>
      <c r="B240" s="63" t="s">
        <v>954</v>
      </c>
      <c r="C240" t="s">
        <v>704</v>
      </c>
      <c r="D240" s="36" t="s">
        <v>73</v>
      </c>
      <c r="E240" s="36" t="s">
        <v>68</v>
      </c>
      <c r="F240" s="90" t="s">
        <v>69</v>
      </c>
      <c r="G240" s="7"/>
      <c r="H240" s="7">
        <v>720000</v>
      </c>
      <c r="I240" s="8">
        <v>9</v>
      </c>
      <c r="J240" s="9">
        <f>IFERROR(SUMIF(لاگ_فاکتور!$I$3:$I$1622,A240,لاگ_فاکتور!$L$3:$L$1622),0)</f>
        <v>0</v>
      </c>
      <c r="K240" s="10">
        <f t="shared" si="7"/>
        <v>9</v>
      </c>
      <c r="L240" s="1" t="str">
        <f>IF(C240="","",IF(K240&lt;=0,"🔴 تمام",IF(K240&lt;=تنظیمات_سیستم!$C$7,"🟠 کم","🟢 OK")))</f>
        <v>🟢 OK</v>
      </c>
    </row>
    <row r="241" spans="1:12" ht="19.5" customHeight="1">
      <c r="A241" s="1" t="str">
        <f t="shared" si="6"/>
        <v>SKU-0238</v>
      </c>
      <c r="B241" s="63" t="s">
        <v>955</v>
      </c>
      <c r="C241" t="s">
        <v>705</v>
      </c>
      <c r="D241" s="36" t="s">
        <v>73</v>
      </c>
      <c r="E241" s="36" t="s">
        <v>629</v>
      </c>
      <c r="F241" s="90" t="s">
        <v>66</v>
      </c>
      <c r="G241" s="7"/>
      <c r="H241" s="7">
        <v>780000</v>
      </c>
      <c r="I241" s="8">
        <v>9</v>
      </c>
      <c r="J241" s="9">
        <f>IFERROR(SUMIF(لاگ_فاکتور!$I$3:$I$1622,A241,لاگ_فاکتور!$L$3:$L$1622),0)</f>
        <v>0</v>
      </c>
      <c r="K241" s="10">
        <f t="shared" si="7"/>
        <v>9</v>
      </c>
      <c r="L241" s="1" t="str">
        <f>IF(C241="","",IF(K241&lt;=0,"🔴 تمام",IF(K241&lt;=تنظیمات_سیستم!$C$7,"🟠 کم","🟢 OK")))</f>
        <v>🟢 OK</v>
      </c>
    </row>
    <row r="242" spans="1:12" ht="19.5" customHeight="1">
      <c r="A242" s="1" t="str">
        <f t="shared" si="6"/>
        <v>SKU-0239</v>
      </c>
      <c r="B242" s="63" t="s">
        <v>956</v>
      </c>
      <c r="C242" t="s">
        <v>706</v>
      </c>
      <c r="D242" s="36" t="s">
        <v>73</v>
      </c>
      <c r="E242" s="36" t="s">
        <v>629</v>
      </c>
      <c r="F242" s="90" t="s">
        <v>66</v>
      </c>
      <c r="G242" s="7"/>
      <c r="H242" s="7">
        <v>980000</v>
      </c>
      <c r="I242" s="8">
        <v>9</v>
      </c>
      <c r="J242" s="9">
        <f>IFERROR(SUMIF(لاگ_فاکتور!$I$3:$I$1622,A242,لاگ_فاکتور!$L$3:$L$1622),0)</f>
        <v>0</v>
      </c>
      <c r="K242" s="10">
        <f t="shared" si="7"/>
        <v>9</v>
      </c>
      <c r="L242" s="1" t="str">
        <f>IF(C242="","",IF(K242&lt;=0,"🔴 تمام",IF(K242&lt;=تنظیمات_سیستم!$C$7,"🟠 کم","🟢 OK")))</f>
        <v>🟢 OK</v>
      </c>
    </row>
    <row r="243" spans="1:12" ht="19.5" customHeight="1">
      <c r="A243" s="1" t="str">
        <f t="shared" si="6"/>
        <v>SKU-0240</v>
      </c>
      <c r="B243" s="63" t="s">
        <v>956</v>
      </c>
      <c r="C243" t="s">
        <v>707</v>
      </c>
      <c r="D243" s="36" t="s">
        <v>64</v>
      </c>
      <c r="E243" s="36" t="s">
        <v>629</v>
      </c>
      <c r="F243" s="90" t="s">
        <v>66</v>
      </c>
      <c r="G243" s="7"/>
      <c r="H243" s="7">
        <v>1240000</v>
      </c>
      <c r="I243" s="8">
        <v>9</v>
      </c>
      <c r="J243" s="9">
        <f>IFERROR(SUMIF(لاگ_فاکتور!$I$3:$I$1622,A243,لاگ_فاکتور!$L$3:$L$1622),0)</f>
        <v>0</v>
      </c>
      <c r="K243" s="10">
        <f t="shared" si="7"/>
        <v>9</v>
      </c>
      <c r="L243" s="1" t="str">
        <f>IF(C243="","",IF(K243&lt;=0,"🔴 تمام",IF(K243&lt;=تنظیمات_سیستم!$C$7,"🟠 کم","🟢 OK")))</f>
        <v>🟢 OK</v>
      </c>
    </row>
    <row r="244" spans="1:12" ht="19.5" customHeight="1">
      <c r="A244" s="1" t="str">
        <f t="shared" si="6"/>
        <v>SKU-0241</v>
      </c>
      <c r="B244" s="63" t="s">
        <v>957</v>
      </c>
      <c r="C244" t="s">
        <v>708</v>
      </c>
      <c r="D244" s="36" t="s">
        <v>67</v>
      </c>
      <c r="E244" s="36" t="s">
        <v>78</v>
      </c>
      <c r="F244" s="90" t="s">
        <v>66</v>
      </c>
      <c r="G244" s="7"/>
      <c r="H244" s="7">
        <v>1320000</v>
      </c>
      <c r="I244" s="8">
        <v>9</v>
      </c>
      <c r="J244" s="9">
        <f>IFERROR(SUMIF(لاگ_فاکتور!$I$3:$I$1622,A244,لاگ_فاکتور!$L$3:$L$1622),0)</f>
        <v>0</v>
      </c>
      <c r="K244" s="10">
        <f t="shared" si="7"/>
        <v>9</v>
      </c>
      <c r="L244" s="1" t="str">
        <f>IF(C244="","",IF(K244&lt;=0,"🔴 تمام",IF(K244&lt;=تنظیمات_سیستم!$C$7,"🟠 کم","🟢 OK")))</f>
        <v>🟢 OK</v>
      </c>
    </row>
    <row r="245" spans="1:12" ht="19.5" customHeight="1">
      <c r="A245" s="1" t="str">
        <f t="shared" si="6"/>
        <v>SKU-0242</v>
      </c>
      <c r="B245" s="63" t="s">
        <v>958</v>
      </c>
      <c r="C245" t="s">
        <v>709</v>
      </c>
      <c r="D245" s="36" t="s">
        <v>64</v>
      </c>
      <c r="E245" s="36" t="s">
        <v>78</v>
      </c>
      <c r="F245" s="90" t="s">
        <v>69</v>
      </c>
      <c r="G245" s="7"/>
      <c r="H245" s="7">
        <v>2880000</v>
      </c>
      <c r="I245" s="8">
        <v>9</v>
      </c>
      <c r="J245" s="9">
        <f>IFERROR(SUMIF(لاگ_فاکتور!$I$3:$I$1622,A245,لاگ_فاکتور!$L$3:$L$1622),0)</f>
        <v>0</v>
      </c>
      <c r="K245" s="10">
        <f t="shared" si="7"/>
        <v>9</v>
      </c>
      <c r="L245" s="1" t="str">
        <f>IF(C245="","",IF(K245&lt;=0,"🔴 تمام",IF(K245&lt;=تنظیمات_سیستم!$C$7,"🟠 کم","🟢 OK")))</f>
        <v>🟢 OK</v>
      </c>
    </row>
    <row r="246" spans="1:12" ht="19.5" customHeight="1">
      <c r="A246" s="1" t="str">
        <f t="shared" si="6"/>
        <v>SKU-0243</v>
      </c>
      <c r="B246" s="63" t="s">
        <v>959</v>
      </c>
      <c r="C246" t="s">
        <v>710</v>
      </c>
      <c r="D246" s="36" t="s">
        <v>64</v>
      </c>
      <c r="E246" s="36" t="s">
        <v>78</v>
      </c>
      <c r="F246" s="90" t="s">
        <v>69</v>
      </c>
      <c r="G246" s="7"/>
      <c r="H246" s="7">
        <v>2880000</v>
      </c>
      <c r="I246" s="8">
        <v>9</v>
      </c>
      <c r="J246" s="9">
        <f>IFERROR(SUMIF(لاگ_فاکتور!$I$3:$I$1622,A246,لاگ_فاکتور!$L$3:$L$1622),0)</f>
        <v>0</v>
      </c>
      <c r="K246" s="10">
        <f t="shared" si="7"/>
        <v>9</v>
      </c>
      <c r="L246" s="1" t="str">
        <f>IF(C246="","",IF(K246&lt;=0,"🔴 تمام",IF(K246&lt;=تنظیمات_سیستم!$C$7,"🟠 کم","🟢 OK")))</f>
        <v>🟢 OK</v>
      </c>
    </row>
    <row r="247" spans="1:12" ht="19.5" customHeight="1">
      <c r="A247" s="1" t="str">
        <f t="shared" si="6"/>
        <v>SKU-0244</v>
      </c>
      <c r="B247" s="63" t="s">
        <v>960</v>
      </c>
      <c r="C247" t="s">
        <v>711</v>
      </c>
      <c r="D247" s="36" t="s">
        <v>64</v>
      </c>
      <c r="E247" s="36" t="s">
        <v>78</v>
      </c>
      <c r="F247" s="90" t="s">
        <v>69</v>
      </c>
      <c r="G247" s="7"/>
      <c r="H247" s="7">
        <v>2880000</v>
      </c>
      <c r="I247" s="8">
        <v>9</v>
      </c>
      <c r="J247" s="9">
        <f>IFERROR(SUMIF(لاگ_فاکتور!$I$3:$I$1622,A247,لاگ_فاکتور!$L$3:$L$1622),0)</f>
        <v>0</v>
      </c>
      <c r="K247" s="10">
        <f t="shared" si="7"/>
        <v>9</v>
      </c>
      <c r="L247" s="1" t="str">
        <f>IF(C247="","",IF(K247&lt;=0,"🔴 تمام",IF(K247&lt;=تنظیمات_سیستم!$C$7,"🟠 کم","🟢 OK")))</f>
        <v>🟢 OK</v>
      </c>
    </row>
    <row r="248" spans="1:12" ht="19.5" customHeight="1">
      <c r="A248" s="1" t="str">
        <f t="shared" si="6"/>
        <v>SKU-0245</v>
      </c>
      <c r="B248" s="63" t="s">
        <v>961</v>
      </c>
      <c r="C248" t="s">
        <v>712</v>
      </c>
      <c r="D248" s="36" t="s">
        <v>64</v>
      </c>
      <c r="E248" s="36" t="s">
        <v>78</v>
      </c>
      <c r="F248" s="90" t="s">
        <v>69</v>
      </c>
      <c r="G248" s="7"/>
      <c r="H248" s="7">
        <v>2880000</v>
      </c>
      <c r="I248" s="8">
        <v>9</v>
      </c>
      <c r="J248" s="9">
        <f>IFERROR(SUMIF(لاگ_فاکتور!$I$3:$I$1622,A248,لاگ_فاکتور!$L$3:$L$1622),0)</f>
        <v>0</v>
      </c>
      <c r="K248" s="10">
        <f t="shared" si="7"/>
        <v>9</v>
      </c>
      <c r="L248" s="1" t="str">
        <f>IF(C248="","",IF(K248&lt;=0,"🔴 تمام",IF(K248&lt;=تنظیمات_سیستم!$C$7,"🟠 کم","🟢 OK")))</f>
        <v>🟢 OK</v>
      </c>
    </row>
    <row r="249" spans="1:12" ht="19.5" customHeight="1">
      <c r="A249" s="1" t="str">
        <f t="shared" si="6"/>
        <v>SKU-0246</v>
      </c>
      <c r="B249" s="63" t="s">
        <v>962</v>
      </c>
      <c r="C249" t="s">
        <v>713</v>
      </c>
      <c r="D249" s="36" t="s">
        <v>64</v>
      </c>
      <c r="E249" s="36" t="s">
        <v>78</v>
      </c>
      <c r="F249" s="90" t="s">
        <v>69</v>
      </c>
      <c r="G249" s="7"/>
      <c r="H249" s="7">
        <v>2880000</v>
      </c>
      <c r="I249" s="8">
        <v>9</v>
      </c>
      <c r="J249" s="9">
        <f>IFERROR(SUMIF(لاگ_فاکتور!$I$3:$I$1622,A249,لاگ_فاکتور!$L$3:$L$1622),0)</f>
        <v>0</v>
      </c>
      <c r="K249" s="10">
        <f t="shared" si="7"/>
        <v>9</v>
      </c>
      <c r="L249" s="1" t="str">
        <f>IF(C249="","",IF(K249&lt;=0,"🔴 تمام",IF(K249&lt;=تنظیمات_سیستم!$C$7,"🟠 کم","🟢 OK")))</f>
        <v>🟢 OK</v>
      </c>
    </row>
    <row r="250" spans="1:12" ht="19.5" customHeight="1">
      <c r="A250" s="1" t="str">
        <f t="shared" si="6"/>
        <v>SKU-0247</v>
      </c>
      <c r="B250" s="63" t="s">
        <v>963</v>
      </c>
      <c r="C250" t="s">
        <v>714</v>
      </c>
      <c r="D250" s="36" t="s">
        <v>64</v>
      </c>
      <c r="E250" s="36" t="s">
        <v>78</v>
      </c>
      <c r="F250" s="90" t="s">
        <v>69</v>
      </c>
      <c r="G250" s="7"/>
      <c r="H250" s="7">
        <v>2880000</v>
      </c>
      <c r="I250" s="8">
        <v>9</v>
      </c>
      <c r="J250" s="9">
        <f>IFERROR(SUMIF(لاگ_فاکتور!$I$3:$I$1622,A250,لاگ_فاکتور!$L$3:$L$1622),0)</f>
        <v>0</v>
      </c>
      <c r="K250" s="10">
        <f t="shared" si="7"/>
        <v>9</v>
      </c>
      <c r="L250" s="1" t="str">
        <f>IF(C250="","",IF(K250&lt;=0,"🔴 تمام",IF(K250&lt;=تنظیمات_سیستم!$C$7,"🟠 کم","🟢 OK")))</f>
        <v>🟢 OK</v>
      </c>
    </row>
    <row r="251" spans="1:12" ht="19.5" customHeight="1">
      <c r="A251" s="1" t="str">
        <f t="shared" si="6"/>
        <v>SKU-0248</v>
      </c>
      <c r="B251" s="63" t="s">
        <v>964</v>
      </c>
      <c r="C251" t="s">
        <v>1124</v>
      </c>
      <c r="D251" s="36" t="s">
        <v>64</v>
      </c>
      <c r="E251" s="36" t="s">
        <v>78</v>
      </c>
      <c r="F251" s="90" t="s">
        <v>69</v>
      </c>
      <c r="G251" s="7"/>
      <c r="H251" s="7">
        <v>2580000</v>
      </c>
      <c r="I251" s="8">
        <v>9</v>
      </c>
      <c r="J251" s="9">
        <f>IFERROR(SUMIF(لاگ_فاکتور!$I$3:$I$1622,A251,لاگ_فاکتور!$L$3:$L$1622),0)</f>
        <v>0</v>
      </c>
      <c r="K251" s="10">
        <f t="shared" si="7"/>
        <v>9</v>
      </c>
      <c r="L251" s="1" t="str">
        <f>IF(C251="","",IF(K251&lt;=0,"🔴 تمام",IF(K251&lt;=تنظیمات_سیستم!$C$7,"🟠 کم","🟢 OK")))</f>
        <v>🟢 OK</v>
      </c>
    </row>
    <row r="252" spans="1:12" ht="19.5" customHeight="1">
      <c r="A252" s="1" t="str">
        <f t="shared" si="6"/>
        <v>SKU-0249</v>
      </c>
      <c r="B252" s="63" t="s">
        <v>965</v>
      </c>
      <c r="C252" t="s">
        <v>715</v>
      </c>
      <c r="D252" s="36" t="s">
        <v>64</v>
      </c>
      <c r="E252" s="36" t="s">
        <v>78</v>
      </c>
      <c r="F252" s="90" t="s">
        <v>69</v>
      </c>
      <c r="G252" s="7"/>
      <c r="H252" s="7">
        <v>2880000</v>
      </c>
      <c r="I252" s="8">
        <v>9</v>
      </c>
      <c r="J252" s="9">
        <f>IFERROR(SUMIF(لاگ_فاکتور!$I$3:$I$1622,A252,لاگ_فاکتور!$L$3:$L$1622),0)</f>
        <v>0</v>
      </c>
      <c r="K252" s="10">
        <f t="shared" si="7"/>
        <v>9</v>
      </c>
      <c r="L252" s="1" t="str">
        <f>IF(C252="","",IF(K252&lt;=0,"🔴 تمام",IF(K252&lt;=تنظیمات_سیستم!$C$7,"🟠 کم","🟢 OK")))</f>
        <v>🟢 OK</v>
      </c>
    </row>
    <row r="253" spans="1:12" ht="19.5" customHeight="1">
      <c r="A253" s="1" t="str">
        <f t="shared" si="6"/>
        <v>SKU-0250</v>
      </c>
      <c r="B253" s="63" t="s">
        <v>966</v>
      </c>
      <c r="C253" t="s">
        <v>716</v>
      </c>
      <c r="D253" s="36" t="s">
        <v>64</v>
      </c>
      <c r="E253" s="36" t="s">
        <v>78</v>
      </c>
      <c r="F253" s="90" t="s">
        <v>69</v>
      </c>
      <c r="G253" s="7"/>
      <c r="H253" s="7">
        <v>2880000</v>
      </c>
      <c r="I253" s="8">
        <v>9</v>
      </c>
      <c r="J253" s="9">
        <f>IFERROR(SUMIF(لاگ_فاکتور!$I$3:$I$1622,A253,لاگ_فاکتور!$L$3:$L$1622),0)</f>
        <v>0</v>
      </c>
      <c r="K253" s="10">
        <f t="shared" si="7"/>
        <v>9</v>
      </c>
      <c r="L253" s="1" t="str">
        <f>IF(C253="","",IF(K253&lt;=0,"🔴 تمام",IF(K253&lt;=تنظیمات_سیستم!$C$7,"🟠 کم","🟢 OK")))</f>
        <v>🟢 OK</v>
      </c>
    </row>
    <row r="254" spans="1:12" ht="19.5" customHeight="1">
      <c r="A254" s="1" t="str">
        <f t="shared" si="6"/>
        <v>SKU-0251</v>
      </c>
      <c r="B254" s="63" t="s">
        <v>967</v>
      </c>
      <c r="C254" t="s">
        <v>717</v>
      </c>
      <c r="D254" s="36" t="s">
        <v>64</v>
      </c>
      <c r="E254" s="36" t="s">
        <v>78</v>
      </c>
      <c r="F254" s="90" t="s">
        <v>66</v>
      </c>
      <c r="G254" s="7"/>
      <c r="H254" s="7"/>
      <c r="I254" s="8">
        <v>9</v>
      </c>
      <c r="J254" s="9">
        <f>IFERROR(SUMIF(لاگ_فاکتور!$I$3:$I$1622,A254,لاگ_فاکتور!$L$3:$L$1622),0)</f>
        <v>0</v>
      </c>
      <c r="K254" s="10">
        <f t="shared" si="7"/>
        <v>9</v>
      </c>
      <c r="L254" s="1" t="str">
        <f>IF(C254="","",IF(K254&lt;=0,"🔴 تمام",IF(K254&lt;=تنظیمات_سیستم!$C$7,"🟠 کم","🟢 OK")))</f>
        <v>🟢 OK</v>
      </c>
    </row>
    <row r="255" spans="1:12" ht="19.5" customHeight="1">
      <c r="A255" s="1" t="str">
        <f t="shared" si="6"/>
        <v>SKU-0252</v>
      </c>
      <c r="B255" s="63" t="s">
        <v>968</v>
      </c>
      <c r="C255" t="s">
        <v>718</v>
      </c>
      <c r="D255" s="36" t="s">
        <v>64</v>
      </c>
      <c r="E255" s="36" t="s">
        <v>78</v>
      </c>
      <c r="F255" s="90" t="s">
        <v>66</v>
      </c>
      <c r="G255" s="7"/>
      <c r="H255" s="7"/>
      <c r="I255" s="8">
        <v>9</v>
      </c>
      <c r="J255" s="9">
        <f>IFERROR(SUMIF(لاگ_فاکتور!$I$3:$I$1622,A255,لاگ_فاکتور!$L$3:$L$1622),0)</f>
        <v>0</v>
      </c>
      <c r="K255" s="10">
        <f t="shared" si="7"/>
        <v>9</v>
      </c>
      <c r="L255" s="1" t="str">
        <f>IF(C255="","",IF(K255&lt;=0,"🔴 تمام",IF(K255&lt;=تنظیمات_سیستم!$C$7,"🟠 کم","🟢 OK")))</f>
        <v>🟢 OK</v>
      </c>
    </row>
    <row r="256" spans="1:12" ht="19.5" customHeight="1">
      <c r="A256" s="1" t="str">
        <f t="shared" si="6"/>
        <v>SKU-0253</v>
      </c>
      <c r="B256" s="63" t="s">
        <v>969</v>
      </c>
      <c r="C256" t="s">
        <v>719</v>
      </c>
      <c r="D256" s="36" t="s">
        <v>64</v>
      </c>
      <c r="E256" s="36" t="s">
        <v>78</v>
      </c>
      <c r="F256" s="90" t="s">
        <v>66</v>
      </c>
      <c r="G256" s="7"/>
      <c r="H256" s="7"/>
      <c r="I256" s="8">
        <v>9</v>
      </c>
      <c r="J256" s="9">
        <f>IFERROR(SUMIF(لاگ_فاکتور!$I$3:$I$1622,A256,لاگ_فاکتور!$L$3:$L$1622),0)</f>
        <v>0</v>
      </c>
      <c r="K256" s="10">
        <f t="shared" si="7"/>
        <v>9</v>
      </c>
      <c r="L256" s="1" t="str">
        <f>IF(C256="","",IF(K256&lt;=0,"🔴 تمام",IF(K256&lt;=تنظیمات_سیستم!$C$7,"🟠 کم","🟢 OK")))</f>
        <v>🟢 OK</v>
      </c>
    </row>
    <row r="257" spans="1:12" ht="19.5" customHeight="1">
      <c r="A257" s="1" t="str">
        <f t="shared" si="6"/>
        <v>SKU-0254</v>
      </c>
      <c r="B257" s="63" t="s">
        <v>970</v>
      </c>
      <c r="C257" t="s">
        <v>720</v>
      </c>
      <c r="D257" s="36" t="s">
        <v>64</v>
      </c>
      <c r="E257" s="36" t="s">
        <v>78</v>
      </c>
      <c r="F257" s="90" t="s">
        <v>66</v>
      </c>
      <c r="G257" s="7"/>
      <c r="H257" s="7">
        <v>2380000</v>
      </c>
      <c r="I257" s="8">
        <v>9</v>
      </c>
      <c r="J257" s="9">
        <f>IFERROR(SUMIF(لاگ_فاکتور!$I$3:$I$1622,A257,لاگ_فاکتور!$L$3:$L$1622),0)</f>
        <v>0</v>
      </c>
      <c r="K257" s="10">
        <f t="shared" si="7"/>
        <v>9</v>
      </c>
      <c r="L257" s="1" t="str">
        <f>IF(C257="","",IF(K257&lt;=0,"🔴 تمام",IF(K257&lt;=تنظیمات_سیستم!$C$7,"🟠 کم","🟢 OK")))</f>
        <v>🟢 OK</v>
      </c>
    </row>
    <row r="258" spans="1:12" ht="19.5" customHeight="1">
      <c r="A258" s="1" t="str">
        <f t="shared" si="6"/>
        <v>SKU-0255</v>
      </c>
      <c r="B258" s="63" t="s">
        <v>971</v>
      </c>
      <c r="C258" t="s">
        <v>721</v>
      </c>
      <c r="D258" s="36" t="s">
        <v>64</v>
      </c>
      <c r="E258" s="36" t="s">
        <v>76</v>
      </c>
      <c r="F258" s="90" t="s">
        <v>66</v>
      </c>
      <c r="G258" s="7"/>
      <c r="H258" s="7">
        <v>1540000</v>
      </c>
      <c r="I258" s="8">
        <v>9</v>
      </c>
      <c r="J258" s="9">
        <f>IFERROR(SUMIF(لاگ_فاکتور!$I$3:$I$1622,A258,لاگ_فاکتور!$L$3:$L$1622),0)</f>
        <v>0</v>
      </c>
      <c r="K258" s="10">
        <f t="shared" si="7"/>
        <v>9</v>
      </c>
      <c r="L258" s="1" t="str">
        <f>IF(C258="","",IF(K258&lt;=0,"🔴 تمام",IF(K258&lt;=تنظیمات_سیستم!$C$7,"🟠 کم","🟢 OK")))</f>
        <v>🟢 OK</v>
      </c>
    </row>
    <row r="259" spans="1:12" ht="19.5" customHeight="1">
      <c r="A259" s="1" t="str">
        <f t="shared" si="6"/>
        <v>SKU-0256</v>
      </c>
      <c r="B259" s="63" t="s">
        <v>972</v>
      </c>
      <c r="C259" t="s">
        <v>722</v>
      </c>
      <c r="D259" s="36" t="s">
        <v>64</v>
      </c>
      <c r="E259" s="36" t="s">
        <v>76</v>
      </c>
      <c r="F259" s="90" t="s">
        <v>66</v>
      </c>
      <c r="G259" s="7"/>
      <c r="H259" s="7">
        <v>1540000</v>
      </c>
      <c r="I259" s="8">
        <v>9</v>
      </c>
      <c r="J259" s="9">
        <f>IFERROR(SUMIF(لاگ_فاکتور!$I$3:$I$1622,A259,لاگ_فاکتور!$L$3:$L$1622),0)</f>
        <v>0</v>
      </c>
      <c r="K259" s="10">
        <f t="shared" si="7"/>
        <v>9</v>
      </c>
      <c r="L259" s="1" t="str">
        <f>IF(C259="","",IF(K259&lt;=0,"🔴 تمام",IF(K259&lt;=تنظیمات_سیستم!$C$7,"🟠 کم","🟢 OK")))</f>
        <v>🟢 OK</v>
      </c>
    </row>
    <row r="260" spans="1:12" ht="19.5" customHeight="1">
      <c r="A260" s="1" t="str">
        <f t="shared" ref="A260:A301" si="8">IF(C260="","","SKU-"&amp;TEXT(ROW()-3,"0000"))</f>
        <v>SKU-0257</v>
      </c>
      <c r="B260" s="63" t="s">
        <v>973</v>
      </c>
      <c r="C260" t="s">
        <v>723</v>
      </c>
      <c r="D260" s="36" t="s">
        <v>64</v>
      </c>
      <c r="E260" s="36" t="s">
        <v>76</v>
      </c>
      <c r="F260" s="90" t="s">
        <v>66</v>
      </c>
      <c r="G260" s="7"/>
      <c r="H260" s="7">
        <v>1540000</v>
      </c>
      <c r="I260" s="8">
        <v>9</v>
      </c>
      <c r="J260" s="9">
        <f>IFERROR(SUMIF(لاگ_فاکتور!$I$3:$I$1622,A260,لاگ_فاکتور!$L$3:$L$1622),0)</f>
        <v>0</v>
      </c>
      <c r="K260" s="10">
        <f t="shared" ref="K260:K303" si="9">MAX(0,I260-J260)</f>
        <v>9</v>
      </c>
      <c r="L260" s="1" t="str">
        <f>IF(C260="","",IF(K260&lt;=0,"🔴 تمام",IF(K260&lt;=تنظیمات_سیستم!$C$7,"🟠 کم","🟢 OK")))</f>
        <v>🟢 OK</v>
      </c>
    </row>
    <row r="261" spans="1:12" ht="19.5" customHeight="1">
      <c r="A261" s="1" t="str">
        <f t="shared" si="8"/>
        <v>SKU-0258</v>
      </c>
      <c r="B261" s="63" t="s">
        <v>974</v>
      </c>
      <c r="C261" t="s">
        <v>724</v>
      </c>
      <c r="D261" s="36" t="s">
        <v>64</v>
      </c>
      <c r="E261" s="36" t="s">
        <v>76</v>
      </c>
      <c r="F261" s="90" t="s">
        <v>66</v>
      </c>
      <c r="G261" s="7"/>
      <c r="H261" s="7">
        <v>1540000</v>
      </c>
      <c r="I261" s="8">
        <v>9</v>
      </c>
      <c r="J261" s="9">
        <f>IFERROR(SUMIF(لاگ_فاکتور!$I$3:$I$1622,A261,لاگ_فاکتور!$L$3:$L$1622),0)</f>
        <v>0</v>
      </c>
      <c r="K261" s="10">
        <f t="shared" si="9"/>
        <v>9</v>
      </c>
      <c r="L261" s="1" t="str">
        <f>IF(C261="","",IF(K261&lt;=0,"🔴 تمام",IF(K261&lt;=تنظیمات_سیستم!$C$7,"🟠 کم","🟢 OK")))</f>
        <v>🟢 OK</v>
      </c>
    </row>
    <row r="262" spans="1:12" ht="19.5" customHeight="1">
      <c r="A262" s="1" t="str">
        <f t="shared" si="8"/>
        <v>SKU-0259</v>
      </c>
      <c r="B262" s="63" t="s">
        <v>975</v>
      </c>
      <c r="C262" t="s">
        <v>725</v>
      </c>
      <c r="D262" s="36" t="s">
        <v>64</v>
      </c>
      <c r="E262" s="36" t="s">
        <v>76</v>
      </c>
      <c r="F262" s="90" t="s">
        <v>66</v>
      </c>
      <c r="G262" s="7"/>
      <c r="H262" s="7">
        <v>1540000</v>
      </c>
      <c r="I262" s="8">
        <v>9</v>
      </c>
      <c r="J262" s="9">
        <f>IFERROR(SUMIF(لاگ_فاکتور!$I$3:$I$1622,A262,لاگ_فاکتور!$L$3:$L$1622),0)</f>
        <v>0</v>
      </c>
      <c r="K262" s="10">
        <f t="shared" si="9"/>
        <v>9</v>
      </c>
      <c r="L262" s="1" t="str">
        <f>IF(C262="","",IF(K262&lt;=0,"🔴 تمام",IF(K262&lt;=تنظیمات_سیستم!$C$7,"🟠 کم","🟢 OK")))</f>
        <v>🟢 OK</v>
      </c>
    </row>
    <row r="263" spans="1:12" ht="19.5" customHeight="1">
      <c r="A263" s="1" t="str">
        <f t="shared" si="8"/>
        <v>SKU-0260</v>
      </c>
      <c r="B263" s="63" t="s">
        <v>976</v>
      </c>
      <c r="C263" t="s">
        <v>726</v>
      </c>
      <c r="D263" s="36" t="s">
        <v>64</v>
      </c>
      <c r="E263" s="36" t="s">
        <v>76</v>
      </c>
      <c r="F263" s="90" t="s">
        <v>66</v>
      </c>
      <c r="G263" s="7"/>
      <c r="H263" s="7">
        <v>1540000</v>
      </c>
      <c r="I263" s="8">
        <v>9</v>
      </c>
      <c r="J263" s="9">
        <f>IFERROR(SUMIF(لاگ_فاکتور!$I$3:$I$1622,A263,لاگ_فاکتور!$L$3:$L$1622),0)</f>
        <v>0</v>
      </c>
      <c r="K263" s="10">
        <f t="shared" si="9"/>
        <v>9</v>
      </c>
      <c r="L263" s="1" t="str">
        <f>IF(C263="","",IF(K263&lt;=0,"🔴 تمام",IF(K263&lt;=تنظیمات_سیستم!$C$7,"🟠 کم","🟢 OK")))</f>
        <v>🟢 OK</v>
      </c>
    </row>
    <row r="264" spans="1:12" ht="19.5" customHeight="1">
      <c r="A264" s="1" t="str">
        <f t="shared" si="8"/>
        <v>SKU-0261</v>
      </c>
      <c r="B264" s="63" t="s">
        <v>977</v>
      </c>
      <c r="C264" t="s">
        <v>1075</v>
      </c>
      <c r="D264" s="36" t="s">
        <v>564</v>
      </c>
      <c r="E264" s="36" t="s">
        <v>76</v>
      </c>
      <c r="F264" s="90" t="s">
        <v>66</v>
      </c>
      <c r="G264" s="7"/>
      <c r="H264" s="7">
        <v>3180000</v>
      </c>
      <c r="I264" s="8">
        <v>9</v>
      </c>
      <c r="J264" s="9">
        <f>IFERROR(SUMIF(لاگ_فاکتور!$I$3:$I$1622,A264,لاگ_فاکتور!$L$3:$L$1622),0)</f>
        <v>0</v>
      </c>
      <c r="K264" s="10">
        <f t="shared" si="9"/>
        <v>9</v>
      </c>
      <c r="L264" s="1" t="str">
        <f>IF(C264="","",IF(K264&lt;=0,"🔴 تمام",IF(K264&lt;=تنظیمات_سیستم!$C$7,"🟠 کم","🟢 OK")))</f>
        <v>🟢 OK</v>
      </c>
    </row>
    <row r="265" spans="1:12" ht="19.5" customHeight="1">
      <c r="A265" s="1" t="str">
        <f t="shared" si="8"/>
        <v>SKU-0262</v>
      </c>
      <c r="B265" s="63" t="s">
        <v>978</v>
      </c>
      <c r="C265" t="s">
        <v>727</v>
      </c>
      <c r="D265" s="36" t="s">
        <v>564</v>
      </c>
      <c r="E265" s="36" t="s">
        <v>76</v>
      </c>
      <c r="F265" s="90" t="s">
        <v>66</v>
      </c>
      <c r="G265" s="7"/>
      <c r="H265" s="7">
        <v>3180000</v>
      </c>
      <c r="I265" s="8">
        <v>9</v>
      </c>
      <c r="J265" s="9">
        <f>IFERROR(SUMIF(لاگ_فاکتور!$I$3:$I$1622,A265,لاگ_فاکتور!$L$3:$L$1622),0)</f>
        <v>0</v>
      </c>
      <c r="K265" s="10">
        <f t="shared" si="9"/>
        <v>9</v>
      </c>
      <c r="L265" s="1" t="str">
        <f>IF(C265="","",IF(K265&lt;=0,"🔴 تمام",IF(K265&lt;=تنظیمات_سیستم!$C$7,"🟠 کم","🟢 OK")))</f>
        <v>🟢 OK</v>
      </c>
    </row>
    <row r="266" spans="1:12" ht="19.5" customHeight="1">
      <c r="A266" s="1" t="str">
        <f t="shared" si="8"/>
        <v>SKU-0263</v>
      </c>
      <c r="B266" s="63" t="s">
        <v>979</v>
      </c>
      <c r="C266" t="s">
        <v>728</v>
      </c>
      <c r="D266" s="36" t="s">
        <v>73</v>
      </c>
      <c r="E266" s="36" t="s">
        <v>76</v>
      </c>
      <c r="F266" s="90" t="s">
        <v>66</v>
      </c>
      <c r="G266" s="7"/>
      <c r="H266" s="7"/>
      <c r="I266" s="8">
        <v>9</v>
      </c>
      <c r="J266" s="9">
        <f>IFERROR(SUMIF(لاگ_فاکتور!$I$3:$I$1622,A266,لاگ_فاکتور!$L$3:$L$1622),0)</f>
        <v>0</v>
      </c>
      <c r="K266" s="10">
        <f t="shared" si="9"/>
        <v>9</v>
      </c>
      <c r="L266" s="1" t="str">
        <f>IF(C266="","",IF(K266&lt;=0,"🔴 تمام",IF(K266&lt;=تنظیمات_سیستم!$C$7,"🟠 کم","🟢 OK")))</f>
        <v>🟢 OK</v>
      </c>
    </row>
    <row r="267" spans="1:12" ht="19.5" customHeight="1">
      <c r="A267" s="1" t="str">
        <f t="shared" si="8"/>
        <v>SKU-0264</v>
      </c>
      <c r="B267" s="63" t="s">
        <v>980</v>
      </c>
      <c r="C267" t="s">
        <v>729</v>
      </c>
      <c r="D267" s="36" t="s">
        <v>73</v>
      </c>
      <c r="E267" s="36" t="s">
        <v>76</v>
      </c>
      <c r="F267" s="90" t="s">
        <v>66</v>
      </c>
      <c r="G267" s="7"/>
      <c r="H267" s="7"/>
      <c r="I267" s="8">
        <v>9</v>
      </c>
      <c r="J267" s="9">
        <f>IFERROR(SUMIF(لاگ_فاکتور!$I$3:$I$1622,A267,لاگ_فاکتور!$L$3:$L$1622),0)</f>
        <v>0</v>
      </c>
      <c r="K267" s="10">
        <f t="shared" si="9"/>
        <v>9</v>
      </c>
      <c r="L267" s="1" t="str">
        <f>IF(C267="","",IF(K267&lt;=0,"🔴 تمام",IF(K267&lt;=تنظیمات_سیستم!$C$7,"🟠 کم","🟢 OK")))</f>
        <v>🟢 OK</v>
      </c>
    </row>
    <row r="268" spans="1:12" ht="19.5" customHeight="1">
      <c r="A268" s="1" t="str">
        <f t="shared" si="8"/>
        <v>SKU-0265</v>
      </c>
      <c r="B268" s="63" t="s">
        <v>981</v>
      </c>
      <c r="C268" t="s">
        <v>730</v>
      </c>
      <c r="D268" s="36" t="s">
        <v>73</v>
      </c>
      <c r="E268" s="36" t="s">
        <v>76</v>
      </c>
      <c r="F268" s="90" t="s">
        <v>66</v>
      </c>
      <c r="G268" s="7"/>
      <c r="H268" s="7"/>
      <c r="I268" s="8">
        <v>9</v>
      </c>
      <c r="J268" s="9">
        <f>IFERROR(SUMIF(لاگ_فاکتور!$I$3:$I$1622,A268,لاگ_فاکتور!$L$3:$L$1622),0)</f>
        <v>0</v>
      </c>
      <c r="K268" s="10">
        <f t="shared" si="9"/>
        <v>9</v>
      </c>
      <c r="L268" s="1" t="str">
        <f>IF(C268="","",IF(K268&lt;=0,"🔴 تمام",IF(K268&lt;=تنظیمات_سیستم!$C$7,"🟠 کم","🟢 OK")))</f>
        <v>🟢 OK</v>
      </c>
    </row>
    <row r="269" spans="1:12" ht="19.5" customHeight="1">
      <c r="A269" s="1" t="str">
        <f t="shared" si="8"/>
        <v>SKU-0266</v>
      </c>
      <c r="B269" s="63" t="s">
        <v>982</v>
      </c>
      <c r="C269" t="s">
        <v>731</v>
      </c>
      <c r="D269" s="36" t="s">
        <v>73</v>
      </c>
      <c r="E269" s="36" t="s">
        <v>76</v>
      </c>
      <c r="F269" s="90" t="s">
        <v>66</v>
      </c>
      <c r="G269" s="7"/>
      <c r="H269" s="7"/>
      <c r="I269" s="8">
        <v>9</v>
      </c>
      <c r="J269" s="9">
        <f>IFERROR(SUMIF(لاگ_فاکتور!$I$3:$I$1622,A269,لاگ_فاکتور!$L$3:$L$1622),0)</f>
        <v>0</v>
      </c>
      <c r="K269" s="10">
        <f t="shared" si="9"/>
        <v>9</v>
      </c>
      <c r="L269" s="1" t="str">
        <f>IF(C269="","",IF(K269&lt;=0,"🔴 تمام",IF(K269&lt;=تنظیمات_سیستم!$C$7,"🟠 کم","🟢 OK")))</f>
        <v>🟢 OK</v>
      </c>
    </row>
    <row r="270" spans="1:12" ht="19.5" customHeight="1">
      <c r="A270" s="1" t="str">
        <f t="shared" si="8"/>
        <v>SKU-0267</v>
      </c>
      <c r="B270" s="63" t="s">
        <v>983</v>
      </c>
      <c r="C270" t="s">
        <v>732</v>
      </c>
      <c r="D270" s="36" t="s">
        <v>73</v>
      </c>
      <c r="E270" s="36" t="s">
        <v>76</v>
      </c>
      <c r="F270" s="90" t="s">
        <v>66</v>
      </c>
      <c r="G270" s="7"/>
      <c r="H270" s="7"/>
      <c r="I270" s="8">
        <v>9</v>
      </c>
      <c r="J270" s="9">
        <f>IFERROR(SUMIF(لاگ_فاکتور!$I$3:$I$1622,A270,لاگ_فاکتور!$L$3:$L$1622),0)</f>
        <v>0</v>
      </c>
      <c r="K270" s="10">
        <f t="shared" si="9"/>
        <v>9</v>
      </c>
      <c r="L270" s="1" t="str">
        <f>IF(C270="","",IF(K270&lt;=0,"🔴 تمام",IF(K270&lt;=تنظیمات_سیستم!$C$7,"🟠 کم","🟢 OK")))</f>
        <v>🟢 OK</v>
      </c>
    </row>
    <row r="271" spans="1:12" ht="19.5" customHeight="1">
      <c r="A271" s="1" t="str">
        <f t="shared" si="8"/>
        <v>SKU-0268</v>
      </c>
      <c r="B271" s="63" t="s">
        <v>984</v>
      </c>
      <c r="C271" t="s">
        <v>733</v>
      </c>
      <c r="D271" s="36" t="s">
        <v>73</v>
      </c>
      <c r="E271" s="36" t="s">
        <v>76</v>
      </c>
      <c r="F271" s="90" t="s">
        <v>66</v>
      </c>
      <c r="G271" s="7"/>
      <c r="H271" s="7"/>
      <c r="I271" s="8">
        <v>9</v>
      </c>
      <c r="J271" s="9">
        <f>IFERROR(SUMIF(لاگ_فاکتور!$I$3:$I$1622,A271,لاگ_فاکتور!$L$3:$L$1622),0)</f>
        <v>0</v>
      </c>
      <c r="K271" s="10">
        <f t="shared" si="9"/>
        <v>9</v>
      </c>
      <c r="L271" s="1" t="str">
        <f>IF(C271="","",IF(K271&lt;=0,"🔴 تمام",IF(K271&lt;=تنظیمات_سیستم!$C$7,"🟠 کم","🟢 OK")))</f>
        <v>🟢 OK</v>
      </c>
    </row>
    <row r="272" spans="1:12" ht="19.5" customHeight="1">
      <c r="A272" s="1" t="str">
        <f t="shared" si="8"/>
        <v>SKU-0269</v>
      </c>
      <c r="B272" s="63" t="s">
        <v>985</v>
      </c>
      <c r="C272" t="s">
        <v>1061</v>
      </c>
      <c r="D272" s="36" t="s">
        <v>73</v>
      </c>
      <c r="E272" s="36" t="s">
        <v>84</v>
      </c>
      <c r="F272" s="90" t="s">
        <v>66</v>
      </c>
      <c r="G272" s="7"/>
      <c r="H272" s="7">
        <v>1080000</v>
      </c>
      <c r="I272" s="8">
        <v>9</v>
      </c>
      <c r="J272" s="9">
        <f>IFERROR(SUMIF(لاگ_فاکتور!$I$3:$I$1622,A272,لاگ_فاکتور!$L$3:$L$1622),0)</f>
        <v>0</v>
      </c>
      <c r="K272" s="10">
        <f t="shared" si="9"/>
        <v>9</v>
      </c>
      <c r="L272" s="1" t="str">
        <f>IF(C272="","",IF(K272&lt;=0,"🔴 تمام",IF(K272&lt;=تنظیمات_سیستم!$C$7,"🟠 کم","🟢 OK")))</f>
        <v>🟢 OK</v>
      </c>
    </row>
    <row r="273" spans="1:12" ht="19.5" customHeight="1">
      <c r="A273" s="1" t="str">
        <f t="shared" si="8"/>
        <v>SKU-0270</v>
      </c>
      <c r="B273" s="63" t="s">
        <v>986</v>
      </c>
      <c r="C273" t="s">
        <v>1366</v>
      </c>
      <c r="D273" s="36" t="s">
        <v>581</v>
      </c>
      <c r="E273" s="36" t="s">
        <v>78</v>
      </c>
      <c r="F273" s="90" t="s">
        <v>66</v>
      </c>
      <c r="G273" s="7"/>
      <c r="H273" s="7">
        <v>2580000</v>
      </c>
      <c r="I273" s="8">
        <v>9</v>
      </c>
      <c r="J273" s="9">
        <f>IFERROR(SUMIF(لاگ_فاکتور!$I$3:$I$1622,A273,لاگ_فاکتور!$L$3:$L$1622),0)</f>
        <v>0</v>
      </c>
      <c r="K273" s="10">
        <f t="shared" si="9"/>
        <v>9</v>
      </c>
      <c r="L273" s="1" t="str">
        <f>IF(C273="","",IF(K273&lt;=0,"🔴 تمام",IF(K273&lt;=تنظیمات_سیستم!$C$7,"🟠 کم","🟢 OK")))</f>
        <v>🟢 OK</v>
      </c>
    </row>
    <row r="274" spans="1:12" ht="19.5" customHeight="1">
      <c r="A274" s="1" t="str">
        <f t="shared" si="8"/>
        <v>SKU-0271</v>
      </c>
      <c r="B274" s="63" t="s">
        <v>987</v>
      </c>
      <c r="C274" t="s">
        <v>734</v>
      </c>
      <c r="D274" s="36" t="s">
        <v>64</v>
      </c>
      <c r="E274" s="36" t="s">
        <v>76</v>
      </c>
      <c r="F274" s="90" t="s">
        <v>66</v>
      </c>
      <c r="G274" s="7"/>
      <c r="H274" s="7"/>
      <c r="I274" s="8">
        <v>9</v>
      </c>
      <c r="J274" s="9">
        <f>IFERROR(SUMIF(لاگ_فاکتور!$I$3:$I$1622,A274,لاگ_فاکتور!$L$3:$L$1622),0)</f>
        <v>0</v>
      </c>
      <c r="K274" s="10">
        <f t="shared" si="9"/>
        <v>9</v>
      </c>
      <c r="L274" s="1" t="str">
        <f>IF(C274="","",IF(K274&lt;=0,"🔴 تمام",IF(K274&lt;=تنظیمات_سیستم!$C$7,"🟠 کم","🟢 OK")))</f>
        <v>🟢 OK</v>
      </c>
    </row>
    <row r="275" spans="1:12" ht="19.5" customHeight="1">
      <c r="A275" s="1" t="str">
        <f t="shared" si="8"/>
        <v>SKU-0272</v>
      </c>
      <c r="B275" s="63" t="s">
        <v>988</v>
      </c>
      <c r="C275" t="s">
        <v>735</v>
      </c>
      <c r="D275" s="36" t="s">
        <v>73</v>
      </c>
      <c r="E275" s="36" t="s">
        <v>76</v>
      </c>
      <c r="F275" s="90" t="s">
        <v>66</v>
      </c>
      <c r="G275" s="7"/>
      <c r="H275" s="7"/>
      <c r="I275" s="8">
        <v>9</v>
      </c>
      <c r="J275" s="9">
        <f>IFERROR(SUMIF(لاگ_فاکتور!$I$3:$I$1622,A275,لاگ_فاکتور!$L$3:$L$1622),0)</f>
        <v>0</v>
      </c>
      <c r="K275" s="10">
        <f t="shared" si="9"/>
        <v>9</v>
      </c>
      <c r="L275" s="1" t="str">
        <f>IF(C275="","",IF(K275&lt;=0,"🔴 تمام",IF(K275&lt;=تنظیمات_سیستم!$C$7,"🟠 کم","🟢 OK")))</f>
        <v>🟢 OK</v>
      </c>
    </row>
    <row r="276" spans="1:12" ht="19.5" customHeight="1">
      <c r="A276" s="1" t="str">
        <f t="shared" si="8"/>
        <v>SKU-0273</v>
      </c>
      <c r="B276" s="63" t="s">
        <v>989</v>
      </c>
      <c r="C276" t="s">
        <v>736</v>
      </c>
      <c r="D276" s="36" t="s">
        <v>73</v>
      </c>
      <c r="E276" s="36" t="s">
        <v>76</v>
      </c>
      <c r="F276" s="90" t="s">
        <v>66</v>
      </c>
      <c r="G276" s="7"/>
      <c r="H276" s="7"/>
      <c r="I276" s="8">
        <v>9</v>
      </c>
      <c r="J276" s="9">
        <f>IFERROR(SUMIF(لاگ_فاکتور!$I$3:$I$1622,A276,لاگ_فاکتور!$L$3:$L$1622),0)</f>
        <v>0</v>
      </c>
      <c r="K276" s="10">
        <f t="shared" si="9"/>
        <v>9</v>
      </c>
      <c r="L276" s="1" t="str">
        <f>IF(C276="","",IF(K276&lt;=0,"🔴 تمام",IF(K276&lt;=تنظیمات_سیستم!$C$7,"🟠 کم","🟢 OK")))</f>
        <v>🟢 OK</v>
      </c>
    </row>
    <row r="277" spans="1:12" ht="19.5" customHeight="1">
      <c r="A277" s="1" t="str">
        <f t="shared" si="8"/>
        <v>SKU-0274</v>
      </c>
      <c r="B277" s="63" t="s">
        <v>990</v>
      </c>
      <c r="C277" t="s">
        <v>1076</v>
      </c>
      <c r="D277" s="36" t="s">
        <v>73</v>
      </c>
      <c r="E277" s="36" t="s">
        <v>65</v>
      </c>
      <c r="F277" s="90" t="s">
        <v>69</v>
      </c>
      <c r="G277" s="7"/>
      <c r="H277" s="7">
        <v>1320000</v>
      </c>
      <c r="I277" s="8">
        <v>9</v>
      </c>
      <c r="J277" s="9">
        <f>IFERROR(SUMIF(لاگ_فاکتور!$I$3:$I$1622,A277,لاگ_فاکتور!$L$3:$L$1622),0)</f>
        <v>0</v>
      </c>
      <c r="K277" s="10">
        <f t="shared" si="9"/>
        <v>9</v>
      </c>
      <c r="L277" s="1" t="str">
        <f>IF(C277="","",IF(K277&lt;=0,"🔴 تمام",IF(K277&lt;=تنظیمات_سیستم!$C$7,"🟠 کم","🟢 OK")))</f>
        <v>🟢 OK</v>
      </c>
    </row>
    <row r="278" spans="1:12" ht="19.5" customHeight="1">
      <c r="A278" s="1" t="str">
        <f t="shared" si="8"/>
        <v>SKU-0275</v>
      </c>
      <c r="B278" s="63" t="s">
        <v>991</v>
      </c>
      <c r="C278" t="s">
        <v>1060</v>
      </c>
      <c r="D278" s="36" t="s">
        <v>73</v>
      </c>
      <c r="E278" s="36" t="s">
        <v>65</v>
      </c>
      <c r="F278" s="90" t="s">
        <v>69</v>
      </c>
      <c r="G278" s="7"/>
      <c r="H278" s="7">
        <v>1320000</v>
      </c>
      <c r="I278" s="8">
        <v>9</v>
      </c>
      <c r="J278" s="9">
        <f>IFERROR(SUMIF(لاگ_فاکتور!$I$3:$I$1622,A278,لاگ_فاکتور!$L$3:$L$1622),0)</f>
        <v>0</v>
      </c>
      <c r="K278" s="10">
        <f t="shared" si="9"/>
        <v>9</v>
      </c>
      <c r="L278" s="1" t="str">
        <f>IF(C278="","",IF(K278&lt;=0,"🔴 تمام",IF(K278&lt;=تنظیمات_سیستم!$C$7,"🟠 کم","🟢 OK")))</f>
        <v>🟢 OK</v>
      </c>
    </row>
    <row r="279" spans="1:12" ht="19.5" customHeight="1">
      <c r="A279" s="1" t="str">
        <f t="shared" si="8"/>
        <v>SKU-0276</v>
      </c>
      <c r="B279" s="63" t="s">
        <v>992</v>
      </c>
      <c r="C279" t="s">
        <v>1059</v>
      </c>
      <c r="D279" s="64" t="s">
        <v>64</v>
      </c>
      <c r="E279" s="36" t="s">
        <v>737</v>
      </c>
      <c r="F279" s="90" t="s">
        <v>66</v>
      </c>
      <c r="G279" s="7"/>
      <c r="H279" s="7">
        <v>1320000</v>
      </c>
      <c r="I279" s="8">
        <v>9</v>
      </c>
      <c r="J279" s="9">
        <f>IFERROR(SUMIF(لاگ_فاکتور!$I$3:$I$1622,A279,لاگ_فاکتور!$L$3:$L$1622),0)</f>
        <v>0</v>
      </c>
      <c r="K279" s="10">
        <f t="shared" si="9"/>
        <v>9</v>
      </c>
      <c r="L279" s="1" t="str">
        <f>IF(C279="","",IF(K279&lt;=0,"🔴 تمام",IF(K279&lt;=تنظیمات_سیستم!$C$7,"🟠 کم","🟢 OK")))</f>
        <v>🟢 OK</v>
      </c>
    </row>
    <row r="280" spans="1:12" ht="19.5" customHeight="1">
      <c r="A280" s="1" t="str">
        <f t="shared" si="8"/>
        <v>SKU-0277</v>
      </c>
      <c r="B280" s="63" t="s">
        <v>839</v>
      </c>
      <c r="C280" t="s">
        <v>1120</v>
      </c>
      <c r="D280" s="36" t="s">
        <v>83</v>
      </c>
      <c r="E280" s="36" t="s">
        <v>737</v>
      </c>
      <c r="F280" s="90" t="s">
        <v>66</v>
      </c>
      <c r="G280" s="7"/>
      <c r="H280" s="7">
        <v>2600000</v>
      </c>
      <c r="I280" s="8">
        <v>9</v>
      </c>
      <c r="J280" s="9">
        <f>IFERROR(SUMIF(لاگ_فاکتور!$I$3:$I$1622,A280,لاگ_فاکتور!$L$3:$L$1622),0)</f>
        <v>0</v>
      </c>
      <c r="K280" s="10">
        <f t="shared" si="9"/>
        <v>9</v>
      </c>
      <c r="L280" s="1" t="str">
        <f>IF(C280="","",IF(K280&lt;=0,"🔴 تمام",IF(K280&lt;=تنظیمات_سیستم!$C$7,"🟠 کم","🟢 OK")))</f>
        <v>🟢 OK</v>
      </c>
    </row>
    <row r="281" spans="1:12" ht="19.5" customHeight="1">
      <c r="A281" s="1" t="str">
        <f t="shared" si="8"/>
        <v>SKU-0278</v>
      </c>
      <c r="B281" s="63" t="s">
        <v>993</v>
      </c>
      <c r="C281" t="s">
        <v>1080</v>
      </c>
      <c r="D281" s="64" t="s">
        <v>81</v>
      </c>
      <c r="E281" s="36" t="s">
        <v>737</v>
      </c>
      <c r="F281" s="90" t="s">
        <v>66</v>
      </c>
      <c r="G281" s="7"/>
      <c r="H281" s="7">
        <v>1880000</v>
      </c>
      <c r="I281" s="8">
        <v>9</v>
      </c>
      <c r="J281" s="9">
        <f>IFERROR(SUMIF(لاگ_فاکتور!$I$3:$I$1622,A281,لاگ_فاکتور!$L$3:$L$1622),0)</f>
        <v>0</v>
      </c>
      <c r="K281" s="10">
        <f t="shared" si="9"/>
        <v>9</v>
      </c>
      <c r="L281" s="1" t="str">
        <f>IF(C281="","",IF(K281&lt;=0,"🔴 تمام",IF(K281&lt;=تنظیمات_سیستم!$C$7,"🟠 کم","🟢 OK")))</f>
        <v>🟢 OK</v>
      </c>
    </row>
    <row r="282" spans="1:12" ht="19.5" customHeight="1">
      <c r="A282" s="1" t="str">
        <f t="shared" si="8"/>
        <v>SKU-0279</v>
      </c>
      <c r="B282" s="63" t="s">
        <v>994</v>
      </c>
      <c r="C282" t="s">
        <v>1248</v>
      </c>
      <c r="D282" s="64" t="s">
        <v>81</v>
      </c>
      <c r="E282" s="36" t="s">
        <v>737</v>
      </c>
      <c r="F282" s="90" t="s">
        <v>66</v>
      </c>
      <c r="G282" s="7"/>
      <c r="H282" s="7">
        <v>2380000</v>
      </c>
      <c r="I282" s="8">
        <v>9</v>
      </c>
      <c r="J282" s="9">
        <f>IFERROR(SUMIF(لاگ_فاکتور!$I$3:$I$1622,A282,لاگ_فاکتور!$L$3:$L$1622),0)</f>
        <v>0</v>
      </c>
      <c r="K282" s="10">
        <f t="shared" si="9"/>
        <v>9</v>
      </c>
      <c r="L282" s="1" t="str">
        <f>IF(C282="","",IF(K282&lt;=0,"🔴 تمام",IF(K282&lt;=تنظیمات_سیستم!$C$7,"🟠 کم","🟢 OK")))</f>
        <v>🟢 OK</v>
      </c>
    </row>
    <row r="283" spans="1:12" ht="19.5" customHeight="1">
      <c r="A283" s="1" t="str">
        <f t="shared" si="8"/>
        <v>SKU-0280</v>
      </c>
      <c r="B283" s="63" t="s">
        <v>995</v>
      </c>
      <c r="C283" t="s">
        <v>1254</v>
      </c>
      <c r="D283" s="64" t="s">
        <v>81</v>
      </c>
      <c r="E283" s="36" t="s">
        <v>737</v>
      </c>
      <c r="F283" s="90" t="s">
        <v>66</v>
      </c>
      <c r="G283" s="7"/>
      <c r="H283" s="7">
        <v>3580000</v>
      </c>
      <c r="I283" s="8">
        <v>9</v>
      </c>
      <c r="J283" s="9">
        <f>IFERROR(SUMIF(لاگ_فاکتور!$I$3:$I$1622,A283,لاگ_فاکتور!$L$3:$L$1622),0)</f>
        <v>0</v>
      </c>
      <c r="K283" s="10">
        <f t="shared" si="9"/>
        <v>9</v>
      </c>
      <c r="L283" s="1" t="str">
        <f>IF(C283="","",IF(K283&lt;=0,"🔴 تمام",IF(K283&lt;=تنظیمات_سیستم!$C$7,"🟠 کم","🟢 OK")))</f>
        <v>🟢 OK</v>
      </c>
    </row>
    <row r="284" spans="1:12" ht="19.5" customHeight="1">
      <c r="A284" s="1" t="str">
        <f t="shared" si="8"/>
        <v>SKU-0281</v>
      </c>
      <c r="B284" s="63" t="s">
        <v>996</v>
      </c>
      <c r="C284" t="s">
        <v>1247</v>
      </c>
      <c r="D284" s="36" t="s">
        <v>83</v>
      </c>
      <c r="E284" s="36" t="s">
        <v>737</v>
      </c>
      <c r="F284" s="90" t="s">
        <v>66</v>
      </c>
      <c r="G284" s="7"/>
      <c r="H284" s="7">
        <v>6780000</v>
      </c>
      <c r="I284" s="8">
        <v>9</v>
      </c>
      <c r="J284" s="9">
        <f>IFERROR(SUMIF(لاگ_فاکتور!$I$3:$I$1622,A284,لاگ_فاکتور!$L$3:$L$1622),0)</f>
        <v>0</v>
      </c>
      <c r="K284" s="10">
        <f t="shared" si="9"/>
        <v>9</v>
      </c>
      <c r="L284" s="1" t="str">
        <f>IF(C284="","",IF(K284&lt;=0,"🔴 تمام",IF(K284&lt;=تنظیمات_سیستم!$C$7,"🟠 کم","🟢 OK")))</f>
        <v>🟢 OK</v>
      </c>
    </row>
    <row r="285" spans="1:12" ht="19.5" customHeight="1">
      <c r="A285" s="1" t="str">
        <f t="shared" si="8"/>
        <v>SKU-0282</v>
      </c>
      <c r="B285" s="63" t="s">
        <v>997</v>
      </c>
      <c r="C285" t="s">
        <v>1246</v>
      </c>
      <c r="D285" s="36" t="s">
        <v>83</v>
      </c>
      <c r="E285" s="36" t="s">
        <v>737</v>
      </c>
      <c r="F285" s="90" t="s">
        <v>66</v>
      </c>
      <c r="G285" s="7"/>
      <c r="H285" s="7">
        <v>6880000</v>
      </c>
      <c r="I285" s="8">
        <v>9</v>
      </c>
      <c r="J285" s="9">
        <f>IFERROR(SUMIF(لاگ_فاکتور!$I$3:$I$1622,A285,لاگ_فاکتور!$L$3:$L$1622),0)</f>
        <v>0</v>
      </c>
      <c r="K285" s="10">
        <f t="shared" si="9"/>
        <v>9</v>
      </c>
      <c r="L285" s="1" t="str">
        <f>IF(C285="","",IF(K285&lt;=0,"🔴 تمام",IF(K285&lt;=تنظیمات_سیستم!$C$7,"🟠 کم","🟢 OK")))</f>
        <v>🟢 OK</v>
      </c>
    </row>
    <row r="286" spans="1:12" ht="19.5" customHeight="1">
      <c r="A286" s="1" t="str">
        <f t="shared" si="8"/>
        <v>SKU-0283</v>
      </c>
      <c r="B286" s="63" t="s">
        <v>998</v>
      </c>
      <c r="C286" t="s">
        <v>1104</v>
      </c>
      <c r="D286" s="36" t="s">
        <v>83</v>
      </c>
      <c r="E286" s="36" t="s">
        <v>737</v>
      </c>
      <c r="F286" s="90" t="s">
        <v>66</v>
      </c>
      <c r="G286" s="7"/>
      <c r="H286" s="7">
        <v>1170000</v>
      </c>
      <c r="I286" s="8">
        <v>9</v>
      </c>
      <c r="J286" s="9">
        <f>IFERROR(SUMIF(لاگ_فاکتور!$I$3:$I$1622,A286,لاگ_فاکتور!$L$3:$L$1622),0)</f>
        <v>0</v>
      </c>
      <c r="K286" s="10">
        <f t="shared" si="9"/>
        <v>9</v>
      </c>
      <c r="L286" s="1" t="str">
        <f>IF(C286="","",IF(K286&lt;=0,"🔴 تمام",IF(K286&lt;=تنظیمات_سیستم!$C$7,"🟠 کم","🟢 OK")))</f>
        <v>🟢 OK</v>
      </c>
    </row>
    <row r="287" spans="1:12" ht="19.5" customHeight="1">
      <c r="A287" s="1" t="str">
        <f t="shared" si="8"/>
        <v>SKU-0284</v>
      </c>
      <c r="B287" s="63" t="s">
        <v>999</v>
      </c>
      <c r="C287" t="s">
        <v>1255</v>
      </c>
      <c r="D287" s="64" t="s">
        <v>64</v>
      </c>
      <c r="E287" s="36" t="s">
        <v>737</v>
      </c>
      <c r="F287" s="90" t="s">
        <v>66</v>
      </c>
      <c r="G287" s="7"/>
      <c r="H287" s="7">
        <v>4250000</v>
      </c>
      <c r="I287" s="8">
        <v>9</v>
      </c>
      <c r="J287" s="9">
        <f>IFERROR(SUMIF(لاگ_فاکتور!$I$3:$I$1622,A287,لاگ_فاکتور!$L$3:$L$1622),0)</f>
        <v>0</v>
      </c>
      <c r="K287" s="10">
        <f t="shared" si="9"/>
        <v>9</v>
      </c>
      <c r="L287" s="1" t="str">
        <f>IF(C287="","",IF(K287&lt;=0,"🔴 تمام",IF(K287&lt;=تنظیمات_سیستم!$C$7,"🟠 کم","🟢 OK")))</f>
        <v>🟢 OK</v>
      </c>
    </row>
    <row r="288" spans="1:12" ht="19.5" customHeight="1">
      <c r="A288" s="1" t="str">
        <f t="shared" si="8"/>
        <v>SKU-0285</v>
      </c>
      <c r="B288" s="63" t="s">
        <v>1000</v>
      </c>
      <c r="C288" t="s">
        <v>1263</v>
      </c>
      <c r="D288" s="64" t="s">
        <v>70</v>
      </c>
      <c r="E288" s="36" t="s">
        <v>737</v>
      </c>
      <c r="F288" s="90" t="s">
        <v>66</v>
      </c>
      <c r="G288" s="7"/>
      <c r="H288" s="7">
        <v>2580000</v>
      </c>
      <c r="I288" s="8">
        <v>9</v>
      </c>
      <c r="J288" s="9">
        <f>IFERROR(SUMIF(لاگ_فاکتور!$I$3:$I$1622,A288,لاگ_فاکتور!$L$3:$L$1622),0)</f>
        <v>0</v>
      </c>
      <c r="K288" s="10">
        <f t="shared" si="9"/>
        <v>9</v>
      </c>
      <c r="L288" s="1" t="str">
        <f>IF(C288="","",IF(K288&lt;=0,"🔴 تمام",IF(K288&lt;=تنظیمات_سیستم!$C$7,"🟠 کم","🟢 OK")))</f>
        <v>🟢 OK</v>
      </c>
    </row>
    <row r="289" spans="1:12" ht="19.5" customHeight="1">
      <c r="A289" s="1" t="str">
        <f t="shared" si="8"/>
        <v>SKU-0286</v>
      </c>
      <c r="B289" s="63" t="s">
        <v>1001</v>
      </c>
      <c r="C289" t="s">
        <v>1371</v>
      </c>
      <c r="D289" s="36" t="s">
        <v>83</v>
      </c>
      <c r="E289" s="36" t="s">
        <v>737</v>
      </c>
      <c r="F289" s="90" t="s">
        <v>66</v>
      </c>
      <c r="G289" s="7"/>
      <c r="H289" s="7">
        <v>2700000</v>
      </c>
      <c r="I289" s="8">
        <v>9</v>
      </c>
      <c r="J289" s="9">
        <f>IFERROR(SUMIF(لاگ_فاکتور!$I$3:$I$1622,A289,لاگ_فاکتور!$L$3:$L$1622),0)</f>
        <v>0</v>
      </c>
      <c r="K289" s="10">
        <f t="shared" si="9"/>
        <v>9</v>
      </c>
      <c r="L289" s="1" t="str">
        <f>IF(C289="","",IF(K289&lt;=0,"🔴 تمام",IF(K289&lt;=تنظیمات_سیستم!$C$7,"🟠 کم","🟢 OK")))</f>
        <v>🟢 OK</v>
      </c>
    </row>
    <row r="290" spans="1:12" ht="19.5" customHeight="1">
      <c r="A290" s="1" t="str">
        <f t="shared" si="8"/>
        <v>SKU-0287</v>
      </c>
      <c r="B290" s="63" t="s">
        <v>1002</v>
      </c>
      <c r="C290" t="s">
        <v>1268</v>
      </c>
      <c r="D290" s="36" t="s">
        <v>83</v>
      </c>
      <c r="E290" s="36" t="s">
        <v>737</v>
      </c>
      <c r="F290" s="90" t="s">
        <v>66</v>
      </c>
      <c r="G290" s="7"/>
      <c r="H290" s="7">
        <v>2380000</v>
      </c>
      <c r="I290" s="8">
        <v>9</v>
      </c>
      <c r="J290" s="9">
        <f>IFERROR(SUMIF(لاگ_فاکتور!$I$3:$I$1622,A290,لاگ_فاکتور!$L$3:$L$1622),0)</f>
        <v>0</v>
      </c>
      <c r="K290" s="10">
        <f t="shared" si="9"/>
        <v>9</v>
      </c>
      <c r="L290" s="1" t="str">
        <f>IF(C290="","",IF(K290&lt;=0,"🔴 تمام",IF(K290&lt;=تنظیمات_سیستم!$C$7,"🟠 کم","🟢 OK")))</f>
        <v>🟢 OK</v>
      </c>
    </row>
    <row r="291" spans="1:12" ht="19.5" customHeight="1">
      <c r="A291" s="1" t="str">
        <f t="shared" si="8"/>
        <v>SKU-0288</v>
      </c>
      <c r="B291" s="63" t="s">
        <v>1003</v>
      </c>
      <c r="C291" t="s">
        <v>1446</v>
      </c>
      <c r="D291" s="36" t="s">
        <v>83</v>
      </c>
      <c r="E291" s="36" t="s">
        <v>737</v>
      </c>
      <c r="F291" s="90" t="s">
        <v>66</v>
      </c>
      <c r="G291" s="7"/>
      <c r="H291" s="7">
        <v>2880000</v>
      </c>
      <c r="I291" s="8">
        <v>9</v>
      </c>
      <c r="J291" s="9">
        <f>IFERROR(SUMIF(لاگ_فاکتور!$I$3:$I$1622,A291,لاگ_فاکتور!$L$3:$L$1622),0)</f>
        <v>0</v>
      </c>
      <c r="K291" s="10">
        <f t="shared" si="9"/>
        <v>9</v>
      </c>
      <c r="L291" s="1" t="str">
        <f>IF(C291="","",IF(K291&lt;=0,"🔴 تمام",IF(K291&lt;=تنظیمات_سیستم!$C$7,"🟠 کم","🟢 OK")))</f>
        <v>🟢 OK</v>
      </c>
    </row>
    <row r="292" spans="1:12" ht="19.5" customHeight="1">
      <c r="A292" s="1" t="str">
        <f t="shared" si="8"/>
        <v>SKU-0289</v>
      </c>
      <c r="B292" s="63" t="s">
        <v>1004</v>
      </c>
      <c r="C292" t="s">
        <v>1406</v>
      </c>
      <c r="D292" s="36" t="s">
        <v>83</v>
      </c>
      <c r="E292" s="36" t="s">
        <v>737</v>
      </c>
      <c r="F292" s="90" t="s">
        <v>66</v>
      </c>
      <c r="G292" s="7"/>
      <c r="H292" s="7">
        <v>2980000</v>
      </c>
      <c r="I292" s="8">
        <v>9</v>
      </c>
      <c r="J292" s="9">
        <f>IFERROR(SUMIF(لاگ_فاکتور!$I$3:$I$1622,A292,لاگ_فاکتور!$L$3:$L$1622),0)</f>
        <v>0</v>
      </c>
      <c r="K292" s="10">
        <f t="shared" si="9"/>
        <v>9</v>
      </c>
      <c r="L292" s="1" t="str">
        <f>IF(C292="","",IF(K292&lt;=0,"🔴 تمام",IF(K292&lt;=تنظیمات_سیستم!$C$7,"🟠 کم","🟢 OK")))</f>
        <v>🟢 OK</v>
      </c>
    </row>
    <row r="293" spans="1:12" ht="19.5" customHeight="1">
      <c r="A293" s="1" t="str">
        <f>IF(C293="","","SKU-"&amp;TEXT(ROW()-3,"0000"))</f>
        <v>SKU-0290</v>
      </c>
      <c r="B293" s="63" t="s">
        <v>1005</v>
      </c>
      <c r="C293" t="s">
        <v>1435</v>
      </c>
      <c r="D293" s="64" t="s">
        <v>81</v>
      </c>
      <c r="E293" s="36" t="s">
        <v>737</v>
      </c>
      <c r="F293" s="90" t="s">
        <v>66</v>
      </c>
      <c r="G293" s="7"/>
      <c r="H293" s="7">
        <v>6780000</v>
      </c>
      <c r="I293" s="8">
        <v>9</v>
      </c>
      <c r="J293" s="9">
        <f>IFERROR(SUMIF(لاگ_فاکتور!$I$3:$I$1622,A293,لاگ_فاکتور!$L$3:$L$1622),0)</f>
        <v>0</v>
      </c>
      <c r="K293" s="10">
        <f t="shared" si="9"/>
        <v>9</v>
      </c>
      <c r="L293" s="1" t="str">
        <f>IF(C293="","",IF(K293&lt;=0,"🔴 تمام",IF(K293&lt;=تنظیمات_سیستم!$C$7,"🟠 کم","🟢 OK")))</f>
        <v>🟢 OK</v>
      </c>
    </row>
    <row r="294" spans="1:12" ht="19.5" customHeight="1">
      <c r="A294" s="1" t="str">
        <f t="shared" si="8"/>
        <v>SKU-0291</v>
      </c>
      <c r="B294" s="63" t="s">
        <v>1084</v>
      </c>
      <c r="C294" t="s">
        <v>1311</v>
      </c>
      <c r="D294" s="36" t="s">
        <v>83</v>
      </c>
      <c r="E294" s="36" t="s">
        <v>737</v>
      </c>
      <c r="F294" s="90" t="s">
        <v>66</v>
      </c>
      <c r="G294" s="7"/>
      <c r="H294" s="7">
        <v>3180000</v>
      </c>
      <c r="I294" s="8">
        <v>9</v>
      </c>
      <c r="J294" s="9">
        <f>IFERROR(SUMIF(لاگ_فاکتور!$I$3:$I$1622,A294,لاگ_فاکتور!$L$3:$L$1622),0)</f>
        <v>0</v>
      </c>
      <c r="K294" s="10">
        <f t="shared" si="9"/>
        <v>9</v>
      </c>
      <c r="L294" s="1" t="str">
        <f>IF(C294="","",IF(K294&lt;=0,"🔴 تمام",IF(K294&lt;=تنظیمات_سیستم!$C$7,"🟠 کم","🟢 OK")))</f>
        <v>🟢 OK</v>
      </c>
    </row>
    <row r="295" spans="1:12" ht="19.5" customHeight="1">
      <c r="A295" s="1" t="str">
        <f t="shared" si="8"/>
        <v>SKU-0292</v>
      </c>
      <c r="B295" s="63" t="s">
        <v>1085</v>
      </c>
      <c r="C295" t="s">
        <v>1312</v>
      </c>
      <c r="D295" s="36" t="s">
        <v>83</v>
      </c>
      <c r="E295" s="36" t="s">
        <v>737</v>
      </c>
      <c r="F295" s="90" t="s">
        <v>66</v>
      </c>
      <c r="G295" s="7"/>
      <c r="H295" s="7">
        <v>3180000</v>
      </c>
      <c r="I295" s="8">
        <v>9</v>
      </c>
      <c r="J295" s="9">
        <f>IFERROR(SUMIF(لاگ_فاکتور!$I$3:$I$1622,A295,لاگ_فاکتور!$L$3:$L$1622),0)</f>
        <v>0</v>
      </c>
      <c r="K295" s="10">
        <f t="shared" si="9"/>
        <v>9</v>
      </c>
      <c r="L295" s="1" t="str">
        <f>IF(C295="","",IF(K295&lt;=0,"🔴 تمام",IF(K295&lt;=تنظیمات_سیستم!$C$7,"🟠 کم","🟢 OK")))</f>
        <v>🟢 OK</v>
      </c>
    </row>
    <row r="296" spans="1:12" ht="19.5" customHeight="1">
      <c r="A296" s="1" t="str">
        <f t="shared" si="8"/>
        <v>SKU-0293</v>
      </c>
      <c r="B296" s="63" t="s">
        <v>1086</v>
      </c>
      <c r="C296" t="s">
        <v>1313</v>
      </c>
      <c r="D296" s="36" t="s">
        <v>83</v>
      </c>
      <c r="E296" s="36" t="s">
        <v>737</v>
      </c>
      <c r="F296" s="90" t="s">
        <v>66</v>
      </c>
      <c r="G296" s="7"/>
      <c r="H296" s="7">
        <v>3450000</v>
      </c>
      <c r="I296" s="8">
        <v>9</v>
      </c>
      <c r="J296" s="9">
        <f>IFERROR(SUMIF(لاگ_فاکتور!$I$3:$I$1622,A296,لاگ_فاکتور!$L$3:$L$1622),0)</f>
        <v>0</v>
      </c>
      <c r="K296" s="10">
        <f t="shared" si="9"/>
        <v>9</v>
      </c>
      <c r="L296" s="1" t="str">
        <f>IF(C296="","",IF(K296&lt;=0,"🔴 تمام",IF(K296&lt;=تنظیمات_سیستم!$C$7,"🟠 کم","🟢 OK")))</f>
        <v>🟢 OK</v>
      </c>
    </row>
    <row r="297" spans="1:12" ht="19.5" customHeight="1">
      <c r="A297" s="1" t="str">
        <f t="shared" si="8"/>
        <v>SKU-0294</v>
      </c>
      <c r="B297" s="63" t="s">
        <v>1087</v>
      </c>
      <c r="C297" t="s">
        <v>1321</v>
      </c>
      <c r="D297" s="64" t="s">
        <v>1105</v>
      </c>
      <c r="E297" s="36" t="s">
        <v>737</v>
      </c>
      <c r="F297" s="90" t="s">
        <v>66</v>
      </c>
      <c r="G297" s="7"/>
      <c r="H297" s="7">
        <v>4180000</v>
      </c>
      <c r="I297" s="8">
        <v>9</v>
      </c>
      <c r="J297" s="9">
        <f>IFERROR(SUMIF(لاگ_فاکتور!$I$3:$I$1622,A297,لاگ_فاکتور!$L$3:$L$1622),0)</f>
        <v>0</v>
      </c>
      <c r="K297" s="10">
        <f t="shared" si="9"/>
        <v>9</v>
      </c>
      <c r="L297" s="1" t="str">
        <f>IF(C297="","",IF(K297&lt;=0,"🔴 تمام",IF(K297&lt;=تنظیمات_سیستم!$C$7,"🟠 کم","🟢 OK")))</f>
        <v>🟢 OK</v>
      </c>
    </row>
    <row r="298" spans="1:12" ht="19.5" customHeight="1">
      <c r="A298" s="1" t="str">
        <f t="shared" si="8"/>
        <v>SKU-0295</v>
      </c>
      <c r="B298" s="63" t="s">
        <v>1088</v>
      </c>
      <c r="C298" t="s">
        <v>1375</v>
      </c>
      <c r="D298" s="64" t="s">
        <v>1415</v>
      </c>
      <c r="E298" s="36" t="s">
        <v>737</v>
      </c>
      <c r="F298" s="90" t="s">
        <v>66</v>
      </c>
      <c r="G298" s="7"/>
      <c r="H298" s="7">
        <v>1580000</v>
      </c>
      <c r="I298" s="8">
        <v>9</v>
      </c>
      <c r="J298" s="9">
        <f>IFERROR(SUMIF(لاگ_فاکتور!$I$3:$I$1622,A298,لاگ_فاکتور!$L$3:$L$1622),0)</f>
        <v>0</v>
      </c>
      <c r="K298" s="10">
        <f t="shared" si="9"/>
        <v>9</v>
      </c>
      <c r="L298" s="1" t="str">
        <f>IF(C298="","",IF(K298&lt;=0,"🔴 تمام",IF(K298&lt;=تنظیمات_سیستم!$C$7,"🟠 کم","🟢 OK")))</f>
        <v>🟢 OK</v>
      </c>
    </row>
    <row r="299" spans="1:12" ht="19.5" customHeight="1">
      <c r="A299" s="1" t="str">
        <f t="shared" si="8"/>
        <v>SKU-0296</v>
      </c>
      <c r="B299" s="63" t="s">
        <v>1089</v>
      </c>
      <c r="C299" t="s">
        <v>1154</v>
      </c>
      <c r="D299" s="64" t="s">
        <v>70</v>
      </c>
      <c r="E299" s="36" t="s">
        <v>737</v>
      </c>
      <c r="F299" s="90" t="s">
        <v>66</v>
      </c>
      <c r="G299" s="7"/>
      <c r="H299" s="7">
        <v>3850000</v>
      </c>
      <c r="I299" s="8">
        <v>9</v>
      </c>
      <c r="J299" s="9">
        <f>IFERROR(SUMIF(لاگ_فاکتور!$I$3:$I$1622,A299,لاگ_فاکتور!$L$3:$L$1622),0)</f>
        <v>0</v>
      </c>
      <c r="K299" s="10">
        <f t="shared" si="9"/>
        <v>9</v>
      </c>
      <c r="L299" s="1" t="str">
        <f>IF(C299="","",IF(K299&lt;=0,"🔴 تمام",IF(K299&lt;=تنظیمات_سیستم!$C$7,"🟠 کم","🟢 OK")))</f>
        <v>🟢 OK</v>
      </c>
    </row>
    <row r="300" spans="1:12" ht="19.5" customHeight="1">
      <c r="A300" s="1" t="str">
        <f t="shared" si="8"/>
        <v>SKU-0297</v>
      </c>
      <c r="B300" s="63" t="s">
        <v>1090</v>
      </c>
      <c r="C300" t="s">
        <v>1439</v>
      </c>
      <c r="D300" s="64"/>
      <c r="E300" s="36" t="s">
        <v>737</v>
      </c>
      <c r="F300" s="90" t="s">
        <v>66</v>
      </c>
      <c r="G300" s="7"/>
      <c r="H300" s="7">
        <v>2580000</v>
      </c>
      <c r="I300" s="8">
        <v>9</v>
      </c>
      <c r="J300" s="9">
        <f>IFERROR(SUMIF(لاگ_فاکتور!$I$3:$I$1622,A300,لاگ_فاکتور!$L$3:$L$1622),0)</f>
        <v>0</v>
      </c>
      <c r="K300" s="10">
        <f t="shared" si="9"/>
        <v>9</v>
      </c>
      <c r="L300" s="1" t="str">
        <f>IF(C300="","",IF(K300&lt;=0,"🔴 تمام",IF(K300&lt;=تنظیمات_سیستم!$C$7,"🟠 کم","🟢 OK")))</f>
        <v>🟢 OK</v>
      </c>
    </row>
    <row r="301" spans="1:12" ht="19.5" customHeight="1">
      <c r="A301" s="1" t="str">
        <f t="shared" si="8"/>
        <v>SKU-0298</v>
      </c>
      <c r="B301" s="63" t="s">
        <v>1091</v>
      </c>
      <c r="C301" t="s">
        <v>1443</v>
      </c>
      <c r="D301" s="64"/>
      <c r="E301" s="36" t="s">
        <v>737</v>
      </c>
      <c r="F301" s="90" t="s">
        <v>66</v>
      </c>
      <c r="G301" s="7"/>
      <c r="H301" s="7">
        <v>2800000</v>
      </c>
      <c r="I301" s="8">
        <v>9</v>
      </c>
      <c r="J301" s="9">
        <f>IFERROR(SUMIF(لاگ_فاکتور!$I$3:$I$1622,A301,لاگ_فاکتور!$L$3:$L$1622),0)</f>
        <v>0</v>
      </c>
      <c r="K301" s="10">
        <f t="shared" si="9"/>
        <v>9</v>
      </c>
      <c r="L301" s="1" t="str">
        <f>IF(C301="","",IF(K301&lt;=0,"🔴 تمام",IF(K301&lt;=تنظیمات_سیستم!$C$7,"🟠 کم","🟢 OK")))</f>
        <v>🟢 OK</v>
      </c>
    </row>
    <row r="302" spans="1:12" ht="19.5" customHeight="1">
      <c r="A302" s="1" t="str">
        <f>IF(C302="","","SKU-"&amp;TEXT(ROW()-3,"0000"))</f>
        <v>SKU-0299</v>
      </c>
      <c r="B302" s="63" t="s">
        <v>1092</v>
      </c>
      <c r="C302" t="s">
        <v>1392</v>
      </c>
      <c r="D302" s="64" t="s">
        <v>738</v>
      </c>
      <c r="E302" s="36" t="s">
        <v>737</v>
      </c>
      <c r="F302" s="90" t="s">
        <v>66</v>
      </c>
      <c r="G302" s="7"/>
      <c r="H302" s="7">
        <v>3200000</v>
      </c>
      <c r="I302" s="8">
        <v>9</v>
      </c>
      <c r="J302" s="9">
        <f>IFERROR(SUMIF(لاگ_فاکتور!$I$3:$I$1622,A302,لاگ_فاکتور!$L$3:$L$1622),0)</f>
        <v>0</v>
      </c>
      <c r="K302" s="10">
        <f t="shared" si="9"/>
        <v>9</v>
      </c>
      <c r="L302" s="1" t="str">
        <f>IF(C302="","",IF(K302&lt;=0,"🔴 تمام",IF(K302&lt;=تنظیمات_سیستم!$C$7,"🟠 کم","🟢 OK")))</f>
        <v>🟢 OK</v>
      </c>
    </row>
    <row r="303" spans="1:12" ht="19.5" customHeight="1">
      <c r="A303" s="1" t="str">
        <f>IF(C303="","","SKU-"&amp;TEXT(ROW()-3,"0000"))</f>
        <v>SKU-0300</v>
      </c>
      <c r="B303" s="63" t="s">
        <v>1093</v>
      </c>
      <c r="C303" t="s">
        <v>1375</v>
      </c>
      <c r="D303" s="64"/>
      <c r="E303" s="64"/>
      <c r="F303" s="90" t="s">
        <v>66</v>
      </c>
      <c r="G303" s="7"/>
      <c r="H303" s="7">
        <v>1580000</v>
      </c>
      <c r="I303" s="8">
        <v>9</v>
      </c>
      <c r="J303" s="9">
        <f>IFERROR(SUMIF(لاگ_فاکتور!$I$3:$I$1622,A303,لاگ_فاکتور!$L$3:$L$1622),0)</f>
        <v>0</v>
      </c>
      <c r="K303" s="10">
        <f t="shared" si="9"/>
        <v>9</v>
      </c>
      <c r="L303" s="1" t="str">
        <f>IF(C303="","",IF(K303&lt;=0,"🔴 تمام",IF(K303&lt;=تنظیمات_سیستم!$C$7,"🟠 کم","🟢 OK")))</f>
        <v>🟢 OK</v>
      </c>
    </row>
    <row r="304" spans="1:12" ht="19.5" customHeight="1">
      <c r="A304" s="1" t="str">
        <f>IF(C304="","","SKU-"&amp;TEXT(ROW()-3,"0000"))</f>
        <v/>
      </c>
      <c r="B304" s="63"/>
      <c r="D304" s="64" t="s">
        <v>578</v>
      </c>
      <c r="E304" s="36" t="s">
        <v>741</v>
      </c>
      <c r="F304" s="90" t="s">
        <v>66</v>
      </c>
      <c r="G304" s="7"/>
      <c r="H304" s="7"/>
      <c r="I304" s="8">
        <v>9</v>
      </c>
      <c r="J304" s="9">
        <f>IFERROR(SUMIF(لاگ_فاکتور!$I$3:$I$1622,A304,لاگ_فاکتور!$L$3:$L$1622),0)</f>
        <v>133</v>
      </c>
      <c r="K304" s="10">
        <f t="shared" ref="K304" si="10">MAX(0,I304-J304)</f>
        <v>0</v>
      </c>
      <c r="L304" s="1" t="str">
        <f>IF(C304="","",IF(K304&lt;=0,"🔴 تمام",IF(K304&lt;=تنظیمات_سیستم!$C$7,"🟠 کم","🟢 OK")))</f>
        <v/>
      </c>
    </row>
    <row r="305" spans="1:12" ht="19.5" customHeight="1">
      <c r="A305" s="1" t="str">
        <f>IF(C305="","","SKU-"&amp;TEXT(ROW()-3,"0000"))</f>
        <v/>
      </c>
      <c r="B305" s="63"/>
      <c r="D305" s="64" t="s">
        <v>578</v>
      </c>
      <c r="E305" s="64" t="s">
        <v>1055</v>
      </c>
      <c r="F305" s="90" t="s">
        <v>66</v>
      </c>
      <c r="G305" s="7"/>
      <c r="H305" s="7"/>
      <c r="I305" s="8">
        <v>9</v>
      </c>
      <c r="J305" s="9">
        <f>IFERROR(SUMIF(لاگ_فاکتور!$I$3:$I$1622,A305,لاگ_فاکتور!$L$3:$L$1622),0)</f>
        <v>133</v>
      </c>
      <c r="K305" s="10">
        <f t="shared" ref="K305" si="11">MAX(0,I305-J305)</f>
        <v>0</v>
      </c>
      <c r="L305" s="1" t="str">
        <f>IF(C305="","",IF(K305&lt;=0,"🔴 تمام",IF(K305&lt;=تنظیمات_سیستم!$C$7,"🟠 کم","🟢 OK")))</f>
        <v/>
      </c>
    </row>
    <row r="306" spans="1:12" ht="19.5" customHeight="1">
      <c r="A306" s="1" t="str">
        <f>IF(C306="","","SKU-"&amp;TEXT(ROW()-3,"0000"))</f>
        <v/>
      </c>
      <c r="B306" s="63"/>
      <c r="D306" s="64" t="s">
        <v>578</v>
      </c>
      <c r="E306" s="64" t="s">
        <v>1055</v>
      </c>
      <c r="F306" s="90" t="s">
        <v>66</v>
      </c>
      <c r="G306" s="7"/>
      <c r="H306" s="7"/>
      <c r="I306" s="8">
        <v>9</v>
      </c>
      <c r="J306" s="9">
        <f>IFERROR(SUMIF(لاگ_فاکتور!$I$3:$I$1622,A306,لاگ_فاکتور!$L$3:$L$1622),0)</f>
        <v>133</v>
      </c>
      <c r="K306" s="10">
        <f t="shared" ref="K306" si="12">MAX(0,I306-J306)</f>
        <v>0</v>
      </c>
      <c r="L306" s="1" t="str">
        <f>IF(C306="","",IF(K306&lt;=0,"🔴 تمام",IF(K306&lt;=تنظیمات_سیستم!$C$7,"🟠 کم","🟢 OK")))</f>
        <v/>
      </c>
    </row>
    <row r="307" spans="1:12" ht="19.5" customHeight="1">
      <c r="A307" s="1"/>
      <c r="B307" s="63"/>
      <c r="D307" s="64" t="s">
        <v>1056</v>
      </c>
      <c r="E307" s="64" t="s">
        <v>1057</v>
      </c>
      <c r="F307" s="90" t="s">
        <v>66</v>
      </c>
      <c r="G307" s="7"/>
      <c r="H307" s="7"/>
      <c r="I307" s="8">
        <v>9</v>
      </c>
      <c r="J307" s="9">
        <f>IFERROR(SUMIF(لاگ_فاکتور!$I$3:$I$1622,A307,لاگ_فاکتور!$L$3:$L$1622),0)</f>
        <v>0</v>
      </c>
      <c r="K307" s="10">
        <f t="shared" ref="K307" si="13">MAX(0,I307-J307)</f>
        <v>9</v>
      </c>
      <c r="L307" s="1" t="str">
        <f>IF(C307="","",IF(K307&lt;=0,"🔴 تمام",IF(K307&lt;=تنظیمات_سیستم!$C$7,"🟠 کم","🟢 OK")))</f>
        <v/>
      </c>
    </row>
    <row r="308" spans="1:12" ht="19.5" customHeight="1">
      <c r="A308" s="1" t="str">
        <f>IF(C308="","","SKU-"&amp;TEXT(ROW()-3,"0000"))</f>
        <v/>
      </c>
      <c r="B308" s="63"/>
      <c r="D308" s="64" t="s">
        <v>81</v>
      </c>
      <c r="E308" s="64" t="s">
        <v>1094</v>
      </c>
      <c r="F308" s="90" t="s">
        <v>66</v>
      </c>
      <c r="G308" s="7"/>
      <c r="H308" s="7"/>
      <c r="I308" s="8">
        <v>9</v>
      </c>
      <c r="J308" s="9">
        <f>IFERROR(SUMIF(لاگ_فاکتور!$I$3:$I$1622,A308,لاگ_فاکتور!$L$3:$L$1622),0)</f>
        <v>133</v>
      </c>
      <c r="K308" s="10">
        <f t="shared" ref="K308" si="14">MAX(0,I308-J308)</f>
        <v>0</v>
      </c>
      <c r="L308" s="1" t="str">
        <f>IF(C308="","",IF(K308&lt;=0,"🔴 تمام",IF(K308&lt;=تنظیمات_سیستم!$C$7,"🟠 کم","🟢 OK")))</f>
        <v/>
      </c>
    </row>
    <row r="309" spans="1:12" ht="19.5" customHeight="1">
      <c r="A309" s="1" t="str">
        <f t="shared" ref="A309" si="15">IF(C309="","","SKU-"&amp;TEXT(ROW()-3,"0000"))</f>
        <v/>
      </c>
      <c r="B309" s="63"/>
      <c r="D309" s="64" t="s">
        <v>64</v>
      </c>
      <c r="E309" s="64" t="s">
        <v>1081</v>
      </c>
      <c r="F309" s="90" t="s">
        <v>66</v>
      </c>
      <c r="G309" s="7"/>
      <c r="H309" s="7"/>
      <c r="I309" s="8">
        <v>9</v>
      </c>
      <c r="J309" s="9">
        <f>IFERROR(SUMIF(لاگ_فاکتور!$I$3:$I$1622,A309,لاگ_فاکتور!$L$3:$L$1622),0)</f>
        <v>133</v>
      </c>
      <c r="K309" s="10">
        <f t="shared" ref="K309" si="16">MAX(0,I309-J309)</f>
        <v>0</v>
      </c>
      <c r="L309" s="1" t="str">
        <f>IF(C309="","",IF(K309&lt;=0,"🔴 تمام",IF(K309&lt;=تنظیمات_سیستم!$C$7,"🟠 کم","🟢 OK")))</f>
        <v/>
      </c>
    </row>
    <row r="310" spans="1:12" ht="19.5" customHeight="1">
      <c r="A310" s="1" t="str">
        <f t="shared" ref="A310" si="17">IF(C310="","","SKU-"&amp;TEXT(ROW()-3,"0000"))</f>
        <v/>
      </c>
      <c r="B310" s="63"/>
      <c r="D310" s="36" t="s">
        <v>83</v>
      </c>
      <c r="E310" s="36" t="s">
        <v>741</v>
      </c>
      <c r="F310" s="90" t="s">
        <v>66</v>
      </c>
      <c r="G310" s="7"/>
      <c r="H310" s="7"/>
      <c r="I310" s="8">
        <v>9</v>
      </c>
      <c r="J310" s="9">
        <f>IFERROR(SUMIF(لاگ_فاکتور!$I$3:$I$1622,A310,لاگ_فاکتور!$L$3:$L$1622),0)</f>
        <v>133</v>
      </c>
      <c r="K310" s="10">
        <f t="shared" ref="K310" si="18">MAX(0,I310-J310)</f>
        <v>0</v>
      </c>
      <c r="L310" s="1" t="str">
        <f>IF(C310="","",IF(K310&lt;=0,"🔴 تمام",IF(K310&lt;=تنظیمات_سیستم!$C$7,"🟠 کم","🟢 OK")))</f>
        <v/>
      </c>
    </row>
    <row r="311" spans="1:12" ht="19.5" customHeight="1">
      <c r="A311" s="1" t="str">
        <f t="shared" ref="A311" si="19">IF(C311="","","SKU-"&amp;TEXT(ROW()-3,"0000"))</f>
        <v/>
      </c>
      <c r="B311" s="63"/>
      <c r="D311" s="36" t="s">
        <v>83</v>
      </c>
      <c r="E311" s="36" t="s">
        <v>741</v>
      </c>
      <c r="F311" s="90" t="s">
        <v>66</v>
      </c>
      <c r="G311" s="7"/>
      <c r="H311" s="7"/>
      <c r="I311" s="8">
        <v>9</v>
      </c>
      <c r="J311" s="9">
        <f>IFERROR(SUMIF(لاگ_فاکتور!$I$3:$I$1622,A311,لاگ_فاکتور!$L$3:$L$1622),0)</f>
        <v>133</v>
      </c>
      <c r="K311" s="10">
        <f t="shared" ref="K311" si="20">MAX(0,I311-J311)</f>
        <v>0</v>
      </c>
      <c r="L311" s="1" t="str">
        <f>IF(C311="","",IF(K311&lt;=0,"🔴 تمام",IF(K311&lt;=تنظیمات_سیستم!$C$7,"🟠 کم","🟢 OK")))</f>
        <v/>
      </c>
    </row>
    <row r="312" spans="1:12" ht="19.5" customHeight="1">
      <c r="A312" s="1" t="str">
        <f t="shared" ref="A312" si="21">IF(C312="","","SKU-"&amp;TEXT(ROW()-3,"0000"))</f>
        <v/>
      </c>
      <c r="B312" s="63"/>
      <c r="D312" s="36" t="s">
        <v>83</v>
      </c>
      <c r="E312" s="36" t="s">
        <v>741</v>
      </c>
      <c r="F312" s="90" t="s">
        <v>66</v>
      </c>
      <c r="G312" s="7"/>
      <c r="H312" s="7"/>
      <c r="I312" s="8">
        <v>9</v>
      </c>
      <c r="J312" s="9">
        <f>IFERROR(SUMIF(لاگ_فاکتور!$I$3:$I$1622,A312,لاگ_فاکتور!$L$3:$L$1622),0)</f>
        <v>133</v>
      </c>
      <c r="K312" s="10">
        <f t="shared" ref="K312" si="22">MAX(0,I312-J312)</f>
        <v>0</v>
      </c>
      <c r="L312" s="1" t="str">
        <f>IF(C312="","",IF(K312&lt;=0,"🔴 تمام",IF(K312&lt;=تنظیمات_سیستم!$C$7,"🟠 کم","🟢 OK")))</f>
        <v/>
      </c>
    </row>
    <row r="313" spans="1:12" ht="19.5" customHeight="1">
      <c r="A313" s="1" t="str">
        <f t="shared" ref="A313" si="23">IF(C313="","","SKU-"&amp;TEXT(ROW()-3,"0000"))</f>
        <v/>
      </c>
      <c r="B313" s="63"/>
      <c r="D313" s="36" t="s">
        <v>83</v>
      </c>
      <c r="E313" s="36" t="s">
        <v>741</v>
      </c>
      <c r="F313" s="90" t="s">
        <v>66</v>
      </c>
      <c r="G313" s="7"/>
      <c r="H313" s="7"/>
      <c r="I313" s="8">
        <v>9</v>
      </c>
      <c r="J313" s="9">
        <f>IFERROR(SUMIF(لاگ_فاکتور!$I$3:$I$1622,A313,لاگ_فاکتور!$L$3:$L$1622),0)</f>
        <v>133</v>
      </c>
      <c r="K313" s="10">
        <f t="shared" ref="K313" si="24">MAX(0,I313-J313)</f>
        <v>0</v>
      </c>
      <c r="L313" s="1" t="str">
        <f>IF(C313="","",IF(K313&lt;=0,"🔴 تمام",IF(K313&lt;=تنظیمات_سیستم!$C$7,"🟠 کم","🟢 OK")))</f>
        <v/>
      </c>
    </row>
    <row r="314" spans="1:12" ht="19.5" customHeight="1">
      <c r="A314" s="1" t="str">
        <f t="shared" ref="A314" si="25">IF(C314="","","SKU-"&amp;TEXT(ROW()-3,"0000"))</f>
        <v/>
      </c>
      <c r="B314" s="63"/>
      <c r="D314" s="36" t="s">
        <v>83</v>
      </c>
      <c r="E314" s="36" t="s">
        <v>741</v>
      </c>
      <c r="F314" s="90" t="s">
        <v>66</v>
      </c>
      <c r="G314" s="7"/>
      <c r="H314" s="7"/>
      <c r="I314" s="8">
        <v>9</v>
      </c>
      <c r="J314" s="9">
        <f>IFERROR(SUMIF(لاگ_فاکتور!$I$3:$I$1622,A314,لاگ_فاکتور!$L$3:$L$1622),0)</f>
        <v>133</v>
      </c>
      <c r="K314" s="10">
        <f t="shared" ref="K314" si="26">MAX(0,I314-J314)</f>
        <v>0</v>
      </c>
      <c r="L314" s="1" t="str">
        <f>IF(C314="","",IF(K314&lt;=0,"🔴 تمام",IF(K314&lt;=تنظیمات_سیستم!$C$7,"🟠 کم","🟢 OK")))</f>
        <v/>
      </c>
    </row>
    <row r="315" spans="1:12" ht="19.5" customHeight="1">
      <c r="A315" s="1" t="str">
        <f t="shared" ref="A315" si="27">IF(C315="","","SKU-"&amp;TEXT(ROW()-3,"0000"))</f>
        <v/>
      </c>
      <c r="B315" s="63"/>
      <c r="D315" s="36" t="s">
        <v>83</v>
      </c>
      <c r="E315" s="36" t="s">
        <v>741</v>
      </c>
      <c r="F315" s="90" t="s">
        <v>66</v>
      </c>
      <c r="G315" s="7"/>
      <c r="H315" s="7"/>
      <c r="I315" s="8">
        <v>9</v>
      </c>
      <c r="J315" s="9">
        <f>IFERROR(SUMIF(لاگ_فاکتور!$I$3:$I$1622,A315,لاگ_فاکتور!$L$3:$L$1622),0)</f>
        <v>133</v>
      </c>
      <c r="K315" s="10">
        <f t="shared" ref="K315" si="28">MAX(0,I315-J315)</f>
        <v>0</v>
      </c>
      <c r="L315" s="1" t="str">
        <f>IF(C315="","",IF(K315&lt;=0,"🔴 تمام",IF(K315&lt;=تنظیمات_سیستم!$C$7,"🟠 کم","🟢 OK")))</f>
        <v/>
      </c>
    </row>
    <row r="316" spans="1:12" ht="19.5" customHeight="1">
      <c r="A316" s="1" t="str">
        <f t="shared" ref="A316" si="29">IF(C316="","","SKU-"&amp;TEXT(ROW()-3,"0000"))</f>
        <v/>
      </c>
      <c r="B316" s="63"/>
      <c r="D316" s="36" t="s">
        <v>83</v>
      </c>
      <c r="E316" s="36" t="s">
        <v>741</v>
      </c>
      <c r="F316" s="90" t="s">
        <v>66</v>
      </c>
      <c r="G316" s="7"/>
      <c r="H316" s="7"/>
      <c r="I316" s="8">
        <v>2</v>
      </c>
      <c r="J316" s="9">
        <f>IFERROR(SUMIF(لاگ_فاکتور!$I$3:$I$1622,A316,لاگ_فاکتور!$L$3:$L$1622),0)</f>
        <v>133</v>
      </c>
      <c r="K316" s="10">
        <f t="shared" ref="K316" si="30">MAX(0,I316-J316)</f>
        <v>0</v>
      </c>
      <c r="L316" s="1" t="str">
        <f>IF(C316="","",IF(K316&lt;=0,"🔴 تمام",IF(K316&lt;=تنظیمات_سیستم!$C$7,"🟠 کم","🟢 OK")))</f>
        <v/>
      </c>
    </row>
    <row r="317" spans="1:12" ht="19.5" customHeight="1">
      <c r="A317" s="1" t="str">
        <f t="shared" ref="A317" si="31">IF(C317="","","SKU-"&amp;TEXT(ROW()-3,"0000"))</f>
        <v/>
      </c>
      <c r="B317" s="63"/>
      <c r="D317" s="36" t="s">
        <v>83</v>
      </c>
      <c r="E317" s="36" t="s">
        <v>741</v>
      </c>
      <c r="F317" s="90" t="s">
        <v>66</v>
      </c>
      <c r="G317" s="7"/>
      <c r="H317" s="7"/>
      <c r="I317" s="8">
        <v>9</v>
      </c>
      <c r="J317" s="9">
        <f>IFERROR(SUMIF(لاگ_فاکتور!$I$3:$I$1622,A317,لاگ_فاکتور!$L$3:$L$1622),0)</f>
        <v>133</v>
      </c>
      <c r="K317" s="10">
        <f t="shared" ref="K317" si="32">MAX(0,I317-J317)</f>
        <v>0</v>
      </c>
      <c r="L317" s="1" t="str">
        <f>IF(C317="","",IF(K317&lt;=0,"🔴 تمام",IF(K317&lt;=تنظیمات_سیستم!$C$7,"🟠 کم","🟢 OK")))</f>
        <v/>
      </c>
    </row>
    <row r="318" spans="1:12" ht="19.5" customHeight="1">
      <c r="A318" s="1" t="str">
        <f t="shared" ref="A318" si="33">IF(C318="","","SKU-"&amp;TEXT(ROW()-3,"0000"))</f>
        <v/>
      </c>
      <c r="B318" s="63"/>
      <c r="D318" s="36" t="s">
        <v>83</v>
      </c>
      <c r="E318" s="36" t="s">
        <v>741</v>
      </c>
      <c r="F318" s="90" t="s">
        <v>66</v>
      </c>
      <c r="G318" s="7"/>
      <c r="H318" s="7"/>
      <c r="I318" s="8">
        <v>9</v>
      </c>
      <c r="J318" s="9">
        <f>IFERROR(SUMIF(لاگ_فاکتور!$I$3:$I$1622,A318,لاگ_فاکتور!$L$3:$L$1622),0)</f>
        <v>133</v>
      </c>
      <c r="K318" s="10">
        <f t="shared" ref="K318" si="34">MAX(0,I318-J318)</f>
        <v>0</v>
      </c>
      <c r="L318" s="1" t="str">
        <f>IF(C318="","",IF(K318&lt;=0,"🔴 تمام",IF(K318&lt;=تنظیمات_سیستم!$C$7,"🟠 کم","🟢 OK")))</f>
        <v/>
      </c>
    </row>
    <row r="319" spans="1:12" ht="19.5" customHeight="1">
      <c r="A319" s="1" t="str">
        <f t="shared" ref="A319" si="35">IF(C319="","","SKU-"&amp;TEXT(ROW()-3,"0000"))</f>
        <v/>
      </c>
      <c r="B319" s="63"/>
      <c r="D319" s="36" t="s">
        <v>83</v>
      </c>
      <c r="E319" s="36" t="s">
        <v>741</v>
      </c>
      <c r="F319" s="90" t="s">
        <v>66</v>
      </c>
      <c r="G319" s="7"/>
      <c r="H319" s="7"/>
      <c r="I319" s="8">
        <v>9</v>
      </c>
      <c r="J319" s="9">
        <f>IFERROR(SUMIF(لاگ_فاکتور!$I$3:$I$1622,A319,لاگ_فاکتور!$L$3:$L$1622),0)</f>
        <v>133</v>
      </c>
      <c r="K319" s="10">
        <f t="shared" ref="K319" si="36">MAX(0,I319-J319)</f>
        <v>0</v>
      </c>
      <c r="L319" s="1" t="str">
        <f>IF(C319="","",IF(K319&lt;=0,"🔴 تمام",IF(K319&lt;=تنظیمات_سیستم!$C$7,"🟠 کم","🟢 OK")))</f>
        <v/>
      </c>
    </row>
    <row r="320" spans="1:12" ht="19.5" customHeight="1">
      <c r="A320" s="1" t="str">
        <f t="shared" ref="A320" si="37">IF(C320="","","SKU-"&amp;TEXT(ROW()-3,"0000"))</f>
        <v/>
      </c>
      <c r="B320" s="63"/>
      <c r="D320" s="36" t="s">
        <v>83</v>
      </c>
      <c r="E320" s="36" t="s">
        <v>741</v>
      </c>
      <c r="F320" s="90" t="s">
        <v>66</v>
      </c>
      <c r="G320" s="7"/>
      <c r="H320" s="7"/>
      <c r="I320" s="8">
        <v>9</v>
      </c>
      <c r="J320" s="9">
        <f>IFERROR(SUMIF(لاگ_فاکتور!$I$3:$I$1622,A320,لاگ_فاکتور!$L$3:$L$1622),0)</f>
        <v>133</v>
      </c>
      <c r="K320" s="10">
        <f t="shared" ref="K320" si="38">MAX(0,I320-J320)</f>
        <v>0</v>
      </c>
      <c r="L320" s="1" t="str">
        <f>IF(C320="","",IF(K320&lt;=0,"🔴 تمام",IF(K320&lt;=تنظیمات_سیستم!$C$7,"🟠 کم","🟢 OK")))</f>
        <v/>
      </c>
    </row>
    <row r="321" spans="1:12" ht="19.5" customHeight="1">
      <c r="A321" s="1" t="str">
        <f t="shared" ref="A321" si="39">IF(C321="","","SKU-"&amp;TEXT(ROW()-3,"0000"))</f>
        <v/>
      </c>
      <c r="B321" s="63"/>
      <c r="D321" s="36" t="s">
        <v>83</v>
      </c>
      <c r="E321" s="36" t="s">
        <v>741</v>
      </c>
      <c r="F321" s="90" t="s">
        <v>66</v>
      </c>
      <c r="G321" s="7"/>
      <c r="H321" s="7"/>
      <c r="I321" s="8">
        <v>9</v>
      </c>
      <c r="J321" s="9">
        <f>IFERROR(SUMIF(لاگ_فاکتور!$I$3:$I$1622,A321,لاگ_فاکتور!$L$3:$L$1622),0)</f>
        <v>133</v>
      </c>
      <c r="K321" s="10">
        <f t="shared" ref="K321" si="40">MAX(0,I321-J321)</f>
        <v>0</v>
      </c>
      <c r="L321" s="1" t="str">
        <f>IF(C321="","",IF(K321&lt;=0,"🔴 تمام",IF(K321&lt;=تنظیمات_سیستم!$C$7,"🟠 کم","🟢 OK")))</f>
        <v/>
      </c>
    </row>
    <row r="322" spans="1:12" ht="19.5" customHeight="1">
      <c r="A322" s="1" t="str">
        <f t="shared" ref="A322" si="41">IF(C322="","","SKU-"&amp;TEXT(ROW()-3,"0000"))</f>
        <v/>
      </c>
      <c r="B322" s="63"/>
      <c r="D322" s="36" t="s">
        <v>83</v>
      </c>
      <c r="E322" s="36" t="s">
        <v>741</v>
      </c>
      <c r="F322" s="90" t="s">
        <v>66</v>
      </c>
      <c r="G322" s="7"/>
      <c r="H322" s="7"/>
      <c r="I322" s="8">
        <v>9</v>
      </c>
      <c r="J322" s="9">
        <f>IFERROR(SUMIF(لاگ_فاکتور!$I$3:$I$1622,A322,لاگ_فاکتور!$L$3:$L$1622),0)</f>
        <v>133</v>
      </c>
      <c r="K322" s="10">
        <f t="shared" ref="K322" si="42">MAX(0,I322-J322)</f>
        <v>0</v>
      </c>
      <c r="L322" s="1" t="str">
        <f>IF(C322="","",IF(K322&lt;=0,"🔴 تمام",IF(K322&lt;=تنظیمات_سیستم!$C$7,"🟠 کم","🟢 OK")))</f>
        <v/>
      </c>
    </row>
    <row r="323" spans="1:12" ht="19.5" customHeight="1">
      <c r="A323" s="1" t="str">
        <f t="shared" ref="A323" si="43">IF(C323="","","SKU-"&amp;TEXT(ROW()-3,"0000"))</f>
        <v/>
      </c>
      <c r="B323" s="63"/>
      <c r="D323" s="36" t="s">
        <v>83</v>
      </c>
      <c r="E323" s="36" t="s">
        <v>741</v>
      </c>
      <c r="F323" s="90" t="s">
        <v>66</v>
      </c>
      <c r="G323" s="7"/>
      <c r="H323" s="7"/>
      <c r="I323" s="8">
        <v>9</v>
      </c>
      <c r="J323" s="9">
        <f>IFERROR(SUMIF(لاگ_فاکتور!$I$3:$I$1622,A323,لاگ_فاکتور!$L$3:$L$1622),0)</f>
        <v>133</v>
      </c>
      <c r="K323" s="10">
        <f t="shared" ref="K323" si="44">MAX(0,I323-J323)</f>
        <v>0</v>
      </c>
      <c r="L323" s="1" t="str">
        <f>IF(C323="","",IF(K323&lt;=0,"🔴 تمام",IF(K323&lt;=تنظیمات_سیستم!$C$7,"🟠 کم","🟢 OK")))</f>
        <v/>
      </c>
    </row>
    <row r="324" spans="1:12" ht="19.5" customHeight="1">
      <c r="A324" s="1" t="str">
        <f t="shared" ref="A324" si="45">IF(C324="","","SKU-"&amp;TEXT(ROW()-3,"0000"))</f>
        <v/>
      </c>
      <c r="B324" s="63"/>
      <c r="D324" s="36" t="s">
        <v>83</v>
      </c>
      <c r="E324" s="36" t="s">
        <v>741</v>
      </c>
      <c r="F324" s="90" t="s">
        <v>66</v>
      </c>
      <c r="G324" s="7"/>
      <c r="H324" s="7"/>
      <c r="I324" s="8">
        <v>9</v>
      </c>
      <c r="J324" s="9">
        <f>IFERROR(SUMIF(لاگ_فاکتور!$I$3:$I$1622,A324,لاگ_فاکتور!$L$3:$L$1622),0)</f>
        <v>133</v>
      </c>
      <c r="K324" s="10">
        <f t="shared" ref="K324" si="46">MAX(0,I324-J324)</f>
        <v>0</v>
      </c>
      <c r="L324" s="1" t="str">
        <f>IF(C324="","",IF(K324&lt;=0,"🔴 تمام",IF(K324&lt;=تنظیمات_سیستم!$C$7,"🟠 کم","🟢 OK")))</f>
        <v/>
      </c>
    </row>
    <row r="325" spans="1:12" ht="19.5" customHeight="1">
      <c r="A325" s="1" t="str">
        <f t="shared" ref="A325" si="47">IF(C325="","","SKU-"&amp;TEXT(ROW()-3,"0000"))</f>
        <v/>
      </c>
      <c r="B325" s="63"/>
      <c r="D325" s="36" t="s">
        <v>83</v>
      </c>
      <c r="E325" s="36" t="s">
        <v>741</v>
      </c>
      <c r="F325" s="90" t="s">
        <v>66</v>
      </c>
      <c r="G325" s="7"/>
      <c r="H325" s="7"/>
      <c r="I325" s="8">
        <v>9</v>
      </c>
      <c r="J325" s="9">
        <f>IFERROR(SUMIF(لاگ_فاکتور!$I$3:$I$1622,A325,لاگ_فاکتور!$L$3:$L$1622),0)</f>
        <v>133</v>
      </c>
      <c r="K325" s="10">
        <f t="shared" ref="K325" si="48">MAX(0,I325-J325)</f>
        <v>0</v>
      </c>
      <c r="L325" s="1" t="str">
        <f>IF(C325="","",IF(K325&lt;=0,"🔴 تمام",IF(K325&lt;=تنظیمات_سیستم!$C$7,"🟠 کم","🟢 OK")))</f>
        <v/>
      </c>
    </row>
    <row r="326" spans="1:12" ht="19.5" customHeight="1">
      <c r="A326" s="1" t="str">
        <f t="shared" ref="A326" si="49">IF(C326="","","SKU-"&amp;TEXT(ROW()-3,"0000"))</f>
        <v/>
      </c>
      <c r="B326" s="63"/>
      <c r="D326" s="36" t="s">
        <v>83</v>
      </c>
      <c r="E326" s="36" t="s">
        <v>741</v>
      </c>
      <c r="F326" s="90" t="s">
        <v>66</v>
      </c>
      <c r="G326" s="7"/>
      <c r="H326" s="7"/>
      <c r="I326" s="8">
        <v>9</v>
      </c>
      <c r="J326" s="9">
        <f>IFERROR(SUMIF(لاگ_فاکتور!$I$3:$I$1622,A326,لاگ_فاکتور!$L$3:$L$1622),0)</f>
        <v>133</v>
      </c>
      <c r="K326" s="10">
        <f t="shared" ref="K326" si="50">MAX(0,I326-J326)</f>
        <v>0</v>
      </c>
      <c r="L326" s="1" t="str">
        <f>IF(C326="","",IF(K326&lt;=0,"🔴 تمام",IF(K326&lt;=تنظیمات_سیستم!$C$7,"🟠 کم","🟢 OK")))</f>
        <v/>
      </c>
    </row>
    <row r="327" spans="1:12" ht="19.5" customHeight="1">
      <c r="A327" s="1" t="str">
        <f t="shared" ref="A327" si="51">IF(C327="","","SKU-"&amp;TEXT(ROW()-3,"0000"))</f>
        <v/>
      </c>
      <c r="D327" s="36" t="s">
        <v>83</v>
      </c>
      <c r="E327" s="36" t="s">
        <v>741</v>
      </c>
      <c r="F327" s="90" t="s">
        <v>66</v>
      </c>
      <c r="G327" s="7"/>
      <c r="H327" s="7"/>
      <c r="I327" s="8">
        <v>9</v>
      </c>
      <c r="J327" s="9">
        <f>IFERROR(SUMIF(لاگ_فاکتور!$I$3:$I$1622,A327,لاگ_فاکتور!$L$3:$L$1622),0)</f>
        <v>133</v>
      </c>
      <c r="K327" s="10">
        <f t="shared" ref="K327" si="52">MAX(0,I327-J327)</f>
        <v>0</v>
      </c>
      <c r="L327" s="1" t="str">
        <f>IF(C327="","",IF(K327&lt;=0,"🔴 تمام",IF(K327&lt;=تنظیمات_سیستم!$C$7,"🟠 کم","🟢 OK")))</f>
        <v/>
      </c>
    </row>
    <row r="328" spans="1:12" ht="19.5" customHeight="1">
      <c r="A328" s="1" t="str">
        <f t="shared" ref="A328" si="53">IF(C328="","","SKU-"&amp;TEXT(ROW()-3,"0000"))</f>
        <v/>
      </c>
      <c r="D328" s="36" t="s">
        <v>83</v>
      </c>
      <c r="E328" s="36" t="s">
        <v>741</v>
      </c>
      <c r="F328" s="90" t="s">
        <v>66</v>
      </c>
      <c r="G328" s="7"/>
      <c r="H328" s="7"/>
      <c r="I328" s="8">
        <v>9</v>
      </c>
      <c r="J328" s="9">
        <f>IFERROR(SUMIF(لاگ_فاکتور!$I$3:$I$1622,A328,لاگ_فاکتور!$L$3:$L$1622),0)</f>
        <v>133</v>
      </c>
      <c r="K328" s="10">
        <f t="shared" ref="K328" si="54">MAX(0,I328-J328)</f>
        <v>0</v>
      </c>
      <c r="L328" s="1" t="str">
        <f>IF(C328="","",IF(K328&lt;=0,"🔴 تمام",IF(K328&lt;=تنظیمات_سیستم!$C$7,"🟠 کم","🟢 OK")))</f>
        <v/>
      </c>
    </row>
    <row r="329" spans="1:12" ht="19.5" customHeight="1">
      <c r="A329" s="1" t="str">
        <f t="shared" ref="A329" si="55">IF(C329="","","SKU-"&amp;TEXT(ROW()-3,"0000"))</f>
        <v/>
      </c>
      <c r="D329" s="36" t="s">
        <v>83</v>
      </c>
      <c r="E329" s="36" t="s">
        <v>741</v>
      </c>
      <c r="F329" s="90" t="s">
        <v>66</v>
      </c>
      <c r="G329" s="7"/>
      <c r="H329" s="7"/>
      <c r="I329" s="8">
        <v>9</v>
      </c>
      <c r="J329" s="9">
        <f>IFERROR(SUMIF(لاگ_فاکتور!$I$3:$I$1622,A329,لاگ_فاکتور!$L$3:$L$1622),0)</f>
        <v>133</v>
      </c>
      <c r="K329" s="10">
        <f t="shared" ref="K329" si="56">MAX(0,I329-J329)</f>
        <v>0</v>
      </c>
      <c r="L329" s="1" t="str">
        <f>IF(C329="","",IF(K329&lt;=0,"🔴 تمام",IF(K329&lt;=تنظیمات_سیستم!$C$7,"🟠 کم","🟢 OK")))</f>
        <v/>
      </c>
    </row>
    <row r="330" spans="1:12" ht="19.5" customHeight="1">
      <c r="A330" s="1" t="str">
        <f t="shared" ref="A330" si="57">IF(C330="","","SKU-"&amp;TEXT(ROW()-3,"0000"))</f>
        <v/>
      </c>
      <c r="D330" s="36" t="s">
        <v>83</v>
      </c>
      <c r="E330" s="36" t="s">
        <v>741</v>
      </c>
      <c r="F330" s="90" t="s">
        <v>66</v>
      </c>
      <c r="G330" s="7"/>
      <c r="H330" s="7"/>
      <c r="I330" s="8">
        <v>9</v>
      </c>
      <c r="J330" s="9">
        <f>IFERROR(SUMIF(لاگ_فاکتور!$I$3:$I$1622,A330,لاگ_فاکتور!$L$3:$L$1622),0)</f>
        <v>133</v>
      </c>
      <c r="K330" s="10">
        <f t="shared" ref="K330" si="58">MAX(0,I330-J330)</f>
        <v>0</v>
      </c>
      <c r="L330" s="1" t="str">
        <f>IF(C330="","",IF(K330&lt;=0,"🔴 تمام",IF(K330&lt;=تنظیمات_سیستم!$C$7,"🟠 کم","🟢 OK")))</f>
        <v/>
      </c>
    </row>
    <row r="331" spans="1:12" ht="19.5" customHeight="1">
      <c r="A331" s="1" t="str">
        <f t="shared" ref="A331" si="59">IF(C331="","","SKU-"&amp;TEXT(ROW()-3,"0000"))</f>
        <v/>
      </c>
      <c r="D331" s="36" t="s">
        <v>83</v>
      </c>
      <c r="E331" s="36" t="s">
        <v>741</v>
      </c>
      <c r="F331" s="90" t="s">
        <v>66</v>
      </c>
      <c r="G331" s="7"/>
      <c r="H331" s="7"/>
      <c r="I331" s="8">
        <v>9</v>
      </c>
      <c r="J331" s="9">
        <f>IFERROR(SUMIF(لاگ_فاکتور!$I$3:$I$1622,A331,لاگ_فاکتور!$L$3:$L$1622),0)</f>
        <v>133</v>
      </c>
      <c r="K331" s="10">
        <f t="shared" ref="K331" si="60">MAX(0,I331-J331)</f>
        <v>0</v>
      </c>
      <c r="L331" s="1" t="str">
        <f>IF(C331="","",IF(K331&lt;=0,"🔴 تمام",IF(K331&lt;=تنظیمات_سیستم!$C$7,"🟠 کم","🟢 OK")))</f>
        <v/>
      </c>
    </row>
    <row r="332" spans="1:12" ht="19.5" customHeight="1">
      <c r="A332" s="1" t="str">
        <f t="shared" ref="A332" si="61">IF(C332="","","SKU-"&amp;TEXT(ROW()-3,"0000"))</f>
        <v/>
      </c>
      <c r="D332" s="36" t="s">
        <v>83</v>
      </c>
      <c r="E332" s="36" t="s">
        <v>741</v>
      </c>
      <c r="F332" s="90" t="s">
        <v>66</v>
      </c>
      <c r="G332" s="7"/>
      <c r="H332" s="7"/>
      <c r="I332" s="8">
        <v>9</v>
      </c>
      <c r="J332" s="9">
        <f>IFERROR(SUMIF(لاگ_فاکتور!$I$3:$I$1622,A332,لاگ_فاکتور!$L$3:$L$1622),0)</f>
        <v>133</v>
      </c>
      <c r="K332" s="10">
        <f t="shared" ref="K332" si="62">MAX(0,I332-J332)</f>
        <v>0</v>
      </c>
      <c r="L332" s="1" t="str">
        <f>IF(C332="","",IF(K332&lt;=0,"🔴 تمام",IF(K332&lt;=تنظیمات_سیستم!$C$7,"🟠 کم","🟢 OK")))</f>
        <v/>
      </c>
    </row>
    <row r="333" spans="1:12" ht="19.5" customHeight="1">
      <c r="A333" s="1" t="str">
        <f t="shared" ref="A333" si="63">IF(C333="","","SKU-"&amp;TEXT(ROW()-3,"0000"))</f>
        <v/>
      </c>
      <c r="D333" s="36" t="s">
        <v>83</v>
      </c>
      <c r="E333" s="36" t="s">
        <v>741</v>
      </c>
      <c r="F333" s="90" t="s">
        <v>66</v>
      </c>
      <c r="G333" s="7"/>
      <c r="H333" s="7"/>
      <c r="I333" s="8">
        <v>9</v>
      </c>
      <c r="J333" s="9">
        <f>IFERROR(SUMIF(لاگ_فاکتور!$I$3:$I$1622,A333,لاگ_فاکتور!$L$3:$L$1622),0)</f>
        <v>133</v>
      </c>
      <c r="K333" s="10">
        <f t="shared" ref="K333" si="64">MAX(0,I333-J333)</f>
        <v>0</v>
      </c>
      <c r="L333" s="1" t="str">
        <f>IF(C333="","",IF(K333&lt;=0,"🔴 تمام",IF(K333&lt;=تنظیمات_سیستم!$C$7,"🟠 کم","🟢 OK")))</f>
        <v/>
      </c>
    </row>
    <row r="334" spans="1:12" ht="19.5" customHeight="1">
      <c r="I334" s="96"/>
    </row>
    <row r="335" spans="1:12" ht="19.5" customHeight="1"/>
    <row r="336" spans="1:12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  <row r="1019" ht="19.5" customHeight="1"/>
    <row r="1020" ht="19.5" customHeight="1"/>
    <row r="1021" ht="19.5" customHeight="1"/>
    <row r="1022" ht="19.5" customHeight="1"/>
    <row r="1023" ht="19.5" customHeight="1"/>
    <row r="1024" ht="19.5" customHeight="1"/>
    <row r="1025" ht="19.5" customHeight="1"/>
    <row r="1026" ht="19.5" customHeight="1"/>
    <row r="1027" ht="19.5" customHeight="1"/>
    <row r="1028" ht="19.5" customHeight="1"/>
    <row r="1029" ht="19.5" customHeight="1"/>
    <row r="1030" ht="19.5" customHeight="1"/>
    <row r="1031" ht="19.5" customHeight="1"/>
    <row r="1032" ht="19.5" customHeight="1"/>
    <row r="1033" ht="19.5" customHeight="1"/>
    <row r="1034" ht="19.5" customHeight="1"/>
    <row r="1035" ht="19.5" customHeight="1"/>
    <row r="1036" ht="19.5" customHeight="1"/>
    <row r="1037" ht="19.5" customHeight="1"/>
    <row r="1038" ht="19.5" customHeight="1"/>
    <row r="1039" ht="19.5" customHeight="1"/>
    <row r="1040" ht="19.5" customHeight="1"/>
    <row r="1041" ht="19.5" customHeight="1"/>
    <row r="1042" ht="19.5" customHeight="1"/>
    <row r="1043" ht="19.5" customHeight="1"/>
    <row r="1044" ht="19.5" customHeight="1"/>
    <row r="1045" ht="19.5" customHeight="1"/>
    <row r="1046" ht="19.5" customHeight="1"/>
    <row r="1047" ht="19.5" customHeight="1"/>
    <row r="1048" ht="19.5" customHeight="1"/>
    <row r="1049" ht="19.5" customHeight="1"/>
    <row r="1050" ht="19.5" customHeight="1"/>
    <row r="1051" ht="19.5" customHeight="1"/>
    <row r="1052" ht="19.5" customHeight="1"/>
    <row r="1053" ht="19.5" customHeight="1"/>
    <row r="1054" ht="19.5" customHeight="1"/>
    <row r="1055" ht="19.5" customHeight="1"/>
    <row r="1056" ht="19.5" customHeight="1"/>
    <row r="1057" ht="19.5" customHeight="1"/>
    <row r="1058" ht="19.5" customHeight="1"/>
    <row r="1059" ht="19.5" customHeight="1"/>
    <row r="1060" ht="19.5" customHeight="1"/>
    <row r="1061" ht="19.5" customHeight="1"/>
    <row r="1062" ht="19.5" customHeight="1"/>
    <row r="1063" ht="19.5" customHeight="1"/>
    <row r="1064" ht="19.5" customHeight="1"/>
    <row r="1065" ht="19.5" customHeight="1"/>
    <row r="1066" ht="19.5" customHeight="1"/>
    <row r="1067" ht="19.5" customHeight="1"/>
    <row r="1068" ht="19.5" customHeight="1"/>
    <row r="1069" ht="19.5" customHeight="1"/>
    <row r="1070" ht="19.5" customHeight="1"/>
    <row r="1071" ht="19.5" customHeight="1"/>
    <row r="1072" ht="19.5" customHeight="1"/>
    <row r="1073" ht="19.5" customHeight="1"/>
    <row r="1074" ht="19.5" customHeight="1"/>
    <row r="1075" ht="19.5" customHeight="1"/>
    <row r="1076" ht="19.5" customHeight="1"/>
    <row r="1077" ht="19.5" customHeight="1"/>
    <row r="1078" ht="19.5" customHeight="1"/>
    <row r="1079" ht="19.5" customHeight="1"/>
    <row r="1080" ht="19.5" customHeight="1"/>
    <row r="1081" ht="19.5" customHeight="1"/>
    <row r="1082" ht="19.5" customHeight="1"/>
    <row r="1083" ht="19.5" customHeight="1"/>
    <row r="1084" ht="19.5" customHeight="1"/>
    <row r="1085" ht="19.5" customHeight="1"/>
    <row r="1086" ht="19.5" customHeight="1"/>
    <row r="1087" ht="19.5" customHeight="1"/>
    <row r="1088" ht="19.5" customHeight="1"/>
    <row r="1089" ht="19.5" customHeight="1"/>
    <row r="1090" ht="19.5" customHeight="1"/>
    <row r="1091" ht="19.5" customHeight="1"/>
    <row r="1092" ht="19.5" customHeight="1"/>
    <row r="1093" ht="19.5" customHeight="1"/>
    <row r="1094" ht="19.5" customHeight="1"/>
    <row r="1095" ht="19.5" customHeight="1"/>
    <row r="1096" ht="19.5" customHeight="1"/>
    <row r="1097" ht="19.5" customHeight="1"/>
    <row r="1098" ht="19.5" customHeight="1"/>
    <row r="1099" ht="19.5" customHeight="1"/>
    <row r="1100" ht="19.5" customHeight="1"/>
    <row r="1101" ht="19.5" customHeight="1"/>
    <row r="1102" ht="19.5" customHeight="1"/>
    <row r="1103" ht="19.5" customHeight="1"/>
    <row r="1104" ht="19.5" customHeight="1"/>
    <row r="1105" ht="19.5" customHeight="1"/>
    <row r="1106" ht="19.5" customHeight="1"/>
    <row r="1107" ht="19.5" customHeight="1"/>
    <row r="1108" ht="19.5" customHeight="1"/>
    <row r="1109" ht="19.5" customHeight="1"/>
    <row r="1110" ht="19.5" customHeight="1"/>
    <row r="1111" ht="19.5" customHeight="1"/>
    <row r="1112" ht="19.5" customHeight="1"/>
    <row r="1113" ht="19.5" customHeight="1"/>
    <row r="1114" ht="19.5" customHeight="1"/>
    <row r="1115" ht="19.5" customHeight="1"/>
    <row r="1116" ht="19.5" customHeight="1"/>
    <row r="1117" ht="19.5" customHeight="1"/>
    <row r="1118" ht="19.5" customHeight="1"/>
    <row r="1119" ht="19.5" customHeight="1"/>
    <row r="1120" ht="19.5" customHeight="1"/>
    <row r="1121" ht="19.5" customHeight="1"/>
    <row r="1122" ht="19.5" customHeight="1"/>
    <row r="1123" ht="19.5" customHeight="1"/>
    <row r="1124" ht="19.5" customHeight="1"/>
    <row r="1125" ht="19.5" customHeight="1"/>
    <row r="1126" ht="19.5" customHeight="1"/>
    <row r="1127" ht="19.5" customHeight="1"/>
    <row r="1128" ht="19.5" customHeight="1"/>
    <row r="1129" ht="19.5" customHeight="1"/>
    <row r="1130" ht="19.5" customHeight="1"/>
    <row r="1131" ht="19.5" customHeight="1"/>
    <row r="1132" ht="19.5" customHeight="1"/>
    <row r="1133" ht="19.5" customHeight="1"/>
    <row r="1134" ht="19.5" customHeight="1"/>
    <row r="1135" ht="19.5" customHeight="1"/>
    <row r="1136" ht="19.5" customHeight="1"/>
    <row r="1137" ht="19.5" customHeight="1"/>
    <row r="1138" ht="19.5" customHeight="1"/>
    <row r="1139" ht="19.5" customHeight="1"/>
    <row r="1140" ht="19.5" customHeight="1"/>
    <row r="1141" ht="19.5" customHeight="1"/>
    <row r="1142" ht="19.5" customHeight="1"/>
    <row r="1143" ht="19.5" customHeight="1"/>
    <row r="1144" ht="19.5" customHeight="1"/>
    <row r="1145" ht="19.5" customHeight="1"/>
    <row r="1146" ht="19.5" customHeight="1"/>
    <row r="1147" ht="19.5" customHeight="1"/>
    <row r="1148" ht="19.5" customHeight="1"/>
    <row r="1149" ht="19.5" customHeight="1"/>
    <row r="1150" ht="19.5" customHeight="1"/>
    <row r="1151" ht="19.5" customHeight="1"/>
    <row r="1152" ht="19.5" customHeight="1"/>
    <row r="1153" ht="19.5" customHeight="1"/>
    <row r="1154" ht="19.5" customHeight="1"/>
    <row r="1155" ht="19.5" customHeight="1"/>
    <row r="1156" ht="19.5" customHeight="1"/>
    <row r="1157" ht="19.5" customHeight="1"/>
    <row r="1158" ht="19.5" customHeight="1"/>
    <row r="1159" ht="19.5" customHeight="1"/>
    <row r="1160" ht="19.5" customHeight="1"/>
    <row r="1161" ht="19.5" customHeight="1"/>
    <row r="1162" ht="19.5" customHeight="1"/>
    <row r="1163" ht="19.5" customHeight="1"/>
    <row r="1164" ht="19.5" customHeight="1"/>
    <row r="1165" ht="19.5" customHeight="1"/>
    <row r="1166" ht="19.5" customHeight="1"/>
    <row r="1167" ht="19.5" customHeight="1"/>
    <row r="1168" ht="19.5" customHeight="1"/>
    <row r="1169" ht="19.5" customHeight="1"/>
    <row r="1170" ht="19.5" customHeight="1"/>
    <row r="1171" ht="19.5" customHeight="1"/>
    <row r="1172" ht="19.5" customHeight="1"/>
    <row r="1173" ht="19.5" customHeight="1"/>
    <row r="1174" ht="19.5" customHeight="1"/>
    <row r="1175" ht="19.5" customHeight="1"/>
    <row r="1176" ht="19.5" customHeight="1"/>
    <row r="1177" ht="19.5" customHeight="1"/>
    <row r="1178" ht="19.5" customHeight="1"/>
    <row r="1179" ht="19.5" customHeight="1"/>
    <row r="1180" ht="19.5" customHeight="1"/>
    <row r="1181" ht="19.5" customHeight="1"/>
    <row r="1182" ht="19.5" customHeight="1"/>
    <row r="1183" ht="19.5" customHeight="1"/>
    <row r="1184" ht="19.5" customHeight="1"/>
    <row r="1185" ht="19.5" customHeight="1"/>
    <row r="1186" ht="19.5" customHeight="1"/>
    <row r="1187" ht="19.5" customHeight="1"/>
    <row r="1188" ht="19.5" customHeight="1"/>
    <row r="1189" ht="19.5" customHeight="1"/>
    <row r="1190" ht="19.5" customHeight="1"/>
    <row r="1191" ht="19.5" customHeight="1"/>
    <row r="1192" ht="19.5" customHeight="1"/>
    <row r="1193" ht="19.5" customHeight="1"/>
    <row r="1194" ht="19.5" customHeight="1"/>
    <row r="1195" ht="19.5" customHeight="1"/>
    <row r="1196" ht="19.5" customHeight="1"/>
    <row r="1197" ht="19.5" customHeight="1"/>
    <row r="1198" ht="19.5" customHeight="1"/>
    <row r="1199" ht="19.5" customHeight="1"/>
    <row r="1200" ht="19.5" customHeight="1"/>
    <row r="1201" ht="19.5" customHeight="1"/>
    <row r="1202" ht="19.5" customHeight="1"/>
    <row r="1203" ht="19.5" customHeight="1"/>
    <row r="1204" ht="19.5" customHeight="1"/>
    <row r="1205" ht="19.5" customHeight="1"/>
    <row r="1206" ht="19.5" customHeight="1"/>
    <row r="1207" ht="19.5" customHeight="1"/>
    <row r="1208" ht="19.5" customHeight="1"/>
    <row r="1209" ht="19.5" customHeight="1"/>
    <row r="1210" ht="19.5" customHeight="1"/>
    <row r="1211" ht="19.5" customHeight="1"/>
    <row r="1212" ht="19.5" customHeight="1"/>
    <row r="1213" ht="19.5" customHeight="1"/>
    <row r="1214" ht="19.5" customHeight="1"/>
    <row r="1215" ht="19.5" customHeight="1"/>
    <row r="1216" ht="19.5" customHeight="1"/>
    <row r="1217" ht="19.5" customHeight="1"/>
    <row r="1218" ht="19.5" customHeight="1"/>
    <row r="1219" ht="19.5" customHeight="1"/>
    <row r="1220" ht="19.5" customHeight="1"/>
    <row r="1221" ht="19.5" customHeight="1"/>
    <row r="1222" ht="19.5" customHeight="1"/>
    <row r="1223" ht="19.5" customHeight="1"/>
    <row r="1224" ht="19.5" customHeight="1"/>
    <row r="1225" ht="19.5" customHeight="1"/>
    <row r="1226" ht="19.5" customHeight="1"/>
    <row r="1227" ht="19.5" customHeight="1"/>
    <row r="1228" ht="19.5" customHeight="1"/>
    <row r="1229" ht="19.5" customHeight="1"/>
    <row r="1230" ht="19.5" customHeight="1"/>
    <row r="1231" ht="19.5" customHeight="1"/>
    <row r="1232" ht="19.5" customHeight="1"/>
    <row r="1233" ht="19.5" customHeight="1"/>
    <row r="1234" ht="19.5" customHeight="1"/>
    <row r="1235" ht="19.5" customHeight="1"/>
    <row r="1236" ht="19.5" customHeight="1"/>
    <row r="1237" ht="19.5" customHeight="1"/>
    <row r="1238" ht="19.5" customHeight="1"/>
    <row r="1239" ht="19.5" customHeight="1"/>
    <row r="1240" ht="19.5" customHeight="1"/>
    <row r="1241" ht="19.5" customHeight="1"/>
    <row r="1242" ht="19.5" customHeight="1"/>
    <row r="1243" ht="19.5" customHeight="1"/>
    <row r="1244" ht="19.5" customHeight="1"/>
    <row r="1245" ht="19.5" customHeight="1"/>
    <row r="1246" ht="19.5" customHeight="1"/>
    <row r="1247" ht="19.5" customHeight="1"/>
    <row r="1248" ht="19.5" customHeight="1"/>
    <row r="1249" ht="19.5" customHeight="1"/>
    <row r="1250" ht="19.5" customHeight="1"/>
    <row r="1251" ht="19.5" customHeight="1"/>
    <row r="1252" ht="19.5" customHeight="1"/>
    <row r="1253" ht="19.5" customHeight="1"/>
    <row r="1254" ht="19.5" customHeight="1"/>
    <row r="1255" ht="19.5" customHeight="1"/>
    <row r="1256" ht="19.5" customHeight="1"/>
    <row r="1257" ht="19.5" customHeight="1"/>
    <row r="1258" ht="19.5" customHeight="1"/>
    <row r="1259" ht="19.5" customHeight="1"/>
    <row r="1260" ht="19.5" customHeight="1"/>
    <row r="1261" ht="19.5" customHeight="1"/>
    <row r="1262" ht="19.5" customHeight="1"/>
    <row r="1263" ht="19.5" customHeight="1"/>
    <row r="1264" ht="19.5" customHeight="1"/>
    <row r="1265" ht="19.5" customHeight="1"/>
    <row r="1266" ht="19.5" customHeight="1"/>
    <row r="1267" ht="19.5" customHeight="1"/>
    <row r="1268" ht="19.5" customHeight="1"/>
    <row r="1269" ht="19.5" customHeight="1"/>
    <row r="1270" ht="19.5" customHeight="1"/>
    <row r="1271" ht="19.5" customHeight="1"/>
    <row r="1272" ht="19.5" customHeight="1"/>
    <row r="1273" ht="19.5" customHeight="1"/>
    <row r="1274" ht="19.5" customHeight="1"/>
    <row r="1275" ht="19.5" customHeight="1"/>
    <row r="1276" ht="19.5" customHeight="1"/>
    <row r="1277" ht="19.5" customHeight="1"/>
    <row r="1278" ht="19.5" customHeight="1"/>
    <row r="1279" ht="19.5" customHeight="1"/>
    <row r="1280" ht="19.5" customHeight="1"/>
    <row r="1281" ht="19.5" customHeight="1"/>
    <row r="1282" ht="19.5" customHeight="1"/>
    <row r="1283" ht="19.5" customHeight="1"/>
    <row r="1284" ht="19.5" customHeight="1"/>
    <row r="1285" ht="19.5" customHeight="1"/>
    <row r="1286" ht="19.5" customHeight="1"/>
    <row r="1287" ht="19.5" customHeight="1"/>
    <row r="1288" ht="19.5" customHeight="1"/>
    <row r="1289" ht="19.5" customHeight="1"/>
    <row r="1290" ht="19.5" customHeight="1"/>
    <row r="1291" ht="19.5" customHeight="1"/>
    <row r="1292" ht="19.5" customHeight="1"/>
    <row r="1293" ht="19.5" customHeight="1"/>
    <row r="1294" ht="19.5" customHeight="1"/>
    <row r="1295" ht="19.5" customHeight="1"/>
    <row r="1296" ht="19.5" customHeight="1"/>
    <row r="1297" ht="19.5" customHeight="1"/>
    <row r="1298" ht="19.5" customHeight="1"/>
    <row r="1299" ht="19.5" customHeight="1"/>
    <row r="1300" ht="19.5" customHeight="1"/>
    <row r="1301" ht="19.5" customHeight="1"/>
    <row r="1302" ht="19.5" customHeight="1"/>
    <row r="1303" ht="19.5" customHeight="1"/>
    <row r="1304" ht="19.5" customHeight="1"/>
    <row r="1305" ht="19.5" customHeight="1"/>
    <row r="1306" ht="19.5" customHeight="1"/>
    <row r="1307" ht="19.5" customHeight="1"/>
    <row r="1308" ht="19.5" customHeight="1"/>
    <row r="1309" ht="19.5" customHeight="1"/>
    <row r="1310" ht="19.5" customHeight="1"/>
    <row r="1311" ht="19.5" customHeight="1"/>
    <row r="1312" ht="19.5" customHeight="1"/>
    <row r="1313" ht="19.5" customHeight="1"/>
    <row r="1314" ht="19.5" customHeight="1"/>
    <row r="1315" ht="19.5" customHeight="1"/>
    <row r="1316" ht="19.5" customHeight="1"/>
    <row r="1317" ht="19.5" customHeight="1"/>
    <row r="1318" ht="19.5" customHeight="1"/>
    <row r="1319" ht="19.5" customHeight="1"/>
    <row r="1320" ht="19.5" customHeight="1"/>
    <row r="1321" ht="19.5" customHeight="1"/>
    <row r="1322" ht="19.5" customHeight="1"/>
    <row r="1323" ht="19.5" customHeight="1"/>
    <row r="1324" ht="19.5" customHeight="1"/>
    <row r="1325" ht="19.5" customHeight="1"/>
    <row r="1326" ht="19.5" customHeight="1"/>
    <row r="1327" ht="19.5" customHeight="1"/>
    <row r="1328" ht="19.5" customHeight="1"/>
    <row r="1329" ht="19.5" customHeight="1"/>
    <row r="1330" ht="19.5" customHeight="1"/>
    <row r="1331" ht="19.5" customHeight="1"/>
    <row r="1332" ht="19.5" customHeight="1"/>
    <row r="1333" ht="19.5" customHeight="1"/>
    <row r="1334" ht="19.5" customHeight="1"/>
    <row r="1335" ht="19.5" customHeight="1"/>
    <row r="1336" ht="19.5" customHeight="1"/>
    <row r="1337" ht="19.5" customHeight="1"/>
    <row r="1338" ht="19.5" customHeight="1"/>
    <row r="1339" ht="19.5" customHeight="1"/>
    <row r="1340" ht="19.5" customHeight="1"/>
    <row r="1341" ht="19.5" customHeight="1"/>
    <row r="1342" ht="19.5" customHeight="1"/>
    <row r="1343" ht="19.5" customHeight="1"/>
    <row r="1344" ht="19.5" customHeight="1"/>
    <row r="1345" ht="19.5" customHeight="1"/>
    <row r="1346" ht="19.5" customHeight="1"/>
    <row r="1347" ht="19.5" customHeight="1"/>
    <row r="1348" ht="19.5" customHeight="1"/>
    <row r="1349" ht="19.5" customHeight="1"/>
    <row r="1350" ht="19.5" customHeight="1"/>
    <row r="1351" ht="19.5" customHeight="1"/>
    <row r="1352" ht="19.5" customHeight="1"/>
    <row r="1353" ht="19.5" customHeight="1"/>
    <row r="1354" ht="19.5" customHeight="1"/>
    <row r="1355" ht="19.5" customHeight="1"/>
    <row r="1356" ht="19.5" customHeight="1"/>
    <row r="1357" ht="19.5" customHeight="1"/>
    <row r="1358" ht="19.5" customHeight="1"/>
    <row r="1359" ht="19.5" customHeight="1"/>
    <row r="1360" ht="19.5" customHeight="1"/>
    <row r="1361" ht="19.5" customHeight="1"/>
    <row r="1362" ht="19.5" customHeight="1"/>
    <row r="1363" ht="19.5" customHeight="1"/>
    <row r="1364" ht="19.5" customHeight="1"/>
    <row r="1365" ht="19.5" customHeight="1"/>
    <row r="1366" ht="19.5" customHeight="1"/>
    <row r="1367" ht="19.5" customHeight="1"/>
    <row r="1368" ht="19.5" customHeight="1"/>
    <row r="1369" ht="19.5" customHeight="1"/>
    <row r="1370" ht="19.5" customHeight="1"/>
    <row r="1371" ht="19.5" customHeight="1"/>
    <row r="1372" ht="19.5" customHeight="1"/>
    <row r="1373" ht="19.5" customHeight="1"/>
    <row r="1374" ht="19.5" customHeight="1"/>
    <row r="1375" ht="19.5" customHeight="1"/>
    <row r="1376" ht="19.5" customHeight="1"/>
    <row r="1377" ht="19.5" customHeight="1"/>
    <row r="1378" ht="19.5" customHeight="1"/>
    <row r="1379" ht="19.5" customHeight="1"/>
    <row r="1380" ht="19.5" customHeight="1"/>
    <row r="1381" ht="19.5" customHeight="1"/>
    <row r="1382" ht="19.5" customHeight="1"/>
    <row r="1383" ht="19.5" customHeight="1"/>
    <row r="1384" ht="19.5" customHeight="1"/>
    <row r="1385" ht="19.5" customHeight="1"/>
    <row r="1386" ht="19.5" customHeight="1"/>
    <row r="1387" ht="19.5" customHeight="1"/>
    <row r="1388" ht="19.5" customHeight="1"/>
    <row r="1389" ht="19.5" customHeight="1"/>
    <row r="1390" ht="19.5" customHeight="1"/>
    <row r="1391" ht="19.5" customHeight="1"/>
    <row r="1392" ht="19.5" customHeight="1"/>
    <row r="1393" ht="19.5" customHeight="1"/>
    <row r="1394" ht="19.5" customHeight="1"/>
    <row r="1395" ht="19.5" customHeight="1"/>
    <row r="1396" ht="19.5" customHeight="1"/>
    <row r="1397" ht="19.5" customHeight="1"/>
    <row r="1398" ht="19.5" customHeight="1"/>
    <row r="1399" ht="19.5" customHeight="1"/>
    <row r="1400" ht="19.5" customHeight="1"/>
    <row r="1401" ht="19.5" customHeight="1"/>
    <row r="1402" ht="19.5" customHeight="1"/>
    <row r="1403" ht="19.5" customHeight="1"/>
    <row r="1404" ht="19.5" customHeight="1"/>
    <row r="1405" ht="19.5" customHeight="1"/>
    <row r="1406" ht="19.5" customHeight="1"/>
    <row r="1407" ht="19.5" customHeight="1"/>
    <row r="1408" ht="19.5" customHeight="1"/>
    <row r="1409" ht="19.5" customHeight="1"/>
    <row r="1410" ht="19.5" customHeight="1"/>
    <row r="1411" ht="19.5" customHeight="1"/>
    <row r="1412" ht="19.5" customHeight="1"/>
    <row r="1413" ht="19.5" customHeight="1"/>
    <row r="1414" ht="19.5" customHeight="1"/>
    <row r="1415" ht="19.5" customHeight="1"/>
    <row r="1416" ht="19.5" customHeight="1"/>
    <row r="1417" ht="19.5" customHeight="1"/>
    <row r="1418" ht="19.5" customHeight="1"/>
    <row r="1419" ht="19.5" customHeight="1"/>
    <row r="1420" ht="19.5" customHeight="1"/>
    <row r="1421" ht="19.5" customHeight="1"/>
    <row r="1422" ht="19.5" customHeight="1"/>
    <row r="1423" ht="19.5" customHeight="1"/>
    <row r="1424" ht="19.5" customHeight="1"/>
    <row r="1425" ht="19.5" customHeight="1"/>
    <row r="1426" ht="19.5" customHeight="1"/>
    <row r="1427" ht="19.5" customHeight="1"/>
    <row r="1428" ht="19.5" customHeight="1"/>
    <row r="1429" ht="19.5" customHeight="1"/>
    <row r="1430" ht="19.5" customHeight="1"/>
    <row r="1431" ht="19.5" customHeight="1"/>
    <row r="1432" ht="19.5" customHeight="1"/>
    <row r="1433" ht="19.5" customHeight="1"/>
    <row r="1434" ht="19.5" customHeight="1"/>
    <row r="1435" ht="19.5" customHeight="1"/>
    <row r="1436" ht="19.5" customHeight="1"/>
    <row r="1437" ht="19.5" customHeight="1"/>
    <row r="1438" ht="19.5" customHeight="1"/>
    <row r="1439" ht="19.5" customHeight="1"/>
    <row r="1440" ht="19.5" customHeight="1"/>
    <row r="1441" ht="19.5" customHeight="1"/>
    <row r="1442" ht="19.5" customHeight="1"/>
    <row r="1443" ht="19.5" customHeight="1"/>
    <row r="1444" ht="19.5" customHeight="1"/>
    <row r="1445" ht="19.5" customHeight="1"/>
    <row r="1446" ht="19.5" customHeight="1"/>
    <row r="1447" ht="19.5" customHeight="1"/>
    <row r="1448" ht="19.5" customHeight="1"/>
    <row r="1449" ht="19.5" customHeight="1"/>
    <row r="1450" ht="19.5" customHeight="1"/>
    <row r="1451" ht="19.5" customHeight="1"/>
    <row r="1452" ht="19.5" customHeight="1"/>
    <row r="1453" ht="19.5" customHeight="1"/>
    <row r="1454" ht="19.5" customHeight="1"/>
    <row r="1455" ht="19.5" customHeight="1"/>
    <row r="1456" ht="19.5" customHeight="1"/>
    <row r="1457" ht="19.5" customHeight="1"/>
    <row r="1458" ht="19.5" customHeight="1"/>
    <row r="1459" ht="19.5" customHeight="1"/>
    <row r="1460" ht="19.5" customHeight="1"/>
    <row r="1461" ht="19.5" customHeight="1"/>
    <row r="1462" ht="19.5" customHeight="1"/>
    <row r="1463" ht="19.5" customHeight="1"/>
    <row r="1464" ht="19.5" customHeight="1"/>
    <row r="1465" ht="19.5" customHeight="1"/>
    <row r="1466" ht="19.5" customHeight="1"/>
    <row r="1467" ht="19.5" customHeight="1"/>
    <row r="1468" ht="19.5" customHeight="1"/>
    <row r="1469" ht="19.5" customHeight="1"/>
    <row r="1470" ht="19.5" customHeight="1"/>
    <row r="1471" ht="19.5" customHeight="1"/>
    <row r="1472" ht="19.5" customHeight="1"/>
    <row r="1473" ht="19.5" customHeight="1"/>
    <row r="1474" ht="19.5" customHeight="1"/>
    <row r="1475" ht="19.5" customHeight="1"/>
    <row r="1476" ht="19.5" customHeight="1"/>
    <row r="1477" ht="19.5" customHeight="1"/>
    <row r="1478" ht="19.5" customHeight="1"/>
    <row r="1479" ht="19.5" customHeight="1"/>
    <row r="1480" ht="19.5" customHeight="1"/>
    <row r="1481" ht="19.5" customHeight="1"/>
    <row r="1482" ht="19.5" customHeight="1"/>
    <row r="1483" ht="19.5" customHeight="1"/>
    <row r="1484" ht="19.5" customHeight="1"/>
    <row r="1485" ht="19.5" customHeight="1"/>
    <row r="1486" ht="19.5" customHeight="1"/>
    <row r="1487" ht="19.5" customHeight="1"/>
    <row r="1488" ht="19.5" customHeight="1"/>
    <row r="1489" ht="19.5" customHeight="1"/>
    <row r="1490" ht="19.5" customHeight="1"/>
    <row r="1491" ht="19.5" customHeight="1"/>
    <row r="1492" ht="19.5" customHeight="1"/>
    <row r="1493" ht="19.5" customHeight="1"/>
    <row r="1494" ht="19.5" customHeight="1"/>
    <row r="1495" ht="19.5" customHeight="1"/>
    <row r="1496" ht="19.5" customHeight="1"/>
    <row r="1497" ht="19.5" customHeight="1"/>
    <row r="1498" ht="19.5" customHeight="1"/>
    <row r="1499" ht="19.5" customHeight="1"/>
    <row r="1500" ht="19.5" customHeight="1"/>
    <row r="1501" ht="19.5" customHeight="1"/>
    <row r="1502" ht="19.5" customHeight="1"/>
    <row r="1503" ht="19.5" customHeight="1"/>
  </sheetData>
  <mergeCells count="1">
    <mergeCell ref="A2:L2"/>
  </mergeCells>
  <phoneticPr fontId="7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39C12"/>
  </sheetPr>
  <dimension ref="A1:P403"/>
  <sheetViews>
    <sheetView rightToLeft="1" zoomScale="130" zoomScaleNormal="130" workbookViewId="0">
      <pane ySplit="4" topLeftCell="A37" activePane="bottomLeft" state="frozen"/>
      <selection pane="bottomLeft" activeCell="D51" sqref="D51"/>
    </sheetView>
  </sheetViews>
  <sheetFormatPr defaultColWidth="8.7109375" defaultRowHeight="15"/>
  <cols>
    <col min="1" max="1" width="12" style="41" customWidth="1"/>
    <col min="2" max="2" width="11" style="41" customWidth="1"/>
    <col min="3" max="3" width="16" style="148" customWidth="1"/>
    <col min="4" max="4" width="12" style="41" customWidth="1"/>
    <col min="5" max="5" width="8.7109375" style="41"/>
    <col min="6" max="6" width="11" style="41" customWidth="1"/>
    <col min="7" max="7" width="14" style="41" customWidth="1"/>
    <col min="8" max="8" width="12" style="41" customWidth="1"/>
    <col min="9" max="9" width="10" style="41" customWidth="1"/>
    <col min="10" max="10" width="8.7109375" style="41"/>
    <col min="11" max="11" width="12" style="41" customWidth="1"/>
    <col min="12" max="12" width="13" style="41" customWidth="1"/>
    <col min="13" max="13" width="12" style="41" customWidth="1"/>
    <col min="14" max="14" width="10" style="41" customWidth="1"/>
    <col min="15" max="15" width="16" customWidth="1"/>
    <col min="16" max="16" width="26.28515625" style="68" customWidth="1"/>
  </cols>
  <sheetData>
    <row r="1" spans="1:16" ht="15" hidden="1" customHeight="1"/>
    <row r="2" spans="1:16" s="45" customFormat="1" ht="51" customHeight="1">
      <c r="A2" s="276" t="s">
        <v>777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</row>
    <row r="3" spans="1:16" ht="0.75" customHeight="1">
      <c r="A3" s="275" t="s">
        <v>153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</row>
    <row r="4" spans="1:16" ht="33.75" customHeight="1">
      <c r="A4" s="66" t="s">
        <v>23</v>
      </c>
      <c r="B4" s="66" t="s">
        <v>24</v>
      </c>
      <c r="C4" s="190" t="s">
        <v>154</v>
      </c>
      <c r="D4" s="66" t="s">
        <v>155</v>
      </c>
      <c r="E4" s="66" t="s">
        <v>156</v>
      </c>
      <c r="F4" s="3" t="s">
        <v>157</v>
      </c>
      <c r="G4" s="3" t="s">
        <v>158</v>
      </c>
      <c r="H4" s="3" t="s">
        <v>159</v>
      </c>
      <c r="I4" s="2" t="s">
        <v>160</v>
      </c>
      <c r="J4" s="2" t="s">
        <v>161</v>
      </c>
      <c r="K4" s="3" t="s">
        <v>162</v>
      </c>
      <c r="L4" s="3" t="s">
        <v>163</v>
      </c>
      <c r="M4" s="2" t="s">
        <v>164</v>
      </c>
      <c r="N4" s="3" t="s">
        <v>165</v>
      </c>
      <c r="O4" s="66" t="s">
        <v>166</v>
      </c>
      <c r="P4" s="67" t="s">
        <v>167</v>
      </c>
    </row>
    <row r="5" spans="1:16" ht="19.5" customHeight="1">
      <c r="A5" s="165" t="s">
        <v>1126</v>
      </c>
      <c r="B5" s="165">
        <v>0</v>
      </c>
      <c r="C5" s="170" t="str">
        <f>IFERROR(INDEX(اطلاعات_پرسنل!$D$4:$D$59,MATCH(B5,اطلاعات_پرسنل!$A$4:$A$59,0)),"")</f>
        <v xml:space="preserve">فروشگاه </v>
      </c>
      <c r="D5" s="165">
        <v>4</v>
      </c>
      <c r="E5" s="165">
        <v>1</v>
      </c>
      <c r="F5" s="171">
        <f>IFERROR(SUMIFS(لاگ_فاکتور!$V$3:$V$1622,لاگ_فاکتور!$B$3:$B$1622,A5,لاگ_فاکتور!$C$3:$C$1622,B5),0)</f>
        <v>1</v>
      </c>
      <c r="G5" s="172">
        <f>IFERROR(SUMIFS(لاگ_فاکتور!$O$3:$O$1622,لاگ_فاکتور!$B$3:$B$1622,A5,لاگ_فاکتور!$C$3:$C$1622,B5),0)</f>
        <v>2000000</v>
      </c>
      <c r="H5" s="173">
        <f>IFERROR(SUMIFS(لاگ_فاکتور!$N$3:$N$1622,لاگ_فاکتور!$B$3:$B$1622,A5,لاگ_فاکتور!$C$3:$C$1622,B5),0)</f>
        <v>0</v>
      </c>
      <c r="I5" s="174">
        <v>0</v>
      </c>
      <c r="J5" s="174">
        <v>0</v>
      </c>
      <c r="K5" s="175">
        <f t="shared" ref="K5:K36" si="0">IFERROR(F5/D5,0)</f>
        <v>0.25</v>
      </c>
      <c r="L5" s="173">
        <f t="shared" ref="L5:L36" si="1">IFERROR(G5/F5,0)</f>
        <v>2000000</v>
      </c>
      <c r="M5" s="176">
        <f>IFERROR(SUMIFS(لاگ_فاکتور!$L$3:$L$1622,لاگ_فاکتور!$B$3:$B$1622,A5,لاگ_فاکتور!$C$3:$C$1622,B5)/F5,0)</f>
        <v>1</v>
      </c>
      <c r="N5" s="177">
        <v>0</v>
      </c>
      <c r="O5" s="166"/>
      <c r="P5" s="178"/>
    </row>
    <row r="6" spans="1:16" ht="19.5" customHeight="1">
      <c r="A6" s="165" t="s">
        <v>1126</v>
      </c>
      <c r="B6" s="165">
        <v>1</v>
      </c>
      <c r="C6" s="170" t="str">
        <f>IFERROR(INDEX(اطلاعات_پرسنل!$D$4:$D$59,MATCH(B6,اطلاعات_پرسنل!$A$4:$A$59,0)),"")</f>
        <v>دریا کریمی</v>
      </c>
      <c r="D6" s="165">
        <v>4</v>
      </c>
      <c r="E6" s="165"/>
      <c r="F6" s="171">
        <f>IFERROR(SUMIFS(لاگ_فاکتور!$V$3:$V$1622,لاگ_فاکتور!$B$3:$B$1622,A6,لاگ_فاکتور!$C$3:$C$1622,B6),0)</f>
        <v>0</v>
      </c>
      <c r="G6" s="172">
        <f>IFERROR(SUMIFS(لاگ_فاکتور!$O$3:$O$1622,لاگ_فاکتور!$B$3:$B$1622,A6,لاگ_فاکتور!$C$3:$C$1622,B6),0)</f>
        <v>0</v>
      </c>
      <c r="H6" s="173">
        <f>IFERROR(SUMIFS(لاگ_فاکتور!$N$3:$N$1622,لاگ_فاکتور!$B$3:$B$1622,A6,لاگ_فاکتور!$C$3:$C$1622,B6),0)</f>
        <v>0</v>
      </c>
      <c r="I6" s="174">
        <v>0</v>
      </c>
      <c r="J6" s="174">
        <v>0</v>
      </c>
      <c r="K6" s="175">
        <f t="shared" si="0"/>
        <v>0</v>
      </c>
      <c r="L6" s="173">
        <f t="shared" si="1"/>
        <v>0</v>
      </c>
      <c r="M6" s="176">
        <f>IFERROR(SUMIFS(لاگ_فاکتور!$L$3:$L$1622,لاگ_فاکتور!$B$3:$B$1622,A6,لاگ_فاکتور!$C$3:$C$1622,B6)/F6,0)</f>
        <v>0</v>
      </c>
      <c r="N6" s="177">
        <v>0</v>
      </c>
      <c r="O6" s="166"/>
      <c r="P6" s="178"/>
    </row>
    <row r="7" spans="1:16" ht="19.5" customHeight="1">
      <c r="A7" s="165" t="s">
        <v>1126</v>
      </c>
      <c r="B7" s="165">
        <v>2</v>
      </c>
      <c r="C7" s="170" t="str">
        <f>IFERROR(INDEX(اطلاعات_پرسنل!$D$4:$D$59,MATCH(B7,اطلاعات_پرسنل!$A$4:$A$59,0)),"")</f>
        <v>ماحی حمیدپور</v>
      </c>
      <c r="D7" s="165">
        <v>2</v>
      </c>
      <c r="E7" s="165"/>
      <c r="F7" s="171">
        <f>IFERROR(SUMIFS(لاگ_فاکتور!$V$3:$V$1622,لاگ_فاکتور!$B$3:$B$1622,A7,لاگ_فاکتور!$C$3:$C$1622,B7),0)</f>
        <v>0</v>
      </c>
      <c r="G7" s="172">
        <f>IFERROR(SUMIFS(لاگ_فاکتور!$O$3:$O$1622,لاگ_فاکتور!$B$3:$B$1622,A7,لاگ_فاکتور!$C$3:$C$1622,B7),0)</f>
        <v>0</v>
      </c>
      <c r="H7" s="173">
        <f>IFERROR(SUMIFS(لاگ_فاکتور!$N$3:$N$1622,لاگ_فاکتور!$B$3:$B$1622,A7,لاگ_فاکتور!$C$3:$C$1622,B7),0)</f>
        <v>0</v>
      </c>
      <c r="I7" s="174">
        <v>0</v>
      </c>
      <c r="J7" s="174">
        <v>0</v>
      </c>
      <c r="K7" s="175">
        <f t="shared" si="0"/>
        <v>0</v>
      </c>
      <c r="L7" s="173">
        <f t="shared" si="1"/>
        <v>0</v>
      </c>
      <c r="M7" s="176">
        <f>IFERROR(SUMIFS(لاگ_فاکتور!$L$3:$L$1622,لاگ_فاکتور!$B$3:$B$1622,A7,لاگ_فاکتور!$C$3:$C$1622,B7)/F7,0)</f>
        <v>0</v>
      </c>
      <c r="N7" s="177">
        <v>0</v>
      </c>
      <c r="O7" s="166"/>
      <c r="P7" s="178"/>
    </row>
    <row r="8" spans="1:16" ht="19.5" customHeight="1">
      <c r="A8" s="179" t="s">
        <v>1127</v>
      </c>
      <c r="B8" s="179">
        <v>0</v>
      </c>
      <c r="C8" s="180" t="str">
        <f>IFERROR(INDEX(اطلاعات_پرسنل!$D$4:$D$59,MATCH(B8,اطلاعات_پرسنل!$A$4:$A$59,0)),"")</f>
        <v xml:space="preserve">فروشگاه </v>
      </c>
      <c r="D8" s="179">
        <v>1</v>
      </c>
      <c r="E8" s="179">
        <v>1</v>
      </c>
      <c r="F8" s="181">
        <f>IFERROR(SUMIFS(لاگ_فاکتور!$V$3:$V$1622,لاگ_فاکتور!$B$3:$B$1622,A8,لاگ_فاکتور!$C$3:$C$1622,B8),0)</f>
        <v>1</v>
      </c>
      <c r="G8" s="182">
        <f>IFERROR(SUMIFS(لاگ_فاکتور!$O$3:$O$1622,لاگ_فاکتور!$B$3:$B$1622,A8,لاگ_فاکتور!$C$3:$C$1622,B8),0)</f>
        <v>3960000</v>
      </c>
      <c r="H8" s="183">
        <f>IFERROR(SUMIFS(لاگ_فاکتور!$N$3:$N$1622,لاگ_فاکتور!$B$3:$B$1622,A8,لاگ_فاکتور!$C$3:$C$1622,B8),0)</f>
        <v>0</v>
      </c>
      <c r="I8" s="184">
        <v>0</v>
      </c>
      <c r="J8" s="184">
        <v>0</v>
      </c>
      <c r="K8" s="185">
        <f t="shared" si="0"/>
        <v>1</v>
      </c>
      <c r="L8" s="183">
        <f t="shared" si="1"/>
        <v>3960000</v>
      </c>
      <c r="M8" s="186">
        <f>IFERROR(SUMIFS(لاگ_فاکتور!$L$3:$L$1622,لاگ_فاکتور!$B$3:$B$1622,A8,لاگ_فاکتور!$C$3:$C$1622,B8)/F8,0)</f>
        <v>2</v>
      </c>
      <c r="N8" s="187">
        <v>0</v>
      </c>
      <c r="O8" s="188"/>
      <c r="P8" s="189"/>
    </row>
    <row r="9" spans="1:16" ht="19.5" customHeight="1">
      <c r="A9" s="179" t="s">
        <v>1127</v>
      </c>
      <c r="B9" s="179">
        <v>2</v>
      </c>
      <c r="C9" s="180" t="str">
        <f>IFERROR(INDEX(اطلاعات_پرسنل!$D$4:$D$59,MATCH(B9,اطلاعات_پرسنل!$A$4:$A$59,0)),"")</f>
        <v>ماحی حمیدپور</v>
      </c>
      <c r="D9" s="179">
        <v>14</v>
      </c>
      <c r="E9" s="179">
        <v>3</v>
      </c>
      <c r="F9" s="181">
        <f>IFERROR(SUMIFS(لاگ_فاکتور!$V$3:$V$1622,لاگ_فاکتور!$B$3:$B$1622,A9,لاگ_فاکتور!$C$3:$C$1622,B9),0)</f>
        <v>3</v>
      </c>
      <c r="G9" s="182">
        <f>IFERROR(SUMIFS(لاگ_فاکتور!$O$3:$O$1622,لاگ_فاکتور!$B$3:$B$1622,A9,لاگ_فاکتور!$C$3:$C$1622,B9),0)</f>
        <v>5636000</v>
      </c>
      <c r="H9" s="183">
        <f>IFERROR(SUMIFS(لاگ_فاکتور!$N$3:$N$1622,لاگ_فاکتور!$B$3:$B$1622,A9,لاگ_فاکتور!$C$3:$C$1622,B9),0)</f>
        <v>0</v>
      </c>
      <c r="I9" s="184">
        <v>0</v>
      </c>
      <c r="J9" s="184">
        <v>0</v>
      </c>
      <c r="K9" s="185">
        <f t="shared" si="0"/>
        <v>0.21428571428571427</v>
      </c>
      <c r="L9" s="183">
        <f t="shared" si="1"/>
        <v>1878666.6666666667</v>
      </c>
      <c r="M9" s="186">
        <f>IFERROR(SUMIFS(لاگ_فاکتور!$L$3:$L$1622,لاگ_فاکتور!$B$3:$B$1622,A9,لاگ_فاکتور!$C$3:$C$1622,B9)/F9,0)</f>
        <v>1</v>
      </c>
      <c r="N9" s="187">
        <v>0</v>
      </c>
      <c r="O9" s="188"/>
      <c r="P9" s="189"/>
    </row>
    <row r="10" spans="1:16" ht="19.5" customHeight="1">
      <c r="A10" s="179" t="s">
        <v>1127</v>
      </c>
      <c r="B10" s="179">
        <v>1</v>
      </c>
      <c r="C10" s="180" t="str">
        <f>IFERROR(INDEX(اطلاعات_پرسنل!$D$4:$D$59,MATCH(B10,اطلاعات_پرسنل!$A$4:$A$59,0)),"")</f>
        <v>دریا کریمی</v>
      </c>
      <c r="D10" s="179">
        <v>18</v>
      </c>
      <c r="E10" s="179">
        <v>4</v>
      </c>
      <c r="F10" s="181">
        <f>IFERROR(SUMIFS(لاگ_فاکتور!$V$3:$V$1622,لاگ_فاکتور!$B$3:$B$1622,A10,لاگ_فاکتور!$C$3:$C$1622,B10),0)</f>
        <v>0</v>
      </c>
      <c r="G10" s="182">
        <f>IFERROR(SUMIFS(لاگ_فاکتور!$O$3:$O$1622,لاگ_فاکتور!$B$3:$B$1622,A10,لاگ_فاکتور!$C$3:$C$1622,B10),0)</f>
        <v>0</v>
      </c>
      <c r="H10" s="183">
        <f>IFERROR(SUMIFS(لاگ_فاکتور!$N$3:$N$1622,لاگ_فاکتور!$B$3:$B$1622,A10,لاگ_فاکتور!$C$3:$C$1622,B10),0)</f>
        <v>0</v>
      </c>
      <c r="I10" s="184">
        <v>0</v>
      </c>
      <c r="J10" s="184">
        <v>0</v>
      </c>
      <c r="K10" s="185">
        <f t="shared" si="0"/>
        <v>0</v>
      </c>
      <c r="L10" s="183">
        <f t="shared" si="1"/>
        <v>0</v>
      </c>
      <c r="M10" s="186">
        <f>IFERROR(SUMIFS(لاگ_فاکتور!$L$3:$L$1622,لاگ_فاکتور!$B$3:$B$1622,A10,لاگ_فاکتور!$C$3:$C$1622,B10)/F10,0)</f>
        <v>0</v>
      </c>
      <c r="N10" s="187">
        <v>0</v>
      </c>
      <c r="O10" s="188"/>
      <c r="P10" s="189"/>
    </row>
    <row r="11" spans="1:16" ht="19.5" customHeight="1">
      <c r="A11" s="165" t="s">
        <v>1128</v>
      </c>
      <c r="B11" s="165">
        <v>0</v>
      </c>
      <c r="C11" s="170" t="str">
        <f>IFERROR(INDEX(اطلاعات_پرسنل!$D$4:$D$59,MATCH(B11,اطلاعات_پرسنل!$A$4:$A$59,0)),"")</f>
        <v xml:space="preserve">فروشگاه </v>
      </c>
      <c r="D11" s="165">
        <v>3</v>
      </c>
      <c r="E11" s="165">
        <v>2</v>
      </c>
      <c r="F11" s="171">
        <f>IFERROR(SUMIFS(لاگ_فاکتور!$V$3:$V$1622,لاگ_فاکتور!$B$3:$B$1622,A11,لاگ_فاکتور!$C$3:$C$1622,B11),0)</f>
        <v>0</v>
      </c>
      <c r="G11" s="172">
        <f>IFERROR(SUMIFS(لاگ_فاکتور!$O$3:$O$1622,لاگ_فاکتور!$B$3:$B$1622,A11,لاگ_فاکتور!$C$3:$C$1622,B11),0)</f>
        <v>0</v>
      </c>
      <c r="H11" s="173">
        <f>IFERROR(SUMIFS(لاگ_فاکتور!$N$3:$N$1622,لاگ_فاکتور!$B$3:$B$1622,A11,لاگ_فاکتور!$C$3:$C$1622,B11),0)</f>
        <v>0</v>
      </c>
      <c r="I11" s="174">
        <v>0</v>
      </c>
      <c r="J11" s="174">
        <v>0</v>
      </c>
      <c r="K11" s="175">
        <f t="shared" si="0"/>
        <v>0</v>
      </c>
      <c r="L11" s="173">
        <f t="shared" si="1"/>
        <v>0</v>
      </c>
      <c r="M11" s="176">
        <f>IFERROR(SUMIFS(لاگ_فاکتور!$L$3:$L$1622,لاگ_فاکتور!$B$3:$B$1622,A11,لاگ_فاکتور!$C$3:$C$1622,B11)/F11,0)</f>
        <v>0</v>
      </c>
      <c r="N11" s="177">
        <v>0</v>
      </c>
      <c r="O11" s="166"/>
      <c r="P11" s="178" t="s">
        <v>1175</v>
      </c>
    </row>
    <row r="12" spans="1:16" ht="19.5" customHeight="1">
      <c r="A12" s="165" t="s">
        <v>1128</v>
      </c>
      <c r="B12" s="165">
        <v>2</v>
      </c>
      <c r="C12" s="170" t="str">
        <f>IFERROR(INDEX(اطلاعات_پرسنل!$D$4:$D$59,MATCH(B12,اطلاعات_پرسنل!$A$4:$A$59,0)),"")</f>
        <v>ماحی حمیدپور</v>
      </c>
      <c r="D12" s="165">
        <v>30</v>
      </c>
      <c r="E12" s="165">
        <v>14</v>
      </c>
      <c r="F12" s="171">
        <f>IFERROR(SUMIFS(لاگ_فاکتور!$V$3:$V$1622,لاگ_فاکتور!$B$3:$B$1622,A12,لاگ_فاکتور!$C$3:$C$1622,B12),0)</f>
        <v>7</v>
      </c>
      <c r="G12" s="172">
        <f>IFERROR(SUMIFS(لاگ_فاکتور!$O$3:$O$1622,لاگ_فاکتور!$B$3:$B$1622,A12,لاگ_فاکتور!$C$3:$C$1622,B12),0)</f>
        <v>58560000</v>
      </c>
      <c r="H12" s="173">
        <f>IFERROR(SUMIFS(لاگ_فاکتور!$N$3:$N$1622,لاگ_فاکتور!$B$3:$B$1622,A12,لاگ_فاکتور!$C$3:$C$1622,B12),0)</f>
        <v>0</v>
      </c>
      <c r="I12" s="174">
        <v>0</v>
      </c>
      <c r="J12" s="174">
        <v>1</v>
      </c>
      <c r="K12" s="175">
        <f t="shared" si="0"/>
        <v>0.23333333333333334</v>
      </c>
      <c r="L12" s="173">
        <f t="shared" si="1"/>
        <v>8365714.2857142854</v>
      </c>
      <c r="M12" s="176">
        <f>IFERROR(SUMIFS(لاگ_فاکتور!$L$3:$L$1622,لاگ_فاکتور!$B$3:$B$1622,A12,لاگ_فاکتور!$C$3:$C$1622,B12)/F12,0)</f>
        <v>2.5714285714285716</v>
      </c>
      <c r="N12" s="177">
        <v>0</v>
      </c>
      <c r="O12" s="166"/>
      <c r="P12" s="178"/>
    </row>
    <row r="13" spans="1:16" ht="19.5" customHeight="1">
      <c r="A13" s="165" t="s">
        <v>1128</v>
      </c>
      <c r="B13" s="165">
        <v>1</v>
      </c>
      <c r="C13" s="170" t="str">
        <f>IFERROR(INDEX(اطلاعات_پرسنل!$D$4:$D$59,MATCH(B13,اطلاعات_پرسنل!$A$4:$A$59,0)),"")</f>
        <v>دریا کریمی</v>
      </c>
      <c r="D13" s="165">
        <v>23</v>
      </c>
      <c r="E13" s="165">
        <v>7</v>
      </c>
      <c r="F13" s="171">
        <f>IFERROR(SUMIFS(لاگ_فاکتور!$V$3:$V$1622,لاگ_فاکتور!$B$3:$B$1622,A13,لاگ_فاکتور!$C$3:$C$1622,B13),0)</f>
        <v>2</v>
      </c>
      <c r="G13" s="172">
        <f>IFERROR(SUMIFS(لاگ_فاکتور!$O$3:$O$1622,لاگ_فاکتور!$B$3:$B$1622,A13,لاگ_فاکتور!$C$3:$C$1622,B13),0)</f>
        <v>16118000</v>
      </c>
      <c r="H13" s="173">
        <f>IFERROR(SUMIFS(لاگ_فاکتور!$N$3:$N$1622,لاگ_فاکتور!$B$3:$B$1622,A13,لاگ_فاکتور!$C$3:$C$1622,B13),0)</f>
        <v>0</v>
      </c>
      <c r="I13" s="174">
        <v>0</v>
      </c>
      <c r="J13" s="174">
        <v>1</v>
      </c>
      <c r="K13" s="175">
        <f t="shared" si="0"/>
        <v>8.6956521739130432E-2</v>
      </c>
      <c r="L13" s="173">
        <f t="shared" si="1"/>
        <v>8059000</v>
      </c>
      <c r="M13" s="176">
        <f>IFERROR(SUMIFS(لاگ_فاکتور!$L$3:$L$1622,لاگ_فاکتور!$B$3:$B$1622,A13,لاگ_فاکتور!$C$3:$C$1622,B13)/F13,0)</f>
        <v>3.5</v>
      </c>
      <c r="N13" s="177">
        <v>0</v>
      </c>
      <c r="O13" s="166"/>
      <c r="P13" s="178"/>
    </row>
    <row r="14" spans="1:16" ht="19.5" customHeight="1">
      <c r="A14" s="179" t="s">
        <v>1129</v>
      </c>
      <c r="B14" s="179">
        <v>2</v>
      </c>
      <c r="C14" s="180" t="str">
        <f>IFERROR(INDEX(اطلاعات_پرسنل!$D$4:$D$59,MATCH(B14,اطلاعات_پرسنل!$A$4:$A$59,0)),"")</f>
        <v>ماحی حمیدپور</v>
      </c>
      <c r="D14" s="179">
        <v>1</v>
      </c>
      <c r="E14" s="179"/>
      <c r="F14" s="181">
        <f>IFERROR(SUMIFS(لاگ_فاکتور!$V$3:$V$1622,لاگ_فاکتور!$B$3:$B$1622,A14,لاگ_فاکتور!$C$3:$C$1622,B14),0)</f>
        <v>1</v>
      </c>
      <c r="G14" s="182">
        <f>IFERROR(SUMIFS(لاگ_فاکتور!$O$3:$O$1622,لاگ_فاکتور!$B$3:$B$1622,A14,لاگ_فاکتور!$C$3:$C$1622,B14),0)</f>
        <v>4170000</v>
      </c>
      <c r="H14" s="183">
        <f>IFERROR(SUMIFS(لاگ_فاکتور!$N$3:$N$1622,لاگ_فاکتور!$B$3:$B$1622,A14,لاگ_فاکتور!$C$3:$C$1622,B14),0)</f>
        <v>0</v>
      </c>
      <c r="I14" s="184">
        <v>0</v>
      </c>
      <c r="J14" s="184">
        <v>0</v>
      </c>
      <c r="K14" s="185">
        <f t="shared" si="0"/>
        <v>1</v>
      </c>
      <c r="L14" s="183">
        <f t="shared" si="1"/>
        <v>4170000</v>
      </c>
      <c r="M14" s="186">
        <f>IFERROR(SUMIFS(لاگ_فاکتور!$L$3:$L$1622,لاگ_فاکتور!$B$3:$B$1622,A14,لاگ_فاکتور!$C$3:$C$1622,B14)/F14,0)</f>
        <v>2</v>
      </c>
      <c r="N14" s="187">
        <v>0</v>
      </c>
      <c r="O14" s="188"/>
      <c r="P14" s="189"/>
    </row>
    <row r="15" spans="1:16" ht="19.5" customHeight="1">
      <c r="A15" s="179" t="s">
        <v>1129</v>
      </c>
      <c r="B15" s="179">
        <v>1</v>
      </c>
      <c r="C15" s="180" t="str">
        <f>IFERROR(INDEX(اطلاعات_پرسنل!$D$4:$D$59,MATCH(B15,اطلاعات_پرسنل!$A$4:$A$59,0)),"")</f>
        <v>دریا کریمی</v>
      </c>
      <c r="D15" s="179">
        <v>10</v>
      </c>
      <c r="E15" s="179">
        <v>7</v>
      </c>
      <c r="F15" s="181">
        <f>IFERROR(SUMIFS(لاگ_فاکتور!$V$3:$V$1622,لاگ_فاکتور!$B$3:$B$1622,A15,لاگ_فاکتور!$C$3:$C$1622,B15),0)</f>
        <v>6</v>
      </c>
      <c r="G15" s="182">
        <f>IFERROR(SUMIFS(لاگ_فاکتور!$O$3:$O$1622,لاگ_فاکتور!$B$3:$B$1622,A15,لاگ_فاکتور!$C$3:$C$1622,B15),0)</f>
        <v>18860000</v>
      </c>
      <c r="H15" s="183">
        <f>IFERROR(SUMIFS(لاگ_فاکتور!$N$3:$N$1622,لاگ_فاکتور!$B$3:$B$1622,A15,لاگ_فاکتور!$C$3:$C$1622,B15),0)</f>
        <v>0</v>
      </c>
      <c r="I15" s="184">
        <v>0</v>
      </c>
      <c r="J15" s="184">
        <v>0</v>
      </c>
      <c r="K15" s="185">
        <f t="shared" si="0"/>
        <v>0.6</v>
      </c>
      <c r="L15" s="183">
        <f t="shared" si="1"/>
        <v>3143333.3333333335</v>
      </c>
      <c r="M15" s="186">
        <f>IFERROR(SUMIFS(لاگ_فاکتور!$L$3:$L$1622,لاگ_فاکتور!$B$3:$B$1622,A15,لاگ_فاکتور!$C$3:$C$1622,B15)/F15,0)</f>
        <v>1.5</v>
      </c>
      <c r="N15" s="187">
        <v>0</v>
      </c>
      <c r="O15" s="188"/>
      <c r="P15" s="189"/>
    </row>
    <row r="16" spans="1:16" ht="19.5" customHeight="1">
      <c r="A16" s="165" t="s">
        <v>1203</v>
      </c>
      <c r="B16" s="165">
        <v>0</v>
      </c>
      <c r="C16" s="170" t="str">
        <f>IFERROR(INDEX(اطلاعات_پرسنل!$D$4:$D$59,MATCH(B16,اطلاعات_پرسنل!$A$4:$A$59,0)),"")</f>
        <v xml:space="preserve">فروشگاه </v>
      </c>
      <c r="D16" s="165">
        <v>5</v>
      </c>
      <c r="E16" s="165">
        <v>2</v>
      </c>
      <c r="F16" s="171">
        <f>IFERROR(SUMIFS(لاگ_فاکتور!$V$3:$V$1622,لاگ_فاکتور!$B$3:$B$1622,A16,لاگ_فاکتور!$C$3:$C$1622,B16),0)</f>
        <v>0</v>
      </c>
      <c r="G16" s="172">
        <f>IFERROR(SUMIFS(لاگ_فاکتور!$O$3:$O$1622,لاگ_فاکتور!$B$3:$B$1622,A16,لاگ_فاکتور!$C$3:$C$1622,B16),0)</f>
        <v>0</v>
      </c>
      <c r="H16" s="173">
        <f>IFERROR(SUMIFS(لاگ_فاکتور!$N$3:$N$1622,لاگ_فاکتور!$B$3:$B$1622,A16,لاگ_فاکتور!$C$3:$C$1622,B16),0)</f>
        <v>0</v>
      </c>
      <c r="I16" s="174">
        <v>0</v>
      </c>
      <c r="J16" s="174">
        <v>0</v>
      </c>
      <c r="K16" s="175">
        <f t="shared" si="0"/>
        <v>0</v>
      </c>
      <c r="L16" s="173">
        <f t="shared" si="1"/>
        <v>0</v>
      </c>
      <c r="M16" s="176">
        <f>IFERROR(SUMIFS(لاگ_فاکتور!$L$3:$L$1622,لاگ_فاکتور!$B$3:$B$1622,A16,لاگ_فاکتور!$C$3:$C$1622,B16)/F16,0)</f>
        <v>0</v>
      </c>
      <c r="N16" s="177">
        <v>0</v>
      </c>
      <c r="O16" s="166"/>
      <c r="P16" s="178"/>
    </row>
    <row r="17" spans="1:16" ht="19.5" customHeight="1">
      <c r="A17" s="165" t="s">
        <v>1203</v>
      </c>
      <c r="B17" s="165">
        <v>1</v>
      </c>
      <c r="C17" s="170" t="str">
        <f>IFERROR(INDEX(اطلاعات_پرسنل!$D$4:$D$59,MATCH(B17,اطلاعات_پرسنل!$A$4:$A$59,0)),"")</f>
        <v>دریا کریمی</v>
      </c>
      <c r="D17" s="165">
        <v>11</v>
      </c>
      <c r="E17" s="165">
        <v>2</v>
      </c>
      <c r="F17" s="171">
        <f>IFERROR(SUMIFS(لاگ_فاکتور!$V$3:$V$1622,لاگ_فاکتور!$B$3:$B$1622,A17,لاگ_فاکتور!$C$3:$C$1622,B17),0)</f>
        <v>2</v>
      </c>
      <c r="G17" s="172">
        <f>IFERROR(SUMIFS(لاگ_فاکتور!$O$3:$O$1622,لاگ_فاکتور!$B$3:$B$1622,A17,لاگ_فاکتور!$C$3:$C$1622,B17),0)</f>
        <v>18240000</v>
      </c>
      <c r="H17" s="173">
        <f>IFERROR(SUMIFS(لاگ_فاکتور!$N$3:$N$1622,لاگ_فاکتور!$B$3:$B$1622,A17,لاگ_فاکتور!$C$3:$C$1622,B17),0)</f>
        <v>0</v>
      </c>
      <c r="I17" s="174">
        <v>0</v>
      </c>
      <c r="J17" s="174">
        <v>1</v>
      </c>
      <c r="K17" s="175">
        <f t="shared" si="0"/>
        <v>0.18181818181818182</v>
      </c>
      <c r="L17" s="173">
        <f t="shared" si="1"/>
        <v>9120000</v>
      </c>
      <c r="M17" s="176">
        <f>IFERROR(SUMIFS(لاگ_فاکتور!$L$3:$L$1622,لاگ_فاکتور!$B$3:$B$1622,A17,لاگ_فاکتور!$C$3:$C$1622,B17)/F17,0)</f>
        <v>2</v>
      </c>
      <c r="N17" s="177">
        <v>0</v>
      </c>
      <c r="O17" s="166"/>
      <c r="P17" s="178"/>
    </row>
    <row r="18" spans="1:16" ht="19.5" customHeight="1">
      <c r="A18" s="179" t="s">
        <v>1239</v>
      </c>
      <c r="B18" s="179">
        <v>0</v>
      </c>
      <c r="C18" s="180" t="str">
        <f>IFERROR(INDEX(اطلاعات_پرسنل!$D$4:$D$59,MATCH(B18,اطلاعات_پرسنل!$A$4:$A$59,0)),"")</f>
        <v xml:space="preserve">فروشگاه </v>
      </c>
      <c r="D18" s="179">
        <v>5</v>
      </c>
      <c r="E18" s="179">
        <v>2</v>
      </c>
      <c r="F18" s="181">
        <f>IFERROR(SUMIFS(لاگ_فاکتور!$V$3:$V$1622,لاگ_فاکتور!$B$3:$B$1622,A18,لاگ_فاکتور!$C$3:$C$1622,B18),0)</f>
        <v>1</v>
      </c>
      <c r="G18" s="182">
        <f>IFERROR(SUMIFS(لاگ_فاکتور!$O$3:$O$1622,لاگ_فاکتور!$B$3:$B$1622,A18,لاگ_فاکتور!$C$3:$C$1622,B18),0)</f>
        <v>4580000</v>
      </c>
      <c r="H18" s="183">
        <f>IFERROR(SUMIFS(لاگ_فاکتور!$N$3:$N$1622,لاگ_فاکتور!$B$3:$B$1622,A18,لاگ_فاکتور!$C$3:$C$1622,B18),0)</f>
        <v>0</v>
      </c>
      <c r="I18" s="184">
        <v>0</v>
      </c>
      <c r="J18" s="184">
        <v>0</v>
      </c>
      <c r="K18" s="185">
        <f t="shared" si="0"/>
        <v>0.2</v>
      </c>
      <c r="L18" s="183">
        <f t="shared" si="1"/>
        <v>4580000</v>
      </c>
      <c r="M18" s="186">
        <f>IFERROR(SUMIFS(لاگ_فاکتور!$L$3:$L$1622,لاگ_فاکتور!$B$3:$B$1622,A18,لاگ_فاکتور!$C$3:$C$1622,B18)/F18,0)</f>
        <v>1</v>
      </c>
      <c r="N18" s="187">
        <v>0</v>
      </c>
      <c r="O18" s="188"/>
      <c r="P18" s="189"/>
    </row>
    <row r="19" spans="1:16" ht="19.5" customHeight="1">
      <c r="A19" s="179" t="s">
        <v>1239</v>
      </c>
      <c r="B19" s="179">
        <v>2</v>
      </c>
      <c r="C19" s="180" t="str">
        <f>IFERROR(INDEX(اطلاعات_پرسنل!$D$4:$D$59,MATCH(B19,اطلاعات_پرسنل!$A$4:$A$59,0)),"")</f>
        <v>ماحی حمیدپور</v>
      </c>
      <c r="D19" s="179">
        <v>9</v>
      </c>
      <c r="E19" s="179">
        <v>6</v>
      </c>
      <c r="F19" s="181">
        <f>IFERROR(SUMIFS(لاگ_فاکتور!$V$3:$V$1622,لاگ_فاکتور!$B$3:$B$1622,A19,لاگ_فاکتور!$C$3:$C$1622,B19),0)</f>
        <v>2</v>
      </c>
      <c r="G19" s="182">
        <f>IFERROR(SUMIFS(لاگ_فاکتور!$O$3:$O$1622,لاگ_فاکتور!$B$3:$B$1622,A19,لاگ_فاکتور!$C$3:$C$1622,B19),0)</f>
        <v>26500000</v>
      </c>
      <c r="H19" s="183">
        <f>IFERROR(SUMIFS(لاگ_فاکتور!$N$3:$N$1622,لاگ_فاکتور!$B$3:$B$1622,A19,لاگ_فاکتور!$C$3:$C$1622,B19),0)</f>
        <v>0</v>
      </c>
      <c r="I19" s="184">
        <v>0</v>
      </c>
      <c r="J19" s="184">
        <v>1</v>
      </c>
      <c r="K19" s="185">
        <f t="shared" si="0"/>
        <v>0.22222222222222221</v>
      </c>
      <c r="L19" s="183">
        <f t="shared" si="1"/>
        <v>13250000</v>
      </c>
      <c r="M19" s="186">
        <f>IFERROR(SUMIFS(لاگ_فاکتور!$L$3:$L$1622,لاگ_فاکتور!$B$3:$B$1622,A19,لاگ_فاکتور!$C$3:$C$1622,B19)/F19,0)</f>
        <v>2.5</v>
      </c>
      <c r="N19" s="187">
        <v>0</v>
      </c>
      <c r="O19" s="188"/>
      <c r="P19" s="189"/>
    </row>
    <row r="20" spans="1:16" ht="19.5" customHeight="1">
      <c r="A20" s="165" t="s">
        <v>1243</v>
      </c>
      <c r="B20" s="165">
        <v>0</v>
      </c>
      <c r="C20" s="170" t="str">
        <f>IFERROR(INDEX(اطلاعات_پرسنل!$D$4:$D$59,MATCH(B20,اطلاعات_پرسنل!$A$4:$A$59,0)),"")</f>
        <v xml:space="preserve">فروشگاه </v>
      </c>
      <c r="D20" s="165">
        <v>1</v>
      </c>
      <c r="E20" s="165">
        <v>1</v>
      </c>
      <c r="F20" s="171">
        <f>IFERROR(SUMIFS(لاگ_فاکتور!$V$3:$V$1622,لاگ_فاکتور!$B$3:$B$1622,A20,لاگ_فاکتور!$C$3:$C$1622,B20),0)</f>
        <v>1</v>
      </c>
      <c r="G20" s="172">
        <f>IFERROR(SUMIFS(لاگ_فاکتور!$O$3:$O$1622,لاگ_فاکتور!$B$3:$B$1622,A20,لاگ_فاکتور!$C$3:$C$1622,B20),0)</f>
        <v>6900000</v>
      </c>
      <c r="H20" s="173">
        <f>IFERROR(SUMIFS(لاگ_فاکتور!$N$3:$N$1622,لاگ_فاکتور!$B$3:$B$1622,A20,لاگ_فاکتور!$C$3:$C$1622,B20),0)</f>
        <v>0</v>
      </c>
      <c r="I20" s="174">
        <v>0</v>
      </c>
      <c r="J20" s="174">
        <v>0</v>
      </c>
      <c r="K20" s="175">
        <f t="shared" si="0"/>
        <v>1</v>
      </c>
      <c r="L20" s="173">
        <f t="shared" si="1"/>
        <v>6900000</v>
      </c>
      <c r="M20" s="176">
        <f>IFERROR(SUMIFS(لاگ_فاکتور!$L$3:$L$1622,لاگ_فاکتور!$B$3:$B$1622,A20,لاگ_فاکتور!$C$3:$C$1622,B20)/F20,0)</f>
        <v>2</v>
      </c>
      <c r="N20" s="177">
        <v>0</v>
      </c>
      <c r="O20" s="166"/>
      <c r="P20" s="178"/>
    </row>
    <row r="21" spans="1:16" ht="19.5" customHeight="1">
      <c r="A21" s="165" t="s">
        <v>1243</v>
      </c>
      <c r="B21" s="165">
        <v>1</v>
      </c>
      <c r="C21" s="170" t="str">
        <f>IFERROR(INDEX(اطلاعات_پرسنل!$D$4:$D$59,MATCH(B21,اطلاعات_پرسنل!$A$4:$A$59,0)),"")</f>
        <v>دریا کریمی</v>
      </c>
      <c r="D21" s="165">
        <v>6</v>
      </c>
      <c r="E21" s="165">
        <v>2</v>
      </c>
      <c r="F21" s="171">
        <f>IFERROR(SUMIFS(لاگ_فاکتور!$V$3:$V$1622,لاگ_فاکتور!$B$3:$B$1622,A21,لاگ_فاکتور!$C$3:$C$1622,B21),0)</f>
        <v>2</v>
      </c>
      <c r="G21" s="172">
        <f>IFERROR(SUMIFS(لاگ_فاکتور!$O$3:$O$1622,لاگ_فاکتور!$B$3:$B$1622,A21,لاگ_فاکتور!$C$3:$C$1622,B21),0)</f>
        <v>5460000</v>
      </c>
      <c r="H21" s="173">
        <f>IFERROR(SUMIFS(لاگ_فاکتور!$N$3:$N$1622,لاگ_فاکتور!$B$3:$B$1622,A21,لاگ_فاکتور!$C$3:$C$1622,B21),0)</f>
        <v>0</v>
      </c>
      <c r="I21" s="174">
        <v>0</v>
      </c>
      <c r="J21" s="174">
        <v>0</v>
      </c>
      <c r="K21" s="175">
        <f t="shared" si="0"/>
        <v>0.33333333333333331</v>
      </c>
      <c r="L21" s="173">
        <f t="shared" si="1"/>
        <v>2730000</v>
      </c>
      <c r="M21" s="176">
        <f>IFERROR(SUMIFS(لاگ_فاکتور!$L$3:$L$1622,لاگ_فاکتور!$B$3:$B$1622,A21,لاگ_فاکتور!$C$3:$C$1622,B21)/F21,0)</f>
        <v>1</v>
      </c>
      <c r="N21" s="177">
        <v>0</v>
      </c>
      <c r="O21" s="166"/>
      <c r="P21" s="178"/>
    </row>
    <row r="22" spans="1:16" ht="19.5" customHeight="1">
      <c r="A22" s="165" t="s">
        <v>1243</v>
      </c>
      <c r="B22" s="165">
        <v>2</v>
      </c>
      <c r="C22" s="170" t="str">
        <f>IFERROR(INDEX(اطلاعات_پرسنل!$D$4:$D$59,MATCH(B22,اطلاعات_پرسنل!$A$4:$A$59,0)),"")</f>
        <v>ماحی حمیدپور</v>
      </c>
      <c r="D22" s="165">
        <v>6</v>
      </c>
      <c r="E22" s="165">
        <v>1</v>
      </c>
      <c r="F22" s="171">
        <f>IFERROR(SUMIFS(لاگ_فاکتور!$V$3:$V$1622,لاگ_فاکتور!$B$3:$B$1622,A22,لاگ_فاکتور!$C$3:$C$1622,B22),0)</f>
        <v>0</v>
      </c>
      <c r="G22" s="172">
        <f>IFERROR(SUMIFS(لاگ_فاکتور!$O$3:$O$1622,لاگ_فاکتور!$B$3:$B$1622,A22,لاگ_فاکتور!$C$3:$C$1622,B22),0)</f>
        <v>0</v>
      </c>
      <c r="H22" s="173">
        <f>IFERROR(SUMIFS(لاگ_فاکتور!$N$3:$N$1622,لاگ_فاکتور!$B$3:$B$1622,A22,لاگ_فاکتور!$C$3:$C$1622,B22),0)</f>
        <v>0</v>
      </c>
      <c r="I22" s="174">
        <v>0</v>
      </c>
      <c r="J22" s="174">
        <v>0</v>
      </c>
      <c r="K22" s="175">
        <f t="shared" si="0"/>
        <v>0</v>
      </c>
      <c r="L22" s="173">
        <f t="shared" si="1"/>
        <v>0</v>
      </c>
      <c r="M22" s="176">
        <f>IFERROR(SUMIFS(لاگ_فاکتور!$L$3:$L$1622,لاگ_فاکتور!$B$3:$B$1622,A22,لاگ_فاکتور!$C$3:$C$1622,B22)/F22,0)</f>
        <v>0</v>
      </c>
      <c r="N22" s="177">
        <v>0</v>
      </c>
      <c r="O22" s="166"/>
      <c r="P22" s="178"/>
    </row>
    <row r="23" spans="1:16" ht="19.5" customHeight="1">
      <c r="A23" s="179" t="s">
        <v>1260</v>
      </c>
      <c r="B23" s="179">
        <v>0</v>
      </c>
      <c r="C23" s="180" t="str">
        <f>IFERROR(INDEX(اطلاعات_پرسنل!$D$4:$D$59,MATCH(B23,اطلاعات_پرسنل!$A$4:$A$59,0)),"")</f>
        <v xml:space="preserve">فروشگاه </v>
      </c>
      <c r="D23" s="179">
        <v>6</v>
      </c>
      <c r="E23" s="179">
        <v>4</v>
      </c>
      <c r="F23" s="181">
        <f>IFERROR(SUMIFS(لاگ_فاکتور!$V$3:$V$1622,لاگ_فاکتور!$B$3:$B$1622,A23,لاگ_فاکتور!$C$3:$C$1622,B23),0)</f>
        <v>0</v>
      </c>
      <c r="G23" s="182">
        <f>IFERROR(SUMIFS(لاگ_فاکتور!$O$3:$O$1622,لاگ_فاکتور!$B$3:$B$1622,A23,لاگ_فاکتور!$C$3:$C$1622,B23),0)</f>
        <v>0</v>
      </c>
      <c r="H23" s="183">
        <f>IFERROR(SUMIFS(لاگ_فاکتور!$N$3:$N$1622,لاگ_فاکتور!$B$3:$B$1622,A23,لاگ_فاکتور!$C$3:$C$1622,B23),0)</f>
        <v>0</v>
      </c>
      <c r="I23" s="184">
        <v>0</v>
      </c>
      <c r="J23" s="184">
        <v>0</v>
      </c>
      <c r="K23" s="185">
        <f t="shared" si="0"/>
        <v>0</v>
      </c>
      <c r="L23" s="183">
        <f t="shared" si="1"/>
        <v>0</v>
      </c>
      <c r="M23" s="186">
        <f>IFERROR(SUMIFS(لاگ_فاکتور!$L$3:$L$1622,لاگ_فاکتور!$B$3:$B$1622,A23,لاگ_فاکتور!$C$3:$C$1622,B23)/F23,0)</f>
        <v>0</v>
      </c>
      <c r="N23" s="187">
        <v>0</v>
      </c>
      <c r="O23" s="188"/>
      <c r="P23" s="189" t="s">
        <v>1175</v>
      </c>
    </row>
    <row r="24" spans="1:16" ht="19.5" customHeight="1">
      <c r="A24" s="179" t="s">
        <v>1260</v>
      </c>
      <c r="B24" s="179">
        <v>1</v>
      </c>
      <c r="C24" s="180" t="str">
        <f>IFERROR(INDEX(اطلاعات_پرسنل!$D$4:$D$59,MATCH(B24,اطلاعات_پرسنل!$A$4:$A$59,0)),"")</f>
        <v>دریا کریمی</v>
      </c>
      <c r="D24" s="179">
        <v>4</v>
      </c>
      <c r="E24" s="179">
        <v>3</v>
      </c>
      <c r="F24" s="181">
        <f>IFERROR(SUMIFS(لاگ_فاکتور!$V$3:$V$1622,لاگ_فاکتور!$B$3:$B$1622,A24,لاگ_فاکتور!$C$3:$C$1622,B24),0)</f>
        <v>3</v>
      </c>
      <c r="G24" s="182">
        <f>IFERROR(SUMIFS(لاگ_فاکتور!$O$3:$O$1622,لاگ_فاکتور!$B$3:$B$1622,A24,لاگ_فاکتور!$C$3:$C$1622,B24),0)</f>
        <v>9710000</v>
      </c>
      <c r="H24" s="183">
        <f>IFERROR(SUMIFS(لاگ_فاکتور!$N$3:$N$1622,لاگ_فاکتور!$B$3:$B$1622,A24,لاگ_فاکتور!$C$3:$C$1622,B24),0)</f>
        <v>0</v>
      </c>
      <c r="I24" s="184">
        <v>0</v>
      </c>
      <c r="J24" s="184">
        <v>0</v>
      </c>
      <c r="K24" s="185">
        <f t="shared" si="0"/>
        <v>0.75</v>
      </c>
      <c r="L24" s="183">
        <f t="shared" si="1"/>
        <v>3236666.6666666665</v>
      </c>
      <c r="M24" s="186">
        <f>IFERROR(SUMIFS(لاگ_فاکتور!$L$3:$L$1622,لاگ_فاکتور!$B$3:$B$1622,A24,لاگ_فاکتور!$C$3:$C$1622,B24)/F24,0)</f>
        <v>1.3333333333333333</v>
      </c>
      <c r="N24" s="187">
        <v>0</v>
      </c>
      <c r="O24" s="188"/>
      <c r="P24" s="189"/>
    </row>
    <row r="25" spans="1:16" ht="19.5" customHeight="1">
      <c r="A25" s="179" t="s">
        <v>1260</v>
      </c>
      <c r="B25" s="179">
        <v>2</v>
      </c>
      <c r="C25" s="180" t="str">
        <f>IFERROR(INDEX(اطلاعات_پرسنل!$D$4:$D$59,MATCH(B25,اطلاعات_پرسنل!$A$4:$A$59,0)),"")</f>
        <v>ماحی حمیدپور</v>
      </c>
      <c r="D25" s="179">
        <v>8</v>
      </c>
      <c r="E25" s="179">
        <v>4</v>
      </c>
      <c r="F25" s="181">
        <f>IFERROR(SUMIFS(لاگ_فاکتور!$V$3:$V$1622,لاگ_فاکتور!$B$3:$B$1622,A25,لاگ_فاکتور!$C$3:$C$1622,B25),0)</f>
        <v>2</v>
      </c>
      <c r="G25" s="182">
        <f>IFERROR(SUMIFS(لاگ_فاکتور!$O$3:$O$1622,لاگ_فاکتور!$B$3:$B$1622,A25,لاگ_فاکتور!$C$3:$C$1622,B25),0)</f>
        <v>7740000</v>
      </c>
      <c r="H25" s="183">
        <f>IFERROR(SUMIFS(لاگ_فاکتور!$N$3:$N$1622,لاگ_فاکتور!$B$3:$B$1622,A25,لاگ_فاکتور!$C$3:$C$1622,B25),0)</f>
        <v>0</v>
      </c>
      <c r="I25" s="184">
        <v>0</v>
      </c>
      <c r="J25" s="184">
        <v>0</v>
      </c>
      <c r="K25" s="185">
        <f t="shared" si="0"/>
        <v>0.25</v>
      </c>
      <c r="L25" s="183">
        <f t="shared" si="1"/>
        <v>3870000</v>
      </c>
      <c r="M25" s="186">
        <f>IFERROR(SUMIFS(لاگ_فاکتور!$L$3:$L$1622,لاگ_فاکتور!$B$3:$B$1622,A25,لاگ_فاکتور!$C$3:$C$1622,B25)/F25,0)</f>
        <v>1.5</v>
      </c>
      <c r="N25" s="187">
        <v>0</v>
      </c>
      <c r="O25" s="188"/>
      <c r="P25" s="189"/>
    </row>
    <row r="26" spans="1:16" ht="19.5" customHeight="1">
      <c r="A26" s="165" t="s">
        <v>1261</v>
      </c>
      <c r="B26" s="165">
        <v>0</v>
      </c>
      <c r="C26" s="170" t="str">
        <f>IFERROR(INDEX(اطلاعات_پرسنل!$D$4:$D$59,MATCH(B26,اطلاعات_پرسنل!$A$4:$A$59,0)),"")</f>
        <v xml:space="preserve">فروشگاه </v>
      </c>
      <c r="D26" s="165">
        <v>1</v>
      </c>
      <c r="E26" s="165"/>
      <c r="F26" s="171">
        <f>IFERROR(SUMIFS(لاگ_فاکتور!$V$3:$V$1622,لاگ_فاکتور!$B$3:$B$1622,A26,لاگ_فاکتور!$C$3:$C$1622,B26),0)</f>
        <v>0</v>
      </c>
      <c r="G26" s="172">
        <f>IFERROR(SUMIFS(لاگ_فاکتور!$O$3:$O$1622,لاگ_فاکتور!$B$3:$B$1622,A26,لاگ_فاکتور!$C$3:$C$1622,B26),0)</f>
        <v>0</v>
      </c>
      <c r="H26" s="173">
        <f>IFERROR(SUMIFS(لاگ_فاکتور!$N$3:$N$1622,لاگ_فاکتور!$B$3:$B$1622,A26,لاگ_فاکتور!$C$3:$C$1622,B26),0)</f>
        <v>0</v>
      </c>
      <c r="I26" s="174">
        <v>0</v>
      </c>
      <c r="J26" s="174">
        <v>0</v>
      </c>
      <c r="K26" s="175">
        <f t="shared" si="0"/>
        <v>0</v>
      </c>
      <c r="L26" s="173">
        <f t="shared" si="1"/>
        <v>0</v>
      </c>
      <c r="M26" s="176">
        <f>IFERROR(SUMIFS(لاگ_فاکتور!$L$3:$L$1622,لاگ_فاکتور!$B$3:$B$1622,A26,لاگ_فاکتور!$C$3:$C$1622,B26)/F26,0)</f>
        <v>0</v>
      </c>
      <c r="N26" s="177">
        <v>0</v>
      </c>
      <c r="O26" s="166"/>
      <c r="P26" s="178"/>
    </row>
    <row r="27" spans="1:16" ht="19.5" customHeight="1">
      <c r="A27" s="165" t="s">
        <v>1261</v>
      </c>
      <c r="B27" s="165">
        <v>1</v>
      </c>
      <c r="C27" s="170" t="str">
        <f>IFERROR(INDEX(اطلاعات_پرسنل!$D$4:$D$59,MATCH(B27,اطلاعات_پرسنل!$A$4:$A$59,0)),"")</f>
        <v>دریا کریمی</v>
      </c>
      <c r="D27" s="165">
        <v>21</v>
      </c>
      <c r="E27" s="165">
        <v>4</v>
      </c>
      <c r="F27" s="171">
        <f>IFERROR(SUMIFS(لاگ_فاکتور!$V$3:$V$1622,لاگ_فاکتور!$B$3:$B$1622,A27,لاگ_فاکتور!$C$3:$C$1622,B27),0)</f>
        <v>3</v>
      </c>
      <c r="G27" s="172">
        <f>IFERROR(SUMIFS(لاگ_فاکتور!$O$3:$O$1622,لاگ_فاکتور!$B$3:$B$1622,A27,لاگ_فاکتور!$C$3:$C$1622,B27),0)</f>
        <v>7060000</v>
      </c>
      <c r="H27" s="173">
        <f>IFERROR(SUMIFS(لاگ_فاکتور!$N$3:$N$1622,لاگ_فاکتور!$B$3:$B$1622,A27,لاگ_فاکتور!$C$3:$C$1622,B27),0)</f>
        <v>2712000</v>
      </c>
      <c r="I27" s="174">
        <v>0</v>
      </c>
      <c r="J27" s="174">
        <v>0</v>
      </c>
      <c r="K27" s="175">
        <f t="shared" si="0"/>
        <v>0.14285714285714285</v>
      </c>
      <c r="L27" s="173">
        <f t="shared" si="1"/>
        <v>2353333.3333333335</v>
      </c>
      <c r="M27" s="176">
        <f>IFERROR(SUMIFS(لاگ_فاکتور!$L$3:$L$1622,لاگ_فاکتور!$B$3:$B$1622,A27,لاگ_فاکتور!$C$3:$C$1622,B27)/F27,0)</f>
        <v>1</v>
      </c>
      <c r="N27" s="177">
        <v>0</v>
      </c>
      <c r="O27" s="166"/>
      <c r="P27" s="178" t="s">
        <v>1327</v>
      </c>
    </row>
    <row r="28" spans="1:16" ht="19.5" customHeight="1">
      <c r="A28" s="165" t="s">
        <v>1261</v>
      </c>
      <c r="B28" s="165">
        <v>2</v>
      </c>
      <c r="C28" s="170" t="str">
        <f>IFERROR(INDEX(اطلاعات_پرسنل!$D$4:$D$59,MATCH(B28,اطلاعات_پرسنل!$A$4:$A$59,0)),"")</f>
        <v>ماحی حمیدپور</v>
      </c>
      <c r="D28" s="165">
        <v>28</v>
      </c>
      <c r="E28" s="165">
        <v>6</v>
      </c>
      <c r="F28" s="171">
        <f>IFERROR(SUMIFS(لاگ_فاکتور!$V$3:$V$1622,لاگ_فاکتور!$B$3:$B$1622,A28,لاگ_فاکتور!$C$3:$C$1622,B28),0)</f>
        <v>5</v>
      </c>
      <c r="G28" s="172">
        <f>IFERROR(SUMIFS(لاگ_فاکتور!$O$3:$O$1622,لاگ_فاکتور!$B$3:$B$1622,A28,لاگ_فاکتور!$C$3:$C$1622,B28),0)</f>
        <v>33100000</v>
      </c>
      <c r="H28" s="173">
        <f>IFERROR(SUMIFS(لاگ_فاکتور!$N$3:$N$1622,لاگ_فاکتور!$B$3:$B$1622,A28,لاگ_فاکتور!$C$3:$C$1622,B28),0)</f>
        <v>2792000</v>
      </c>
      <c r="I28" s="174">
        <v>0</v>
      </c>
      <c r="J28" s="174">
        <v>1</v>
      </c>
      <c r="K28" s="175">
        <f t="shared" si="0"/>
        <v>0.17857142857142858</v>
      </c>
      <c r="L28" s="173">
        <f t="shared" si="1"/>
        <v>6620000</v>
      </c>
      <c r="M28" s="176">
        <f>IFERROR(SUMIFS(لاگ_فاکتور!$L$3:$L$1622,لاگ_فاکتور!$B$3:$B$1622,A28,لاگ_فاکتور!$C$3:$C$1622,B28)/F28,0)</f>
        <v>2.2000000000000002</v>
      </c>
      <c r="N28" s="177">
        <v>0</v>
      </c>
      <c r="O28" s="166"/>
      <c r="P28" s="178"/>
    </row>
    <row r="29" spans="1:16" ht="19.5" customHeight="1">
      <c r="A29" s="179" t="s">
        <v>1262</v>
      </c>
      <c r="B29" s="179">
        <v>0</v>
      </c>
      <c r="C29" s="180" t="str">
        <f>IFERROR(INDEX(اطلاعات_پرسنل!$D$4:$D$59,MATCH(B29,اطلاعات_پرسنل!$A$4:$A$59,0)),"")</f>
        <v xml:space="preserve">فروشگاه </v>
      </c>
      <c r="D29" s="179">
        <v>2</v>
      </c>
      <c r="E29" s="179"/>
      <c r="F29" s="181">
        <f>IFERROR(SUMIFS(لاگ_فاکتور!$V$3:$V$1622,لاگ_فاکتور!$B$3:$B$1622,A29,لاگ_فاکتور!$C$3:$C$1622,B29),0)</f>
        <v>0</v>
      </c>
      <c r="G29" s="182">
        <f>IFERROR(SUMIFS(لاگ_فاکتور!$O$3:$O$1622,لاگ_فاکتور!$B$3:$B$1622,A29,لاگ_فاکتور!$C$3:$C$1622,B29),0)</f>
        <v>0</v>
      </c>
      <c r="H29" s="183">
        <f>IFERROR(SUMIFS(لاگ_فاکتور!$N$3:$N$1622,لاگ_فاکتور!$B$3:$B$1622,A29,لاگ_فاکتور!$C$3:$C$1622,B29),0)</f>
        <v>0</v>
      </c>
      <c r="I29" s="184">
        <v>0</v>
      </c>
      <c r="J29" s="184">
        <v>0</v>
      </c>
      <c r="K29" s="185">
        <f t="shared" si="0"/>
        <v>0</v>
      </c>
      <c r="L29" s="183">
        <f t="shared" si="1"/>
        <v>0</v>
      </c>
      <c r="M29" s="186">
        <f>IFERROR(SUMIFS(لاگ_فاکتور!$L$3:$L$1622,لاگ_فاکتور!$B$3:$B$1622,A29,لاگ_فاکتور!$C$3:$C$1622,B29)/F29,0)</f>
        <v>0</v>
      </c>
      <c r="N29" s="187">
        <v>0</v>
      </c>
      <c r="O29" s="188"/>
      <c r="P29" s="189"/>
    </row>
    <row r="30" spans="1:16" ht="19.5" customHeight="1">
      <c r="A30" s="179" t="s">
        <v>1262</v>
      </c>
      <c r="B30" s="179">
        <v>1</v>
      </c>
      <c r="C30" s="180" t="str">
        <f>IFERROR(INDEX(اطلاعات_پرسنل!$D$4:$D$59,MATCH(B30,اطلاعات_پرسنل!$A$4:$A$59,0)),"")</f>
        <v>دریا کریمی</v>
      </c>
      <c r="D30" s="179">
        <v>21</v>
      </c>
      <c r="E30" s="179">
        <v>3</v>
      </c>
      <c r="F30" s="181">
        <f>IFERROR(SUMIFS(لاگ_فاکتور!$V$3:$V$1622,لاگ_فاکتور!$B$3:$B$1622,A30,لاگ_فاکتور!$C$3:$C$1622,B30),0)</f>
        <v>4</v>
      </c>
      <c r="G30" s="182">
        <f>IFERROR(SUMIFS(لاگ_فاکتور!$O$3:$O$1622,لاگ_فاکتور!$B$3:$B$1622,A30,لاگ_فاکتور!$C$3:$C$1622,B30),0)</f>
        <v>23990000</v>
      </c>
      <c r="H30" s="183">
        <f>IFERROR(SUMIFS(لاگ_فاکتور!$N$3:$N$1622,لاگ_فاکتور!$B$3:$B$1622,A30,لاگ_فاکتور!$C$3:$C$1622,B30),0)</f>
        <v>880000</v>
      </c>
      <c r="I30" s="184">
        <v>0</v>
      </c>
      <c r="J30" s="184">
        <v>0</v>
      </c>
      <c r="K30" s="185">
        <f t="shared" si="0"/>
        <v>0.19047619047619047</v>
      </c>
      <c r="L30" s="183">
        <f t="shared" si="1"/>
        <v>5997500</v>
      </c>
      <c r="M30" s="186">
        <f>IFERROR(SUMIFS(لاگ_فاکتور!$L$3:$L$1622,لاگ_فاکتور!$B$3:$B$1622,A30,لاگ_فاکتور!$C$3:$C$1622,B30)/F30,0)</f>
        <v>1.75</v>
      </c>
      <c r="N30" s="187">
        <v>0</v>
      </c>
      <c r="O30" s="188"/>
      <c r="P30" s="189"/>
    </row>
    <row r="31" spans="1:16" ht="19.5" customHeight="1">
      <c r="A31" s="179" t="s">
        <v>1262</v>
      </c>
      <c r="B31" s="179">
        <v>2</v>
      </c>
      <c r="C31" s="180" t="str">
        <f>IFERROR(INDEX(اطلاعات_پرسنل!$D$4:$D$59,MATCH(B31,اطلاعات_پرسنل!$A$4:$A$59,0)),"")</f>
        <v>ماحی حمیدپور</v>
      </c>
      <c r="D31" s="179">
        <v>11</v>
      </c>
      <c r="E31" s="179">
        <v>1</v>
      </c>
      <c r="F31" s="181">
        <f>IFERROR(SUMIFS(لاگ_فاکتور!$V$3:$V$1622,لاگ_فاکتور!$B$3:$B$1622,A31,لاگ_فاکتور!$C$3:$C$1622,B31),0)</f>
        <v>0</v>
      </c>
      <c r="G31" s="182">
        <f>IFERROR(SUMIFS(لاگ_فاکتور!$O$3:$O$1622,لاگ_فاکتور!$B$3:$B$1622,A31,لاگ_فاکتور!$C$3:$C$1622,B31),0)</f>
        <v>0</v>
      </c>
      <c r="H31" s="183">
        <f>IFERROR(SUMIFS(لاگ_فاکتور!$N$3:$N$1622,لاگ_فاکتور!$B$3:$B$1622,A31,لاگ_فاکتور!$C$3:$C$1622,B31),0)</f>
        <v>0</v>
      </c>
      <c r="I31" s="184">
        <v>0</v>
      </c>
      <c r="J31" s="184">
        <v>0</v>
      </c>
      <c r="K31" s="185">
        <f t="shared" si="0"/>
        <v>0</v>
      </c>
      <c r="L31" s="183">
        <f t="shared" si="1"/>
        <v>0</v>
      </c>
      <c r="M31" s="186">
        <f>IFERROR(SUMIFS(لاگ_فاکتور!$L$3:$L$1622,لاگ_فاکتور!$B$3:$B$1622,A31,لاگ_فاکتور!$C$3:$C$1622,B31)/F31,0)</f>
        <v>0</v>
      </c>
      <c r="N31" s="187">
        <v>0</v>
      </c>
      <c r="O31" s="188"/>
      <c r="P31" s="189"/>
    </row>
    <row r="32" spans="1:16" ht="19.5" customHeight="1">
      <c r="A32" s="165" t="s">
        <v>1301</v>
      </c>
      <c r="B32" s="165">
        <v>2</v>
      </c>
      <c r="C32" s="170" t="str">
        <f>IFERROR(INDEX(اطلاعات_پرسنل!$D$4:$D$59,MATCH(B32,اطلاعات_پرسنل!$A$4:$A$59,0)),"")</f>
        <v>ماحی حمیدپور</v>
      </c>
      <c r="D32" s="165">
        <v>3</v>
      </c>
      <c r="E32" s="165">
        <v>1</v>
      </c>
      <c r="F32" s="171">
        <f>IFERROR(SUMIFS(لاگ_فاکتور!$V$3:$V$1622,لاگ_فاکتور!$B$3:$B$1622,A32,لاگ_فاکتور!$C$3:$C$1622,B32),0)</f>
        <v>1</v>
      </c>
      <c r="G32" s="172">
        <f>IFERROR(SUMIFS(لاگ_فاکتور!$O$3:$O$1622,لاگ_فاکتور!$B$3:$B$1622,A32,لاگ_فاکتور!$C$3:$C$1622,B32),0)</f>
        <v>2880000</v>
      </c>
      <c r="H32" s="173">
        <f>IFERROR(SUMIFS(لاگ_فاکتور!$N$3:$N$1622,لاگ_فاکتور!$B$3:$B$1622,A32,لاگ_فاکتور!$C$3:$C$1622,B32),0)</f>
        <v>0</v>
      </c>
      <c r="I32" s="174">
        <v>0</v>
      </c>
      <c r="J32" s="174">
        <v>0</v>
      </c>
      <c r="K32" s="175">
        <f t="shared" si="0"/>
        <v>0.33333333333333331</v>
      </c>
      <c r="L32" s="173">
        <f t="shared" si="1"/>
        <v>2880000</v>
      </c>
      <c r="M32" s="176">
        <f>IFERROR(SUMIFS(لاگ_فاکتور!$L$3:$L$1622,لاگ_فاکتور!$B$3:$B$1622,A32,لاگ_فاکتور!$C$3:$C$1622,B32)/F32,0)</f>
        <v>1</v>
      </c>
      <c r="N32" s="177">
        <v>0</v>
      </c>
      <c r="O32" s="166"/>
      <c r="P32" s="178"/>
    </row>
    <row r="33" spans="1:16" ht="19.5" customHeight="1">
      <c r="A33" s="165" t="s">
        <v>1301</v>
      </c>
      <c r="B33" s="165">
        <v>1</v>
      </c>
      <c r="C33" s="170" t="str">
        <f>IFERROR(INDEX(اطلاعات_پرسنل!$D$4:$D$59,MATCH(B33,اطلاعات_پرسنل!$A$4:$A$59,0)),"")</f>
        <v>دریا کریمی</v>
      </c>
      <c r="D33" s="165">
        <v>8</v>
      </c>
      <c r="E33" s="165">
        <v>4</v>
      </c>
      <c r="F33" s="171">
        <f>IFERROR(SUMIFS(لاگ_فاکتور!$V$3:$V$1622,لاگ_فاکتور!$B$3:$B$1622,A33,لاگ_فاکتور!$C$3:$C$1622,B33),0)</f>
        <v>2</v>
      </c>
      <c r="G33" s="172">
        <f>IFERROR(SUMIFS(لاگ_فاکتور!$O$3:$O$1622,لاگ_فاکتور!$B$3:$B$1622,A33,لاگ_فاکتور!$C$3:$C$1622,B33),0)</f>
        <v>6230000</v>
      </c>
      <c r="H33" s="173">
        <f>IFERROR(SUMIFS(لاگ_فاکتور!$N$3:$N$1622,لاگ_فاکتور!$B$3:$B$1622,A33,لاگ_فاکتور!$C$3:$C$1622,B33),0)</f>
        <v>0</v>
      </c>
      <c r="I33" s="174">
        <v>0</v>
      </c>
      <c r="J33" s="174">
        <v>0</v>
      </c>
      <c r="K33" s="175">
        <f t="shared" si="0"/>
        <v>0.25</v>
      </c>
      <c r="L33" s="173">
        <f t="shared" si="1"/>
        <v>3115000</v>
      </c>
      <c r="M33" s="176">
        <f>IFERROR(SUMIFS(لاگ_فاکتور!$L$3:$L$1622,لاگ_فاکتور!$B$3:$B$1622,A33,لاگ_فاکتور!$C$3:$C$1622,B33)/F33,0)</f>
        <v>1</v>
      </c>
      <c r="N33" s="177">
        <v>0</v>
      </c>
      <c r="O33" s="166"/>
      <c r="P33" s="178"/>
    </row>
    <row r="34" spans="1:16" ht="19.5" customHeight="1">
      <c r="A34" s="179" t="s">
        <v>1310</v>
      </c>
      <c r="B34" s="179">
        <v>0</v>
      </c>
      <c r="C34" s="180" t="str">
        <f>IFERROR(INDEX(اطلاعات_پرسنل!$D$4:$D$59,MATCH(B34,اطلاعات_پرسنل!$A$4:$A$59,0)),"")</f>
        <v xml:space="preserve">فروشگاه </v>
      </c>
      <c r="D34" s="179">
        <v>2</v>
      </c>
      <c r="E34" s="179"/>
      <c r="F34" s="181">
        <f>IFERROR(SUMIFS(لاگ_فاکتور!$V$3:$V$1622,لاگ_فاکتور!$B$3:$B$1622,A34,لاگ_فاکتور!$C$3:$C$1622,B34),0)</f>
        <v>0</v>
      </c>
      <c r="G34" s="182">
        <f>IFERROR(SUMIFS(لاگ_فاکتور!$O$3:$O$1622,لاگ_فاکتور!$B$3:$B$1622,A34,لاگ_فاکتور!$C$3:$C$1622,B34),0)</f>
        <v>0</v>
      </c>
      <c r="H34" s="183">
        <f>IFERROR(SUMIFS(لاگ_فاکتور!$N$3:$N$1622,لاگ_فاکتور!$B$3:$B$1622,A34,لاگ_فاکتور!$C$3:$C$1622,B34),0)</f>
        <v>0</v>
      </c>
      <c r="I34" s="184">
        <v>0</v>
      </c>
      <c r="J34" s="184">
        <v>0</v>
      </c>
      <c r="K34" s="185">
        <f t="shared" si="0"/>
        <v>0</v>
      </c>
      <c r="L34" s="183">
        <f t="shared" si="1"/>
        <v>0</v>
      </c>
      <c r="M34" s="186">
        <f>IFERROR(SUMIFS(لاگ_فاکتور!$L$3:$L$1622,لاگ_فاکتور!$B$3:$B$1622,A34,لاگ_فاکتور!$C$3:$C$1622,B34)/F34,0)</f>
        <v>0</v>
      </c>
      <c r="N34" s="187">
        <v>0</v>
      </c>
      <c r="O34" s="188"/>
      <c r="P34" s="189"/>
    </row>
    <row r="35" spans="1:16" ht="19.5" customHeight="1">
      <c r="A35" s="179" t="s">
        <v>1310</v>
      </c>
      <c r="B35" s="179">
        <v>1</v>
      </c>
      <c r="C35" s="180" t="str">
        <f>IFERROR(INDEX(اطلاعات_پرسنل!$D$4:$D$59,MATCH(B35,اطلاعات_پرسنل!$A$4:$A$59,0)),"")</f>
        <v>دریا کریمی</v>
      </c>
      <c r="D35" s="179">
        <v>8</v>
      </c>
      <c r="E35" s="179">
        <v>1</v>
      </c>
      <c r="F35" s="181">
        <f>IFERROR(SUMIFS(لاگ_فاکتور!$V$3:$V$1622,لاگ_فاکتور!$B$3:$B$1622,A35,لاگ_فاکتور!$C$3:$C$1622,B35),0)</f>
        <v>0</v>
      </c>
      <c r="G35" s="182">
        <f>IFERROR(SUMIFS(لاگ_فاکتور!$O$3:$O$1622,لاگ_فاکتور!$B$3:$B$1622,A35,لاگ_فاکتور!$C$3:$C$1622,B35),0)</f>
        <v>1068000</v>
      </c>
      <c r="H35" s="183">
        <f>IFERROR(SUMIFS(لاگ_فاکتور!$N$3:$N$1622,لاگ_فاکتور!$B$3:$B$1622,A35,لاگ_فاکتور!$C$3:$C$1622,B35),0)</f>
        <v>0</v>
      </c>
      <c r="I35" s="184">
        <v>0</v>
      </c>
      <c r="J35" s="184">
        <v>0</v>
      </c>
      <c r="K35" s="185">
        <f t="shared" si="0"/>
        <v>0</v>
      </c>
      <c r="L35" s="183">
        <f t="shared" si="1"/>
        <v>0</v>
      </c>
      <c r="M35" s="186">
        <f>IFERROR(SUMIFS(لاگ_فاکتور!$L$3:$L$1622,لاگ_فاکتور!$B$3:$B$1622,A35,لاگ_فاکتور!$C$3:$C$1622,B35)/F35,0)</f>
        <v>0</v>
      </c>
      <c r="N35" s="187">
        <v>0</v>
      </c>
      <c r="O35" s="188"/>
      <c r="P35" s="189" t="s">
        <v>1362</v>
      </c>
    </row>
    <row r="36" spans="1:16" ht="19.5" customHeight="1">
      <c r="A36" s="165" t="s">
        <v>1304</v>
      </c>
      <c r="B36" s="165">
        <v>0</v>
      </c>
      <c r="C36" s="170" t="str">
        <f>IFERROR(INDEX(اطلاعات_پرسنل!$D$4:$D$59,MATCH(B36,اطلاعات_پرسنل!$A$4:$A$59,0)),"")</f>
        <v xml:space="preserve">فروشگاه </v>
      </c>
      <c r="D36" s="165">
        <v>3</v>
      </c>
      <c r="E36" s="165">
        <v>1</v>
      </c>
      <c r="F36" s="171">
        <f>IFERROR(SUMIFS(لاگ_فاکتور!$V$3:$V$1622,لاگ_فاکتور!$B$3:$B$1622,A36,لاگ_فاکتور!$C$3:$C$1622,B36),0)</f>
        <v>0</v>
      </c>
      <c r="G36" s="172">
        <f>IFERROR(SUMIFS(لاگ_فاکتور!$O$3:$O$1622,لاگ_فاکتور!$B$3:$B$1622,A36,لاگ_فاکتور!$C$3:$C$1622,B36),0)</f>
        <v>0</v>
      </c>
      <c r="H36" s="173">
        <f>IFERROR(SUMIFS(لاگ_فاکتور!$N$3:$N$1622,لاگ_فاکتور!$B$3:$B$1622,A36,لاگ_فاکتور!$C$3:$C$1622,B36),0)</f>
        <v>0</v>
      </c>
      <c r="I36" s="174">
        <v>0</v>
      </c>
      <c r="J36" s="174">
        <v>0</v>
      </c>
      <c r="K36" s="175">
        <f t="shared" si="0"/>
        <v>0</v>
      </c>
      <c r="L36" s="173">
        <f t="shared" si="1"/>
        <v>0</v>
      </c>
      <c r="M36" s="176">
        <f>IFERROR(SUMIFS(لاگ_فاکتور!$L$3:$L$1622,لاگ_فاکتور!$B$3:$B$1622,A36,لاگ_فاکتور!$C$3:$C$1622,B36)/F36,0)</f>
        <v>0</v>
      </c>
      <c r="N36" s="177">
        <v>0</v>
      </c>
      <c r="O36" s="166"/>
      <c r="P36" s="178"/>
    </row>
    <row r="37" spans="1:16" ht="19.5" customHeight="1">
      <c r="A37" s="165" t="s">
        <v>1304</v>
      </c>
      <c r="B37" s="165">
        <v>2</v>
      </c>
      <c r="C37" s="170" t="str">
        <f>IFERROR(INDEX(اطلاعات_پرسنل!$D$4:$D$59,MATCH(B37,اطلاعات_پرسنل!$A$4:$A$59,0)),"")</f>
        <v>ماحی حمیدپور</v>
      </c>
      <c r="D37" s="165">
        <v>6</v>
      </c>
      <c r="E37" s="165">
        <v>1</v>
      </c>
      <c r="F37" s="171">
        <f>IFERROR(SUMIFS(لاگ_فاکتور!$V$3:$V$1622,لاگ_فاکتور!$B$3:$B$1622,A37,لاگ_فاکتور!$C$3:$C$1622,B37),0)</f>
        <v>1</v>
      </c>
      <c r="G37" s="172">
        <f>IFERROR(SUMIFS(لاگ_فاکتور!$O$3:$O$1622,لاگ_فاکتور!$B$3:$B$1622,A37,لاگ_فاکتور!$C$3:$C$1622,B37),0)</f>
        <v>7160000</v>
      </c>
      <c r="H37" s="173">
        <f>IFERROR(SUMIFS(لاگ_فاکتور!$N$3:$N$1622,لاگ_فاکتور!$B$3:$B$1622,A37,لاگ_فاکتور!$C$3:$C$1622,B37),0)</f>
        <v>0</v>
      </c>
      <c r="I37" s="174">
        <v>0</v>
      </c>
      <c r="J37" s="174">
        <v>0</v>
      </c>
      <c r="K37" s="175">
        <f t="shared" ref="K37:K67" si="2">IFERROR(F37/D37,0)</f>
        <v>0.16666666666666666</v>
      </c>
      <c r="L37" s="173">
        <f t="shared" ref="L37:L67" si="3">IFERROR(G37/F37,0)</f>
        <v>7160000</v>
      </c>
      <c r="M37" s="176">
        <f>IFERROR(SUMIFS(لاگ_فاکتور!$L$3:$L$1622,لاگ_فاکتور!$B$3:$B$1622,A37,لاگ_فاکتور!$C$3:$C$1622,B37)/F37,0)</f>
        <v>2</v>
      </c>
      <c r="N37" s="177">
        <v>0</v>
      </c>
      <c r="O37" s="166"/>
      <c r="P37" s="178"/>
    </row>
    <row r="38" spans="1:16" ht="19.5" customHeight="1">
      <c r="A38" s="179" t="s">
        <v>1305</v>
      </c>
      <c r="B38" s="179">
        <v>0</v>
      </c>
      <c r="C38" s="180" t="str">
        <f>IFERROR(INDEX(اطلاعات_پرسنل!$D$4:$D$59,MATCH(B38,اطلاعات_پرسنل!$A$4:$A$59,0)),"")</f>
        <v xml:space="preserve">فروشگاه </v>
      </c>
      <c r="D38" s="179">
        <v>2</v>
      </c>
      <c r="E38" s="179"/>
      <c r="F38" s="181">
        <f>IFERROR(SUMIFS(لاگ_فاکتور!$V$3:$V$1622,لاگ_فاکتور!$B$3:$B$1622,A38,لاگ_فاکتور!$C$3:$C$1622,B38),0)</f>
        <v>0</v>
      </c>
      <c r="G38" s="182">
        <f>IFERROR(SUMIFS(لاگ_فاکتور!$O$3:$O$1622,لاگ_فاکتور!$B$3:$B$1622,A38,لاگ_فاکتور!$C$3:$C$1622,B38),0)</f>
        <v>0</v>
      </c>
      <c r="H38" s="183">
        <f>IFERROR(SUMIFS(لاگ_فاکتور!$N$3:$N$1622,لاگ_فاکتور!$B$3:$B$1622,A38,لاگ_فاکتور!$C$3:$C$1622,B38),0)</f>
        <v>0</v>
      </c>
      <c r="I38" s="184">
        <v>0</v>
      </c>
      <c r="J38" s="184">
        <v>0</v>
      </c>
      <c r="K38" s="185">
        <f t="shared" si="2"/>
        <v>0</v>
      </c>
      <c r="L38" s="183">
        <f t="shared" si="3"/>
        <v>0</v>
      </c>
      <c r="M38" s="186">
        <f>IFERROR(SUMIFS(لاگ_فاکتور!$L$3:$L$1622,لاگ_فاکتور!$B$3:$B$1622,A38,لاگ_فاکتور!$C$3:$C$1622,B38)/F38,0)</f>
        <v>0</v>
      </c>
      <c r="N38" s="187">
        <v>0</v>
      </c>
      <c r="O38" s="188"/>
      <c r="P38" s="189"/>
    </row>
    <row r="39" spans="1:16" ht="19.5" customHeight="1">
      <c r="A39" s="179" t="s">
        <v>1305</v>
      </c>
      <c r="B39" s="179">
        <v>1</v>
      </c>
      <c r="C39" s="180" t="str">
        <f>IFERROR(INDEX(اطلاعات_پرسنل!$D$4:$D$59,MATCH(B39,اطلاعات_پرسنل!$A$4:$A$59,0)),"")</f>
        <v>دریا کریمی</v>
      </c>
      <c r="D39" s="179">
        <v>8</v>
      </c>
      <c r="E39" s="179">
        <v>3</v>
      </c>
      <c r="F39" s="181">
        <f>IFERROR(SUMIFS(لاگ_فاکتور!$V$3:$V$1622,لاگ_فاکتور!$B$3:$B$1622,A39,لاگ_فاکتور!$C$3:$C$1622,B39),0)</f>
        <v>2</v>
      </c>
      <c r="G39" s="182">
        <f>IFERROR(SUMIFS(لاگ_فاکتور!$O$3:$O$1622,لاگ_فاکتور!$B$3:$B$1622,A39,لاگ_فاکتور!$C$3:$C$1622,B39),0)</f>
        <v>8000000</v>
      </c>
      <c r="H39" s="183">
        <f>IFERROR(SUMIFS(لاگ_فاکتور!$N$3:$N$1622,لاگ_فاکتور!$B$3:$B$1622,A39,لاگ_فاکتور!$C$3:$C$1622,B39),0)</f>
        <v>368000</v>
      </c>
      <c r="I39" s="184">
        <v>0</v>
      </c>
      <c r="J39" s="184">
        <v>0</v>
      </c>
      <c r="K39" s="185">
        <f t="shared" si="2"/>
        <v>0.25</v>
      </c>
      <c r="L39" s="183">
        <f t="shared" si="3"/>
        <v>4000000</v>
      </c>
      <c r="M39" s="186">
        <f>IFERROR(SUMIFS(لاگ_فاکتور!$L$3:$L$1622,لاگ_فاکتور!$B$3:$B$1622,A39,لاگ_فاکتور!$C$3:$C$1622,B39)/F39,0)</f>
        <v>2</v>
      </c>
      <c r="N39" s="187">
        <v>0</v>
      </c>
      <c r="O39" s="188"/>
      <c r="P39" s="189"/>
    </row>
    <row r="40" spans="1:16" ht="19.5" customHeight="1">
      <c r="A40" s="165" t="s">
        <v>1365</v>
      </c>
      <c r="B40" s="165">
        <v>0</v>
      </c>
      <c r="C40" s="170" t="str">
        <f>IFERROR(INDEX(اطلاعات_پرسنل!$D$4:$D$59,MATCH(B40,اطلاعات_پرسنل!$A$4:$A$59,0)),"")</f>
        <v xml:space="preserve">فروشگاه </v>
      </c>
      <c r="D40" s="165">
        <v>4</v>
      </c>
      <c r="E40" s="165">
        <v>1</v>
      </c>
      <c r="F40" s="171">
        <f>IFERROR(SUMIFS(لاگ_فاکتور!$V$3:$V$1622,لاگ_فاکتور!$B$3:$B$1622,A40,لاگ_فاکتور!$C$3:$C$1622,B40),0)</f>
        <v>0</v>
      </c>
      <c r="G40" s="172">
        <f>IFERROR(SUMIFS(لاگ_فاکتور!$O$3:$O$1622,لاگ_فاکتور!$B$3:$B$1622,A40,لاگ_فاکتور!$C$3:$C$1622,B40),0)</f>
        <v>0</v>
      </c>
      <c r="H40" s="173">
        <f>IFERROR(SUMIFS(لاگ_فاکتور!$N$3:$N$1622,لاگ_فاکتور!$B$3:$B$1622,A40,لاگ_فاکتور!$C$3:$C$1622,B40),0)</f>
        <v>0</v>
      </c>
      <c r="I40" s="174">
        <v>0</v>
      </c>
      <c r="J40" s="174">
        <v>0</v>
      </c>
      <c r="K40" s="175">
        <f t="shared" si="2"/>
        <v>0</v>
      </c>
      <c r="L40" s="173">
        <f t="shared" si="3"/>
        <v>0</v>
      </c>
      <c r="M40" s="176">
        <f>IFERROR(SUMIFS(لاگ_فاکتور!$L$3:$L$1622,لاگ_فاکتور!$B$3:$B$1622,A40,لاگ_فاکتور!$C$3:$C$1622,B40)/F40,0)</f>
        <v>0</v>
      </c>
      <c r="N40" s="177">
        <v>0</v>
      </c>
      <c r="O40" s="166"/>
      <c r="P40" s="178" t="s">
        <v>1175</v>
      </c>
    </row>
    <row r="41" spans="1:16" ht="19.5" customHeight="1">
      <c r="A41" s="165" t="s">
        <v>1365</v>
      </c>
      <c r="B41" s="165">
        <v>1</v>
      </c>
      <c r="C41" s="170" t="str">
        <f>IFERROR(INDEX(اطلاعات_پرسنل!$D$4:$D$59,MATCH(B41,اطلاعات_پرسنل!$A$4:$A$59,0)),"")</f>
        <v>دریا کریمی</v>
      </c>
      <c r="D41" s="165">
        <v>6</v>
      </c>
      <c r="E41" s="165">
        <v>1</v>
      </c>
      <c r="F41" s="171">
        <f>IFERROR(SUMIFS(لاگ_فاکتور!$V$3:$V$1622,لاگ_فاکتور!$B$3:$B$1622,A41,لاگ_فاکتور!$C$3:$C$1622,B41),0)</f>
        <v>1</v>
      </c>
      <c r="G41" s="172">
        <f>IFERROR(SUMIFS(لاگ_فاکتور!$O$3:$O$1622,لاگ_فاکتور!$B$3:$B$1622,A41,لاگ_فاکتور!$C$3:$C$1622,B41),0)</f>
        <v>23070000</v>
      </c>
      <c r="H41" s="173">
        <f>IFERROR(SUMIFS(لاگ_فاکتور!$N$3:$N$1622,لاگ_فاکتور!$B$3:$B$1622,A41,لاگ_فاکتور!$C$3:$C$1622,B41),0)</f>
        <v>820000</v>
      </c>
      <c r="I41" s="174">
        <v>0</v>
      </c>
      <c r="J41" s="174">
        <v>1</v>
      </c>
      <c r="K41" s="175">
        <f t="shared" si="2"/>
        <v>0.16666666666666666</v>
      </c>
      <c r="L41" s="173">
        <f t="shared" si="3"/>
        <v>23070000</v>
      </c>
      <c r="M41" s="176">
        <f>IFERROR(SUMIFS(لاگ_فاکتور!$L$3:$L$1622,لاگ_فاکتور!$B$3:$B$1622,A41,لاگ_فاکتور!$C$3:$C$1622,B41)/F41,0)</f>
        <v>5</v>
      </c>
      <c r="N41" s="177">
        <v>0</v>
      </c>
      <c r="O41" s="166"/>
      <c r="P41" s="178"/>
    </row>
    <row r="42" spans="1:16" ht="19.5" customHeight="1">
      <c r="A42" s="165" t="s">
        <v>1365</v>
      </c>
      <c r="B42" s="165">
        <v>2</v>
      </c>
      <c r="C42" s="170" t="str">
        <f>IFERROR(INDEX(اطلاعات_پرسنل!$D$4:$D$59,MATCH(B42,اطلاعات_پرسنل!$A$4:$A$59,0)),"")</f>
        <v>ماحی حمیدپور</v>
      </c>
      <c r="D42" s="165">
        <v>7</v>
      </c>
      <c r="E42" s="165">
        <v>5</v>
      </c>
      <c r="F42" s="171">
        <f>IFERROR(SUMIFS(لاگ_فاکتور!$V$3:$V$1622,لاگ_فاکتور!$B$3:$B$1622,A42,لاگ_فاکتور!$C$3:$C$1622,B42),0)</f>
        <v>1</v>
      </c>
      <c r="G42" s="172">
        <f>IFERROR(SUMIFS(لاگ_فاکتور!$O$3:$O$1622,لاگ_فاکتور!$B$3:$B$1622,A42,لاگ_فاکتور!$C$3:$C$1622,B42),0)</f>
        <v>1180000</v>
      </c>
      <c r="H42" s="173">
        <f>IFERROR(SUMIFS(لاگ_فاکتور!$N$3:$N$1622,لاگ_فاکتور!$B$3:$B$1622,A42,لاگ_فاکتور!$C$3:$C$1622,B42),0)</f>
        <v>0</v>
      </c>
      <c r="I42" s="174">
        <v>0</v>
      </c>
      <c r="J42" s="174">
        <v>0</v>
      </c>
      <c r="K42" s="175">
        <f t="shared" si="2"/>
        <v>0.14285714285714285</v>
      </c>
      <c r="L42" s="173">
        <f t="shared" si="3"/>
        <v>1180000</v>
      </c>
      <c r="M42" s="176">
        <f>IFERROR(SUMIFS(لاگ_فاکتور!$L$3:$L$1622,لاگ_فاکتور!$B$3:$B$1622,A42,لاگ_فاکتور!$C$3:$C$1622,B42)/F42,0)</f>
        <v>1</v>
      </c>
      <c r="N42" s="177">
        <v>0</v>
      </c>
      <c r="O42" s="166"/>
      <c r="P42" s="178"/>
    </row>
    <row r="43" spans="1:16" ht="19.5" customHeight="1">
      <c r="A43" s="179" t="s">
        <v>1306</v>
      </c>
      <c r="B43" s="179">
        <v>0</v>
      </c>
      <c r="C43" s="180" t="str">
        <f>IFERROR(INDEX(اطلاعات_پرسنل!$D$4:$D$59,MATCH(B43,اطلاعات_پرسنل!$A$4:$A$59,0)),"")</f>
        <v xml:space="preserve">فروشگاه </v>
      </c>
      <c r="D43" s="179"/>
      <c r="E43" s="179"/>
      <c r="F43" s="181">
        <f>IFERROR(SUMIFS(لاگ_فاکتور!$V$3:$V$1622,لاگ_فاکتور!$B$3:$B$1622,A43,لاگ_فاکتور!$C$3:$C$1622,B43),0)</f>
        <v>0</v>
      </c>
      <c r="G43" s="182">
        <f>IFERROR(SUMIFS(لاگ_فاکتور!$O$3:$O$1622,لاگ_فاکتور!$B$3:$B$1622,A43,لاگ_فاکتور!$C$3:$C$1622,B43),0)</f>
        <v>0</v>
      </c>
      <c r="H43" s="183">
        <f>IFERROR(SUMIFS(لاگ_فاکتور!$N$3:$N$1622,لاگ_فاکتور!$B$3:$B$1622,A43,لاگ_فاکتور!$C$3:$C$1622,B43),0)</f>
        <v>0</v>
      </c>
      <c r="I43" s="184">
        <v>0</v>
      </c>
      <c r="J43" s="184">
        <v>0</v>
      </c>
      <c r="K43" s="185">
        <f t="shared" si="2"/>
        <v>0</v>
      </c>
      <c r="L43" s="183">
        <f t="shared" si="3"/>
        <v>0</v>
      </c>
      <c r="M43" s="186">
        <f>IFERROR(SUMIFS(لاگ_فاکتور!$L$3:$L$1622,لاگ_فاکتور!$B$3:$B$1622,A43,لاگ_فاکتور!$C$3:$C$1622,B43)/F43,0)</f>
        <v>0</v>
      </c>
      <c r="N43" s="187">
        <v>0</v>
      </c>
      <c r="O43" s="188"/>
      <c r="P43" s="189"/>
    </row>
    <row r="44" spans="1:16" ht="19.5" customHeight="1">
      <c r="A44" s="179" t="s">
        <v>1306</v>
      </c>
      <c r="B44" s="179">
        <v>1</v>
      </c>
      <c r="C44" s="180" t="str">
        <f>IFERROR(INDEX(اطلاعات_پرسنل!$D$4:$D$59,MATCH(B44,اطلاعات_پرسنل!$A$4:$A$59,0)),"")</f>
        <v>دریا کریمی</v>
      </c>
      <c r="D44" s="179">
        <v>19</v>
      </c>
      <c r="E44" s="179">
        <v>7</v>
      </c>
      <c r="F44" s="181">
        <f>IFERROR(SUMIFS(لاگ_فاکتور!$V$3:$V$1622,لاگ_فاکتور!$B$3:$B$1622,A44,لاگ_فاکتور!$C$3:$C$1622,B44),0)</f>
        <v>6</v>
      </c>
      <c r="G44" s="182">
        <f>IFERROR(SUMIFS(لاگ_فاکتور!$O$3:$O$1622,لاگ_فاکتور!$B$3:$B$1622,A44,لاگ_فاکتور!$C$3:$C$1622,B44),0)</f>
        <v>23600000</v>
      </c>
      <c r="H44" s="183">
        <f>IFERROR(SUMIFS(لاگ_فاکتور!$N$3:$N$1622,لاگ_فاکتور!$B$3:$B$1622,A44,لاگ_فاکتور!$C$3:$C$1622,B44),0)</f>
        <v>0</v>
      </c>
      <c r="I44" s="184">
        <v>0</v>
      </c>
      <c r="J44" s="184">
        <v>0</v>
      </c>
      <c r="K44" s="185">
        <f t="shared" si="2"/>
        <v>0.31578947368421051</v>
      </c>
      <c r="L44" s="183">
        <f t="shared" si="3"/>
        <v>3933333.3333333335</v>
      </c>
      <c r="M44" s="186">
        <f>IFERROR(SUMIFS(لاگ_فاکتور!$L$3:$L$1622,لاگ_فاکتور!$B$3:$B$1622,A44,لاگ_فاکتور!$C$3:$C$1622,B44)/F44,0)</f>
        <v>1.3333333333333333</v>
      </c>
      <c r="N44" s="187">
        <v>0</v>
      </c>
      <c r="O44" s="188"/>
      <c r="P44" s="189"/>
    </row>
    <row r="45" spans="1:16" ht="19.5" customHeight="1">
      <c r="A45" s="179" t="s">
        <v>1306</v>
      </c>
      <c r="B45" s="179">
        <v>2</v>
      </c>
      <c r="C45" s="180" t="str">
        <f>IFERROR(INDEX(اطلاعات_پرسنل!$D$4:$D$59,MATCH(B45,اطلاعات_پرسنل!$A$4:$A$59,0)),"")</f>
        <v>ماحی حمیدپور</v>
      </c>
      <c r="D45" s="179">
        <v>15</v>
      </c>
      <c r="E45" s="179">
        <v>5</v>
      </c>
      <c r="F45" s="181">
        <f>IFERROR(SUMIFS(لاگ_فاکتور!$V$3:$V$1622,لاگ_فاکتور!$B$3:$B$1622,A45,لاگ_فاکتور!$C$3:$C$1622,B45),0)</f>
        <v>4</v>
      </c>
      <c r="G45" s="182">
        <f>IFERROR(SUMIFS(لاگ_فاکتور!$O$3:$O$1622,لاگ_فاکتور!$B$3:$B$1622,A45,لاگ_فاکتور!$C$3:$C$1622,B45),0)</f>
        <v>14340000</v>
      </c>
      <c r="H45" s="183">
        <f>IFERROR(SUMIFS(لاگ_فاکتور!$N$3:$N$1622,لاگ_فاکتور!$B$3:$B$1622,A45,لاگ_فاکتور!$C$3:$C$1622,B45),0)</f>
        <v>0</v>
      </c>
      <c r="I45" s="184">
        <v>0</v>
      </c>
      <c r="J45" s="184">
        <v>0</v>
      </c>
      <c r="K45" s="185">
        <f t="shared" si="2"/>
        <v>0.26666666666666666</v>
      </c>
      <c r="L45" s="183">
        <f t="shared" si="3"/>
        <v>3585000</v>
      </c>
      <c r="M45" s="186">
        <f>IFERROR(SUMIFS(لاگ_فاکتور!$L$3:$L$1622,لاگ_فاکتور!$B$3:$B$1622,A45,لاگ_فاکتور!$C$3:$C$1622,B45)/F45,0)</f>
        <v>1.25</v>
      </c>
      <c r="N45" s="187">
        <v>0</v>
      </c>
      <c r="O45" s="188"/>
      <c r="P45" s="189"/>
    </row>
    <row r="46" spans="1:16" ht="19.5" customHeight="1">
      <c r="A46" s="165" t="s">
        <v>1307</v>
      </c>
      <c r="B46" s="165">
        <v>0</v>
      </c>
      <c r="C46" s="170" t="str">
        <f>IFERROR(INDEX(اطلاعات_پرسنل!$D$4:$D$59,MATCH(B46,اطلاعات_پرسنل!$A$4:$A$59,0)),"")</f>
        <v xml:space="preserve">فروشگاه </v>
      </c>
      <c r="D46" s="165"/>
      <c r="E46" s="165"/>
      <c r="F46" s="171">
        <f>IFERROR(SUMIFS(لاگ_فاکتور!$V$3:$V$1622,لاگ_فاکتور!$B$3:$B$1622,A46,لاگ_فاکتور!$C$3:$C$1622,B46),0)</f>
        <v>0</v>
      </c>
      <c r="G46" s="172">
        <f>IFERROR(SUMIFS(لاگ_فاکتور!$O$3:$O$1622,لاگ_فاکتور!$B$3:$B$1622,A46,لاگ_فاکتور!$C$3:$C$1622,B46),0)</f>
        <v>0</v>
      </c>
      <c r="H46" s="173">
        <f>IFERROR(SUMIFS(لاگ_فاکتور!$N$3:$N$1622,لاگ_فاکتور!$B$3:$B$1622,A46,لاگ_فاکتور!$C$3:$C$1622,B46),0)</f>
        <v>0</v>
      </c>
      <c r="I46" s="174">
        <v>0</v>
      </c>
      <c r="J46" s="174">
        <v>0</v>
      </c>
      <c r="K46" s="175">
        <f t="shared" si="2"/>
        <v>0</v>
      </c>
      <c r="L46" s="173">
        <f t="shared" si="3"/>
        <v>0</v>
      </c>
      <c r="M46" s="176">
        <f>IFERROR(SUMIFS(لاگ_فاکتور!$L$3:$L$1622,لاگ_فاکتور!$B$3:$B$1622,A46,لاگ_فاکتور!$C$3:$C$1622,B46)/F46,0)</f>
        <v>0</v>
      </c>
      <c r="N46" s="177">
        <v>0</v>
      </c>
      <c r="O46" s="166"/>
      <c r="P46" s="178"/>
    </row>
    <row r="47" spans="1:16" ht="19.5" customHeight="1">
      <c r="A47" s="165" t="s">
        <v>1307</v>
      </c>
      <c r="B47" s="165">
        <v>2</v>
      </c>
      <c r="C47" s="170" t="str">
        <f>IFERROR(INDEX(اطلاعات_پرسنل!$D$4:$D$59,MATCH(B47,اطلاعات_پرسنل!$A$4:$A$59,0)),"")</f>
        <v>ماحی حمیدپور</v>
      </c>
      <c r="D47" s="165">
        <v>27</v>
      </c>
      <c r="E47" s="165">
        <v>7</v>
      </c>
      <c r="F47" s="171">
        <f>IFERROR(SUMIFS(لاگ_فاکتور!$V$3:$V$1622,لاگ_فاکتور!$B$3:$B$1622,A47,لاگ_فاکتور!$C$3:$C$1622,B47),0)</f>
        <v>6</v>
      </c>
      <c r="G47" s="172">
        <f>IFERROR(SUMIFS(لاگ_فاکتور!$O$3:$O$1622,لاگ_فاکتور!$B$3:$B$1622,A47,لاگ_فاکتور!$C$3:$C$1622,B47),0)</f>
        <v>25300000</v>
      </c>
      <c r="H47" s="173">
        <f>IFERROR(SUMIFS(لاگ_فاکتور!$N$3:$N$1622,لاگ_فاکتور!$B$3:$B$1622,A47,لاگ_فاکتور!$C$3:$C$1622,B47),0)</f>
        <v>0</v>
      </c>
      <c r="I47" s="174">
        <v>0</v>
      </c>
      <c r="J47" s="174">
        <v>0</v>
      </c>
      <c r="K47" s="175">
        <f t="shared" si="2"/>
        <v>0.22222222222222221</v>
      </c>
      <c r="L47" s="173">
        <f t="shared" si="3"/>
        <v>4216666.666666667</v>
      </c>
      <c r="M47" s="176">
        <f>IFERROR(SUMIFS(لاگ_فاکتور!$L$3:$L$1622,لاگ_فاکتور!$B$3:$B$1622,A47,لاگ_فاکتور!$C$3:$C$1622,B47)/F47,0)</f>
        <v>1.1666666666666667</v>
      </c>
      <c r="N47" s="177">
        <v>0</v>
      </c>
      <c r="O47" s="166"/>
      <c r="P47" s="178"/>
    </row>
    <row r="48" spans="1:16" ht="19.5" customHeight="1">
      <c r="A48" s="165" t="s">
        <v>1307</v>
      </c>
      <c r="B48" s="165">
        <v>1</v>
      </c>
      <c r="C48" s="170" t="str">
        <f>IFERROR(INDEX(اطلاعات_پرسنل!$D$4:$D$59,MATCH(B48,اطلاعات_پرسنل!$A$4:$A$59,0)),"")</f>
        <v>دریا کریمی</v>
      </c>
      <c r="D48" s="165">
        <v>17</v>
      </c>
      <c r="E48" s="165">
        <v>6</v>
      </c>
      <c r="F48" s="171">
        <f>IFERROR(SUMIFS(لاگ_فاکتور!$V$3:$V$1622,لاگ_فاکتور!$B$3:$B$1622,A48,لاگ_فاکتور!$C$3:$C$1622,B48),0)</f>
        <v>5</v>
      </c>
      <c r="G48" s="172">
        <f>IFERROR(SUMIFS(لاگ_فاکتور!$O$3:$O$1622,لاگ_فاکتور!$B$3:$B$1622,A48,لاگ_فاکتور!$C$3:$C$1622,B48),0)</f>
        <v>23228000</v>
      </c>
      <c r="H48" s="173">
        <f>IFERROR(SUMIFS(لاگ_فاکتور!$N$3:$N$1622,لاگ_فاکتور!$B$3:$B$1622,A48,لاگ_فاکتور!$C$3:$C$1622,B48),0)</f>
        <v>0</v>
      </c>
      <c r="I48" s="174">
        <v>0</v>
      </c>
      <c r="J48" s="174">
        <v>0</v>
      </c>
      <c r="K48" s="175">
        <f t="shared" si="2"/>
        <v>0.29411764705882354</v>
      </c>
      <c r="L48" s="173">
        <f t="shared" si="3"/>
        <v>4645600</v>
      </c>
      <c r="M48" s="176">
        <f>IFERROR(SUMIFS(لاگ_فاکتور!$L$3:$L$1622,لاگ_فاکتور!$B$3:$B$1622,A48,لاگ_فاکتور!$C$3:$C$1622,B48)/F48,0)</f>
        <v>1.8</v>
      </c>
      <c r="N48" s="177">
        <v>0</v>
      </c>
      <c r="O48" s="166"/>
      <c r="P48" s="178"/>
    </row>
    <row r="49" spans="1:16" ht="19.5" customHeight="1">
      <c r="A49" s="179" t="s">
        <v>1391</v>
      </c>
      <c r="B49" s="179">
        <v>1</v>
      </c>
      <c r="C49" s="180" t="str">
        <f>IFERROR(INDEX(اطلاعات_پرسنل!$D$4:$D$59,MATCH(B49,اطلاعات_پرسنل!$A$4:$A$59,0)),"")</f>
        <v>دریا کریمی</v>
      </c>
      <c r="D49" s="179">
        <v>7</v>
      </c>
      <c r="E49" s="179">
        <v>2</v>
      </c>
      <c r="F49" s="181">
        <f>IFERROR(SUMIFS(لاگ_فاکتور!$V$3:$V$1622,لاگ_فاکتور!$B$3:$B$1622,A49,لاگ_فاکتور!$C$3:$C$1622,B49),0)</f>
        <v>1</v>
      </c>
      <c r="G49" s="182">
        <f>IFERROR(SUMIFS(لاگ_فاکتور!$O$3:$O$1622,لاگ_فاکتور!$B$3:$B$1622,A49,لاگ_فاکتور!$C$3:$C$1622,B49),0)</f>
        <v>825000</v>
      </c>
      <c r="H49" s="183">
        <f>IFERROR(SUMIFS(لاگ_فاکتور!$N$3:$N$1622,لاگ_فاکتور!$B$3:$B$1622,A49,لاگ_فاکتور!$C$3:$C$1622,B49),0)</f>
        <v>0</v>
      </c>
      <c r="I49" s="184">
        <v>0</v>
      </c>
      <c r="J49" s="184">
        <v>0</v>
      </c>
      <c r="K49" s="185">
        <f t="shared" si="2"/>
        <v>0.14285714285714285</v>
      </c>
      <c r="L49" s="183">
        <f t="shared" si="3"/>
        <v>825000</v>
      </c>
      <c r="M49" s="186">
        <f>IFERROR(SUMIFS(لاگ_فاکتور!$L$3:$L$1622,لاگ_فاکتور!$B$3:$B$1622,A49,لاگ_فاکتور!$C$3:$C$1622,B49)/F49,0)</f>
        <v>1</v>
      </c>
      <c r="N49" s="187">
        <v>0</v>
      </c>
      <c r="O49" s="188"/>
      <c r="P49" s="189"/>
    </row>
    <row r="50" spans="1:16" ht="19.5" customHeight="1">
      <c r="A50" s="179" t="s">
        <v>1391</v>
      </c>
      <c r="B50" s="179">
        <v>2</v>
      </c>
      <c r="C50" s="180" t="str">
        <f>IFERROR(INDEX(اطلاعات_پرسنل!$D$4:$D$59,MATCH(B50,اطلاعات_پرسنل!$A$4:$A$59,0)),"")</f>
        <v>ماحی حمیدپور</v>
      </c>
      <c r="D50" s="179">
        <v>0</v>
      </c>
      <c r="E50" s="179"/>
      <c r="F50" s="181">
        <f>IFERROR(SUMIFS(لاگ_فاکتور!$V$3:$V$1622,لاگ_فاکتور!$B$3:$B$1622,A50,لاگ_فاکتور!$C$3:$C$1622,B50),0)</f>
        <v>0</v>
      </c>
      <c r="G50" s="182">
        <f>IFERROR(SUMIFS(لاگ_فاکتور!$O$3:$O$1622,لاگ_فاکتور!$B$3:$B$1622,A50,لاگ_فاکتور!$C$3:$C$1622,B50),0)</f>
        <v>0</v>
      </c>
      <c r="H50" s="183">
        <f>IFERROR(SUMIFS(لاگ_فاکتور!$N$3:$N$1622,لاگ_فاکتور!$B$3:$B$1622,A50,لاگ_فاکتور!$C$3:$C$1622,B50),0)</f>
        <v>0</v>
      </c>
      <c r="I50" s="184">
        <v>0</v>
      </c>
      <c r="J50" s="184">
        <v>0</v>
      </c>
      <c r="K50" s="185">
        <f t="shared" si="2"/>
        <v>0</v>
      </c>
      <c r="L50" s="183">
        <f t="shared" si="3"/>
        <v>0</v>
      </c>
      <c r="M50" s="186">
        <f>IFERROR(SUMIFS(لاگ_فاکتور!$L$3:$L$1622,لاگ_فاکتور!$B$3:$B$1622,A50,لاگ_فاکتور!$C$3:$C$1622,B50)/F50,0)</f>
        <v>0</v>
      </c>
      <c r="N50" s="187">
        <v>0</v>
      </c>
      <c r="O50" s="188"/>
      <c r="P50" s="189"/>
    </row>
    <row r="51" spans="1:16" ht="19.5" customHeight="1">
      <c r="A51" s="165" t="s">
        <v>1308</v>
      </c>
      <c r="B51" s="165">
        <v>0</v>
      </c>
      <c r="C51" s="170" t="str">
        <f>IFERROR(INDEX(اطلاعات_پرسنل!$D$4:$D$59,MATCH(B51,اطلاعات_پرسنل!$A$4:$A$59,0)),"")</f>
        <v xml:space="preserve">فروشگاه </v>
      </c>
      <c r="D51" s="165">
        <v>16</v>
      </c>
      <c r="E51" s="165">
        <v>6</v>
      </c>
      <c r="F51" s="171">
        <f>IFERROR(SUMIFS(لاگ_فاکتور!$V$3:$V$1622,لاگ_فاکتور!$B$3:$B$1622,A51,لاگ_فاکتور!$C$3:$C$1622,B51),0)</f>
        <v>3</v>
      </c>
      <c r="G51" s="172">
        <f>IFERROR(SUMIFS(لاگ_فاکتور!$O$3:$O$1622,لاگ_فاکتور!$B$3:$B$1622,A51,لاگ_فاکتور!$C$3:$C$1622,B51),0)</f>
        <v>8240000</v>
      </c>
      <c r="H51" s="173">
        <f>IFERROR(SUMIFS(لاگ_فاکتور!$N$3:$N$1622,لاگ_فاکتور!$B$3:$B$1622,A51,لاگ_فاکتور!$C$3:$C$1622,B51),0)</f>
        <v>0</v>
      </c>
      <c r="I51" s="174">
        <v>0</v>
      </c>
      <c r="J51" s="174">
        <v>0</v>
      </c>
      <c r="K51" s="175">
        <f t="shared" si="2"/>
        <v>0.1875</v>
      </c>
      <c r="L51" s="173">
        <f t="shared" si="3"/>
        <v>2746666.6666666665</v>
      </c>
      <c r="M51" s="176">
        <f>IFERROR(SUMIFS(لاگ_فاکتور!$L$3:$L$1622,لاگ_فاکتور!$B$3:$B$1622,A51,لاگ_فاکتور!$C$3:$C$1622,B51)/F51,0)</f>
        <v>1</v>
      </c>
      <c r="N51" s="177">
        <v>0</v>
      </c>
      <c r="O51" s="166"/>
      <c r="P51" s="178" t="s">
        <v>1175</v>
      </c>
    </row>
    <row r="52" spans="1:16" ht="19.5" customHeight="1">
      <c r="A52" s="179" t="s">
        <v>1309</v>
      </c>
      <c r="B52" s="179">
        <v>0</v>
      </c>
      <c r="C52" s="180" t="str">
        <f>IFERROR(INDEX(اطلاعات_پرسنل!$D$4:$D$59,MATCH(B52,اطلاعات_پرسنل!$A$4:$A$59,0)),"")</f>
        <v xml:space="preserve">فروشگاه </v>
      </c>
      <c r="D52" s="179"/>
      <c r="E52" s="179"/>
      <c r="F52" s="181">
        <f>IFERROR(SUMIFS(لاگ_فاکتور!$V$3:$V$1622,لاگ_فاکتور!$B$3:$B$1622,A52,لاگ_فاکتور!$C$3:$C$1622,B52),0)</f>
        <v>0</v>
      </c>
      <c r="G52" s="182">
        <f>IFERROR(SUMIFS(لاگ_فاکتور!$O$3:$O$1622,لاگ_فاکتور!$B$3:$B$1622,A52,لاگ_فاکتور!$C$3:$C$1622,B52),0)</f>
        <v>0</v>
      </c>
      <c r="H52" s="183">
        <f>IFERROR(SUMIFS(لاگ_فاکتور!$N$3:$N$1622,لاگ_فاکتور!$B$3:$B$1622,A52,لاگ_فاکتور!$C$3:$C$1622,B52),0)</f>
        <v>0</v>
      </c>
      <c r="I52" s="184">
        <v>0</v>
      </c>
      <c r="J52" s="184">
        <v>0</v>
      </c>
      <c r="K52" s="185">
        <f t="shared" si="2"/>
        <v>0</v>
      </c>
      <c r="L52" s="183">
        <f t="shared" si="3"/>
        <v>0</v>
      </c>
      <c r="M52" s="186">
        <f>IFERROR(SUMIFS(لاگ_فاکتور!$L$3:$L$1622,لاگ_فاکتور!$B$3:$B$1622,A52,لاگ_فاکتور!$C$3:$C$1622,B52)/F52,0)</f>
        <v>0</v>
      </c>
      <c r="N52" s="187">
        <v>0</v>
      </c>
      <c r="O52" s="188"/>
      <c r="P52" s="189"/>
    </row>
    <row r="53" spans="1:16" ht="19.5" customHeight="1">
      <c r="A53" s="179" t="s">
        <v>1309</v>
      </c>
      <c r="B53" s="179">
        <v>2</v>
      </c>
      <c r="C53" s="180" t="str">
        <f>IFERROR(INDEX(اطلاعات_پرسنل!$D$4:$D$59,MATCH(B53,اطلاعات_پرسنل!$A$4:$A$59,0)),"")</f>
        <v>ماحی حمیدپور</v>
      </c>
      <c r="D53" s="179"/>
      <c r="E53" s="179"/>
      <c r="F53" s="181">
        <f>IFERROR(SUMIFS(لاگ_فاکتور!$V$3:$V$1622,لاگ_فاکتور!$B$3:$B$1622,A53,لاگ_فاکتور!$C$3:$C$1622,B53),0)</f>
        <v>0</v>
      </c>
      <c r="G53" s="182">
        <f>IFERROR(SUMIFS(لاگ_فاکتور!$O$3:$O$1622,لاگ_فاکتور!$B$3:$B$1622,A53,لاگ_فاکتور!$C$3:$C$1622,B53),0)</f>
        <v>0</v>
      </c>
      <c r="H53" s="183">
        <f>IFERROR(SUMIFS(لاگ_فاکتور!$N$3:$N$1622,لاگ_فاکتور!$B$3:$B$1622,A53,لاگ_فاکتور!$C$3:$C$1622,B53),0)</f>
        <v>0</v>
      </c>
      <c r="I53" s="184">
        <v>0</v>
      </c>
      <c r="J53" s="184">
        <v>0</v>
      </c>
      <c r="K53" s="185">
        <f t="shared" si="2"/>
        <v>0</v>
      </c>
      <c r="L53" s="183">
        <f t="shared" si="3"/>
        <v>0</v>
      </c>
      <c r="M53" s="186">
        <f>IFERROR(SUMIFS(لاگ_فاکتور!$L$3:$L$1622,لاگ_فاکتور!$B$3:$B$1622,A53,لاگ_فاکتور!$C$3:$C$1622,B53)/F53,0)</f>
        <v>0</v>
      </c>
      <c r="N53" s="187">
        <v>0</v>
      </c>
      <c r="O53" s="188"/>
      <c r="P53" s="189"/>
    </row>
    <row r="54" spans="1:16" ht="19.5" customHeight="1">
      <c r="A54" s="165" t="s">
        <v>1082</v>
      </c>
      <c r="B54" s="165">
        <v>0</v>
      </c>
      <c r="C54" s="170" t="str">
        <f>IFERROR(INDEX(اطلاعات_پرسنل!$D$4:$D$59,MATCH(B54,اطلاعات_پرسنل!$A$4:$A$59,0)),"")</f>
        <v xml:space="preserve">فروشگاه </v>
      </c>
      <c r="D54" s="165"/>
      <c r="E54" s="165"/>
      <c r="F54" s="171">
        <f>IFERROR(SUMIFS(لاگ_فاکتور!$V$3:$V$1622,لاگ_فاکتور!$B$3:$B$1622,A54,لاگ_فاکتور!$C$3:$C$1622,B54),0)</f>
        <v>0</v>
      </c>
      <c r="G54" s="172">
        <f>IFERROR(SUMIFS(لاگ_فاکتور!$O$3:$O$1622,لاگ_فاکتور!$B$3:$B$1622,A54,لاگ_فاکتور!$C$3:$C$1622,B54),0)</f>
        <v>0</v>
      </c>
      <c r="H54" s="173">
        <f>IFERROR(SUMIFS(لاگ_فاکتور!$N$3:$N$1622,لاگ_فاکتور!$B$3:$B$1622,A54,لاگ_فاکتور!$C$3:$C$1622,B54),0)</f>
        <v>0</v>
      </c>
      <c r="I54" s="174">
        <v>0</v>
      </c>
      <c r="J54" s="174">
        <v>0</v>
      </c>
      <c r="K54" s="175">
        <f t="shared" si="2"/>
        <v>0</v>
      </c>
      <c r="L54" s="173">
        <f t="shared" si="3"/>
        <v>0</v>
      </c>
      <c r="M54" s="176">
        <f>IFERROR(SUMIFS(لاگ_فاکتور!$L$3:$L$1622,لاگ_فاکتور!$B$3:$B$1622,A54,لاگ_فاکتور!$C$3:$C$1622,B54)/F54,0)</f>
        <v>0</v>
      </c>
      <c r="N54" s="177">
        <v>0</v>
      </c>
      <c r="O54" s="166"/>
      <c r="P54" s="213"/>
    </row>
    <row r="55" spans="1:16" ht="19.5" customHeight="1">
      <c r="A55" s="165" t="s">
        <v>1082</v>
      </c>
      <c r="B55" s="165">
        <v>1</v>
      </c>
      <c r="C55" s="170" t="str">
        <f>IFERROR(INDEX(اطلاعات_پرسنل!$D$4:$D$59,MATCH(B55,اطلاعات_پرسنل!$A$4:$A$59,0)),"")</f>
        <v>دریا کریمی</v>
      </c>
      <c r="D55" s="165"/>
      <c r="E55" s="165"/>
      <c r="F55" s="171">
        <f>IFERROR(SUMIFS(لاگ_فاکتور!$V$3:$V$1622,لاگ_فاکتور!$B$3:$B$1622,A55,لاگ_فاکتور!$C$3:$C$1622,B55),0)</f>
        <v>0</v>
      </c>
      <c r="G55" s="172">
        <f>IFERROR(SUMIFS(لاگ_فاکتور!$O$3:$O$1622,لاگ_فاکتور!$B$3:$B$1622,A55,لاگ_فاکتور!$C$3:$C$1622,B55),0)</f>
        <v>0</v>
      </c>
      <c r="H55" s="173">
        <f>IFERROR(SUMIFS(لاگ_فاکتور!$N$3:$N$1622,لاگ_فاکتور!$B$3:$B$1622,A55,لاگ_فاکتور!$C$3:$C$1622,B55),0)</f>
        <v>0</v>
      </c>
      <c r="I55" s="174">
        <v>0</v>
      </c>
      <c r="J55" s="174">
        <v>0</v>
      </c>
      <c r="K55" s="175">
        <f t="shared" si="2"/>
        <v>0</v>
      </c>
      <c r="L55" s="173">
        <f t="shared" si="3"/>
        <v>0</v>
      </c>
      <c r="M55" s="176">
        <f>IFERROR(SUMIFS(لاگ_فاکتور!$L$3:$L$1622,لاگ_فاکتور!$B$3:$B$1622,A55,لاگ_فاکتور!$C$3:$C$1622,B55)/F55,0)</f>
        <v>0</v>
      </c>
      <c r="N55" s="177">
        <v>0</v>
      </c>
      <c r="O55" s="166"/>
      <c r="P55" s="178"/>
    </row>
    <row r="56" spans="1:16" ht="19.5" customHeight="1">
      <c r="A56" s="165" t="s">
        <v>1082</v>
      </c>
      <c r="B56" s="165">
        <v>2</v>
      </c>
      <c r="C56" s="170" t="str">
        <f>IFERROR(INDEX(اطلاعات_پرسنل!$D$4:$D$59,MATCH(B56,اطلاعات_پرسنل!$A$4:$A$59,0)),"")</f>
        <v>ماحی حمیدپور</v>
      </c>
      <c r="D56" s="165"/>
      <c r="E56" s="165"/>
      <c r="F56" s="171">
        <f>IFERROR(SUMIFS(لاگ_فاکتور!$V$3:$V$1622,لاگ_فاکتور!$B$3:$B$1622,A56,لاگ_فاکتور!$C$3:$C$1622,B56),0)</f>
        <v>0</v>
      </c>
      <c r="G56" s="172">
        <f>IFERROR(SUMIFS(لاگ_فاکتور!$O$3:$O$1622,لاگ_فاکتور!$B$3:$B$1622,A56,لاگ_فاکتور!$C$3:$C$1622,B56),0)</f>
        <v>0</v>
      </c>
      <c r="H56" s="173">
        <f>IFERROR(SUMIFS(لاگ_فاکتور!$N$3:$N$1622,لاگ_فاکتور!$B$3:$B$1622,A56,لاگ_فاکتور!$C$3:$C$1622,B56),0)</f>
        <v>0</v>
      </c>
      <c r="I56" s="174">
        <v>0</v>
      </c>
      <c r="J56" s="174">
        <v>0</v>
      </c>
      <c r="K56" s="175">
        <f t="shared" si="2"/>
        <v>0</v>
      </c>
      <c r="L56" s="173">
        <f t="shared" si="3"/>
        <v>0</v>
      </c>
      <c r="M56" s="176">
        <f>IFERROR(SUMIFS(لاگ_فاکتور!$L$3:$L$1622,لاگ_فاکتور!$B$3:$B$1622,A56,لاگ_فاکتور!$C$3:$C$1622,B56)/F56,0)</f>
        <v>0</v>
      </c>
      <c r="N56" s="177">
        <v>0</v>
      </c>
      <c r="O56" s="166"/>
      <c r="P56" s="178"/>
    </row>
    <row r="57" spans="1:16" ht="19.5" customHeight="1">
      <c r="A57" s="179" t="s">
        <v>1083</v>
      </c>
      <c r="B57" s="179">
        <v>0</v>
      </c>
      <c r="C57" s="180" t="str">
        <f>IFERROR(INDEX(اطلاعات_پرسنل!$D$4:$D$59,MATCH(B57,اطلاعات_پرسنل!$A$4:$A$59,0)),"")</f>
        <v xml:space="preserve">فروشگاه </v>
      </c>
      <c r="D57" s="179"/>
      <c r="E57" s="179"/>
      <c r="F57" s="181">
        <f>IFERROR(SUMIFS(لاگ_فاکتور!$V$3:$V$1622,لاگ_فاکتور!$B$3:$B$1622,A57,لاگ_فاکتور!$C$3:$C$1622,B57),0)</f>
        <v>0</v>
      </c>
      <c r="G57" s="182">
        <f>IFERROR(SUMIFS(لاگ_فاکتور!$O$3:$O$1622,لاگ_فاکتور!$B$3:$B$1622,A57,لاگ_فاکتور!$C$3:$C$1622,B57),0)</f>
        <v>0</v>
      </c>
      <c r="H57" s="183">
        <f>IFERROR(SUMIFS(لاگ_فاکتور!$N$3:$N$1622,لاگ_فاکتور!$B$3:$B$1622,A57,لاگ_فاکتور!$C$3:$C$1622,B57),0)</f>
        <v>0</v>
      </c>
      <c r="I57" s="184">
        <v>0</v>
      </c>
      <c r="J57" s="184">
        <v>0</v>
      </c>
      <c r="K57" s="185">
        <f t="shared" si="2"/>
        <v>0</v>
      </c>
      <c r="L57" s="183">
        <f t="shared" si="3"/>
        <v>0</v>
      </c>
      <c r="M57" s="186">
        <f>IFERROR(SUMIFS(لاگ_فاکتور!$L$3:$L$1622,لاگ_فاکتور!$B$3:$B$1622,A57,لاگ_فاکتور!$C$3:$C$1622,B57)/F57,0)</f>
        <v>0</v>
      </c>
      <c r="N57" s="187">
        <v>0</v>
      </c>
      <c r="O57" s="188"/>
      <c r="P57" s="189"/>
    </row>
    <row r="58" spans="1:16" ht="19.5" customHeight="1">
      <c r="A58" s="179" t="s">
        <v>1083</v>
      </c>
      <c r="B58" s="179">
        <v>1</v>
      </c>
      <c r="C58" s="180" t="str">
        <f>IFERROR(INDEX(اطلاعات_پرسنل!$D$4:$D$59,MATCH(B58,اطلاعات_پرسنل!$A$4:$A$59,0)),"")</f>
        <v>دریا کریمی</v>
      </c>
      <c r="D58" s="179"/>
      <c r="E58" s="179"/>
      <c r="F58" s="181">
        <f>IFERROR(SUMIFS(لاگ_فاکتور!$V$3:$V$1622,لاگ_فاکتور!$B$3:$B$1622,A58,لاگ_فاکتور!$C$3:$C$1622,B58),0)</f>
        <v>0</v>
      </c>
      <c r="G58" s="182">
        <f>IFERROR(SUMIFS(لاگ_فاکتور!$O$3:$O$1622,لاگ_فاکتور!$B$3:$B$1622,A58,لاگ_فاکتور!$C$3:$C$1622,B58),0)</f>
        <v>0</v>
      </c>
      <c r="H58" s="183">
        <f>IFERROR(SUMIFS(لاگ_فاکتور!$N$3:$N$1622,لاگ_فاکتور!$B$3:$B$1622,A58,لاگ_فاکتور!$C$3:$C$1622,B58),0)</f>
        <v>0</v>
      </c>
      <c r="I58" s="184">
        <v>0</v>
      </c>
      <c r="J58" s="184">
        <v>0</v>
      </c>
      <c r="K58" s="185">
        <f t="shared" si="2"/>
        <v>0</v>
      </c>
      <c r="L58" s="183">
        <f t="shared" si="3"/>
        <v>0</v>
      </c>
      <c r="M58" s="186">
        <f>IFERROR(SUMIFS(لاگ_فاکتور!$L$3:$L$1622,لاگ_فاکتور!$B$3:$B$1622,A58,لاگ_فاکتور!$C$3:$C$1622,B58)/F58,0)</f>
        <v>0</v>
      </c>
      <c r="N58" s="187">
        <v>0</v>
      </c>
      <c r="O58" s="188"/>
      <c r="P58" s="189"/>
    </row>
    <row r="59" spans="1:16" ht="19.5" customHeight="1">
      <c r="A59" s="179" t="s">
        <v>1083</v>
      </c>
      <c r="B59" s="179">
        <v>2</v>
      </c>
      <c r="C59" s="180" t="str">
        <f>IFERROR(INDEX(اطلاعات_پرسنل!$D$4:$D$59,MATCH(B59,اطلاعات_پرسنل!$A$4:$A$59,0)),"")</f>
        <v>ماحی حمیدپور</v>
      </c>
      <c r="D59" s="179"/>
      <c r="E59" s="179"/>
      <c r="F59" s="181">
        <f>IFERROR(SUMIFS(لاگ_فاکتور!$V$3:$V$1622,لاگ_فاکتور!$B$3:$B$1622,A59,لاگ_فاکتور!$C$3:$C$1622,B59),0)</f>
        <v>0</v>
      </c>
      <c r="G59" s="182">
        <f>IFERROR(SUMIFS(لاگ_فاکتور!$O$3:$O$1622,لاگ_فاکتور!$B$3:$B$1622,A59,لاگ_فاکتور!$C$3:$C$1622,B59),0)</f>
        <v>0</v>
      </c>
      <c r="H59" s="183">
        <f>IFERROR(SUMIFS(لاگ_فاکتور!$N$3:$N$1622,لاگ_فاکتور!$B$3:$B$1622,A59,لاگ_فاکتور!$C$3:$C$1622,B59),0)</f>
        <v>0</v>
      </c>
      <c r="I59" s="184">
        <v>0</v>
      </c>
      <c r="J59" s="184">
        <v>0</v>
      </c>
      <c r="K59" s="185">
        <f t="shared" si="2"/>
        <v>0</v>
      </c>
      <c r="L59" s="183">
        <f t="shared" si="3"/>
        <v>0</v>
      </c>
      <c r="M59" s="186">
        <f>IFERROR(SUMIFS(لاگ_فاکتور!$L$3:$L$1622,لاگ_فاکتور!$B$3:$B$1622,A59,لاگ_فاکتور!$C$3:$C$1622,B59)/F59,0)</f>
        <v>0</v>
      </c>
      <c r="N59" s="187">
        <v>0</v>
      </c>
      <c r="O59" s="188"/>
      <c r="P59" s="189"/>
    </row>
    <row r="60" spans="1:16" ht="19.5" customHeight="1">
      <c r="A60" s="165" t="s">
        <v>1095</v>
      </c>
      <c r="B60" s="165">
        <v>0</v>
      </c>
      <c r="C60" s="170" t="str">
        <f>IFERROR(INDEX(اطلاعات_پرسنل!$D$4:$D$59,MATCH(B60,اطلاعات_پرسنل!$A$4:$A$59,0)),"")</f>
        <v xml:space="preserve">فروشگاه </v>
      </c>
      <c r="D60" s="165"/>
      <c r="E60" s="165"/>
      <c r="F60" s="171">
        <f>IFERROR(SUMIFS(لاگ_فاکتور!$V$3:$V$1622,لاگ_فاکتور!$B$3:$B$1622,A60,لاگ_فاکتور!$C$3:$C$1622,B60),0)</f>
        <v>0</v>
      </c>
      <c r="G60" s="172">
        <f>IFERROR(SUMIFS(لاگ_فاکتور!$O$3:$O$1622,لاگ_فاکتور!$B$3:$B$1622,A60,لاگ_فاکتور!$C$3:$C$1622,B60),0)</f>
        <v>0</v>
      </c>
      <c r="H60" s="173">
        <f>IFERROR(SUMIFS(لاگ_فاکتور!$N$3:$N$1622,لاگ_فاکتور!$B$3:$B$1622,A60,لاگ_فاکتور!$C$3:$C$1622,B60),0)</f>
        <v>0</v>
      </c>
      <c r="I60" s="174">
        <v>0</v>
      </c>
      <c r="J60" s="174">
        <v>0</v>
      </c>
      <c r="K60" s="175">
        <f t="shared" si="2"/>
        <v>0</v>
      </c>
      <c r="L60" s="173">
        <f t="shared" si="3"/>
        <v>0</v>
      </c>
      <c r="M60" s="176">
        <f>IFERROR(SUMIFS(لاگ_فاکتور!$L$3:$L$1622,لاگ_فاکتور!$B$3:$B$1622,A60,لاگ_فاکتور!$C$3:$C$1622,B60)/F60,0)</f>
        <v>0</v>
      </c>
      <c r="N60" s="177">
        <v>0</v>
      </c>
      <c r="O60" s="166"/>
      <c r="P60" s="178"/>
    </row>
    <row r="61" spans="1:16" ht="19.5" customHeight="1">
      <c r="A61" s="165" t="s">
        <v>1095</v>
      </c>
      <c r="B61" s="165">
        <v>1</v>
      </c>
      <c r="C61" s="170" t="str">
        <f>IFERROR(INDEX(اطلاعات_پرسنل!$D$4:$D$59,MATCH(B61,اطلاعات_پرسنل!$A$4:$A$59,0)),"")</f>
        <v>دریا کریمی</v>
      </c>
      <c r="D61" s="165"/>
      <c r="E61" s="165"/>
      <c r="F61" s="171">
        <f>IFERROR(SUMIFS(لاگ_فاکتور!$V$3:$V$1622,لاگ_فاکتور!$B$3:$B$1622,A61,لاگ_فاکتور!$C$3:$C$1622,B61),0)</f>
        <v>0</v>
      </c>
      <c r="G61" s="172">
        <f>IFERROR(SUMIFS(لاگ_فاکتور!$O$3:$O$1622,لاگ_فاکتور!$B$3:$B$1622,A61,لاگ_فاکتور!$C$3:$C$1622,B61),0)</f>
        <v>0</v>
      </c>
      <c r="H61" s="173">
        <f>IFERROR(SUMIFS(لاگ_فاکتور!$N$3:$N$1622,لاگ_فاکتور!$B$3:$B$1622,A61,لاگ_فاکتور!$C$3:$C$1622,B61),0)</f>
        <v>0</v>
      </c>
      <c r="I61" s="174">
        <v>0</v>
      </c>
      <c r="J61" s="174">
        <v>0</v>
      </c>
      <c r="K61" s="175">
        <f t="shared" si="2"/>
        <v>0</v>
      </c>
      <c r="L61" s="173">
        <f t="shared" si="3"/>
        <v>0</v>
      </c>
      <c r="M61" s="176">
        <f>IFERROR(SUMIFS(لاگ_فاکتور!$L$3:$L$1622,لاگ_فاکتور!$B$3:$B$1622,A61,لاگ_فاکتور!$C$3:$C$1622,B61)/F61,0)</f>
        <v>0</v>
      </c>
      <c r="N61" s="177">
        <v>0</v>
      </c>
      <c r="O61" s="166"/>
      <c r="P61" s="178"/>
    </row>
    <row r="62" spans="1:16" ht="19.5" customHeight="1">
      <c r="A62" s="165" t="s">
        <v>1095</v>
      </c>
      <c r="B62" s="165">
        <v>2</v>
      </c>
      <c r="C62" s="170" t="str">
        <f>IFERROR(INDEX(اطلاعات_پرسنل!$D$4:$D$59,MATCH(B62,اطلاعات_پرسنل!$A$4:$A$59,0)),"")</f>
        <v>ماحی حمیدپور</v>
      </c>
      <c r="D62" s="165"/>
      <c r="E62" s="165"/>
      <c r="F62" s="171">
        <f>IFERROR(SUMIFS(لاگ_فاکتور!$V$3:$V$1622,لاگ_فاکتور!$B$3:$B$1622,A62,لاگ_فاکتور!$C$3:$C$1622,B62),0)</f>
        <v>0</v>
      </c>
      <c r="G62" s="172">
        <f>IFERROR(SUMIFS(لاگ_فاکتور!$O$3:$O$1622,لاگ_فاکتور!$B$3:$B$1622,A62,لاگ_فاکتور!$C$3:$C$1622,B62),0)</f>
        <v>0</v>
      </c>
      <c r="H62" s="173">
        <f>IFERROR(SUMIFS(لاگ_فاکتور!$N$3:$N$1622,لاگ_فاکتور!$B$3:$B$1622,A62,لاگ_فاکتور!$C$3:$C$1622,B62),0)</f>
        <v>0</v>
      </c>
      <c r="I62" s="174">
        <v>0</v>
      </c>
      <c r="J62" s="174">
        <v>0</v>
      </c>
      <c r="K62" s="175">
        <f t="shared" si="2"/>
        <v>0</v>
      </c>
      <c r="L62" s="173">
        <f t="shared" si="3"/>
        <v>0</v>
      </c>
      <c r="M62" s="176">
        <f>IFERROR(SUMIFS(لاگ_فاکتور!$L$3:$L$1622,لاگ_فاکتور!$B$3:$B$1622,A62,لاگ_فاکتور!$C$3:$C$1622,B62)/F62,0)</f>
        <v>0</v>
      </c>
      <c r="N62" s="177">
        <v>0</v>
      </c>
      <c r="O62" s="166"/>
      <c r="P62" s="178"/>
    </row>
    <row r="63" spans="1:16" ht="19.5" customHeight="1">
      <c r="A63" s="179" t="s">
        <v>1096</v>
      </c>
      <c r="B63" s="179">
        <v>0</v>
      </c>
      <c r="C63" s="180" t="str">
        <f>IFERROR(INDEX(اطلاعات_پرسنل!$D$4:$D$59,MATCH(B63,اطلاعات_پرسنل!$A$4:$A$59,0)),"")</f>
        <v xml:space="preserve">فروشگاه </v>
      </c>
      <c r="D63" s="179"/>
      <c r="E63" s="179"/>
      <c r="F63" s="181">
        <f>IFERROR(SUMIFS(لاگ_فاکتور!$V$3:$V$1622,لاگ_فاکتور!$B$3:$B$1622,A63,لاگ_فاکتور!$C$3:$C$1622,B63),0)</f>
        <v>0</v>
      </c>
      <c r="G63" s="182">
        <f>IFERROR(SUMIFS(لاگ_فاکتور!$O$3:$O$1622,لاگ_فاکتور!$B$3:$B$1622,A63,لاگ_فاکتور!$C$3:$C$1622,B63),0)</f>
        <v>0</v>
      </c>
      <c r="H63" s="183">
        <f>IFERROR(SUMIFS(لاگ_فاکتور!$N$3:$N$1622,لاگ_فاکتور!$B$3:$B$1622,A63,لاگ_فاکتور!$C$3:$C$1622,B63),0)</f>
        <v>0</v>
      </c>
      <c r="I63" s="184">
        <v>0</v>
      </c>
      <c r="J63" s="184">
        <v>0</v>
      </c>
      <c r="K63" s="185">
        <f t="shared" si="2"/>
        <v>0</v>
      </c>
      <c r="L63" s="183">
        <f t="shared" si="3"/>
        <v>0</v>
      </c>
      <c r="M63" s="186">
        <f>IFERROR(SUMIFS(لاگ_فاکتور!$L$3:$L$1622,لاگ_فاکتور!$B$3:$B$1622,A63,لاگ_فاکتور!$C$3:$C$1622,B63)/F63,0)</f>
        <v>0</v>
      </c>
      <c r="N63" s="187">
        <v>0</v>
      </c>
      <c r="O63" s="188"/>
      <c r="P63" s="189"/>
    </row>
    <row r="64" spans="1:16" ht="0.75" customHeight="1">
      <c r="A64" s="179" t="s">
        <v>1097</v>
      </c>
      <c r="B64" s="179">
        <v>2</v>
      </c>
      <c r="C64" s="180" t="str">
        <f>IFERROR(INDEX(اطلاعات_پرسنل!$D$4:$D$59,MATCH(B64,اطلاعات_پرسنل!$A$4:$A$59,0)),"")</f>
        <v>ماحی حمیدپور</v>
      </c>
      <c r="D64" s="179"/>
      <c r="E64" s="179">
        <v>2</v>
      </c>
      <c r="F64" s="181">
        <f>IFERROR(SUMIFS(لاگ_فاکتور!$V$3:$V$1622,لاگ_فاکتور!$B$3:$B$1622,A64,لاگ_فاکتور!$C$3:$C$1622,B64),0)</f>
        <v>0</v>
      </c>
      <c r="G64" s="182">
        <f>IFERROR(SUMIFS(لاگ_فاکتور!$O$3:$O$1622,لاگ_فاکتور!$B$3:$B$1622,A64,لاگ_فاکتور!$C$3:$C$1622,B64),0)</f>
        <v>0</v>
      </c>
      <c r="H64" s="183">
        <v>1</v>
      </c>
      <c r="I64" s="184">
        <v>0</v>
      </c>
      <c r="J64" s="184">
        <v>1</v>
      </c>
      <c r="K64" s="185">
        <f t="shared" si="2"/>
        <v>0</v>
      </c>
      <c r="L64" s="183">
        <f t="shared" si="3"/>
        <v>0</v>
      </c>
      <c r="M64" s="186">
        <f>IFERROR(SUMIFS(لاگ_فاکتور!$L$3:$L$1622,لاگ_فاکتور!$B$3:$B$1622,A64,لاگ_فاکتور!$C$3:$C$1622,B64)/F64,0)</f>
        <v>0</v>
      </c>
      <c r="N64" s="187">
        <v>0</v>
      </c>
      <c r="O64" s="188"/>
      <c r="P64" s="189"/>
    </row>
    <row r="65" spans="1:16" ht="19.5" hidden="1" customHeight="1">
      <c r="A65" s="179" t="s">
        <v>1098</v>
      </c>
      <c r="B65" s="179">
        <v>0</v>
      </c>
      <c r="C65" s="180" t="str">
        <f>IFERROR(INDEX(اطلاعات_پرسنل!$D$4:$D$59,MATCH(B65,اطلاعات_پرسنل!$A$4:$A$59,0)),"")</f>
        <v xml:space="preserve">فروشگاه </v>
      </c>
      <c r="D65" s="179">
        <v>14</v>
      </c>
      <c r="E65" s="179">
        <v>6</v>
      </c>
      <c r="F65" s="181">
        <f>IFERROR(SUMIFS(لاگ_فاکتور!$V$3:$V$1622,لاگ_فاکتور!$B$3:$B$1622,A65,لاگ_فاکتور!$C$3:$C$1622,B65),0)</f>
        <v>0</v>
      </c>
      <c r="G65" s="182">
        <f>IFERROR(SUMIFS(لاگ_فاکتور!$O$3:$O$1622,لاگ_فاکتور!$B$3:$B$1622,A65,لاگ_فاکتور!$C$3:$C$1622,B65),0)</f>
        <v>0</v>
      </c>
      <c r="H65" s="183">
        <f>IFERROR(SUMIFS(لاگ_فاکتور!$N$3:$N$1622,لاگ_فاکتور!$B$3:$B$1622,A65,لاگ_فاکتور!$C$3:$C$1622,B65),0)</f>
        <v>0</v>
      </c>
      <c r="I65" s="184">
        <v>0</v>
      </c>
      <c r="J65" s="184">
        <v>0</v>
      </c>
      <c r="K65" s="185">
        <f t="shared" si="2"/>
        <v>0</v>
      </c>
      <c r="L65" s="183">
        <f t="shared" si="3"/>
        <v>0</v>
      </c>
      <c r="M65" s="186">
        <f>IFERROR(SUMIFS(لاگ_فاکتور!$L$3:$L$1622,لاگ_فاکتور!$B$3:$B$1622,A65,لاگ_فاکتور!$C$3:$C$1622,B65)/F65,0)</f>
        <v>0</v>
      </c>
      <c r="N65" s="187">
        <v>0</v>
      </c>
      <c r="O65" s="188"/>
      <c r="P65" s="189" t="s">
        <v>1119</v>
      </c>
    </row>
    <row r="66" spans="1:16" ht="19.5" customHeight="1">
      <c r="A66" s="179" t="s">
        <v>1096</v>
      </c>
      <c r="B66" s="179">
        <v>1</v>
      </c>
      <c r="C66" s="180" t="str">
        <f>IFERROR(INDEX(اطلاعات_پرسنل!$D$4:$D$59,MATCH(B66,اطلاعات_پرسنل!$A$4:$A$59,0)),"")</f>
        <v>دریا کریمی</v>
      </c>
      <c r="D66" s="179"/>
      <c r="E66" s="179"/>
      <c r="F66" s="181">
        <f>IFERROR(SUMIFS(لاگ_فاکتور!$V$3:$V$1622,لاگ_فاکتور!$B$3:$B$1622,A66,لاگ_فاکتور!$C$3:$C$1622,B66),0)</f>
        <v>0</v>
      </c>
      <c r="G66" s="182">
        <f>IFERROR(SUMIFS(لاگ_فاکتور!$O$3:$O$1622,لاگ_فاکتور!$B$3:$B$1622,A66,لاگ_فاکتور!$C$3:$C$1622,B66),0)</f>
        <v>0</v>
      </c>
      <c r="H66" s="183">
        <f>IFERROR(SUMIFS(لاگ_فاکتور!$N$3:$N$1622,لاگ_فاکتور!$B$3:$B$1622,A66,لاگ_فاکتور!$C$3:$C$1622,B66),0)</f>
        <v>0</v>
      </c>
      <c r="I66" s="184">
        <v>0</v>
      </c>
      <c r="J66" s="184">
        <v>0</v>
      </c>
      <c r="K66" s="185">
        <f t="shared" si="2"/>
        <v>0</v>
      </c>
      <c r="L66" s="183">
        <f t="shared" si="3"/>
        <v>0</v>
      </c>
      <c r="M66" s="186">
        <f>IFERROR(SUMIFS(لاگ_فاکتور!$L$3:$L$1622,لاگ_فاکتور!$B$3:$B$1622,A66,لاگ_فاکتور!$C$3:$C$1622,B66)/F66,0)</f>
        <v>0</v>
      </c>
      <c r="N66" s="187">
        <v>0</v>
      </c>
      <c r="O66" s="188"/>
      <c r="P66" s="189"/>
    </row>
    <row r="67" spans="1:16" ht="19.5" customHeight="1">
      <c r="A67" s="179" t="s">
        <v>1096</v>
      </c>
      <c r="B67" s="179">
        <v>2</v>
      </c>
      <c r="C67" s="180" t="str">
        <f>IFERROR(INDEX(اطلاعات_پرسنل!$D$4:$D$59,MATCH(B67,اطلاعات_پرسنل!$A$4:$A$59,0)),"")</f>
        <v>ماحی حمیدپور</v>
      </c>
      <c r="D67" s="179"/>
      <c r="E67" s="179"/>
      <c r="F67" s="181">
        <f>IFERROR(SUMIFS(لاگ_فاکتور!$V$3:$V$1622,لاگ_فاکتور!$B$3:$B$1622,A67,لاگ_فاکتور!$C$3:$C$1622,B67),0)</f>
        <v>0</v>
      </c>
      <c r="G67" s="182">
        <f>IFERROR(SUMIFS(لاگ_فاکتور!$O$3:$O$1622,لاگ_فاکتور!$B$3:$B$1622,A67,لاگ_فاکتور!$C$3:$C$1622,B67),0)</f>
        <v>0</v>
      </c>
      <c r="H67" s="183">
        <f>IFERROR(SUMIFS(لاگ_فاکتور!$N$3:$N$1622,لاگ_فاکتور!$B$3:$B$1622,A67,لاگ_فاکتور!$C$3:$C$1622,B67),0)</f>
        <v>0</v>
      </c>
      <c r="I67" s="184">
        <v>0</v>
      </c>
      <c r="J67" s="184">
        <v>0</v>
      </c>
      <c r="K67" s="185">
        <f t="shared" si="2"/>
        <v>0</v>
      </c>
      <c r="L67" s="183">
        <f t="shared" si="3"/>
        <v>0</v>
      </c>
      <c r="M67" s="186">
        <f>IFERROR(SUMIFS(لاگ_فاکتور!$L$3:$L$1622,لاگ_فاکتور!$B$3:$B$1622,A67,لاگ_فاکتور!$C$3:$C$1622,B67)/F67,0)</f>
        <v>0</v>
      </c>
      <c r="N67" s="187">
        <v>0</v>
      </c>
      <c r="O67" s="188"/>
      <c r="P67" s="189"/>
    </row>
    <row r="68" spans="1:16" ht="19.5" customHeight="1">
      <c r="A68" s="151" t="s">
        <v>1097</v>
      </c>
      <c r="B68" s="151">
        <v>0</v>
      </c>
      <c r="C68" s="167" t="str">
        <f>IFERROR(INDEX(اطلاعات_پرسنل!$D$4:$D$59,MATCH(B68,اطلاعات_پرسنل!$A$4:$A$59,0)),"")</f>
        <v xml:space="preserve">فروشگاه </v>
      </c>
      <c r="D68" s="151"/>
      <c r="E68" s="151"/>
      <c r="F68" s="153">
        <f>IFERROR(SUMIFS(لاگ_فاکتور!$V$3:$V$1622,لاگ_فاکتور!$B$3:$B$1622,A68,لاگ_فاکتور!$C$3:$C$1622,B68),0)</f>
        <v>0</v>
      </c>
      <c r="G68" s="154">
        <f>IFERROR(SUMIFS(لاگ_فاکتور!$O$3:$O$1622,لاگ_فاکتور!$B$3:$B$1622,A68,لاگ_فاکتور!$C$3:$C$1622,B68),0)</f>
        <v>0</v>
      </c>
      <c r="H68" s="155">
        <f>IFERROR(SUMIFS(لاگ_فاکتور!$N$3:$N$1622,لاگ_فاکتور!$B$3:$B$1622,A68,لاگ_فاکتور!$C$3:$C$1622,B68),0)</f>
        <v>0</v>
      </c>
      <c r="I68" s="156">
        <v>0</v>
      </c>
      <c r="J68" s="156">
        <v>0</v>
      </c>
      <c r="K68" s="157">
        <f t="shared" ref="K68:K104" si="4">IFERROR(F68/D68,0)</f>
        <v>0</v>
      </c>
      <c r="L68" s="155">
        <f t="shared" ref="L68:L104" si="5">IFERROR(G68/F68,0)</f>
        <v>0</v>
      </c>
      <c r="M68" s="158">
        <f>IFERROR(SUMIFS(لاگ_فاکتور!$L$3:$L$1622,لاگ_فاکتور!$B$3:$B$1622,A68,لاگ_فاکتور!$C$3:$C$1622,B68)/F68,0)</f>
        <v>0</v>
      </c>
      <c r="N68" s="159">
        <v>0</v>
      </c>
      <c r="O68" s="102"/>
      <c r="P68" s="160"/>
    </row>
    <row r="69" spans="1:16" ht="19.5" customHeight="1">
      <c r="A69" s="151" t="s">
        <v>1097</v>
      </c>
      <c r="B69" s="151">
        <v>1</v>
      </c>
      <c r="C69" s="167" t="str">
        <f>IFERROR(INDEX(اطلاعات_پرسنل!$D$4:$D$59,MATCH(B69,اطلاعات_پرسنل!$A$4:$A$59,0)),"")</f>
        <v>دریا کریمی</v>
      </c>
      <c r="D69" s="151"/>
      <c r="E69" s="151"/>
      <c r="F69" s="153">
        <f>IFERROR(SUMIFS(لاگ_فاکتور!$V$3:$V$1622,لاگ_فاکتور!$B$3:$B$1622,A69,لاگ_فاکتور!$C$3:$C$1622,B69),0)</f>
        <v>0</v>
      </c>
      <c r="G69" s="154">
        <f>IFERROR(SUMIFS(لاگ_فاکتور!$O$3:$O$1622,لاگ_فاکتور!$B$3:$B$1622,A69,لاگ_فاکتور!$C$3:$C$1622,B69),0)</f>
        <v>0</v>
      </c>
      <c r="H69" s="155">
        <f>IFERROR(SUMIFS(لاگ_فاکتور!$N$3:$N$1622,لاگ_فاکتور!$B$3:$B$1622,A69,لاگ_فاکتور!$C$3:$C$1622,B69),0)</f>
        <v>0</v>
      </c>
      <c r="I69" s="156">
        <v>0</v>
      </c>
      <c r="J69" s="156">
        <v>0</v>
      </c>
      <c r="K69" s="157">
        <f t="shared" si="4"/>
        <v>0</v>
      </c>
      <c r="L69" s="155">
        <f t="shared" si="5"/>
        <v>0</v>
      </c>
      <c r="M69" s="158">
        <f>IFERROR(SUMIFS(لاگ_فاکتور!$L$3:$L$1622,لاگ_فاکتور!$B$3:$B$1622,A69,لاگ_فاکتور!$C$3:$C$1622,B69)/F69,0)</f>
        <v>0</v>
      </c>
      <c r="N69" s="159">
        <v>0</v>
      </c>
      <c r="O69" s="102"/>
      <c r="P69" s="160"/>
    </row>
    <row r="70" spans="1:16" ht="19.5" customHeight="1">
      <c r="A70" s="168" t="s">
        <v>1098</v>
      </c>
      <c r="B70" s="168">
        <v>2</v>
      </c>
      <c r="C70" s="169" t="str">
        <f>IFERROR(INDEX(اطلاعات_پرسنل!$D$4:$D$59,MATCH(B70,اطلاعات_پرسنل!$A$4:$A$59,0)),"")</f>
        <v>ماحی حمیدپور</v>
      </c>
      <c r="D70" s="168"/>
      <c r="E70" s="168"/>
      <c r="F70" s="153">
        <f>IFERROR(SUMIFS(لاگ_فاکتور!$V$3:$V$1622,لاگ_فاکتور!$B$3:$B$1622,A70,لاگ_فاکتور!$C$3:$C$1622,B70),0)</f>
        <v>0</v>
      </c>
      <c r="G70" s="154">
        <f>IFERROR(SUMIFS(لاگ_فاکتور!$O$3:$O$1622,لاگ_فاکتور!$B$3:$B$1622,A70,لاگ_فاکتور!$C$3:$C$1622,B70),0)</f>
        <v>0</v>
      </c>
      <c r="H70" s="155">
        <f>IFERROR(SUMIFS(لاگ_فاکتور!$N$3:$N$1622,لاگ_فاکتور!$B$3:$B$1622,A70,لاگ_فاکتور!$C$3:$C$1622,B70),0)</f>
        <v>0</v>
      </c>
      <c r="I70" s="156">
        <v>0</v>
      </c>
      <c r="J70" s="156">
        <v>0</v>
      </c>
      <c r="K70" s="157">
        <f t="shared" si="4"/>
        <v>0</v>
      </c>
      <c r="L70" s="155">
        <f t="shared" si="5"/>
        <v>0</v>
      </c>
      <c r="M70" s="158">
        <f>IFERROR(SUMIFS(لاگ_فاکتور!$L$3:$L$1622,لاگ_فاکتور!$B$3:$B$1622,A70,لاگ_فاکتور!$C$3:$C$1622,B70)/F70,0)</f>
        <v>0</v>
      </c>
      <c r="N70" s="159">
        <v>0</v>
      </c>
      <c r="O70" s="102"/>
      <c r="P70" s="160"/>
    </row>
    <row r="71" spans="1:16" ht="19.5" customHeight="1">
      <c r="A71" s="151" t="s">
        <v>1098</v>
      </c>
      <c r="B71" s="151">
        <v>2</v>
      </c>
      <c r="C71" s="152" t="str">
        <f>IFERROR(INDEX(اطلاعات_پرسنل!$D$4:$D$59,MATCH(B71,اطلاعات_پرسنل!$A$4:$A$59,0)),"")</f>
        <v>ماحی حمیدپور</v>
      </c>
      <c r="D71" s="151"/>
      <c r="E71" s="151"/>
      <c r="F71" s="153">
        <f>IFERROR(SUMIFS(لاگ_فاکتور!$V$3:$V$1622,لاگ_فاکتور!$B$3:$B$1622,A71,لاگ_فاکتور!$C$3:$C$1622,B71),0)</f>
        <v>0</v>
      </c>
      <c r="G71" s="154">
        <f>IFERROR(SUMIFS(لاگ_فاکتور!$O$3:$O$1622,لاگ_فاکتور!$B$3:$B$1622,A71,لاگ_فاکتور!$C$3:$C$1622,B71),0)</f>
        <v>0</v>
      </c>
      <c r="H71" s="155">
        <f>IFERROR(SUMIFS(لاگ_فاکتور!$N$3:$N$1622,لاگ_فاکتور!$B$3:$B$1622,A71,لاگ_فاکتور!$C$3:$C$1622,B71),0)</f>
        <v>0</v>
      </c>
      <c r="I71" s="156">
        <v>0</v>
      </c>
      <c r="J71" s="156">
        <v>0</v>
      </c>
      <c r="K71" s="157">
        <f t="shared" si="4"/>
        <v>0</v>
      </c>
      <c r="L71" s="155">
        <f t="shared" si="5"/>
        <v>0</v>
      </c>
      <c r="M71" s="158">
        <f>IFERROR(SUMIFS(لاگ_فاکتور!$L$3:$L$1622,لاگ_فاکتور!$B$3:$B$1622,A71,لاگ_فاکتور!$C$3:$C$1622,B71)/F71,0)</f>
        <v>0</v>
      </c>
      <c r="N71" s="159">
        <v>0</v>
      </c>
      <c r="O71" s="102"/>
      <c r="P71" s="160"/>
    </row>
    <row r="72" spans="1:16" ht="19.5" customHeight="1">
      <c r="A72" s="151" t="s">
        <v>1106</v>
      </c>
      <c r="B72" s="151">
        <v>1</v>
      </c>
      <c r="C72" s="152" t="str">
        <f>IFERROR(INDEX(اطلاعات_پرسنل!$D$4:$D$59,MATCH(B72,اطلاعات_پرسنل!$A$4:$A$59,0)),"")</f>
        <v>دریا کریمی</v>
      </c>
      <c r="D72" s="151"/>
      <c r="E72" s="151"/>
      <c r="F72" s="153">
        <f>IFERROR(SUMIFS(لاگ_فاکتور!$V$3:$V$1622,لاگ_فاکتور!$B$3:$B$1622,A72,لاگ_فاکتور!$C$3:$C$1622,B72),0)</f>
        <v>0</v>
      </c>
      <c r="G72" s="154">
        <f>IFERROR(SUMIFS(لاگ_فاکتور!$O$3:$O$1622,لاگ_فاکتور!$B$3:$B$1622,A72,لاگ_فاکتور!$C$3:$C$1622,B72),0)</f>
        <v>0</v>
      </c>
      <c r="H72" s="155">
        <f>IFERROR(SUMIFS(لاگ_فاکتور!$N$3:$N$1622,لاگ_فاکتور!$B$3:$B$1622,A72,لاگ_فاکتور!$C$3:$C$1622,B72),0)</f>
        <v>0</v>
      </c>
      <c r="I72" s="156">
        <v>0</v>
      </c>
      <c r="J72" s="156">
        <v>0</v>
      </c>
      <c r="K72" s="157">
        <f t="shared" si="4"/>
        <v>0</v>
      </c>
      <c r="L72" s="155">
        <f t="shared" si="5"/>
        <v>0</v>
      </c>
      <c r="M72" s="158">
        <f>IFERROR(SUMIFS(لاگ_فاکتور!$L$3:$L$1622,لاگ_فاکتور!$B$3:$B$1622,A72,لاگ_فاکتور!$C$3:$C$1622,B72)/F72,0)</f>
        <v>0</v>
      </c>
      <c r="N72" s="159">
        <v>0</v>
      </c>
      <c r="O72" s="102"/>
      <c r="P72" s="160"/>
    </row>
    <row r="73" spans="1:16" ht="19.5" customHeight="1">
      <c r="A73" s="151" t="s">
        <v>1106</v>
      </c>
      <c r="B73" s="151">
        <v>0</v>
      </c>
      <c r="C73" s="152" t="str">
        <f>IFERROR(INDEX(اطلاعات_پرسنل!$D$4:$D$59,MATCH(B73,اطلاعات_پرسنل!$A$4:$A$59,0)),"")</f>
        <v xml:space="preserve">فروشگاه </v>
      </c>
      <c r="D73" s="151"/>
      <c r="E73" s="151"/>
      <c r="F73" s="153">
        <f>IFERROR(SUMIFS(لاگ_فاکتور!$V$3:$V$1622,لاگ_فاکتور!$B$3:$B$1622,A73,لاگ_فاکتور!$C$3:$C$1622,B73),0)</f>
        <v>0</v>
      </c>
      <c r="G73" s="154">
        <f>IFERROR(SUMIFS(لاگ_فاکتور!$O$3:$O$1622,لاگ_فاکتور!$B$3:$B$1622,A73,لاگ_فاکتور!$C$3:$C$1622,B73),0)</f>
        <v>0</v>
      </c>
      <c r="H73" s="155">
        <f>IFERROR(SUMIFS(لاگ_فاکتور!$N$3:$N$1622,لاگ_فاکتور!$B$3:$B$1622,A73,لاگ_فاکتور!$C$3:$C$1622,B73),0)</f>
        <v>0</v>
      </c>
      <c r="I73" s="156">
        <v>0</v>
      </c>
      <c r="J73" s="156">
        <v>0</v>
      </c>
      <c r="K73" s="157">
        <f t="shared" si="4"/>
        <v>0</v>
      </c>
      <c r="L73" s="155">
        <f t="shared" si="5"/>
        <v>0</v>
      </c>
      <c r="M73" s="158">
        <f>IFERROR(SUMIFS(لاگ_فاکتور!$L$3:$L$1622,لاگ_فاکتور!$B$3:$B$1622,A73,لاگ_فاکتور!$C$3:$C$1622,B73)/F73,0)</f>
        <v>0</v>
      </c>
      <c r="N73" s="159">
        <v>0</v>
      </c>
      <c r="O73" s="102"/>
      <c r="P73" s="160"/>
    </row>
    <row r="74" spans="1:16" ht="19.5" customHeight="1">
      <c r="A74" s="151" t="s">
        <v>1121</v>
      </c>
      <c r="B74" s="151">
        <v>1</v>
      </c>
      <c r="C74" s="152" t="str">
        <f>IFERROR(INDEX(اطلاعات_پرسنل!$D$4:$D$59,MATCH(B74,اطلاعات_پرسنل!$A$4:$A$59,0)),"")</f>
        <v>دریا کریمی</v>
      </c>
      <c r="D74" s="151"/>
      <c r="E74" s="151"/>
      <c r="F74" s="153">
        <f>IFERROR(SUMIFS(لاگ_فاکتور!$V$3:$V$1622,لاگ_فاکتور!$B$3:$B$1622,A74,لاگ_فاکتور!$C$3:$C$1622,B74),0)</f>
        <v>0</v>
      </c>
      <c r="G74" s="154">
        <f>IFERROR(SUMIFS(لاگ_فاکتور!$O$3:$O$1622,لاگ_فاکتور!$B$3:$B$1622,A74,لاگ_فاکتور!$C$3:$C$1622,B74),0)</f>
        <v>0</v>
      </c>
      <c r="H74" s="155">
        <f>IFERROR(SUMIFS(لاگ_فاکتور!$N$3:$N$1622,لاگ_فاکتور!$B$3:$B$1622,A74,لاگ_فاکتور!$C$3:$C$1622,B74),0)</f>
        <v>0</v>
      </c>
      <c r="I74" s="156">
        <v>0</v>
      </c>
      <c r="J74" s="156">
        <v>0</v>
      </c>
      <c r="K74" s="157">
        <f t="shared" si="4"/>
        <v>0</v>
      </c>
      <c r="L74" s="155">
        <f t="shared" si="5"/>
        <v>0</v>
      </c>
      <c r="M74" s="158">
        <f>IFERROR(SUMIFS(لاگ_فاکتور!$L$3:$L$1622,لاگ_فاکتور!$B$3:$B$1622,A74,لاگ_فاکتور!$C$3:$C$1622,B74)/F74,0)</f>
        <v>0</v>
      </c>
      <c r="N74" s="159">
        <v>0</v>
      </c>
      <c r="O74" s="102"/>
      <c r="P74" s="160"/>
    </row>
    <row r="75" spans="1:16" ht="19.5" customHeight="1">
      <c r="A75" s="151" t="s">
        <v>1122</v>
      </c>
      <c r="B75" s="151">
        <v>0</v>
      </c>
      <c r="C75" s="152" t="str">
        <f>IFERROR(INDEX(اطلاعات_پرسنل!$D$4:$D$59,MATCH(B75,اطلاعات_پرسنل!$A$4:$A$59,0)),"")</f>
        <v xml:space="preserve">فروشگاه </v>
      </c>
      <c r="D75" s="151"/>
      <c r="E75" s="151"/>
      <c r="F75" s="153">
        <f>IFERROR(SUMIFS(لاگ_فاکتور!$V$3:$V$1622,لاگ_فاکتور!$B$3:$B$1622,A75,لاگ_فاکتور!$C$3:$C$1622,B75),0)</f>
        <v>0</v>
      </c>
      <c r="G75" s="154">
        <f>IFERROR(SUMIFS(لاگ_فاکتور!$O$3:$O$1622,لاگ_فاکتور!$B$3:$B$1622,A75,لاگ_فاکتور!$C$3:$C$1622,B75),0)</f>
        <v>0</v>
      </c>
      <c r="H75" s="155">
        <f>IFERROR(SUMIFS(لاگ_فاکتور!$N$3:$N$1622,لاگ_فاکتور!$B$3:$B$1622,A75,لاگ_فاکتور!$C$3:$C$1622,B75),0)</f>
        <v>0</v>
      </c>
      <c r="I75" s="156">
        <v>0</v>
      </c>
      <c r="J75" s="156">
        <v>0</v>
      </c>
      <c r="K75" s="157">
        <f t="shared" si="4"/>
        <v>0</v>
      </c>
      <c r="L75" s="155">
        <f t="shared" si="5"/>
        <v>0</v>
      </c>
      <c r="M75" s="158">
        <f>IFERROR(SUMIFS(لاگ_فاکتور!$L$3:$L$1622,لاگ_فاکتور!$B$3:$B$1622,A75,لاگ_فاکتور!$C$3:$C$1622,B75)/F75,0)</f>
        <v>0</v>
      </c>
      <c r="N75" s="159">
        <v>0</v>
      </c>
      <c r="O75" s="102"/>
      <c r="P75" s="160"/>
    </row>
    <row r="76" spans="1:16" ht="19.5" customHeight="1">
      <c r="A76" s="151" t="s">
        <v>1122</v>
      </c>
      <c r="B76" s="151">
        <v>1</v>
      </c>
      <c r="C76" s="152" t="str">
        <f>IFERROR(INDEX(اطلاعات_پرسنل!$D$4:$D$59,MATCH(B76,اطلاعات_پرسنل!$A$4:$A$59,0)),"")</f>
        <v>دریا کریمی</v>
      </c>
      <c r="D76" s="151"/>
      <c r="E76" s="151"/>
      <c r="F76" s="153">
        <f>IFERROR(SUMIFS(لاگ_فاکتور!$V$3:$V$1622,لاگ_فاکتور!$B$3:$B$1622,A76,لاگ_فاکتور!$C$3:$C$1622,B76),0)</f>
        <v>0</v>
      </c>
      <c r="G76" s="154">
        <f>IFERROR(SUMIFS(لاگ_فاکتور!$O$3:$O$1622,لاگ_فاکتور!$B$3:$B$1622,A76,لاگ_فاکتور!$C$3:$C$1622,B76),0)</f>
        <v>0</v>
      </c>
      <c r="H76" s="155">
        <f>IFERROR(SUMIFS(لاگ_فاکتور!$N$3:$N$1622,لاگ_فاکتور!$B$3:$B$1622,A76,لاگ_فاکتور!$C$3:$C$1622,B76),0)</f>
        <v>0</v>
      </c>
      <c r="I76" s="156">
        <v>0</v>
      </c>
      <c r="J76" s="156">
        <v>0</v>
      </c>
      <c r="K76" s="157">
        <f t="shared" si="4"/>
        <v>0</v>
      </c>
      <c r="L76" s="155">
        <f t="shared" si="5"/>
        <v>0</v>
      </c>
      <c r="M76" s="158">
        <f>IFERROR(SUMIFS(لاگ_فاکتور!$L$3:$L$1622,لاگ_فاکتور!$B$3:$B$1622,A76,لاگ_فاکتور!$C$3:$C$1622,B76)/F76,0)</f>
        <v>0</v>
      </c>
      <c r="N76" s="159">
        <v>0</v>
      </c>
      <c r="O76" s="102"/>
      <c r="P76" s="160"/>
    </row>
    <row r="77" spans="1:16" ht="19.5" customHeight="1">
      <c r="A77" s="151" t="s">
        <v>1122</v>
      </c>
      <c r="B77" s="151">
        <v>2</v>
      </c>
      <c r="C77" s="152" t="str">
        <f>IFERROR(INDEX(اطلاعات_پرسنل!$D$4:$D$59,MATCH(B77,اطلاعات_پرسنل!$A$4:$A$59,0)),"")</f>
        <v>ماحی حمیدپور</v>
      </c>
      <c r="D77" s="151"/>
      <c r="E77" s="151"/>
      <c r="F77" s="153">
        <f>IFERROR(SUMIFS(لاگ_فاکتور!$V$3:$V$1622,لاگ_فاکتور!$B$3:$B$1622,A77,لاگ_فاکتور!$C$3:$C$1622,B77),0)</f>
        <v>0</v>
      </c>
      <c r="G77" s="154">
        <f>IFERROR(SUMIFS(لاگ_فاکتور!$O$3:$O$1622,لاگ_فاکتور!$B$3:$B$1622,A77,لاگ_فاکتور!$C$3:$C$1622,B77),0)</f>
        <v>0</v>
      </c>
      <c r="H77" s="155">
        <f>IFERROR(SUMIFS(لاگ_فاکتور!$N$3:$N$1622,لاگ_فاکتور!$B$3:$B$1622,A77,لاگ_فاکتور!$C$3:$C$1622,B77),0)</f>
        <v>0</v>
      </c>
      <c r="I77" s="156">
        <v>0</v>
      </c>
      <c r="J77" s="156">
        <v>0</v>
      </c>
      <c r="K77" s="157">
        <f t="shared" si="4"/>
        <v>0</v>
      </c>
      <c r="L77" s="155">
        <f t="shared" si="5"/>
        <v>0</v>
      </c>
      <c r="M77" s="158">
        <f>IFERROR(SUMIFS(لاگ_فاکتور!$L$3:$L$1622,لاگ_فاکتور!$B$3:$B$1622,A77,لاگ_فاکتور!$C$3:$C$1622,B77)/F77,0)</f>
        <v>0</v>
      </c>
      <c r="N77" s="159">
        <v>0</v>
      </c>
      <c r="O77" s="102"/>
      <c r="P77" s="160"/>
    </row>
    <row r="78" spans="1:16" ht="19.5" customHeight="1">
      <c r="A78" s="151" t="s">
        <v>1123</v>
      </c>
      <c r="B78" s="151">
        <v>0</v>
      </c>
      <c r="C78" s="152" t="str">
        <f>IFERROR(INDEX(اطلاعات_پرسنل!$D$4:$D$59,MATCH(B78,اطلاعات_پرسنل!$A$4:$A$59,0)),"")</f>
        <v xml:space="preserve">فروشگاه </v>
      </c>
      <c r="D78" s="151"/>
      <c r="E78" s="151"/>
      <c r="F78" s="153">
        <f>IFERROR(SUMIFS(لاگ_فاکتور!$V$3:$V$1622,لاگ_فاکتور!$B$3:$B$1622,A78,لاگ_فاکتور!$C$3:$C$1622,B78),0)</f>
        <v>0</v>
      </c>
      <c r="G78" s="154">
        <f>IFERROR(SUMIFS(لاگ_فاکتور!$O$3:$O$1622,لاگ_فاکتور!$B$3:$B$1622,A78,لاگ_فاکتور!$C$3:$C$1622,B78),0)</f>
        <v>0</v>
      </c>
      <c r="H78" s="155">
        <f>IFERROR(SUMIFS(لاگ_فاکتور!$N$3:$N$1622,لاگ_فاکتور!$B$3:$B$1622,A78,لاگ_فاکتور!$C$3:$C$1622,B78),0)</f>
        <v>0</v>
      </c>
      <c r="I78" s="156">
        <v>0</v>
      </c>
      <c r="J78" s="156">
        <v>0</v>
      </c>
      <c r="K78" s="157">
        <f t="shared" si="4"/>
        <v>0</v>
      </c>
      <c r="L78" s="155">
        <f t="shared" si="5"/>
        <v>0</v>
      </c>
      <c r="M78" s="158">
        <f>IFERROR(SUMIFS(لاگ_فاکتور!$L$3:$L$1622,لاگ_فاکتور!$B$3:$B$1622,A78,لاگ_فاکتور!$C$3:$C$1622,B78)/F78,0)</f>
        <v>0</v>
      </c>
      <c r="N78" s="159">
        <v>0</v>
      </c>
      <c r="O78" s="102"/>
      <c r="P78" s="160"/>
    </row>
    <row r="79" spans="1:16" ht="19.5" customHeight="1">
      <c r="A79" s="151" t="s">
        <v>1123</v>
      </c>
      <c r="B79" s="151">
        <v>2</v>
      </c>
      <c r="C79" s="152" t="str">
        <f>IFERROR(INDEX(اطلاعات_پرسنل!$D$4:$D$59,MATCH(B79,اطلاعات_پرسنل!$A$4:$A$59,0)),"")</f>
        <v>ماحی حمیدپور</v>
      </c>
      <c r="D79" s="151"/>
      <c r="E79" s="151"/>
      <c r="F79" s="153">
        <f>IFERROR(SUMIFS(لاگ_فاکتور!$V$3:$V$1622,لاگ_فاکتور!$B$3:$B$1622,A79,لاگ_فاکتور!$C$3:$C$1622,B79),0)</f>
        <v>0</v>
      </c>
      <c r="G79" s="154">
        <f>IFERROR(SUMIFS(لاگ_فاکتور!$O$3:$O$1622,لاگ_فاکتور!$B$3:$B$1622,A79,لاگ_فاکتور!$C$3:$C$1622,B79),0)</f>
        <v>0</v>
      </c>
      <c r="H79" s="155">
        <f>IFERROR(SUMIFS(لاگ_فاکتور!$N$3:$N$1622,لاگ_فاکتور!$B$3:$B$1622,A79,لاگ_فاکتور!$C$3:$C$1622,B79),0)</f>
        <v>0</v>
      </c>
      <c r="I79" s="156">
        <v>0</v>
      </c>
      <c r="J79" s="156">
        <v>0</v>
      </c>
      <c r="K79" s="157">
        <f t="shared" si="4"/>
        <v>0</v>
      </c>
      <c r="L79" s="155">
        <f t="shared" si="5"/>
        <v>0</v>
      </c>
      <c r="M79" s="158">
        <f>IFERROR(SUMIFS(لاگ_فاکتور!$L$3:$L$1622,لاگ_فاکتور!$B$3:$B$1622,A79,لاگ_فاکتور!$C$3:$C$1622,B79)/F79,0)</f>
        <v>0</v>
      </c>
      <c r="N79" s="159">
        <v>0</v>
      </c>
      <c r="O79" s="102"/>
      <c r="P79" s="160"/>
    </row>
    <row r="80" spans="1:16" ht="19.5" customHeight="1">
      <c r="A80" s="151"/>
      <c r="B80" s="151">
        <v>0</v>
      </c>
      <c r="C80" s="152" t="str">
        <f>IFERROR(INDEX(اطلاعات_پرسنل!$D$4:$D$59,MATCH(B80,اطلاعات_پرسنل!$A$4:$A$59,0)),"")</f>
        <v xml:space="preserve">فروشگاه </v>
      </c>
      <c r="D80" s="151"/>
      <c r="E80" s="151"/>
      <c r="F80" s="153">
        <f>IFERROR(SUMIFS(لاگ_فاکتور!$V$3:$V$1622,لاگ_فاکتور!$B$3:$B$1622,A80,لاگ_فاکتور!$C$3:$C$1622,B80),0)</f>
        <v>0</v>
      </c>
      <c r="G80" s="154">
        <f>IFERROR(SUMIFS(لاگ_فاکتور!$O$3:$O$1622,لاگ_فاکتور!$B$3:$B$1622,A80,لاگ_فاکتور!$C$3:$C$1622,B80),0)</f>
        <v>0</v>
      </c>
      <c r="H80" s="155">
        <f>IFERROR(SUMIFS(لاگ_فاکتور!$N$3:$N$1622,لاگ_فاکتور!$B$3:$B$1622,A80,لاگ_فاکتور!$C$3:$C$1622,B80),0)</f>
        <v>0</v>
      </c>
      <c r="I80" s="156">
        <v>0</v>
      </c>
      <c r="J80" s="156">
        <v>0</v>
      </c>
      <c r="K80" s="157">
        <f t="shared" si="4"/>
        <v>0</v>
      </c>
      <c r="L80" s="155">
        <f t="shared" si="5"/>
        <v>0</v>
      </c>
      <c r="M80" s="158">
        <f>IFERROR(SUMIFS(لاگ_فاکتور!$L$3:$L$1622,لاگ_فاکتور!$B$3:$B$1622,A80,لاگ_فاکتور!$C$3:$C$1622,B80)/F80,0)</f>
        <v>0</v>
      </c>
      <c r="N80" s="159">
        <v>0</v>
      </c>
      <c r="O80" s="102"/>
      <c r="P80" s="160"/>
    </row>
    <row r="81" spans="1:16" ht="19.5" customHeight="1">
      <c r="A81" s="151"/>
      <c r="B81" s="151">
        <v>1</v>
      </c>
      <c r="C81" s="152" t="str">
        <f>IFERROR(INDEX(اطلاعات_پرسنل!$D$4:$D$59,MATCH(B81,اطلاعات_پرسنل!$A$4:$A$59,0)),"")</f>
        <v>دریا کریمی</v>
      </c>
      <c r="D81" s="151"/>
      <c r="E81" s="151"/>
      <c r="F81" s="153">
        <f>IFERROR(SUMIFS(لاگ_فاکتور!$V$3:$V$1622,لاگ_فاکتور!$B$3:$B$1622,A81,لاگ_فاکتور!$C$3:$C$1622,B81),0)</f>
        <v>0</v>
      </c>
      <c r="G81" s="154">
        <f>IFERROR(SUMIFS(لاگ_فاکتور!$O$3:$O$1622,لاگ_فاکتور!$B$3:$B$1622,A81,لاگ_فاکتور!$C$3:$C$1622,B81),0)</f>
        <v>0</v>
      </c>
      <c r="H81" s="155">
        <f>IFERROR(SUMIFS(لاگ_فاکتور!$N$3:$N$1622,لاگ_فاکتور!$B$3:$B$1622,A81,لاگ_فاکتور!$C$3:$C$1622,B81),0)</f>
        <v>0</v>
      </c>
      <c r="I81" s="156">
        <v>0</v>
      </c>
      <c r="J81" s="156">
        <v>0</v>
      </c>
      <c r="K81" s="157">
        <f t="shared" si="4"/>
        <v>0</v>
      </c>
      <c r="L81" s="155">
        <f t="shared" si="5"/>
        <v>0</v>
      </c>
      <c r="M81" s="158">
        <f>IFERROR(SUMIFS(لاگ_فاکتور!$L$3:$L$1622,لاگ_فاکتور!$B$3:$B$1622,A81,لاگ_فاکتور!$C$3:$C$1622,B81)/F81,0)</f>
        <v>0</v>
      </c>
      <c r="N81" s="159">
        <v>0</v>
      </c>
      <c r="O81" s="102"/>
      <c r="P81" s="160"/>
    </row>
    <row r="82" spans="1:16" ht="19.5" customHeight="1">
      <c r="A82" s="151"/>
      <c r="B82" s="151">
        <v>2</v>
      </c>
      <c r="C82" s="152" t="str">
        <f>IFERROR(INDEX(اطلاعات_پرسنل!$D$4:$D$59,MATCH(B82,اطلاعات_پرسنل!$A$4:$A$59,0)),"")</f>
        <v>ماحی حمیدپور</v>
      </c>
      <c r="D82" s="151"/>
      <c r="E82" s="151"/>
      <c r="F82" s="153">
        <f>IFERROR(SUMIFS(لاگ_فاکتور!$V$3:$V$1622,لاگ_فاکتور!$B$3:$B$1622,A82,لاگ_فاکتور!$C$3:$C$1622,B82),0)</f>
        <v>0</v>
      </c>
      <c r="G82" s="154">
        <f>IFERROR(SUMIFS(لاگ_فاکتور!$O$3:$O$1622,لاگ_فاکتور!$B$3:$B$1622,A82,لاگ_فاکتور!$C$3:$C$1622,B82),0)</f>
        <v>0</v>
      </c>
      <c r="H82" s="155">
        <f>IFERROR(SUMIFS(لاگ_فاکتور!$N$3:$N$1622,لاگ_فاکتور!$B$3:$B$1622,A82,لاگ_فاکتور!$C$3:$C$1622,B82),0)</f>
        <v>0</v>
      </c>
      <c r="I82" s="156">
        <v>0</v>
      </c>
      <c r="J82" s="156">
        <v>0</v>
      </c>
      <c r="K82" s="157">
        <f t="shared" si="4"/>
        <v>0</v>
      </c>
      <c r="L82" s="155">
        <f t="shared" si="5"/>
        <v>0</v>
      </c>
      <c r="M82" s="158">
        <f>IFERROR(SUMIFS(لاگ_فاکتور!$L$3:$L$1622,لاگ_فاکتور!$B$3:$B$1622,A82,لاگ_فاکتور!$C$3:$C$1622,B82)/F82,0)</f>
        <v>0</v>
      </c>
      <c r="N82" s="159">
        <v>0</v>
      </c>
      <c r="O82" s="102"/>
      <c r="P82" s="160"/>
    </row>
    <row r="83" spans="1:16" ht="19.5" customHeight="1">
      <c r="A83" s="151"/>
      <c r="B83" s="151">
        <v>0</v>
      </c>
      <c r="C83" s="152" t="str">
        <f>IFERROR(INDEX(اطلاعات_پرسنل!$D$4:$D$59,MATCH(B83,اطلاعات_پرسنل!$A$4:$A$59,0)),"")</f>
        <v xml:space="preserve">فروشگاه </v>
      </c>
      <c r="D83" s="151"/>
      <c r="E83" s="151"/>
      <c r="F83" s="153">
        <f>IFERROR(SUMIFS(لاگ_فاکتور!$V$3:$V$1622,لاگ_فاکتور!$B$3:$B$1622,A83,لاگ_فاکتور!$C$3:$C$1622,B83),0)</f>
        <v>0</v>
      </c>
      <c r="G83" s="154">
        <f>IFERROR(SUMIFS(لاگ_فاکتور!$O$3:$O$1622,لاگ_فاکتور!$B$3:$B$1622,A83,لاگ_فاکتور!$C$3:$C$1622,B83),0)</f>
        <v>0</v>
      </c>
      <c r="H83" s="155">
        <f>IFERROR(SUMIFS(لاگ_فاکتور!$N$3:$N$1622,لاگ_فاکتور!$B$3:$B$1622,A83,لاگ_فاکتور!$C$3:$C$1622,B83),0)</f>
        <v>0</v>
      </c>
      <c r="I83" s="156">
        <v>0</v>
      </c>
      <c r="J83" s="156">
        <v>0</v>
      </c>
      <c r="K83" s="157">
        <f t="shared" si="4"/>
        <v>0</v>
      </c>
      <c r="L83" s="155">
        <f t="shared" si="5"/>
        <v>0</v>
      </c>
      <c r="M83" s="158">
        <f>IFERROR(SUMIFS(لاگ_فاکتور!$L$3:$L$1622,لاگ_فاکتور!$B$3:$B$1622,A83,لاگ_فاکتور!$C$3:$C$1622,B83)/F83,0)</f>
        <v>0</v>
      </c>
      <c r="N83" s="159">
        <v>0</v>
      </c>
      <c r="O83" s="102"/>
      <c r="P83" s="160"/>
    </row>
    <row r="84" spans="1:16" ht="19.5" customHeight="1">
      <c r="A84" s="151"/>
      <c r="B84" s="151">
        <v>1</v>
      </c>
      <c r="C84" s="152" t="str">
        <f>IFERROR(INDEX(اطلاعات_پرسنل!$D$4:$D$59,MATCH(B84,اطلاعات_پرسنل!$A$4:$A$59,0)),"")</f>
        <v>دریا کریمی</v>
      </c>
      <c r="D84" s="151"/>
      <c r="E84" s="151"/>
      <c r="F84" s="153">
        <f>IFERROR(SUMIFS(لاگ_فاکتور!$V$3:$V$1622,لاگ_فاکتور!$B$3:$B$1622,A84,لاگ_فاکتور!$C$3:$C$1622,B84),0)</f>
        <v>0</v>
      </c>
      <c r="G84" s="154">
        <f>IFERROR(SUMIFS(لاگ_فاکتور!$O$3:$O$1622,لاگ_فاکتور!$B$3:$B$1622,A84,لاگ_فاکتور!$C$3:$C$1622,B84),0)</f>
        <v>0</v>
      </c>
      <c r="H84" s="155">
        <f>IFERROR(SUMIFS(لاگ_فاکتور!$N$3:$N$1622,لاگ_فاکتور!$B$3:$B$1622,A84,لاگ_فاکتور!$C$3:$C$1622,B84),0)</f>
        <v>0</v>
      </c>
      <c r="I84" s="156">
        <v>0</v>
      </c>
      <c r="J84" s="156">
        <v>0</v>
      </c>
      <c r="K84" s="157">
        <f t="shared" si="4"/>
        <v>0</v>
      </c>
      <c r="L84" s="155">
        <f t="shared" si="5"/>
        <v>0</v>
      </c>
      <c r="M84" s="158">
        <f>IFERROR(SUMIFS(لاگ_فاکتور!$L$3:$L$1622,لاگ_فاکتور!$B$3:$B$1622,A84,لاگ_فاکتور!$C$3:$C$1622,B84)/F84,0)</f>
        <v>0</v>
      </c>
      <c r="N84" s="159">
        <v>0</v>
      </c>
      <c r="O84" s="102"/>
      <c r="P84" s="160"/>
    </row>
    <row r="85" spans="1:16" ht="19.5" customHeight="1">
      <c r="A85" s="151"/>
      <c r="B85" s="151">
        <v>2</v>
      </c>
      <c r="C85" s="152" t="str">
        <f>IFERROR(INDEX(اطلاعات_پرسنل!$D$4:$D$59,MATCH(B85,اطلاعات_پرسنل!$A$4:$A$59,0)),"")</f>
        <v>ماحی حمیدپور</v>
      </c>
      <c r="D85" s="151"/>
      <c r="E85" s="151"/>
      <c r="F85" s="153">
        <f>IFERROR(SUMIFS(لاگ_فاکتور!$V$3:$V$1622,لاگ_فاکتور!$B$3:$B$1622,A85,لاگ_فاکتور!$C$3:$C$1622,B85),0)</f>
        <v>0</v>
      </c>
      <c r="G85" s="154">
        <f>IFERROR(SUMIFS(لاگ_فاکتور!$O$3:$O$1622,لاگ_فاکتور!$B$3:$B$1622,A85,لاگ_فاکتور!$C$3:$C$1622,B85),0)</f>
        <v>0</v>
      </c>
      <c r="H85" s="155">
        <f>IFERROR(SUMIFS(لاگ_فاکتور!$N$3:$N$1622,لاگ_فاکتور!$B$3:$B$1622,A85,لاگ_فاکتور!$C$3:$C$1622,B85),0)</f>
        <v>0</v>
      </c>
      <c r="I85" s="156">
        <v>0</v>
      </c>
      <c r="J85" s="156">
        <v>0</v>
      </c>
      <c r="K85" s="157">
        <f t="shared" si="4"/>
        <v>0</v>
      </c>
      <c r="L85" s="155">
        <f t="shared" si="5"/>
        <v>0</v>
      </c>
      <c r="M85" s="158">
        <f>IFERROR(SUMIFS(لاگ_فاکتور!$L$3:$L$1622,لاگ_فاکتور!$B$3:$B$1622,A85,لاگ_فاکتور!$C$3:$C$1622,B85)/F85,0)</f>
        <v>0</v>
      </c>
      <c r="N85" s="159">
        <v>0</v>
      </c>
      <c r="O85" s="102"/>
      <c r="P85" s="160"/>
    </row>
    <row r="86" spans="1:16" ht="19.5" customHeight="1">
      <c r="A86" s="151"/>
      <c r="B86" s="151">
        <v>0</v>
      </c>
      <c r="C86" s="152" t="str">
        <f>IFERROR(INDEX(اطلاعات_پرسنل!$D$4:$D$59,MATCH(B86,اطلاعات_پرسنل!$A$4:$A$59,0)),"")</f>
        <v xml:space="preserve">فروشگاه </v>
      </c>
      <c r="D86" s="151"/>
      <c r="E86" s="151"/>
      <c r="F86" s="153">
        <f>IFERROR(SUMIFS(لاگ_فاکتور!$V$3:$V$1622,لاگ_فاکتور!$B$3:$B$1622,A86,لاگ_فاکتور!$C$3:$C$1622,B86),0)</f>
        <v>0</v>
      </c>
      <c r="G86" s="154">
        <f>IFERROR(SUMIFS(لاگ_فاکتور!$O$3:$O$1622,لاگ_فاکتور!$B$3:$B$1622,A86,لاگ_فاکتور!$C$3:$C$1622,B86),0)</f>
        <v>0</v>
      </c>
      <c r="H86" s="155">
        <f>IFERROR(SUMIFS(لاگ_فاکتور!$N$3:$N$1622,لاگ_فاکتور!$B$3:$B$1622,A86,لاگ_فاکتور!$C$3:$C$1622,B86),0)</f>
        <v>0</v>
      </c>
      <c r="I86" s="156">
        <v>0</v>
      </c>
      <c r="J86" s="156">
        <v>0</v>
      </c>
      <c r="K86" s="157">
        <f t="shared" si="4"/>
        <v>0</v>
      </c>
      <c r="L86" s="155">
        <f t="shared" si="5"/>
        <v>0</v>
      </c>
      <c r="M86" s="158">
        <f>IFERROR(SUMIFS(لاگ_فاکتور!$L$3:$L$1622,لاگ_فاکتور!$B$3:$B$1622,A86,لاگ_فاکتور!$C$3:$C$1622,B86)/F86,0)</f>
        <v>0</v>
      </c>
      <c r="N86" s="159">
        <v>0</v>
      </c>
      <c r="O86" s="102"/>
      <c r="P86" s="160"/>
    </row>
    <row r="87" spans="1:16" ht="19.5" customHeight="1">
      <c r="A87" s="151"/>
      <c r="B87" s="151">
        <v>1</v>
      </c>
      <c r="C87" s="152" t="str">
        <f>IFERROR(INDEX(اطلاعات_پرسنل!$D$4:$D$59,MATCH(B87,اطلاعات_پرسنل!$A$4:$A$59,0)),"")</f>
        <v>دریا کریمی</v>
      </c>
      <c r="D87" s="151"/>
      <c r="E87" s="151"/>
      <c r="F87" s="153">
        <f>IFERROR(SUMIFS(لاگ_فاکتور!$V$3:$V$1622,لاگ_فاکتور!$B$3:$B$1622,A87,لاگ_فاکتور!$C$3:$C$1622,B87),0)</f>
        <v>0</v>
      </c>
      <c r="G87" s="154">
        <f>IFERROR(SUMIFS(لاگ_فاکتور!$O$3:$O$1622,لاگ_فاکتور!$B$3:$B$1622,A87,لاگ_فاکتور!$C$3:$C$1622,B87),0)</f>
        <v>0</v>
      </c>
      <c r="H87" s="155">
        <f>IFERROR(SUMIFS(لاگ_فاکتور!$N$3:$N$1622,لاگ_فاکتور!$B$3:$B$1622,A87,لاگ_فاکتور!$C$3:$C$1622,B87),0)</f>
        <v>0</v>
      </c>
      <c r="I87" s="156">
        <v>0</v>
      </c>
      <c r="J87" s="156">
        <v>0</v>
      </c>
      <c r="K87" s="157">
        <f t="shared" si="4"/>
        <v>0</v>
      </c>
      <c r="L87" s="155">
        <f t="shared" si="5"/>
        <v>0</v>
      </c>
      <c r="M87" s="158">
        <f>IFERROR(SUMIFS(لاگ_فاکتور!$L$3:$L$1622,لاگ_فاکتور!$B$3:$B$1622,A87,لاگ_فاکتور!$C$3:$C$1622,B87)/F87,0)</f>
        <v>0</v>
      </c>
      <c r="N87" s="159">
        <v>0</v>
      </c>
      <c r="O87" s="102"/>
      <c r="P87" s="160"/>
    </row>
    <row r="88" spans="1:16" ht="19.5" customHeight="1">
      <c r="A88" s="151"/>
      <c r="B88" s="151">
        <v>2</v>
      </c>
      <c r="C88" s="152" t="str">
        <f>IFERROR(INDEX(اطلاعات_پرسنل!$D$4:$D$59,MATCH(B88,اطلاعات_پرسنل!$A$4:$A$59,0)),"")</f>
        <v>ماحی حمیدپور</v>
      </c>
      <c r="D88" s="151"/>
      <c r="E88" s="151"/>
      <c r="F88" s="153">
        <f>IFERROR(SUMIFS(لاگ_فاکتور!$V$3:$V$1622,لاگ_فاکتور!$B$3:$B$1622,A88,لاگ_فاکتور!$C$3:$C$1622,B88),0)</f>
        <v>0</v>
      </c>
      <c r="G88" s="154">
        <f>IFERROR(SUMIFS(لاگ_فاکتور!$O$3:$O$1622,لاگ_فاکتور!$B$3:$B$1622,A88,لاگ_فاکتور!$C$3:$C$1622,B88),0)</f>
        <v>0</v>
      </c>
      <c r="H88" s="155">
        <f>IFERROR(SUMIFS(لاگ_فاکتور!$N$3:$N$1622,لاگ_فاکتور!$B$3:$B$1622,A88,لاگ_فاکتور!$C$3:$C$1622,B88),0)</f>
        <v>0</v>
      </c>
      <c r="I88" s="156">
        <v>0</v>
      </c>
      <c r="J88" s="156">
        <v>0</v>
      </c>
      <c r="K88" s="157">
        <f t="shared" si="4"/>
        <v>0</v>
      </c>
      <c r="L88" s="155">
        <f t="shared" si="5"/>
        <v>0</v>
      </c>
      <c r="M88" s="158">
        <f>IFERROR(SUMIFS(لاگ_فاکتور!$L$3:$L$1622,لاگ_فاکتور!$B$3:$B$1622,A88,لاگ_فاکتور!$C$3:$C$1622,B88)/F88,0)</f>
        <v>0</v>
      </c>
      <c r="N88" s="159">
        <v>0</v>
      </c>
      <c r="O88" s="102"/>
      <c r="P88" s="160"/>
    </row>
    <row r="89" spans="1:16" ht="19.5" customHeight="1">
      <c r="A89" s="151"/>
      <c r="B89" s="151">
        <v>1</v>
      </c>
      <c r="C89" s="152" t="str">
        <f>IFERROR(INDEX(اطلاعات_پرسنل!$D$4:$D$59,MATCH(B89,اطلاعات_پرسنل!$A$4:$A$59,0)),"")</f>
        <v>دریا کریمی</v>
      </c>
      <c r="D89" s="151"/>
      <c r="E89" s="151"/>
      <c r="F89" s="153">
        <f>IFERROR(SUMIFS(لاگ_فاکتور!$V$3:$V$1622,لاگ_فاکتور!$B$3:$B$1622,A89,لاگ_فاکتور!$C$3:$C$1622,B89),0)</f>
        <v>0</v>
      </c>
      <c r="G89" s="154">
        <f>IFERROR(SUMIFS(لاگ_فاکتور!$O$3:$O$1622,لاگ_فاکتور!$B$3:$B$1622,A89,لاگ_فاکتور!$C$3:$C$1622,B89),0)</f>
        <v>0</v>
      </c>
      <c r="H89" s="155">
        <f>IFERROR(SUMIFS(لاگ_فاکتور!$N$3:$N$1622,لاگ_فاکتور!$B$3:$B$1622,A89,لاگ_فاکتور!$C$3:$C$1622,B89),0)</f>
        <v>0</v>
      </c>
      <c r="I89" s="156">
        <v>0</v>
      </c>
      <c r="J89" s="156">
        <v>0</v>
      </c>
      <c r="K89" s="157">
        <f t="shared" si="4"/>
        <v>0</v>
      </c>
      <c r="L89" s="155">
        <f t="shared" si="5"/>
        <v>0</v>
      </c>
      <c r="M89" s="158">
        <f>IFERROR(SUMIFS(لاگ_فاکتور!$L$3:$L$1622,لاگ_فاکتور!$B$3:$B$1622,A89,لاگ_فاکتور!$C$3:$C$1622,B89)/F89,0)</f>
        <v>0</v>
      </c>
      <c r="N89" s="159">
        <v>0</v>
      </c>
      <c r="O89" s="102"/>
      <c r="P89" s="160"/>
    </row>
    <row r="90" spans="1:16" ht="19.5" customHeight="1">
      <c r="A90" s="151"/>
      <c r="B90" s="151">
        <v>2</v>
      </c>
      <c r="C90" s="152" t="str">
        <f>IFERROR(INDEX(اطلاعات_پرسنل!$D$4:$D$59,MATCH(B90,اطلاعات_پرسنل!$A$4:$A$59,0)),"")</f>
        <v>ماحی حمیدپور</v>
      </c>
      <c r="D90" s="151"/>
      <c r="E90" s="151"/>
      <c r="F90" s="153">
        <f>IFERROR(SUMIFS(لاگ_فاکتور!$V$3:$V$1622,لاگ_فاکتور!$B$3:$B$1622,A90,لاگ_فاکتور!$C$3:$C$1622,B90),0)</f>
        <v>0</v>
      </c>
      <c r="G90" s="154">
        <f>IFERROR(SUMIFS(لاگ_فاکتور!$O$3:$O$1622,لاگ_فاکتور!$B$3:$B$1622,A90,لاگ_فاکتور!$C$3:$C$1622,B90),0)</f>
        <v>0</v>
      </c>
      <c r="H90" s="155">
        <f>IFERROR(SUMIFS(لاگ_فاکتور!$N$3:$N$1622,لاگ_فاکتور!$B$3:$B$1622,A90,لاگ_فاکتور!$C$3:$C$1622,B90),0)</f>
        <v>0</v>
      </c>
      <c r="I90" s="156">
        <v>0</v>
      </c>
      <c r="J90" s="156">
        <v>0</v>
      </c>
      <c r="K90" s="157">
        <f t="shared" si="4"/>
        <v>0</v>
      </c>
      <c r="L90" s="155">
        <f t="shared" si="5"/>
        <v>0</v>
      </c>
      <c r="M90" s="158">
        <f>IFERROR(SUMIFS(لاگ_فاکتور!$L$3:$L$1622,لاگ_فاکتور!$B$3:$B$1622,A90,لاگ_فاکتور!$C$3:$C$1622,B90)/F90,0)</f>
        <v>0</v>
      </c>
      <c r="N90" s="159">
        <v>0</v>
      </c>
      <c r="O90" s="102"/>
      <c r="P90" s="160"/>
    </row>
    <row r="91" spans="1:16" ht="19.5" customHeight="1">
      <c r="C91" s="149" t="str">
        <f>IFERROR(INDEX(اطلاعات_پرسنل!$D$4:$D$59,MATCH(B91,اطلاعات_پرسنل!$A$4:$A$59,0)),"")</f>
        <v xml:space="preserve">فروشگاه </v>
      </c>
      <c r="F91" s="9">
        <f>IFERROR(SUMIFS(لاگ_فاکتور!$V$3:$V$1622,لاگ_فاکتور!$B$3:$B$1622,A91,لاگ_فاکتور!$C$3:$C$1622,B91),0)</f>
        <v>0</v>
      </c>
      <c r="G91" s="5">
        <f>IFERROR(SUMIFS(لاگ_فاکتور!$O$3:$O$1622,لاگ_فاکتور!$B$3:$B$1622,A91,لاگ_فاکتور!$C$3:$C$1622,B91),0)</f>
        <v>0</v>
      </c>
      <c r="H91" s="4">
        <f>IFERROR(SUMIFS(لاگ_فاکتور!$N$3:$N$1622,لاگ_فاکتور!$B$3:$B$1622,A91,لاگ_فاکتور!$C$3:$C$1622,B91),0)</f>
        <v>0</v>
      </c>
      <c r="I91" s="6">
        <v>0</v>
      </c>
      <c r="J91" s="6">
        <v>0</v>
      </c>
      <c r="K91" s="13">
        <f t="shared" si="4"/>
        <v>0</v>
      </c>
      <c r="L91" s="4">
        <f t="shared" si="5"/>
        <v>0</v>
      </c>
      <c r="M91" s="14">
        <f>IFERROR(SUMIFS(لاگ_فاکتور!$L$3:$L$1622,لاگ_فاکتور!$B$3:$B$1622,A91,لاگ_فاکتور!$C$3:$C$1622,B91)/F91,0)</f>
        <v>0</v>
      </c>
      <c r="N91" s="65">
        <v>0</v>
      </c>
      <c r="O91" s="60"/>
      <c r="P91" s="69"/>
    </row>
    <row r="92" spans="1:16" ht="19.5" customHeight="1">
      <c r="C92" s="150" t="str">
        <f>IFERROR(INDEX(اطلاعات_پرسنل!$D$4:$D$59,MATCH(B92,اطلاعات_پرسنل!$A$4:$A$59,0)),"")</f>
        <v xml:space="preserve">فروشگاه </v>
      </c>
      <c r="F92" s="9">
        <f>IFERROR(SUMIFS(لاگ_فاکتور!$V$3:$V$1622,لاگ_فاکتور!$B$3:$B$1622,A92,لاگ_فاکتور!$C$3:$C$1622,B92),0)</f>
        <v>0</v>
      </c>
      <c r="G92" s="5">
        <f>IFERROR(SUMIFS(لاگ_فاکتور!$O$3:$O$1622,لاگ_فاکتور!$B$3:$B$1622,A92,لاگ_فاکتور!$C$3:$C$1622,B92),0)</f>
        <v>0</v>
      </c>
      <c r="H92" s="4">
        <f>IFERROR(SUMIFS(لاگ_فاکتور!$N$3:$N$1622,لاگ_فاکتور!$B$3:$B$1622,A92,لاگ_فاکتور!$C$3:$C$1622,B92),0)</f>
        <v>0</v>
      </c>
      <c r="I92" s="6">
        <v>0</v>
      </c>
      <c r="J92" s="6">
        <v>0</v>
      </c>
      <c r="K92" s="13">
        <f t="shared" si="4"/>
        <v>0</v>
      </c>
      <c r="L92" s="4">
        <f t="shared" si="5"/>
        <v>0</v>
      </c>
      <c r="M92" s="14">
        <f>IFERROR(SUMIFS(لاگ_فاکتور!$L$3:$L$1622,لاگ_فاکتور!$B$3:$B$1622,A92,لاگ_فاکتور!$C$3:$C$1622,B92)/F92,0)</f>
        <v>0</v>
      </c>
      <c r="N92" s="65">
        <v>0</v>
      </c>
      <c r="O92" s="60"/>
      <c r="P92" s="69"/>
    </row>
    <row r="93" spans="1:16" ht="19.5" customHeight="1">
      <c r="C93" s="150" t="str">
        <f>IFERROR(INDEX(اطلاعات_پرسنل!$D$4:$D$59,MATCH(B93,اطلاعات_پرسنل!$A$4:$A$59,0)),"")</f>
        <v xml:space="preserve">فروشگاه </v>
      </c>
      <c r="F93" s="9">
        <f>IFERROR(SUMIFS(لاگ_فاکتور!$V$3:$V$1622,لاگ_فاکتور!$B$3:$B$1622,A93,لاگ_فاکتور!$C$3:$C$1622,B93),0)</f>
        <v>0</v>
      </c>
      <c r="G93" s="5">
        <f>IFERROR(SUMIFS(لاگ_فاکتور!$O$3:$O$1622,لاگ_فاکتور!$B$3:$B$1622,A93,لاگ_فاکتور!$C$3:$C$1622,B93),0)</f>
        <v>0</v>
      </c>
      <c r="H93" s="4">
        <f>IFERROR(SUMIFS(لاگ_فاکتور!$N$3:$N$1622,لاگ_فاکتور!$B$3:$B$1622,A93,لاگ_فاکتور!$C$3:$C$1622,B93),0)</f>
        <v>0</v>
      </c>
      <c r="I93" s="6">
        <v>0</v>
      </c>
      <c r="J93" s="6">
        <v>0</v>
      </c>
      <c r="K93" s="13">
        <f t="shared" si="4"/>
        <v>0</v>
      </c>
      <c r="L93" s="4">
        <f t="shared" si="5"/>
        <v>0</v>
      </c>
      <c r="M93" s="14">
        <f>IFERROR(SUMIFS(لاگ_فاکتور!$L$3:$L$1622,لاگ_فاکتور!$B$3:$B$1622,A93,لاگ_فاکتور!$C$3:$C$1622,B93)/F93,0)</f>
        <v>0</v>
      </c>
      <c r="N93" s="65">
        <v>0</v>
      </c>
      <c r="O93" s="60"/>
      <c r="P93" s="69"/>
    </row>
    <row r="94" spans="1:16" ht="19.5" customHeight="1">
      <c r="C94" s="150" t="str">
        <f>IFERROR(INDEX(اطلاعات_پرسنل!$D$4:$D$59,MATCH(B94,اطلاعات_پرسنل!$A$4:$A$59,0)),"")</f>
        <v xml:space="preserve">فروشگاه </v>
      </c>
      <c r="F94" s="9">
        <f>IFERROR(SUMIFS(لاگ_فاکتور!$V$3:$V$1622,لاگ_فاکتور!$B$3:$B$1622,A94,لاگ_فاکتور!$C$3:$C$1622,B94),0)</f>
        <v>0</v>
      </c>
      <c r="G94" s="5">
        <f>IFERROR(SUMIFS(لاگ_فاکتور!$O$3:$O$1622,لاگ_فاکتور!$B$3:$B$1622,A94,لاگ_فاکتور!$C$3:$C$1622,B94),0)</f>
        <v>0</v>
      </c>
      <c r="H94" s="4">
        <f>IFERROR(SUMIFS(لاگ_فاکتور!$N$3:$N$1622,لاگ_فاکتور!$B$3:$B$1622,A94,لاگ_فاکتور!$C$3:$C$1622,B94),0)</f>
        <v>0</v>
      </c>
      <c r="I94" s="6">
        <v>0</v>
      </c>
      <c r="J94" s="6">
        <v>0</v>
      </c>
      <c r="K94" s="13">
        <f t="shared" si="4"/>
        <v>0</v>
      </c>
      <c r="L94" s="4">
        <f t="shared" si="5"/>
        <v>0</v>
      </c>
      <c r="M94" s="14">
        <f>IFERROR(SUMIFS(لاگ_فاکتور!$L$3:$L$1622,لاگ_فاکتور!$B$3:$B$1622,A94,لاگ_فاکتور!$C$3:$C$1622,B94)/F94,0)</f>
        <v>0</v>
      </c>
      <c r="N94" s="65">
        <v>0</v>
      </c>
      <c r="O94" s="60"/>
      <c r="P94" s="69"/>
    </row>
    <row r="95" spans="1:16" ht="19.5" customHeight="1">
      <c r="C95" s="150" t="str">
        <f>IFERROR(INDEX(اطلاعات_پرسنل!$D$4:$D$59,MATCH(B95,اطلاعات_پرسنل!$A$4:$A$59,0)),"")</f>
        <v xml:space="preserve">فروشگاه </v>
      </c>
      <c r="F95" s="9">
        <f>IFERROR(SUMIFS(لاگ_فاکتور!$V$3:$V$1622,لاگ_فاکتور!$B$3:$B$1622,A95,لاگ_فاکتور!$C$3:$C$1622,B95),0)</f>
        <v>0</v>
      </c>
      <c r="G95" s="5">
        <f>IFERROR(SUMIFS(لاگ_فاکتور!$O$3:$O$1622,لاگ_فاکتور!$B$3:$B$1622,A95,لاگ_فاکتور!$C$3:$C$1622,B95),0)</f>
        <v>0</v>
      </c>
      <c r="H95" s="4">
        <f>IFERROR(SUMIFS(لاگ_فاکتور!$N$3:$N$1622,لاگ_فاکتور!$B$3:$B$1622,A95,لاگ_فاکتور!$C$3:$C$1622,B95),0)</f>
        <v>0</v>
      </c>
      <c r="I95" s="6">
        <v>0</v>
      </c>
      <c r="J95" s="6">
        <v>0</v>
      </c>
      <c r="K95" s="13">
        <f t="shared" si="4"/>
        <v>0</v>
      </c>
      <c r="L95" s="4">
        <f t="shared" si="5"/>
        <v>0</v>
      </c>
      <c r="M95" s="14">
        <f>IFERROR(SUMIFS(لاگ_فاکتور!$L$3:$L$1622,لاگ_فاکتور!$B$3:$B$1622,A95,لاگ_فاکتور!$C$3:$C$1622,B95)/F95,0)</f>
        <v>0</v>
      </c>
      <c r="N95" s="65">
        <v>0</v>
      </c>
      <c r="O95" s="60"/>
      <c r="P95" s="69"/>
    </row>
    <row r="96" spans="1:16" ht="19.5" customHeight="1">
      <c r="C96" s="150" t="str">
        <f>IFERROR(INDEX(اطلاعات_پرسنل!$D$4:$D$59,MATCH(B96,اطلاعات_پرسنل!$A$4:$A$59,0)),"")</f>
        <v xml:space="preserve">فروشگاه </v>
      </c>
      <c r="F96" s="9">
        <f>IFERROR(SUMIFS(لاگ_فاکتور!$V$3:$V$1622,لاگ_فاکتور!$B$3:$B$1622,A96,لاگ_فاکتور!$C$3:$C$1622,B96),0)</f>
        <v>0</v>
      </c>
      <c r="G96" s="5">
        <f>IFERROR(SUMIFS(لاگ_فاکتور!$O$3:$O$1622,لاگ_فاکتور!$B$3:$B$1622,A96,لاگ_فاکتور!$C$3:$C$1622,B96),0)</f>
        <v>0</v>
      </c>
      <c r="H96" s="4">
        <f>IFERROR(SUMIFS(لاگ_فاکتور!$N$3:$N$1622,لاگ_فاکتور!$B$3:$B$1622,A96,لاگ_فاکتور!$C$3:$C$1622,B96),0)</f>
        <v>0</v>
      </c>
      <c r="I96" s="6">
        <v>0</v>
      </c>
      <c r="J96" s="6">
        <v>0</v>
      </c>
      <c r="K96" s="13">
        <f t="shared" si="4"/>
        <v>0</v>
      </c>
      <c r="L96" s="4">
        <f t="shared" si="5"/>
        <v>0</v>
      </c>
      <c r="M96" s="14">
        <f>IFERROR(SUMIFS(لاگ_فاکتور!$L$3:$L$1622,لاگ_فاکتور!$B$3:$B$1622,A96,لاگ_فاکتور!$C$3:$C$1622,B96)/F96,0)</f>
        <v>0</v>
      </c>
      <c r="N96" s="65">
        <v>0</v>
      </c>
      <c r="O96" s="60"/>
      <c r="P96" s="69"/>
    </row>
    <row r="97" spans="3:16" ht="19.5" customHeight="1">
      <c r="C97" s="150" t="str">
        <f>IFERROR(INDEX(اطلاعات_پرسنل!$D$4:$D$59,MATCH(B97,اطلاعات_پرسنل!$A$4:$A$59,0)),"")</f>
        <v xml:space="preserve">فروشگاه </v>
      </c>
      <c r="F97" s="9">
        <f>IFERROR(SUMIFS(لاگ_فاکتور!$V$3:$V$1622,لاگ_فاکتور!$B$3:$B$1622,A97,لاگ_فاکتور!$C$3:$C$1622,B97),0)</f>
        <v>0</v>
      </c>
      <c r="G97" s="5">
        <f>IFERROR(SUMIFS(لاگ_فاکتور!$O$3:$O$1622,لاگ_فاکتور!$B$3:$B$1622,A97,لاگ_فاکتور!$C$3:$C$1622,B97),0)</f>
        <v>0</v>
      </c>
      <c r="H97" s="4">
        <f>IFERROR(SUMIFS(لاگ_فاکتور!$N$3:$N$1622,لاگ_فاکتور!$B$3:$B$1622,A97,لاگ_فاکتور!$C$3:$C$1622,B97),0)</f>
        <v>0</v>
      </c>
      <c r="I97" s="6">
        <v>0</v>
      </c>
      <c r="J97" s="6">
        <v>0</v>
      </c>
      <c r="K97" s="13">
        <f t="shared" si="4"/>
        <v>0</v>
      </c>
      <c r="L97" s="4">
        <f t="shared" si="5"/>
        <v>0</v>
      </c>
      <c r="M97" s="14">
        <f>IFERROR(SUMIFS(لاگ_فاکتور!$L$3:$L$1622,لاگ_فاکتور!$B$3:$B$1622,A97,لاگ_فاکتور!$C$3:$C$1622,B97)/F97,0)</f>
        <v>0</v>
      </c>
      <c r="N97" s="65">
        <v>0</v>
      </c>
      <c r="O97" s="60"/>
      <c r="P97" s="69"/>
    </row>
    <row r="98" spans="3:16" ht="19.5" customHeight="1">
      <c r="C98" s="150" t="str">
        <f>IFERROR(INDEX(اطلاعات_پرسنل!$D$4:$D$59,MATCH(B98,اطلاعات_پرسنل!$A$4:$A$59,0)),"")</f>
        <v xml:space="preserve">فروشگاه </v>
      </c>
      <c r="F98" s="9">
        <f>IFERROR(SUMIFS(لاگ_فاکتور!$V$3:$V$1622,لاگ_فاکتور!$B$3:$B$1622,A98,لاگ_فاکتور!$C$3:$C$1622,B98),0)</f>
        <v>0</v>
      </c>
      <c r="G98" s="5">
        <f>IFERROR(SUMIFS(لاگ_فاکتور!$O$3:$O$1622,لاگ_فاکتور!$B$3:$B$1622,A98,لاگ_فاکتور!$C$3:$C$1622,B98),0)</f>
        <v>0</v>
      </c>
      <c r="H98" s="4">
        <f>IFERROR(SUMIFS(لاگ_فاکتور!$N$3:$N$1622,لاگ_فاکتور!$B$3:$B$1622,A98,لاگ_فاکتور!$C$3:$C$1622,B98),0)</f>
        <v>0</v>
      </c>
      <c r="I98" s="6">
        <v>0</v>
      </c>
      <c r="J98" s="6">
        <v>0</v>
      </c>
      <c r="K98" s="13">
        <f t="shared" si="4"/>
        <v>0</v>
      </c>
      <c r="L98" s="4">
        <f t="shared" si="5"/>
        <v>0</v>
      </c>
      <c r="M98" s="14">
        <f>IFERROR(SUMIFS(لاگ_فاکتور!$L$3:$L$1622,لاگ_فاکتور!$B$3:$B$1622,A98,لاگ_فاکتور!$C$3:$C$1622,B98)/F98,0)</f>
        <v>0</v>
      </c>
      <c r="N98" s="65">
        <v>0</v>
      </c>
      <c r="O98" s="60"/>
      <c r="P98" s="69"/>
    </row>
    <row r="99" spans="3:16" ht="19.5" customHeight="1">
      <c r="C99" s="150" t="str">
        <f>IFERROR(INDEX(اطلاعات_پرسنل!$D$4:$D$59,MATCH(B99,اطلاعات_پرسنل!$A$4:$A$59,0)),"")</f>
        <v xml:space="preserve">فروشگاه </v>
      </c>
      <c r="F99" s="9">
        <f>IFERROR(SUMIFS(لاگ_فاکتور!$V$3:$V$1622,لاگ_فاکتور!$B$3:$B$1622,A99,لاگ_فاکتور!$C$3:$C$1622,B99),0)</f>
        <v>0</v>
      </c>
      <c r="G99" s="5">
        <f>IFERROR(SUMIFS(لاگ_فاکتور!$O$3:$O$1622,لاگ_فاکتور!$B$3:$B$1622,A99,لاگ_فاکتور!$C$3:$C$1622,B99),0)</f>
        <v>0</v>
      </c>
      <c r="H99" s="4">
        <f>IFERROR(SUMIFS(لاگ_فاکتور!$N$3:$N$1622,لاگ_فاکتور!$B$3:$B$1622,A99,لاگ_فاکتور!$C$3:$C$1622,B99),0)</f>
        <v>0</v>
      </c>
      <c r="I99" s="6">
        <v>0</v>
      </c>
      <c r="J99" s="6">
        <v>0</v>
      </c>
      <c r="K99" s="13">
        <f t="shared" si="4"/>
        <v>0</v>
      </c>
      <c r="L99" s="4">
        <f t="shared" si="5"/>
        <v>0</v>
      </c>
      <c r="M99" s="14">
        <f>IFERROR(SUMIFS(لاگ_فاکتور!$L$3:$L$1622,لاگ_فاکتور!$B$3:$B$1622,A99,لاگ_فاکتور!$C$3:$C$1622,B99)/F99,0)</f>
        <v>0</v>
      </c>
      <c r="N99" s="65">
        <v>0</v>
      </c>
      <c r="O99" s="60"/>
      <c r="P99" s="69"/>
    </row>
    <row r="100" spans="3:16" ht="19.5" customHeight="1">
      <c r="C100" s="150" t="str">
        <f>IFERROR(INDEX(اطلاعات_پرسنل!$D$4:$D$59,MATCH(B100,اطلاعات_پرسنل!$A$4:$A$59,0)),"")</f>
        <v xml:space="preserve">فروشگاه </v>
      </c>
      <c r="F100" s="9">
        <f>IFERROR(SUMIFS(لاگ_فاکتور!$V$3:$V$1622,لاگ_فاکتور!$B$3:$B$1622,A100,لاگ_فاکتور!$C$3:$C$1622,B100),0)</f>
        <v>0</v>
      </c>
      <c r="G100" s="5">
        <f>IFERROR(SUMIFS(لاگ_فاکتور!$O$3:$O$1622,لاگ_فاکتور!$B$3:$B$1622,A100,لاگ_فاکتور!$C$3:$C$1622,B100),0)</f>
        <v>0</v>
      </c>
      <c r="H100" s="4">
        <f>IFERROR(SUMIFS(لاگ_فاکتور!$N$3:$N$1622,لاگ_فاکتور!$B$3:$B$1622,A100,لاگ_فاکتور!$C$3:$C$1622,B100),0)</f>
        <v>0</v>
      </c>
      <c r="I100" s="6">
        <v>0</v>
      </c>
      <c r="J100" s="6">
        <v>0</v>
      </c>
      <c r="K100" s="13">
        <f t="shared" si="4"/>
        <v>0</v>
      </c>
      <c r="L100" s="4">
        <f t="shared" si="5"/>
        <v>0</v>
      </c>
      <c r="M100" s="14">
        <f>IFERROR(SUMIFS(لاگ_فاکتور!$L$3:$L$1622,لاگ_فاکتور!$B$3:$B$1622,A100,لاگ_فاکتور!$C$3:$C$1622,B100)/F100,0)</f>
        <v>0</v>
      </c>
      <c r="N100" s="65">
        <v>0</v>
      </c>
      <c r="O100" s="60"/>
      <c r="P100" s="69"/>
    </row>
    <row r="101" spans="3:16" ht="19.5" customHeight="1">
      <c r="C101" s="150" t="str">
        <f>IFERROR(INDEX(اطلاعات_پرسنل!$D$4:$D$59,MATCH(B101,اطلاعات_پرسنل!$A$4:$A$59,0)),"")</f>
        <v xml:space="preserve">فروشگاه </v>
      </c>
      <c r="F101" s="9">
        <f>IFERROR(SUMIFS(لاگ_فاکتور!$V$3:$V$1622,لاگ_فاکتور!$B$3:$B$1622,A101,لاگ_فاکتور!$C$3:$C$1622,B101),0)</f>
        <v>0</v>
      </c>
      <c r="G101" s="5">
        <f>IFERROR(SUMIFS(لاگ_فاکتور!$O$3:$O$1622,لاگ_فاکتور!$B$3:$B$1622,A101,لاگ_فاکتور!$C$3:$C$1622,B101),0)</f>
        <v>0</v>
      </c>
      <c r="H101" s="4">
        <f>IFERROR(SUMIFS(لاگ_فاکتور!$N$3:$N$1622,لاگ_فاکتور!$B$3:$B$1622,A101,لاگ_فاکتور!$C$3:$C$1622,B101),0)</f>
        <v>0</v>
      </c>
      <c r="I101" s="6">
        <v>0</v>
      </c>
      <c r="J101" s="6">
        <v>0</v>
      </c>
      <c r="K101" s="13">
        <f t="shared" si="4"/>
        <v>0</v>
      </c>
      <c r="L101" s="4">
        <f t="shared" si="5"/>
        <v>0</v>
      </c>
      <c r="M101" s="14">
        <f>IFERROR(SUMIFS(لاگ_فاکتور!$L$3:$L$1622,لاگ_فاکتور!$B$3:$B$1622,A101,لاگ_فاکتور!$C$3:$C$1622,B101)/F101,0)</f>
        <v>0</v>
      </c>
      <c r="N101" s="65">
        <v>0</v>
      </c>
      <c r="O101" s="60"/>
      <c r="P101" s="69"/>
    </row>
    <row r="102" spans="3:16" ht="19.5" customHeight="1">
      <c r="C102" s="150" t="str">
        <f>IFERROR(INDEX(اطلاعات_پرسنل!$D$4:$D$59,MATCH(B102,اطلاعات_پرسنل!$A$4:$A$59,0)),"")</f>
        <v xml:space="preserve">فروشگاه </v>
      </c>
      <c r="F102" s="9">
        <f>IFERROR(SUMIFS(لاگ_فاکتور!$V$3:$V$1622,لاگ_فاکتور!$B$3:$B$1622,A102,لاگ_فاکتور!$C$3:$C$1622,B102),0)</f>
        <v>0</v>
      </c>
      <c r="G102" s="5">
        <f>IFERROR(SUMIFS(لاگ_فاکتور!$O$3:$O$1622,لاگ_فاکتور!$B$3:$B$1622,A102,لاگ_فاکتور!$C$3:$C$1622,B102),0)</f>
        <v>0</v>
      </c>
      <c r="H102" s="4">
        <f>IFERROR(SUMIFS(لاگ_فاکتور!$N$3:$N$1622,لاگ_فاکتور!$B$3:$B$1622,A102,لاگ_فاکتور!$C$3:$C$1622,B102),0)</f>
        <v>0</v>
      </c>
      <c r="I102" s="6">
        <v>0</v>
      </c>
      <c r="J102" s="6">
        <v>0</v>
      </c>
      <c r="K102" s="13">
        <f t="shared" si="4"/>
        <v>0</v>
      </c>
      <c r="L102" s="4">
        <f t="shared" si="5"/>
        <v>0</v>
      </c>
      <c r="M102" s="14">
        <f>IFERROR(SUMIFS(لاگ_فاکتور!$L$3:$L$1622,لاگ_فاکتور!$B$3:$B$1622,A102,لاگ_فاکتور!$C$3:$C$1622,B102)/F102,0)</f>
        <v>0</v>
      </c>
      <c r="N102" s="65">
        <v>0</v>
      </c>
      <c r="O102" s="60"/>
      <c r="P102" s="69"/>
    </row>
    <row r="103" spans="3:16" ht="19.5" customHeight="1">
      <c r="C103" s="150" t="str">
        <f>IFERROR(INDEX(اطلاعات_پرسنل!$D$4:$D$59,MATCH(B103,اطلاعات_پرسنل!$A$4:$A$59,0)),"")</f>
        <v xml:space="preserve">فروشگاه </v>
      </c>
      <c r="F103" s="9">
        <f>IFERROR(SUMIFS(لاگ_فاکتور!$V$3:$V$1622,لاگ_فاکتور!$B$3:$B$1622,A103,لاگ_فاکتور!$C$3:$C$1622,B103),0)</f>
        <v>0</v>
      </c>
      <c r="G103" s="5">
        <f>IFERROR(SUMIFS(لاگ_فاکتور!$O$3:$O$1622,لاگ_فاکتور!$B$3:$B$1622,A103,لاگ_فاکتور!$C$3:$C$1622,B103),0)</f>
        <v>0</v>
      </c>
      <c r="H103" s="4">
        <f>IFERROR(SUMIFS(لاگ_فاکتور!$N$3:$N$1622,لاگ_فاکتور!$B$3:$B$1622,A103,لاگ_فاکتور!$C$3:$C$1622,B103),0)</f>
        <v>0</v>
      </c>
      <c r="I103" s="6">
        <v>0</v>
      </c>
      <c r="J103" s="6">
        <v>0</v>
      </c>
      <c r="K103" s="13">
        <f t="shared" si="4"/>
        <v>0</v>
      </c>
      <c r="L103" s="4">
        <f t="shared" si="5"/>
        <v>0</v>
      </c>
      <c r="M103" s="14">
        <f>IFERROR(SUMIFS(لاگ_فاکتور!$L$3:$L$1622,لاگ_فاکتور!$B$3:$B$1622,A103,لاگ_فاکتور!$C$3:$C$1622,B103)/F103,0)</f>
        <v>0</v>
      </c>
      <c r="N103" s="65">
        <v>0</v>
      </c>
      <c r="O103" s="60"/>
      <c r="P103" s="69"/>
    </row>
    <row r="104" spans="3:16" ht="19.5" customHeight="1">
      <c r="C104" s="150" t="str">
        <f>IFERROR(INDEX(اطلاعات_پرسنل!$D$4:$D$59,MATCH(B104,اطلاعات_پرسنل!$A$4:$A$59,0)),"")</f>
        <v xml:space="preserve">فروشگاه </v>
      </c>
      <c r="F104" s="9">
        <f>IFERROR(SUMIFS(لاگ_فاکتور!$V$3:$V$1622,لاگ_فاکتور!$B$3:$B$1622,A104,لاگ_فاکتور!$C$3:$C$1622,B104),0)</f>
        <v>0</v>
      </c>
      <c r="G104" s="5">
        <f>IFERROR(SUMIFS(لاگ_فاکتور!$O$3:$O$1622,لاگ_فاکتور!$B$3:$B$1622,A104,لاگ_فاکتور!$C$3:$C$1622,B104),0)</f>
        <v>0</v>
      </c>
      <c r="H104" s="4">
        <f>IFERROR(SUMIFS(لاگ_فاکتور!$N$3:$N$1622,لاگ_فاکتور!$B$3:$B$1622,A104,لاگ_فاکتور!$C$3:$C$1622,B104),0)</f>
        <v>0</v>
      </c>
      <c r="I104" s="6">
        <v>0</v>
      </c>
      <c r="J104" s="6">
        <v>0</v>
      </c>
      <c r="K104" s="13">
        <f t="shared" si="4"/>
        <v>0</v>
      </c>
      <c r="L104" s="4">
        <f t="shared" si="5"/>
        <v>0</v>
      </c>
      <c r="M104" s="14">
        <f>IFERROR(SUMIFS(لاگ_فاکتور!$L$3:$L$1622,لاگ_فاکتور!$B$3:$B$1622,A104,لاگ_فاکتور!$C$3:$C$1622,B104)/F104,0)</f>
        <v>0</v>
      </c>
      <c r="N104" s="65">
        <v>0</v>
      </c>
      <c r="O104" s="60"/>
      <c r="P104" s="69"/>
    </row>
    <row r="105" spans="3:16" ht="19.5" customHeight="1"/>
    <row r="106" spans="3:16" ht="19.5" customHeight="1"/>
    <row r="107" spans="3:16" ht="19.5" customHeight="1"/>
    <row r="108" spans="3:16" ht="19.5" customHeight="1"/>
    <row r="109" spans="3:16" ht="19.5" customHeight="1"/>
    <row r="110" spans="3:16" ht="19.5" customHeight="1"/>
    <row r="111" spans="3:16" ht="19.5" customHeight="1"/>
    <row r="112" spans="3:16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</sheetData>
  <mergeCells count="2">
    <mergeCell ref="A3:P3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D4AF37"/>
  </sheetPr>
  <dimension ref="A1:X59"/>
  <sheetViews>
    <sheetView topLeftCell="B1" zoomScale="50" zoomScaleNormal="50" workbookViewId="0">
      <selection activeCell="G10" sqref="G10"/>
    </sheetView>
  </sheetViews>
  <sheetFormatPr defaultColWidth="8.7109375" defaultRowHeight="15"/>
  <cols>
    <col min="1" max="1" width="3" hidden="1" customWidth="1"/>
    <col min="2" max="2" width="0.140625" customWidth="1"/>
    <col min="3" max="11" width="59.7109375" customWidth="1"/>
    <col min="12" max="13" width="0.140625" customWidth="1"/>
    <col min="14" max="24" width="14.7109375" customWidth="1"/>
  </cols>
  <sheetData>
    <row r="1" spans="2:24" ht="69.95" customHeight="1">
      <c r="B1" s="294" t="s">
        <v>205</v>
      </c>
      <c r="C1" s="294"/>
      <c r="D1" s="294"/>
      <c r="E1" s="294"/>
      <c r="F1" s="294"/>
      <c r="G1" s="294"/>
      <c r="H1" s="294"/>
      <c r="I1" s="294"/>
      <c r="J1" s="294"/>
      <c r="K1" s="294"/>
      <c r="L1" s="11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</row>
    <row r="2" spans="2:24" ht="69.95" customHeight="1"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11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</row>
    <row r="3" spans="2:24" ht="69.95" customHeight="1"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11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</row>
    <row r="4" spans="2:24" ht="69.75" customHeight="1">
      <c r="B4" s="299" t="s">
        <v>206</v>
      </c>
      <c r="C4" s="300"/>
      <c r="D4" s="300"/>
      <c r="E4" s="300"/>
      <c r="F4" s="300"/>
      <c r="G4" s="300"/>
      <c r="H4" s="300"/>
      <c r="I4" s="300"/>
      <c r="J4" s="300"/>
      <c r="K4" s="300"/>
      <c r="L4" s="118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</row>
    <row r="5" spans="2:24" ht="39.950000000000003" customHeight="1">
      <c r="D5" s="301"/>
      <c r="F5" s="301"/>
      <c r="H5" s="301"/>
      <c r="J5" s="301"/>
      <c r="L5" s="118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</row>
    <row r="6" spans="2:24" ht="0.75" customHeight="1">
      <c r="D6" s="301"/>
      <c r="F6" s="301"/>
      <c r="H6" s="301"/>
      <c r="J6" s="301"/>
      <c r="L6" s="118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</row>
    <row r="7" spans="2:24" ht="45" customHeight="1">
      <c r="C7" s="281" t="s">
        <v>1109</v>
      </c>
      <c r="D7" s="301"/>
      <c r="E7" s="281" t="s">
        <v>1108</v>
      </c>
      <c r="F7" s="301"/>
      <c r="G7" s="279" t="s">
        <v>1107</v>
      </c>
      <c r="H7" s="301"/>
      <c r="I7" s="283" t="s">
        <v>1110</v>
      </c>
      <c r="J7" s="301"/>
      <c r="K7" s="281" t="s">
        <v>1111</v>
      </c>
      <c r="L7" s="118"/>
      <c r="M7" s="118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</row>
    <row r="8" spans="2:24" ht="45" customHeight="1" thickBot="1">
      <c r="C8" s="282"/>
      <c r="D8" s="301"/>
      <c r="E8" s="282"/>
      <c r="F8" s="301"/>
      <c r="G8" s="280"/>
      <c r="H8" s="301"/>
      <c r="I8" s="284"/>
      <c r="J8" s="301"/>
      <c r="K8" s="282"/>
      <c r="L8" s="118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</row>
    <row r="9" spans="2:24" ht="45" customHeight="1" thickBot="1">
      <c r="C9" s="144">
        <f>IFERROR(SUMIF(لاگ_فاکتور!B3:B1622,POS_فاکتور!E4,لاگ_فاکتور!O3:O1622),0)</f>
        <v>8240000</v>
      </c>
      <c r="D9" s="301"/>
      <c r="E9" s="147">
        <f>IFERROR(SUMIF(لاگ_فاکتور!B3:B1622,POS_فاکتور!E4,لاگ_فاکتور!V3:V1622),0)</f>
        <v>3</v>
      </c>
      <c r="F9" s="301"/>
      <c r="G9" s="146">
        <f>IFERROR(SUM(لاگ_فاکتور!O3:O1622),0)</f>
        <v>397705000</v>
      </c>
      <c r="H9" s="301"/>
      <c r="I9" s="145">
        <f>IFERROR(INDEX(حسابداری!$H$7:$H$18,VALUE(MID(POS_فاکتور!E4,6,2))),0)</f>
        <v>0.44189444444444442</v>
      </c>
      <c r="J9" s="301"/>
      <c r="K9" s="144">
        <f>IFERROR(SUM(لاگ_فاکتور!O3:O1622)/SUM(لاگ_فاکتور!V3:V1622),0)</f>
        <v>5034240.5063291136</v>
      </c>
      <c r="L9" s="118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</row>
    <row r="10" spans="2:24" ht="45" customHeight="1" thickBot="1">
      <c r="C10" s="129"/>
      <c r="D10" s="301"/>
      <c r="E10" s="126"/>
      <c r="F10" s="301"/>
      <c r="G10" s="124"/>
      <c r="H10" s="301"/>
      <c r="I10" s="125"/>
      <c r="J10" s="301"/>
      <c r="K10" s="124"/>
      <c r="L10" s="118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</row>
    <row r="11" spans="2:24" ht="45" customHeight="1">
      <c r="C11" s="291" t="s">
        <v>1116</v>
      </c>
      <c r="D11" s="301"/>
      <c r="E11" s="285" t="s">
        <v>1115</v>
      </c>
      <c r="F11" s="301"/>
      <c r="G11" s="289" t="s">
        <v>1114</v>
      </c>
      <c r="H11" s="301"/>
      <c r="I11" s="287" t="s">
        <v>1113</v>
      </c>
      <c r="J11" s="301"/>
      <c r="K11" s="285" t="s">
        <v>1112</v>
      </c>
      <c r="L11" s="118"/>
      <c r="M11" s="118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</row>
    <row r="12" spans="2:24" ht="45" customHeight="1" thickBot="1">
      <c r="C12" s="286"/>
      <c r="D12" s="301"/>
      <c r="E12" s="286"/>
      <c r="F12" s="301"/>
      <c r="G12" s="290"/>
      <c r="H12" s="301"/>
      <c r="I12" s="288"/>
      <c r="J12" s="301"/>
      <c r="K12" s="286"/>
      <c r="L12" s="118"/>
      <c r="M12" s="118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</row>
    <row r="13" spans="2:24" ht="45" customHeight="1" thickBot="1">
      <c r="C13" s="130">
        <f>IFERROR(SUMIF(KPI_روزانه!A5:A104,POS_فاکتور!E4,KPI_روزانه!D5:D104),0)</f>
        <v>16</v>
      </c>
      <c r="D13" s="301"/>
      <c r="E13" s="130">
        <f>IFERROR(SUMIF(KPI_روزانه!A5:A104,POS_فاکتور!E4,KPI_روزانه!E5:E104),0)</f>
        <v>6</v>
      </c>
      <c r="F13" s="301"/>
      <c r="G13" s="131">
        <f>IFERROR(E9/C13,0)</f>
        <v>0.1875</v>
      </c>
      <c r="H13" s="301"/>
      <c r="I13" s="132">
        <f>IFERROR(SUMIF(KPI_روزانه!A5:A104,POS_فاکتور!E4,KPI_روزانه!I5:I104),0)</f>
        <v>0</v>
      </c>
      <c r="J13" s="301"/>
      <c r="K13" s="130">
        <f>IFERROR(COUNTIFS(کاتالوگ_محصولات!C4:C303,"&lt;&gt;",کاتالوگ_محصولات!K4:K303,"&lt;="&amp;تنظیمات_سیستم!C7),0)</f>
        <v>0</v>
      </c>
      <c r="L13" s="118"/>
      <c r="M13" s="118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</row>
    <row r="14" spans="2:24" ht="45" customHeight="1">
      <c r="C14" s="127"/>
      <c r="D14" s="122"/>
      <c r="E14" s="127"/>
      <c r="F14" s="122"/>
      <c r="G14" s="128"/>
      <c r="H14" s="122"/>
      <c r="I14" s="127"/>
      <c r="J14" s="122"/>
      <c r="K14" s="127"/>
      <c r="L14" s="118"/>
      <c r="M14" s="118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</row>
    <row r="15" spans="2:24" ht="45" customHeight="1">
      <c r="C15" s="296" t="s">
        <v>1102</v>
      </c>
      <c r="D15" s="297"/>
      <c r="E15" s="297"/>
      <c r="F15" s="298"/>
      <c r="G15" s="123"/>
      <c r="H15" s="293" t="s">
        <v>1103</v>
      </c>
      <c r="I15" s="293"/>
      <c r="J15" s="293"/>
      <c r="K15" s="293"/>
      <c r="L15" s="118"/>
      <c r="M15" s="118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</row>
    <row r="16" spans="2:24" ht="45" customHeight="1">
      <c r="C16" s="139" t="s">
        <v>209</v>
      </c>
      <c r="D16" s="139" t="s">
        <v>208</v>
      </c>
      <c r="E16" s="139" t="s">
        <v>1074</v>
      </c>
      <c r="F16" s="139" t="s">
        <v>437</v>
      </c>
      <c r="G16" s="123"/>
      <c r="H16" s="302" t="s">
        <v>207</v>
      </c>
      <c r="I16" s="303"/>
      <c r="J16" s="139" t="s">
        <v>208</v>
      </c>
      <c r="K16" s="139" t="s">
        <v>16</v>
      </c>
      <c r="L16" s="118"/>
      <c r="M16" s="118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</row>
    <row r="17" spans="1:24" ht="45" customHeight="1">
      <c r="C17" s="140" t="str">
        <f>اطلاعات_پرسنل!D4</f>
        <v xml:space="preserve">فروشگاه </v>
      </c>
      <c r="D17" s="141">
        <f>IFERROR(SUMIF(لاگ_فاکتور!C3:C1622,اطلاعات_پرسنل!A4,لاگ_فاکتور!O3:O1622),0)</f>
        <v>25680000</v>
      </c>
      <c r="E17" s="142">
        <f>IFERROR(SUMPRODUCT((لاگ_فاکتور!C3:C4622=اطلاعات_پرسنل!A4)*(لاگ_فاکتور!L3:L4622&gt;0)),0)</f>
        <v>9</v>
      </c>
      <c r="F17" s="141">
        <f>IFERROR(D17/IF(E17=0,1,E17),0)</f>
        <v>2853333.3333333335</v>
      </c>
      <c r="G17" s="123"/>
      <c r="H17" s="304" t="str">
        <f>کاتالوگ_محصولات!C4</f>
        <v>شلوار لینن سندبادی کرم سایز1</v>
      </c>
      <c r="I17" s="305"/>
      <c r="J17" s="141">
        <f>IFERROR(SUMIFS(لاگ_فاکتور!K3:K1622,لاگ_فاکتور!I3:I1622,کاتالوگ_محصولات!A4),0)</f>
        <v>0</v>
      </c>
      <c r="K17" s="142">
        <f>IFERROR(SUMIFS(لاگ_فاکتور!L3:L1622,لاگ_فاکتور!I3:I1622,کاتالوگ_محصولات!A4),0)</f>
        <v>0</v>
      </c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</row>
    <row r="18" spans="1:24" ht="45" customHeight="1">
      <c r="C18" s="143" t="str">
        <f>اطلاعات_پرسنل!D5</f>
        <v>دریا کریمی</v>
      </c>
      <c r="D18" s="141">
        <f>IFERROR(SUMIF(لاگ_فاکتور!C3:C1622,اطلاعات_پرسنل!A5,لاگ_فاکتور!O3:O1622),0)</f>
        <v>185459000</v>
      </c>
      <c r="E18" s="142">
        <f>IFERROR(SUMPRODUCT((لاگ_فاکتور!C3:C4622=اطلاعات_پرسنل!A5)*(لاگ_فاکتور!L3:L4622&gt;0)),0)</f>
        <v>65</v>
      </c>
      <c r="F18" s="141">
        <f>IFERROR(D18/IF(E18=0,1,E18),0)</f>
        <v>2853215.3846153845</v>
      </c>
      <c r="G18" s="123"/>
      <c r="H18" s="306" t="str">
        <f>کاتالوگ_محصولات!C4</f>
        <v>شلوار لینن سندبادی کرم سایز1</v>
      </c>
      <c r="I18" s="307"/>
      <c r="J18" s="141">
        <f>IFERROR(SUMIFS(لاگ_فاکتور!O3:O1622,لاگ_فاکتور!I3:I1622,کاتالوگ_محصولات!A5),0)</f>
        <v>0</v>
      </c>
      <c r="K18" s="142">
        <f>IFERROR(SUMIFS(لاگ_فاکتور!L3:L1622,لاگ_فاکتور!I3:I1622,کاتالوگ_محصولات!A5),0)</f>
        <v>0</v>
      </c>
      <c r="L18" s="118"/>
      <c r="M18" s="118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</row>
    <row r="19" spans="1:24" ht="45" customHeight="1">
      <c r="C19" s="140" t="str">
        <f>اطلاعات_پرسنل!D6</f>
        <v>ماحی حمیدپور</v>
      </c>
      <c r="D19" s="141">
        <f>IFERROR(SUMIF(لاگ_فاکتور!C3:C1622,اطلاعات_پرسنل!A6,لاگ_فاکتور!O3:O1622),0)</f>
        <v>186566000</v>
      </c>
      <c r="E19" s="142">
        <f>IFERROR(SUMPRODUCT((لاگ_فاکتور!C3:C4622=اطلاعات_پرسنل!A6)*(لاگ_فاکتور!L3:L4622&gt;0)),0)</f>
        <v>58</v>
      </c>
      <c r="F19" s="141">
        <f>IFERROR(D19/IF(E19=0,1,E19),0)</f>
        <v>3216655.1724137929</v>
      </c>
      <c r="G19" s="123"/>
      <c r="H19" s="308" t="str">
        <f>کاتالوگ_محصولات!C4</f>
        <v>شلوار لینن سندبادی کرم سایز1</v>
      </c>
      <c r="I19" s="305"/>
      <c r="J19" s="141">
        <f>IFERROR(SUMIFS(لاگ_فاکتور!O3:O1622,لاگ_فاکتور!I3:I1622,کاتالوگ_محصولات!A8),0)</f>
        <v>0</v>
      </c>
      <c r="K19" s="142">
        <f>IFERROR(SUMIFS(لاگ_فاکتور!L3:L1622,لاگ_فاکتور!I3:I1622,کاتالوگ_محصولات!A8),0)</f>
        <v>0</v>
      </c>
      <c r="L19" s="118"/>
      <c r="M19" s="118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</row>
    <row r="20" spans="1:24" ht="45" customHeight="1">
      <c r="C20" s="292"/>
      <c r="D20" s="292"/>
      <c r="E20" s="292"/>
      <c r="F20" s="292"/>
      <c r="G20" s="292"/>
      <c r="H20" s="292"/>
      <c r="I20" s="292"/>
      <c r="J20" s="292"/>
      <c r="K20" s="292"/>
      <c r="L20" s="118"/>
      <c r="M20" s="118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</row>
    <row r="21" spans="1:24" ht="45" customHeight="1">
      <c r="B21" s="293" t="s">
        <v>1118</v>
      </c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</row>
    <row r="22" spans="1:24" ht="45" customHeight="1"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295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</row>
    <row r="23" spans="1:24" ht="45" customHeight="1">
      <c r="B23" s="57" t="s">
        <v>192</v>
      </c>
      <c r="C23" s="135" t="s">
        <v>193</v>
      </c>
      <c r="D23" s="136" t="s">
        <v>194</v>
      </c>
      <c r="E23" s="135" t="s">
        <v>195</v>
      </c>
      <c r="F23" s="136" t="s">
        <v>196</v>
      </c>
      <c r="G23" s="135" t="s">
        <v>197</v>
      </c>
      <c r="H23" s="136" t="s">
        <v>198</v>
      </c>
      <c r="I23" s="135" t="s">
        <v>199</v>
      </c>
      <c r="J23" s="136" t="s">
        <v>200</v>
      </c>
      <c r="K23" s="135" t="s">
        <v>201</v>
      </c>
      <c r="L23" s="57" t="s">
        <v>202</v>
      </c>
      <c r="M23" s="37" t="s">
        <v>203</v>
      </c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</row>
    <row r="24" spans="1:24" ht="45" customHeight="1">
      <c r="B24" s="23">
        <f>حسابداری!D7</f>
        <v>0</v>
      </c>
      <c r="C24" s="137">
        <f>حسابداری!D8</f>
        <v>0</v>
      </c>
      <c r="D24" s="138">
        <f>حسابداری!D9</f>
        <v>0</v>
      </c>
      <c r="E24" s="137">
        <f>حسابداری!D10</f>
        <v>0</v>
      </c>
      <c r="F24" s="138">
        <f>حسابداری!D11</f>
        <v>0</v>
      </c>
      <c r="G24" s="137">
        <f>حسابداری!D12</f>
        <v>0</v>
      </c>
      <c r="H24" s="138">
        <f>حسابداری!D13</f>
        <v>397705000</v>
      </c>
      <c r="I24" s="137">
        <f>حسابداری!D14</f>
        <v>0</v>
      </c>
      <c r="J24" s="138">
        <f>حسابداری!D15</f>
        <v>0</v>
      </c>
      <c r="K24" s="137">
        <f>حسابداری!D16</f>
        <v>0</v>
      </c>
      <c r="L24" s="23">
        <f>حسابداری!D17</f>
        <v>0</v>
      </c>
      <c r="M24" s="24">
        <f>حسابداری!D18</f>
        <v>0</v>
      </c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</row>
    <row r="25" spans="1:24" s="121" customFormat="1" ht="45" customHeight="1">
      <c r="B25" s="133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</row>
    <row r="26" spans="1:24" ht="45" customHeight="1">
      <c r="B26" s="318" t="s">
        <v>1117</v>
      </c>
      <c r="C26" s="293"/>
      <c r="D26" s="293"/>
      <c r="E26" s="293"/>
      <c r="F26" s="293"/>
      <c r="G26" s="293"/>
      <c r="H26" s="293"/>
      <c r="I26" s="293"/>
      <c r="J26" s="293"/>
      <c r="K26" s="293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</row>
    <row r="27" spans="1:24" ht="45" customHeight="1">
      <c r="B27" s="316" t="s">
        <v>210</v>
      </c>
      <c r="C27" s="317"/>
      <c r="D27" s="316" t="s">
        <v>211</v>
      </c>
      <c r="E27" s="317"/>
      <c r="F27" s="316" t="s">
        <v>212</v>
      </c>
      <c r="G27" s="317"/>
      <c r="H27" s="316" t="s">
        <v>213</v>
      </c>
      <c r="I27" s="317"/>
      <c r="J27" s="319" t="s">
        <v>214</v>
      </c>
      <c r="K27" s="320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</row>
    <row r="28" spans="1:24" ht="45" customHeight="1">
      <c r="B28" s="309">
        <f>IFERROR(AVERAGEIF(KPI_روزانه!A5:A104,LEFT(POS_فاکتور!E4,7)&amp;"*",KPI_روزانه!D5:D104),0)</f>
        <v>9.1777777777777771</v>
      </c>
      <c r="C28" s="310"/>
      <c r="D28" s="311">
        <f>IFERROR(AVERAGEIF(KPI_روزانه!A5:A104,LEFT(POS_فاکتور!E4,7)&amp;"*",KPI_روزانه!E5:E104),0)</f>
        <v>3.5405405405405403</v>
      </c>
      <c r="E28" s="312"/>
      <c r="F28" s="313">
        <f>IFERROR(AVERAGEIF(KPI_روزانه!A5:A104,LEFT(POS_فاکتور!E4,7)&amp;"*",KPI_روزانه!K5:K104),0)</f>
        <v>0.19535777613570518</v>
      </c>
      <c r="G28" s="314"/>
      <c r="H28" s="309">
        <f>IFERROR(SUMIF(KPI_روزانه!A5:A104,LEFT(POS_فاکتور!E4,7)&amp;"*",KPI_روزانه!I5:I104),0)</f>
        <v>0</v>
      </c>
      <c r="I28" s="310"/>
      <c r="J28" s="309">
        <f>IFERROR(SUMIF(KPI_روزانه!A5:A104,LEFT(POS_فاکتور!E4,7)&amp;"*",KPI_روزانه!J5:J104),0)</f>
        <v>6</v>
      </c>
      <c r="K28" s="315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</row>
    <row r="29" spans="1:24">
      <c r="A29" s="278"/>
      <c r="B29" s="278"/>
      <c r="C29" s="278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</row>
    <row r="30" spans="1:24">
      <c r="A30" s="278"/>
      <c r="B30" s="278"/>
      <c r="C30" s="278"/>
      <c r="D30" s="278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</row>
    <row r="31" spans="1:24">
      <c r="A31" s="278"/>
      <c r="B31" s="278"/>
      <c r="C31" s="278"/>
      <c r="D31" s="278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</row>
    <row r="32" spans="1:24">
      <c r="A32" s="278"/>
      <c r="B32" s="278"/>
      <c r="C32" s="278"/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</row>
    <row r="33" spans="1:24">
      <c r="A33" s="278"/>
      <c r="B33" s="278"/>
      <c r="C33" s="278"/>
      <c r="D33" s="278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</row>
    <row r="34" spans="1:24">
      <c r="A34" s="278"/>
      <c r="B34" s="278"/>
      <c r="C34" s="278"/>
      <c r="D34" s="278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</row>
    <row r="35" spans="1:24">
      <c r="A35" s="278"/>
      <c r="B35" s="278"/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</row>
    <row r="36" spans="1:24">
      <c r="A36" s="278"/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</row>
    <row r="37" spans="1:24">
      <c r="A37" s="278"/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</row>
    <row r="38" spans="1:24">
      <c r="A38" s="278"/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</row>
    <row r="39" spans="1:24">
      <c r="A39" s="278"/>
      <c r="B39" s="278"/>
      <c r="C39" s="278"/>
      <c r="D39" s="278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</row>
    <row r="40" spans="1:24">
      <c r="A40" s="278"/>
      <c r="B40" s="278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</row>
    <row r="41" spans="1:24">
      <c r="A41" s="278"/>
      <c r="B41" s="278"/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</row>
    <row r="42" spans="1:24">
      <c r="A42" s="278"/>
      <c r="B42" s="278"/>
      <c r="C42" s="278"/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</row>
    <row r="43" spans="1:24">
      <c r="A43" s="278"/>
      <c r="B43" s="278"/>
      <c r="C43" s="278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</row>
    <row r="44" spans="1:24">
      <c r="A44" s="278"/>
      <c r="B44" s="278"/>
      <c r="C44" s="278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</row>
    <row r="45" spans="1:24">
      <c r="A45" s="278"/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</row>
    <row r="46" spans="1:24">
      <c r="A46" s="278"/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</row>
    <row r="47" spans="1:24">
      <c r="A47" s="278"/>
      <c r="B47" s="278"/>
      <c r="C47" s="278"/>
      <c r="D47" s="278"/>
      <c r="E47" s="278"/>
      <c r="F47" s="278"/>
      <c r="G47" s="278"/>
      <c r="H47" s="278"/>
      <c r="I47" s="278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</row>
    <row r="48" spans="1:24">
      <c r="A48" s="278"/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</row>
    <row r="49" spans="1:24">
      <c r="A49" s="278"/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</row>
    <row r="50" spans="1:24">
      <c r="A50" s="278"/>
      <c r="B50" s="278"/>
      <c r="C50" s="278"/>
      <c r="D50" s="278"/>
      <c r="E50" s="278"/>
      <c r="F50" s="278"/>
      <c r="G50" s="278"/>
      <c r="H50" s="278"/>
      <c r="I50" s="278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</row>
    <row r="51" spans="1:24">
      <c r="A51" s="278"/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</row>
    <row r="52" spans="1:24">
      <c r="A52" s="278"/>
      <c r="B52" s="278"/>
      <c r="C52" s="278"/>
      <c r="D52" s="278"/>
      <c r="E52" s="278"/>
      <c r="F52" s="278"/>
      <c r="G52" s="278"/>
      <c r="H52" s="278"/>
      <c r="I52" s="278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</row>
    <row r="53" spans="1:24">
      <c r="A53" s="278"/>
      <c r="B53" s="278"/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</row>
    <row r="54" spans="1:24">
      <c r="A54" s="278"/>
      <c r="B54" s="278"/>
      <c r="C54" s="278"/>
      <c r="D54" s="278"/>
      <c r="E54" s="278"/>
      <c r="F54" s="278"/>
      <c r="G54" s="278"/>
      <c r="H54" s="278"/>
      <c r="I54" s="278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</row>
    <row r="55" spans="1:24">
      <c r="A55" s="278"/>
      <c r="B55" s="278"/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</row>
    <row r="56" spans="1:24">
      <c r="A56" s="278"/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</row>
    <row r="57" spans="1:24">
      <c r="A57" s="278"/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</row>
    <row r="58" spans="1:24">
      <c r="A58" s="278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</row>
    <row r="59" spans="1:24">
      <c r="A59" s="278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</row>
  </sheetData>
  <sheetProtection algorithmName="SHA-512" hashValue="GgHzVn4qsZlxAJswvnHaF0K/Rlylmeh8Z0zxjm6olaEYMOHb6/1pOmf7PTzXZSHhu2ivMu8Xxwf0+Y/PJo52qg==" saltValue="VJDtAo3HDgwt02g39GxlmA==" spinCount="100000" sheet="1" formatCells="0" formatColumns="0" formatRows="0" insertColumns="0" insertRows="0" insertHyperlinks="0" deleteColumns="0" deleteRows="0" sort="0" autoFilter="0" pivotTables="0"/>
  <mergeCells count="38">
    <mergeCell ref="H16:I16"/>
    <mergeCell ref="H17:I17"/>
    <mergeCell ref="H18:I18"/>
    <mergeCell ref="H19:I19"/>
    <mergeCell ref="A29:R59"/>
    <mergeCell ref="B28:C28"/>
    <mergeCell ref="D28:E28"/>
    <mergeCell ref="F28:G28"/>
    <mergeCell ref="H28:I28"/>
    <mergeCell ref="J28:K28"/>
    <mergeCell ref="D27:E27"/>
    <mergeCell ref="B27:C27"/>
    <mergeCell ref="B26:K26"/>
    <mergeCell ref="J27:K27"/>
    <mergeCell ref="H27:I27"/>
    <mergeCell ref="F27:G27"/>
    <mergeCell ref="C15:F15"/>
    <mergeCell ref="B4:K4"/>
    <mergeCell ref="F5:F13"/>
    <mergeCell ref="D5:D13"/>
    <mergeCell ref="H5:H13"/>
    <mergeCell ref="J5:J13"/>
    <mergeCell ref="N1:X3"/>
    <mergeCell ref="S29:X59"/>
    <mergeCell ref="G7:G8"/>
    <mergeCell ref="E7:E8"/>
    <mergeCell ref="C7:C8"/>
    <mergeCell ref="I7:I8"/>
    <mergeCell ref="K7:K8"/>
    <mergeCell ref="K11:K12"/>
    <mergeCell ref="I11:I12"/>
    <mergeCell ref="G11:G12"/>
    <mergeCell ref="E11:E12"/>
    <mergeCell ref="C11:C12"/>
    <mergeCell ref="C20:K20"/>
    <mergeCell ref="H15:K15"/>
    <mergeCell ref="B1:K3"/>
    <mergeCell ref="B21:M2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D4AF37"/>
  </sheetPr>
  <dimension ref="A1:J1503"/>
  <sheetViews>
    <sheetView rightToLeft="1" zoomScaleNormal="100" workbookViewId="0">
      <pane ySplit="3" topLeftCell="A4" activePane="bottomLeft" state="frozen"/>
      <selection pane="bottomLeft" activeCell="D18" sqref="D18"/>
    </sheetView>
  </sheetViews>
  <sheetFormatPr defaultColWidth="8.7109375" defaultRowHeight="15"/>
  <cols>
    <col min="1" max="10" width="26.7109375" customWidth="1"/>
  </cols>
  <sheetData>
    <row r="1" spans="1:10" ht="15" hidden="1" customHeight="1"/>
    <row r="2" spans="1:10" ht="40.5" customHeight="1">
      <c r="A2" s="321" t="s">
        <v>778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31.5" customHeight="1">
      <c r="A3" s="3" t="s">
        <v>15</v>
      </c>
      <c r="B3" s="2" t="s">
        <v>168</v>
      </c>
      <c r="C3" s="3" t="s">
        <v>169</v>
      </c>
      <c r="D3" s="3" t="s">
        <v>170</v>
      </c>
      <c r="E3" s="2" t="s">
        <v>171</v>
      </c>
      <c r="F3" s="3" t="s">
        <v>172</v>
      </c>
      <c r="G3" s="2" t="s">
        <v>173</v>
      </c>
      <c r="H3" s="3" t="s">
        <v>174</v>
      </c>
      <c r="I3" s="2" t="s">
        <v>175</v>
      </c>
      <c r="J3" s="3" t="s">
        <v>176</v>
      </c>
    </row>
    <row r="4" spans="1:10" ht="18" customHeight="1">
      <c r="A4" s="9" t="str">
        <f>کاتالوگ_محصولات!A4</f>
        <v>SKU-0001</v>
      </c>
      <c r="B4" s="15" t="str">
        <f>کاتالوگ_محصولات!C4</f>
        <v>شلوار لینن سندبادی کرم سایز1</v>
      </c>
      <c r="C4" s="15" t="str">
        <f>کاتالوگ_محصولات!D4</f>
        <v>شلوار</v>
      </c>
      <c r="D4" s="15" t="str">
        <f>کاتالوگ_محصولات!E4</f>
        <v>Linen</v>
      </c>
      <c r="E4" s="16">
        <f>کاتالوگ_محصولات!G4</f>
        <v>0</v>
      </c>
      <c r="F4" s="16">
        <f>کاتالوگ_محصولات!H4</f>
        <v>3490000</v>
      </c>
      <c r="G4" s="9">
        <f>کاتالوگ_محصولات!I4</f>
        <v>9</v>
      </c>
      <c r="H4" s="9">
        <f>کاتالوگ_محصولات!J4</f>
        <v>0</v>
      </c>
      <c r="I4" s="9">
        <f>کاتالوگ_محصولات!K4</f>
        <v>9</v>
      </c>
      <c r="J4" s="9" t="str">
        <f>کاتالوگ_محصولات!L4</f>
        <v>🟢 OK</v>
      </c>
    </row>
    <row r="5" spans="1:10" ht="18" customHeight="1">
      <c r="A5" s="9" t="str">
        <f>کاتالوگ_محصولات!A5</f>
        <v>SKU-0002</v>
      </c>
      <c r="B5" s="15" t="str">
        <f>کاتالوگ_محصولات!C5</f>
        <v>شلوار لینن سندبادی کرم سایز2</v>
      </c>
      <c r="C5" s="15" t="str">
        <f>کاتالوگ_محصولات!D5</f>
        <v>شلوار</v>
      </c>
      <c r="D5" s="15" t="str">
        <f>کاتالوگ_محصولات!E5</f>
        <v>Linen</v>
      </c>
      <c r="E5" s="16">
        <f>کاتالوگ_محصولات!G5</f>
        <v>0</v>
      </c>
      <c r="F5" s="16">
        <f>کاتالوگ_محصولات!H5</f>
        <v>3490000</v>
      </c>
      <c r="G5" s="9">
        <f>کاتالوگ_محصولات!I5</f>
        <v>9</v>
      </c>
      <c r="H5" s="9">
        <f>کاتالوگ_محصولات!J5</f>
        <v>0</v>
      </c>
      <c r="I5" s="9">
        <f>کاتالوگ_محصولات!K5</f>
        <v>9</v>
      </c>
      <c r="J5" s="9" t="str">
        <f>کاتالوگ_محصولات!L5</f>
        <v>🟢 OK</v>
      </c>
    </row>
    <row r="6" spans="1:10" ht="18" customHeight="1">
      <c r="A6" s="9" t="str">
        <f>کاتالوگ_محصولات!A6</f>
        <v>SKU-0003</v>
      </c>
      <c r="B6" s="15" t="str">
        <f>کاتالوگ_محصولات!C6</f>
        <v>شلوار لینن سندبادی مشکی سایز1</v>
      </c>
      <c r="C6" s="15" t="str">
        <f>کاتالوگ_محصولات!D6</f>
        <v>شلوار</v>
      </c>
      <c r="D6" s="15" t="str">
        <f>کاتالوگ_محصولات!E6</f>
        <v>Linen</v>
      </c>
      <c r="E6" s="16">
        <f>کاتالوگ_محصولات!G6</f>
        <v>0</v>
      </c>
      <c r="F6" s="16">
        <f>کاتالوگ_محصولات!H6</f>
        <v>3490000</v>
      </c>
      <c r="G6" s="9">
        <f>کاتالوگ_محصولات!I6</f>
        <v>9</v>
      </c>
      <c r="H6" s="9">
        <f>کاتالوگ_محصولات!J6</f>
        <v>0</v>
      </c>
      <c r="I6" s="9">
        <f>کاتالوگ_محصولات!K6</f>
        <v>9</v>
      </c>
      <c r="J6" s="9" t="str">
        <f>کاتالوگ_محصولات!L6</f>
        <v>🟢 OK</v>
      </c>
    </row>
    <row r="7" spans="1:10" ht="18" customHeight="1">
      <c r="A7" s="9" t="str">
        <f>کاتالوگ_محصولات!A7</f>
        <v>SKU-0004</v>
      </c>
      <c r="B7" s="15" t="str">
        <f>کاتالوگ_محصولات!C7</f>
        <v>شلوار لینن سندبادی مشکی سایز2</v>
      </c>
      <c r="C7" s="15" t="str">
        <f>کاتالوگ_محصولات!D7</f>
        <v>شلوار</v>
      </c>
      <c r="D7" s="15" t="str">
        <f>کاتالوگ_محصولات!E7</f>
        <v>Linen</v>
      </c>
      <c r="E7" s="16">
        <f>کاتالوگ_محصولات!G7</f>
        <v>0</v>
      </c>
      <c r="F7" s="16">
        <f>کاتالوگ_محصولات!H7</f>
        <v>3490000</v>
      </c>
      <c r="G7" s="9">
        <f>کاتالوگ_محصولات!I7</f>
        <v>9</v>
      </c>
      <c r="H7" s="9">
        <f>کاتالوگ_محصولات!J7</f>
        <v>0</v>
      </c>
      <c r="I7" s="9">
        <f>کاتالوگ_محصولات!K7</f>
        <v>9</v>
      </c>
      <c r="J7" s="9" t="str">
        <f>کاتالوگ_محصولات!L7</f>
        <v>🟢 OK</v>
      </c>
    </row>
    <row r="8" spans="1:10" ht="18" customHeight="1">
      <c r="A8" s="9" t="str">
        <f>کاتالوگ_محصولات!A8</f>
        <v>SKU-0005</v>
      </c>
      <c r="B8" s="15" t="str">
        <f>کاتالوگ_محصولات!C8</f>
        <v>شلوار لینن سندبادی قهوه ای سایز1</v>
      </c>
      <c r="C8" s="15" t="str">
        <f>کاتالوگ_محصولات!D8</f>
        <v>شلوار</v>
      </c>
      <c r="D8" s="15" t="str">
        <f>کاتالوگ_محصولات!E8</f>
        <v>Linen</v>
      </c>
      <c r="E8" s="16">
        <f>کاتالوگ_محصولات!G8</f>
        <v>0</v>
      </c>
      <c r="F8" s="16">
        <f>کاتالوگ_محصولات!H8</f>
        <v>3490000</v>
      </c>
      <c r="G8" s="9">
        <f>کاتالوگ_محصولات!I8</f>
        <v>9</v>
      </c>
      <c r="H8" s="9">
        <f>کاتالوگ_محصولات!J8</f>
        <v>0</v>
      </c>
      <c r="I8" s="9">
        <f>کاتالوگ_محصولات!K8</f>
        <v>9</v>
      </c>
      <c r="J8" s="9" t="str">
        <f>کاتالوگ_محصولات!L8</f>
        <v>🟢 OK</v>
      </c>
    </row>
    <row r="9" spans="1:10" ht="18" customHeight="1">
      <c r="A9" s="9" t="str">
        <f>کاتالوگ_محصولات!A9</f>
        <v>SKU-0006</v>
      </c>
      <c r="B9" s="15" t="str">
        <f>کاتالوگ_محصولات!C9</f>
        <v>شلوار لینن سندبادی قهوه ای سایز2</v>
      </c>
      <c r="C9" s="15" t="str">
        <f>کاتالوگ_محصولات!D9</f>
        <v>شلوار</v>
      </c>
      <c r="D9" s="15" t="str">
        <f>کاتالوگ_محصولات!E9</f>
        <v>Linen</v>
      </c>
      <c r="E9" s="16">
        <f>کاتالوگ_محصولات!G9</f>
        <v>0</v>
      </c>
      <c r="F9" s="16">
        <f>کاتالوگ_محصولات!H9</f>
        <v>3490000</v>
      </c>
      <c r="G9" s="9">
        <f>کاتالوگ_محصولات!I9</f>
        <v>9</v>
      </c>
      <c r="H9" s="9">
        <f>کاتالوگ_محصولات!J9</f>
        <v>0</v>
      </c>
      <c r="I9" s="9">
        <f>کاتالوگ_محصولات!K9</f>
        <v>9</v>
      </c>
      <c r="J9" s="9" t="str">
        <f>کاتالوگ_محصولات!L9</f>
        <v>🟢 OK</v>
      </c>
    </row>
    <row r="10" spans="1:10" ht="18" customHeight="1">
      <c r="A10" s="9" t="str">
        <f>کاتالوگ_محصولات!A10</f>
        <v>SKU-0007</v>
      </c>
      <c r="B10" s="15" t="str">
        <f>کاتالوگ_محصولات!C10</f>
        <v>شلوار لینن سندبادی سرمه ای سایز1</v>
      </c>
      <c r="C10" s="15" t="str">
        <f>کاتالوگ_محصولات!D10</f>
        <v>شلوار</v>
      </c>
      <c r="D10" s="15" t="str">
        <f>کاتالوگ_محصولات!E10</f>
        <v>Linen</v>
      </c>
      <c r="E10" s="16">
        <f>کاتالوگ_محصولات!G10</f>
        <v>0</v>
      </c>
      <c r="F10" s="16">
        <f>کاتالوگ_محصولات!H10</f>
        <v>3490000</v>
      </c>
      <c r="G10" s="9">
        <f>کاتالوگ_محصولات!I10</f>
        <v>9</v>
      </c>
      <c r="H10" s="9">
        <f>کاتالوگ_محصولات!J10</f>
        <v>0</v>
      </c>
      <c r="I10" s="9">
        <f>کاتالوگ_محصولات!K10</f>
        <v>9</v>
      </c>
      <c r="J10" s="9" t="str">
        <f>کاتالوگ_محصولات!L10</f>
        <v>🟢 OK</v>
      </c>
    </row>
    <row r="11" spans="1:10" ht="18" customHeight="1">
      <c r="A11" s="9" t="str">
        <f>کاتالوگ_محصولات!A11</f>
        <v>SKU-0008</v>
      </c>
      <c r="B11" s="15" t="str">
        <f>کاتالوگ_محصولات!C11</f>
        <v>شلوار لینن سندبادی سرمه ای سایز2</v>
      </c>
      <c r="C11" s="15" t="str">
        <f>کاتالوگ_محصولات!D11</f>
        <v>شلوار</v>
      </c>
      <c r="D11" s="15" t="str">
        <f>کاتالوگ_محصولات!E11</f>
        <v>Linen</v>
      </c>
      <c r="E11" s="16">
        <f>کاتالوگ_محصولات!G11</f>
        <v>0</v>
      </c>
      <c r="F11" s="16">
        <f>کاتالوگ_محصولات!H11</f>
        <v>3490000</v>
      </c>
      <c r="G11" s="9">
        <f>کاتالوگ_محصولات!I11</f>
        <v>9</v>
      </c>
      <c r="H11" s="9">
        <f>کاتالوگ_محصولات!J11</f>
        <v>0</v>
      </c>
      <c r="I11" s="9">
        <f>کاتالوگ_محصولات!K11</f>
        <v>9</v>
      </c>
      <c r="J11" s="9" t="str">
        <f>کاتالوگ_محصولات!L11</f>
        <v>🟢 OK</v>
      </c>
    </row>
    <row r="12" spans="1:10" ht="18" customHeight="1">
      <c r="A12" s="9" t="str">
        <f>کاتالوگ_محصولات!A12</f>
        <v>SKU-0009</v>
      </c>
      <c r="B12" s="15" t="str">
        <f>کاتالوگ_محصولات!C12</f>
        <v>شومیز سایه سفید سایز1</v>
      </c>
      <c r="C12" s="15" t="str">
        <f>کاتالوگ_محصولات!D12</f>
        <v>شومیز</v>
      </c>
      <c r="D12" s="15" t="str">
        <f>کاتالوگ_محصولات!E12</f>
        <v>Cotton</v>
      </c>
      <c r="E12" s="16">
        <f>کاتالوگ_محصولات!G12</f>
        <v>0</v>
      </c>
      <c r="F12" s="16">
        <f>کاتالوگ_محصولات!H12</f>
        <v>2480000</v>
      </c>
      <c r="G12" s="9">
        <f>کاتالوگ_محصولات!I12</f>
        <v>9</v>
      </c>
      <c r="H12" s="9">
        <f>کاتالوگ_محصولات!J12</f>
        <v>0</v>
      </c>
      <c r="I12" s="9">
        <f>کاتالوگ_محصولات!K12</f>
        <v>9</v>
      </c>
      <c r="J12" s="9" t="str">
        <f>کاتالوگ_محصولات!L12</f>
        <v>🟢 OK</v>
      </c>
    </row>
    <row r="13" spans="1:10" ht="18" customHeight="1">
      <c r="A13" s="9" t="str">
        <f>کاتالوگ_محصولات!A13</f>
        <v>SKU-0010</v>
      </c>
      <c r="B13" s="15" t="str">
        <f>کاتالوگ_محصولات!C13</f>
        <v>شومیز سایه سفید سایز2</v>
      </c>
      <c r="C13" s="15" t="str">
        <f>کاتالوگ_محصولات!D13</f>
        <v>شومیز</v>
      </c>
      <c r="D13" s="15" t="str">
        <f>کاتالوگ_محصولات!E13</f>
        <v>Cotton</v>
      </c>
      <c r="E13" s="16">
        <f>کاتالوگ_محصولات!G13</f>
        <v>0</v>
      </c>
      <c r="F13" s="16">
        <f>کاتالوگ_محصولات!H13</f>
        <v>2480000</v>
      </c>
      <c r="G13" s="9">
        <f>کاتالوگ_محصولات!I13</f>
        <v>9</v>
      </c>
      <c r="H13" s="9">
        <f>کاتالوگ_محصولات!J13</f>
        <v>0</v>
      </c>
      <c r="I13" s="9">
        <f>کاتالوگ_محصولات!K13</f>
        <v>9</v>
      </c>
      <c r="J13" s="9" t="str">
        <f>کاتالوگ_محصولات!L13</f>
        <v>🟢 OK</v>
      </c>
    </row>
    <row r="14" spans="1:10" ht="18" customHeight="1">
      <c r="A14" s="9" t="str">
        <f>کاتالوگ_محصولات!A14</f>
        <v>SKU-0011</v>
      </c>
      <c r="B14" s="15" t="str">
        <f>کاتالوگ_محصولات!C14</f>
        <v>شومیز سایه مشکی سایز1</v>
      </c>
      <c r="C14" s="15" t="str">
        <f>کاتالوگ_محصولات!D14</f>
        <v>شومیز</v>
      </c>
      <c r="D14" s="15" t="str">
        <f>کاتالوگ_محصولات!E14</f>
        <v>Cotton</v>
      </c>
      <c r="E14" s="16">
        <f>کاتالوگ_محصولات!G14</f>
        <v>0</v>
      </c>
      <c r="F14" s="16">
        <f>کاتالوگ_محصولات!H14</f>
        <v>2480000</v>
      </c>
      <c r="G14" s="9">
        <f>کاتالوگ_محصولات!I14</f>
        <v>9</v>
      </c>
      <c r="H14" s="9">
        <f>کاتالوگ_محصولات!J14</f>
        <v>0</v>
      </c>
      <c r="I14" s="9">
        <f>کاتالوگ_محصولات!K14</f>
        <v>9</v>
      </c>
      <c r="J14" s="9" t="str">
        <f>کاتالوگ_محصولات!L14</f>
        <v>🟢 OK</v>
      </c>
    </row>
    <row r="15" spans="1:10" ht="18" customHeight="1">
      <c r="A15" s="9" t="str">
        <f>کاتالوگ_محصولات!A15</f>
        <v>SKU-0012</v>
      </c>
      <c r="B15" s="15" t="str">
        <f>کاتالوگ_محصولات!C15</f>
        <v>شومیز سایه مشکی سایز2</v>
      </c>
      <c r="C15" s="15" t="str">
        <f>کاتالوگ_محصولات!D15</f>
        <v>شومیز</v>
      </c>
      <c r="D15" s="15" t="str">
        <f>کاتالوگ_محصولات!E15</f>
        <v>Cotton</v>
      </c>
      <c r="E15" s="16">
        <f>کاتالوگ_محصولات!G15</f>
        <v>0</v>
      </c>
      <c r="F15" s="16">
        <f>کاتالوگ_محصولات!H15</f>
        <v>2480000</v>
      </c>
      <c r="G15" s="9">
        <f>کاتالوگ_محصولات!I15</f>
        <v>9</v>
      </c>
      <c r="H15" s="9">
        <f>کاتالوگ_محصولات!J15</f>
        <v>0</v>
      </c>
      <c r="I15" s="9">
        <f>کاتالوگ_محصولات!K15</f>
        <v>9</v>
      </c>
      <c r="J15" s="9" t="str">
        <f>کاتالوگ_محصولات!L15</f>
        <v>🟢 OK</v>
      </c>
    </row>
    <row r="16" spans="1:10" ht="18" customHeight="1">
      <c r="A16" s="9" t="str">
        <f>کاتالوگ_محصولات!A16</f>
        <v>SKU-0013</v>
      </c>
      <c r="B16" s="15" t="str">
        <f>کاتالوگ_محصولات!C16</f>
        <v>شومیز سایه طوسی سایز1</v>
      </c>
      <c r="C16" s="15" t="str">
        <f>کاتالوگ_محصولات!D16</f>
        <v>شومیز</v>
      </c>
      <c r="D16" s="15" t="str">
        <f>کاتالوگ_محصولات!E16</f>
        <v>Cotton</v>
      </c>
      <c r="E16" s="16">
        <f>کاتالوگ_محصولات!G16</f>
        <v>0</v>
      </c>
      <c r="F16" s="16">
        <f>کاتالوگ_محصولات!H16</f>
        <v>2480000</v>
      </c>
      <c r="G16" s="9">
        <f>کاتالوگ_محصولات!I16</f>
        <v>9</v>
      </c>
      <c r="H16" s="9">
        <f>کاتالوگ_محصولات!J16</f>
        <v>0</v>
      </c>
      <c r="I16" s="9">
        <f>کاتالوگ_محصولات!K16</f>
        <v>9</v>
      </c>
      <c r="J16" s="9" t="str">
        <f>کاتالوگ_محصولات!L16</f>
        <v>🟢 OK</v>
      </c>
    </row>
    <row r="17" spans="1:10" ht="18" customHeight="1">
      <c r="A17" s="9" t="str">
        <f>کاتالوگ_محصولات!A17</f>
        <v>SKU-0014</v>
      </c>
      <c r="B17" s="15" t="str">
        <f>کاتالوگ_محصولات!C17</f>
        <v>شومیز سایه طوسی سایز2</v>
      </c>
      <c r="C17" s="15" t="str">
        <f>کاتالوگ_محصولات!D17</f>
        <v>شومیز</v>
      </c>
      <c r="D17" s="15" t="str">
        <f>کاتالوگ_محصولات!E17</f>
        <v>Cotton</v>
      </c>
      <c r="E17" s="16">
        <f>کاتالوگ_محصولات!G17</f>
        <v>0</v>
      </c>
      <c r="F17" s="16">
        <f>کاتالوگ_محصولات!H17</f>
        <v>2480000</v>
      </c>
      <c r="G17" s="9">
        <f>کاتالوگ_محصولات!I17</f>
        <v>9</v>
      </c>
      <c r="H17" s="9">
        <f>کاتالوگ_محصولات!J17</f>
        <v>0</v>
      </c>
      <c r="I17" s="9">
        <f>کاتالوگ_محصولات!K17</f>
        <v>9</v>
      </c>
      <c r="J17" s="9" t="str">
        <f>کاتالوگ_محصولات!L17</f>
        <v>🟢 OK</v>
      </c>
    </row>
    <row r="18" spans="1:10" ht="18" customHeight="1">
      <c r="A18" s="9" t="str">
        <f>کاتالوگ_محصولات!A18</f>
        <v>SKU-0015</v>
      </c>
      <c r="B18" s="15" t="str">
        <f>کاتالوگ_محصولات!C18</f>
        <v>شومیز سایه زرد سایز1</v>
      </c>
      <c r="C18" s="15" t="str">
        <f>کاتالوگ_محصولات!D18</f>
        <v>شومیز</v>
      </c>
      <c r="D18" s="15" t="str">
        <f>کاتالوگ_محصولات!E18</f>
        <v>Cotton</v>
      </c>
      <c r="E18" s="16">
        <f>کاتالوگ_محصولات!G18</f>
        <v>0</v>
      </c>
      <c r="F18" s="16">
        <f>کاتالوگ_محصولات!H18</f>
        <v>2480000</v>
      </c>
      <c r="G18" s="9">
        <f>کاتالوگ_محصولات!I18</f>
        <v>9</v>
      </c>
      <c r="H18" s="9">
        <f>کاتالوگ_محصولات!J18</f>
        <v>0</v>
      </c>
      <c r="I18" s="9">
        <f>کاتالوگ_محصولات!K18</f>
        <v>9</v>
      </c>
      <c r="J18" s="9" t="str">
        <f>کاتالوگ_محصولات!L18</f>
        <v>🟢 OK</v>
      </c>
    </row>
    <row r="19" spans="1:10" ht="18" customHeight="1">
      <c r="A19" s="9" t="str">
        <f>کاتالوگ_محصولات!A19</f>
        <v>SKU-0016</v>
      </c>
      <c r="B19" s="15" t="str">
        <f>کاتالوگ_محصولات!C19</f>
        <v>شومیز سایه زرد سایز2</v>
      </c>
      <c r="C19" s="15" t="str">
        <f>کاتالوگ_محصولات!D19</f>
        <v>شومیز</v>
      </c>
      <c r="D19" s="15" t="str">
        <f>کاتالوگ_محصولات!E19</f>
        <v>Cotton</v>
      </c>
      <c r="E19" s="16">
        <f>کاتالوگ_محصولات!G19</f>
        <v>0</v>
      </c>
      <c r="F19" s="16">
        <f>کاتالوگ_محصولات!H19</f>
        <v>900000</v>
      </c>
      <c r="G19" s="9">
        <f>کاتالوگ_محصولات!I19</f>
        <v>9</v>
      </c>
      <c r="H19" s="9">
        <f>کاتالوگ_محصولات!J19</f>
        <v>0</v>
      </c>
      <c r="I19" s="9">
        <f>کاتالوگ_محصولات!K19</f>
        <v>9</v>
      </c>
      <c r="J19" s="9" t="str">
        <f>کاتالوگ_محصولات!L19</f>
        <v>🟢 OK</v>
      </c>
    </row>
    <row r="20" spans="1:10" ht="18" customHeight="1">
      <c r="A20" s="9" t="str">
        <f>کاتالوگ_محصولات!A20</f>
        <v>SKU-0017</v>
      </c>
      <c r="B20" s="15" t="str">
        <f>کاتالوگ_محصولات!C20</f>
        <v>شومیز سایه خالدار سفیدزرد سایز1</v>
      </c>
      <c r="C20" s="15" t="str">
        <f>کاتالوگ_محصولات!D20</f>
        <v>شومیز</v>
      </c>
      <c r="D20" s="15" t="str">
        <f>کاتالوگ_محصولات!E20</f>
        <v>Cotton</v>
      </c>
      <c r="E20" s="16">
        <f>کاتالوگ_محصولات!G20</f>
        <v>0</v>
      </c>
      <c r="F20" s="16">
        <f>کاتالوگ_محصولات!H20</f>
        <v>900000</v>
      </c>
      <c r="G20" s="9">
        <f>کاتالوگ_محصولات!I20</f>
        <v>9</v>
      </c>
      <c r="H20" s="9">
        <f>کاتالوگ_محصولات!J20</f>
        <v>0</v>
      </c>
      <c r="I20" s="9">
        <f>کاتالوگ_محصولات!K20</f>
        <v>9</v>
      </c>
      <c r="J20" s="9" t="str">
        <f>کاتالوگ_محصولات!L20</f>
        <v>🟢 OK</v>
      </c>
    </row>
    <row r="21" spans="1:10" ht="18" customHeight="1">
      <c r="A21" s="9" t="str">
        <f>کاتالوگ_محصولات!A21</f>
        <v>SKU-0018</v>
      </c>
      <c r="B21" s="15" t="str">
        <f>کاتالوگ_محصولات!C21</f>
        <v>شومیز سایه خالدار سفیدزرد سایز2</v>
      </c>
      <c r="C21" s="15" t="str">
        <f>کاتالوگ_محصولات!D21</f>
        <v>شومیز</v>
      </c>
      <c r="D21" s="15" t="str">
        <f>کاتالوگ_محصولات!E21</f>
        <v>Cotton</v>
      </c>
      <c r="E21" s="16">
        <f>کاتالوگ_محصولات!G21</f>
        <v>0</v>
      </c>
      <c r="F21" s="16">
        <f>کاتالوگ_محصولات!H21</f>
        <v>900000</v>
      </c>
      <c r="G21" s="9">
        <f>کاتالوگ_محصولات!I21</f>
        <v>9</v>
      </c>
      <c r="H21" s="9">
        <f>کاتالوگ_محصولات!J21</f>
        <v>0</v>
      </c>
      <c r="I21" s="9">
        <f>کاتالوگ_محصولات!K21</f>
        <v>9</v>
      </c>
      <c r="J21" s="9" t="str">
        <f>کاتالوگ_محصولات!L21</f>
        <v>🟢 OK</v>
      </c>
    </row>
    <row r="22" spans="1:10" ht="18" customHeight="1">
      <c r="A22" s="9" t="str">
        <f>کاتالوگ_محصولات!A22</f>
        <v>SKU-0019</v>
      </c>
      <c r="B22" s="15" t="str">
        <f>کاتالوگ_محصولات!C22</f>
        <v>شومیز گیپور زرد فری</v>
      </c>
      <c r="C22" s="15" t="str">
        <f>کاتالوگ_محصولات!D22</f>
        <v>شومیز</v>
      </c>
      <c r="D22" s="15" t="str">
        <f>کاتالوگ_محصولات!E22</f>
        <v>Cotton</v>
      </c>
      <c r="E22" s="16">
        <f>کاتالوگ_محصولات!G22</f>
        <v>0</v>
      </c>
      <c r="F22" s="16">
        <f>کاتالوگ_محصولات!H22</f>
        <v>1080000</v>
      </c>
      <c r="G22" s="9">
        <f>کاتالوگ_محصولات!I22</f>
        <v>9</v>
      </c>
      <c r="H22" s="9">
        <f>کاتالوگ_محصولات!J22</f>
        <v>0</v>
      </c>
      <c r="I22" s="9">
        <f>کاتالوگ_محصولات!K22</f>
        <v>9</v>
      </c>
      <c r="J22" s="9" t="str">
        <f>کاتالوگ_محصولات!L22</f>
        <v>🟢 OK</v>
      </c>
    </row>
    <row r="23" spans="1:10" ht="18" customHeight="1">
      <c r="A23" s="9" t="str">
        <f>کاتالوگ_محصولات!A23</f>
        <v>SKU-0020</v>
      </c>
      <c r="B23" s="15" t="str">
        <f>کاتالوگ_محصولات!C23</f>
        <v>شومیز گیپور طوسی فری</v>
      </c>
      <c r="C23" s="15" t="str">
        <f>کاتالوگ_محصولات!D23</f>
        <v>شومیز</v>
      </c>
      <c r="D23" s="15" t="str">
        <f>کاتالوگ_محصولات!E23</f>
        <v>Cotton</v>
      </c>
      <c r="E23" s="16">
        <f>کاتالوگ_محصولات!G23</f>
        <v>0</v>
      </c>
      <c r="F23" s="16">
        <f>کاتالوگ_محصولات!H23</f>
        <v>1080000</v>
      </c>
      <c r="G23" s="9">
        <f>کاتالوگ_محصولات!I23</f>
        <v>9</v>
      </c>
      <c r="H23" s="9">
        <f>کاتالوگ_محصولات!J23</f>
        <v>0</v>
      </c>
      <c r="I23" s="9">
        <f>کاتالوگ_محصولات!K23</f>
        <v>9</v>
      </c>
      <c r="J23" s="9" t="str">
        <f>کاتالوگ_محصولات!L23</f>
        <v>🟢 OK</v>
      </c>
    </row>
    <row r="24" spans="1:10" ht="18" customHeight="1">
      <c r="A24" s="9" t="str">
        <f>کاتالوگ_محصولات!A24</f>
        <v>SKU-0021</v>
      </c>
      <c r="B24" s="15" t="str">
        <f>کاتالوگ_محصولات!C24</f>
        <v>شومیز گیپور آبی فری</v>
      </c>
      <c r="C24" s="15" t="str">
        <f>کاتالوگ_محصولات!D24</f>
        <v>شومیز</v>
      </c>
      <c r="D24" s="15" t="str">
        <f>کاتالوگ_محصولات!E24</f>
        <v>Cotton</v>
      </c>
      <c r="E24" s="16">
        <f>کاتالوگ_محصولات!G24</f>
        <v>0</v>
      </c>
      <c r="F24" s="16">
        <f>کاتالوگ_محصولات!H24</f>
        <v>1080000</v>
      </c>
      <c r="G24" s="9">
        <f>کاتالوگ_محصولات!I24</f>
        <v>9</v>
      </c>
      <c r="H24" s="9">
        <f>کاتالوگ_محصولات!J24</f>
        <v>0</v>
      </c>
      <c r="I24" s="9">
        <f>کاتالوگ_محصولات!K24</f>
        <v>9</v>
      </c>
      <c r="J24" s="9" t="str">
        <f>کاتالوگ_محصولات!L24</f>
        <v>🟢 OK</v>
      </c>
    </row>
    <row r="25" spans="1:10" ht="18" customHeight="1">
      <c r="A25" s="9" t="str">
        <f>کاتالوگ_محصولات!A25</f>
        <v>SKU-0022</v>
      </c>
      <c r="B25" s="15" t="str">
        <f>کاتالوگ_محصولات!C25</f>
        <v>شومیز گیپور صورتی فری</v>
      </c>
      <c r="C25" s="15" t="str">
        <f>کاتالوگ_محصولات!D25</f>
        <v>شومیز</v>
      </c>
      <c r="D25" s="15" t="str">
        <f>کاتالوگ_محصولات!E25</f>
        <v>Cotton</v>
      </c>
      <c r="E25" s="16">
        <f>کاتالوگ_محصولات!G25</f>
        <v>0</v>
      </c>
      <c r="F25" s="16">
        <f>کاتالوگ_محصولات!H25</f>
        <v>1080000</v>
      </c>
      <c r="G25" s="9">
        <f>کاتالوگ_محصولات!I25</f>
        <v>9</v>
      </c>
      <c r="H25" s="9">
        <f>کاتالوگ_محصولات!J25</f>
        <v>0</v>
      </c>
      <c r="I25" s="9">
        <f>کاتالوگ_محصولات!K25</f>
        <v>9</v>
      </c>
      <c r="J25" s="9" t="str">
        <f>کاتالوگ_محصولات!L25</f>
        <v>🟢 OK</v>
      </c>
    </row>
    <row r="26" spans="1:10" ht="18" customHeight="1">
      <c r="A26" s="9" t="str">
        <f>کاتالوگ_محصولات!A26</f>
        <v>SKU-0023</v>
      </c>
      <c r="B26" s="15" t="str">
        <f>کاتالوگ_محصولات!C26</f>
        <v>کت لینن مشکی فری</v>
      </c>
      <c r="C26" s="15" t="str">
        <f>کاتالوگ_محصولات!D26</f>
        <v>کت</v>
      </c>
      <c r="D26" s="15" t="str">
        <f>کاتالوگ_محصولات!E26</f>
        <v>Linen</v>
      </c>
      <c r="E26" s="16">
        <f>کاتالوگ_محصولات!G26</f>
        <v>0</v>
      </c>
      <c r="F26" s="16">
        <f>کاتالوگ_محصولات!H26</f>
        <v>2800000</v>
      </c>
      <c r="G26" s="9">
        <f>کاتالوگ_محصولات!I26</f>
        <v>9</v>
      </c>
      <c r="H26" s="9">
        <f>کاتالوگ_محصولات!J26</f>
        <v>0</v>
      </c>
      <c r="I26" s="9">
        <f>کاتالوگ_محصولات!K26</f>
        <v>9</v>
      </c>
      <c r="J26" s="9" t="str">
        <f>کاتالوگ_محصولات!L26</f>
        <v>🟢 OK</v>
      </c>
    </row>
    <row r="27" spans="1:10" ht="18" customHeight="1">
      <c r="A27" s="9" t="str">
        <f>کاتالوگ_محصولات!A27</f>
        <v>SKU-0024</v>
      </c>
      <c r="B27" s="15" t="str">
        <f>کاتالوگ_محصولات!C27</f>
        <v>شلوار نیکول مشکی سایز1</v>
      </c>
      <c r="C27" s="15" t="str">
        <f>کاتالوگ_محصولات!D27</f>
        <v>شلوار</v>
      </c>
      <c r="D27" s="15" t="str">
        <f>کاتالوگ_محصولات!E27</f>
        <v>Linen</v>
      </c>
      <c r="E27" s="16">
        <f>کاتالوگ_محصولات!G27</f>
        <v>0</v>
      </c>
      <c r="F27" s="16">
        <f>کاتالوگ_محصولات!H27</f>
        <v>2580000</v>
      </c>
      <c r="G27" s="9">
        <f>کاتالوگ_محصولات!I27</f>
        <v>9</v>
      </c>
      <c r="H27" s="9">
        <f>کاتالوگ_محصولات!J27</f>
        <v>0</v>
      </c>
      <c r="I27" s="9">
        <f>کاتالوگ_محصولات!K27</f>
        <v>9</v>
      </c>
      <c r="J27" s="9" t="str">
        <f>کاتالوگ_محصولات!L27</f>
        <v>🟢 OK</v>
      </c>
    </row>
    <row r="28" spans="1:10" ht="18" customHeight="1">
      <c r="A28" s="9" t="str">
        <f>کاتالوگ_محصولات!A28</f>
        <v>SKU-0025</v>
      </c>
      <c r="B28" s="15" t="str">
        <f>کاتالوگ_محصولات!C28</f>
        <v>شلوار نیکول مشکی سایز2</v>
      </c>
      <c r="C28" s="15" t="str">
        <f>کاتالوگ_محصولات!D28</f>
        <v>شلوار</v>
      </c>
      <c r="D28" s="15" t="str">
        <f>کاتالوگ_محصولات!E28</f>
        <v>Linen</v>
      </c>
      <c r="E28" s="16">
        <f>کاتالوگ_محصولات!G28</f>
        <v>0</v>
      </c>
      <c r="F28" s="16">
        <f>کاتالوگ_محصولات!H28</f>
        <v>2580000</v>
      </c>
      <c r="G28" s="9">
        <f>کاتالوگ_محصولات!I28</f>
        <v>9</v>
      </c>
      <c r="H28" s="9">
        <f>کاتالوگ_محصولات!J28</f>
        <v>0</v>
      </c>
      <c r="I28" s="9">
        <f>کاتالوگ_محصولات!K28</f>
        <v>9</v>
      </c>
      <c r="J28" s="9" t="str">
        <f>کاتالوگ_محصولات!L28</f>
        <v>🟢 OK</v>
      </c>
    </row>
    <row r="29" spans="1:10" ht="18" customHeight="1">
      <c r="A29" s="9" t="str">
        <f>کاتالوگ_محصولات!A29</f>
        <v>SKU-0026</v>
      </c>
      <c r="B29" s="15" t="str">
        <f>کاتالوگ_محصولات!C29</f>
        <v>شلوار لی لی مشکی سایز1</v>
      </c>
      <c r="C29" s="15" t="str">
        <f>کاتالوگ_محصولات!D29</f>
        <v>شلوار</v>
      </c>
      <c r="D29" s="15" t="str">
        <f>کاتالوگ_محصولات!E29</f>
        <v>Crepe</v>
      </c>
      <c r="E29" s="16">
        <f>کاتالوگ_محصولات!G29</f>
        <v>0</v>
      </c>
      <c r="F29" s="16">
        <f>کاتالوگ_محصولات!H29</f>
        <v>1170000</v>
      </c>
      <c r="G29" s="9">
        <f>کاتالوگ_محصولات!I29</f>
        <v>9</v>
      </c>
      <c r="H29" s="9">
        <f>کاتالوگ_محصولات!J29</f>
        <v>0</v>
      </c>
      <c r="I29" s="9">
        <f>کاتالوگ_محصولات!K29</f>
        <v>9</v>
      </c>
      <c r="J29" s="9" t="str">
        <f>کاتالوگ_محصولات!L29</f>
        <v>🟢 OK</v>
      </c>
    </row>
    <row r="30" spans="1:10" ht="18" customHeight="1">
      <c r="A30" s="9" t="str">
        <f>کاتالوگ_محصولات!A30</f>
        <v>SKU-0027</v>
      </c>
      <c r="B30" s="15" t="str">
        <f>کاتالوگ_محصولات!C30</f>
        <v>شلوار لی لی مشکی سایز2</v>
      </c>
      <c r="C30" s="15" t="str">
        <f>کاتالوگ_محصولات!D30</f>
        <v>شلوار</v>
      </c>
      <c r="D30" s="15" t="str">
        <f>کاتالوگ_محصولات!E30</f>
        <v>Crepe</v>
      </c>
      <c r="E30" s="16">
        <f>کاتالوگ_محصولات!G30</f>
        <v>0</v>
      </c>
      <c r="F30" s="16">
        <f>کاتالوگ_محصولات!H30</f>
        <v>1170000</v>
      </c>
      <c r="G30" s="9">
        <f>کاتالوگ_محصولات!I30</f>
        <v>9</v>
      </c>
      <c r="H30" s="9">
        <f>کاتالوگ_محصولات!J30</f>
        <v>0</v>
      </c>
      <c r="I30" s="9">
        <f>کاتالوگ_محصولات!K30</f>
        <v>9</v>
      </c>
      <c r="J30" s="9" t="str">
        <f>کاتالوگ_محصولات!L30</f>
        <v>🟢 OK</v>
      </c>
    </row>
    <row r="31" spans="1:10" ht="18" customHeight="1">
      <c r="A31" s="9" t="str">
        <f>کاتالوگ_محصولات!A31</f>
        <v>SKU-0028</v>
      </c>
      <c r="B31" s="15" t="str">
        <f>کاتالوگ_محصولات!C31</f>
        <v>شلوار لی لی سفید سایز1</v>
      </c>
      <c r="C31" s="15" t="str">
        <f>کاتالوگ_محصولات!D31</f>
        <v>شلوار</v>
      </c>
      <c r="D31" s="15" t="str">
        <f>کاتالوگ_محصولات!E31</f>
        <v>Crepe</v>
      </c>
      <c r="E31" s="16">
        <f>کاتالوگ_محصولات!G31</f>
        <v>0</v>
      </c>
      <c r="F31" s="16">
        <f>کاتالوگ_محصولات!H31</f>
        <v>1170000</v>
      </c>
      <c r="G31" s="9">
        <f>کاتالوگ_محصولات!I31</f>
        <v>9</v>
      </c>
      <c r="H31" s="9">
        <f>کاتالوگ_محصولات!J31</f>
        <v>0</v>
      </c>
      <c r="I31" s="9">
        <f>کاتالوگ_محصولات!K31</f>
        <v>9</v>
      </c>
      <c r="J31" s="9" t="str">
        <f>کاتالوگ_محصولات!L31</f>
        <v>🟢 OK</v>
      </c>
    </row>
    <row r="32" spans="1:10" ht="18" customHeight="1">
      <c r="A32" s="9" t="str">
        <f>کاتالوگ_محصولات!A32</f>
        <v>SKU-0029</v>
      </c>
      <c r="B32" s="15" t="str">
        <f>کاتالوگ_محصولات!C32</f>
        <v>شلوار لی لی سفید سایز2</v>
      </c>
      <c r="C32" s="15" t="str">
        <f>کاتالوگ_محصولات!D32</f>
        <v>شلوار</v>
      </c>
      <c r="D32" s="15" t="str">
        <f>کاتالوگ_محصولات!E32</f>
        <v>Crepe</v>
      </c>
      <c r="E32" s="16">
        <f>کاتالوگ_محصولات!G32</f>
        <v>0</v>
      </c>
      <c r="F32" s="16">
        <f>کاتالوگ_محصولات!H32</f>
        <v>1170000</v>
      </c>
      <c r="G32" s="9">
        <f>کاتالوگ_محصولات!I32</f>
        <v>9</v>
      </c>
      <c r="H32" s="9">
        <f>کاتالوگ_محصولات!J32</f>
        <v>0</v>
      </c>
      <c r="I32" s="9">
        <f>کاتالوگ_محصولات!K32</f>
        <v>9</v>
      </c>
      <c r="J32" s="9" t="str">
        <f>کاتالوگ_محصولات!L32</f>
        <v>🟢 OK</v>
      </c>
    </row>
    <row r="33" spans="1:10" ht="18" customHeight="1">
      <c r="A33" s="9" t="str">
        <f>کاتالوگ_محصولات!A33</f>
        <v>SKU-0030</v>
      </c>
      <c r="B33" s="15" t="str">
        <f>کاتالوگ_محصولات!C33</f>
        <v>شلوار لی لی آبی سایز1</v>
      </c>
      <c r="C33" s="15" t="str">
        <f>کاتالوگ_محصولات!D33</f>
        <v>شلوار</v>
      </c>
      <c r="D33" s="15" t="str">
        <f>کاتالوگ_محصولات!E33</f>
        <v>Crepe</v>
      </c>
      <c r="E33" s="16">
        <f>کاتالوگ_محصولات!G33</f>
        <v>0</v>
      </c>
      <c r="F33" s="16">
        <f>کاتالوگ_محصولات!H33</f>
        <v>1170000</v>
      </c>
      <c r="G33" s="9">
        <f>کاتالوگ_محصولات!I33</f>
        <v>9</v>
      </c>
      <c r="H33" s="9">
        <f>کاتالوگ_محصولات!J33</f>
        <v>0</v>
      </c>
      <c r="I33" s="9">
        <f>کاتالوگ_محصولات!K33</f>
        <v>9</v>
      </c>
      <c r="J33" s="9" t="str">
        <f>کاتالوگ_محصولات!L33</f>
        <v>🟢 OK</v>
      </c>
    </row>
    <row r="34" spans="1:10" ht="18" customHeight="1">
      <c r="A34" s="9" t="str">
        <f>کاتالوگ_محصولات!A34</f>
        <v>SKU-0031</v>
      </c>
      <c r="B34" s="15" t="str">
        <f>کاتالوگ_محصولات!C34</f>
        <v>شلوار لی لی آبی سایز2</v>
      </c>
      <c r="C34" s="15" t="str">
        <f>کاتالوگ_محصولات!D34</f>
        <v>شلوار</v>
      </c>
      <c r="D34" s="15" t="str">
        <f>کاتالوگ_محصولات!E34</f>
        <v>Crepe</v>
      </c>
      <c r="E34" s="16">
        <f>کاتالوگ_محصولات!G34</f>
        <v>0</v>
      </c>
      <c r="F34" s="16">
        <f>کاتالوگ_محصولات!H34</f>
        <v>1170000</v>
      </c>
      <c r="G34" s="9">
        <f>کاتالوگ_محصولات!I34</f>
        <v>9</v>
      </c>
      <c r="H34" s="9">
        <f>کاتالوگ_محصولات!J34</f>
        <v>0</v>
      </c>
      <c r="I34" s="9">
        <f>کاتالوگ_محصولات!K34</f>
        <v>9</v>
      </c>
      <c r="J34" s="9" t="str">
        <f>کاتالوگ_محصولات!L34</f>
        <v>🟢 OK</v>
      </c>
    </row>
    <row r="35" spans="1:10" ht="18" customHeight="1">
      <c r="A35" s="9" t="str">
        <f>کاتالوگ_محصولات!A35</f>
        <v>SKU-0032</v>
      </c>
      <c r="B35" s="15" t="str">
        <f>کاتالوگ_محصولات!C35</f>
        <v>شومیز ستیا زرد گلدار سایز1</v>
      </c>
      <c r="C35" s="15" t="str">
        <f>کاتالوگ_محصولات!D35</f>
        <v>شومیز</v>
      </c>
      <c r="D35" s="15" t="str">
        <f>کاتالوگ_محصولات!E35</f>
        <v>Silk</v>
      </c>
      <c r="E35" s="16">
        <f>کاتالوگ_محصولات!G35</f>
        <v>0</v>
      </c>
      <c r="F35" s="16">
        <f>کاتالوگ_محصولات!H35</f>
        <v>1580000</v>
      </c>
      <c r="G35" s="9">
        <f>کاتالوگ_محصولات!I35</f>
        <v>9</v>
      </c>
      <c r="H35" s="9">
        <f>کاتالوگ_محصولات!J35</f>
        <v>0</v>
      </c>
      <c r="I35" s="9">
        <f>کاتالوگ_محصولات!K35</f>
        <v>9</v>
      </c>
      <c r="J35" s="9" t="str">
        <f>کاتالوگ_محصولات!L35</f>
        <v>🟢 OK</v>
      </c>
    </row>
    <row r="36" spans="1:10" ht="18" customHeight="1">
      <c r="A36" s="9" t="str">
        <f>کاتالوگ_محصولات!A36</f>
        <v>SKU-0033</v>
      </c>
      <c r="B36" s="15" t="str">
        <f>کاتالوگ_محصولات!C36</f>
        <v>شومیز ستیا زرد گلدار سایز2</v>
      </c>
      <c r="C36" s="15" t="str">
        <f>کاتالوگ_محصولات!D36</f>
        <v>شومیز</v>
      </c>
      <c r="D36" s="15" t="str">
        <f>کاتالوگ_محصولات!E36</f>
        <v>Silk</v>
      </c>
      <c r="E36" s="16">
        <f>کاتالوگ_محصولات!G36</f>
        <v>0</v>
      </c>
      <c r="F36" s="16">
        <f>کاتالوگ_محصولات!H36</f>
        <v>1580000</v>
      </c>
      <c r="G36" s="9">
        <f>کاتالوگ_محصولات!I36</f>
        <v>9</v>
      </c>
      <c r="H36" s="9">
        <f>کاتالوگ_محصولات!J36</f>
        <v>0</v>
      </c>
      <c r="I36" s="9">
        <f>کاتالوگ_محصولات!K36</f>
        <v>9</v>
      </c>
      <c r="J36" s="9" t="str">
        <f>کاتالوگ_محصولات!L36</f>
        <v>🟢 OK</v>
      </c>
    </row>
    <row r="37" spans="1:10" ht="18" customHeight="1">
      <c r="A37" s="9" t="str">
        <f>کاتالوگ_محصولات!A37</f>
        <v>SKU-0034</v>
      </c>
      <c r="B37" s="15" t="str">
        <f>کاتالوگ_محصولات!C37</f>
        <v>شومیز غزال مشکی سایز1</v>
      </c>
      <c r="C37" s="15" t="str">
        <f>کاتالوگ_محصولات!D37</f>
        <v>شومیز</v>
      </c>
      <c r="D37" s="15" t="str">
        <f>کاتالوگ_محصولات!E37</f>
        <v>Crepe</v>
      </c>
      <c r="E37" s="16">
        <f>کاتالوگ_محصولات!G37</f>
        <v>0</v>
      </c>
      <c r="F37" s="16">
        <f>کاتالوگ_محصولات!H37</f>
        <v>2580000</v>
      </c>
      <c r="G37" s="9">
        <f>کاتالوگ_محصولات!I37</f>
        <v>9</v>
      </c>
      <c r="H37" s="9">
        <f>کاتالوگ_محصولات!J37</f>
        <v>0</v>
      </c>
      <c r="I37" s="9">
        <f>کاتالوگ_محصولات!K37</f>
        <v>9</v>
      </c>
      <c r="J37" s="9" t="str">
        <f>کاتالوگ_محصولات!L37</f>
        <v>🟢 OK</v>
      </c>
    </row>
    <row r="38" spans="1:10" ht="18" customHeight="1">
      <c r="A38" s="9" t="str">
        <f>کاتالوگ_محصولات!A38</f>
        <v>SKU-0035</v>
      </c>
      <c r="B38" s="15" t="str">
        <f>کاتالوگ_محصولات!C38</f>
        <v>شومیز غزال مشکی سایز2</v>
      </c>
      <c r="C38" s="15" t="str">
        <f>کاتالوگ_محصولات!D38</f>
        <v>شومیز</v>
      </c>
      <c r="D38" s="15" t="str">
        <f>کاتالوگ_محصولات!E38</f>
        <v>Crepe</v>
      </c>
      <c r="E38" s="16">
        <f>کاتالوگ_محصولات!G38</f>
        <v>0</v>
      </c>
      <c r="F38" s="16">
        <f>کاتالوگ_محصولات!H38</f>
        <v>2580000</v>
      </c>
      <c r="G38" s="9">
        <f>کاتالوگ_محصولات!I38</f>
        <v>9</v>
      </c>
      <c r="H38" s="9">
        <f>کاتالوگ_محصولات!J38</f>
        <v>0</v>
      </c>
      <c r="I38" s="9">
        <f>کاتالوگ_محصولات!K38</f>
        <v>9</v>
      </c>
      <c r="J38" s="9" t="str">
        <f>کاتالوگ_محصولات!L38</f>
        <v>🟢 OK</v>
      </c>
    </row>
    <row r="39" spans="1:10" ht="18" customHeight="1">
      <c r="A39" s="9" t="str">
        <f>کاتالوگ_محصولات!A39</f>
        <v>SKU-0036</v>
      </c>
      <c r="B39" s="15" t="str">
        <f>کاتالوگ_محصولات!C39</f>
        <v>شومیز غزال سفید سایز1</v>
      </c>
      <c r="C39" s="15" t="str">
        <f>کاتالوگ_محصولات!D39</f>
        <v>شومیز</v>
      </c>
      <c r="D39" s="15" t="str">
        <f>کاتالوگ_محصولات!E39</f>
        <v>Crepe</v>
      </c>
      <c r="E39" s="16">
        <f>کاتالوگ_محصولات!G39</f>
        <v>0</v>
      </c>
      <c r="F39" s="16">
        <f>کاتالوگ_محصولات!H39</f>
        <v>2580000</v>
      </c>
      <c r="G39" s="9">
        <f>کاتالوگ_محصولات!I39</f>
        <v>9</v>
      </c>
      <c r="H39" s="9">
        <f>کاتالوگ_محصولات!J39</f>
        <v>0</v>
      </c>
      <c r="I39" s="9">
        <f>کاتالوگ_محصولات!K39</f>
        <v>9</v>
      </c>
      <c r="J39" s="9" t="str">
        <f>کاتالوگ_محصولات!L39</f>
        <v>🟢 OK</v>
      </c>
    </row>
    <row r="40" spans="1:10" ht="18" customHeight="1">
      <c r="A40" s="9" t="str">
        <f>کاتالوگ_محصولات!A40</f>
        <v>SKU-0037</v>
      </c>
      <c r="B40" s="15" t="str">
        <f>کاتالوگ_محصولات!C40</f>
        <v>شومیز غزال سفید سایز2</v>
      </c>
      <c r="C40" s="15" t="str">
        <f>کاتالوگ_محصولات!D40</f>
        <v>شومیز</v>
      </c>
      <c r="D40" s="15" t="str">
        <f>کاتالوگ_محصولات!E40</f>
        <v>Crepe</v>
      </c>
      <c r="E40" s="16">
        <f>کاتالوگ_محصولات!G40</f>
        <v>0</v>
      </c>
      <c r="F40" s="16">
        <f>کاتالوگ_محصولات!H40</f>
        <v>2580000</v>
      </c>
      <c r="G40" s="9">
        <f>کاتالوگ_محصولات!I40</f>
        <v>9</v>
      </c>
      <c r="H40" s="9">
        <f>کاتالوگ_محصولات!J40</f>
        <v>0</v>
      </c>
      <c r="I40" s="9">
        <f>کاتالوگ_محصولات!K40</f>
        <v>9</v>
      </c>
      <c r="J40" s="9" t="str">
        <f>کاتالوگ_محصولات!L40</f>
        <v>🟢 OK</v>
      </c>
    </row>
    <row r="41" spans="1:10" ht="18" customHeight="1">
      <c r="A41" s="9" t="str">
        <f>کاتالوگ_محصولات!A41</f>
        <v>SKU-0038</v>
      </c>
      <c r="B41" s="15" t="str">
        <f>کاتالوگ_محصولات!C41</f>
        <v>شومیز غزال آبی سایز1</v>
      </c>
      <c r="C41" s="15" t="str">
        <f>کاتالوگ_محصولات!D41</f>
        <v>شومیز</v>
      </c>
      <c r="D41" s="15" t="str">
        <f>کاتالوگ_محصولات!E41</f>
        <v>Crepe</v>
      </c>
      <c r="E41" s="16">
        <f>کاتالوگ_محصولات!G41</f>
        <v>0</v>
      </c>
      <c r="F41" s="16">
        <f>کاتالوگ_محصولات!H41</f>
        <v>2580000</v>
      </c>
      <c r="G41" s="9">
        <f>کاتالوگ_محصولات!I41</f>
        <v>9</v>
      </c>
      <c r="H41" s="9">
        <f>کاتالوگ_محصولات!J41</f>
        <v>0</v>
      </c>
      <c r="I41" s="9">
        <f>کاتالوگ_محصولات!K41</f>
        <v>9</v>
      </c>
      <c r="J41" s="9" t="str">
        <f>کاتالوگ_محصولات!L41</f>
        <v>🟢 OK</v>
      </c>
    </row>
    <row r="42" spans="1:10" ht="18" customHeight="1">
      <c r="A42" s="9" t="str">
        <f>کاتالوگ_محصولات!A42</f>
        <v>SKU-0039</v>
      </c>
      <c r="B42" s="15" t="str">
        <f>کاتالوگ_محصولات!C42</f>
        <v>شومیز غزال آبی سایز2</v>
      </c>
      <c r="C42" s="15" t="str">
        <f>کاتالوگ_محصولات!D42</f>
        <v>شومیز</v>
      </c>
      <c r="D42" s="15" t="str">
        <f>کاتالوگ_محصولات!E42</f>
        <v>Crepe</v>
      </c>
      <c r="E42" s="16">
        <f>کاتالوگ_محصولات!G42</f>
        <v>0</v>
      </c>
      <c r="F42" s="16">
        <f>کاتالوگ_محصولات!H42</f>
        <v>2580000</v>
      </c>
      <c r="G42" s="9">
        <f>کاتالوگ_محصولات!I42</f>
        <v>9</v>
      </c>
      <c r="H42" s="9">
        <f>کاتالوگ_محصولات!J42</f>
        <v>0</v>
      </c>
      <c r="I42" s="9">
        <f>کاتالوگ_محصولات!K42</f>
        <v>9</v>
      </c>
      <c r="J42" s="9" t="str">
        <f>کاتالوگ_محصولات!L42</f>
        <v>🟢 OK</v>
      </c>
    </row>
    <row r="43" spans="1:10" ht="18" customHeight="1">
      <c r="A43" s="9" t="str">
        <f>کاتالوگ_محصولات!A43</f>
        <v>SKU-0040</v>
      </c>
      <c r="B43" s="15" t="str">
        <f>کاتالوگ_محصولات!C43</f>
        <v>شومیز غزال بنفش سایز1</v>
      </c>
      <c r="C43" s="15" t="str">
        <f>کاتالوگ_محصولات!D43</f>
        <v>شومیز</v>
      </c>
      <c r="D43" s="15" t="str">
        <f>کاتالوگ_محصولات!E43</f>
        <v>Crepe</v>
      </c>
      <c r="E43" s="16">
        <f>کاتالوگ_محصولات!G43</f>
        <v>0</v>
      </c>
      <c r="F43" s="16">
        <f>کاتالوگ_محصولات!H43</f>
        <v>2580000</v>
      </c>
      <c r="G43" s="9">
        <f>کاتالوگ_محصولات!I43</f>
        <v>9</v>
      </c>
      <c r="H43" s="9">
        <f>کاتالوگ_محصولات!J43</f>
        <v>0</v>
      </c>
      <c r="I43" s="9">
        <f>کاتالوگ_محصولات!K43</f>
        <v>9</v>
      </c>
      <c r="J43" s="9" t="str">
        <f>کاتالوگ_محصولات!L43</f>
        <v>🟢 OK</v>
      </c>
    </row>
    <row r="44" spans="1:10" ht="18" customHeight="1">
      <c r="A44" s="9" t="str">
        <f>کاتالوگ_محصولات!A44</f>
        <v>SKU-0041</v>
      </c>
      <c r="B44" s="15" t="str">
        <f>کاتالوگ_محصولات!C44</f>
        <v>شومیز غزال بنفش سایز2</v>
      </c>
      <c r="C44" s="15" t="str">
        <f>کاتالوگ_محصولات!D44</f>
        <v>شومیز</v>
      </c>
      <c r="D44" s="15" t="str">
        <f>کاتالوگ_محصولات!E44</f>
        <v>Crepe</v>
      </c>
      <c r="E44" s="16">
        <f>کاتالوگ_محصولات!G44</f>
        <v>0</v>
      </c>
      <c r="F44" s="16">
        <f>کاتالوگ_محصولات!H44</f>
        <v>2580000</v>
      </c>
      <c r="G44" s="9">
        <f>کاتالوگ_محصولات!I44</f>
        <v>9</v>
      </c>
      <c r="H44" s="9">
        <f>کاتالوگ_محصولات!J44</f>
        <v>0</v>
      </c>
      <c r="I44" s="9">
        <f>کاتالوگ_محصولات!K44</f>
        <v>9</v>
      </c>
      <c r="J44" s="9" t="str">
        <f>کاتالوگ_محصولات!L44</f>
        <v>🟢 OK</v>
      </c>
    </row>
    <row r="45" spans="1:10" ht="18" customHeight="1">
      <c r="A45" s="9" t="str">
        <f>کاتالوگ_محصولات!A45</f>
        <v>SKU-0042</v>
      </c>
      <c r="B45" s="15" t="str">
        <f>کاتالوگ_محصولات!C45</f>
        <v>شومیز جانا مشکی سایز1</v>
      </c>
      <c r="C45" s="15" t="str">
        <f>کاتالوگ_محصولات!D45</f>
        <v>شومیز</v>
      </c>
      <c r="D45" s="15" t="str">
        <f>کاتالوگ_محصولات!E45</f>
        <v>Cotton</v>
      </c>
      <c r="E45" s="16">
        <f>کاتالوگ_محصولات!G45</f>
        <v>0</v>
      </c>
      <c r="F45" s="16">
        <f>کاتالوگ_محصولات!H45</f>
        <v>2580000</v>
      </c>
      <c r="G45" s="9">
        <f>کاتالوگ_محصولات!I45</f>
        <v>9</v>
      </c>
      <c r="H45" s="9">
        <f>کاتالوگ_محصولات!J45</f>
        <v>0</v>
      </c>
      <c r="I45" s="9">
        <f>کاتالوگ_محصولات!K45</f>
        <v>9</v>
      </c>
      <c r="J45" s="9" t="str">
        <f>کاتالوگ_محصولات!L45</f>
        <v>🟢 OK</v>
      </c>
    </row>
    <row r="46" spans="1:10" ht="18" customHeight="1">
      <c r="A46" s="9" t="str">
        <f>کاتالوگ_محصولات!A46</f>
        <v>SKU-0043</v>
      </c>
      <c r="B46" s="15" t="str">
        <f>کاتالوگ_محصولات!C46</f>
        <v>شومیز جانا مشکی سایز2</v>
      </c>
      <c r="C46" s="15" t="str">
        <f>کاتالوگ_محصولات!D46</f>
        <v>شومیز</v>
      </c>
      <c r="D46" s="15" t="str">
        <f>کاتالوگ_محصولات!E46</f>
        <v>Cotton</v>
      </c>
      <c r="E46" s="16">
        <f>کاتالوگ_محصولات!G46</f>
        <v>0</v>
      </c>
      <c r="F46" s="16">
        <f>کاتالوگ_محصولات!H46</f>
        <v>2580000</v>
      </c>
      <c r="G46" s="9">
        <f>کاتالوگ_محصولات!I46</f>
        <v>9</v>
      </c>
      <c r="H46" s="9">
        <f>کاتالوگ_محصولات!J46</f>
        <v>0</v>
      </c>
      <c r="I46" s="9">
        <f>کاتالوگ_محصولات!K46</f>
        <v>9</v>
      </c>
      <c r="J46" s="9" t="str">
        <f>کاتالوگ_محصولات!L46</f>
        <v>🟢 OK</v>
      </c>
    </row>
    <row r="47" spans="1:10" ht="18" customHeight="1">
      <c r="A47" s="9" t="str">
        <f>کاتالوگ_محصولات!A47</f>
        <v>SKU-0044</v>
      </c>
      <c r="B47" s="15" t="str">
        <f>کاتالوگ_محصولات!C47</f>
        <v>شومیز جانا صورتی سایز1</v>
      </c>
      <c r="C47" s="15" t="str">
        <f>کاتالوگ_محصولات!D47</f>
        <v>شومیز</v>
      </c>
      <c r="D47" s="15" t="str">
        <f>کاتالوگ_محصولات!E47</f>
        <v>Cotton</v>
      </c>
      <c r="E47" s="16">
        <f>کاتالوگ_محصولات!G47</f>
        <v>0</v>
      </c>
      <c r="F47" s="16">
        <f>کاتالوگ_محصولات!H47</f>
        <v>2580000</v>
      </c>
      <c r="G47" s="9">
        <f>کاتالوگ_محصولات!I47</f>
        <v>9</v>
      </c>
      <c r="H47" s="9">
        <f>کاتالوگ_محصولات!J47</f>
        <v>0</v>
      </c>
      <c r="I47" s="9">
        <f>کاتالوگ_محصولات!K47</f>
        <v>9</v>
      </c>
      <c r="J47" s="9" t="str">
        <f>کاتالوگ_محصولات!L47</f>
        <v>🟢 OK</v>
      </c>
    </row>
    <row r="48" spans="1:10" ht="18" customHeight="1">
      <c r="A48" s="9" t="str">
        <f>کاتالوگ_محصولات!A48</f>
        <v>SKU-0045</v>
      </c>
      <c r="B48" s="15" t="str">
        <f>کاتالوگ_محصولات!C48</f>
        <v>شومیز جانا صورتی سایز2</v>
      </c>
      <c r="C48" s="15" t="str">
        <f>کاتالوگ_محصولات!D48</f>
        <v>شومیز</v>
      </c>
      <c r="D48" s="15" t="str">
        <f>کاتالوگ_محصولات!E48</f>
        <v>Cotton</v>
      </c>
      <c r="E48" s="16">
        <f>کاتالوگ_محصولات!G48</f>
        <v>0</v>
      </c>
      <c r="F48" s="16">
        <f>کاتالوگ_محصولات!H48</f>
        <v>2580000</v>
      </c>
      <c r="G48" s="9">
        <f>کاتالوگ_محصولات!I48</f>
        <v>9</v>
      </c>
      <c r="H48" s="9">
        <f>کاتالوگ_محصولات!J48</f>
        <v>0</v>
      </c>
      <c r="I48" s="9">
        <f>کاتالوگ_محصولات!K48</f>
        <v>9</v>
      </c>
      <c r="J48" s="9" t="str">
        <f>کاتالوگ_محصولات!L48</f>
        <v>🟢 OK</v>
      </c>
    </row>
    <row r="49" spans="1:10" ht="18" customHeight="1">
      <c r="A49" s="9" t="str">
        <f>کاتالوگ_محصولات!A49</f>
        <v>SKU-0046</v>
      </c>
      <c r="B49" s="15" t="str">
        <f>کاتالوگ_محصولات!C49</f>
        <v>شومیز جانا کرم سایز1</v>
      </c>
      <c r="C49" s="15" t="str">
        <f>کاتالوگ_محصولات!D49</f>
        <v>شومیز</v>
      </c>
      <c r="D49" s="15" t="str">
        <f>کاتالوگ_محصولات!E49</f>
        <v>Cotton</v>
      </c>
      <c r="E49" s="16">
        <f>کاتالوگ_محصولات!G49</f>
        <v>0</v>
      </c>
      <c r="F49" s="16">
        <f>کاتالوگ_محصولات!H49</f>
        <v>2580000</v>
      </c>
      <c r="G49" s="9">
        <f>کاتالوگ_محصولات!I49</f>
        <v>9</v>
      </c>
      <c r="H49" s="9">
        <f>کاتالوگ_محصولات!J49</f>
        <v>0</v>
      </c>
      <c r="I49" s="9">
        <f>کاتالوگ_محصولات!K49</f>
        <v>9</v>
      </c>
      <c r="J49" s="9" t="str">
        <f>کاتالوگ_محصولات!L49</f>
        <v>🟢 OK</v>
      </c>
    </row>
    <row r="50" spans="1:10" ht="18" customHeight="1">
      <c r="A50" s="9" t="str">
        <f>کاتالوگ_محصولات!A50</f>
        <v>SKU-0047</v>
      </c>
      <c r="B50" s="15" t="str">
        <f>کاتالوگ_محصولات!C50</f>
        <v>شومیز جانا کرم سایز2</v>
      </c>
      <c r="C50" s="15" t="str">
        <f>کاتالوگ_محصولات!D50</f>
        <v>شومیز</v>
      </c>
      <c r="D50" s="15" t="str">
        <f>کاتالوگ_محصولات!E50</f>
        <v>Cotton</v>
      </c>
      <c r="E50" s="16">
        <f>کاتالوگ_محصولات!G50</f>
        <v>0</v>
      </c>
      <c r="F50" s="16">
        <f>کاتالوگ_محصولات!H50</f>
        <v>2580000</v>
      </c>
      <c r="G50" s="9">
        <f>کاتالوگ_محصولات!I50</f>
        <v>9</v>
      </c>
      <c r="H50" s="9">
        <f>کاتالوگ_محصولات!J50</f>
        <v>0</v>
      </c>
      <c r="I50" s="9">
        <f>کاتالوگ_محصولات!K50</f>
        <v>9</v>
      </c>
      <c r="J50" s="9" t="str">
        <f>کاتالوگ_محصولات!L50</f>
        <v>🟢 OK</v>
      </c>
    </row>
    <row r="51" spans="1:10" ht="18" customHeight="1">
      <c r="A51" s="9" t="str">
        <f>کاتالوگ_محصولات!A51</f>
        <v>SKU-0048</v>
      </c>
      <c r="B51" s="15" t="str">
        <f>کاتالوگ_محصولات!C51</f>
        <v>شومیز جانا  کاربنی سایز1</v>
      </c>
      <c r="C51" s="15" t="str">
        <f>کاتالوگ_محصولات!D51</f>
        <v>شومیز</v>
      </c>
      <c r="D51" s="15" t="str">
        <f>کاتالوگ_محصولات!E51</f>
        <v>Cotton</v>
      </c>
      <c r="E51" s="16">
        <f>کاتالوگ_محصولات!G51</f>
        <v>0</v>
      </c>
      <c r="F51" s="16">
        <f>کاتالوگ_محصولات!H51</f>
        <v>2580000</v>
      </c>
      <c r="G51" s="9">
        <f>کاتالوگ_محصولات!I51</f>
        <v>9</v>
      </c>
      <c r="H51" s="9">
        <f>کاتالوگ_محصولات!J51</f>
        <v>0</v>
      </c>
      <c r="I51" s="9">
        <f>کاتالوگ_محصولات!K51</f>
        <v>9</v>
      </c>
      <c r="J51" s="9" t="str">
        <f>کاتالوگ_محصولات!L51</f>
        <v>🟢 OK</v>
      </c>
    </row>
    <row r="52" spans="1:10" ht="18" customHeight="1">
      <c r="A52" s="9" t="str">
        <f>کاتالوگ_محصولات!A52</f>
        <v>SKU-0049</v>
      </c>
      <c r="B52" s="15" t="str">
        <f>کاتالوگ_محصولات!C52</f>
        <v>شومیز جانا کاربنی سایز2</v>
      </c>
      <c r="C52" s="15" t="str">
        <f>کاتالوگ_محصولات!D52</f>
        <v>شومیز</v>
      </c>
      <c r="D52" s="15" t="str">
        <f>کاتالوگ_محصولات!E52</f>
        <v>Cotton</v>
      </c>
      <c r="E52" s="16">
        <f>کاتالوگ_محصولات!G52</f>
        <v>0</v>
      </c>
      <c r="F52" s="16">
        <f>کاتالوگ_محصولات!H52</f>
        <v>2580000</v>
      </c>
      <c r="G52" s="9">
        <f>کاتالوگ_محصولات!I52</f>
        <v>9</v>
      </c>
      <c r="H52" s="9">
        <f>کاتالوگ_محصولات!J52</f>
        <v>0</v>
      </c>
      <c r="I52" s="9">
        <f>کاتالوگ_محصولات!K52</f>
        <v>9</v>
      </c>
      <c r="J52" s="9" t="str">
        <f>کاتالوگ_محصولات!L52</f>
        <v>🟢 OK</v>
      </c>
    </row>
    <row r="53" spans="1:10" ht="18" customHeight="1">
      <c r="A53" s="9" t="str">
        <f>کاتالوگ_محصولات!A53</f>
        <v>SKU-0050</v>
      </c>
      <c r="B53" s="15" t="str">
        <f>کاتالوگ_محصولات!C53</f>
        <v>شومیز ویولا مشکی سایز1</v>
      </c>
      <c r="C53" s="15" t="str">
        <f>کاتالوگ_محصولات!D53</f>
        <v>شومیز</v>
      </c>
      <c r="D53" s="15" t="str">
        <f>کاتالوگ_محصولات!E53</f>
        <v>Cotton</v>
      </c>
      <c r="E53" s="16">
        <f>کاتالوگ_محصولات!G53</f>
        <v>0</v>
      </c>
      <c r="F53" s="16">
        <f>کاتالوگ_محصولات!H53</f>
        <v>2480000</v>
      </c>
      <c r="G53" s="9">
        <f>کاتالوگ_محصولات!I53</f>
        <v>9</v>
      </c>
      <c r="H53" s="9">
        <f>کاتالوگ_محصولات!J53</f>
        <v>0</v>
      </c>
      <c r="I53" s="9">
        <f>کاتالوگ_محصولات!K53</f>
        <v>9</v>
      </c>
      <c r="J53" s="9" t="str">
        <f>کاتالوگ_محصولات!L53</f>
        <v>🟢 OK</v>
      </c>
    </row>
    <row r="54" spans="1:10" ht="18" customHeight="1">
      <c r="A54" s="9" t="str">
        <f>کاتالوگ_محصولات!A54</f>
        <v>SKU-0051</v>
      </c>
      <c r="B54" s="15" t="str">
        <f>کاتالوگ_محصولات!C54</f>
        <v>شومیز ویولا مشکی سایز2</v>
      </c>
      <c r="C54" s="15" t="str">
        <f>کاتالوگ_محصولات!D54</f>
        <v>شومیز</v>
      </c>
      <c r="D54" s="15" t="str">
        <f>کاتالوگ_محصولات!E54</f>
        <v>Cotton</v>
      </c>
      <c r="E54" s="16">
        <f>کاتالوگ_محصولات!G54</f>
        <v>0</v>
      </c>
      <c r="F54" s="16">
        <f>کاتالوگ_محصولات!H54</f>
        <v>2480000</v>
      </c>
      <c r="G54" s="9">
        <f>کاتالوگ_محصولات!I54</f>
        <v>9</v>
      </c>
      <c r="H54" s="9">
        <f>کاتالوگ_محصولات!J54</f>
        <v>0</v>
      </c>
      <c r="I54" s="9">
        <f>کاتالوگ_محصولات!K54</f>
        <v>9</v>
      </c>
      <c r="J54" s="9" t="str">
        <f>کاتالوگ_محصولات!L54</f>
        <v>🟢 OK</v>
      </c>
    </row>
    <row r="55" spans="1:10" ht="18" customHeight="1">
      <c r="A55" s="9" t="str">
        <f>کاتالوگ_محصولات!A55</f>
        <v>SKU-0052</v>
      </c>
      <c r="B55" s="15" t="str">
        <f>کاتالوگ_محصولات!C55</f>
        <v>شومیز ویولا صورتی سایز1</v>
      </c>
      <c r="C55" s="15" t="str">
        <f>کاتالوگ_محصولات!D55</f>
        <v>شومیز</v>
      </c>
      <c r="D55" s="15" t="str">
        <f>کاتالوگ_محصولات!E55</f>
        <v>Cotton</v>
      </c>
      <c r="E55" s="16">
        <f>کاتالوگ_محصولات!G55</f>
        <v>0</v>
      </c>
      <c r="F55" s="16">
        <f>کاتالوگ_محصولات!H55</f>
        <v>2480000</v>
      </c>
      <c r="G55" s="9">
        <f>کاتالوگ_محصولات!I55</f>
        <v>9</v>
      </c>
      <c r="H55" s="9">
        <f>کاتالوگ_محصولات!J55</f>
        <v>0</v>
      </c>
      <c r="I55" s="9">
        <f>کاتالوگ_محصولات!K55</f>
        <v>9</v>
      </c>
      <c r="J55" s="9" t="str">
        <f>کاتالوگ_محصولات!L55</f>
        <v>🟢 OK</v>
      </c>
    </row>
    <row r="56" spans="1:10" ht="18" customHeight="1">
      <c r="A56" s="9" t="str">
        <f>کاتالوگ_محصولات!A56</f>
        <v>SKU-0053</v>
      </c>
      <c r="B56" s="15" t="str">
        <f>کاتالوگ_محصولات!C56</f>
        <v>شومیز ویولا صورتی سایز2</v>
      </c>
      <c r="C56" s="15" t="str">
        <f>کاتالوگ_محصولات!D56</f>
        <v>شومیز</v>
      </c>
      <c r="D56" s="15" t="str">
        <f>کاتالوگ_محصولات!E56</f>
        <v>Cotton</v>
      </c>
      <c r="E56" s="16">
        <f>کاتالوگ_محصولات!G56</f>
        <v>0</v>
      </c>
      <c r="F56" s="16">
        <f>کاتالوگ_محصولات!H56</f>
        <v>2480000</v>
      </c>
      <c r="G56" s="9">
        <f>کاتالوگ_محصولات!I56</f>
        <v>9</v>
      </c>
      <c r="H56" s="9">
        <f>کاتالوگ_محصولات!J56</f>
        <v>0</v>
      </c>
      <c r="I56" s="9">
        <f>کاتالوگ_محصولات!K56</f>
        <v>9</v>
      </c>
      <c r="J56" s="9" t="str">
        <f>کاتالوگ_محصولات!L56</f>
        <v>🟢 OK</v>
      </c>
    </row>
    <row r="57" spans="1:10" ht="18" customHeight="1">
      <c r="A57" s="9" t="str">
        <f>کاتالوگ_محصولات!A57</f>
        <v>SKU-0054</v>
      </c>
      <c r="B57" s="15" t="str">
        <f>کاتالوگ_محصولات!C57</f>
        <v>شومیز ویولا سرخابی سایز1</v>
      </c>
      <c r="C57" s="15" t="str">
        <f>کاتالوگ_محصولات!D57</f>
        <v>شومیز</v>
      </c>
      <c r="D57" s="15" t="str">
        <f>کاتالوگ_محصولات!E57</f>
        <v>Cotton</v>
      </c>
      <c r="E57" s="16">
        <f>کاتالوگ_محصولات!G57</f>
        <v>0</v>
      </c>
      <c r="F57" s="16">
        <f>کاتالوگ_محصولات!H57</f>
        <v>2480000</v>
      </c>
      <c r="G57" s="9">
        <f>کاتالوگ_محصولات!I57</f>
        <v>9</v>
      </c>
      <c r="H57" s="9">
        <f>کاتالوگ_محصولات!J57</f>
        <v>0</v>
      </c>
      <c r="I57" s="9">
        <f>کاتالوگ_محصولات!K57</f>
        <v>9</v>
      </c>
      <c r="J57" s="9" t="str">
        <f>کاتالوگ_محصولات!L57</f>
        <v>🟢 OK</v>
      </c>
    </row>
    <row r="58" spans="1:10" ht="18" customHeight="1">
      <c r="A58" s="9" t="str">
        <f>کاتالوگ_محصولات!A58</f>
        <v>SKU-0055</v>
      </c>
      <c r="B58" s="15" t="str">
        <f>کاتالوگ_محصولات!C58</f>
        <v>شومیز ویولا سرخابی سایز2</v>
      </c>
      <c r="C58" s="15" t="str">
        <f>کاتالوگ_محصولات!D58</f>
        <v>شومیز</v>
      </c>
      <c r="D58" s="15" t="str">
        <f>کاتالوگ_محصولات!E58</f>
        <v>Cotton</v>
      </c>
      <c r="E58" s="16">
        <f>کاتالوگ_محصولات!G58</f>
        <v>0</v>
      </c>
      <c r="F58" s="16">
        <f>کاتالوگ_محصولات!H58</f>
        <v>2480000</v>
      </c>
      <c r="G58" s="9">
        <f>کاتالوگ_محصولات!I58</f>
        <v>9</v>
      </c>
      <c r="H58" s="9">
        <f>کاتالوگ_محصولات!J58</f>
        <v>0</v>
      </c>
      <c r="I58" s="9">
        <f>کاتالوگ_محصولات!K58</f>
        <v>9</v>
      </c>
      <c r="J58" s="9" t="str">
        <f>کاتالوگ_محصولات!L58</f>
        <v>🟢 OK</v>
      </c>
    </row>
    <row r="59" spans="1:10" ht="18" customHeight="1">
      <c r="A59" s="9" t="str">
        <f>کاتالوگ_محصولات!A59</f>
        <v>SKU-0056</v>
      </c>
      <c r="B59" s="15" t="str">
        <f>کاتالوگ_محصولات!C59</f>
        <v>شومیز ویولا کرم سایز1</v>
      </c>
      <c r="C59" s="15" t="str">
        <f>کاتالوگ_محصولات!D59</f>
        <v>شومیز</v>
      </c>
      <c r="D59" s="15" t="str">
        <f>کاتالوگ_محصولات!E59</f>
        <v>Cotton</v>
      </c>
      <c r="E59" s="16">
        <f>کاتالوگ_محصولات!G59</f>
        <v>0</v>
      </c>
      <c r="F59" s="16">
        <f>کاتالوگ_محصولات!H59</f>
        <v>2480000</v>
      </c>
      <c r="G59" s="9">
        <f>کاتالوگ_محصولات!I59</f>
        <v>9</v>
      </c>
      <c r="H59" s="9">
        <f>کاتالوگ_محصولات!J59</f>
        <v>0</v>
      </c>
      <c r="I59" s="9">
        <f>کاتالوگ_محصولات!K59</f>
        <v>9</v>
      </c>
      <c r="J59" s="9" t="str">
        <f>کاتالوگ_محصولات!L59</f>
        <v>🟢 OK</v>
      </c>
    </row>
    <row r="60" spans="1:10" ht="18" customHeight="1">
      <c r="A60" s="9" t="str">
        <f>کاتالوگ_محصولات!A60</f>
        <v>SKU-0057</v>
      </c>
      <c r="B60" s="15" t="str">
        <f>کاتالوگ_محصولات!C60</f>
        <v>شومیز ویولا کرم سایز2</v>
      </c>
      <c r="C60" s="15" t="str">
        <f>کاتالوگ_محصولات!D60</f>
        <v>شومیز</v>
      </c>
      <c r="D60" s="15" t="str">
        <f>کاتالوگ_محصولات!E60</f>
        <v>Cotton</v>
      </c>
      <c r="E60" s="16">
        <f>کاتالوگ_محصولات!G60</f>
        <v>0</v>
      </c>
      <c r="F60" s="16">
        <f>کاتالوگ_محصولات!H60</f>
        <v>2480000</v>
      </c>
      <c r="G60" s="9">
        <f>کاتالوگ_محصولات!I60</f>
        <v>9</v>
      </c>
      <c r="H60" s="9">
        <f>کاتالوگ_محصولات!J60</f>
        <v>0</v>
      </c>
      <c r="I60" s="9">
        <f>کاتالوگ_محصولات!K60</f>
        <v>9</v>
      </c>
      <c r="J60" s="9" t="str">
        <f>کاتالوگ_محصولات!L60</f>
        <v>🟢 OK</v>
      </c>
    </row>
    <row r="61" spans="1:10" ht="18" customHeight="1">
      <c r="A61" s="9" t="str">
        <f>کاتالوگ_محصولات!A61</f>
        <v>SKU-0058</v>
      </c>
      <c r="B61" s="15" t="str">
        <f>کاتالوگ_محصولات!C61</f>
        <v>شومیز دریا صورتی سایز1</v>
      </c>
      <c r="C61" s="15" t="str">
        <f>کاتالوگ_محصولات!D61</f>
        <v>شومیز</v>
      </c>
      <c r="D61" s="15" t="str">
        <f>کاتالوگ_محصولات!E61</f>
        <v>Cotton</v>
      </c>
      <c r="E61" s="16">
        <f>کاتالوگ_محصولات!G61</f>
        <v>0</v>
      </c>
      <c r="F61" s="16">
        <f>کاتالوگ_محصولات!H61</f>
        <v>2580000</v>
      </c>
      <c r="G61" s="9">
        <f>کاتالوگ_محصولات!I61</f>
        <v>9</v>
      </c>
      <c r="H61" s="9">
        <f>کاتالوگ_محصولات!J61</f>
        <v>0</v>
      </c>
      <c r="I61" s="9">
        <f>کاتالوگ_محصولات!K61</f>
        <v>9</v>
      </c>
      <c r="J61" s="9" t="str">
        <f>کاتالوگ_محصولات!L61</f>
        <v>🟢 OK</v>
      </c>
    </row>
    <row r="62" spans="1:10" ht="18" customHeight="1">
      <c r="A62" s="9" t="str">
        <f>کاتالوگ_محصولات!A62</f>
        <v>SKU-0059</v>
      </c>
      <c r="B62" s="15" t="str">
        <f>کاتالوگ_محصولات!C62</f>
        <v>شومیز دریا صورتی سایز2</v>
      </c>
      <c r="C62" s="15" t="str">
        <f>کاتالوگ_محصولات!D62</f>
        <v>شومیز</v>
      </c>
      <c r="D62" s="15" t="str">
        <f>کاتالوگ_محصولات!E62</f>
        <v>Cotton</v>
      </c>
      <c r="E62" s="16">
        <f>کاتالوگ_محصولات!G62</f>
        <v>0</v>
      </c>
      <c r="F62" s="16">
        <f>کاتالوگ_محصولات!H62</f>
        <v>2580000</v>
      </c>
      <c r="G62" s="9">
        <f>کاتالوگ_محصولات!I62</f>
        <v>9</v>
      </c>
      <c r="H62" s="9">
        <f>کاتالوگ_محصولات!J62</f>
        <v>0</v>
      </c>
      <c r="I62" s="9">
        <f>کاتالوگ_محصولات!K62</f>
        <v>9</v>
      </c>
      <c r="J62" s="9" t="str">
        <f>کاتالوگ_محصولات!L62</f>
        <v>🟢 OK</v>
      </c>
    </row>
    <row r="63" spans="1:10" ht="18" customHeight="1">
      <c r="A63" s="9" t="str">
        <f>کاتالوگ_محصولات!A63</f>
        <v>SKU-0060</v>
      </c>
      <c r="B63" s="15" t="str">
        <f>کاتالوگ_محصولات!C63</f>
        <v>شومیز دریا مشکی سایز1</v>
      </c>
      <c r="C63" s="15" t="str">
        <f>کاتالوگ_محصولات!D63</f>
        <v>شومیز</v>
      </c>
      <c r="D63" s="15" t="str">
        <f>کاتالوگ_محصولات!E63</f>
        <v>Cotton</v>
      </c>
      <c r="E63" s="16">
        <f>کاتالوگ_محصولات!G63</f>
        <v>0</v>
      </c>
      <c r="F63" s="16">
        <f>کاتالوگ_محصولات!H63</f>
        <v>2580000</v>
      </c>
      <c r="G63" s="9">
        <f>کاتالوگ_محصولات!I63</f>
        <v>9</v>
      </c>
      <c r="H63" s="9">
        <f>کاتالوگ_محصولات!J63</f>
        <v>0</v>
      </c>
      <c r="I63" s="9">
        <f>کاتالوگ_محصولات!K63</f>
        <v>9</v>
      </c>
      <c r="J63" s="9" t="str">
        <f>کاتالوگ_محصولات!L63</f>
        <v>🟢 OK</v>
      </c>
    </row>
    <row r="64" spans="1:10" ht="18" customHeight="1">
      <c r="A64" s="9" t="str">
        <f>کاتالوگ_محصولات!A64</f>
        <v>SKU-0061</v>
      </c>
      <c r="B64" s="15" t="str">
        <f>کاتالوگ_محصولات!C64</f>
        <v>شومیز دریا مشکی سایز2</v>
      </c>
      <c r="C64" s="15" t="str">
        <f>کاتالوگ_محصولات!D64</f>
        <v>شومیز</v>
      </c>
      <c r="D64" s="15" t="str">
        <f>کاتالوگ_محصولات!E64</f>
        <v>Cotton</v>
      </c>
      <c r="E64" s="16">
        <f>کاتالوگ_محصولات!G64</f>
        <v>0</v>
      </c>
      <c r="F64" s="16">
        <f>کاتالوگ_محصولات!H64</f>
        <v>2580000</v>
      </c>
      <c r="G64" s="9">
        <f>کاتالوگ_محصولات!I64</f>
        <v>9</v>
      </c>
      <c r="H64" s="9">
        <f>کاتالوگ_محصولات!J64</f>
        <v>0</v>
      </c>
      <c r="I64" s="9">
        <f>کاتالوگ_محصولات!K64</f>
        <v>9</v>
      </c>
      <c r="J64" s="9" t="str">
        <f>کاتالوگ_محصولات!L64</f>
        <v>🟢 OK</v>
      </c>
    </row>
    <row r="65" spans="1:10" ht="18" customHeight="1">
      <c r="A65" s="9" t="str">
        <f>کاتالوگ_محصولات!A65</f>
        <v>SKU-0062</v>
      </c>
      <c r="B65" s="15" t="str">
        <f>کاتالوگ_محصولات!C65</f>
        <v>شومیز دریا کرم سایز1</v>
      </c>
      <c r="C65" s="15" t="str">
        <f>کاتالوگ_محصولات!D65</f>
        <v>شومیز</v>
      </c>
      <c r="D65" s="15" t="str">
        <f>کاتالوگ_محصولات!E65</f>
        <v>Cotton</v>
      </c>
      <c r="E65" s="16">
        <f>کاتالوگ_محصولات!G65</f>
        <v>0</v>
      </c>
      <c r="F65" s="16">
        <f>کاتالوگ_محصولات!H65</f>
        <v>2580000</v>
      </c>
      <c r="G65" s="9">
        <f>کاتالوگ_محصولات!I65</f>
        <v>9</v>
      </c>
      <c r="H65" s="9">
        <f>کاتالوگ_محصولات!J65</f>
        <v>0</v>
      </c>
      <c r="I65" s="9">
        <f>کاتالوگ_محصولات!K65</f>
        <v>9</v>
      </c>
      <c r="J65" s="9" t="str">
        <f>کاتالوگ_محصولات!L65</f>
        <v>🟢 OK</v>
      </c>
    </row>
    <row r="66" spans="1:10" ht="18" customHeight="1">
      <c r="A66" s="9" t="str">
        <f>کاتالوگ_محصولات!A66</f>
        <v>SKU-0063</v>
      </c>
      <c r="B66" s="15" t="str">
        <f>کاتالوگ_محصولات!C66</f>
        <v>شومیز دریا کرم سایز2</v>
      </c>
      <c r="C66" s="15" t="str">
        <f>کاتالوگ_محصولات!D66</f>
        <v>شومیز</v>
      </c>
      <c r="D66" s="15" t="str">
        <f>کاتالوگ_محصولات!E66</f>
        <v>Cotton</v>
      </c>
      <c r="E66" s="16">
        <f>کاتالوگ_محصولات!G66</f>
        <v>0</v>
      </c>
      <c r="F66" s="16">
        <f>کاتالوگ_محصولات!H66</f>
        <v>2580000</v>
      </c>
      <c r="G66" s="9">
        <f>کاتالوگ_محصولات!I66</f>
        <v>9</v>
      </c>
      <c r="H66" s="9">
        <f>کاتالوگ_محصولات!J66</f>
        <v>0</v>
      </c>
      <c r="I66" s="9">
        <f>کاتالوگ_محصولات!K66</f>
        <v>9</v>
      </c>
      <c r="J66" s="9" t="str">
        <f>کاتالوگ_محصولات!L66</f>
        <v>🟢 OK</v>
      </c>
    </row>
    <row r="67" spans="1:10" ht="18" customHeight="1">
      <c r="A67" s="9" t="str">
        <f>کاتالوگ_محصولات!A67</f>
        <v>SKU-0064</v>
      </c>
      <c r="B67" s="15" t="str">
        <f>کاتالوگ_محصولات!C67</f>
        <v>شومیز دریا کاربنی سایز1</v>
      </c>
      <c r="C67" s="15" t="str">
        <f>کاتالوگ_محصولات!D67</f>
        <v>شومیز</v>
      </c>
      <c r="D67" s="15" t="str">
        <f>کاتالوگ_محصولات!E67</f>
        <v>Cotton</v>
      </c>
      <c r="E67" s="16">
        <f>کاتالوگ_محصولات!G67</f>
        <v>0</v>
      </c>
      <c r="F67" s="16">
        <f>کاتالوگ_محصولات!H67</f>
        <v>2580000</v>
      </c>
      <c r="G67" s="9">
        <f>کاتالوگ_محصولات!I67</f>
        <v>9</v>
      </c>
      <c r="H67" s="9">
        <f>کاتالوگ_محصولات!J67</f>
        <v>0</v>
      </c>
      <c r="I67" s="9">
        <f>کاتالوگ_محصولات!K67</f>
        <v>9</v>
      </c>
      <c r="J67" s="9" t="str">
        <f>کاتالوگ_محصولات!L67</f>
        <v>🟢 OK</v>
      </c>
    </row>
    <row r="68" spans="1:10" ht="18" customHeight="1">
      <c r="A68" s="9" t="str">
        <f>کاتالوگ_محصولات!A68</f>
        <v>SKU-0065</v>
      </c>
      <c r="B68" s="15" t="str">
        <f>کاتالوگ_محصولات!C68</f>
        <v>شومیز دریا کاربنی سایز2</v>
      </c>
      <c r="C68" s="15" t="str">
        <f>کاتالوگ_محصولات!D68</f>
        <v>شومیز</v>
      </c>
      <c r="D68" s="15" t="str">
        <f>کاتالوگ_محصولات!E68</f>
        <v>Cotton</v>
      </c>
      <c r="E68" s="16">
        <f>کاتالوگ_محصولات!G68</f>
        <v>0</v>
      </c>
      <c r="F68" s="16">
        <f>کاتالوگ_محصولات!H68</f>
        <v>2580000</v>
      </c>
      <c r="G68" s="9">
        <f>کاتالوگ_محصولات!I68</f>
        <v>9</v>
      </c>
      <c r="H68" s="9">
        <f>کاتالوگ_محصولات!J68</f>
        <v>0</v>
      </c>
      <c r="I68" s="9">
        <f>کاتالوگ_محصولات!K68</f>
        <v>9</v>
      </c>
      <c r="J68" s="9" t="str">
        <f>کاتالوگ_محصولات!L68</f>
        <v>🟢 OK</v>
      </c>
    </row>
    <row r="69" spans="1:10" ht="18" customHeight="1">
      <c r="A69" s="9" t="str">
        <f>کاتالوگ_محصولات!A69</f>
        <v>SKU-0066</v>
      </c>
      <c r="B69" s="15" t="str">
        <f>کاتالوگ_محصولات!C69</f>
        <v>شومیز لیو نباتی سایز1</v>
      </c>
      <c r="C69" s="15" t="str">
        <f>کاتالوگ_محصولات!D69</f>
        <v>شومیز</v>
      </c>
      <c r="D69" s="15" t="str">
        <f>کاتالوگ_محصولات!E69</f>
        <v>lyocel</v>
      </c>
      <c r="E69" s="16">
        <f>کاتالوگ_محصولات!G69</f>
        <v>0</v>
      </c>
      <c r="F69" s="16">
        <f>کاتالوگ_محصولات!H69</f>
        <v>3580000</v>
      </c>
      <c r="G69" s="9">
        <f>کاتالوگ_محصولات!I69</f>
        <v>9</v>
      </c>
      <c r="H69" s="9">
        <f>کاتالوگ_محصولات!J69</f>
        <v>0</v>
      </c>
      <c r="I69" s="9">
        <f>کاتالوگ_محصولات!K69</f>
        <v>9</v>
      </c>
      <c r="J69" s="9" t="str">
        <f>کاتالوگ_محصولات!L69</f>
        <v>🟢 OK</v>
      </c>
    </row>
    <row r="70" spans="1:10" ht="18" customHeight="1">
      <c r="A70" s="9" t="str">
        <f>کاتالوگ_محصولات!A70</f>
        <v>SKU-0067</v>
      </c>
      <c r="B70" s="15" t="str">
        <f>کاتالوگ_محصولات!C70</f>
        <v>شومیز لیو نباتی سایز2</v>
      </c>
      <c r="C70" s="15" t="str">
        <f>کاتالوگ_محصولات!D70</f>
        <v>شومیز</v>
      </c>
      <c r="D70" s="15" t="str">
        <f>کاتالوگ_محصولات!E70</f>
        <v>lyocel</v>
      </c>
      <c r="E70" s="16">
        <f>کاتالوگ_محصولات!G70</f>
        <v>0</v>
      </c>
      <c r="F70" s="16">
        <f>کاتالوگ_محصولات!H70</f>
        <v>3580000</v>
      </c>
      <c r="G70" s="9">
        <f>کاتالوگ_محصولات!I70</f>
        <v>9</v>
      </c>
      <c r="H70" s="9">
        <f>کاتالوگ_محصولات!J70</f>
        <v>0</v>
      </c>
      <c r="I70" s="9">
        <f>کاتالوگ_محصولات!K70</f>
        <v>9</v>
      </c>
      <c r="J70" s="9" t="str">
        <f>کاتالوگ_محصولات!L70</f>
        <v>🟢 OK</v>
      </c>
    </row>
    <row r="71" spans="1:10" ht="18" customHeight="1">
      <c r="A71" s="9" t="str">
        <f>کاتالوگ_محصولات!A71</f>
        <v>SKU-0068</v>
      </c>
      <c r="B71" s="15" t="str">
        <f>کاتالوگ_محصولات!C71</f>
        <v>شومیز لیو یاسی سایز1</v>
      </c>
      <c r="C71" s="15" t="str">
        <f>کاتالوگ_محصولات!D71</f>
        <v>شومیز</v>
      </c>
      <c r="D71" s="15" t="str">
        <f>کاتالوگ_محصولات!E71</f>
        <v>lyocel</v>
      </c>
      <c r="E71" s="16">
        <f>کاتالوگ_محصولات!G71</f>
        <v>0</v>
      </c>
      <c r="F71" s="16">
        <f>کاتالوگ_محصولات!H71</f>
        <v>3580000</v>
      </c>
      <c r="G71" s="9">
        <f>کاتالوگ_محصولات!I71</f>
        <v>9</v>
      </c>
      <c r="H71" s="9">
        <f>کاتالوگ_محصولات!J71</f>
        <v>0</v>
      </c>
      <c r="I71" s="9">
        <f>کاتالوگ_محصولات!K71</f>
        <v>9</v>
      </c>
      <c r="J71" s="9" t="str">
        <f>کاتالوگ_محصولات!L71</f>
        <v>🟢 OK</v>
      </c>
    </row>
    <row r="72" spans="1:10" ht="18" customHeight="1">
      <c r="A72" s="9" t="str">
        <f>کاتالوگ_محصولات!A72</f>
        <v>SKU-0069</v>
      </c>
      <c r="B72" s="15" t="str">
        <f>کاتالوگ_محصولات!C72</f>
        <v>شومیز لیو یاسی سایز2</v>
      </c>
      <c r="C72" s="15" t="str">
        <f>کاتالوگ_محصولات!D72</f>
        <v>شومیز</v>
      </c>
      <c r="D72" s="15" t="str">
        <f>کاتالوگ_محصولات!E72</f>
        <v>lyocel</v>
      </c>
      <c r="E72" s="16">
        <f>کاتالوگ_محصولات!G72</f>
        <v>0</v>
      </c>
      <c r="F72" s="16">
        <f>کاتالوگ_محصولات!H72</f>
        <v>3580000</v>
      </c>
      <c r="G72" s="9">
        <f>کاتالوگ_محصولات!I72</f>
        <v>9</v>
      </c>
      <c r="H72" s="9">
        <f>کاتالوگ_محصولات!J72</f>
        <v>0</v>
      </c>
      <c r="I72" s="9">
        <f>کاتالوگ_محصولات!K72</f>
        <v>9</v>
      </c>
      <c r="J72" s="9" t="str">
        <f>کاتالوگ_محصولات!L72</f>
        <v>🟢 OK</v>
      </c>
    </row>
    <row r="73" spans="1:10" ht="18" customHeight="1">
      <c r="A73" s="9" t="str">
        <f>کاتالوگ_محصولات!A73</f>
        <v>SKU-0070</v>
      </c>
      <c r="B73" s="15" t="str">
        <f>کاتالوگ_محصولات!C73</f>
        <v>شومیز لیو سفید سایز1</v>
      </c>
      <c r="C73" s="15" t="str">
        <f>کاتالوگ_محصولات!D73</f>
        <v>شومیز</v>
      </c>
      <c r="D73" s="15" t="str">
        <f>کاتالوگ_محصولات!E73</f>
        <v>lyocel</v>
      </c>
      <c r="E73" s="16">
        <f>کاتالوگ_محصولات!G73</f>
        <v>0</v>
      </c>
      <c r="F73" s="16">
        <f>کاتالوگ_محصولات!H73</f>
        <v>3580000</v>
      </c>
      <c r="G73" s="9">
        <f>کاتالوگ_محصولات!I73</f>
        <v>9</v>
      </c>
      <c r="H73" s="9">
        <f>کاتالوگ_محصولات!J73</f>
        <v>0</v>
      </c>
      <c r="I73" s="9">
        <f>کاتالوگ_محصولات!K73</f>
        <v>9</v>
      </c>
      <c r="J73" s="9" t="str">
        <f>کاتالوگ_محصولات!L73</f>
        <v>🟢 OK</v>
      </c>
    </row>
    <row r="74" spans="1:10" ht="18" customHeight="1">
      <c r="A74" s="9" t="str">
        <f>کاتالوگ_محصولات!A74</f>
        <v>SKU-0071</v>
      </c>
      <c r="B74" s="15" t="str">
        <f>کاتالوگ_محصولات!C74</f>
        <v>کت ژاکارد ابی سایز 1</v>
      </c>
      <c r="C74" s="15" t="str">
        <f>کاتالوگ_محصولات!D74</f>
        <v>شومیز</v>
      </c>
      <c r="D74" s="15" t="str">
        <f>کاتالوگ_محصولات!E74</f>
        <v>lyocel</v>
      </c>
      <c r="E74" s="16">
        <f>کاتالوگ_محصولات!G74</f>
        <v>0</v>
      </c>
      <c r="F74" s="16">
        <f>کاتالوگ_محصولات!H74</f>
        <v>3850000</v>
      </c>
      <c r="G74" s="9">
        <f>کاتالوگ_محصولات!I74</f>
        <v>9</v>
      </c>
      <c r="H74" s="9">
        <f>کاتالوگ_محصولات!J74</f>
        <v>0</v>
      </c>
      <c r="I74" s="9">
        <f>کاتالوگ_محصولات!K74</f>
        <v>9</v>
      </c>
      <c r="J74" s="9" t="str">
        <f>کاتالوگ_محصولات!L74</f>
        <v>🟢 OK</v>
      </c>
    </row>
    <row r="75" spans="1:10" ht="18" customHeight="1">
      <c r="A75" s="9" t="str">
        <f>کاتالوگ_محصولات!A75</f>
        <v>SKU-0072</v>
      </c>
      <c r="B75" s="15" t="str">
        <f>کاتالوگ_محصولات!C75</f>
        <v>شلوار کاترین مشکی 1</v>
      </c>
      <c r="C75" s="15" t="str">
        <f>کاتالوگ_محصولات!D75</f>
        <v>شلوار</v>
      </c>
      <c r="D75" s="15" t="str">
        <f>کاتالوگ_محصولات!E75</f>
        <v>Crepe</v>
      </c>
      <c r="E75" s="16">
        <f>کاتالوگ_محصولات!G75</f>
        <v>0</v>
      </c>
      <c r="F75" s="16">
        <f>کاتالوگ_محصولات!H75</f>
        <v>4580000</v>
      </c>
      <c r="G75" s="9">
        <f>کاتالوگ_محصولات!I75</f>
        <v>9</v>
      </c>
      <c r="H75" s="9">
        <f>کاتالوگ_محصولات!J75</f>
        <v>0</v>
      </c>
      <c r="I75" s="9">
        <f>کاتالوگ_محصولات!K75</f>
        <v>9</v>
      </c>
      <c r="J75" s="9" t="str">
        <f>کاتالوگ_محصولات!L75</f>
        <v>🟢 OK</v>
      </c>
    </row>
    <row r="76" spans="1:10" ht="18" customHeight="1">
      <c r="A76" s="9" t="str">
        <f>کاتالوگ_محصولات!A76</f>
        <v>SKU-0073</v>
      </c>
      <c r="B76" s="15" t="str">
        <f>کاتالوگ_محصولات!C76</f>
        <v>شلوار کاترین مشکی 2</v>
      </c>
      <c r="C76" s="15" t="str">
        <f>کاتالوگ_محصولات!D76</f>
        <v>شلوار</v>
      </c>
      <c r="D76" s="15" t="str">
        <f>کاتالوگ_محصولات!E76</f>
        <v>Crepe</v>
      </c>
      <c r="E76" s="16">
        <f>کاتالوگ_محصولات!G76</f>
        <v>0</v>
      </c>
      <c r="F76" s="16">
        <f>کاتالوگ_محصولات!H76</f>
        <v>4580000</v>
      </c>
      <c r="G76" s="9">
        <f>کاتالوگ_محصولات!I76</f>
        <v>9</v>
      </c>
      <c r="H76" s="9">
        <f>کاتالوگ_محصولات!J76</f>
        <v>0</v>
      </c>
      <c r="I76" s="9">
        <f>کاتالوگ_محصولات!K76</f>
        <v>9</v>
      </c>
      <c r="J76" s="9" t="str">
        <f>کاتالوگ_محصولات!L76</f>
        <v>🟢 OK</v>
      </c>
    </row>
    <row r="77" spans="1:10" ht="18" customHeight="1">
      <c r="A77" s="9" t="str">
        <f>کاتالوگ_محصولات!A77</f>
        <v>SKU-0074</v>
      </c>
      <c r="B77" s="15" t="str">
        <f>کاتالوگ_محصولات!C77</f>
        <v>شلوار کاترین مشکی 3</v>
      </c>
      <c r="C77" s="15" t="str">
        <f>کاتالوگ_محصولات!D77</f>
        <v>شلوار</v>
      </c>
      <c r="D77" s="15" t="str">
        <f>کاتالوگ_محصولات!E77</f>
        <v>Crepe</v>
      </c>
      <c r="E77" s="16">
        <f>کاتالوگ_محصولات!G77</f>
        <v>0</v>
      </c>
      <c r="F77" s="16">
        <f>کاتالوگ_محصولات!H77</f>
        <v>4580000</v>
      </c>
      <c r="G77" s="9">
        <f>کاتالوگ_محصولات!I77</f>
        <v>9</v>
      </c>
      <c r="H77" s="9">
        <f>کاتالوگ_محصولات!J77</f>
        <v>0</v>
      </c>
      <c r="I77" s="9">
        <f>کاتالوگ_محصولات!K77</f>
        <v>9</v>
      </c>
      <c r="J77" s="9" t="str">
        <f>کاتالوگ_محصولات!L77</f>
        <v>🟢 OK</v>
      </c>
    </row>
    <row r="78" spans="1:10" ht="18" customHeight="1">
      <c r="A78" s="9" t="str">
        <f>کاتالوگ_محصولات!A78</f>
        <v>SKU-0075</v>
      </c>
      <c r="B78" s="15" t="str">
        <f>کاتالوگ_محصولات!C78</f>
        <v>شلوار کاترین سرمه ای1</v>
      </c>
      <c r="C78" s="15" t="str">
        <f>کاتالوگ_محصولات!D78</f>
        <v>شلوار</v>
      </c>
      <c r="D78" s="15" t="str">
        <f>کاتالوگ_محصولات!E78</f>
        <v>Crepe</v>
      </c>
      <c r="E78" s="16">
        <f>کاتالوگ_محصولات!G78</f>
        <v>0</v>
      </c>
      <c r="F78" s="16">
        <f>کاتالوگ_محصولات!H78</f>
        <v>4580000</v>
      </c>
      <c r="G78" s="9">
        <f>کاتالوگ_محصولات!I78</f>
        <v>9</v>
      </c>
      <c r="H78" s="9">
        <f>کاتالوگ_محصولات!J78</f>
        <v>0</v>
      </c>
      <c r="I78" s="9">
        <f>کاتالوگ_محصولات!K78</f>
        <v>9</v>
      </c>
      <c r="J78" s="9" t="str">
        <f>کاتالوگ_محصولات!L78</f>
        <v>🟢 OK</v>
      </c>
    </row>
    <row r="79" spans="1:10" ht="18" customHeight="1">
      <c r="A79" s="9" t="str">
        <f>کاتالوگ_محصولات!A79</f>
        <v>SKU-0076</v>
      </c>
      <c r="B79" s="15" t="str">
        <f>کاتالوگ_محصولات!C79</f>
        <v>شلوار کاترین سرمه ای 2</v>
      </c>
      <c r="C79" s="15" t="str">
        <f>کاتالوگ_محصولات!D79</f>
        <v>شلوار</v>
      </c>
      <c r="D79" s="15" t="str">
        <f>کاتالوگ_محصولات!E79</f>
        <v>Crepe</v>
      </c>
      <c r="E79" s="16">
        <f>کاتالوگ_محصولات!G79</f>
        <v>0</v>
      </c>
      <c r="F79" s="16">
        <f>کاتالوگ_محصولات!H79</f>
        <v>4580000</v>
      </c>
      <c r="G79" s="9">
        <f>کاتالوگ_محصولات!I79</f>
        <v>9</v>
      </c>
      <c r="H79" s="9">
        <f>کاتالوگ_محصولات!J79</f>
        <v>0</v>
      </c>
      <c r="I79" s="9">
        <f>کاتالوگ_محصولات!K79</f>
        <v>9</v>
      </c>
      <c r="J79" s="9" t="str">
        <f>کاتالوگ_محصولات!L79</f>
        <v>🟢 OK</v>
      </c>
    </row>
    <row r="80" spans="1:10" ht="18" customHeight="1">
      <c r="A80" s="9" t="str">
        <f>کاتالوگ_محصولات!A80</f>
        <v>SKU-0077</v>
      </c>
      <c r="B80" s="15" t="str">
        <f>کاتالوگ_محصولات!C80</f>
        <v>شلوار کاترین سرمه ای 3</v>
      </c>
      <c r="C80" s="15" t="str">
        <f>کاتالوگ_محصولات!D80</f>
        <v>شلوار</v>
      </c>
      <c r="D80" s="15" t="str">
        <f>کاتالوگ_محصولات!E80</f>
        <v>Crepe</v>
      </c>
      <c r="E80" s="16">
        <f>کاتالوگ_محصولات!G80</f>
        <v>0</v>
      </c>
      <c r="F80" s="16">
        <f>کاتالوگ_محصولات!H80</f>
        <v>4580000</v>
      </c>
      <c r="G80" s="9">
        <f>کاتالوگ_محصولات!I80</f>
        <v>9</v>
      </c>
      <c r="H80" s="9">
        <f>کاتالوگ_محصولات!J80</f>
        <v>0</v>
      </c>
      <c r="I80" s="9">
        <f>کاتالوگ_محصولات!K80</f>
        <v>9</v>
      </c>
      <c r="J80" s="9" t="str">
        <f>کاتالوگ_محصولات!L80</f>
        <v>🟢 OK</v>
      </c>
    </row>
    <row r="81" spans="1:10" ht="18" customHeight="1">
      <c r="A81" s="9" t="str">
        <f>کاتالوگ_محصولات!A81</f>
        <v>SKU-0078</v>
      </c>
      <c r="B81" s="15" t="str">
        <f>کاتالوگ_محصولات!C81</f>
        <v>شلوار کاترین قهوه ای1</v>
      </c>
      <c r="C81" s="15" t="str">
        <f>کاتالوگ_محصولات!D81</f>
        <v>شلوار</v>
      </c>
      <c r="D81" s="15" t="str">
        <f>کاتالوگ_محصولات!E81</f>
        <v>Crepe</v>
      </c>
      <c r="E81" s="16">
        <f>کاتالوگ_محصولات!G81</f>
        <v>0</v>
      </c>
      <c r="F81" s="16">
        <f>کاتالوگ_محصولات!H81</f>
        <v>4580000</v>
      </c>
      <c r="G81" s="9">
        <f>کاتالوگ_محصولات!I81</f>
        <v>9</v>
      </c>
      <c r="H81" s="9">
        <f>کاتالوگ_محصولات!J81</f>
        <v>0</v>
      </c>
      <c r="I81" s="9">
        <f>کاتالوگ_محصولات!K81</f>
        <v>9</v>
      </c>
      <c r="J81" s="9" t="str">
        <f>کاتالوگ_محصولات!L81</f>
        <v>🟢 OK</v>
      </c>
    </row>
    <row r="82" spans="1:10" ht="18" customHeight="1">
      <c r="A82" s="9" t="str">
        <f>کاتالوگ_محصولات!A82</f>
        <v>SKU-0079</v>
      </c>
      <c r="B82" s="15" t="str">
        <f>کاتالوگ_محصولات!C82</f>
        <v>شلوار کاترین قهوه ای2</v>
      </c>
      <c r="C82" s="15" t="str">
        <f>کاتالوگ_محصولات!D82</f>
        <v>شلوار</v>
      </c>
      <c r="D82" s="15" t="str">
        <f>کاتالوگ_محصولات!E82</f>
        <v>Crepe</v>
      </c>
      <c r="E82" s="16">
        <f>کاتالوگ_محصولات!G82</f>
        <v>0</v>
      </c>
      <c r="F82" s="16">
        <f>کاتالوگ_محصولات!H82</f>
        <v>4580000</v>
      </c>
      <c r="G82" s="9">
        <f>کاتالوگ_محصولات!I82</f>
        <v>9</v>
      </c>
      <c r="H82" s="9">
        <f>کاتالوگ_محصولات!J82</f>
        <v>0</v>
      </c>
      <c r="I82" s="9">
        <f>کاتالوگ_محصولات!K82</f>
        <v>9</v>
      </c>
      <c r="J82" s="9" t="str">
        <f>کاتالوگ_محصولات!L82</f>
        <v>🟢 OK</v>
      </c>
    </row>
    <row r="83" spans="1:10" ht="18" customHeight="1">
      <c r="A83" s="9" t="str">
        <f>کاتالوگ_محصولات!A83</f>
        <v>SKU-0080</v>
      </c>
      <c r="B83" s="15" t="str">
        <f>کاتالوگ_محصولات!C83</f>
        <v>شلوار کاترین قهوه ای 3</v>
      </c>
      <c r="C83" s="15" t="str">
        <f>کاتالوگ_محصولات!D83</f>
        <v>شلوار</v>
      </c>
      <c r="D83" s="15" t="str">
        <f>کاتالوگ_محصولات!E83</f>
        <v>Crepe</v>
      </c>
      <c r="E83" s="16">
        <f>کاتالوگ_محصولات!G83</f>
        <v>0</v>
      </c>
      <c r="F83" s="16">
        <f>کاتالوگ_محصولات!H83</f>
        <v>4580000</v>
      </c>
      <c r="G83" s="9">
        <f>کاتالوگ_محصولات!I83</f>
        <v>9</v>
      </c>
      <c r="H83" s="9">
        <f>کاتالوگ_محصولات!J83</f>
        <v>0</v>
      </c>
      <c r="I83" s="9">
        <f>کاتالوگ_محصولات!K83</f>
        <v>9</v>
      </c>
      <c r="J83" s="9" t="str">
        <f>کاتالوگ_محصولات!L83</f>
        <v>🟢 OK</v>
      </c>
    </row>
    <row r="84" spans="1:10" ht="18" customHeight="1">
      <c r="A84" s="9" t="str">
        <f>کاتالوگ_محصولات!A84</f>
        <v>SKU-0081</v>
      </c>
      <c r="B84" s="15" t="str">
        <f>کاتالوگ_محصولات!C84</f>
        <v>شلوار کاترین نسکافه ای1</v>
      </c>
      <c r="C84" s="15" t="str">
        <f>کاتالوگ_محصولات!D84</f>
        <v>شلوار</v>
      </c>
      <c r="D84" s="15" t="str">
        <f>کاتالوگ_محصولات!E84</f>
        <v>Crepe</v>
      </c>
      <c r="E84" s="16">
        <f>کاتالوگ_محصولات!G84</f>
        <v>0</v>
      </c>
      <c r="F84" s="16">
        <f>کاتالوگ_محصولات!H84</f>
        <v>4580000</v>
      </c>
      <c r="G84" s="9">
        <f>کاتالوگ_محصولات!I84</f>
        <v>9</v>
      </c>
      <c r="H84" s="9">
        <f>کاتالوگ_محصولات!J84</f>
        <v>0</v>
      </c>
      <c r="I84" s="9">
        <f>کاتالوگ_محصولات!K84</f>
        <v>9</v>
      </c>
      <c r="J84" s="9" t="str">
        <f>کاتالوگ_محصولات!L84</f>
        <v>🟢 OK</v>
      </c>
    </row>
    <row r="85" spans="1:10" ht="18" customHeight="1">
      <c r="A85" s="9" t="str">
        <f>کاتالوگ_محصولات!A85</f>
        <v>SKU-0082</v>
      </c>
      <c r="B85" s="15" t="str">
        <f>کاتالوگ_محصولات!C85</f>
        <v>شلوار کاترین نسکافه ای2</v>
      </c>
      <c r="C85" s="15" t="str">
        <f>کاتالوگ_محصولات!D85</f>
        <v>شلوار</v>
      </c>
      <c r="D85" s="15" t="str">
        <f>کاتالوگ_محصولات!E85</f>
        <v>Crepe</v>
      </c>
      <c r="E85" s="16">
        <f>کاتالوگ_محصولات!G85</f>
        <v>0</v>
      </c>
      <c r="F85" s="16">
        <f>کاتالوگ_محصولات!H85</f>
        <v>4580000</v>
      </c>
      <c r="G85" s="9">
        <f>کاتالوگ_محصولات!I85</f>
        <v>9</v>
      </c>
      <c r="H85" s="9">
        <f>کاتالوگ_محصولات!J85</f>
        <v>0</v>
      </c>
      <c r="I85" s="9">
        <f>کاتالوگ_محصولات!K85</f>
        <v>9</v>
      </c>
      <c r="J85" s="9" t="str">
        <f>کاتالوگ_محصولات!L85</f>
        <v>🟢 OK</v>
      </c>
    </row>
    <row r="86" spans="1:10" ht="18" customHeight="1">
      <c r="A86" s="9" t="str">
        <f>کاتالوگ_محصولات!A86</f>
        <v>SKU-0083</v>
      </c>
      <c r="B86" s="15" t="str">
        <f>کاتالوگ_محصولات!C86</f>
        <v>شلوار کاترین نسکافه ای3</v>
      </c>
      <c r="C86" s="15" t="str">
        <f>کاتالوگ_محصولات!D86</f>
        <v>شلوار</v>
      </c>
      <c r="D86" s="15" t="str">
        <f>کاتالوگ_محصولات!E86</f>
        <v>Crepe</v>
      </c>
      <c r="E86" s="16">
        <f>کاتالوگ_محصولات!G86</f>
        <v>0</v>
      </c>
      <c r="F86" s="16">
        <f>کاتالوگ_محصولات!H86</f>
        <v>4580000</v>
      </c>
      <c r="G86" s="9">
        <f>کاتالوگ_محصولات!I86</f>
        <v>9</v>
      </c>
      <c r="H86" s="9">
        <f>کاتالوگ_محصولات!J86</f>
        <v>0</v>
      </c>
      <c r="I86" s="9">
        <f>کاتالوگ_محصولات!K86</f>
        <v>9</v>
      </c>
      <c r="J86" s="9" t="str">
        <f>کاتالوگ_محصولات!L86</f>
        <v>🟢 OK</v>
      </c>
    </row>
    <row r="87" spans="1:10" ht="18" customHeight="1">
      <c r="A87" s="9" t="str">
        <f>کاتالوگ_محصولات!A87</f>
        <v>SKU-0084</v>
      </c>
      <c r="B87" s="15" t="str">
        <f>کاتالوگ_محصولات!C87</f>
        <v>شلوار کاترین نوک مدادی 1</v>
      </c>
      <c r="C87" s="15" t="str">
        <f>کاتالوگ_محصولات!D87</f>
        <v>شلوار</v>
      </c>
      <c r="D87" s="15" t="str">
        <f>کاتالوگ_محصولات!E87</f>
        <v>Crepe</v>
      </c>
      <c r="E87" s="16">
        <f>کاتالوگ_محصولات!G87</f>
        <v>0</v>
      </c>
      <c r="F87" s="16">
        <f>کاتالوگ_محصولات!H87</f>
        <v>4580000</v>
      </c>
      <c r="G87" s="9">
        <f>کاتالوگ_محصولات!I87</f>
        <v>9</v>
      </c>
      <c r="H87" s="9">
        <f>کاتالوگ_محصولات!J87</f>
        <v>0</v>
      </c>
      <c r="I87" s="9">
        <f>کاتالوگ_محصولات!K87</f>
        <v>9</v>
      </c>
      <c r="J87" s="9" t="str">
        <f>کاتالوگ_محصولات!L87</f>
        <v>🟢 OK</v>
      </c>
    </row>
    <row r="88" spans="1:10" ht="18" customHeight="1">
      <c r="A88" s="9" t="str">
        <f>کاتالوگ_محصولات!A88</f>
        <v>SKU-0085</v>
      </c>
      <c r="B88" s="15" t="str">
        <f>کاتالوگ_محصولات!C88</f>
        <v>شلوار کاترین نوک مدادی 2</v>
      </c>
      <c r="C88" s="15" t="str">
        <f>کاتالوگ_محصولات!D88</f>
        <v>شلوار</v>
      </c>
      <c r="D88" s="15" t="str">
        <f>کاتالوگ_محصولات!E88</f>
        <v>Crepe</v>
      </c>
      <c r="E88" s="16">
        <f>کاتالوگ_محصولات!G88</f>
        <v>0</v>
      </c>
      <c r="F88" s="16">
        <f>کاتالوگ_محصولات!H88</f>
        <v>4580000</v>
      </c>
      <c r="G88" s="9">
        <f>کاتالوگ_محصولات!I88</f>
        <v>9</v>
      </c>
      <c r="H88" s="9">
        <f>کاتالوگ_محصولات!J88</f>
        <v>0</v>
      </c>
      <c r="I88" s="9">
        <f>کاتالوگ_محصولات!K88</f>
        <v>9</v>
      </c>
      <c r="J88" s="9" t="str">
        <f>کاتالوگ_محصولات!L88</f>
        <v>🟢 OK</v>
      </c>
    </row>
    <row r="89" spans="1:10" ht="18" customHeight="1">
      <c r="A89" s="9" t="str">
        <f>کاتالوگ_محصولات!A89</f>
        <v>SKU-0086</v>
      </c>
      <c r="B89" s="15" t="str">
        <f>کاتالوگ_محصولات!C89</f>
        <v>شلوار کاترین نوک مدادی3</v>
      </c>
      <c r="C89" s="15" t="str">
        <f>کاتالوگ_محصولات!D89</f>
        <v>شلوار</v>
      </c>
      <c r="D89" s="15" t="str">
        <f>کاتالوگ_محصولات!E89</f>
        <v>Crepe</v>
      </c>
      <c r="E89" s="16">
        <f>کاتالوگ_محصولات!G89</f>
        <v>0</v>
      </c>
      <c r="F89" s="16">
        <f>کاتالوگ_محصولات!H89</f>
        <v>4580000</v>
      </c>
      <c r="G89" s="9">
        <f>کاتالوگ_محصولات!I89</f>
        <v>9</v>
      </c>
      <c r="H89" s="9">
        <f>کاتالوگ_محصولات!J89</f>
        <v>0</v>
      </c>
      <c r="I89" s="9">
        <f>کاتالوگ_محصولات!K89</f>
        <v>9</v>
      </c>
      <c r="J89" s="9" t="str">
        <f>کاتالوگ_محصولات!L89</f>
        <v>🟢 OK</v>
      </c>
    </row>
    <row r="90" spans="1:10" ht="18" customHeight="1">
      <c r="A90" s="9" t="str">
        <f>کاتالوگ_محصولات!A90</f>
        <v>SKU-0087</v>
      </c>
      <c r="B90" s="15" t="str">
        <f>کاتالوگ_محصولات!C90</f>
        <v>شلوار کاترین استخوانی 1</v>
      </c>
      <c r="C90" s="15" t="str">
        <f>کاتالوگ_محصولات!D90</f>
        <v>شلوار</v>
      </c>
      <c r="D90" s="15" t="str">
        <f>کاتالوگ_محصولات!E90</f>
        <v>Crepe</v>
      </c>
      <c r="E90" s="16">
        <f>کاتالوگ_محصولات!G90</f>
        <v>0</v>
      </c>
      <c r="F90" s="16">
        <f>کاتالوگ_محصولات!H90</f>
        <v>4580000</v>
      </c>
      <c r="G90" s="9">
        <f>کاتالوگ_محصولات!I90</f>
        <v>9</v>
      </c>
      <c r="H90" s="9">
        <f>کاتالوگ_محصولات!J90</f>
        <v>0</v>
      </c>
      <c r="I90" s="9">
        <f>کاتالوگ_محصولات!K90</f>
        <v>9</v>
      </c>
      <c r="J90" s="9" t="str">
        <f>کاتالوگ_محصولات!L90</f>
        <v>🟢 OK</v>
      </c>
    </row>
    <row r="91" spans="1:10" ht="18" customHeight="1">
      <c r="A91" s="9" t="str">
        <f>کاتالوگ_محصولات!A91</f>
        <v>SKU-0088</v>
      </c>
      <c r="B91" s="15" t="str">
        <f>کاتالوگ_محصولات!C91</f>
        <v>شلوار کاترین استخوانی2</v>
      </c>
      <c r="C91" s="15" t="str">
        <f>کاتالوگ_محصولات!D91</f>
        <v>شلوار</v>
      </c>
      <c r="D91" s="15" t="str">
        <f>کاتالوگ_محصولات!E91</f>
        <v>Crepe</v>
      </c>
      <c r="E91" s="16">
        <f>کاتالوگ_محصولات!G91</f>
        <v>0</v>
      </c>
      <c r="F91" s="16">
        <f>کاتالوگ_محصولات!H91</f>
        <v>4580000</v>
      </c>
      <c r="G91" s="9">
        <f>کاتالوگ_محصولات!I91</f>
        <v>9</v>
      </c>
      <c r="H91" s="9">
        <f>کاتالوگ_محصولات!J91</f>
        <v>0</v>
      </c>
      <c r="I91" s="9">
        <f>کاتالوگ_محصولات!K91</f>
        <v>9</v>
      </c>
      <c r="J91" s="9" t="str">
        <f>کاتالوگ_محصولات!L91</f>
        <v>🟢 OK</v>
      </c>
    </row>
    <row r="92" spans="1:10" ht="18" customHeight="1">
      <c r="A92" s="9" t="str">
        <f>کاتالوگ_محصولات!A92</f>
        <v>SKU-0089</v>
      </c>
      <c r="B92" s="15" t="str">
        <f>کاتالوگ_محصولات!C92</f>
        <v>شلوار کاترین استخوانی3</v>
      </c>
      <c r="C92" s="15" t="str">
        <f>کاتالوگ_محصولات!D92</f>
        <v>شلوار</v>
      </c>
      <c r="D92" s="15" t="str">
        <f>کاتالوگ_محصولات!E92</f>
        <v>Crepe</v>
      </c>
      <c r="E92" s="16">
        <f>کاتالوگ_محصولات!G92</f>
        <v>0</v>
      </c>
      <c r="F92" s="16">
        <f>کاتالوگ_محصولات!H92</f>
        <v>4580000</v>
      </c>
      <c r="G92" s="9">
        <f>کاتالوگ_محصولات!I92</f>
        <v>9</v>
      </c>
      <c r="H92" s="9">
        <f>کاتالوگ_محصولات!J92</f>
        <v>0</v>
      </c>
      <c r="I92" s="9">
        <f>کاتالوگ_محصولات!K92</f>
        <v>9</v>
      </c>
      <c r="J92" s="9" t="str">
        <f>کاتالوگ_محصولات!L92</f>
        <v>🟢 OK</v>
      </c>
    </row>
    <row r="93" spans="1:10" ht="18" customHeight="1">
      <c r="A93" s="9" t="str">
        <f>کاتالوگ_محصولات!A93</f>
        <v>SKU-0090</v>
      </c>
      <c r="B93" s="15" t="str">
        <f>کاتالوگ_محصولات!C93</f>
        <v>شومیز تایملس سبز فری</v>
      </c>
      <c r="C93" s="15" t="str">
        <f>کاتالوگ_محصولات!D93</f>
        <v>شومیز</v>
      </c>
      <c r="D93" s="15" t="str">
        <f>کاتالوگ_محصولات!E93</f>
        <v>Silk</v>
      </c>
      <c r="E93" s="16">
        <f>کاتالوگ_محصولات!G93</f>
        <v>0</v>
      </c>
      <c r="F93" s="16">
        <f>کاتالوگ_محصولات!H93</f>
        <v>2680000</v>
      </c>
      <c r="G93" s="9">
        <f>کاتالوگ_محصولات!I93</f>
        <v>9</v>
      </c>
      <c r="H93" s="9">
        <f>کاتالوگ_محصولات!J93</f>
        <v>0</v>
      </c>
      <c r="I93" s="9">
        <f>کاتالوگ_محصولات!K93</f>
        <v>9</v>
      </c>
      <c r="J93" s="9" t="str">
        <f>کاتالوگ_محصولات!L93</f>
        <v>🟢 OK</v>
      </c>
    </row>
    <row r="94" spans="1:10" ht="18" customHeight="1">
      <c r="A94" s="9" t="str">
        <f>کاتالوگ_محصولات!A94</f>
        <v>SKU-0091</v>
      </c>
      <c r="B94" s="15" t="str">
        <f>کاتالوگ_محصولات!C94</f>
        <v>شومیز تایملس مشکی فری</v>
      </c>
      <c r="C94" s="15" t="str">
        <f>کاتالوگ_محصولات!D94</f>
        <v>شومیز</v>
      </c>
      <c r="D94" s="15" t="str">
        <f>کاتالوگ_محصولات!E94</f>
        <v>Silk</v>
      </c>
      <c r="E94" s="16">
        <f>کاتالوگ_محصولات!G94</f>
        <v>0</v>
      </c>
      <c r="F94" s="16">
        <f>کاتالوگ_محصولات!H94</f>
        <v>2680000</v>
      </c>
      <c r="G94" s="9">
        <f>کاتالوگ_محصولات!I94</f>
        <v>9</v>
      </c>
      <c r="H94" s="9">
        <f>کاتالوگ_محصولات!J94</f>
        <v>0</v>
      </c>
      <c r="I94" s="9">
        <f>کاتالوگ_محصولات!K94</f>
        <v>9</v>
      </c>
      <c r="J94" s="9" t="str">
        <f>کاتالوگ_محصولات!L94</f>
        <v>🟢 OK</v>
      </c>
    </row>
    <row r="95" spans="1:10" ht="18" customHeight="1">
      <c r="A95" s="9" t="str">
        <f>کاتالوگ_محصولات!A95</f>
        <v>SKU-0092</v>
      </c>
      <c r="B95" s="15" t="str">
        <f>کاتالوگ_محصولات!C95</f>
        <v>شومیز لینن سونای سفید1</v>
      </c>
      <c r="C95" s="15" t="str">
        <f>کاتالوگ_محصولات!D95</f>
        <v>شومیز</v>
      </c>
      <c r="D95" s="15" t="str">
        <f>کاتالوگ_محصولات!E95</f>
        <v>linen</v>
      </c>
      <c r="E95" s="16">
        <f>کاتالوگ_محصولات!G95</f>
        <v>0</v>
      </c>
      <c r="F95" s="16">
        <f>کاتالوگ_محصولات!H95</f>
        <v>3780000</v>
      </c>
      <c r="G95" s="9">
        <f>کاتالوگ_محصولات!I95</f>
        <v>9</v>
      </c>
      <c r="H95" s="9">
        <f>کاتالوگ_محصولات!J95</f>
        <v>0</v>
      </c>
      <c r="I95" s="9">
        <f>کاتالوگ_محصولات!K95</f>
        <v>9</v>
      </c>
      <c r="J95" s="9" t="str">
        <f>کاتالوگ_محصولات!L95</f>
        <v>🟢 OK</v>
      </c>
    </row>
    <row r="96" spans="1:10" ht="18" customHeight="1">
      <c r="A96" s="9" t="str">
        <f>کاتالوگ_محصولات!A96</f>
        <v>SKU-0093</v>
      </c>
      <c r="B96" s="15" t="str">
        <f>کاتالوگ_محصولات!C96</f>
        <v>شومیز لینن سونای سفید2</v>
      </c>
      <c r="C96" s="15" t="str">
        <f>کاتالوگ_محصولات!D96</f>
        <v>شومیز</v>
      </c>
      <c r="D96" s="15" t="str">
        <f>کاتالوگ_محصولات!E96</f>
        <v>linen</v>
      </c>
      <c r="E96" s="16">
        <f>کاتالوگ_محصولات!G96</f>
        <v>0</v>
      </c>
      <c r="F96" s="16">
        <f>کاتالوگ_محصولات!H96</f>
        <v>3780000</v>
      </c>
      <c r="G96" s="9">
        <f>کاتالوگ_محصولات!I96</f>
        <v>9</v>
      </c>
      <c r="H96" s="9">
        <f>کاتالوگ_محصولات!J96</f>
        <v>0</v>
      </c>
      <c r="I96" s="9">
        <f>کاتالوگ_محصولات!K96</f>
        <v>9</v>
      </c>
      <c r="J96" s="9" t="str">
        <f>کاتالوگ_محصولات!L96</f>
        <v>🟢 OK</v>
      </c>
    </row>
    <row r="97" spans="1:10" ht="18" customHeight="1">
      <c r="A97" s="9" t="str">
        <f>کاتالوگ_محصولات!A97</f>
        <v>SKU-0094</v>
      </c>
      <c r="B97" s="15" t="str">
        <f>کاتالوگ_محصولات!C97</f>
        <v>شومیز لینن سونای مشکی 1</v>
      </c>
      <c r="C97" s="15" t="str">
        <f>کاتالوگ_محصولات!D97</f>
        <v>شومیز</v>
      </c>
      <c r="D97" s="15" t="str">
        <f>کاتالوگ_محصولات!E97</f>
        <v>linen</v>
      </c>
      <c r="E97" s="16">
        <f>کاتالوگ_محصولات!G97</f>
        <v>0</v>
      </c>
      <c r="F97" s="16">
        <f>کاتالوگ_محصولات!H97</f>
        <v>3780000</v>
      </c>
      <c r="G97" s="9">
        <f>کاتالوگ_محصولات!I97</f>
        <v>9</v>
      </c>
      <c r="H97" s="9">
        <f>کاتالوگ_محصولات!J97</f>
        <v>0</v>
      </c>
      <c r="I97" s="9">
        <f>کاتالوگ_محصولات!K97</f>
        <v>9</v>
      </c>
      <c r="J97" s="9" t="str">
        <f>کاتالوگ_محصولات!L97</f>
        <v>🟢 OK</v>
      </c>
    </row>
    <row r="98" spans="1:10" ht="18" customHeight="1">
      <c r="A98" s="9" t="str">
        <f>کاتالوگ_محصولات!A98</f>
        <v>SKU-0095</v>
      </c>
      <c r="B98" s="15" t="str">
        <f>کاتالوگ_محصولات!C98</f>
        <v>شومیز لینن سونای مشکی2</v>
      </c>
      <c r="C98" s="15" t="str">
        <f>کاتالوگ_محصولات!D98</f>
        <v>شومیز</v>
      </c>
      <c r="D98" s="15" t="str">
        <f>کاتالوگ_محصولات!E98</f>
        <v>linen</v>
      </c>
      <c r="E98" s="16">
        <f>کاتالوگ_محصولات!G98</f>
        <v>0</v>
      </c>
      <c r="F98" s="16">
        <f>کاتالوگ_محصولات!H98</f>
        <v>3780000</v>
      </c>
      <c r="G98" s="9">
        <f>کاتالوگ_محصولات!I98</f>
        <v>9</v>
      </c>
      <c r="H98" s="9">
        <f>کاتالوگ_محصولات!J98</f>
        <v>0</v>
      </c>
      <c r="I98" s="9">
        <f>کاتالوگ_محصولات!K98</f>
        <v>9</v>
      </c>
      <c r="J98" s="9" t="str">
        <f>کاتالوگ_محصولات!L98</f>
        <v>🟢 OK</v>
      </c>
    </row>
    <row r="99" spans="1:10" ht="18" customHeight="1">
      <c r="A99" s="9" t="str">
        <f>کاتالوگ_محصولات!A99</f>
        <v>SKU-0096</v>
      </c>
      <c r="B99" s="15" t="str">
        <f>کاتالوگ_محصولات!C99</f>
        <v>شومیز لینن سونای سرمه ای 1</v>
      </c>
      <c r="C99" s="15" t="str">
        <f>کاتالوگ_محصولات!D99</f>
        <v>شومیز</v>
      </c>
      <c r="D99" s="15" t="str">
        <f>کاتالوگ_محصولات!E99</f>
        <v>linen</v>
      </c>
      <c r="E99" s="16">
        <f>کاتالوگ_محصولات!G99</f>
        <v>0</v>
      </c>
      <c r="F99" s="16">
        <f>کاتالوگ_محصولات!H99</f>
        <v>3780000</v>
      </c>
      <c r="G99" s="9">
        <f>کاتالوگ_محصولات!I99</f>
        <v>9</v>
      </c>
      <c r="H99" s="9">
        <f>کاتالوگ_محصولات!J99</f>
        <v>0</v>
      </c>
      <c r="I99" s="9">
        <f>کاتالوگ_محصولات!K99</f>
        <v>9</v>
      </c>
      <c r="J99" s="9" t="str">
        <f>کاتالوگ_محصولات!L99</f>
        <v>🟢 OK</v>
      </c>
    </row>
    <row r="100" spans="1:10" ht="18" customHeight="1">
      <c r="A100" s="9" t="str">
        <f>کاتالوگ_محصولات!A100</f>
        <v>SKU-0097</v>
      </c>
      <c r="B100" s="15" t="str">
        <f>کاتالوگ_محصولات!C100</f>
        <v>شومیز لینن سونای سرمه ای 2</v>
      </c>
      <c r="C100" s="15" t="str">
        <f>کاتالوگ_محصولات!D100</f>
        <v>شومیز</v>
      </c>
      <c r="D100" s="15" t="str">
        <f>کاتالوگ_محصولات!E100</f>
        <v>linen</v>
      </c>
      <c r="E100" s="16">
        <f>کاتالوگ_محصولات!G100</f>
        <v>0</v>
      </c>
      <c r="F100" s="16">
        <f>کاتالوگ_محصولات!H100</f>
        <v>3780000</v>
      </c>
      <c r="G100" s="9">
        <f>کاتالوگ_محصولات!I100</f>
        <v>9</v>
      </c>
      <c r="H100" s="9">
        <f>کاتالوگ_محصولات!J100</f>
        <v>0</v>
      </c>
      <c r="I100" s="9">
        <f>کاتالوگ_محصولات!K100</f>
        <v>9</v>
      </c>
      <c r="J100" s="9" t="str">
        <f>کاتالوگ_محصولات!L100</f>
        <v>🟢 OK</v>
      </c>
    </row>
    <row r="101" spans="1:10" ht="18" customHeight="1">
      <c r="A101" s="9" t="str">
        <f>کاتالوگ_محصولات!A101</f>
        <v>SKU-0098</v>
      </c>
      <c r="B101" s="15" t="str">
        <f>کاتالوگ_محصولات!C101</f>
        <v>شومیز لینن سونای قهوه ای 1</v>
      </c>
      <c r="C101" s="15" t="str">
        <f>کاتالوگ_محصولات!D101</f>
        <v>شومیز</v>
      </c>
      <c r="D101" s="15" t="str">
        <f>کاتالوگ_محصولات!E101</f>
        <v>linen</v>
      </c>
      <c r="E101" s="16">
        <f>کاتالوگ_محصولات!G101</f>
        <v>0</v>
      </c>
      <c r="F101" s="16">
        <f>کاتالوگ_محصولات!H101</f>
        <v>3780000</v>
      </c>
      <c r="G101" s="9">
        <f>کاتالوگ_محصولات!I101</f>
        <v>9</v>
      </c>
      <c r="H101" s="9">
        <f>کاتالوگ_محصولات!J101</f>
        <v>0</v>
      </c>
      <c r="I101" s="9">
        <f>کاتالوگ_محصولات!K101</f>
        <v>9</v>
      </c>
      <c r="J101" s="9" t="str">
        <f>کاتالوگ_محصولات!L101</f>
        <v>🟢 OK</v>
      </c>
    </row>
    <row r="102" spans="1:10" ht="18" customHeight="1">
      <c r="A102" s="9" t="str">
        <f>کاتالوگ_محصولات!A102</f>
        <v>SKU-0099</v>
      </c>
      <c r="B102" s="15" t="str">
        <f>کاتالوگ_محصولات!C102</f>
        <v>شومیز لینن سونای قهوه ای 2</v>
      </c>
      <c r="C102" s="15" t="str">
        <f>کاتالوگ_محصولات!D102</f>
        <v>شومیز</v>
      </c>
      <c r="D102" s="15" t="str">
        <f>کاتالوگ_محصولات!E102</f>
        <v>linen</v>
      </c>
      <c r="E102" s="16">
        <f>کاتالوگ_محصولات!G102</f>
        <v>0</v>
      </c>
      <c r="F102" s="16">
        <f>کاتالوگ_محصولات!H102</f>
        <v>3780000</v>
      </c>
      <c r="G102" s="9">
        <f>کاتالوگ_محصولات!I102</f>
        <v>9</v>
      </c>
      <c r="H102" s="9">
        <f>کاتالوگ_محصولات!J102</f>
        <v>0</v>
      </c>
      <c r="I102" s="9">
        <f>کاتالوگ_محصولات!K102</f>
        <v>9</v>
      </c>
      <c r="J102" s="9" t="str">
        <f>کاتالوگ_محصولات!L102</f>
        <v>🟢 OK</v>
      </c>
    </row>
    <row r="103" spans="1:10" ht="18" customHeight="1">
      <c r="A103" s="9" t="str">
        <f>کاتالوگ_محصولات!A103</f>
        <v>SKU-0100</v>
      </c>
      <c r="B103" s="15" t="str">
        <f>کاتالوگ_محصولات!C103</f>
        <v>شومیز لینن سونای کرم 1</v>
      </c>
      <c r="C103" s="15" t="str">
        <f>کاتالوگ_محصولات!D103</f>
        <v>شومیز</v>
      </c>
      <c r="D103" s="15" t="str">
        <f>کاتالوگ_محصولات!E103</f>
        <v>linen</v>
      </c>
      <c r="E103" s="16">
        <f>کاتالوگ_محصولات!G103</f>
        <v>0</v>
      </c>
      <c r="F103" s="16">
        <f>کاتالوگ_محصولات!H103</f>
        <v>3780000</v>
      </c>
      <c r="G103" s="9">
        <f>کاتالوگ_محصولات!I103</f>
        <v>9</v>
      </c>
      <c r="H103" s="9">
        <f>کاتالوگ_محصولات!J103</f>
        <v>0</v>
      </c>
      <c r="I103" s="9">
        <f>کاتالوگ_محصولات!K103</f>
        <v>9</v>
      </c>
      <c r="J103" s="9" t="str">
        <f>کاتالوگ_محصولات!L103</f>
        <v>🟢 OK</v>
      </c>
    </row>
    <row r="104" spans="1:10" ht="18" customHeight="1">
      <c r="A104" s="9" t="str">
        <f>کاتالوگ_محصولات!A104</f>
        <v>SKU-0101</v>
      </c>
      <c r="B104" s="15" t="str">
        <f>کاتالوگ_محصولات!C104</f>
        <v>شومیز لینن سونای کرم 2</v>
      </c>
      <c r="C104" s="15" t="str">
        <f>کاتالوگ_محصولات!D104</f>
        <v>شومیز</v>
      </c>
      <c r="D104" s="15" t="str">
        <f>کاتالوگ_محصولات!E104</f>
        <v>linen</v>
      </c>
      <c r="E104" s="16">
        <f>کاتالوگ_محصولات!G104</f>
        <v>0</v>
      </c>
      <c r="F104" s="16">
        <f>کاتالوگ_محصولات!H104</f>
        <v>3780000</v>
      </c>
      <c r="G104" s="9">
        <f>کاتالوگ_محصولات!I104</f>
        <v>9</v>
      </c>
      <c r="H104" s="9">
        <f>کاتالوگ_محصولات!J104</f>
        <v>0</v>
      </c>
      <c r="I104" s="9">
        <f>کاتالوگ_محصولات!K104</f>
        <v>9</v>
      </c>
      <c r="J104" s="9" t="str">
        <f>کاتالوگ_محصولات!L104</f>
        <v>🟢 OK</v>
      </c>
    </row>
    <row r="105" spans="1:10" ht="18" customHeight="1">
      <c r="A105" s="9" t="str">
        <f>کاتالوگ_محصولات!A105</f>
        <v>SKU-0102</v>
      </c>
      <c r="B105" s="15" t="str">
        <f>کاتالوگ_محصولات!C105</f>
        <v>دامن لیدی مشکی فری</v>
      </c>
      <c r="C105" s="15" t="str">
        <f>کاتالوگ_محصولات!D105</f>
        <v>دامن</v>
      </c>
      <c r="D105" s="15" t="str">
        <f>کاتالوگ_محصولات!E105</f>
        <v>linen</v>
      </c>
      <c r="E105" s="16">
        <f>کاتالوگ_محصولات!G105</f>
        <v>0</v>
      </c>
      <c r="F105" s="16">
        <f>کاتالوگ_محصولات!H105</f>
        <v>2950000</v>
      </c>
      <c r="G105" s="9">
        <f>کاتالوگ_محصولات!I105</f>
        <v>9</v>
      </c>
      <c r="H105" s="9">
        <f>کاتالوگ_محصولات!J105</f>
        <v>0</v>
      </c>
      <c r="I105" s="9">
        <f>کاتالوگ_محصولات!K105</f>
        <v>9</v>
      </c>
      <c r="J105" s="9" t="str">
        <f>کاتالوگ_محصولات!L105</f>
        <v>🟢 OK</v>
      </c>
    </row>
    <row r="106" spans="1:10" ht="18" customHeight="1">
      <c r="A106" s="9" t="str">
        <f>کاتالوگ_محصولات!A106</f>
        <v>SKU-0103</v>
      </c>
      <c r="B106" s="15" t="str">
        <f>کاتالوگ_محصولات!C106</f>
        <v>دامن لیدی زیتونی فری</v>
      </c>
      <c r="C106" s="15" t="str">
        <f>کاتالوگ_محصولات!D106</f>
        <v>دامن</v>
      </c>
      <c r="D106" s="15" t="str">
        <f>کاتالوگ_محصولات!E106</f>
        <v>linen</v>
      </c>
      <c r="E106" s="16">
        <f>کاتالوگ_محصولات!G106</f>
        <v>0</v>
      </c>
      <c r="F106" s="16">
        <f>کاتالوگ_محصولات!H106</f>
        <v>2950000</v>
      </c>
      <c r="G106" s="9">
        <f>کاتالوگ_محصولات!I106</f>
        <v>9</v>
      </c>
      <c r="H106" s="9">
        <f>کاتالوگ_محصولات!J106</f>
        <v>0</v>
      </c>
      <c r="I106" s="9">
        <f>کاتالوگ_محصولات!K106</f>
        <v>9</v>
      </c>
      <c r="J106" s="9" t="str">
        <f>کاتالوگ_محصولات!L106</f>
        <v>🟢 OK</v>
      </c>
    </row>
    <row r="107" spans="1:10" ht="18" customHeight="1">
      <c r="A107" s="9" t="str">
        <f>کاتالوگ_محصولات!A107</f>
        <v>SKU-0104</v>
      </c>
      <c r="B107" s="15" t="str">
        <f>کاتالوگ_محصولات!C107</f>
        <v>دامن لیدی کرم فری</v>
      </c>
      <c r="C107" s="15" t="str">
        <f>کاتالوگ_محصولات!D107</f>
        <v>دامن</v>
      </c>
      <c r="D107" s="15" t="str">
        <f>کاتالوگ_محصولات!E107</f>
        <v>linen</v>
      </c>
      <c r="E107" s="16">
        <f>کاتالوگ_محصولات!G107</f>
        <v>0</v>
      </c>
      <c r="F107" s="16">
        <f>کاتالوگ_محصولات!H107</f>
        <v>2950000</v>
      </c>
      <c r="G107" s="9">
        <f>کاتالوگ_محصولات!I107</f>
        <v>9</v>
      </c>
      <c r="H107" s="9">
        <f>کاتالوگ_محصولات!J107</f>
        <v>0</v>
      </c>
      <c r="I107" s="9">
        <f>کاتالوگ_محصولات!K107</f>
        <v>9</v>
      </c>
      <c r="J107" s="9" t="str">
        <f>کاتالوگ_محصولات!L107</f>
        <v>🟢 OK</v>
      </c>
    </row>
    <row r="108" spans="1:10" ht="18" customHeight="1">
      <c r="A108" s="9" t="str">
        <f>کاتالوگ_محصولات!A108</f>
        <v>SKU-0105</v>
      </c>
      <c r="B108" s="15" t="str">
        <f>کاتالوگ_محصولات!C108</f>
        <v>شلوار پنتر 1</v>
      </c>
      <c r="C108" s="15" t="str">
        <f>کاتالوگ_محصولات!D108</f>
        <v>شلوار</v>
      </c>
      <c r="D108" s="15" t="str">
        <f>کاتالوگ_محصولات!E108</f>
        <v>Satin</v>
      </c>
      <c r="E108" s="16">
        <f>کاتالوگ_محصولات!G108</f>
        <v>0</v>
      </c>
      <c r="F108" s="16">
        <f>کاتالوگ_محصولات!H108</f>
        <v>1680000</v>
      </c>
      <c r="G108" s="9">
        <f>کاتالوگ_محصولات!I108</f>
        <v>9</v>
      </c>
      <c r="H108" s="9">
        <f>کاتالوگ_محصولات!J108</f>
        <v>0</v>
      </c>
      <c r="I108" s="9">
        <f>کاتالوگ_محصولات!K108</f>
        <v>9</v>
      </c>
      <c r="J108" s="9" t="str">
        <f>کاتالوگ_محصولات!L108</f>
        <v>🟢 OK</v>
      </c>
    </row>
    <row r="109" spans="1:10" ht="18" customHeight="1">
      <c r="A109" s="9" t="str">
        <f>کاتالوگ_محصولات!A109</f>
        <v>SKU-0106</v>
      </c>
      <c r="B109" s="15" t="str">
        <f>کاتالوگ_محصولات!C109</f>
        <v>شلوار پنتر 2</v>
      </c>
      <c r="C109" s="15" t="str">
        <f>کاتالوگ_محصولات!D109</f>
        <v>شلوار</v>
      </c>
      <c r="D109" s="15" t="str">
        <f>کاتالوگ_محصولات!E109</f>
        <v>Crepe</v>
      </c>
      <c r="E109" s="16">
        <f>کاتالوگ_محصولات!G109</f>
        <v>0</v>
      </c>
      <c r="F109" s="16">
        <f>کاتالوگ_محصولات!H109</f>
        <v>1680000</v>
      </c>
      <c r="G109" s="9">
        <f>کاتالوگ_محصولات!I109</f>
        <v>9</v>
      </c>
      <c r="H109" s="9">
        <f>کاتالوگ_محصولات!J109</f>
        <v>0</v>
      </c>
      <c r="I109" s="9">
        <f>کاتالوگ_محصولات!K109</f>
        <v>9</v>
      </c>
      <c r="J109" s="9" t="str">
        <f>کاتالوگ_محصولات!L109</f>
        <v>🟢 OK</v>
      </c>
    </row>
    <row r="110" spans="1:10" ht="18" customHeight="1">
      <c r="A110" s="9" t="str">
        <f>کاتالوگ_محصولات!A110</f>
        <v>SKU-0107</v>
      </c>
      <c r="B110" s="15" t="str">
        <f>کاتالوگ_محصولات!C110</f>
        <v>شلوار مانا کله غازی1</v>
      </c>
      <c r="C110" s="15" t="str">
        <f>کاتالوگ_محصولات!D110</f>
        <v>شلوار</v>
      </c>
      <c r="D110" s="15" t="str">
        <f>کاتالوگ_محصولات!E110</f>
        <v>Linen</v>
      </c>
      <c r="E110" s="16">
        <f>کاتالوگ_محصولات!G110</f>
        <v>0</v>
      </c>
      <c r="F110" s="16">
        <f>کاتالوگ_محصولات!H110</f>
        <v>0</v>
      </c>
      <c r="G110" s="9">
        <f>کاتالوگ_محصولات!I110</f>
        <v>9</v>
      </c>
      <c r="H110" s="9">
        <f>کاتالوگ_محصولات!J110</f>
        <v>0</v>
      </c>
      <c r="I110" s="9">
        <f>کاتالوگ_محصولات!K110</f>
        <v>9</v>
      </c>
      <c r="J110" s="9" t="str">
        <f>کاتالوگ_محصولات!L110</f>
        <v>🟢 OK</v>
      </c>
    </row>
    <row r="111" spans="1:10" ht="18" customHeight="1">
      <c r="A111" s="9" t="str">
        <f>کاتالوگ_محصولات!A111</f>
        <v>SKU-0108</v>
      </c>
      <c r="B111" s="15" t="str">
        <f>کاتالوگ_محصولات!C111</f>
        <v>شلوار مانا کله غازی2</v>
      </c>
      <c r="C111" s="15" t="str">
        <f>کاتالوگ_محصولات!D111</f>
        <v>شلوار</v>
      </c>
      <c r="D111" s="15" t="str">
        <f>کاتالوگ_محصولات!E111</f>
        <v>Linen</v>
      </c>
      <c r="E111" s="16">
        <f>کاتالوگ_محصولات!G111</f>
        <v>0</v>
      </c>
      <c r="F111" s="16">
        <f>کاتالوگ_محصولات!H111</f>
        <v>1680000</v>
      </c>
      <c r="G111" s="9">
        <f>کاتالوگ_محصولات!I111</f>
        <v>9</v>
      </c>
      <c r="H111" s="9">
        <f>کاتالوگ_محصولات!J111</f>
        <v>0</v>
      </c>
      <c r="I111" s="9">
        <f>کاتالوگ_محصولات!K111</f>
        <v>9</v>
      </c>
      <c r="J111" s="9" t="str">
        <f>کاتالوگ_محصولات!L111</f>
        <v>🟢 OK</v>
      </c>
    </row>
    <row r="112" spans="1:10" ht="18" customHeight="1">
      <c r="A112" s="9" t="str">
        <f>کاتالوگ_محصولات!A112</f>
        <v>SKU-0109</v>
      </c>
      <c r="B112" s="15" t="str">
        <f>کاتالوگ_محصولات!C112</f>
        <v>شلوار مانا زیتونی 1</v>
      </c>
      <c r="C112" s="15" t="str">
        <f>کاتالوگ_محصولات!D112</f>
        <v>شلوار</v>
      </c>
      <c r="D112" s="15" t="str">
        <f>کاتالوگ_محصولات!E112</f>
        <v>Linen</v>
      </c>
      <c r="E112" s="16">
        <f>کاتالوگ_محصولات!G112</f>
        <v>0</v>
      </c>
      <c r="F112" s="16">
        <f>کاتالوگ_محصولات!H112</f>
        <v>0</v>
      </c>
      <c r="G112" s="9">
        <f>کاتالوگ_محصولات!I112</f>
        <v>9</v>
      </c>
      <c r="H112" s="9">
        <f>کاتالوگ_محصولات!J112</f>
        <v>0</v>
      </c>
      <c r="I112" s="9">
        <f>کاتالوگ_محصولات!K112</f>
        <v>9</v>
      </c>
      <c r="J112" s="9" t="str">
        <f>کاتالوگ_محصولات!L112</f>
        <v>🟢 OK</v>
      </c>
    </row>
    <row r="113" spans="1:10" ht="18" customHeight="1">
      <c r="A113" s="9" t="str">
        <f>کاتالوگ_محصولات!A113</f>
        <v>SKU-0110</v>
      </c>
      <c r="B113" s="15" t="str">
        <f>کاتالوگ_محصولات!C113</f>
        <v>شلوار مانا زیتونی2</v>
      </c>
      <c r="C113" s="15" t="str">
        <f>کاتالوگ_محصولات!D113</f>
        <v>شلوار</v>
      </c>
      <c r="D113" s="15" t="str">
        <f>کاتالوگ_محصولات!E113</f>
        <v>Linen</v>
      </c>
      <c r="E113" s="16">
        <f>کاتالوگ_محصولات!G113</f>
        <v>0</v>
      </c>
      <c r="F113" s="16">
        <f>کاتالوگ_محصولات!H113</f>
        <v>0</v>
      </c>
      <c r="G113" s="9">
        <f>کاتالوگ_محصولات!I113</f>
        <v>9</v>
      </c>
      <c r="H113" s="9">
        <f>کاتالوگ_محصولات!J113</f>
        <v>0</v>
      </c>
      <c r="I113" s="9">
        <f>کاتالوگ_محصولات!K113</f>
        <v>9</v>
      </c>
      <c r="J113" s="9" t="str">
        <f>کاتالوگ_محصولات!L113</f>
        <v>🟢 OK</v>
      </c>
    </row>
    <row r="114" spans="1:10" ht="18" customHeight="1">
      <c r="A114" s="9" t="str">
        <f>کاتالوگ_محصولات!A114</f>
        <v>SKU-0111</v>
      </c>
      <c r="B114" s="15" t="str">
        <f>کاتالوگ_محصولات!C114</f>
        <v>شلوار بیسیک سفید1</v>
      </c>
      <c r="C114" s="15" t="str">
        <f>کاتالوگ_محصولات!D114</f>
        <v>شلوار</v>
      </c>
      <c r="D114" s="15" t="str">
        <f>کاتالوگ_محصولات!E114</f>
        <v>Crepe</v>
      </c>
      <c r="E114" s="16">
        <f>کاتالوگ_محصولات!G114</f>
        <v>0</v>
      </c>
      <c r="F114" s="16">
        <f>کاتالوگ_محصولات!H114</f>
        <v>2380000</v>
      </c>
      <c r="G114" s="9">
        <f>کاتالوگ_محصولات!I114</f>
        <v>9</v>
      </c>
      <c r="H114" s="9">
        <f>کاتالوگ_محصولات!J114</f>
        <v>0</v>
      </c>
      <c r="I114" s="9">
        <f>کاتالوگ_محصولات!K114</f>
        <v>9</v>
      </c>
      <c r="J114" s="9" t="str">
        <f>کاتالوگ_محصولات!L114</f>
        <v>🟢 OK</v>
      </c>
    </row>
    <row r="115" spans="1:10" ht="18" customHeight="1">
      <c r="A115" s="9" t="str">
        <f>کاتالوگ_محصولات!A115</f>
        <v>SKU-0112</v>
      </c>
      <c r="B115" s="15" t="str">
        <f>کاتالوگ_محصولات!C115</f>
        <v>شلوار بیسیک سفید2</v>
      </c>
      <c r="C115" s="15" t="str">
        <f>کاتالوگ_محصولات!D115</f>
        <v>شلوار</v>
      </c>
      <c r="D115" s="15" t="str">
        <f>کاتالوگ_محصولات!E115</f>
        <v>Crepe</v>
      </c>
      <c r="E115" s="16">
        <f>کاتالوگ_محصولات!G115</f>
        <v>0</v>
      </c>
      <c r="F115" s="16">
        <f>کاتالوگ_محصولات!H115</f>
        <v>1440000</v>
      </c>
      <c r="G115" s="9">
        <f>کاتالوگ_محصولات!I115</f>
        <v>9</v>
      </c>
      <c r="H115" s="9">
        <f>کاتالوگ_محصولات!J115</f>
        <v>0</v>
      </c>
      <c r="I115" s="9">
        <f>کاتالوگ_محصولات!K115</f>
        <v>9</v>
      </c>
      <c r="J115" s="9" t="str">
        <f>کاتالوگ_محصولات!L115</f>
        <v>🟢 OK</v>
      </c>
    </row>
    <row r="116" spans="1:10" ht="18" customHeight="1">
      <c r="A116" s="9" t="str">
        <f>کاتالوگ_محصولات!A116</f>
        <v>SKU-0113</v>
      </c>
      <c r="B116" s="15" t="str">
        <f>کاتالوگ_محصولات!C116</f>
        <v>شلوار بیسیک مشکی1</v>
      </c>
      <c r="C116" s="15" t="str">
        <f>کاتالوگ_محصولات!D116</f>
        <v>شلوار</v>
      </c>
      <c r="D116" s="15" t="str">
        <f>کاتالوگ_محصولات!E116</f>
        <v>Crepe</v>
      </c>
      <c r="E116" s="16">
        <f>کاتالوگ_محصولات!G116</f>
        <v>0</v>
      </c>
      <c r="F116" s="16">
        <f>کاتالوگ_محصولات!H116</f>
        <v>1440000</v>
      </c>
      <c r="G116" s="9">
        <f>کاتالوگ_محصولات!I116</f>
        <v>9</v>
      </c>
      <c r="H116" s="9">
        <f>کاتالوگ_محصولات!J116</f>
        <v>0</v>
      </c>
      <c r="I116" s="9">
        <f>کاتالوگ_محصولات!K116</f>
        <v>9</v>
      </c>
      <c r="J116" s="9" t="str">
        <f>کاتالوگ_محصولات!L116</f>
        <v>🟢 OK</v>
      </c>
    </row>
    <row r="117" spans="1:10" ht="18" customHeight="1">
      <c r="A117" s="9" t="str">
        <f>کاتالوگ_محصولات!A117</f>
        <v>SKU-0114</v>
      </c>
      <c r="B117" s="15" t="str">
        <f>کاتالوگ_محصولات!C117</f>
        <v>شلوار بیسیک مشکی2</v>
      </c>
      <c r="C117" s="15" t="str">
        <f>کاتالوگ_محصولات!D117</f>
        <v>شلوار</v>
      </c>
      <c r="D117" s="15" t="str">
        <f>کاتالوگ_محصولات!E117</f>
        <v>Crepe</v>
      </c>
      <c r="E117" s="16">
        <f>کاتالوگ_محصولات!G117</f>
        <v>0</v>
      </c>
      <c r="F117" s="16">
        <f>کاتالوگ_محصولات!H117</f>
        <v>1440000</v>
      </c>
      <c r="G117" s="9">
        <f>کاتالوگ_محصولات!I117</f>
        <v>9</v>
      </c>
      <c r="H117" s="9">
        <f>کاتالوگ_محصولات!J117</f>
        <v>0</v>
      </c>
      <c r="I117" s="9">
        <f>کاتالوگ_محصولات!K117</f>
        <v>9</v>
      </c>
      <c r="J117" s="9" t="str">
        <f>کاتالوگ_محصولات!L117</f>
        <v>🟢 OK</v>
      </c>
    </row>
    <row r="118" spans="1:10" ht="18" customHeight="1">
      <c r="A118" s="9" t="str">
        <f>کاتالوگ_محصولات!A118</f>
        <v>SKU-0115</v>
      </c>
      <c r="B118" s="15" t="str">
        <f>کاتالوگ_محصولات!C118</f>
        <v>وست دیپلمات مشکی فری</v>
      </c>
      <c r="C118" s="15" t="str">
        <f>کاتالوگ_محصولات!D118</f>
        <v>وست</v>
      </c>
      <c r="D118" s="15" t="str">
        <f>کاتالوگ_محصولات!E118</f>
        <v>Cotton</v>
      </c>
      <c r="E118" s="16">
        <f>کاتالوگ_محصولات!G118</f>
        <v>0</v>
      </c>
      <c r="F118" s="16">
        <f>کاتالوگ_محصولات!H118</f>
        <v>3980000</v>
      </c>
      <c r="G118" s="9">
        <f>کاتالوگ_محصولات!I118</f>
        <v>9</v>
      </c>
      <c r="H118" s="9">
        <f>کاتالوگ_محصولات!J118</f>
        <v>0</v>
      </c>
      <c r="I118" s="9">
        <f>کاتالوگ_محصولات!K118</f>
        <v>9</v>
      </c>
      <c r="J118" s="9" t="str">
        <f>کاتالوگ_محصولات!L118</f>
        <v>🟢 OK</v>
      </c>
    </row>
    <row r="119" spans="1:10" ht="18" customHeight="1">
      <c r="A119" s="9" t="str">
        <f>کاتالوگ_محصولات!A119</f>
        <v>SKU-0116</v>
      </c>
      <c r="B119" s="15" t="str">
        <f>کاتالوگ_محصولات!C119</f>
        <v>وست دیپلمات طوسی فری</v>
      </c>
      <c r="C119" s="15" t="str">
        <f>کاتالوگ_محصولات!D119</f>
        <v>وست</v>
      </c>
      <c r="D119" s="15" t="str">
        <f>کاتالوگ_محصولات!E119</f>
        <v>Cotton</v>
      </c>
      <c r="E119" s="16">
        <f>کاتالوگ_محصولات!G119</f>
        <v>0</v>
      </c>
      <c r="F119" s="16">
        <f>کاتالوگ_محصولات!H119</f>
        <v>3980000</v>
      </c>
      <c r="G119" s="9">
        <f>کاتالوگ_محصولات!I119</f>
        <v>9</v>
      </c>
      <c r="H119" s="9">
        <f>کاتالوگ_محصولات!J119</f>
        <v>0</v>
      </c>
      <c r="I119" s="9">
        <f>کاتالوگ_محصولات!K119</f>
        <v>9</v>
      </c>
      <c r="J119" s="9" t="str">
        <f>کاتالوگ_محصولات!L119</f>
        <v>🟢 OK</v>
      </c>
    </row>
    <row r="120" spans="1:10" ht="18" customHeight="1">
      <c r="A120" s="9" t="str">
        <f>کاتالوگ_محصولات!A120</f>
        <v>SKU-0117</v>
      </c>
      <c r="B120" s="15" t="str">
        <f>کاتالوگ_محصولات!C120</f>
        <v>تاپ اولدمانی کرم1</v>
      </c>
      <c r="C120" s="15" t="str">
        <f>کاتالوگ_محصولات!D120</f>
        <v>تاپ</v>
      </c>
      <c r="D120" s="15" t="str">
        <f>کاتالوگ_محصولات!E120</f>
        <v>Linen</v>
      </c>
      <c r="E120" s="16">
        <f>کاتالوگ_محصولات!G120</f>
        <v>0</v>
      </c>
      <c r="F120" s="16">
        <f>کاتالوگ_محصولات!H120</f>
        <v>2380000</v>
      </c>
      <c r="G120" s="9">
        <f>کاتالوگ_محصولات!I120</f>
        <v>9</v>
      </c>
      <c r="H120" s="9">
        <f>کاتالوگ_محصولات!J120</f>
        <v>0</v>
      </c>
      <c r="I120" s="9">
        <f>کاتالوگ_محصولات!K120</f>
        <v>9</v>
      </c>
      <c r="J120" s="9" t="str">
        <f>کاتالوگ_محصولات!L120</f>
        <v>🟢 OK</v>
      </c>
    </row>
    <row r="121" spans="1:10" ht="18" customHeight="1">
      <c r="A121" s="9" t="str">
        <f>کاتالوگ_محصولات!A121</f>
        <v>SKU-0118</v>
      </c>
      <c r="B121" s="15" t="str">
        <f>کاتالوگ_محصولات!C121</f>
        <v>تاپ اولدمانی کرم2</v>
      </c>
      <c r="C121" s="15" t="str">
        <f>کاتالوگ_محصولات!D121</f>
        <v>تاپ</v>
      </c>
      <c r="D121" s="15" t="str">
        <f>کاتالوگ_محصولات!E121</f>
        <v>Linen</v>
      </c>
      <c r="E121" s="16">
        <f>کاتالوگ_محصولات!G121</f>
        <v>0</v>
      </c>
      <c r="F121" s="16">
        <f>کاتالوگ_محصولات!H121</f>
        <v>2380000</v>
      </c>
      <c r="G121" s="9">
        <f>کاتالوگ_محصولات!I121</f>
        <v>9</v>
      </c>
      <c r="H121" s="9">
        <f>کاتالوگ_محصولات!J121</f>
        <v>0</v>
      </c>
      <c r="I121" s="9">
        <f>کاتالوگ_محصولات!K121</f>
        <v>9</v>
      </c>
      <c r="J121" s="9" t="str">
        <f>کاتالوگ_محصولات!L121</f>
        <v>🟢 OK</v>
      </c>
    </row>
    <row r="122" spans="1:10" ht="18" customHeight="1">
      <c r="A122" s="9" t="str">
        <f>کاتالوگ_محصولات!A122</f>
        <v>SKU-0119</v>
      </c>
      <c r="B122" s="15" t="str">
        <f>کاتالوگ_محصولات!C122</f>
        <v>تاپ اولدمانی کرم3</v>
      </c>
      <c r="C122" s="15" t="str">
        <f>کاتالوگ_محصولات!D122</f>
        <v>تاپ</v>
      </c>
      <c r="D122" s="15" t="str">
        <f>کاتالوگ_محصولات!E122</f>
        <v>Linen</v>
      </c>
      <c r="E122" s="16">
        <f>کاتالوگ_محصولات!G122</f>
        <v>0</v>
      </c>
      <c r="F122" s="16">
        <f>کاتالوگ_محصولات!H122</f>
        <v>2380000</v>
      </c>
      <c r="G122" s="9">
        <f>کاتالوگ_محصولات!I122</f>
        <v>9</v>
      </c>
      <c r="H122" s="9">
        <f>کاتالوگ_محصولات!J122</f>
        <v>0</v>
      </c>
      <c r="I122" s="9">
        <f>کاتالوگ_محصولات!K122</f>
        <v>9</v>
      </c>
      <c r="J122" s="9" t="str">
        <f>کاتالوگ_محصولات!L122</f>
        <v>🟢 OK</v>
      </c>
    </row>
    <row r="123" spans="1:10" ht="18" customHeight="1">
      <c r="A123" s="9" t="str">
        <f>کاتالوگ_محصولات!A123</f>
        <v>SKU-0120</v>
      </c>
      <c r="B123" s="15" t="str">
        <f>کاتالوگ_محصولات!C123</f>
        <v>تاپ اولدمانی مشکی 1</v>
      </c>
      <c r="C123" s="15" t="str">
        <f>کاتالوگ_محصولات!D123</f>
        <v>تاپ</v>
      </c>
      <c r="D123" s="15" t="str">
        <f>کاتالوگ_محصولات!E123</f>
        <v>Linen</v>
      </c>
      <c r="E123" s="16">
        <f>کاتالوگ_محصولات!G123</f>
        <v>0</v>
      </c>
      <c r="F123" s="16">
        <f>کاتالوگ_محصولات!H123</f>
        <v>2380000</v>
      </c>
      <c r="G123" s="9">
        <f>کاتالوگ_محصولات!I123</f>
        <v>9</v>
      </c>
      <c r="H123" s="9">
        <f>کاتالوگ_محصولات!J123</f>
        <v>0</v>
      </c>
      <c r="I123" s="9">
        <f>کاتالوگ_محصولات!K123</f>
        <v>9</v>
      </c>
      <c r="J123" s="9" t="str">
        <f>کاتالوگ_محصولات!L123</f>
        <v>🟢 OK</v>
      </c>
    </row>
    <row r="124" spans="1:10" ht="18" customHeight="1">
      <c r="A124" s="9" t="str">
        <f>کاتالوگ_محصولات!A124</f>
        <v>SKU-0121</v>
      </c>
      <c r="B124" s="15" t="str">
        <f>کاتالوگ_محصولات!C124</f>
        <v>تاپ اولدمانی مشکی2</v>
      </c>
      <c r="C124" s="15" t="str">
        <f>کاتالوگ_محصولات!D124</f>
        <v>تاپ</v>
      </c>
      <c r="D124" s="15" t="str">
        <f>کاتالوگ_محصولات!E124</f>
        <v>Linen</v>
      </c>
      <c r="E124" s="16">
        <f>کاتالوگ_محصولات!G124</f>
        <v>0</v>
      </c>
      <c r="F124" s="16">
        <f>کاتالوگ_محصولات!H124</f>
        <v>2380000</v>
      </c>
      <c r="G124" s="9">
        <f>کاتالوگ_محصولات!I124</f>
        <v>9</v>
      </c>
      <c r="H124" s="9">
        <f>کاتالوگ_محصولات!J124</f>
        <v>0</v>
      </c>
      <c r="I124" s="9">
        <f>کاتالوگ_محصولات!K124</f>
        <v>9</v>
      </c>
      <c r="J124" s="9" t="str">
        <f>کاتالوگ_محصولات!L124</f>
        <v>🟢 OK</v>
      </c>
    </row>
    <row r="125" spans="1:10" ht="18" customHeight="1">
      <c r="A125" s="9" t="str">
        <f>کاتالوگ_محصولات!A125</f>
        <v>SKU-0122</v>
      </c>
      <c r="B125" s="15" t="str">
        <f>کاتالوگ_محصولات!C125</f>
        <v>تاپ اولدمانی مشکی3</v>
      </c>
      <c r="C125" s="15" t="str">
        <f>کاتالوگ_محصولات!D125</f>
        <v>تاپ</v>
      </c>
      <c r="D125" s="15" t="str">
        <f>کاتالوگ_محصولات!E125</f>
        <v>Linen</v>
      </c>
      <c r="E125" s="16">
        <f>کاتالوگ_محصولات!G125</f>
        <v>0</v>
      </c>
      <c r="F125" s="16">
        <f>کاتالوگ_محصولات!H125</f>
        <v>2380000</v>
      </c>
      <c r="G125" s="9">
        <f>کاتالوگ_محصولات!I125</f>
        <v>9</v>
      </c>
      <c r="H125" s="9">
        <f>کاتالوگ_محصولات!J125</f>
        <v>0</v>
      </c>
      <c r="I125" s="9">
        <f>کاتالوگ_محصولات!K125</f>
        <v>9</v>
      </c>
      <c r="J125" s="9" t="str">
        <f>کاتالوگ_محصولات!L125</f>
        <v>🟢 OK</v>
      </c>
    </row>
    <row r="126" spans="1:10" ht="18" customHeight="1">
      <c r="A126" s="9" t="str">
        <f>کاتالوگ_محصولات!A126</f>
        <v>SKU-0123</v>
      </c>
      <c r="B126" s="15" t="str">
        <f>کاتالوگ_محصولات!C126</f>
        <v>تاپ اولدمانی استخوانی 1</v>
      </c>
      <c r="C126" s="15" t="str">
        <f>کاتالوگ_محصولات!D126</f>
        <v>تاپ</v>
      </c>
      <c r="D126" s="15" t="str">
        <f>کاتالوگ_محصولات!E126</f>
        <v>Linen</v>
      </c>
      <c r="E126" s="16">
        <f>کاتالوگ_محصولات!G126</f>
        <v>0</v>
      </c>
      <c r="F126" s="16">
        <f>کاتالوگ_محصولات!H126</f>
        <v>2380000</v>
      </c>
      <c r="G126" s="9">
        <f>کاتالوگ_محصولات!I126</f>
        <v>9</v>
      </c>
      <c r="H126" s="9">
        <f>کاتالوگ_محصولات!J126</f>
        <v>0</v>
      </c>
      <c r="I126" s="9">
        <f>کاتالوگ_محصولات!K126</f>
        <v>9</v>
      </c>
      <c r="J126" s="9" t="str">
        <f>کاتالوگ_محصولات!L126</f>
        <v>🟢 OK</v>
      </c>
    </row>
    <row r="127" spans="1:10" ht="18" customHeight="1">
      <c r="A127" s="9" t="str">
        <f>کاتالوگ_محصولات!A127</f>
        <v>SKU-0124</v>
      </c>
      <c r="B127" s="15" t="str">
        <f>کاتالوگ_محصولات!C127</f>
        <v>تاپ اولدمانی استخوانی 2</v>
      </c>
      <c r="C127" s="15" t="str">
        <f>کاتالوگ_محصولات!D127</f>
        <v>تاپ</v>
      </c>
      <c r="D127" s="15" t="str">
        <f>کاتالوگ_محصولات!E127</f>
        <v>Linen</v>
      </c>
      <c r="E127" s="16">
        <f>کاتالوگ_محصولات!G127</f>
        <v>0</v>
      </c>
      <c r="F127" s="16">
        <f>کاتالوگ_محصولات!H127</f>
        <v>2380000</v>
      </c>
      <c r="G127" s="9">
        <f>کاتالوگ_محصولات!I127</f>
        <v>9</v>
      </c>
      <c r="H127" s="9">
        <f>کاتالوگ_محصولات!J127</f>
        <v>0</v>
      </c>
      <c r="I127" s="9">
        <f>کاتالوگ_محصولات!K127</f>
        <v>9</v>
      </c>
      <c r="J127" s="9" t="str">
        <f>کاتالوگ_محصولات!L127</f>
        <v>🟢 OK</v>
      </c>
    </row>
    <row r="128" spans="1:10" ht="18" customHeight="1">
      <c r="A128" s="9" t="str">
        <f>کاتالوگ_محصولات!A128</f>
        <v>SKU-0125</v>
      </c>
      <c r="B128" s="15" t="str">
        <f>کاتالوگ_محصولات!C128</f>
        <v>تاپ اولدمانی استخوانی 3</v>
      </c>
      <c r="C128" s="15" t="str">
        <f>کاتالوگ_محصولات!D128</f>
        <v>تاپ</v>
      </c>
      <c r="D128" s="15" t="str">
        <f>کاتالوگ_محصولات!E128</f>
        <v>Linen</v>
      </c>
      <c r="E128" s="16">
        <f>کاتالوگ_محصولات!G128</f>
        <v>0</v>
      </c>
      <c r="F128" s="16">
        <f>کاتالوگ_محصولات!H128</f>
        <v>2380000</v>
      </c>
      <c r="G128" s="9">
        <f>کاتالوگ_محصولات!I128</f>
        <v>9</v>
      </c>
      <c r="H128" s="9">
        <f>کاتالوگ_محصولات!J128</f>
        <v>0</v>
      </c>
      <c r="I128" s="9">
        <f>کاتالوگ_محصولات!K128</f>
        <v>9</v>
      </c>
      <c r="J128" s="9" t="str">
        <f>کاتالوگ_محصولات!L128</f>
        <v>🟢 OK</v>
      </c>
    </row>
    <row r="129" spans="1:10" ht="18" customHeight="1">
      <c r="A129" s="9" t="str">
        <f>کاتالوگ_محصولات!A129</f>
        <v>SKU-0126</v>
      </c>
      <c r="B129" s="15" t="str">
        <f>کاتالوگ_محصولات!C129</f>
        <v>شلوار اولدمانی کرم1</v>
      </c>
      <c r="C129" s="15" t="str">
        <f>کاتالوگ_محصولات!D129</f>
        <v>شلوار</v>
      </c>
      <c r="D129" s="15" t="str">
        <f>کاتالوگ_محصولات!E129</f>
        <v>Linen</v>
      </c>
      <c r="E129" s="16">
        <f>کاتالوگ_محصولات!G129</f>
        <v>0</v>
      </c>
      <c r="F129" s="16">
        <f>کاتالوگ_محصولات!H129</f>
        <v>3680000</v>
      </c>
      <c r="G129" s="9">
        <f>کاتالوگ_محصولات!I129</f>
        <v>9</v>
      </c>
      <c r="H129" s="9">
        <f>کاتالوگ_محصولات!J129</f>
        <v>0</v>
      </c>
      <c r="I129" s="9">
        <f>کاتالوگ_محصولات!K129</f>
        <v>9</v>
      </c>
      <c r="J129" s="9" t="str">
        <f>کاتالوگ_محصولات!L129</f>
        <v>🟢 OK</v>
      </c>
    </row>
    <row r="130" spans="1:10" ht="18" customHeight="1">
      <c r="A130" s="9" t="str">
        <f>کاتالوگ_محصولات!A130</f>
        <v>SKU-0127</v>
      </c>
      <c r="B130" s="15" t="str">
        <f>کاتالوگ_محصولات!C130</f>
        <v>شلوار اولدمانی کرم2</v>
      </c>
      <c r="C130" s="15" t="str">
        <f>کاتالوگ_محصولات!D130</f>
        <v>شلوار</v>
      </c>
      <c r="D130" s="15" t="str">
        <f>کاتالوگ_محصولات!E130</f>
        <v>Linen</v>
      </c>
      <c r="E130" s="16">
        <f>کاتالوگ_محصولات!G130</f>
        <v>0</v>
      </c>
      <c r="F130" s="16">
        <f>کاتالوگ_محصولات!H130</f>
        <v>3680000</v>
      </c>
      <c r="G130" s="9">
        <f>کاتالوگ_محصولات!I130</f>
        <v>9</v>
      </c>
      <c r="H130" s="9">
        <f>کاتالوگ_محصولات!J130</f>
        <v>0</v>
      </c>
      <c r="I130" s="9">
        <f>کاتالوگ_محصولات!K130</f>
        <v>9</v>
      </c>
      <c r="J130" s="9" t="str">
        <f>کاتالوگ_محصولات!L130</f>
        <v>🟢 OK</v>
      </c>
    </row>
    <row r="131" spans="1:10" ht="18" customHeight="1">
      <c r="A131" s="9" t="str">
        <f>کاتالوگ_محصولات!A131</f>
        <v>SKU-0128</v>
      </c>
      <c r="B131" s="15" t="str">
        <f>کاتالوگ_محصولات!C131</f>
        <v>شلوار اولدمانی کرم3</v>
      </c>
      <c r="C131" s="15" t="str">
        <f>کاتالوگ_محصولات!D131</f>
        <v>شلوار</v>
      </c>
      <c r="D131" s="15" t="str">
        <f>کاتالوگ_محصولات!E131</f>
        <v>Linen</v>
      </c>
      <c r="E131" s="16">
        <f>کاتالوگ_محصولات!G131</f>
        <v>0</v>
      </c>
      <c r="F131" s="16">
        <f>کاتالوگ_محصولات!H131</f>
        <v>3680000</v>
      </c>
      <c r="G131" s="9">
        <f>کاتالوگ_محصولات!I131</f>
        <v>9</v>
      </c>
      <c r="H131" s="9">
        <f>کاتالوگ_محصولات!J131</f>
        <v>0</v>
      </c>
      <c r="I131" s="9">
        <f>کاتالوگ_محصولات!K131</f>
        <v>9</v>
      </c>
      <c r="J131" s="9" t="str">
        <f>کاتالوگ_محصولات!L131</f>
        <v>🟢 OK</v>
      </c>
    </row>
    <row r="132" spans="1:10" ht="18" customHeight="1">
      <c r="A132" s="9" t="str">
        <f>کاتالوگ_محصولات!A132</f>
        <v>SKU-0129</v>
      </c>
      <c r="B132" s="15" t="str">
        <f>کاتالوگ_محصولات!C132</f>
        <v>شلوار اولدمانی مشکی1</v>
      </c>
      <c r="C132" s="15" t="str">
        <f>کاتالوگ_محصولات!D132</f>
        <v>شلوار</v>
      </c>
      <c r="D132" s="15" t="str">
        <f>کاتالوگ_محصولات!E132</f>
        <v>Linen</v>
      </c>
      <c r="E132" s="16">
        <f>کاتالوگ_محصولات!G132</f>
        <v>0</v>
      </c>
      <c r="F132" s="16">
        <f>کاتالوگ_محصولات!H132</f>
        <v>3680000</v>
      </c>
      <c r="G132" s="9">
        <f>کاتالوگ_محصولات!I132</f>
        <v>9</v>
      </c>
      <c r="H132" s="9">
        <f>کاتالوگ_محصولات!J132</f>
        <v>0</v>
      </c>
      <c r="I132" s="9">
        <f>کاتالوگ_محصولات!K132</f>
        <v>9</v>
      </c>
      <c r="J132" s="9" t="str">
        <f>کاتالوگ_محصولات!L132</f>
        <v>🟢 OK</v>
      </c>
    </row>
    <row r="133" spans="1:10" ht="18" customHeight="1">
      <c r="A133" s="9" t="str">
        <f>کاتالوگ_محصولات!A133</f>
        <v>SKU-0130</v>
      </c>
      <c r="B133" s="15" t="str">
        <f>کاتالوگ_محصولات!C133</f>
        <v>شلوار اولدمانی مشکی2</v>
      </c>
      <c r="C133" s="15" t="str">
        <f>کاتالوگ_محصولات!D133</f>
        <v>شلوار</v>
      </c>
      <c r="D133" s="15" t="str">
        <f>کاتالوگ_محصولات!E133</f>
        <v>Linen</v>
      </c>
      <c r="E133" s="16">
        <f>کاتالوگ_محصولات!G133</f>
        <v>0</v>
      </c>
      <c r="F133" s="16">
        <f>کاتالوگ_محصولات!H133</f>
        <v>3680000</v>
      </c>
      <c r="G133" s="9">
        <f>کاتالوگ_محصولات!I133</f>
        <v>9</v>
      </c>
      <c r="H133" s="9">
        <f>کاتالوگ_محصولات!J133</f>
        <v>0</v>
      </c>
      <c r="I133" s="9">
        <f>کاتالوگ_محصولات!K133</f>
        <v>9</v>
      </c>
      <c r="J133" s="9" t="str">
        <f>کاتالوگ_محصولات!L133</f>
        <v>🟢 OK</v>
      </c>
    </row>
    <row r="134" spans="1:10" ht="18" customHeight="1">
      <c r="A134" s="9" t="str">
        <f>کاتالوگ_محصولات!A134</f>
        <v>SKU-0131</v>
      </c>
      <c r="B134" s="15" t="str">
        <f>کاتالوگ_محصولات!C134</f>
        <v>شلوار اولدمانی مشکی3</v>
      </c>
      <c r="C134" s="15" t="str">
        <f>کاتالوگ_محصولات!D134</f>
        <v>شلوار</v>
      </c>
      <c r="D134" s="15" t="str">
        <f>کاتالوگ_محصولات!E134</f>
        <v>Linen</v>
      </c>
      <c r="E134" s="16">
        <f>کاتالوگ_محصولات!G134</f>
        <v>0</v>
      </c>
      <c r="F134" s="16">
        <f>کاتالوگ_محصولات!H134</f>
        <v>3680000</v>
      </c>
      <c r="G134" s="9">
        <f>کاتالوگ_محصولات!I134</f>
        <v>9</v>
      </c>
      <c r="H134" s="9">
        <f>کاتالوگ_محصولات!J134</f>
        <v>0</v>
      </c>
      <c r="I134" s="9">
        <f>کاتالوگ_محصولات!K134</f>
        <v>9</v>
      </c>
      <c r="J134" s="9" t="str">
        <f>کاتالوگ_محصولات!L134</f>
        <v>🟢 OK</v>
      </c>
    </row>
    <row r="135" spans="1:10" ht="18" customHeight="1">
      <c r="A135" s="9" t="str">
        <f>کاتالوگ_محصولات!A135</f>
        <v>SKU-0132</v>
      </c>
      <c r="B135" s="15" t="str">
        <f>کاتالوگ_محصولات!C135</f>
        <v>شلوار اولدمانی استخوانی1</v>
      </c>
      <c r="C135" s="15" t="str">
        <f>کاتالوگ_محصولات!D135</f>
        <v>شلوار</v>
      </c>
      <c r="D135" s="15" t="str">
        <f>کاتالوگ_محصولات!E135</f>
        <v>Linen</v>
      </c>
      <c r="E135" s="16">
        <f>کاتالوگ_محصولات!G135</f>
        <v>0</v>
      </c>
      <c r="F135" s="16">
        <f>کاتالوگ_محصولات!H135</f>
        <v>3680000</v>
      </c>
      <c r="G135" s="9">
        <f>کاتالوگ_محصولات!I135</f>
        <v>9</v>
      </c>
      <c r="H135" s="9">
        <f>کاتالوگ_محصولات!J135</f>
        <v>0</v>
      </c>
      <c r="I135" s="9">
        <f>کاتالوگ_محصولات!K135</f>
        <v>9</v>
      </c>
      <c r="J135" s="9" t="str">
        <f>کاتالوگ_محصولات!L135</f>
        <v>🟢 OK</v>
      </c>
    </row>
    <row r="136" spans="1:10" ht="18" customHeight="1">
      <c r="A136" s="9" t="str">
        <f>کاتالوگ_محصولات!A136</f>
        <v>SKU-0133</v>
      </c>
      <c r="B136" s="15" t="str">
        <f>کاتالوگ_محصولات!C136</f>
        <v>شلوار اولدمانی استخوانی2</v>
      </c>
      <c r="C136" s="15" t="str">
        <f>کاتالوگ_محصولات!D136</f>
        <v>شلوار</v>
      </c>
      <c r="D136" s="15" t="str">
        <f>کاتالوگ_محصولات!E136</f>
        <v>Linen</v>
      </c>
      <c r="E136" s="16">
        <f>کاتالوگ_محصولات!G136</f>
        <v>0</v>
      </c>
      <c r="F136" s="16">
        <f>کاتالوگ_محصولات!H136</f>
        <v>3680000</v>
      </c>
      <c r="G136" s="9">
        <f>کاتالوگ_محصولات!I136</f>
        <v>9</v>
      </c>
      <c r="H136" s="9">
        <f>کاتالوگ_محصولات!J136</f>
        <v>0</v>
      </c>
      <c r="I136" s="9">
        <f>کاتالوگ_محصولات!K136</f>
        <v>9</v>
      </c>
      <c r="J136" s="9" t="str">
        <f>کاتالوگ_محصولات!L136</f>
        <v>🟢 OK</v>
      </c>
    </row>
    <row r="137" spans="1:10" ht="18" customHeight="1">
      <c r="A137" s="9" t="str">
        <f>کاتالوگ_محصولات!A137</f>
        <v>SKU-0134</v>
      </c>
      <c r="B137" s="15" t="str">
        <f>کاتالوگ_محصولات!C137</f>
        <v>شلوار اولدمانی استخوانی3</v>
      </c>
      <c r="C137" s="15" t="str">
        <f>کاتالوگ_محصولات!D137</f>
        <v>شلوار</v>
      </c>
      <c r="D137" s="15" t="str">
        <f>کاتالوگ_محصولات!E137</f>
        <v>Linen</v>
      </c>
      <c r="E137" s="16">
        <f>کاتالوگ_محصولات!G137</f>
        <v>0</v>
      </c>
      <c r="F137" s="16">
        <f>کاتالوگ_محصولات!H137</f>
        <v>3680000</v>
      </c>
      <c r="G137" s="9">
        <f>کاتالوگ_محصولات!I137</f>
        <v>9</v>
      </c>
      <c r="H137" s="9">
        <f>کاتالوگ_محصولات!J137</f>
        <v>0</v>
      </c>
      <c r="I137" s="9">
        <f>کاتالوگ_محصولات!K137</f>
        <v>9</v>
      </c>
      <c r="J137" s="9" t="str">
        <f>کاتالوگ_محصولات!L137</f>
        <v>🟢 OK</v>
      </c>
    </row>
    <row r="138" spans="1:10" ht="18" customHeight="1">
      <c r="A138" s="9" t="str">
        <f>کاتالوگ_محصولات!A138</f>
        <v>SKU-0135</v>
      </c>
      <c r="B138" s="15" t="str">
        <f>کاتالوگ_محصولات!C138</f>
        <v>شومیز پارلا سرمه ای1</v>
      </c>
      <c r="C138" s="15" t="str">
        <f>کاتالوگ_محصولات!D138</f>
        <v>شومیز</v>
      </c>
      <c r="D138" s="15" t="str">
        <f>کاتالوگ_محصولات!E138</f>
        <v>Satin</v>
      </c>
      <c r="E138" s="16">
        <f>کاتالوگ_محصولات!G138</f>
        <v>0</v>
      </c>
      <c r="F138" s="16">
        <f>کاتالوگ_محصولات!H138</f>
        <v>3780000</v>
      </c>
      <c r="G138" s="9">
        <f>کاتالوگ_محصولات!I138</f>
        <v>9</v>
      </c>
      <c r="H138" s="9">
        <f>کاتالوگ_محصولات!J138</f>
        <v>0</v>
      </c>
      <c r="I138" s="9">
        <f>کاتالوگ_محصولات!K138</f>
        <v>9</v>
      </c>
      <c r="J138" s="9" t="str">
        <f>کاتالوگ_محصولات!L138</f>
        <v>🟢 OK</v>
      </c>
    </row>
    <row r="139" spans="1:10" ht="18" customHeight="1">
      <c r="A139" s="9" t="str">
        <f>کاتالوگ_محصولات!A139</f>
        <v>SKU-0136</v>
      </c>
      <c r="B139" s="15" t="str">
        <f>کاتالوگ_محصولات!C139</f>
        <v>شومیز پارلا سرمه ای2</v>
      </c>
      <c r="C139" s="15" t="str">
        <f>کاتالوگ_محصولات!D139</f>
        <v>شومیز</v>
      </c>
      <c r="D139" s="15" t="str">
        <f>کاتالوگ_محصولات!E139</f>
        <v>Satin</v>
      </c>
      <c r="E139" s="16">
        <f>کاتالوگ_محصولات!G139</f>
        <v>0</v>
      </c>
      <c r="F139" s="16">
        <f>کاتالوگ_محصولات!H139</f>
        <v>3780000</v>
      </c>
      <c r="G139" s="9">
        <f>کاتالوگ_محصولات!I139</f>
        <v>9</v>
      </c>
      <c r="H139" s="9">
        <f>کاتالوگ_محصولات!J139</f>
        <v>0</v>
      </c>
      <c r="I139" s="9">
        <f>کاتالوگ_محصولات!K139</f>
        <v>9</v>
      </c>
      <c r="J139" s="9" t="str">
        <f>کاتالوگ_محصولات!L139</f>
        <v>🟢 OK</v>
      </c>
    </row>
    <row r="140" spans="1:10" ht="18" customHeight="1">
      <c r="A140" s="9" t="str">
        <f>کاتالوگ_محصولات!A140</f>
        <v>SKU-0137</v>
      </c>
      <c r="B140" s="15" t="str">
        <f>کاتالوگ_محصولات!C140</f>
        <v>شومیز پارلا مشکی1</v>
      </c>
      <c r="C140" s="15" t="str">
        <f>کاتالوگ_محصولات!D140</f>
        <v>شومیز</v>
      </c>
      <c r="D140" s="15" t="str">
        <f>کاتالوگ_محصولات!E140</f>
        <v>Satin</v>
      </c>
      <c r="E140" s="16">
        <f>کاتالوگ_محصولات!G140</f>
        <v>0</v>
      </c>
      <c r="F140" s="16">
        <f>کاتالوگ_محصولات!H140</f>
        <v>3780000</v>
      </c>
      <c r="G140" s="9">
        <f>کاتالوگ_محصولات!I140</f>
        <v>9</v>
      </c>
      <c r="H140" s="9">
        <f>کاتالوگ_محصولات!J140</f>
        <v>0</v>
      </c>
      <c r="I140" s="9">
        <f>کاتالوگ_محصولات!K140</f>
        <v>9</v>
      </c>
      <c r="J140" s="9" t="str">
        <f>کاتالوگ_محصولات!L140</f>
        <v>🟢 OK</v>
      </c>
    </row>
    <row r="141" spans="1:10" ht="18" customHeight="1">
      <c r="A141" s="9" t="str">
        <f>کاتالوگ_محصولات!A141</f>
        <v>SKU-0138</v>
      </c>
      <c r="B141" s="15" t="str">
        <f>کاتالوگ_محصولات!C141</f>
        <v>شومیز پارلا مشکی2</v>
      </c>
      <c r="C141" s="15" t="str">
        <f>کاتالوگ_محصولات!D141</f>
        <v>شومیز</v>
      </c>
      <c r="D141" s="15" t="str">
        <f>کاتالوگ_محصولات!E141</f>
        <v>Satin</v>
      </c>
      <c r="E141" s="16">
        <f>کاتالوگ_محصولات!G141</f>
        <v>0</v>
      </c>
      <c r="F141" s="16">
        <f>کاتالوگ_محصولات!H141</f>
        <v>3780000</v>
      </c>
      <c r="G141" s="9">
        <f>کاتالوگ_محصولات!I141</f>
        <v>9</v>
      </c>
      <c r="H141" s="9">
        <f>کاتالوگ_محصولات!J141</f>
        <v>0</v>
      </c>
      <c r="I141" s="9">
        <f>کاتالوگ_محصولات!K141</f>
        <v>9</v>
      </c>
      <c r="J141" s="9" t="str">
        <f>کاتالوگ_محصولات!L141</f>
        <v>🟢 OK</v>
      </c>
    </row>
    <row r="142" spans="1:10" ht="18" customHeight="1">
      <c r="A142" s="9" t="str">
        <f>کاتالوگ_محصولات!A142</f>
        <v>SKU-0139</v>
      </c>
      <c r="B142" s="15" t="str">
        <f>کاتالوگ_محصولات!C142</f>
        <v>شومیز پارلاسفید1</v>
      </c>
      <c r="C142" s="15" t="str">
        <f>کاتالوگ_محصولات!D142</f>
        <v>شومیز</v>
      </c>
      <c r="D142" s="15" t="str">
        <f>کاتالوگ_محصولات!E142</f>
        <v>Satin</v>
      </c>
      <c r="E142" s="16">
        <f>کاتالوگ_محصولات!G142</f>
        <v>0</v>
      </c>
      <c r="F142" s="16">
        <f>کاتالوگ_محصولات!H142</f>
        <v>3780000</v>
      </c>
      <c r="G142" s="9">
        <f>کاتالوگ_محصولات!I142</f>
        <v>9</v>
      </c>
      <c r="H142" s="9">
        <f>کاتالوگ_محصولات!J142</f>
        <v>0</v>
      </c>
      <c r="I142" s="9">
        <f>کاتالوگ_محصولات!K142</f>
        <v>9</v>
      </c>
      <c r="J142" s="9" t="str">
        <f>کاتالوگ_محصولات!L142</f>
        <v>🟢 OK</v>
      </c>
    </row>
    <row r="143" spans="1:10" ht="18" customHeight="1">
      <c r="A143" s="9" t="str">
        <f>کاتالوگ_محصولات!A143</f>
        <v>SKU-0140</v>
      </c>
      <c r="B143" s="15" t="str">
        <f>کاتالوگ_محصولات!C143</f>
        <v>شومیز پارلا سفید2</v>
      </c>
      <c r="C143" s="15" t="str">
        <f>کاتالوگ_محصولات!D143</f>
        <v>شومیز</v>
      </c>
      <c r="D143" s="15" t="str">
        <f>کاتالوگ_محصولات!E143</f>
        <v>Satin</v>
      </c>
      <c r="E143" s="16">
        <f>کاتالوگ_محصولات!G143</f>
        <v>0</v>
      </c>
      <c r="F143" s="16">
        <f>کاتالوگ_محصولات!H143</f>
        <v>3780000</v>
      </c>
      <c r="G143" s="9">
        <f>کاتالوگ_محصولات!I143</f>
        <v>9</v>
      </c>
      <c r="H143" s="9">
        <f>کاتالوگ_محصولات!J143</f>
        <v>0</v>
      </c>
      <c r="I143" s="9">
        <f>کاتالوگ_محصولات!K143</f>
        <v>9</v>
      </c>
      <c r="J143" s="9" t="str">
        <f>کاتالوگ_محصولات!L143</f>
        <v>🟢 OK</v>
      </c>
    </row>
    <row r="144" spans="1:10" ht="18" customHeight="1">
      <c r="A144" s="9" t="str">
        <f>کاتالوگ_محصولات!A144</f>
        <v>SKU-0141</v>
      </c>
      <c r="B144" s="15" t="str">
        <f>کاتالوگ_محصولات!C144</f>
        <v>شومیز پارلا کرم1</v>
      </c>
      <c r="C144" s="15" t="str">
        <f>کاتالوگ_محصولات!D144</f>
        <v>شومیز</v>
      </c>
      <c r="D144" s="15" t="str">
        <f>کاتالوگ_محصولات!E144</f>
        <v>Satin</v>
      </c>
      <c r="E144" s="16">
        <f>کاتالوگ_محصولات!G144</f>
        <v>0</v>
      </c>
      <c r="F144" s="16">
        <f>کاتالوگ_محصولات!H144</f>
        <v>3780000</v>
      </c>
      <c r="G144" s="9">
        <f>کاتالوگ_محصولات!I144</f>
        <v>9</v>
      </c>
      <c r="H144" s="9">
        <f>کاتالوگ_محصولات!J144</f>
        <v>0</v>
      </c>
      <c r="I144" s="9">
        <f>کاتالوگ_محصولات!K144</f>
        <v>9</v>
      </c>
      <c r="J144" s="9" t="str">
        <f>کاتالوگ_محصولات!L144</f>
        <v>🟢 OK</v>
      </c>
    </row>
    <row r="145" spans="1:10" ht="18" customHeight="1">
      <c r="A145" s="9" t="str">
        <f>کاتالوگ_محصولات!A145</f>
        <v>SKU-0142</v>
      </c>
      <c r="B145" s="15" t="str">
        <f>کاتالوگ_محصولات!C145</f>
        <v>شومیز پارلا کرم2</v>
      </c>
      <c r="C145" s="15" t="str">
        <f>کاتالوگ_محصولات!D145</f>
        <v>شومیز</v>
      </c>
      <c r="D145" s="15" t="str">
        <f>کاتالوگ_محصولات!E145</f>
        <v>Satin</v>
      </c>
      <c r="E145" s="16">
        <f>کاتالوگ_محصولات!G145</f>
        <v>0</v>
      </c>
      <c r="F145" s="16">
        <f>کاتالوگ_محصولات!H145</f>
        <v>3780000</v>
      </c>
      <c r="G145" s="9">
        <f>کاتالوگ_محصولات!I145</f>
        <v>9</v>
      </c>
      <c r="H145" s="9">
        <f>کاتالوگ_محصولات!J145</f>
        <v>0</v>
      </c>
      <c r="I145" s="9">
        <f>کاتالوگ_محصولات!K145</f>
        <v>9</v>
      </c>
      <c r="J145" s="9" t="str">
        <f>کاتالوگ_محصولات!L145</f>
        <v>🟢 OK</v>
      </c>
    </row>
    <row r="146" spans="1:10" ht="18" customHeight="1">
      <c r="A146" s="9" t="str">
        <f>کاتالوگ_محصولات!A146</f>
        <v>SKU-0143</v>
      </c>
      <c r="B146" s="15" t="str">
        <f>کاتالوگ_محصولات!C146</f>
        <v>شومیز پارلا سبز زیتونی 1</v>
      </c>
      <c r="C146" s="15" t="str">
        <f>کاتالوگ_محصولات!D146</f>
        <v>شومیز</v>
      </c>
      <c r="D146" s="15" t="str">
        <f>کاتالوگ_محصولات!E146</f>
        <v>Satin</v>
      </c>
      <c r="E146" s="16">
        <f>کاتالوگ_محصولات!G146</f>
        <v>0</v>
      </c>
      <c r="F146" s="16">
        <f>کاتالوگ_محصولات!H146</f>
        <v>3780000</v>
      </c>
      <c r="G146" s="9">
        <f>کاتالوگ_محصولات!I146</f>
        <v>9</v>
      </c>
      <c r="H146" s="9">
        <f>کاتالوگ_محصولات!J146</f>
        <v>0</v>
      </c>
      <c r="I146" s="9">
        <f>کاتالوگ_محصولات!K146</f>
        <v>9</v>
      </c>
      <c r="J146" s="9" t="str">
        <f>کاتالوگ_محصولات!L146</f>
        <v>🟢 OK</v>
      </c>
    </row>
    <row r="147" spans="1:10" ht="18" customHeight="1">
      <c r="A147" s="9" t="str">
        <f>کاتالوگ_محصولات!A147</f>
        <v>SKU-0144</v>
      </c>
      <c r="B147" s="15" t="str">
        <f>کاتالوگ_محصولات!C147</f>
        <v>شومیز پارلا سبز زیتونی2</v>
      </c>
      <c r="C147" s="15" t="str">
        <f>کاتالوگ_محصولات!D147</f>
        <v>شومیز</v>
      </c>
      <c r="D147" s="15" t="str">
        <f>کاتالوگ_محصولات!E147</f>
        <v>Satin</v>
      </c>
      <c r="E147" s="16">
        <f>کاتالوگ_محصولات!G147</f>
        <v>0</v>
      </c>
      <c r="F147" s="16">
        <f>کاتالوگ_محصولات!H147</f>
        <v>3780000</v>
      </c>
      <c r="G147" s="9">
        <f>کاتالوگ_محصولات!I147</f>
        <v>9</v>
      </c>
      <c r="H147" s="9">
        <f>کاتالوگ_محصولات!J147</f>
        <v>0</v>
      </c>
      <c r="I147" s="9">
        <f>کاتالوگ_محصولات!K147</f>
        <v>9</v>
      </c>
      <c r="J147" s="9" t="str">
        <f>کاتالوگ_محصولات!L147</f>
        <v>🟢 OK</v>
      </c>
    </row>
    <row r="148" spans="1:10" ht="18" customHeight="1">
      <c r="A148" s="9" t="str">
        <f>کاتالوگ_محصولات!A148</f>
        <v>SKU-0145</v>
      </c>
      <c r="B148" s="15" t="str">
        <f>کاتالوگ_محصولات!C148</f>
        <v>شومیز پارلا آبی1</v>
      </c>
      <c r="C148" s="15" t="str">
        <f>کاتالوگ_محصولات!D148</f>
        <v>شومیز</v>
      </c>
      <c r="D148" s="15" t="str">
        <f>کاتالوگ_محصولات!E148</f>
        <v>Satin</v>
      </c>
      <c r="E148" s="16">
        <f>کاتالوگ_محصولات!G148</f>
        <v>0</v>
      </c>
      <c r="F148" s="16">
        <f>کاتالوگ_محصولات!H148</f>
        <v>3780000</v>
      </c>
      <c r="G148" s="9">
        <f>کاتالوگ_محصولات!I148</f>
        <v>9</v>
      </c>
      <c r="H148" s="9">
        <f>کاتالوگ_محصولات!J148</f>
        <v>0</v>
      </c>
      <c r="I148" s="9">
        <f>کاتالوگ_محصولات!K148</f>
        <v>9</v>
      </c>
      <c r="J148" s="9" t="str">
        <f>کاتالوگ_محصولات!L148</f>
        <v>🟢 OK</v>
      </c>
    </row>
    <row r="149" spans="1:10" ht="18" customHeight="1">
      <c r="A149" s="9" t="str">
        <f>کاتالوگ_محصولات!A149</f>
        <v>SKU-0146</v>
      </c>
      <c r="B149" s="15" t="str">
        <f>کاتالوگ_محصولات!C149</f>
        <v>شومیز پارلا آبی2</v>
      </c>
      <c r="C149" s="15" t="str">
        <f>کاتالوگ_محصولات!D149</f>
        <v>شومیز</v>
      </c>
      <c r="D149" s="15" t="str">
        <f>کاتالوگ_محصولات!E149</f>
        <v>Satin</v>
      </c>
      <c r="E149" s="16">
        <f>کاتالوگ_محصولات!G149</f>
        <v>0</v>
      </c>
      <c r="F149" s="16">
        <f>کاتالوگ_محصولات!H149</f>
        <v>3780000</v>
      </c>
      <c r="G149" s="9">
        <f>کاتالوگ_محصولات!I149</f>
        <v>9</v>
      </c>
      <c r="H149" s="9">
        <f>کاتالوگ_محصولات!J149</f>
        <v>0</v>
      </c>
      <c r="I149" s="9">
        <f>کاتالوگ_محصولات!K149</f>
        <v>9</v>
      </c>
      <c r="J149" s="9" t="str">
        <f>کاتالوگ_محصولات!L149</f>
        <v>🟢 OK</v>
      </c>
    </row>
    <row r="150" spans="1:10" ht="18" customHeight="1">
      <c r="A150" s="9" t="str">
        <f>کاتالوگ_محصولات!A150</f>
        <v>SKU-0147</v>
      </c>
      <c r="B150" s="15" t="str">
        <f>کاتالوگ_محصولات!C150</f>
        <v>شومیز مانلی سفید1</v>
      </c>
      <c r="C150" s="15" t="str">
        <f>کاتالوگ_محصولات!D150</f>
        <v>شومیز</v>
      </c>
      <c r="D150" s="15" t="str">
        <f>کاتالوگ_محصولات!E150</f>
        <v>Satin</v>
      </c>
      <c r="E150" s="16">
        <f>کاتالوگ_محصولات!G150</f>
        <v>0</v>
      </c>
      <c r="F150" s="16">
        <f>کاتالوگ_محصولات!H150</f>
        <v>3450000</v>
      </c>
      <c r="G150" s="9">
        <f>کاتالوگ_محصولات!I150</f>
        <v>9</v>
      </c>
      <c r="H150" s="9">
        <f>کاتالوگ_محصولات!J150</f>
        <v>0</v>
      </c>
      <c r="I150" s="9">
        <f>کاتالوگ_محصولات!K150</f>
        <v>9</v>
      </c>
      <c r="J150" s="9" t="str">
        <f>کاتالوگ_محصولات!L150</f>
        <v>🟢 OK</v>
      </c>
    </row>
    <row r="151" spans="1:10" ht="18" customHeight="1">
      <c r="A151" s="9" t="str">
        <f>کاتالوگ_محصولات!A151</f>
        <v>SKU-0148</v>
      </c>
      <c r="B151" s="15" t="str">
        <f>کاتالوگ_محصولات!C151</f>
        <v>شومیز مانلی سفید2</v>
      </c>
      <c r="C151" s="15" t="str">
        <f>کاتالوگ_محصولات!D151</f>
        <v>شومیز</v>
      </c>
      <c r="D151" s="15" t="str">
        <f>کاتالوگ_محصولات!E151</f>
        <v>Satin</v>
      </c>
      <c r="E151" s="16">
        <f>کاتالوگ_محصولات!G151</f>
        <v>0</v>
      </c>
      <c r="F151" s="16">
        <f>کاتالوگ_محصولات!H151</f>
        <v>3450000</v>
      </c>
      <c r="G151" s="9">
        <f>کاتالوگ_محصولات!I151</f>
        <v>9</v>
      </c>
      <c r="H151" s="9">
        <f>کاتالوگ_محصولات!J151</f>
        <v>0</v>
      </c>
      <c r="I151" s="9">
        <f>کاتالوگ_محصولات!K151</f>
        <v>9</v>
      </c>
      <c r="J151" s="9" t="str">
        <f>کاتالوگ_محصولات!L151</f>
        <v>🟢 OK</v>
      </c>
    </row>
    <row r="152" spans="1:10" ht="18" customHeight="1">
      <c r="A152" s="9" t="str">
        <f>کاتالوگ_محصولات!A152</f>
        <v>SKU-0149</v>
      </c>
      <c r="B152" s="15" t="str">
        <f>کاتالوگ_محصولات!C152</f>
        <v>شومیز مانلی مشکی1</v>
      </c>
      <c r="C152" s="15" t="str">
        <f>کاتالوگ_محصولات!D152</f>
        <v>شومیز</v>
      </c>
      <c r="D152" s="15" t="str">
        <f>کاتالوگ_محصولات!E152</f>
        <v>Satin</v>
      </c>
      <c r="E152" s="16">
        <f>کاتالوگ_محصولات!G152</f>
        <v>0</v>
      </c>
      <c r="F152" s="16">
        <f>کاتالوگ_محصولات!H152</f>
        <v>3450000</v>
      </c>
      <c r="G152" s="9">
        <f>کاتالوگ_محصولات!I152</f>
        <v>9</v>
      </c>
      <c r="H152" s="9">
        <f>کاتالوگ_محصولات!J152</f>
        <v>0</v>
      </c>
      <c r="I152" s="9">
        <f>کاتالوگ_محصولات!K152</f>
        <v>9</v>
      </c>
      <c r="J152" s="9" t="str">
        <f>کاتالوگ_محصولات!L152</f>
        <v>🟢 OK</v>
      </c>
    </row>
    <row r="153" spans="1:10" ht="18" customHeight="1">
      <c r="A153" s="9" t="str">
        <f>کاتالوگ_محصولات!A153</f>
        <v>SKU-0150</v>
      </c>
      <c r="B153" s="15" t="str">
        <f>کاتالوگ_محصولات!C153</f>
        <v>شومیز مانلی مشکی2</v>
      </c>
      <c r="C153" s="15" t="str">
        <f>کاتالوگ_محصولات!D153</f>
        <v>شومیز</v>
      </c>
      <c r="D153" s="15" t="str">
        <f>کاتالوگ_محصولات!E153</f>
        <v>Satin</v>
      </c>
      <c r="E153" s="16">
        <f>کاتالوگ_محصولات!G153</f>
        <v>0</v>
      </c>
      <c r="F153" s="16">
        <f>کاتالوگ_محصولات!H153</f>
        <v>3450000</v>
      </c>
      <c r="G153" s="9">
        <f>کاتالوگ_محصولات!I153</f>
        <v>9</v>
      </c>
      <c r="H153" s="9">
        <f>کاتالوگ_محصولات!J153</f>
        <v>0</v>
      </c>
      <c r="I153" s="9">
        <f>کاتالوگ_محصولات!K153</f>
        <v>9</v>
      </c>
      <c r="J153" s="9" t="str">
        <f>کاتالوگ_محصولات!L153</f>
        <v>🟢 OK</v>
      </c>
    </row>
    <row r="154" spans="1:10" ht="18" customHeight="1">
      <c r="A154" s="9" t="str">
        <f>کاتالوگ_محصولات!A154</f>
        <v>SKU-0151</v>
      </c>
      <c r="B154" s="15" t="str">
        <f>کاتالوگ_محصولات!C154</f>
        <v>شومیز مانلی کرم1</v>
      </c>
      <c r="C154" s="15" t="str">
        <f>کاتالوگ_محصولات!D154</f>
        <v>شومیز</v>
      </c>
      <c r="D154" s="15" t="str">
        <f>کاتالوگ_محصولات!E154</f>
        <v>Satin</v>
      </c>
      <c r="E154" s="16">
        <f>کاتالوگ_محصولات!G154</f>
        <v>0</v>
      </c>
      <c r="F154" s="16">
        <f>کاتالوگ_محصولات!H154</f>
        <v>3450000</v>
      </c>
      <c r="G154" s="9">
        <f>کاتالوگ_محصولات!I154</f>
        <v>9</v>
      </c>
      <c r="H154" s="9">
        <f>کاتالوگ_محصولات!J154</f>
        <v>0</v>
      </c>
      <c r="I154" s="9">
        <f>کاتالوگ_محصولات!K154</f>
        <v>9</v>
      </c>
      <c r="J154" s="9" t="str">
        <f>کاتالوگ_محصولات!L154</f>
        <v>🟢 OK</v>
      </c>
    </row>
    <row r="155" spans="1:10" ht="18" customHeight="1">
      <c r="A155" s="9" t="str">
        <f>کاتالوگ_محصولات!A155</f>
        <v>SKU-0152</v>
      </c>
      <c r="B155" s="15" t="str">
        <f>کاتالوگ_محصولات!C155</f>
        <v>شومیز مانلی کرم2</v>
      </c>
      <c r="C155" s="15" t="str">
        <f>کاتالوگ_محصولات!D155</f>
        <v>شومیز</v>
      </c>
      <c r="D155" s="15" t="str">
        <f>کاتالوگ_محصولات!E155</f>
        <v>Satin</v>
      </c>
      <c r="E155" s="16">
        <f>کاتالوگ_محصولات!G155</f>
        <v>0</v>
      </c>
      <c r="F155" s="16">
        <f>کاتالوگ_محصولات!H155</f>
        <v>3450000</v>
      </c>
      <c r="G155" s="9">
        <f>کاتالوگ_محصولات!I155</f>
        <v>9</v>
      </c>
      <c r="H155" s="9">
        <f>کاتالوگ_محصولات!J155</f>
        <v>0</v>
      </c>
      <c r="I155" s="9">
        <f>کاتالوگ_محصولات!K155</f>
        <v>9</v>
      </c>
      <c r="J155" s="9" t="str">
        <f>کاتالوگ_محصولات!L155</f>
        <v>🟢 OK</v>
      </c>
    </row>
    <row r="156" spans="1:10" ht="18" customHeight="1">
      <c r="A156" s="9" t="str">
        <f>کاتالوگ_محصولات!A156</f>
        <v>SKU-0153</v>
      </c>
      <c r="B156" s="15" t="str">
        <f>کاتالوگ_محصولات!C156</f>
        <v>شومیز مانلی آبی1</v>
      </c>
      <c r="C156" s="15" t="str">
        <f>کاتالوگ_محصولات!D156</f>
        <v>شومیز</v>
      </c>
      <c r="D156" s="15" t="str">
        <f>کاتالوگ_محصولات!E156</f>
        <v>Satin</v>
      </c>
      <c r="E156" s="16">
        <f>کاتالوگ_محصولات!G156</f>
        <v>0</v>
      </c>
      <c r="F156" s="16">
        <f>کاتالوگ_محصولات!H156</f>
        <v>3450000</v>
      </c>
      <c r="G156" s="9">
        <f>کاتالوگ_محصولات!I156</f>
        <v>9</v>
      </c>
      <c r="H156" s="9">
        <f>کاتالوگ_محصولات!J156</f>
        <v>0</v>
      </c>
      <c r="I156" s="9">
        <f>کاتالوگ_محصولات!K156</f>
        <v>9</v>
      </c>
      <c r="J156" s="9" t="str">
        <f>کاتالوگ_محصولات!L156</f>
        <v>🟢 OK</v>
      </c>
    </row>
    <row r="157" spans="1:10" ht="18" customHeight="1">
      <c r="A157" s="9" t="str">
        <f>کاتالوگ_محصولات!A157</f>
        <v>SKU-0154</v>
      </c>
      <c r="B157" s="15" t="str">
        <f>کاتالوگ_محصولات!C157</f>
        <v>شومیز مانلی آبی2</v>
      </c>
      <c r="C157" s="15" t="str">
        <f>کاتالوگ_محصولات!D157</f>
        <v>شومیز</v>
      </c>
      <c r="D157" s="15" t="str">
        <f>کاتالوگ_محصولات!E157</f>
        <v>Satin</v>
      </c>
      <c r="E157" s="16">
        <f>کاتالوگ_محصولات!G157</f>
        <v>0</v>
      </c>
      <c r="F157" s="16">
        <f>کاتالوگ_محصولات!H157</f>
        <v>3450000</v>
      </c>
      <c r="G157" s="9">
        <f>کاتالوگ_محصولات!I157</f>
        <v>9</v>
      </c>
      <c r="H157" s="9">
        <f>کاتالوگ_محصولات!J157</f>
        <v>0</v>
      </c>
      <c r="I157" s="9">
        <f>کاتالوگ_محصولات!K157</f>
        <v>9</v>
      </c>
      <c r="J157" s="9" t="str">
        <f>کاتالوگ_محصولات!L157</f>
        <v>🟢 OK</v>
      </c>
    </row>
    <row r="158" spans="1:10" ht="18" customHeight="1">
      <c r="A158" s="9" t="str">
        <f>کاتالوگ_محصولات!A158</f>
        <v>SKU-0155</v>
      </c>
      <c r="B158" s="15" t="str">
        <f>کاتالوگ_محصولات!C158</f>
        <v>شومیز مانلی سرمه ای1</v>
      </c>
      <c r="C158" s="15" t="str">
        <f>کاتالوگ_محصولات!D158</f>
        <v>شومیز</v>
      </c>
      <c r="D158" s="15" t="str">
        <f>کاتالوگ_محصولات!E158</f>
        <v>Satin</v>
      </c>
      <c r="E158" s="16">
        <f>کاتالوگ_محصولات!G158</f>
        <v>0</v>
      </c>
      <c r="F158" s="16">
        <f>کاتالوگ_محصولات!H158</f>
        <v>3450000</v>
      </c>
      <c r="G158" s="9">
        <f>کاتالوگ_محصولات!I158</f>
        <v>9</v>
      </c>
      <c r="H158" s="9">
        <f>کاتالوگ_محصولات!J158</f>
        <v>0</v>
      </c>
      <c r="I158" s="9">
        <f>کاتالوگ_محصولات!K158</f>
        <v>9</v>
      </c>
      <c r="J158" s="9" t="str">
        <f>کاتالوگ_محصولات!L158</f>
        <v>🟢 OK</v>
      </c>
    </row>
    <row r="159" spans="1:10" ht="18" customHeight="1">
      <c r="A159" s="9" t="str">
        <f>کاتالوگ_محصولات!A159</f>
        <v>SKU-0156</v>
      </c>
      <c r="B159" s="15" t="str">
        <f>کاتالوگ_محصولات!C159</f>
        <v>شومیز مانلی سرمه ای2</v>
      </c>
      <c r="C159" s="15" t="str">
        <f>کاتالوگ_محصولات!D159</f>
        <v>شومیز</v>
      </c>
      <c r="D159" s="15" t="str">
        <f>کاتالوگ_محصولات!E159</f>
        <v>Satin</v>
      </c>
      <c r="E159" s="16">
        <f>کاتالوگ_محصولات!G159</f>
        <v>0</v>
      </c>
      <c r="F159" s="16">
        <f>کاتالوگ_محصولات!H159</f>
        <v>3450000</v>
      </c>
      <c r="G159" s="9">
        <f>کاتالوگ_محصولات!I159</f>
        <v>9</v>
      </c>
      <c r="H159" s="9">
        <f>کاتالوگ_محصولات!J159</f>
        <v>0</v>
      </c>
      <c r="I159" s="9">
        <f>کاتالوگ_محصولات!K159</f>
        <v>9</v>
      </c>
      <c r="J159" s="9" t="str">
        <f>کاتالوگ_محصولات!L159</f>
        <v>🟢 OK</v>
      </c>
    </row>
    <row r="160" spans="1:10" ht="18" customHeight="1">
      <c r="A160" s="9" t="str">
        <f>کاتالوگ_محصولات!A160</f>
        <v>SKU-0157</v>
      </c>
      <c r="B160" s="15" t="str">
        <f>کاتالوگ_محصولات!C160</f>
        <v>شومیز مانلی سبززیتونی1</v>
      </c>
      <c r="C160" s="15" t="str">
        <f>کاتالوگ_محصولات!D160</f>
        <v>شومیز</v>
      </c>
      <c r="D160" s="15" t="str">
        <f>کاتالوگ_محصولات!E160</f>
        <v>Satin</v>
      </c>
      <c r="E160" s="16">
        <f>کاتالوگ_محصولات!G160</f>
        <v>0</v>
      </c>
      <c r="F160" s="16">
        <f>کاتالوگ_محصولات!H160</f>
        <v>3450000</v>
      </c>
      <c r="G160" s="9">
        <f>کاتالوگ_محصولات!I160</f>
        <v>9</v>
      </c>
      <c r="H160" s="9">
        <f>کاتالوگ_محصولات!J160</f>
        <v>0</v>
      </c>
      <c r="I160" s="9">
        <f>کاتالوگ_محصولات!K160</f>
        <v>9</v>
      </c>
      <c r="J160" s="9" t="str">
        <f>کاتالوگ_محصولات!L160</f>
        <v>🟢 OK</v>
      </c>
    </row>
    <row r="161" spans="1:10" ht="18" customHeight="1">
      <c r="A161" s="9" t="str">
        <f>کاتالوگ_محصولات!A161</f>
        <v>SKU-0158</v>
      </c>
      <c r="B161" s="15" t="str">
        <f>کاتالوگ_محصولات!C161</f>
        <v>شومیز مانلی سبز زیتونی 2</v>
      </c>
      <c r="C161" s="15" t="str">
        <f>کاتالوگ_محصولات!D161</f>
        <v>شومیز</v>
      </c>
      <c r="D161" s="15" t="str">
        <f>کاتالوگ_محصولات!E161</f>
        <v>Satin</v>
      </c>
      <c r="E161" s="16">
        <f>کاتالوگ_محصولات!G161</f>
        <v>0</v>
      </c>
      <c r="F161" s="16">
        <f>کاتالوگ_محصولات!H161</f>
        <v>3450000</v>
      </c>
      <c r="G161" s="9">
        <f>کاتالوگ_محصولات!I161</f>
        <v>9</v>
      </c>
      <c r="H161" s="9">
        <f>کاتالوگ_محصولات!J161</f>
        <v>0</v>
      </c>
      <c r="I161" s="9">
        <f>کاتالوگ_محصولات!K161</f>
        <v>9</v>
      </c>
      <c r="J161" s="9" t="str">
        <f>کاتالوگ_محصولات!L161</f>
        <v>🟢 OK</v>
      </c>
    </row>
    <row r="162" spans="1:10" ht="18" customHeight="1">
      <c r="A162" s="9" t="str">
        <f>کاتالوگ_محصولات!A162</f>
        <v>SKU-0159</v>
      </c>
      <c r="B162" s="15" t="str">
        <f>کاتالوگ_محصولات!C162</f>
        <v>شومیز ساتن بیسیک سفید فری</v>
      </c>
      <c r="C162" s="15" t="str">
        <f>کاتالوگ_محصولات!D162</f>
        <v>شومیز</v>
      </c>
      <c r="D162" s="15" t="str">
        <f>کاتالوگ_محصولات!E162</f>
        <v>Satin</v>
      </c>
      <c r="E162" s="16">
        <f>کاتالوگ_محصولات!G162</f>
        <v>0</v>
      </c>
      <c r="F162" s="16">
        <f>کاتالوگ_محصولات!H162</f>
        <v>2380000</v>
      </c>
      <c r="G162" s="9">
        <f>کاتالوگ_محصولات!I162</f>
        <v>9</v>
      </c>
      <c r="H162" s="9">
        <f>کاتالوگ_محصولات!J162</f>
        <v>0</v>
      </c>
      <c r="I162" s="9">
        <f>کاتالوگ_محصولات!K162</f>
        <v>9</v>
      </c>
      <c r="J162" s="9" t="str">
        <f>کاتالوگ_محصولات!L162</f>
        <v>🟢 OK</v>
      </c>
    </row>
    <row r="163" spans="1:10" ht="18" customHeight="1">
      <c r="A163" s="9" t="str">
        <f>کاتالوگ_محصولات!A163</f>
        <v>SKU-0160</v>
      </c>
      <c r="B163" s="15" t="str">
        <f>کاتالوگ_محصولات!C163</f>
        <v>شومیز ساتن بیسیک کرم فری</v>
      </c>
      <c r="C163" s="15" t="str">
        <f>کاتالوگ_محصولات!D163</f>
        <v>شومیز</v>
      </c>
      <c r="D163" s="15" t="str">
        <f>کاتالوگ_محصولات!E163</f>
        <v>Satin</v>
      </c>
      <c r="E163" s="16">
        <f>کاتالوگ_محصولات!G163</f>
        <v>0</v>
      </c>
      <c r="F163" s="16">
        <f>کاتالوگ_محصولات!H163</f>
        <v>2380000</v>
      </c>
      <c r="G163" s="9">
        <f>کاتالوگ_محصولات!I163</f>
        <v>9</v>
      </c>
      <c r="H163" s="9">
        <f>کاتالوگ_محصولات!J163</f>
        <v>0</v>
      </c>
      <c r="I163" s="9">
        <f>کاتالوگ_محصولات!K163</f>
        <v>9</v>
      </c>
      <c r="J163" s="9" t="str">
        <f>کاتالوگ_محصولات!L163</f>
        <v>🟢 OK</v>
      </c>
    </row>
    <row r="164" spans="1:10" ht="18" customHeight="1">
      <c r="A164" s="9" t="str">
        <f>کاتالوگ_محصولات!A164</f>
        <v>SKU-0161</v>
      </c>
      <c r="B164" s="15" t="str">
        <f>کاتالوگ_محصولات!C164</f>
        <v>شومیز ساتن بیسیک آبی فری</v>
      </c>
      <c r="C164" s="15" t="str">
        <f>کاتالوگ_محصولات!D164</f>
        <v>شومیز</v>
      </c>
      <c r="D164" s="15" t="str">
        <f>کاتالوگ_محصولات!E164</f>
        <v>Satin</v>
      </c>
      <c r="E164" s="16">
        <f>کاتالوگ_محصولات!G164</f>
        <v>0</v>
      </c>
      <c r="F164" s="16">
        <f>کاتالوگ_محصولات!H164</f>
        <v>2380000</v>
      </c>
      <c r="G164" s="9">
        <f>کاتالوگ_محصولات!I164</f>
        <v>9</v>
      </c>
      <c r="H164" s="9">
        <f>کاتالوگ_محصولات!J164</f>
        <v>0</v>
      </c>
      <c r="I164" s="9">
        <f>کاتالوگ_محصولات!K164</f>
        <v>9</v>
      </c>
      <c r="J164" s="9" t="str">
        <f>کاتالوگ_محصولات!L164</f>
        <v>🟢 OK</v>
      </c>
    </row>
    <row r="165" spans="1:10" ht="18" customHeight="1">
      <c r="A165" s="9" t="str">
        <f>کاتالوگ_محصولات!A165</f>
        <v>SKU-0162</v>
      </c>
      <c r="B165" s="15" t="str">
        <f>کاتالوگ_محصولات!C165</f>
        <v>شومیز ساتن بیسیک قرمز فری</v>
      </c>
      <c r="C165" s="15" t="str">
        <f>کاتالوگ_محصولات!D165</f>
        <v>شومیز</v>
      </c>
      <c r="D165" s="15" t="str">
        <f>کاتالوگ_محصولات!E165</f>
        <v>Satin</v>
      </c>
      <c r="E165" s="16">
        <f>کاتالوگ_محصولات!G165</f>
        <v>0</v>
      </c>
      <c r="F165" s="16">
        <f>کاتالوگ_محصولات!H165</f>
        <v>2380000</v>
      </c>
      <c r="G165" s="9">
        <f>کاتالوگ_محصولات!I165</f>
        <v>9</v>
      </c>
      <c r="H165" s="9">
        <f>کاتالوگ_محصولات!J165</f>
        <v>0</v>
      </c>
      <c r="I165" s="9">
        <f>کاتالوگ_محصولات!K165</f>
        <v>9</v>
      </c>
      <c r="J165" s="9" t="str">
        <f>کاتالوگ_محصولات!L165</f>
        <v>🟢 OK</v>
      </c>
    </row>
    <row r="166" spans="1:10" ht="18" customHeight="1">
      <c r="A166" s="9" t="str">
        <f>کاتالوگ_محصولات!A166</f>
        <v>SKU-0163</v>
      </c>
      <c r="B166" s="15" t="str">
        <f>کاتالوگ_محصولات!C166</f>
        <v>شومیز ساتن بیسیک طوسی فری</v>
      </c>
      <c r="C166" s="15" t="str">
        <f>کاتالوگ_محصولات!D166</f>
        <v>شومیز</v>
      </c>
      <c r="D166" s="15" t="str">
        <f>کاتالوگ_محصولات!E166</f>
        <v>Satin</v>
      </c>
      <c r="E166" s="16">
        <f>کاتالوگ_محصولات!G166</f>
        <v>0</v>
      </c>
      <c r="F166" s="16">
        <f>کاتالوگ_محصولات!H166</f>
        <v>2380000</v>
      </c>
      <c r="G166" s="9">
        <f>کاتالوگ_محصولات!I166</f>
        <v>9</v>
      </c>
      <c r="H166" s="9">
        <f>کاتالوگ_محصولات!J166</f>
        <v>0</v>
      </c>
      <c r="I166" s="9">
        <f>کاتالوگ_محصولات!K166</f>
        <v>9</v>
      </c>
      <c r="J166" s="9" t="str">
        <f>کاتالوگ_محصولات!L166</f>
        <v>🟢 OK</v>
      </c>
    </row>
    <row r="167" spans="1:10" ht="18" customHeight="1">
      <c r="A167" s="9" t="str">
        <f>کاتالوگ_محصولات!A167</f>
        <v>SKU-0164</v>
      </c>
      <c r="B167" s="15" t="str">
        <f>کاتالوگ_محصولات!C167</f>
        <v>شلوار دیسکو سفید فری</v>
      </c>
      <c r="C167" s="15" t="str">
        <f>کاتالوگ_محصولات!D167</f>
        <v>شلوار</v>
      </c>
      <c r="D167" s="15" t="str">
        <f>کاتالوگ_محصولات!E167</f>
        <v>_</v>
      </c>
      <c r="E167" s="16">
        <f>کاتالوگ_محصولات!G167</f>
        <v>0</v>
      </c>
      <c r="F167" s="16">
        <f>کاتالوگ_محصولات!H167</f>
        <v>1320000</v>
      </c>
      <c r="G167" s="9">
        <f>کاتالوگ_محصولات!I167</f>
        <v>9</v>
      </c>
      <c r="H167" s="9">
        <f>کاتالوگ_محصولات!J167</f>
        <v>0</v>
      </c>
      <c r="I167" s="9">
        <f>کاتالوگ_محصولات!K167</f>
        <v>9</v>
      </c>
      <c r="J167" s="9" t="str">
        <f>کاتالوگ_محصولات!L167</f>
        <v>🟢 OK</v>
      </c>
    </row>
    <row r="168" spans="1:10" ht="18" customHeight="1">
      <c r="A168" s="9" t="str">
        <f>کاتالوگ_محصولات!A168</f>
        <v>SKU-0165</v>
      </c>
      <c r="B168" s="15" t="str">
        <f>کاتالوگ_محصولات!C168</f>
        <v>شلوار دیسکو بژ فری</v>
      </c>
      <c r="C168" s="15" t="str">
        <f>کاتالوگ_محصولات!D168</f>
        <v>شلوار</v>
      </c>
      <c r="D168" s="15" t="str">
        <f>کاتالوگ_محصولات!E168</f>
        <v>_</v>
      </c>
      <c r="E168" s="16">
        <f>کاتالوگ_محصولات!G168</f>
        <v>0</v>
      </c>
      <c r="F168" s="16">
        <f>کاتالوگ_محصولات!H168</f>
        <v>1320000</v>
      </c>
      <c r="G168" s="9">
        <f>کاتالوگ_محصولات!I168</f>
        <v>9</v>
      </c>
      <c r="H168" s="9">
        <f>کاتالوگ_محصولات!J168</f>
        <v>0</v>
      </c>
      <c r="I168" s="9">
        <f>کاتالوگ_محصولات!K168</f>
        <v>9</v>
      </c>
      <c r="J168" s="9" t="str">
        <f>کاتالوگ_محصولات!L168</f>
        <v>🟢 OK</v>
      </c>
    </row>
    <row r="169" spans="1:10" ht="18" customHeight="1">
      <c r="A169" s="9" t="str">
        <f>کاتالوگ_محصولات!A169</f>
        <v>SKU-0166</v>
      </c>
      <c r="B169" s="15" t="str">
        <f>کاتالوگ_محصولات!C169</f>
        <v>شلوار دیسکو مشکی فری</v>
      </c>
      <c r="C169" s="15" t="str">
        <f>کاتالوگ_محصولات!D169</f>
        <v>شلوار</v>
      </c>
      <c r="D169" s="15" t="str">
        <f>کاتالوگ_محصولات!E169</f>
        <v>_</v>
      </c>
      <c r="E169" s="16">
        <f>کاتالوگ_محصولات!G169</f>
        <v>0</v>
      </c>
      <c r="F169" s="16">
        <f>کاتالوگ_محصولات!H169</f>
        <v>1320000</v>
      </c>
      <c r="G169" s="9">
        <f>کاتالوگ_محصولات!I169</f>
        <v>9</v>
      </c>
      <c r="H169" s="9">
        <f>کاتالوگ_محصولات!J169</f>
        <v>0</v>
      </c>
      <c r="I169" s="9">
        <f>کاتالوگ_محصولات!K169</f>
        <v>9</v>
      </c>
      <c r="J169" s="9" t="str">
        <f>کاتالوگ_محصولات!L169</f>
        <v>🟢 OK</v>
      </c>
    </row>
    <row r="170" spans="1:10" ht="18" customHeight="1">
      <c r="A170" s="9" t="str">
        <f>کاتالوگ_محصولات!A170</f>
        <v>SKU-0167</v>
      </c>
      <c r="B170" s="15" t="str">
        <f>کاتالوگ_محصولات!C170</f>
        <v>شلوار تافته مشکی 1</v>
      </c>
      <c r="C170" s="15" t="str">
        <f>کاتالوگ_محصولات!D170</f>
        <v>شلوار</v>
      </c>
      <c r="D170" s="15" t="str">
        <f>کاتالوگ_محصولات!E170</f>
        <v>Taffeta</v>
      </c>
      <c r="E170" s="16">
        <f>کاتالوگ_محصولات!G170</f>
        <v>0</v>
      </c>
      <c r="F170" s="16">
        <f>کاتالوگ_محصولات!H170</f>
        <v>2580000</v>
      </c>
      <c r="G170" s="9">
        <f>کاتالوگ_محصولات!I170</f>
        <v>4</v>
      </c>
      <c r="H170" s="9">
        <f>کاتالوگ_محصولات!J170</f>
        <v>0</v>
      </c>
      <c r="I170" s="9">
        <f>کاتالوگ_محصولات!K170</f>
        <v>4</v>
      </c>
      <c r="J170" s="9" t="str">
        <f>کاتالوگ_محصولات!L170</f>
        <v>🟢 OK</v>
      </c>
    </row>
    <row r="171" spans="1:10" ht="18" customHeight="1">
      <c r="A171" s="9" t="str">
        <f>کاتالوگ_محصولات!A171</f>
        <v>SKU-0168</v>
      </c>
      <c r="B171" s="15" t="str">
        <f>کاتالوگ_محصولات!C171</f>
        <v>شلوار تافته مشکی 2</v>
      </c>
      <c r="C171" s="15" t="str">
        <f>کاتالوگ_محصولات!D171</f>
        <v>شلوار</v>
      </c>
      <c r="D171" s="15" t="str">
        <f>کاتالوگ_محصولات!E171</f>
        <v>Taffeta</v>
      </c>
      <c r="E171" s="16">
        <f>کاتالوگ_محصولات!G171</f>
        <v>0</v>
      </c>
      <c r="F171" s="16">
        <f>کاتالوگ_محصولات!H171</f>
        <v>2580000</v>
      </c>
      <c r="G171" s="9">
        <f>کاتالوگ_محصولات!I171</f>
        <v>9</v>
      </c>
      <c r="H171" s="9">
        <f>کاتالوگ_محصولات!J171</f>
        <v>0</v>
      </c>
      <c r="I171" s="9">
        <f>کاتالوگ_محصولات!K171</f>
        <v>9</v>
      </c>
      <c r="J171" s="9" t="str">
        <f>کاتالوگ_محصولات!L171</f>
        <v>🟢 OK</v>
      </c>
    </row>
    <row r="172" spans="1:10" ht="18" customHeight="1">
      <c r="A172" s="9" t="str">
        <f>کاتالوگ_محصولات!A172</f>
        <v>SKU-0169</v>
      </c>
      <c r="B172" s="15" t="str">
        <f>کاتالوگ_محصولات!C172</f>
        <v>شلوارک مانا کرم1</v>
      </c>
      <c r="C172" s="15" t="str">
        <f>کاتالوگ_محصولات!D172</f>
        <v>شلوارک</v>
      </c>
      <c r="D172" s="15" t="str">
        <f>کاتالوگ_محصولات!E172</f>
        <v>Linen</v>
      </c>
      <c r="E172" s="16">
        <f>کاتالوگ_محصولات!G172</f>
        <v>0</v>
      </c>
      <c r="F172" s="16">
        <f>کاتالوگ_محصولات!H172</f>
        <v>1280000</v>
      </c>
      <c r="G172" s="9">
        <f>کاتالوگ_محصولات!I172</f>
        <v>9</v>
      </c>
      <c r="H172" s="9">
        <f>کاتالوگ_محصولات!J172</f>
        <v>0</v>
      </c>
      <c r="I172" s="9">
        <f>کاتالوگ_محصولات!K172</f>
        <v>9</v>
      </c>
      <c r="J172" s="9" t="str">
        <f>کاتالوگ_محصولات!L172</f>
        <v>🟢 OK</v>
      </c>
    </row>
    <row r="173" spans="1:10" ht="18" customHeight="1">
      <c r="A173" s="9" t="str">
        <f>کاتالوگ_محصولات!A173</f>
        <v>SKU-0170</v>
      </c>
      <c r="B173" s="15" t="str">
        <f>کاتالوگ_محصولات!C173</f>
        <v>شلوارک مانا کرم2</v>
      </c>
      <c r="C173" s="15" t="str">
        <f>کاتالوگ_محصولات!D173</f>
        <v>شلوارک</v>
      </c>
      <c r="D173" s="15" t="str">
        <f>کاتالوگ_محصولات!E173</f>
        <v>Linen</v>
      </c>
      <c r="E173" s="16">
        <f>کاتالوگ_محصولات!G173</f>
        <v>0</v>
      </c>
      <c r="F173" s="16">
        <f>کاتالوگ_محصولات!H173</f>
        <v>1280000</v>
      </c>
      <c r="G173" s="9">
        <f>کاتالوگ_محصولات!I173</f>
        <v>9</v>
      </c>
      <c r="H173" s="9">
        <f>کاتالوگ_محصولات!J173</f>
        <v>0</v>
      </c>
      <c r="I173" s="9">
        <f>کاتالوگ_محصولات!K173</f>
        <v>9</v>
      </c>
      <c r="J173" s="9" t="str">
        <f>کاتالوگ_محصولات!L173</f>
        <v>🟢 OK</v>
      </c>
    </row>
    <row r="174" spans="1:10" ht="18" customHeight="1">
      <c r="A174" s="9" t="str">
        <f>کاتالوگ_محصولات!A174</f>
        <v>SKU-0171</v>
      </c>
      <c r="B174" s="15" t="str">
        <f>کاتالوگ_محصولات!C174</f>
        <v>شلوارک مانا سفید1</v>
      </c>
      <c r="C174" s="15" t="str">
        <f>کاتالوگ_محصولات!D174</f>
        <v>شلوارک</v>
      </c>
      <c r="D174" s="15" t="str">
        <f>کاتالوگ_محصولات!E174</f>
        <v>Linen</v>
      </c>
      <c r="E174" s="16">
        <f>کاتالوگ_محصولات!G174</f>
        <v>0</v>
      </c>
      <c r="F174" s="16">
        <f>کاتالوگ_محصولات!H174</f>
        <v>1280000</v>
      </c>
      <c r="G174" s="9">
        <f>کاتالوگ_محصولات!I174</f>
        <v>9</v>
      </c>
      <c r="H174" s="9">
        <f>کاتالوگ_محصولات!J174</f>
        <v>0</v>
      </c>
      <c r="I174" s="9">
        <f>کاتالوگ_محصولات!K174</f>
        <v>9</v>
      </c>
      <c r="J174" s="9" t="str">
        <f>کاتالوگ_محصولات!L174</f>
        <v>🟢 OK</v>
      </c>
    </row>
    <row r="175" spans="1:10" ht="18" customHeight="1">
      <c r="A175" s="9" t="str">
        <f>کاتالوگ_محصولات!A175</f>
        <v>SKU-0172</v>
      </c>
      <c r="B175" s="15" t="str">
        <f>کاتالوگ_محصولات!C175</f>
        <v>شلوارک مانا سفید2</v>
      </c>
      <c r="C175" s="15" t="str">
        <f>کاتالوگ_محصولات!D175</f>
        <v>شلوارک</v>
      </c>
      <c r="D175" s="15" t="str">
        <f>کاتالوگ_محصولات!E175</f>
        <v>Linen</v>
      </c>
      <c r="E175" s="16">
        <f>کاتالوگ_محصولات!G175</f>
        <v>0</v>
      </c>
      <c r="F175" s="16">
        <f>کاتالوگ_محصولات!H175</f>
        <v>1280000</v>
      </c>
      <c r="G175" s="9">
        <f>کاتالوگ_محصولات!I175</f>
        <v>9</v>
      </c>
      <c r="H175" s="9">
        <f>کاتالوگ_محصولات!J175</f>
        <v>0</v>
      </c>
      <c r="I175" s="9">
        <f>کاتالوگ_محصولات!K175</f>
        <v>9</v>
      </c>
      <c r="J175" s="9" t="str">
        <f>کاتالوگ_محصولات!L175</f>
        <v>🟢 OK</v>
      </c>
    </row>
    <row r="176" spans="1:10" ht="18" customHeight="1">
      <c r="A176" s="9" t="str">
        <f>کاتالوگ_محصولات!A176</f>
        <v>SKU-0173</v>
      </c>
      <c r="B176" s="15" t="str">
        <f>کاتالوگ_محصولات!C176</f>
        <v>شلوارک مانا سرخابی1</v>
      </c>
      <c r="C176" s="15" t="str">
        <f>کاتالوگ_محصولات!D176</f>
        <v>شلوارک</v>
      </c>
      <c r="D176" s="15" t="str">
        <f>کاتالوگ_محصولات!E176</f>
        <v>Linen</v>
      </c>
      <c r="E176" s="16">
        <f>کاتالوگ_محصولات!G176</f>
        <v>0</v>
      </c>
      <c r="F176" s="16">
        <f>کاتالوگ_محصولات!H176</f>
        <v>1280000</v>
      </c>
      <c r="G176" s="9">
        <f>کاتالوگ_محصولات!I176</f>
        <v>9</v>
      </c>
      <c r="H176" s="9">
        <f>کاتالوگ_محصولات!J176</f>
        <v>0</v>
      </c>
      <c r="I176" s="9">
        <f>کاتالوگ_محصولات!K176</f>
        <v>9</v>
      </c>
      <c r="J176" s="9" t="str">
        <f>کاتالوگ_محصولات!L176</f>
        <v>🟢 OK</v>
      </c>
    </row>
    <row r="177" spans="1:10" ht="18" customHeight="1">
      <c r="A177" s="9" t="str">
        <f>کاتالوگ_محصولات!A177</f>
        <v>SKU-0174</v>
      </c>
      <c r="B177" s="15" t="str">
        <f>کاتالوگ_محصولات!C177</f>
        <v>شلوارک مانا سرخابی2</v>
      </c>
      <c r="C177" s="15" t="str">
        <f>کاتالوگ_محصولات!D177</f>
        <v>شلوارک</v>
      </c>
      <c r="D177" s="15" t="str">
        <f>کاتالوگ_محصولات!E177</f>
        <v>Linen</v>
      </c>
      <c r="E177" s="16">
        <f>کاتالوگ_محصولات!G177</f>
        <v>0</v>
      </c>
      <c r="F177" s="16">
        <f>کاتالوگ_محصولات!H177</f>
        <v>1280000</v>
      </c>
      <c r="G177" s="9">
        <f>کاتالوگ_محصولات!I177</f>
        <v>9</v>
      </c>
      <c r="H177" s="9">
        <f>کاتالوگ_محصولات!J177</f>
        <v>0</v>
      </c>
      <c r="I177" s="9">
        <f>کاتالوگ_محصولات!K177</f>
        <v>9</v>
      </c>
      <c r="J177" s="9" t="str">
        <f>کاتالوگ_محصولات!L177</f>
        <v>🟢 OK</v>
      </c>
    </row>
    <row r="178" spans="1:10" ht="18" customHeight="1">
      <c r="A178" s="9" t="str">
        <f>کاتالوگ_محصولات!A178</f>
        <v>SKU-0175</v>
      </c>
      <c r="B178" s="15" t="str">
        <f>کاتالوگ_محصولات!C178</f>
        <v>شلوارک مانا زیتونی1</v>
      </c>
      <c r="C178" s="15" t="str">
        <f>کاتالوگ_محصولات!D178</f>
        <v>شلوارک</v>
      </c>
      <c r="D178" s="15" t="str">
        <f>کاتالوگ_محصولات!E178</f>
        <v>Linen</v>
      </c>
      <c r="E178" s="16">
        <f>کاتالوگ_محصولات!G178</f>
        <v>0</v>
      </c>
      <c r="F178" s="16">
        <f>کاتالوگ_محصولات!H178</f>
        <v>1280000</v>
      </c>
      <c r="G178" s="9">
        <f>کاتالوگ_محصولات!I178</f>
        <v>9</v>
      </c>
      <c r="H178" s="9">
        <f>کاتالوگ_محصولات!J178</f>
        <v>0</v>
      </c>
      <c r="I178" s="9">
        <f>کاتالوگ_محصولات!K178</f>
        <v>9</v>
      </c>
      <c r="J178" s="9" t="str">
        <f>کاتالوگ_محصولات!L178</f>
        <v>🟢 OK</v>
      </c>
    </row>
    <row r="179" spans="1:10" ht="18" customHeight="1">
      <c r="A179" s="9" t="str">
        <f>کاتالوگ_محصولات!A179</f>
        <v>SKU-0176</v>
      </c>
      <c r="B179" s="15" t="str">
        <f>کاتالوگ_محصولات!C179</f>
        <v>شلوارک مانا زیتونی2</v>
      </c>
      <c r="C179" s="15" t="str">
        <f>کاتالوگ_محصولات!D179</f>
        <v>شلوارک</v>
      </c>
      <c r="D179" s="15" t="str">
        <f>کاتالوگ_محصولات!E179</f>
        <v>Linen</v>
      </c>
      <c r="E179" s="16">
        <f>کاتالوگ_محصولات!G179</f>
        <v>0</v>
      </c>
      <c r="F179" s="16">
        <f>کاتالوگ_محصولات!H179</f>
        <v>1280000</v>
      </c>
      <c r="G179" s="9">
        <f>کاتالوگ_محصولات!I179</f>
        <v>9</v>
      </c>
      <c r="H179" s="9">
        <f>کاتالوگ_محصولات!J179</f>
        <v>0</v>
      </c>
      <c r="I179" s="9">
        <f>کاتالوگ_محصولات!K179</f>
        <v>9</v>
      </c>
      <c r="J179" s="9" t="str">
        <f>کاتالوگ_محصولات!L179</f>
        <v>🟢 OK</v>
      </c>
    </row>
    <row r="180" spans="1:10" ht="18" customHeight="1">
      <c r="A180" s="9" t="str">
        <f>کاتالوگ_محصولات!A180</f>
        <v>SKU-0177</v>
      </c>
      <c r="B180" s="15" t="str">
        <f>کاتالوگ_محصولات!C180</f>
        <v>تاپ مایا طوسی1</v>
      </c>
      <c r="C180" s="15" t="str">
        <f>کاتالوگ_محصولات!D180</f>
        <v>تاپ</v>
      </c>
      <c r="D180" s="15" t="str">
        <f>کاتالوگ_محصولات!E180</f>
        <v>popline</v>
      </c>
      <c r="E180" s="16">
        <f>کاتالوگ_محصولات!G180</f>
        <v>0</v>
      </c>
      <c r="F180" s="16">
        <f>کاتالوگ_محصولات!H180</f>
        <v>1180000</v>
      </c>
      <c r="G180" s="9">
        <f>کاتالوگ_محصولات!I180</f>
        <v>9</v>
      </c>
      <c r="H180" s="9">
        <f>کاتالوگ_محصولات!J180</f>
        <v>0</v>
      </c>
      <c r="I180" s="9">
        <f>کاتالوگ_محصولات!K180</f>
        <v>9</v>
      </c>
      <c r="J180" s="9" t="str">
        <f>کاتالوگ_محصولات!L180</f>
        <v>🟢 OK</v>
      </c>
    </row>
    <row r="181" spans="1:10" ht="18" customHeight="1">
      <c r="A181" s="9" t="str">
        <f>کاتالوگ_محصولات!A181</f>
        <v>SKU-0178</v>
      </c>
      <c r="B181" s="15" t="str">
        <f>کاتالوگ_محصولات!C181</f>
        <v>تاپ مایا طوسی2</v>
      </c>
      <c r="C181" s="15" t="str">
        <f>کاتالوگ_محصولات!D181</f>
        <v>تاپ</v>
      </c>
      <c r="D181" s="15" t="str">
        <f>کاتالوگ_محصولات!E181</f>
        <v>popline</v>
      </c>
      <c r="E181" s="16">
        <f>کاتالوگ_محصولات!G181</f>
        <v>0</v>
      </c>
      <c r="F181" s="16">
        <f>کاتالوگ_محصولات!H181</f>
        <v>1180000</v>
      </c>
      <c r="G181" s="9">
        <f>کاتالوگ_محصولات!I181</f>
        <v>9</v>
      </c>
      <c r="H181" s="9">
        <f>کاتالوگ_محصولات!J181</f>
        <v>0</v>
      </c>
      <c r="I181" s="9">
        <f>کاتالوگ_محصولات!K181</f>
        <v>9</v>
      </c>
      <c r="J181" s="9" t="str">
        <f>کاتالوگ_محصولات!L181</f>
        <v>🟢 OK</v>
      </c>
    </row>
    <row r="182" spans="1:10" ht="18" customHeight="1">
      <c r="A182" s="9" t="str">
        <f>کاتالوگ_محصولات!A182</f>
        <v>SKU-0179</v>
      </c>
      <c r="B182" s="15" t="str">
        <f>کاتالوگ_محصولات!C182</f>
        <v>دامن سورمه ای 1</v>
      </c>
      <c r="C182" s="15" t="str">
        <f>کاتالوگ_محصولات!D182</f>
        <v>تاپ</v>
      </c>
      <c r="D182" s="15" t="str">
        <f>کاتالوگ_محصولات!E182</f>
        <v>popline</v>
      </c>
      <c r="E182" s="16">
        <f>کاتالوگ_محصولات!G182</f>
        <v>0</v>
      </c>
      <c r="F182" s="16">
        <f>کاتالوگ_محصولات!H182</f>
        <v>3180000</v>
      </c>
      <c r="G182" s="9">
        <f>کاتالوگ_محصولات!I182</f>
        <v>9</v>
      </c>
      <c r="H182" s="9">
        <f>کاتالوگ_محصولات!J182</f>
        <v>0</v>
      </c>
      <c r="I182" s="9">
        <f>کاتالوگ_محصولات!K182</f>
        <v>9</v>
      </c>
      <c r="J182" s="9" t="str">
        <f>کاتالوگ_محصولات!L182</f>
        <v>🟢 OK</v>
      </c>
    </row>
    <row r="183" spans="1:10" ht="18" customHeight="1">
      <c r="A183" s="9" t="str">
        <f>کاتالوگ_محصولات!A183</f>
        <v>SKU-0180</v>
      </c>
      <c r="B183" s="15" t="str">
        <f>کاتالوگ_محصولات!C183</f>
        <v>تاپ ماکارون زرشکی</v>
      </c>
      <c r="C183" s="15" t="str">
        <f>کاتالوگ_محصولات!D183</f>
        <v>تاپ</v>
      </c>
      <c r="D183" s="15" t="str">
        <f>کاتالوگ_محصولات!E183</f>
        <v>popline</v>
      </c>
      <c r="E183" s="16">
        <f>کاتالوگ_محصولات!G183</f>
        <v>0</v>
      </c>
      <c r="F183" s="16">
        <f>کاتالوگ_محصولات!H183</f>
        <v>928000</v>
      </c>
      <c r="G183" s="9">
        <f>کاتالوگ_محصولات!I183</f>
        <v>9</v>
      </c>
      <c r="H183" s="9">
        <f>کاتالوگ_محصولات!J183</f>
        <v>0</v>
      </c>
      <c r="I183" s="9">
        <f>کاتالوگ_محصولات!K183</f>
        <v>9</v>
      </c>
      <c r="J183" s="9" t="str">
        <f>کاتالوگ_محصولات!L183</f>
        <v>🟢 OK</v>
      </c>
    </row>
    <row r="184" spans="1:10" ht="18" customHeight="1">
      <c r="A184" s="9" t="str">
        <f>کاتالوگ_محصولات!A184</f>
        <v>SKU-0181</v>
      </c>
      <c r="B184" s="15" t="str">
        <f>کاتالوگ_محصولات!C184</f>
        <v>تاپ مایا آبی 1</v>
      </c>
      <c r="C184" s="15" t="str">
        <f>کاتالوگ_محصولات!D184</f>
        <v>تاپ</v>
      </c>
      <c r="D184" s="15" t="str">
        <f>کاتالوگ_محصولات!E184</f>
        <v>popline</v>
      </c>
      <c r="E184" s="16">
        <f>کاتالوگ_محصولات!G184</f>
        <v>0</v>
      </c>
      <c r="F184" s="16">
        <f>کاتالوگ_محصولات!H184</f>
        <v>1180000</v>
      </c>
      <c r="G184" s="9">
        <f>کاتالوگ_محصولات!I184</f>
        <v>9</v>
      </c>
      <c r="H184" s="9">
        <f>کاتالوگ_محصولات!J184</f>
        <v>0</v>
      </c>
      <c r="I184" s="9">
        <f>کاتالوگ_محصولات!K184</f>
        <v>9</v>
      </c>
      <c r="J184" s="9" t="str">
        <f>کاتالوگ_محصولات!L184</f>
        <v>🟢 OK</v>
      </c>
    </row>
    <row r="185" spans="1:10" ht="18" customHeight="1">
      <c r="A185" s="9" t="str">
        <f>کاتالوگ_محصولات!A185</f>
        <v>SKU-0182</v>
      </c>
      <c r="B185" s="15" t="str">
        <f>کاتالوگ_محصولات!C185</f>
        <v>تاپ مایا آبی 2</v>
      </c>
      <c r="C185" s="15" t="str">
        <f>کاتالوگ_محصولات!D185</f>
        <v>تاپ</v>
      </c>
      <c r="D185" s="15" t="str">
        <f>کاتالوگ_محصولات!E185</f>
        <v>popline</v>
      </c>
      <c r="E185" s="16">
        <f>کاتالوگ_محصولات!G185</f>
        <v>0</v>
      </c>
      <c r="F185" s="16">
        <f>کاتالوگ_محصولات!H185</f>
        <v>1180000</v>
      </c>
      <c r="G185" s="9">
        <f>کاتالوگ_محصولات!I185</f>
        <v>9</v>
      </c>
      <c r="H185" s="9">
        <f>کاتالوگ_محصولات!J185</f>
        <v>0</v>
      </c>
      <c r="I185" s="9">
        <f>کاتالوگ_محصولات!K185</f>
        <v>9</v>
      </c>
      <c r="J185" s="9" t="str">
        <f>کاتالوگ_محصولات!L185</f>
        <v>🟢 OK</v>
      </c>
    </row>
    <row r="186" spans="1:10" ht="18" customHeight="1">
      <c r="A186" s="9" t="str">
        <f>کاتالوگ_محصولات!A186</f>
        <v>SKU-0183</v>
      </c>
      <c r="B186" s="15" t="str">
        <f>کاتالوگ_محصولات!C186</f>
        <v>وست بیژو طوسی روشن فری</v>
      </c>
      <c r="C186" s="15" t="str">
        <f>کاتالوگ_محصولات!D186</f>
        <v>وست</v>
      </c>
      <c r="D186" s="15" t="str">
        <f>کاتالوگ_محصولات!E186</f>
        <v>Cotton</v>
      </c>
      <c r="E186" s="16">
        <f>کاتالوگ_محصولات!G186</f>
        <v>0</v>
      </c>
      <c r="F186" s="16">
        <f>کاتالوگ_محصولات!H186</f>
        <v>3200000</v>
      </c>
      <c r="G186" s="9">
        <f>کاتالوگ_محصولات!I186</f>
        <v>9</v>
      </c>
      <c r="H186" s="9">
        <f>کاتالوگ_محصولات!J186</f>
        <v>0</v>
      </c>
      <c r="I186" s="9">
        <f>کاتالوگ_محصولات!K186</f>
        <v>9</v>
      </c>
      <c r="J186" s="9" t="str">
        <f>کاتالوگ_محصولات!L186</f>
        <v>🟢 OK</v>
      </c>
    </row>
    <row r="187" spans="1:10" ht="18" customHeight="1">
      <c r="A187" s="9" t="str">
        <f>کاتالوگ_محصولات!A187</f>
        <v>SKU-0184</v>
      </c>
      <c r="B187" s="15" t="str">
        <f>کاتالوگ_محصولات!C187</f>
        <v>وست بیژو مشکی فری</v>
      </c>
      <c r="C187" s="15" t="str">
        <f>کاتالوگ_محصولات!D187</f>
        <v>وست</v>
      </c>
      <c r="D187" s="15" t="str">
        <f>کاتالوگ_محصولات!E187</f>
        <v>Cotton</v>
      </c>
      <c r="E187" s="16">
        <f>کاتالوگ_محصولات!G187</f>
        <v>0</v>
      </c>
      <c r="F187" s="16">
        <f>کاتالوگ_محصولات!H187</f>
        <v>3200000</v>
      </c>
      <c r="G187" s="9">
        <f>کاتالوگ_محصولات!I187</f>
        <v>9</v>
      </c>
      <c r="H187" s="9">
        <f>کاتالوگ_محصولات!J187</f>
        <v>0</v>
      </c>
      <c r="I187" s="9">
        <f>کاتالوگ_محصولات!K187</f>
        <v>9</v>
      </c>
      <c r="J187" s="9" t="str">
        <f>کاتالوگ_محصولات!L187</f>
        <v>🟢 OK</v>
      </c>
    </row>
    <row r="188" spans="1:10" ht="18" customHeight="1">
      <c r="A188" s="9" t="str">
        <f>کاتالوگ_محصولات!A188</f>
        <v>SKU-0185</v>
      </c>
      <c r="B188" s="15" t="str">
        <f>کاتالوگ_محصولات!C188</f>
        <v>وست بیژو آبی نفتی فری</v>
      </c>
      <c r="C188" s="15" t="str">
        <f>کاتالوگ_محصولات!D188</f>
        <v>وست</v>
      </c>
      <c r="D188" s="15" t="str">
        <f>کاتالوگ_محصولات!E188</f>
        <v>Cotton</v>
      </c>
      <c r="E188" s="16">
        <f>کاتالوگ_محصولات!G188</f>
        <v>0</v>
      </c>
      <c r="F188" s="16">
        <f>کاتالوگ_محصولات!H188</f>
        <v>0</v>
      </c>
      <c r="G188" s="9">
        <f>کاتالوگ_محصولات!I188</f>
        <v>9</v>
      </c>
      <c r="H188" s="9">
        <f>کاتالوگ_محصولات!J188</f>
        <v>0</v>
      </c>
      <c r="I188" s="9">
        <f>کاتالوگ_محصولات!K188</f>
        <v>9</v>
      </c>
      <c r="J188" s="9" t="str">
        <f>کاتالوگ_محصولات!L188</f>
        <v>🟢 OK</v>
      </c>
    </row>
    <row r="189" spans="1:10" ht="18" customHeight="1">
      <c r="A189" s="9" t="str">
        <f>کاتالوگ_محصولات!A189</f>
        <v>SKU-0186</v>
      </c>
      <c r="B189" s="15" t="str">
        <f>کاتالوگ_محصولات!C189</f>
        <v>وست بیژو فیلی فری</v>
      </c>
      <c r="C189" s="15" t="str">
        <f>کاتالوگ_محصولات!D189</f>
        <v>وست</v>
      </c>
      <c r="D189" s="15" t="str">
        <f>کاتالوگ_محصولات!E189</f>
        <v>Cotton</v>
      </c>
      <c r="E189" s="16">
        <f>کاتالوگ_محصولات!G189</f>
        <v>0</v>
      </c>
      <c r="F189" s="16">
        <f>کاتالوگ_محصولات!H189</f>
        <v>2600000</v>
      </c>
      <c r="G189" s="9">
        <f>کاتالوگ_محصولات!I189</f>
        <v>9</v>
      </c>
      <c r="H189" s="9">
        <f>کاتالوگ_محصولات!J189</f>
        <v>0</v>
      </c>
      <c r="I189" s="9">
        <f>کاتالوگ_محصولات!K189</f>
        <v>9</v>
      </c>
      <c r="J189" s="9" t="str">
        <f>کاتالوگ_محصولات!L189</f>
        <v>🟢 OK</v>
      </c>
    </row>
    <row r="190" spans="1:10" ht="18" customHeight="1">
      <c r="A190" s="9" t="str">
        <f>کاتالوگ_محصولات!A190</f>
        <v>SKU-0187</v>
      </c>
      <c r="B190" s="15" t="str">
        <f>کاتالوگ_محصولات!C190</f>
        <v>شلوار بیژو مشکی فری</v>
      </c>
      <c r="C190" s="15" t="str">
        <f>کاتالوگ_محصولات!D190</f>
        <v>شلوار</v>
      </c>
      <c r="D190" s="15" t="str">
        <f>کاتالوگ_محصولات!E190</f>
        <v>Cotton</v>
      </c>
      <c r="E190" s="16">
        <f>کاتالوگ_محصولات!G190</f>
        <v>0</v>
      </c>
      <c r="F190" s="16">
        <f>کاتالوگ_محصولات!H190</f>
        <v>1100000</v>
      </c>
      <c r="G190" s="9">
        <f>کاتالوگ_محصولات!I190</f>
        <v>9</v>
      </c>
      <c r="H190" s="9">
        <f>کاتالوگ_محصولات!J190</f>
        <v>0</v>
      </c>
      <c r="I190" s="9">
        <f>کاتالوگ_محصولات!K190</f>
        <v>9</v>
      </c>
      <c r="J190" s="9" t="str">
        <f>کاتالوگ_محصولات!L190</f>
        <v>🟢 OK</v>
      </c>
    </row>
    <row r="191" spans="1:10" ht="18" customHeight="1">
      <c r="A191" s="9" t="str">
        <f>کاتالوگ_محصولات!A191</f>
        <v>SKU-0188</v>
      </c>
      <c r="B191" s="15" t="str">
        <f>کاتالوگ_محصولات!C191</f>
        <v>شلوار بیژو آبی نفتی فری</v>
      </c>
      <c r="C191" s="15" t="str">
        <f>کاتالوگ_محصولات!D191</f>
        <v>شلوار</v>
      </c>
      <c r="D191" s="15" t="str">
        <f>کاتالوگ_محصولات!E191</f>
        <v>Cotton</v>
      </c>
      <c r="E191" s="16">
        <f>کاتالوگ_محصولات!G191</f>
        <v>0</v>
      </c>
      <c r="F191" s="16">
        <f>کاتالوگ_محصولات!H191</f>
        <v>1180000</v>
      </c>
      <c r="G191" s="9">
        <f>کاتالوگ_محصولات!I191</f>
        <v>9</v>
      </c>
      <c r="H191" s="9">
        <f>کاتالوگ_محصولات!J191</f>
        <v>0</v>
      </c>
      <c r="I191" s="9">
        <f>کاتالوگ_محصولات!K191</f>
        <v>9</v>
      </c>
      <c r="J191" s="9" t="str">
        <f>کاتالوگ_محصولات!L191</f>
        <v>🟢 OK</v>
      </c>
    </row>
    <row r="192" spans="1:10" ht="18" customHeight="1">
      <c r="A192" s="9" t="str">
        <f>کاتالوگ_محصولات!A192</f>
        <v>SKU-0189</v>
      </c>
      <c r="B192" s="15" t="str">
        <f>کاتالوگ_محصولات!C192</f>
        <v>شلوار بیژو فیلی فری</v>
      </c>
      <c r="C192" s="15" t="str">
        <f>کاتالوگ_محصولات!D192</f>
        <v>شلوار</v>
      </c>
      <c r="D192" s="15" t="str">
        <f>کاتالوگ_محصولات!E192</f>
        <v>Cotton</v>
      </c>
      <c r="E192" s="16">
        <f>کاتالوگ_محصولات!G192</f>
        <v>0</v>
      </c>
      <c r="F192" s="16">
        <f>کاتالوگ_محصولات!H192</f>
        <v>1100000</v>
      </c>
      <c r="G192" s="9">
        <f>کاتالوگ_محصولات!I192</f>
        <v>9</v>
      </c>
      <c r="H192" s="9">
        <f>کاتالوگ_محصولات!J192</f>
        <v>0</v>
      </c>
      <c r="I192" s="9">
        <f>کاتالوگ_محصولات!K192</f>
        <v>9</v>
      </c>
      <c r="J192" s="9" t="str">
        <f>کاتالوگ_محصولات!L192</f>
        <v>🟢 OK</v>
      </c>
    </row>
    <row r="193" spans="1:10" ht="18" customHeight="1">
      <c r="A193" s="9" t="str">
        <f>کاتالوگ_محصولات!A193</f>
        <v>SKU-0190</v>
      </c>
      <c r="B193" s="15" t="str">
        <f>کاتالوگ_محصولات!C193</f>
        <v>کت بیژو مشکی فری</v>
      </c>
      <c r="C193" s="15" t="str">
        <f>کاتالوگ_محصولات!D193</f>
        <v>کت</v>
      </c>
      <c r="D193" s="15" t="str">
        <f>کاتالوگ_محصولات!E193</f>
        <v>Cotton</v>
      </c>
      <c r="E193" s="16">
        <f>کاتالوگ_محصولات!G193</f>
        <v>0</v>
      </c>
      <c r="F193" s="16">
        <f>کاتالوگ_محصولات!H193</f>
        <v>2650000</v>
      </c>
      <c r="G193" s="9">
        <f>کاتالوگ_محصولات!I193</f>
        <v>9</v>
      </c>
      <c r="H193" s="9">
        <f>کاتالوگ_محصولات!J193</f>
        <v>0</v>
      </c>
      <c r="I193" s="9">
        <f>کاتالوگ_محصولات!K193</f>
        <v>9</v>
      </c>
      <c r="J193" s="9" t="str">
        <f>کاتالوگ_محصولات!L193</f>
        <v>🟢 OK</v>
      </c>
    </row>
    <row r="194" spans="1:10" ht="18" customHeight="1">
      <c r="A194" s="9" t="str">
        <f>کاتالوگ_محصولات!A194</f>
        <v>SKU-0191</v>
      </c>
      <c r="B194" s="15" t="str">
        <f>کاتالوگ_محصولات!C194</f>
        <v>کت بیژو فیلی فیری</v>
      </c>
      <c r="C194" s="15" t="str">
        <f>کاتالوگ_محصولات!D194</f>
        <v>کت</v>
      </c>
      <c r="D194" s="15" t="str">
        <f>کاتالوگ_محصولات!E194</f>
        <v>Cotton</v>
      </c>
      <c r="E194" s="16">
        <f>کاتالوگ_محصولات!G194</f>
        <v>0</v>
      </c>
      <c r="F194" s="16">
        <f>کاتالوگ_محصولات!H194</f>
        <v>2650000</v>
      </c>
      <c r="G194" s="9">
        <f>کاتالوگ_محصولات!I194</f>
        <v>9</v>
      </c>
      <c r="H194" s="9">
        <f>کاتالوگ_محصولات!J194</f>
        <v>0</v>
      </c>
      <c r="I194" s="9">
        <f>کاتالوگ_محصولات!K194</f>
        <v>9</v>
      </c>
      <c r="J194" s="9" t="str">
        <f>کاتالوگ_محصولات!L194</f>
        <v>🟢 OK</v>
      </c>
    </row>
    <row r="195" spans="1:10" ht="18" customHeight="1">
      <c r="A195" s="9" t="str">
        <f>کاتالوگ_محصولات!A195</f>
        <v>SKU-0192</v>
      </c>
      <c r="B195" s="15" t="str">
        <f>کاتالوگ_محصولات!C195</f>
        <v>کت بیژو آبی نفتی فری</v>
      </c>
      <c r="C195" s="15" t="str">
        <f>کاتالوگ_محصولات!D195</f>
        <v>کت</v>
      </c>
      <c r="D195" s="15" t="str">
        <f>کاتالوگ_محصولات!E195</f>
        <v>Cotton</v>
      </c>
      <c r="E195" s="16">
        <f>کاتالوگ_محصولات!G195</f>
        <v>0</v>
      </c>
      <c r="F195" s="16">
        <f>کاتالوگ_محصولات!H195</f>
        <v>2650000</v>
      </c>
      <c r="G195" s="9">
        <f>کاتالوگ_محصولات!I195</f>
        <v>9</v>
      </c>
      <c r="H195" s="9">
        <f>کاتالوگ_محصولات!J195</f>
        <v>0</v>
      </c>
      <c r="I195" s="9">
        <f>کاتالوگ_محصولات!K195</f>
        <v>9</v>
      </c>
      <c r="J195" s="9" t="str">
        <f>کاتالوگ_محصولات!L195</f>
        <v>🟢 OK</v>
      </c>
    </row>
    <row r="196" spans="1:10" ht="18" customHeight="1">
      <c r="A196" s="9" t="str">
        <f>کاتالوگ_محصولات!A196</f>
        <v>SKU-0193</v>
      </c>
      <c r="B196" s="15" t="str">
        <f>کاتالوگ_محصولات!C196</f>
        <v>کت بیژو کرم فری</v>
      </c>
      <c r="C196" s="15" t="str">
        <f>کاتالوگ_محصولات!D196</f>
        <v>کت</v>
      </c>
      <c r="D196" s="15" t="str">
        <f>کاتالوگ_محصولات!E196</f>
        <v>Cotton</v>
      </c>
      <c r="E196" s="16">
        <f>کاتالوگ_محصولات!G196</f>
        <v>0</v>
      </c>
      <c r="F196" s="16">
        <f>کاتالوگ_محصولات!H196</f>
        <v>2650000</v>
      </c>
      <c r="G196" s="9">
        <f>کاتالوگ_محصولات!I196</f>
        <v>9</v>
      </c>
      <c r="H196" s="9">
        <f>کاتالوگ_محصولات!J196</f>
        <v>0</v>
      </c>
      <c r="I196" s="9">
        <f>کاتالوگ_محصولات!K196</f>
        <v>9</v>
      </c>
      <c r="J196" s="9" t="str">
        <f>کاتالوگ_محصولات!L196</f>
        <v>🟢 OK</v>
      </c>
    </row>
    <row r="197" spans="1:10" ht="18" customHeight="1">
      <c r="A197" s="9" t="str">
        <f>کاتالوگ_محصولات!A197</f>
        <v>SKU-0194</v>
      </c>
      <c r="B197" s="15" t="str">
        <f>کاتالوگ_محصولات!C197</f>
        <v>کت مازراتی سبز</v>
      </c>
      <c r="C197" s="15" t="str">
        <f>کاتالوگ_محصولات!D197</f>
        <v>کت</v>
      </c>
      <c r="D197" s="15" t="str">
        <f>کاتالوگ_محصولات!E197</f>
        <v>Crepe</v>
      </c>
      <c r="E197" s="16">
        <f>کاتالوگ_محصولات!G197</f>
        <v>0</v>
      </c>
      <c r="F197" s="16">
        <f>کاتالوگ_محصولات!H197</f>
        <v>1800000</v>
      </c>
      <c r="G197" s="9">
        <f>کاتالوگ_محصولات!I197</f>
        <v>9</v>
      </c>
      <c r="H197" s="9">
        <f>کاتالوگ_محصولات!J197</f>
        <v>0</v>
      </c>
      <c r="I197" s="9">
        <f>کاتالوگ_محصولات!K197</f>
        <v>9</v>
      </c>
      <c r="J197" s="9" t="str">
        <f>کاتالوگ_محصولات!L197</f>
        <v>🟢 OK</v>
      </c>
    </row>
    <row r="198" spans="1:10" ht="18" customHeight="1">
      <c r="A198" s="9" t="str">
        <f>کاتالوگ_محصولات!A198</f>
        <v>SKU-0195</v>
      </c>
      <c r="B198" s="15" t="str">
        <f>کاتالوگ_محصولات!C198</f>
        <v>کت مازراتی کرم</v>
      </c>
      <c r="C198" s="15" t="str">
        <f>کاتالوگ_محصولات!D198</f>
        <v>کت</v>
      </c>
      <c r="D198" s="15" t="str">
        <f>کاتالوگ_محصولات!E198</f>
        <v>Crepe</v>
      </c>
      <c r="E198" s="16">
        <f>کاتالوگ_محصولات!G198</f>
        <v>0</v>
      </c>
      <c r="F198" s="16">
        <f>کاتالوگ_محصولات!H198</f>
        <v>1800000</v>
      </c>
      <c r="G198" s="9">
        <f>کاتالوگ_محصولات!I198</f>
        <v>9</v>
      </c>
      <c r="H198" s="9">
        <f>کاتالوگ_محصولات!J198</f>
        <v>0</v>
      </c>
      <c r="I198" s="9">
        <f>کاتالوگ_محصولات!K198</f>
        <v>9</v>
      </c>
      <c r="J198" s="9" t="str">
        <f>کاتالوگ_محصولات!L198</f>
        <v>🟢 OK</v>
      </c>
    </row>
    <row r="199" spans="1:10" ht="18" customHeight="1">
      <c r="A199" s="9" t="str">
        <f>کاتالوگ_محصولات!A199</f>
        <v>SKU-0196</v>
      </c>
      <c r="B199" s="15" t="str">
        <f>کاتالوگ_محصولات!C199</f>
        <v>کراپ تافته شیری 1</v>
      </c>
      <c r="C199" s="15" t="str">
        <f>کاتالوگ_محصولات!D199</f>
        <v>تاپ</v>
      </c>
      <c r="D199" s="15" t="str">
        <f>کاتالوگ_محصولات!E199</f>
        <v>Taffeta</v>
      </c>
      <c r="E199" s="16">
        <f>کاتالوگ_محصولات!G199</f>
        <v>0</v>
      </c>
      <c r="F199" s="16">
        <f>کاتالوگ_محصولات!H199</f>
        <v>1200000</v>
      </c>
      <c r="G199" s="9">
        <f>کاتالوگ_محصولات!I199</f>
        <v>9</v>
      </c>
      <c r="H199" s="9">
        <f>کاتالوگ_محصولات!J199</f>
        <v>0</v>
      </c>
      <c r="I199" s="9">
        <f>کاتالوگ_محصولات!K199</f>
        <v>9</v>
      </c>
      <c r="J199" s="9" t="str">
        <f>کاتالوگ_محصولات!L199</f>
        <v>🟢 OK</v>
      </c>
    </row>
    <row r="200" spans="1:10" ht="18" customHeight="1">
      <c r="A200" s="9" t="str">
        <f>کاتالوگ_محصولات!A200</f>
        <v>SKU-0197</v>
      </c>
      <c r="B200" s="15" t="str">
        <f>کاتالوگ_محصولات!C200</f>
        <v>کراپ تافته شیری2</v>
      </c>
      <c r="C200" s="15" t="str">
        <f>کاتالوگ_محصولات!D200</f>
        <v>تاپ</v>
      </c>
      <c r="D200" s="15" t="str">
        <f>کاتالوگ_محصولات!E200</f>
        <v>Taffeta</v>
      </c>
      <c r="E200" s="16">
        <f>کاتالوگ_محصولات!G200</f>
        <v>0</v>
      </c>
      <c r="F200" s="16">
        <f>کاتالوگ_محصولات!H200</f>
        <v>1200000</v>
      </c>
      <c r="G200" s="9">
        <f>کاتالوگ_محصولات!I200</f>
        <v>9</v>
      </c>
      <c r="H200" s="9">
        <f>کاتالوگ_محصولات!J200</f>
        <v>0</v>
      </c>
      <c r="I200" s="9">
        <f>کاتالوگ_محصولات!K200</f>
        <v>9</v>
      </c>
      <c r="J200" s="9" t="str">
        <f>کاتالوگ_محصولات!L200</f>
        <v>🟢 OK</v>
      </c>
    </row>
    <row r="201" spans="1:10" ht="18" customHeight="1">
      <c r="A201" s="9" t="str">
        <f>کاتالوگ_محصولات!A201</f>
        <v>SKU-0198</v>
      </c>
      <c r="B201" s="15" t="str">
        <f>کاتالوگ_محصولات!C201</f>
        <v>کراپ تافته نارنجی1</v>
      </c>
      <c r="C201" s="15" t="str">
        <f>کاتالوگ_محصولات!D201</f>
        <v>تاپ</v>
      </c>
      <c r="D201" s="15" t="str">
        <f>کاتالوگ_محصولات!E201</f>
        <v>Taffeta</v>
      </c>
      <c r="E201" s="16">
        <f>کاتالوگ_محصولات!G201</f>
        <v>0</v>
      </c>
      <c r="F201" s="16">
        <f>کاتالوگ_محصولات!H201</f>
        <v>1200000</v>
      </c>
      <c r="G201" s="9">
        <f>کاتالوگ_محصولات!I201</f>
        <v>9</v>
      </c>
      <c r="H201" s="9">
        <f>کاتالوگ_محصولات!J201</f>
        <v>0</v>
      </c>
      <c r="I201" s="9">
        <f>کاتالوگ_محصولات!K201</f>
        <v>9</v>
      </c>
      <c r="J201" s="9" t="str">
        <f>کاتالوگ_محصولات!L201</f>
        <v>🟢 OK</v>
      </c>
    </row>
    <row r="202" spans="1:10" ht="18" customHeight="1">
      <c r="A202" s="9" t="str">
        <f>کاتالوگ_محصولات!A202</f>
        <v>SKU-0199</v>
      </c>
      <c r="B202" s="15" t="str">
        <f>کاتالوگ_محصولات!C202</f>
        <v>کراپ تافته نارنجی2</v>
      </c>
      <c r="C202" s="15" t="str">
        <f>کاتالوگ_محصولات!D202</f>
        <v>تاپ</v>
      </c>
      <c r="D202" s="15" t="str">
        <f>کاتالوگ_محصولات!E202</f>
        <v>Taffeta</v>
      </c>
      <c r="E202" s="16">
        <f>کاتالوگ_محصولات!G202</f>
        <v>0</v>
      </c>
      <c r="F202" s="16">
        <f>کاتالوگ_محصولات!H202</f>
        <v>1200000</v>
      </c>
      <c r="G202" s="9">
        <f>کاتالوگ_محصولات!I202</f>
        <v>9</v>
      </c>
      <c r="H202" s="9">
        <f>کاتالوگ_محصولات!J202</f>
        <v>0</v>
      </c>
      <c r="I202" s="9">
        <f>کاتالوگ_محصولات!K202</f>
        <v>9</v>
      </c>
      <c r="J202" s="9" t="str">
        <f>کاتالوگ_محصولات!L202</f>
        <v>🟢 OK</v>
      </c>
    </row>
    <row r="203" spans="1:10" ht="18" customHeight="1">
      <c r="A203" s="9" t="str">
        <f>کاتالوگ_محصولات!A203</f>
        <v>SKU-0200</v>
      </c>
      <c r="B203" s="15" t="str">
        <f>کاتالوگ_محصولات!C203</f>
        <v>کراپ تافته مشکی1</v>
      </c>
      <c r="C203" s="15" t="str">
        <f>کاتالوگ_محصولات!D203</f>
        <v>تاپ</v>
      </c>
      <c r="D203" s="15" t="str">
        <f>کاتالوگ_محصولات!E203</f>
        <v>Taffeta</v>
      </c>
      <c r="E203" s="16">
        <f>کاتالوگ_محصولات!G203</f>
        <v>0</v>
      </c>
      <c r="F203" s="16">
        <f>کاتالوگ_محصولات!H203</f>
        <v>1200000</v>
      </c>
      <c r="G203" s="9">
        <f>کاتالوگ_محصولات!I203</f>
        <v>9</v>
      </c>
      <c r="H203" s="9">
        <f>کاتالوگ_محصولات!J203</f>
        <v>0</v>
      </c>
      <c r="I203" s="9">
        <f>کاتالوگ_محصولات!K203</f>
        <v>9</v>
      </c>
      <c r="J203" s="9" t="str">
        <f>کاتالوگ_محصولات!L203</f>
        <v>🟢 OK</v>
      </c>
    </row>
    <row r="204" spans="1:10" ht="18" customHeight="1">
      <c r="A204" s="9" t="str">
        <f>کاتالوگ_محصولات!A204</f>
        <v>SKU-0201</v>
      </c>
      <c r="B204" s="15" t="str">
        <f>کاتالوگ_محصولات!C204</f>
        <v>کراپ تافته مشکی2</v>
      </c>
      <c r="C204" s="15" t="str">
        <f>کاتالوگ_محصولات!D204</f>
        <v>تاپ</v>
      </c>
      <c r="D204" s="15" t="str">
        <f>کاتالوگ_محصولات!E204</f>
        <v>Taffeta</v>
      </c>
      <c r="E204" s="16">
        <f>کاتالوگ_محصولات!G204</f>
        <v>0</v>
      </c>
      <c r="F204" s="16">
        <f>کاتالوگ_محصولات!H204</f>
        <v>1200000</v>
      </c>
      <c r="G204" s="9">
        <f>کاتالوگ_محصولات!I204</f>
        <v>9</v>
      </c>
      <c r="H204" s="9">
        <f>کاتالوگ_محصولات!J204</f>
        <v>0</v>
      </c>
      <c r="I204" s="9">
        <f>کاتالوگ_محصولات!K204</f>
        <v>9</v>
      </c>
      <c r="J204" s="9" t="str">
        <f>کاتالوگ_محصولات!L204</f>
        <v>🟢 OK</v>
      </c>
    </row>
    <row r="205" spans="1:10" ht="18" customHeight="1">
      <c r="A205" s="9" t="str">
        <f>کاتالوگ_محصولات!A205</f>
        <v>SKU-0202</v>
      </c>
      <c r="B205" s="15" t="str">
        <f>کاتالوگ_محصولات!C205</f>
        <v>شومیز زبرا1</v>
      </c>
      <c r="C205" s="15" t="str">
        <f>کاتالوگ_محصولات!D205</f>
        <v>شومیز</v>
      </c>
      <c r="D205" s="15" t="str">
        <f>کاتالوگ_محصولات!E205</f>
        <v>Crepe</v>
      </c>
      <c r="E205" s="16">
        <f>کاتالوگ_محصولات!G205</f>
        <v>0</v>
      </c>
      <c r="F205" s="16">
        <f>کاتالوگ_محصولات!H205</f>
        <v>1680000</v>
      </c>
      <c r="G205" s="9">
        <f>کاتالوگ_محصولات!I205</f>
        <v>9</v>
      </c>
      <c r="H205" s="9">
        <f>کاتالوگ_محصولات!J205</f>
        <v>0</v>
      </c>
      <c r="I205" s="9">
        <f>کاتالوگ_محصولات!K205</f>
        <v>9</v>
      </c>
      <c r="J205" s="9" t="str">
        <f>کاتالوگ_محصولات!L205</f>
        <v>🟢 OK</v>
      </c>
    </row>
    <row r="206" spans="1:10" ht="18" customHeight="1">
      <c r="A206" s="9" t="str">
        <f>کاتالوگ_محصولات!A206</f>
        <v>SKU-0203</v>
      </c>
      <c r="B206" s="15" t="str">
        <f>کاتالوگ_محصولات!C206</f>
        <v>شومیز زبرا2</v>
      </c>
      <c r="C206" s="15" t="str">
        <f>کاتالوگ_محصولات!D206</f>
        <v>شومیز</v>
      </c>
      <c r="D206" s="15" t="str">
        <f>کاتالوگ_محصولات!E206</f>
        <v>Crepe</v>
      </c>
      <c r="E206" s="16">
        <f>کاتالوگ_محصولات!G206</f>
        <v>0</v>
      </c>
      <c r="F206" s="16">
        <f>کاتالوگ_محصولات!H206</f>
        <v>1680000</v>
      </c>
      <c r="G206" s="9">
        <f>کاتالوگ_محصولات!I206</f>
        <v>9</v>
      </c>
      <c r="H206" s="9">
        <f>کاتالوگ_محصولات!J206</f>
        <v>0</v>
      </c>
      <c r="I206" s="9">
        <f>کاتالوگ_محصولات!K206</f>
        <v>9</v>
      </c>
      <c r="J206" s="9" t="str">
        <f>کاتالوگ_محصولات!L206</f>
        <v>🟢 OK</v>
      </c>
    </row>
    <row r="207" spans="1:10" ht="18" customHeight="1">
      <c r="A207" s="9" t="str">
        <f>کاتالوگ_محصولات!A207</f>
        <v>SKU-0204</v>
      </c>
      <c r="B207" s="15" t="str">
        <f>کاتالوگ_محصولات!C207</f>
        <v>شلوار ثمین مشکی1</v>
      </c>
      <c r="C207" s="15" t="str">
        <f>کاتالوگ_محصولات!D207</f>
        <v>شلوار</v>
      </c>
      <c r="D207" s="15" t="str">
        <f>کاتالوگ_محصولات!E207</f>
        <v>Crepe</v>
      </c>
      <c r="E207" s="16">
        <f>کاتالوگ_محصولات!G207</f>
        <v>0</v>
      </c>
      <c r="F207" s="16">
        <f>کاتالوگ_محصولات!H207</f>
        <v>1980000</v>
      </c>
      <c r="G207" s="9">
        <f>کاتالوگ_محصولات!I207</f>
        <v>9</v>
      </c>
      <c r="H207" s="9">
        <f>کاتالوگ_محصولات!J207</f>
        <v>0</v>
      </c>
      <c r="I207" s="9">
        <f>کاتالوگ_محصولات!K207</f>
        <v>9</v>
      </c>
      <c r="J207" s="9" t="str">
        <f>کاتالوگ_محصولات!L207</f>
        <v>🟢 OK</v>
      </c>
    </row>
    <row r="208" spans="1:10" ht="18" customHeight="1">
      <c r="A208" s="9" t="str">
        <f>کاتالوگ_محصولات!A208</f>
        <v>SKU-0205</v>
      </c>
      <c r="B208" s="15" t="str">
        <f>کاتالوگ_محصولات!C208</f>
        <v>شلوار ثمین مشکی 2</v>
      </c>
      <c r="C208" s="15" t="str">
        <f>کاتالوگ_محصولات!D208</f>
        <v>شلوار</v>
      </c>
      <c r="D208" s="15" t="str">
        <f>کاتالوگ_محصولات!E208</f>
        <v>Crepe</v>
      </c>
      <c r="E208" s="16">
        <f>کاتالوگ_محصولات!G208</f>
        <v>0</v>
      </c>
      <c r="F208" s="16">
        <f>کاتالوگ_محصولات!H208</f>
        <v>0</v>
      </c>
      <c r="G208" s="9">
        <f>کاتالوگ_محصولات!I208</f>
        <v>9</v>
      </c>
      <c r="H208" s="9">
        <f>کاتالوگ_محصولات!J208</f>
        <v>0</v>
      </c>
      <c r="I208" s="9">
        <f>کاتالوگ_محصولات!K208</f>
        <v>9</v>
      </c>
      <c r="J208" s="9" t="str">
        <f>کاتالوگ_محصولات!L208</f>
        <v>🟢 OK</v>
      </c>
    </row>
    <row r="209" spans="1:10" ht="18" customHeight="1">
      <c r="A209" s="9" t="str">
        <f>کاتالوگ_محصولات!A209</f>
        <v>SKU-0206</v>
      </c>
      <c r="B209" s="15" t="str">
        <f>کاتالوگ_محصولات!C209</f>
        <v>شلوار ثمین سبز1</v>
      </c>
      <c r="C209" s="15" t="str">
        <f>کاتالوگ_محصولات!D209</f>
        <v>شلوار</v>
      </c>
      <c r="D209" s="15" t="str">
        <f>کاتالوگ_محصولات!E209</f>
        <v>Crepe</v>
      </c>
      <c r="E209" s="16">
        <f>کاتالوگ_محصولات!G209</f>
        <v>0</v>
      </c>
      <c r="F209" s="16">
        <f>کاتالوگ_محصولات!H209</f>
        <v>0</v>
      </c>
      <c r="G209" s="9">
        <f>کاتالوگ_محصولات!I209</f>
        <v>9</v>
      </c>
      <c r="H209" s="9">
        <f>کاتالوگ_محصولات!J209</f>
        <v>0</v>
      </c>
      <c r="I209" s="9">
        <f>کاتالوگ_محصولات!K209</f>
        <v>9</v>
      </c>
      <c r="J209" s="9" t="str">
        <f>کاتالوگ_محصولات!L209</f>
        <v>🟢 OK</v>
      </c>
    </row>
    <row r="210" spans="1:10" ht="18" customHeight="1">
      <c r="A210" s="9" t="str">
        <f>کاتالوگ_محصولات!A210</f>
        <v>SKU-0207</v>
      </c>
      <c r="B210" s="15" t="str">
        <f>کاتالوگ_محصولات!C210</f>
        <v>شلوار ثمین سبز2</v>
      </c>
      <c r="C210" s="15" t="str">
        <f>کاتالوگ_محصولات!D210</f>
        <v>شلوار</v>
      </c>
      <c r="D210" s="15" t="str">
        <f>کاتالوگ_محصولات!E210</f>
        <v>Crepe</v>
      </c>
      <c r="E210" s="16">
        <f>کاتالوگ_محصولات!G210</f>
        <v>0</v>
      </c>
      <c r="F210" s="16">
        <f>کاتالوگ_محصولات!H210</f>
        <v>0</v>
      </c>
      <c r="G210" s="9">
        <f>کاتالوگ_محصولات!I210</f>
        <v>9</v>
      </c>
      <c r="H210" s="9">
        <f>کاتالوگ_محصولات!J210</f>
        <v>0</v>
      </c>
      <c r="I210" s="9">
        <f>کاتالوگ_محصولات!K210</f>
        <v>9</v>
      </c>
      <c r="J210" s="9" t="str">
        <f>کاتالوگ_محصولات!L210</f>
        <v>🟢 OK</v>
      </c>
    </row>
    <row r="211" spans="1:10" ht="18" customHeight="1">
      <c r="A211" s="9" t="str">
        <f>کاتالوگ_محصولات!A211</f>
        <v>SKU-0208</v>
      </c>
      <c r="B211" s="15" t="str">
        <f>کاتالوگ_محصولات!C211</f>
        <v>شلوار ثمین آبی 1</v>
      </c>
      <c r="C211" s="15" t="str">
        <f>کاتالوگ_محصولات!D211</f>
        <v>شلوار</v>
      </c>
      <c r="D211" s="15" t="str">
        <f>کاتالوگ_محصولات!E211</f>
        <v>Crepe</v>
      </c>
      <c r="E211" s="16">
        <f>کاتالوگ_محصولات!G211</f>
        <v>0</v>
      </c>
      <c r="F211" s="16">
        <f>کاتالوگ_محصولات!H211</f>
        <v>0</v>
      </c>
      <c r="G211" s="9">
        <f>کاتالوگ_محصولات!I211</f>
        <v>9</v>
      </c>
      <c r="H211" s="9">
        <f>کاتالوگ_محصولات!J211</f>
        <v>0</v>
      </c>
      <c r="I211" s="9">
        <f>کاتالوگ_محصولات!K211</f>
        <v>9</v>
      </c>
      <c r="J211" s="9" t="str">
        <f>کاتالوگ_محصولات!L211</f>
        <v>🟢 OK</v>
      </c>
    </row>
    <row r="212" spans="1:10" ht="18" customHeight="1">
      <c r="A212" s="9" t="str">
        <f>کاتالوگ_محصولات!A212</f>
        <v>SKU-0209</v>
      </c>
      <c r="B212" s="15" t="str">
        <f>کاتالوگ_محصولات!C212</f>
        <v>شلوار ثمین آبی2</v>
      </c>
      <c r="C212" s="15" t="str">
        <f>کاتالوگ_محصولات!D212</f>
        <v>شلوار</v>
      </c>
      <c r="D212" s="15" t="str">
        <f>کاتالوگ_محصولات!E212</f>
        <v>Crepe</v>
      </c>
      <c r="E212" s="16">
        <f>کاتالوگ_محصولات!G212</f>
        <v>0</v>
      </c>
      <c r="F212" s="16">
        <f>کاتالوگ_محصولات!H212</f>
        <v>0</v>
      </c>
      <c r="G212" s="9">
        <f>کاتالوگ_محصولات!I212</f>
        <v>9</v>
      </c>
      <c r="H212" s="9">
        <f>کاتالوگ_محصولات!J212</f>
        <v>0</v>
      </c>
      <c r="I212" s="9">
        <f>کاتالوگ_محصولات!K212</f>
        <v>9</v>
      </c>
      <c r="J212" s="9" t="str">
        <f>کاتالوگ_محصولات!L212</f>
        <v>🟢 OK</v>
      </c>
    </row>
    <row r="213" spans="1:10" ht="18" customHeight="1">
      <c r="A213" s="9" t="str">
        <f>کاتالوگ_محصولات!A213</f>
        <v>SKU-0210</v>
      </c>
      <c r="B213" s="15" t="str">
        <f>کاتالوگ_محصولات!C213</f>
        <v>کت ژاکارد صورتی 1</v>
      </c>
      <c r="C213" s="15" t="str">
        <f>کاتالوگ_محصولات!D213</f>
        <v>کت</v>
      </c>
      <c r="D213" s="15" t="str">
        <f>کاتالوگ_محصولات!E213</f>
        <v>Jaquard</v>
      </c>
      <c r="E213" s="16">
        <f>کاتالوگ_محصولات!G213</f>
        <v>0</v>
      </c>
      <c r="F213" s="16">
        <f>کاتالوگ_محصولات!H213</f>
        <v>3850000</v>
      </c>
      <c r="G213" s="9">
        <f>کاتالوگ_محصولات!I213</f>
        <v>9</v>
      </c>
      <c r="H213" s="9">
        <f>کاتالوگ_محصولات!J213</f>
        <v>0</v>
      </c>
      <c r="I213" s="9">
        <f>کاتالوگ_محصولات!K213</f>
        <v>9</v>
      </c>
      <c r="J213" s="9" t="str">
        <f>کاتالوگ_محصولات!L213</f>
        <v>🟢 OK</v>
      </c>
    </row>
    <row r="214" spans="1:10" ht="18" customHeight="1">
      <c r="A214" s="9" t="str">
        <f>کاتالوگ_محصولات!A214</f>
        <v>SKU-0211</v>
      </c>
      <c r="B214" s="15" t="str">
        <f>کاتالوگ_محصولات!C214</f>
        <v>ست اسمارت کرم فری</v>
      </c>
      <c r="C214" s="15" t="str">
        <f>کاتالوگ_محصولات!D214</f>
        <v>ست</v>
      </c>
      <c r="D214" s="15" t="str">
        <f>کاتالوگ_محصولات!E214</f>
        <v>Linen</v>
      </c>
      <c r="E214" s="16">
        <f>کاتالوگ_محصولات!G214</f>
        <v>0</v>
      </c>
      <c r="F214" s="16">
        <f>کاتالوگ_محصولات!H214</f>
        <v>0</v>
      </c>
      <c r="G214" s="9">
        <f>کاتالوگ_محصولات!I214</f>
        <v>9</v>
      </c>
      <c r="H214" s="9">
        <f>کاتالوگ_محصولات!J214</f>
        <v>0</v>
      </c>
      <c r="I214" s="9">
        <f>کاتالوگ_محصولات!K214</f>
        <v>9</v>
      </c>
      <c r="J214" s="9" t="str">
        <f>کاتالوگ_محصولات!L214</f>
        <v>🟢 OK</v>
      </c>
    </row>
    <row r="215" spans="1:10" ht="18" customHeight="1">
      <c r="A215" s="9" t="str">
        <f>کاتالوگ_محصولات!A215</f>
        <v>SKU-0212</v>
      </c>
      <c r="B215" s="15" t="str">
        <f>کاتالوگ_محصولات!C215</f>
        <v>ست سامر آجری 1</v>
      </c>
      <c r="C215" s="15" t="str">
        <f>کاتالوگ_محصولات!D215</f>
        <v>ست</v>
      </c>
      <c r="D215" s="15" t="str">
        <f>کاتالوگ_محصولات!E215</f>
        <v>Tencel</v>
      </c>
      <c r="E215" s="16">
        <f>کاتالوگ_محصولات!G215</f>
        <v>0</v>
      </c>
      <c r="F215" s="16">
        <f>کاتالوگ_محصولات!H215</f>
        <v>0</v>
      </c>
      <c r="G215" s="9">
        <f>کاتالوگ_محصولات!I215</f>
        <v>9</v>
      </c>
      <c r="H215" s="9">
        <f>کاتالوگ_محصولات!J215</f>
        <v>0</v>
      </c>
      <c r="I215" s="9">
        <f>کاتالوگ_محصولات!K215</f>
        <v>9</v>
      </c>
      <c r="J215" s="9" t="str">
        <f>کاتالوگ_محصولات!L215</f>
        <v>🟢 OK</v>
      </c>
    </row>
    <row r="216" spans="1:10" ht="18" customHeight="1">
      <c r="A216" s="9" t="str">
        <f>کاتالوگ_محصولات!A216</f>
        <v>SKU-0213</v>
      </c>
      <c r="B216" s="15" t="str">
        <f>کاتالوگ_محصولات!C216</f>
        <v>ست سامر آجری 2</v>
      </c>
      <c r="C216" s="15" t="str">
        <f>کاتالوگ_محصولات!D216</f>
        <v>ست</v>
      </c>
      <c r="D216" s="15" t="str">
        <f>کاتالوگ_محصولات!E216</f>
        <v>Tencel</v>
      </c>
      <c r="E216" s="16">
        <f>کاتالوگ_محصولات!G216</f>
        <v>0</v>
      </c>
      <c r="F216" s="16">
        <f>کاتالوگ_محصولات!H216</f>
        <v>4200000</v>
      </c>
      <c r="G216" s="9">
        <f>کاتالوگ_محصولات!I216</f>
        <v>9</v>
      </c>
      <c r="H216" s="9">
        <f>کاتالوگ_محصولات!J216</f>
        <v>0</v>
      </c>
      <c r="I216" s="9">
        <f>کاتالوگ_محصولات!K216</f>
        <v>9</v>
      </c>
      <c r="J216" s="9" t="str">
        <f>کاتالوگ_محصولات!L216</f>
        <v>🟢 OK</v>
      </c>
    </row>
    <row r="217" spans="1:10" ht="18" customHeight="1">
      <c r="A217" s="9" t="str">
        <f>کاتالوگ_محصولات!A217</f>
        <v>SKU-0214</v>
      </c>
      <c r="B217" s="15" t="str">
        <f>کاتالوگ_محصولات!C217</f>
        <v>شومیز ستیا زرشکی 1</v>
      </c>
      <c r="C217" s="15" t="str">
        <f>کاتالوگ_محصولات!D217</f>
        <v>شومیز</v>
      </c>
      <c r="D217" s="15" t="str">
        <f>کاتالوگ_محصولات!E217</f>
        <v>Wool</v>
      </c>
      <c r="E217" s="16">
        <f>کاتالوگ_محصولات!G217</f>
        <v>0</v>
      </c>
      <c r="F217" s="16">
        <f>کاتالوگ_محصولات!H217</f>
        <v>0</v>
      </c>
      <c r="G217" s="9">
        <f>کاتالوگ_محصولات!I217</f>
        <v>9</v>
      </c>
      <c r="H217" s="9">
        <f>کاتالوگ_محصولات!J217</f>
        <v>0</v>
      </c>
      <c r="I217" s="9">
        <f>کاتالوگ_محصولات!K217</f>
        <v>9</v>
      </c>
      <c r="J217" s="9" t="str">
        <f>کاتالوگ_محصولات!L217</f>
        <v>🟢 OK</v>
      </c>
    </row>
    <row r="218" spans="1:10" ht="18" customHeight="1">
      <c r="A218" s="9" t="str">
        <f>کاتالوگ_محصولات!A218</f>
        <v>SKU-0215</v>
      </c>
      <c r="B218" s="15" t="str">
        <f>کاتالوگ_محصولات!C218</f>
        <v>شومیز ستیا زرد 2</v>
      </c>
      <c r="C218" s="15" t="str">
        <f>کاتالوگ_محصولات!D218</f>
        <v>شومیز</v>
      </c>
      <c r="D218" s="15" t="str">
        <f>کاتالوگ_محصولات!E218</f>
        <v>Crepe</v>
      </c>
      <c r="E218" s="16">
        <f>کاتالوگ_محصولات!G218</f>
        <v>0</v>
      </c>
      <c r="F218" s="16">
        <f>کاتالوگ_محصولات!H218</f>
        <v>2680000</v>
      </c>
      <c r="G218" s="9">
        <f>کاتالوگ_محصولات!I218</f>
        <v>9</v>
      </c>
      <c r="H218" s="9">
        <f>کاتالوگ_محصولات!J218</f>
        <v>0</v>
      </c>
      <c r="I218" s="9">
        <f>کاتالوگ_محصولات!K218</f>
        <v>9</v>
      </c>
      <c r="J218" s="9" t="str">
        <f>کاتالوگ_محصولات!L218</f>
        <v>🟢 OK</v>
      </c>
    </row>
    <row r="219" spans="1:10" ht="18" customHeight="1">
      <c r="A219" s="9" t="str">
        <f>کاتالوگ_محصولات!A219</f>
        <v>SKU-0216</v>
      </c>
      <c r="B219" s="15" t="str">
        <f>کاتالوگ_محصولات!C219</f>
        <v>شلوار</v>
      </c>
      <c r="C219" s="15" t="str">
        <f>کاتالوگ_محصولات!D219</f>
        <v>شومیز</v>
      </c>
      <c r="D219" s="15" t="str">
        <f>کاتالوگ_محصولات!E219</f>
        <v>Crepe</v>
      </c>
      <c r="E219" s="16">
        <f>کاتالوگ_محصولات!G219</f>
        <v>1580000</v>
      </c>
      <c r="F219" s="16">
        <f>کاتالوگ_محصولات!H219</f>
        <v>2200000</v>
      </c>
      <c r="G219" s="9">
        <f>کاتالوگ_محصولات!I219</f>
        <v>9</v>
      </c>
      <c r="H219" s="9">
        <f>کاتالوگ_محصولات!J219</f>
        <v>0</v>
      </c>
      <c r="I219" s="9">
        <f>کاتالوگ_محصولات!K219</f>
        <v>9</v>
      </c>
      <c r="J219" s="9" t="str">
        <f>کاتالوگ_محصولات!L219</f>
        <v>🟢 OK</v>
      </c>
    </row>
    <row r="220" spans="1:10" ht="18" customHeight="1">
      <c r="A220" s="9" t="str">
        <f>کاتالوگ_محصولات!A220</f>
        <v>SKU-0217</v>
      </c>
      <c r="B220" s="15" t="str">
        <f>کاتالوگ_محصولات!C220</f>
        <v>شومیز ستیا پلنگی 2</v>
      </c>
      <c r="C220" s="15" t="str">
        <f>کاتالوگ_محصولات!D220</f>
        <v>شومیز</v>
      </c>
      <c r="D220" s="15" t="str">
        <f>کاتالوگ_محصولات!E220</f>
        <v>Crepe</v>
      </c>
      <c r="E220" s="16">
        <f>کاتالوگ_محصولات!G220</f>
        <v>0</v>
      </c>
      <c r="F220" s="16">
        <f>کاتالوگ_محصولات!H220</f>
        <v>0</v>
      </c>
      <c r="G220" s="9">
        <f>کاتالوگ_محصولات!I220</f>
        <v>9</v>
      </c>
      <c r="H220" s="9">
        <f>کاتالوگ_محصولات!J220</f>
        <v>0</v>
      </c>
      <c r="I220" s="9">
        <f>کاتالوگ_محصولات!K220</f>
        <v>9</v>
      </c>
      <c r="J220" s="9" t="str">
        <f>کاتالوگ_محصولات!L220</f>
        <v>🟢 OK</v>
      </c>
    </row>
    <row r="221" spans="1:10" ht="18" customHeight="1">
      <c r="A221" s="9" t="str">
        <f>کاتالوگ_محصولات!A221</f>
        <v>SKU-0218</v>
      </c>
      <c r="B221" s="15" t="str">
        <f>کاتالوگ_محصولات!C221</f>
        <v>کت باربی قهوه ای1</v>
      </c>
      <c r="C221" s="15" t="str">
        <f>کاتالوگ_محصولات!D221</f>
        <v>کت</v>
      </c>
      <c r="D221" s="15" t="str">
        <f>کاتالوگ_محصولات!E221</f>
        <v>Lyocel</v>
      </c>
      <c r="E221" s="16">
        <f>کاتالوگ_محصولات!G221</f>
        <v>0</v>
      </c>
      <c r="F221" s="16">
        <f>کاتالوگ_محصولات!H221</f>
        <v>4180000</v>
      </c>
      <c r="G221" s="9">
        <f>کاتالوگ_محصولات!I221</f>
        <v>9</v>
      </c>
      <c r="H221" s="9">
        <f>کاتالوگ_محصولات!J221</f>
        <v>0</v>
      </c>
      <c r="I221" s="9">
        <f>کاتالوگ_محصولات!K221</f>
        <v>9</v>
      </c>
      <c r="J221" s="9" t="str">
        <f>کاتالوگ_محصولات!L221</f>
        <v>🟢 OK</v>
      </c>
    </row>
    <row r="222" spans="1:10" ht="18" customHeight="1">
      <c r="A222" s="9" t="str">
        <f>کاتالوگ_محصولات!A222</f>
        <v>SKU-0219</v>
      </c>
      <c r="B222" s="15" t="str">
        <f>کاتالوگ_محصولات!C222</f>
        <v>کت باربی قهوه ای2</v>
      </c>
      <c r="C222" s="15" t="str">
        <f>کاتالوگ_محصولات!D222</f>
        <v>کت</v>
      </c>
      <c r="D222" s="15" t="str">
        <f>کاتالوگ_محصولات!E222</f>
        <v>Lyocel</v>
      </c>
      <c r="E222" s="16">
        <f>کاتالوگ_محصولات!G222</f>
        <v>0</v>
      </c>
      <c r="F222" s="16">
        <f>کاتالوگ_محصولات!H222</f>
        <v>4180000</v>
      </c>
      <c r="G222" s="9">
        <f>کاتالوگ_محصولات!I222</f>
        <v>9</v>
      </c>
      <c r="H222" s="9">
        <f>کاتالوگ_محصولات!J222</f>
        <v>0</v>
      </c>
      <c r="I222" s="9">
        <f>کاتالوگ_محصولات!K222</f>
        <v>9</v>
      </c>
      <c r="J222" s="9" t="str">
        <f>کاتالوگ_محصولات!L222</f>
        <v>🟢 OK</v>
      </c>
    </row>
    <row r="223" spans="1:10" ht="18" customHeight="1">
      <c r="A223" s="9" t="str">
        <f>کاتالوگ_محصولات!A223</f>
        <v>SKU-0220</v>
      </c>
      <c r="B223" s="15" t="str">
        <f>کاتالوگ_محصولات!C223</f>
        <v>کت باربی آبی 1</v>
      </c>
      <c r="C223" s="15" t="str">
        <f>کاتالوگ_محصولات!D223</f>
        <v>کت</v>
      </c>
      <c r="D223" s="15" t="str">
        <f>کاتالوگ_محصولات!E223</f>
        <v>Lyocel</v>
      </c>
      <c r="E223" s="16">
        <f>کاتالوگ_محصولات!G223</f>
        <v>0</v>
      </c>
      <c r="F223" s="16">
        <f>کاتالوگ_محصولات!H223</f>
        <v>4180000</v>
      </c>
      <c r="G223" s="9">
        <f>کاتالوگ_محصولات!I223</f>
        <v>9</v>
      </c>
      <c r="H223" s="9">
        <f>کاتالوگ_محصولات!J223</f>
        <v>0</v>
      </c>
      <c r="I223" s="9">
        <f>کاتالوگ_محصولات!K223</f>
        <v>9</v>
      </c>
      <c r="J223" s="9" t="str">
        <f>کاتالوگ_محصولات!L223</f>
        <v>🟢 OK</v>
      </c>
    </row>
    <row r="224" spans="1:10" ht="18" customHeight="1">
      <c r="A224" s="9" t="str">
        <f>کاتالوگ_محصولات!A224</f>
        <v>SKU-0221</v>
      </c>
      <c r="B224" s="15" t="str">
        <f>کاتالوگ_محصولات!C224</f>
        <v>کت باربی آبی 2</v>
      </c>
      <c r="C224" s="15" t="str">
        <f>کاتالوگ_محصولات!D224</f>
        <v>کت</v>
      </c>
      <c r="D224" s="15" t="str">
        <f>کاتالوگ_محصولات!E224</f>
        <v>Lyocel</v>
      </c>
      <c r="E224" s="16">
        <f>کاتالوگ_محصولات!G224</f>
        <v>0</v>
      </c>
      <c r="F224" s="16">
        <f>کاتالوگ_محصولات!H224</f>
        <v>4180000</v>
      </c>
      <c r="G224" s="9">
        <f>کاتالوگ_محصولات!I224</f>
        <v>9</v>
      </c>
      <c r="H224" s="9">
        <f>کاتالوگ_محصولات!J224</f>
        <v>0</v>
      </c>
      <c r="I224" s="9">
        <f>کاتالوگ_محصولات!K224</f>
        <v>9</v>
      </c>
      <c r="J224" s="9" t="str">
        <f>کاتالوگ_محصولات!L224</f>
        <v>🟢 OK</v>
      </c>
    </row>
    <row r="225" spans="1:10" ht="18" customHeight="1">
      <c r="A225" s="9" t="str">
        <f>کاتالوگ_محصولات!A225</f>
        <v>SKU-0222</v>
      </c>
      <c r="B225" s="15" t="str">
        <f>کاتالوگ_محصولات!C225</f>
        <v>کت باربی مشکی1</v>
      </c>
      <c r="C225" s="15" t="str">
        <f>کاتالوگ_محصولات!D225</f>
        <v>کت</v>
      </c>
      <c r="D225" s="15" t="str">
        <f>کاتالوگ_محصولات!E225</f>
        <v>Lyocel</v>
      </c>
      <c r="E225" s="16">
        <f>کاتالوگ_محصولات!G225</f>
        <v>0</v>
      </c>
      <c r="F225" s="16">
        <f>کاتالوگ_محصولات!H225</f>
        <v>4180000</v>
      </c>
      <c r="G225" s="9">
        <f>کاتالوگ_محصولات!I225</f>
        <v>9</v>
      </c>
      <c r="H225" s="9">
        <f>کاتالوگ_محصولات!J225</f>
        <v>0</v>
      </c>
      <c r="I225" s="9">
        <f>کاتالوگ_محصولات!K225</f>
        <v>9</v>
      </c>
      <c r="J225" s="9" t="str">
        <f>کاتالوگ_محصولات!L225</f>
        <v>🟢 OK</v>
      </c>
    </row>
    <row r="226" spans="1:10" ht="18" customHeight="1">
      <c r="A226" s="9" t="str">
        <f>کاتالوگ_محصولات!A226</f>
        <v>SKU-0223</v>
      </c>
      <c r="B226" s="15" t="str">
        <f>کاتالوگ_محصولات!C226</f>
        <v>کت باربی مشکی2</v>
      </c>
      <c r="C226" s="15" t="str">
        <f>کاتالوگ_محصولات!D226</f>
        <v>کت</v>
      </c>
      <c r="D226" s="15" t="str">
        <f>کاتالوگ_محصولات!E226</f>
        <v>Lyocel</v>
      </c>
      <c r="E226" s="16">
        <f>کاتالوگ_محصولات!G226</f>
        <v>0</v>
      </c>
      <c r="F226" s="16">
        <f>کاتالوگ_محصولات!H226</f>
        <v>4180000</v>
      </c>
      <c r="G226" s="9">
        <f>کاتالوگ_محصولات!I226</f>
        <v>9</v>
      </c>
      <c r="H226" s="9">
        <f>کاتالوگ_محصولات!J226</f>
        <v>0</v>
      </c>
      <c r="I226" s="9">
        <f>کاتالوگ_محصولات!K226</f>
        <v>9</v>
      </c>
      <c r="J226" s="9" t="str">
        <f>کاتالوگ_محصولات!L226</f>
        <v>🟢 OK</v>
      </c>
    </row>
    <row r="227" spans="1:10" ht="18" customHeight="1">
      <c r="A227" s="9" t="str">
        <f>کاتالوگ_محصولات!A227</f>
        <v>SKU-0224</v>
      </c>
      <c r="B227" s="15" t="str">
        <f>کاتالوگ_محصولات!C227</f>
        <v>شلوارک کرپ مشکی1</v>
      </c>
      <c r="C227" s="15" t="str">
        <f>کاتالوگ_محصولات!D227</f>
        <v>شلوارک</v>
      </c>
      <c r="D227" s="15" t="str">
        <f>کاتالوگ_محصولات!E227</f>
        <v>Crepe</v>
      </c>
      <c r="E227" s="16">
        <f>کاتالوگ_محصولات!G227</f>
        <v>0</v>
      </c>
      <c r="F227" s="16">
        <f>کاتالوگ_محصولات!H227</f>
        <v>1280000</v>
      </c>
      <c r="G227" s="9">
        <f>کاتالوگ_محصولات!I227</f>
        <v>9</v>
      </c>
      <c r="H227" s="9">
        <f>کاتالوگ_محصولات!J227</f>
        <v>0</v>
      </c>
      <c r="I227" s="9">
        <f>کاتالوگ_محصولات!K227</f>
        <v>9</v>
      </c>
      <c r="J227" s="9" t="str">
        <f>کاتالوگ_محصولات!L227</f>
        <v>🟢 OK</v>
      </c>
    </row>
    <row r="228" spans="1:10" ht="18" customHeight="1">
      <c r="A228" s="9" t="str">
        <f>کاتالوگ_محصولات!A228</f>
        <v>SKU-0225</v>
      </c>
      <c r="B228" s="15" t="str">
        <f>کاتالوگ_محصولات!C228</f>
        <v>شلوارک کرپ مشکی2</v>
      </c>
      <c r="C228" s="15" t="str">
        <f>کاتالوگ_محصولات!D228</f>
        <v>شلوارک</v>
      </c>
      <c r="D228" s="15" t="str">
        <f>کاتالوگ_محصولات!E228</f>
        <v>Crepe</v>
      </c>
      <c r="E228" s="16">
        <f>کاتالوگ_محصولات!G228</f>
        <v>0</v>
      </c>
      <c r="F228" s="16">
        <f>کاتالوگ_محصولات!H228</f>
        <v>1280000</v>
      </c>
      <c r="G228" s="9">
        <f>کاتالوگ_محصولات!I228</f>
        <v>9</v>
      </c>
      <c r="H228" s="9">
        <f>کاتالوگ_محصولات!J228</f>
        <v>0</v>
      </c>
      <c r="I228" s="9">
        <f>کاتالوگ_محصولات!K228</f>
        <v>9</v>
      </c>
      <c r="J228" s="9" t="str">
        <f>کاتالوگ_محصولات!L228</f>
        <v>🟢 OK</v>
      </c>
    </row>
    <row r="229" spans="1:10" ht="18" customHeight="1">
      <c r="A229" s="9" t="str">
        <f>کاتالوگ_محصولات!A229</f>
        <v>SKU-0226</v>
      </c>
      <c r="B229" s="15" t="str">
        <f>کاتالوگ_محصولات!C229</f>
        <v>شومیز آلیس صورتی1</v>
      </c>
      <c r="C229" s="15" t="str">
        <f>کاتالوگ_محصولات!D229</f>
        <v>شومیز</v>
      </c>
      <c r="D229" s="15" t="str">
        <f>کاتالوگ_محصولات!E229</f>
        <v>Silk</v>
      </c>
      <c r="E229" s="16">
        <f>کاتالوگ_محصولات!G229</f>
        <v>0</v>
      </c>
      <c r="F229" s="16">
        <f>کاتالوگ_محصولات!H229</f>
        <v>0</v>
      </c>
      <c r="G229" s="9">
        <f>کاتالوگ_محصولات!I229</f>
        <v>9</v>
      </c>
      <c r="H229" s="9">
        <f>کاتالوگ_محصولات!J229</f>
        <v>0</v>
      </c>
      <c r="I229" s="9">
        <f>کاتالوگ_محصولات!K229</f>
        <v>9</v>
      </c>
      <c r="J229" s="9" t="str">
        <f>کاتالوگ_محصولات!L229</f>
        <v>🟢 OK</v>
      </c>
    </row>
    <row r="230" spans="1:10" ht="18" customHeight="1">
      <c r="A230" s="9" t="str">
        <f>کاتالوگ_محصولات!A230</f>
        <v>SKU-0227</v>
      </c>
      <c r="B230" s="15" t="str">
        <f>کاتالوگ_محصولات!C230</f>
        <v>شومیز آلیس صورتی2</v>
      </c>
      <c r="C230" s="15" t="str">
        <f>کاتالوگ_محصولات!D230</f>
        <v>شومیز</v>
      </c>
      <c r="D230" s="15" t="str">
        <f>کاتالوگ_محصولات!E230</f>
        <v>Silk</v>
      </c>
      <c r="E230" s="16">
        <f>کاتالوگ_محصولات!G230</f>
        <v>0</v>
      </c>
      <c r="F230" s="16">
        <f>کاتالوگ_محصولات!H230</f>
        <v>0</v>
      </c>
      <c r="G230" s="9">
        <f>کاتالوگ_محصولات!I230</f>
        <v>9</v>
      </c>
      <c r="H230" s="9">
        <f>کاتالوگ_محصولات!J230</f>
        <v>0</v>
      </c>
      <c r="I230" s="9">
        <f>کاتالوگ_محصولات!K230</f>
        <v>9</v>
      </c>
      <c r="J230" s="9" t="str">
        <f>کاتالوگ_محصولات!L230</f>
        <v>🟢 OK</v>
      </c>
    </row>
    <row r="231" spans="1:10" ht="18" customHeight="1">
      <c r="A231" s="9" t="str">
        <f>کاتالوگ_محصولات!A231</f>
        <v>SKU-0228</v>
      </c>
      <c r="B231" s="15" t="str">
        <f>کاتالوگ_محصولات!C231</f>
        <v>شومیز آلیس صورتی3</v>
      </c>
      <c r="C231" s="15" t="str">
        <f>کاتالوگ_محصولات!D231</f>
        <v>شومیز</v>
      </c>
      <c r="D231" s="15" t="str">
        <f>کاتالوگ_محصولات!E231</f>
        <v>Silk</v>
      </c>
      <c r="E231" s="16">
        <f>کاتالوگ_محصولات!G231</f>
        <v>0</v>
      </c>
      <c r="F231" s="16">
        <f>کاتالوگ_محصولات!H231</f>
        <v>0</v>
      </c>
      <c r="G231" s="9">
        <f>کاتالوگ_محصولات!I231</f>
        <v>9</v>
      </c>
      <c r="H231" s="9">
        <f>کاتالوگ_محصولات!J231</f>
        <v>0</v>
      </c>
      <c r="I231" s="9">
        <f>کاتالوگ_محصولات!K231</f>
        <v>9</v>
      </c>
      <c r="J231" s="9" t="str">
        <f>کاتالوگ_محصولات!L231</f>
        <v>🟢 OK</v>
      </c>
    </row>
    <row r="232" spans="1:10" ht="18" customHeight="1">
      <c r="A232" s="9" t="str">
        <f>کاتالوگ_محصولات!A232</f>
        <v>SKU-0229</v>
      </c>
      <c r="B232" s="15" t="str">
        <f>کاتالوگ_محصولات!C232</f>
        <v>ست دنیزکرم1</v>
      </c>
      <c r="C232" s="15" t="str">
        <f>کاتالوگ_محصولات!D232</f>
        <v>ست</v>
      </c>
      <c r="D232" s="15" t="str">
        <f>کاتالوگ_محصولات!E232</f>
        <v>Cotton</v>
      </c>
      <c r="E232" s="16">
        <f>کاتالوگ_محصولات!G232</f>
        <v>0</v>
      </c>
      <c r="F232" s="16">
        <f>کاتالوگ_محصولات!H232</f>
        <v>2980000</v>
      </c>
      <c r="G232" s="9">
        <f>کاتالوگ_محصولات!I232</f>
        <v>9</v>
      </c>
      <c r="H232" s="9">
        <f>کاتالوگ_محصولات!J232</f>
        <v>0</v>
      </c>
      <c r="I232" s="9">
        <f>کاتالوگ_محصولات!K232</f>
        <v>9</v>
      </c>
      <c r="J232" s="9" t="str">
        <f>کاتالوگ_محصولات!L232</f>
        <v>🟢 OK</v>
      </c>
    </row>
    <row r="233" spans="1:10" ht="18" customHeight="1">
      <c r="A233" s="9" t="str">
        <f>کاتالوگ_محصولات!A233</f>
        <v>SKU-0230</v>
      </c>
      <c r="B233" s="15" t="str">
        <f>کاتالوگ_محصولات!C233</f>
        <v>ست دنیز کرم2</v>
      </c>
      <c r="C233" s="15" t="str">
        <f>کاتالوگ_محصولات!D233</f>
        <v>ست</v>
      </c>
      <c r="D233" s="15" t="str">
        <f>کاتالوگ_محصولات!E233</f>
        <v>Cotton</v>
      </c>
      <c r="E233" s="16">
        <f>کاتالوگ_محصولات!G233</f>
        <v>0</v>
      </c>
      <c r="F233" s="16">
        <f>کاتالوگ_محصولات!H233</f>
        <v>2980000</v>
      </c>
      <c r="G233" s="9">
        <f>کاتالوگ_محصولات!I233</f>
        <v>9</v>
      </c>
      <c r="H233" s="9">
        <f>کاتالوگ_محصولات!J233</f>
        <v>0</v>
      </c>
      <c r="I233" s="9">
        <f>کاتالوگ_محصولات!K233</f>
        <v>9</v>
      </c>
      <c r="J233" s="9" t="str">
        <f>کاتالوگ_محصولات!L233</f>
        <v>🟢 OK</v>
      </c>
    </row>
    <row r="234" spans="1:10" ht="18" customHeight="1">
      <c r="A234" s="9" t="str">
        <f>کاتالوگ_محصولات!A234</f>
        <v>SKU-0231</v>
      </c>
      <c r="B234" s="15" t="str">
        <f>کاتالوگ_محصولات!C234</f>
        <v>ست دنیز سبز1</v>
      </c>
      <c r="C234" s="15" t="str">
        <f>کاتالوگ_محصولات!D234</f>
        <v>ست</v>
      </c>
      <c r="D234" s="15" t="str">
        <f>کاتالوگ_محصولات!E234</f>
        <v>Cotton</v>
      </c>
      <c r="E234" s="16">
        <f>کاتالوگ_محصولات!G234</f>
        <v>0</v>
      </c>
      <c r="F234" s="16">
        <f>کاتالوگ_محصولات!H234</f>
        <v>2980000</v>
      </c>
      <c r="G234" s="9">
        <f>کاتالوگ_محصولات!I234</f>
        <v>9</v>
      </c>
      <c r="H234" s="9">
        <f>کاتالوگ_محصولات!J234</f>
        <v>0</v>
      </c>
      <c r="I234" s="9">
        <f>کاتالوگ_محصولات!K234</f>
        <v>9</v>
      </c>
      <c r="J234" s="9" t="str">
        <f>کاتالوگ_محصولات!L234</f>
        <v>🟢 OK</v>
      </c>
    </row>
    <row r="235" spans="1:10" ht="18" customHeight="1">
      <c r="A235" s="9" t="str">
        <f>کاتالوگ_محصولات!A235</f>
        <v>SKU-0232</v>
      </c>
      <c r="B235" s="15" t="str">
        <f>کاتالوگ_محصولات!C235</f>
        <v>ست دنیز سبز2</v>
      </c>
      <c r="C235" s="15" t="str">
        <f>کاتالوگ_محصولات!D235</f>
        <v>ست</v>
      </c>
      <c r="D235" s="15" t="str">
        <f>کاتالوگ_محصولات!E235</f>
        <v>Cotton</v>
      </c>
      <c r="E235" s="16">
        <f>کاتالوگ_محصولات!G235</f>
        <v>0</v>
      </c>
      <c r="F235" s="16">
        <f>کاتالوگ_محصولات!H235</f>
        <v>2980000</v>
      </c>
      <c r="G235" s="9">
        <f>کاتالوگ_محصولات!I235</f>
        <v>9</v>
      </c>
      <c r="H235" s="9">
        <f>کاتالوگ_محصولات!J235</f>
        <v>0</v>
      </c>
      <c r="I235" s="9">
        <f>کاتالوگ_محصولات!K235</f>
        <v>9</v>
      </c>
      <c r="J235" s="9" t="str">
        <f>کاتالوگ_محصولات!L235</f>
        <v>🟢 OK</v>
      </c>
    </row>
    <row r="236" spans="1:10" ht="18" customHeight="1">
      <c r="A236" s="9" t="str">
        <f>کاتالوگ_محصولات!A236</f>
        <v>SKU-0233</v>
      </c>
      <c r="B236" s="15" t="str">
        <f>کاتالوگ_محصولات!C236</f>
        <v>دامن بانو کرم فری</v>
      </c>
      <c r="C236" s="15" t="str">
        <f>کاتالوگ_محصولات!D236</f>
        <v>دامن</v>
      </c>
      <c r="D236" s="15" t="str">
        <f>کاتالوگ_محصولات!E236</f>
        <v>Cotton</v>
      </c>
      <c r="E236" s="16">
        <f>کاتالوگ_محصولات!G236</f>
        <v>0</v>
      </c>
      <c r="F236" s="16">
        <f>کاتالوگ_محصولات!H236</f>
        <v>720000</v>
      </c>
      <c r="G236" s="9">
        <f>کاتالوگ_محصولات!I236</f>
        <v>9</v>
      </c>
      <c r="H236" s="9">
        <f>کاتالوگ_محصولات!J236</f>
        <v>0</v>
      </c>
      <c r="I236" s="9">
        <f>کاتالوگ_محصولات!K236</f>
        <v>9</v>
      </c>
      <c r="J236" s="9" t="str">
        <f>کاتالوگ_محصولات!L236</f>
        <v>🟢 OK</v>
      </c>
    </row>
    <row r="237" spans="1:10" ht="18" customHeight="1">
      <c r="A237" s="9" t="str">
        <f>کاتالوگ_محصولات!A237</f>
        <v>SKU-0234</v>
      </c>
      <c r="B237" s="15" t="str">
        <f>کاتالوگ_محصولات!C237</f>
        <v>دامن بانو سفید فری</v>
      </c>
      <c r="C237" s="15" t="str">
        <f>کاتالوگ_محصولات!D237</f>
        <v>دامن</v>
      </c>
      <c r="D237" s="15" t="str">
        <f>کاتالوگ_محصولات!E237</f>
        <v>Cotton</v>
      </c>
      <c r="E237" s="16">
        <f>کاتالوگ_محصولات!G237</f>
        <v>0</v>
      </c>
      <c r="F237" s="16">
        <f>کاتالوگ_محصولات!H237</f>
        <v>720000</v>
      </c>
      <c r="G237" s="9">
        <f>کاتالوگ_محصولات!I237</f>
        <v>9</v>
      </c>
      <c r="H237" s="9">
        <f>کاتالوگ_محصولات!J237</f>
        <v>0</v>
      </c>
      <c r="I237" s="9">
        <f>کاتالوگ_محصولات!K237</f>
        <v>9</v>
      </c>
      <c r="J237" s="9" t="str">
        <f>کاتالوگ_محصولات!L237</f>
        <v>🟢 OK</v>
      </c>
    </row>
    <row r="238" spans="1:10" ht="18" customHeight="1">
      <c r="A238" s="9" t="str">
        <f>کاتالوگ_محصولات!A238</f>
        <v>SKU-0235</v>
      </c>
      <c r="B238" s="15" t="str">
        <f>کاتالوگ_محصولات!C238</f>
        <v>دامن بانو مشکی فری</v>
      </c>
      <c r="C238" s="15" t="str">
        <f>کاتالوگ_محصولات!D238</f>
        <v>دامن</v>
      </c>
      <c r="D238" s="15" t="str">
        <f>کاتالوگ_محصولات!E238</f>
        <v>Cotton</v>
      </c>
      <c r="E238" s="16">
        <f>کاتالوگ_محصولات!G238</f>
        <v>0</v>
      </c>
      <c r="F238" s="16">
        <f>کاتالوگ_محصولات!H238</f>
        <v>720000</v>
      </c>
      <c r="G238" s="9">
        <f>کاتالوگ_محصولات!I238</f>
        <v>9</v>
      </c>
      <c r="H238" s="9">
        <f>کاتالوگ_محصولات!J238</f>
        <v>0</v>
      </c>
      <c r="I238" s="9">
        <f>کاتالوگ_محصولات!K238</f>
        <v>9</v>
      </c>
      <c r="J238" s="9" t="str">
        <f>کاتالوگ_محصولات!L238</f>
        <v>🟢 OK</v>
      </c>
    </row>
    <row r="239" spans="1:10" ht="18" customHeight="1">
      <c r="A239" s="9" t="str">
        <f>کاتالوگ_محصولات!A239</f>
        <v>SKU-0236</v>
      </c>
      <c r="B239" s="15" t="str">
        <f>کاتالوگ_محصولات!C239</f>
        <v>شومیز بانو کرم فری</v>
      </c>
      <c r="C239" s="15" t="str">
        <f>کاتالوگ_محصولات!D239</f>
        <v>شومیز</v>
      </c>
      <c r="D239" s="15" t="str">
        <f>کاتالوگ_محصولات!E239</f>
        <v>Cotton</v>
      </c>
      <c r="E239" s="16">
        <f>کاتالوگ_محصولات!G239</f>
        <v>0</v>
      </c>
      <c r="F239" s="16">
        <f>کاتالوگ_محصولات!H239</f>
        <v>720000</v>
      </c>
      <c r="G239" s="9">
        <f>کاتالوگ_محصولات!I239</f>
        <v>9</v>
      </c>
      <c r="H239" s="9">
        <f>کاتالوگ_محصولات!J239</f>
        <v>0</v>
      </c>
      <c r="I239" s="9">
        <f>کاتالوگ_محصولات!K239</f>
        <v>9</v>
      </c>
      <c r="J239" s="9" t="str">
        <f>کاتالوگ_محصولات!L239</f>
        <v>🟢 OK</v>
      </c>
    </row>
    <row r="240" spans="1:10" ht="18" customHeight="1">
      <c r="A240" s="9" t="str">
        <f>کاتالوگ_محصولات!A240</f>
        <v>SKU-0237</v>
      </c>
      <c r="B240" s="15" t="str">
        <f>کاتالوگ_محصولات!C240</f>
        <v>شومیز بانو سفید فری</v>
      </c>
      <c r="C240" s="15" t="str">
        <f>کاتالوگ_محصولات!D240</f>
        <v>شومیز</v>
      </c>
      <c r="D240" s="15" t="str">
        <f>کاتالوگ_محصولات!E240</f>
        <v>Cotton</v>
      </c>
      <c r="E240" s="16">
        <f>کاتالوگ_محصولات!G240</f>
        <v>0</v>
      </c>
      <c r="F240" s="16">
        <f>کاتالوگ_محصولات!H240</f>
        <v>720000</v>
      </c>
      <c r="G240" s="9">
        <f>کاتالوگ_محصولات!I240</f>
        <v>9</v>
      </c>
      <c r="H240" s="9">
        <f>کاتالوگ_محصولات!J240</f>
        <v>0</v>
      </c>
      <c r="I240" s="9">
        <f>کاتالوگ_محصولات!K240</f>
        <v>9</v>
      </c>
      <c r="J240" s="9" t="str">
        <f>کاتالوگ_محصولات!L240</f>
        <v>🟢 OK</v>
      </c>
    </row>
    <row r="241" spans="1:10" ht="18" customHeight="1">
      <c r="A241" s="9" t="str">
        <f>کاتالوگ_محصولات!A241</f>
        <v>SKU-0238</v>
      </c>
      <c r="B241" s="15" t="str">
        <f>کاتالوگ_محصولات!C241</f>
        <v>شوومیز حراجی  780</v>
      </c>
      <c r="C241" s="15" t="str">
        <f>کاتالوگ_محصولات!D241</f>
        <v>شومیز</v>
      </c>
      <c r="D241" s="15" t="str">
        <f>کاتالوگ_محصولات!E241</f>
        <v>_</v>
      </c>
      <c r="E241" s="16">
        <f>کاتالوگ_محصولات!G241</f>
        <v>0</v>
      </c>
      <c r="F241" s="16">
        <f>کاتالوگ_محصولات!H241</f>
        <v>780000</v>
      </c>
      <c r="G241" s="9">
        <f>کاتالوگ_محصولات!I241</f>
        <v>9</v>
      </c>
      <c r="H241" s="9">
        <f>کاتالوگ_محصولات!J241</f>
        <v>0</v>
      </c>
      <c r="I241" s="9">
        <f>کاتالوگ_محصولات!K241</f>
        <v>9</v>
      </c>
      <c r="J241" s="9" t="str">
        <f>کاتالوگ_محصولات!L241</f>
        <v>🟢 OK</v>
      </c>
    </row>
    <row r="242" spans="1:10" ht="18" customHeight="1">
      <c r="A242" s="9" t="str">
        <f>کاتالوگ_محصولات!A242</f>
        <v>SKU-0239</v>
      </c>
      <c r="B242" s="15" t="str">
        <f>کاتالوگ_محصولات!C242</f>
        <v>شومیز حراجی 980</v>
      </c>
      <c r="C242" s="15" t="str">
        <f>کاتالوگ_محصولات!D242</f>
        <v>شومیز</v>
      </c>
      <c r="D242" s="15" t="str">
        <f>کاتالوگ_محصولات!E242</f>
        <v>_</v>
      </c>
      <c r="E242" s="16">
        <f>کاتالوگ_محصولات!G242</f>
        <v>0</v>
      </c>
      <c r="F242" s="16">
        <f>کاتالوگ_محصولات!H242</f>
        <v>980000</v>
      </c>
      <c r="G242" s="9">
        <f>کاتالوگ_محصولات!I242</f>
        <v>9</v>
      </c>
      <c r="H242" s="9">
        <f>کاتالوگ_محصولات!J242</f>
        <v>0</v>
      </c>
      <c r="I242" s="9">
        <f>کاتالوگ_محصولات!K242</f>
        <v>9</v>
      </c>
      <c r="J242" s="9" t="str">
        <f>کاتالوگ_محصولات!L242</f>
        <v>🟢 OK</v>
      </c>
    </row>
    <row r="243" spans="1:10" ht="18" customHeight="1">
      <c r="A243" s="9" t="str">
        <f>کاتالوگ_محصولات!A243</f>
        <v>SKU-0240</v>
      </c>
      <c r="B243" s="15" t="str">
        <f>کاتالوگ_محصولات!C243</f>
        <v>شلوار پولکی دورا مشکی 1</v>
      </c>
      <c r="C243" s="15" t="str">
        <f>کاتالوگ_محصولات!D243</f>
        <v>شلوار</v>
      </c>
      <c r="D243" s="15" t="str">
        <f>کاتالوگ_محصولات!E243</f>
        <v>_</v>
      </c>
      <c r="E243" s="16">
        <f>کاتالوگ_محصولات!G243</f>
        <v>0</v>
      </c>
      <c r="F243" s="16">
        <f>کاتالوگ_محصولات!H243</f>
        <v>1240000</v>
      </c>
      <c r="G243" s="9">
        <f>کاتالوگ_محصولات!I243</f>
        <v>9</v>
      </c>
      <c r="H243" s="9">
        <f>کاتالوگ_محصولات!J243</f>
        <v>0</v>
      </c>
      <c r="I243" s="9">
        <f>کاتالوگ_محصولات!K243</f>
        <v>9</v>
      </c>
      <c r="J243" s="9" t="str">
        <f>کاتالوگ_محصولات!L243</f>
        <v>🟢 OK</v>
      </c>
    </row>
    <row r="244" spans="1:10" ht="18" customHeight="1">
      <c r="A244" s="9" t="str">
        <f>کاتالوگ_محصولات!A244</f>
        <v>SKU-0241</v>
      </c>
      <c r="B244" s="15" t="str">
        <f>کاتالوگ_محصولات!C244</f>
        <v>پیراهن گیپور مشکی</v>
      </c>
      <c r="C244" s="15" t="str">
        <f>کاتالوگ_محصولات!D244</f>
        <v>پیراهن</v>
      </c>
      <c r="D244" s="15" t="str">
        <f>کاتالوگ_محصولات!E244</f>
        <v>Crepe</v>
      </c>
      <c r="E244" s="16">
        <f>کاتالوگ_محصولات!G244</f>
        <v>0</v>
      </c>
      <c r="F244" s="16">
        <f>کاتالوگ_محصولات!H244</f>
        <v>1320000</v>
      </c>
      <c r="G244" s="9">
        <f>کاتالوگ_محصولات!I244</f>
        <v>9</v>
      </c>
      <c r="H244" s="9">
        <f>کاتالوگ_محصولات!J244</f>
        <v>0</v>
      </c>
      <c r="I244" s="9">
        <f>کاتالوگ_محصولات!K244</f>
        <v>9</v>
      </c>
      <c r="J244" s="9" t="str">
        <f>کاتالوگ_محصولات!L244</f>
        <v>🟢 OK</v>
      </c>
    </row>
    <row r="245" spans="1:10" ht="18" customHeight="1">
      <c r="A245" s="9" t="str">
        <f>کاتالوگ_محصولات!A245</f>
        <v>SKU-0242</v>
      </c>
      <c r="B245" s="15" t="str">
        <f>کاتالوگ_محصولات!C245</f>
        <v>شلوار کاپری سرمه ای1</v>
      </c>
      <c r="C245" s="15" t="str">
        <f>کاتالوگ_محصولات!D245</f>
        <v>شلوار</v>
      </c>
      <c r="D245" s="15" t="str">
        <f>کاتالوگ_محصولات!E245</f>
        <v>Crepe</v>
      </c>
      <c r="E245" s="16">
        <f>کاتالوگ_محصولات!G245</f>
        <v>0</v>
      </c>
      <c r="F245" s="16">
        <f>کاتالوگ_محصولات!H245</f>
        <v>2880000</v>
      </c>
      <c r="G245" s="9">
        <f>کاتالوگ_محصولات!I245</f>
        <v>9</v>
      </c>
      <c r="H245" s="9">
        <f>کاتالوگ_محصولات!J245</f>
        <v>0</v>
      </c>
      <c r="I245" s="9">
        <f>کاتالوگ_محصولات!K245</f>
        <v>9</v>
      </c>
      <c r="J245" s="9" t="str">
        <f>کاتالوگ_محصولات!L245</f>
        <v>🟢 OK</v>
      </c>
    </row>
    <row r="246" spans="1:10" ht="18" customHeight="1">
      <c r="A246" s="9" t="str">
        <f>کاتالوگ_محصولات!A246</f>
        <v>SKU-0243</v>
      </c>
      <c r="B246" s="15" t="str">
        <f>کاتالوگ_محصولات!C246</f>
        <v>شلوار کاپری سرمه ای2</v>
      </c>
      <c r="C246" s="15" t="str">
        <f>کاتالوگ_محصولات!D246</f>
        <v>شلوار</v>
      </c>
      <c r="D246" s="15" t="str">
        <f>کاتالوگ_محصولات!E246</f>
        <v>Crepe</v>
      </c>
      <c r="E246" s="16">
        <f>کاتالوگ_محصولات!G246</f>
        <v>0</v>
      </c>
      <c r="F246" s="16">
        <f>کاتالوگ_محصولات!H246</f>
        <v>2880000</v>
      </c>
      <c r="G246" s="9">
        <f>کاتالوگ_محصولات!I246</f>
        <v>9</v>
      </c>
      <c r="H246" s="9">
        <f>کاتالوگ_محصولات!J246</f>
        <v>0</v>
      </c>
      <c r="I246" s="9">
        <f>کاتالوگ_محصولات!K246</f>
        <v>9</v>
      </c>
      <c r="J246" s="9" t="str">
        <f>کاتالوگ_محصولات!L246</f>
        <v>🟢 OK</v>
      </c>
    </row>
    <row r="247" spans="1:10" ht="18" customHeight="1">
      <c r="A247" s="9" t="str">
        <f>کاتالوگ_محصولات!A247</f>
        <v>SKU-0244</v>
      </c>
      <c r="B247" s="15" t="str">
        <f>کاتالوگ_محصولات!C247</f>
        <v>شلوار کاپری سرمه ای3</v>
      </c>
      <c r="C247" s="15" t="str">
        <f>کاتالوگ_محصولات!D247</f>
        <v>شلوار</v>
      </c>
      <c r="D247" s="15" t="str">
        <f>کاتالوگ_محصولات!E247</f>
        <v>Crepe</v>
      </c>
      <c r="E247" s="16">
        <f>کاتالوگ_محصولات!G247</f>
        <v>0</v>
      </c>
      <c r="F247" s="16">
        <f>کاتالوگ_محصولات!H247</f>
        <v>2880000</v>
      </c>
      <c r="G247" s="9">
        <f>کاتالوگ_محصولات!I247</f>
        <v>9</v>
      </c>
      <c r="H247" s="9">
        <f>کاتالوگ_محصولات!J247</f>
        <v>0</v>
      </c>
      <c r="I247" s="9">
        <f>کاتالوگ_محصولات!K247</f>
        <v>9</v>
      </c>
      <c r="J247" s="9" t="str">
        <f>کاتالوگ_محصولات!L247</f>
        <v>🟢 OK</v>
      </c>
    </row>
    <row r="248" spans="1:10" ht="18" customHeight="1">
      <c r="A248" s="9" t="str">
        <f>کاتالوگ_محصولات!A248</f>
        <v>SKU-0245</v>
      </c>
      <c r="B248" s="15" t="str">
        <f>کاتالوگ_محصولات!C248</f>
        <v>شلوار کاپری سفید1</v>
      </c>
      <c r="C248" s="15" t="str">
        <f>کاتالوگ_محصولات!D248</f>
        <v>شلوار</v>
      </c>
      <c r="D248" s="15" t="str">
        <f>کاتالوگ_محصولات!E248</f>
        <v>Crepe</v>
      </c>
      <c r="E248" s="16">
        <f>کاتالوگ_محصولات!G248</f>
        <v>0</v>
      </c>
      <c r="F248" s="16">
        <f>کاتالوگ_محصولات!H248</f>
        <v>2880000</v>
      </c>
      <c r="G248" s="9">
        <f>کاتالوگ_محصولات!I248</f>
        <v>9</v>
      </c>
      <c r="H248" s="9">
        <f>کاتالوگ_محصولات!J248</f>
        <v>0</v>
      </c>
      <c r="I248" s="9">
        <f>کاتالوگ_محصولات!K248</f>
        <v>9</v>
      </c>
      <c r="J248" s="9" t="str">
        <f>کاتالوگ_محصولات!L248</f>
        <v>🟢 OK</v>
      </c>
    </row>
    <row r="249" spans="1:10" ht="18" customHeight="1">
      <c r="A249" s="9" t="str">
        <f>کاتالوگ_محصولات!A249</f>
        <v>SKU-0246</v>
      </c>
      <c r="B249" s="15" t="str">
        <f>کاتالوگ_محصولات!C249</f>
        <v>شلوار کاپری سفید2</v>
      </c>
      <c r="C249" s="15" t="str">
        <f>کاتالوگ_محصولات!D249</f>
        <v>شلوار</v>
      </c>
      <c r="D249" s="15" t="str">
        <f>کاتالوگ_محصولات!E249</f>
        <v>Crepe</v>
      </c>
      <c r="E249" s="16">
        <f>کاتالوگ_محصولات!G249</f>
        <v>0</v>
      </c>
      <c r="F249" s="16">
        <f>کاتالوگ_محصولات!H249</f>
        <v>2880000</v>
      </c>
      <c r="G249" s="9">
        <f>کاتالوگ_محصولات!I249</f>
        <v>9</v>
      </c>
      <c r="H249" s="9">
        <f>کاتالوگ_محصولات!J249</f>
        <v>0</v>
      </c>
      <c r="I249" s="9">
        <f>کاتالوگ_محصولات!K249</f>
        <v>9</v>
      </c>
      <c r="J249" s="9" t="str">
        <f>کاتالوگ_محصولات!L249</f>
        <v>🟢 OK</v>
      </c>
    </row>
    <row r="250" spans="1:10" ht="18" customHeight="1">
      <c r="A250" s="9" t="str">
        <f>کاتالوگ_محصولات!A250</f>
        <v>SKU-0247</v>
      </c>
      <c r="B250" s="15" t="str">
        <f>کاتالوگ_محصولات!C250</f>
        <v>شلوار کاپری سفید3</v>
      </c>
      <c r="C250" s="15" t="str">
        <f>کاتالوگ_محصولات!D250</f>
        <v>شلوار</v>
      </c>
      <c r="D250" s="15" t="str">
        <f>کاتالوگ_محصولات!E250</f>
        <v>Crepe</v>
      </c>
      <c r="E250" s="16">
        <f>کاتالوگ_محصولات!G250</f>
        <v>0</v>
      </c>
      <c r="F250" s="16">
        <f>کاتالوگ_محصولات!H250</f>
        <v>2880000</v>
      </c>
      <c r="G250" s="9">
        <f>کاتالوگ_محصولات!I250</f>
        <v>9</v>
      </c>
      <c r="H250" s="9">
        <f>کاتالوگ_محصولات!J250</f>
        <v>0</v>
      </c>
      <c r="I250" s="9">
        <f>کاتالوگ_محصولات!K250</f>
        <v>9</v>
      </c>
      <c r="J250" s="9" t="str">
        <f>کاتالوگ_محصولات!L250</f>
        <v>🟢 OK</v>
      </c>
    </row>
    <row r="251" spans="1:10" ht="18" customHeight="1">
      <c r="A251" s="9" t="str">
        <f>کاتالوگ_محصولات!A251</f>
        <v>SKU-0248</v>
      </c>
      <c r="B251" s="15" t="str">
        <f>کاتالوگ_محصولات!C251</f>
        <v>شلوار کاپری مشکیM</v>
      </c>
      <c r="C251" s="15" t="str">
        <f>کاتالوگ_محصولات!D251</f>
        <v>شلوار</v>
      </c>
      <c r="D251" s="15" t="str">
        <f>کاتالوگ_محصولات!E251</f>
        <v>Crepe</v>
      </c>
      <c r="E251" s="16">
        <f>کاتالوگ_محصولات!G251</f>
        <v>0</v>
      </c>
      <c r="F251" s="16">
        <f>کاتالوگ_محصولات!H251</f>
        <v>2580000</v>
      </c>
      <c r="G251" s="9">
        <f>کاتالوگ_محصولات!I251</f>
        <v>9</v>
      </c>
      <c r="H251" s="9">
        <f>کاتالوگ_محصولات!J251</f>
        <v>0</v>
      </c>
      <c r="I251" s="9">
        <f>کاتالوگ_محصولات!K251</f>
        <v>9</v>
      </c>
      <c r="J251" s="9" t="str">
        <f>کاتالوگ_محصولات!L251</f>
        <v>🟢 OK</v>
      </c>
    </row>
    <row r="252" spans="1:10" ht="18" customHeight="1">
      <c r="A252" s="9" t="str">
        <f>کاتالوگ_محصولات!A252</f>
        <v>SKU-0249</v>
      </c>
      <c r="B252" s="15" t="str">
        <f>کاتالوگ_محصولات!C252</f>
        <v>شلوار کاپری مشکی2</v>
      </c>
      <c r="C252" s="15" t="str">
        <f>کاتالوگ_محصولات!D252</f>
        <v>شلوار</v>
      </c>
      <c r="D252" s="15" t="str">
        <f>کاتالوگ_محصولات!E252</f>
        <v>Crepe</v>
      </c>
      <c r="E252" s="16">
        <f>کاتالوگ_محصولات!G252</f>
        <v>0</v>
      </c>
      <c r="F252" s="16">
        <f>کاتالوگ_محصولات!H252</f>
        <v>2880000</v>
      </c>
      <c r="G252" s="9">
        <f>کاتالوگ_محصولات!I252</f>
        <v>9</v>
      </c>
      <c r="H252" s="9">
        <f>کاتالوگ_محصولات!J252</f>
        <v>0</v>
      </c>
      <c r="I252" s="9">
        <f>کاتالوگ_محصولات!K252</f>
        <v>9</v>
      </c>
      <c r="J252" s="9" t="str">
        <f>کاتالوگ_محصولات!L252</f>
        <v>🟢 OK</v>
      </c>
    </row>
    <row r="253" spans="1:10" ht="18" customHeight="1">
      <c r="A253" s="9" t="str">
        <f>کاتالوگ_محصولات!A253</f>
        <v>SKU-0250</v>
      </c>
      <c r="B253" s="15" t="str">
        <f>کاتالوگ_محصولات!C253</f>
        <v>شلوار کاپری مشکی3</v>
      </c>
      <c r="C253" s="15" t="str">
        <f>کاتالوگ_محصولات!D253</f>
        <v>شلوار</v>
      </c>
      <c r="D253" s="15" t="str">
        <f>کاتالوگ_محصولات!E253</f>
        <v>Crepe</v>
      </c>
      <c r="E253" s="16">
        <f>کاتالوگ_محصولات!G253</f>
        <v>0</v>
      </c>
      <c r="F253" s="16">
        <f>کاتالوگ_محصولات!H253</f>
        <v>2880000</v>
      </c>
      <c r="G253" s="9">
        <f>کاتالوگ_محصولات!I253</f>
        <v>9</v>
      </c>
      <c r="H253" s="9">
        <f>کاتالوگ_محصولات!J253</f>
        <v>0</v>
      </c>
      <c r="I253" s="9">
        <f>کاتالوگ_محصولات!K253</f>
        <v>9</v>
      </c>
      <c r="J253" s="9" t="str">
        <f>کاتالوگ_محصولات!L253</f>
        <v>🟢 OK</v>
      </c>
    </row>
    <row r="254" spans="1:10" ht="18" customHeight="1">
      <c r="A254" s="9" t="str">
        <f>کاتالوگ_محصولات!A254</f>
        <v>SKU-0251</v>
      </c>
      <c r="B254" s="15" t="str">
        <f>کاتالوگ_محصولات!C254</f>
        <v>شلوار مازراتی دمپا مشکی</v>
      </c>
      <c r="C254" s="15" t="str">
        <f>کاتالوگ_محصولات!D254</f>
        <v>شلوار</v>
      </c>
      <c r="D254" s="15" t="str">
        <f>کاتالوگ_محصولات!E254</f>
        <v>Crepe</v>
      </c>
      <c r="E254" s="16">
        <f>کاتالوگ_محصولات!G254</f>
        <v>0</v>
      </c>
      <c r="F254" s="16">
        <f>کاتالوگ_محصولات!H254</f>
        <v>0</v>
      </c>
      <c r="G254" s="9">
        <f>کاتالوگ_محصولات!I254</f>
        <v>9</v>
      </c>
      <c r="H254" s="9">
        <f>کاتالوگ_محصولات!J254</f>
        <v>0</v>
      </c>
      <c r="I254" s="9">
        <f>کاتالوگ_محصولات!K254</f>
        <v>9</v>
      </c>
      <c r="J254" s="9" t="str">
        <f>کاتالوگ_محصولات!L254</f>
        <v>🟢 OK</v>
      </c>
    </row>
    <row r="255" spans="1:10" ht="18" customHeight="1">
      <c r="A255" s="9" t="str">
        <f>کاتالوگ_محصولات!A255</f>
        <v>SKU-0252</v>
      </c>
      <c r="B255" s="15" t="str">
        <f>کاتالوگ_محصولات!C255</f>
        <v>شلوار مازراتی دمپا سرمه ای</v>
      </c>
      <c r="C255" s="15" t="str">
        <f>کاتالوگ_محصولات!D255</f>
        <v>شلوار</v>
      </c>
      <c r="D255" s="15" t="str">
        <f>کاتالوگ_محصولات!E255</f>
        <v>Crepe</v>
      </c>
      <c r="E255" s="16">
        <f>کاتالوگ_محصولات!G255</f>
        <v>0</v>
      </c>
      <c r="F255" s="16">
        <f>کاتالوگ_محصولات!H255</f>
        <v>0</v>
      </c>
      <c r="G255" s="9">
        <f>کاتالوگ_محصولات!I255</f>
        <v>9</v>
      </c>
      <c r="H255" s="9">
        <f>کاتالوگ_محصولات!J255</f>
        <v>0</v>
      </c>
      <c r="I255" s="9">
        <f>کاتالوگ_محصولات!K255</f>
        <v>9</v>
      </c>
      <c r="J255" s="9" t="str">
        <f>کاتالوگ_محصولات!L255</f>
        <v>🟢 OK</v>
      </c>
    </row>
    <row r="256" spans="1:10" ht="18" customHeight="1">
      <c r="A256" s="9" t="str">
        <f>کاتالوگ_محصولات!A256</f>
        <v>SKU-0253</v>
      </c>
      <c r="B256" s="15" t="str">
        <f>کاتالوگ_محصولات!C256</f>
        <v>شلوار مازراتی دمپا کرم</v>
      </c>
      <c r="C256" s="15" t="str">
        <f>کاتالوگ_محصولات!D256</f>
        <v>شلوار</v>
      </c>
      <c r="D256" s="15" t="str">
        <f>کاتالوگ_محصولات!E256</f>
        <v>Crepe</v>
      </c>
      <c r="E256" s="16">
        <f>کاتالوگ_محصولات!G256</f>
        <v>0</v>
      </c>
      <c r="F256" s="16">
        <f>کاتالوگ_محصولات!H256</f>
        <v>0</v>
      </c>
      <c r="G256" s="9">
        <f>کاتالوگ_محصولات!I256</f>
        <v>9</v>
      </c>
      <c r="H256" s="9">
        <f>کاتالوگ_محصولات!J256</f>
        <v>0</v>
      </c>
      <c r="I256" s="9">
        <f>کاتالوگ_محصولات!K256</f>
        <v>9</v>
      </c>
      <c r="J256" s="9" t="str">
        <f>کاتالوگ_محصولات!L256</f>
        <v>🟢 OK</v>
      </c>
    </row>
    <row r="257" spans="1:10" ht="18" customHeight="1">
      <c r="A257" s="9" t="str">
        <f>کاتالوگ_محصولات!A257</f>
        <v>SKU-0254</v>
      </c>
      <c r="B257" s="15" t="str">
        <f>کاتالوگ_محصولات!C257</f>
        <v>شلوار مازراتی راسته سرمه ای</v>
      </c>
      <c r="C257" s="15" t="str">
        <f>کاتالوگ_محصولات!D257</f>
        <v>شلوار</v>
      </c>
      <c r="D257" s="15" t="str">
        <f>کاتالوگ_محصولات!E257</f>
        <v>Crepe</v>
      </c>
      <c r="E257" s="16">
        <f>کاتالوگ_محصولات!G257</f>
        <v>0</v>
      </c>
      <c r="F257" s="16">
        <f>کاتالوگ_محصولات!H257</f>
        <v>2380000</v>
      </c>
      <c r="G257" s="9">
        <f>کاتالوگ_محصولات!I257</f>
        <v>9</v>
      </c>
      <c r="H257" s="9">
        <f>کاتالوگ_محصولات!J257</f>
        <v>0</v>
      </c>
      <c r="I257" s="9">
        <f>کاتالوگ_محصولات!K257</f>
        <v>9</v>
      </c>
      <c r="J257" s="9" t="str">
        <f>کاتالوگ_محصولات!L257</f>
        <v>🟢 OK</v>
      </c>
    </row>
    <row r="258" spans="1:10" ht="18" customHeight="1">
      <c r="A258" s="9" t="str">
        <f>کاتالوگ_محصولات!A258</f>
        <v>SKU-0255</v>
      </c>
      <c r="B258" s="15" t="str">
        <f>کاتالوگ_محصولات!C258</f>
        <v>شلوار ساتن سبز1</v>
      </c>
      <c r="C258" s="15" t="str">
        <f>کاتالوگ_محصولات!D258</f>
        <v>شلوار</v>
      </c>
      <c r="D258" s="15" t="str">
        <f>کاتالوگ_محصولات!E258</f>
        <v>Satin</v>
      </c>
      <c r="E258" s="16">
        <f>کاتالوگ_محصولات!G258</f>
        <v>0</v>
      </c>
      <c r="F258" s="16">
        <f>کاتالوگ_محصولات!H258</f>
        <v>1540000</v>
      </c>
      <c r="G258" s="9">
        <f>کاتالوگ_محصولات!I258</f>
        <v>9</v>
      </c>
      <c r="H258" s="9">
        <f>کاتالوگ_محصولات!J258</f>
        <v>0</v>
      </c>
      <c r="I258" s="9">
        <f>کاتالوگ_محصولات!K258</f>
        <v>9</v>
      </c>
      <c r="J258" s="9" t="str">
        <f>کاتالوگ_محصولات!L258</f>
        <v>🟢 OK</v>
      </c>
    </row>
    <row r="259" spans="1:10" ht="18" customHeight="1">
      <c r="A259" s="9" t="str">
        <f>کاتالوگ_محصولات!A259</f>
        <v>SKU-0256</v>
      </c>
      <c r="B259" s="15" t="str">
        <f>کاتالوگ_محصولات!C259</f>
        <v>شلوار ساتن سبز2</v>
      </c>
      <c r="C259" s="15" t="str">
        <f>کاتالوگ_محصولات!D259</f>
        <v>شلوار</v>
      </c>
      <c r="D259" s="15" t="str">
        <f>کاتالوگ_محصولات!E259</f>
        <v>Satin</v>
      </c>
      <c r="E259" s="16">
        <f>کاتالوگ_محصولات!G259</f>
        <v>0</v>
      </c>
      <c r="F259" s="16">
        <f>کاتالوگ_محصولات!H259</f>
        <v>1540000</v>
      </c>
      <c r="G259" s="9">
        <f>کاتالوگ_محصولات!I259</f>
        <v>9</v>
      </c>
      <c r="H259" s="9">
        <f>کاتالوگ_محصولات!J259</f>
        <v>0</v>
      </c>
      <c r="I259" s="9">
        <f>کاتالوگ_محصولات!K259</f>
        <v>9</v>
      </c>
      <c r="J259" s="9" t="str">
        <f>کاتالوگ_محصولات!L259</f>
        <v>🟢 OK</v>
      </c>
    </row>
    <row r="260" spans="1:10" ht="18" customHeight="1">
      <c r="A260" s="9" t="str">
        <f>کاتالوگ_محصولات!A260</f>
        <v>SKU-0257</v>
      </c>
      <c r="B260" s="15" t="str">
        <f>کاتالوگ_محصولات!C260</f>
        <v>شلوار ساتن سفید1</v>
      </c>
      <c r="C260" s="15" t="str">
        <f>کاتالوگ_محصولات!D260</f>
        <v>شلوار</v>
      </c>
      <c r="D260" s="15" t="str">
        <f>کاتالوگ_محصولات!E260</f>
        <v>Satin</v>
      </c>
      <c r="E260" s="16">
        <f>کاتالوگ_محصولات!G260</f>
        <v>0</v>
      </c>
      <c r="F260" s="16">
        <f>کاتالوگ_محصولات!H260</f>
        <v>1540000</v>
      </c>
      <c r="G260" s="9">
        <f>کاتالوگ_محصولات!I260</f>
        <v>9</v>
      </c>
      <c r="H260" s="9">
        <f>کاتالوگ_محصولات!J260</f>
        <v>0</v>
      </c>
      <c r="I260" s="9">
        <f>کاتالوگ_محصولات!K260</f>
        <v>9</v>
      </c>
      <c r="J260" s="9" t="str">
        <f>کاتالوگ_محصولات!L260</f>
        <v>🟢 OK</v>
      </c>
    </row>
    <row r="261" spans="1:10" ht="18" customHeight="1">
      <c r="A261" s="9" t="str">
        <f>کاتالوگ_محصولات!A261</f>
        <v>SKU-0258</v>
      </c>
      <c r="B261" s="15" t="str">
        <f>کاتالوگ_محصولات!C261</f>
        <v>شلوار ساتن سفید2</v>
      </c>
      <c r="C261" s="15" t="str">
        <f>کاتالوگ_محصولات!D261</f>
        <v>شلوار</v>
      </c>
      <c r="D261" s="15" t="str">
        <f>کاتالوگ_محصولات!E261</f>
        <v>Satin</v>
      </c>
      <c r="E261" s="16">
        <f>کاتالوگ_محصولات!G261</f>
        <v>0</v>
      </c>
      <c r="F261" s="16">
        <f>کاتالوگ_محصولات!H261</f>
        <v>1540000</v>
      </c>
      <c r="G261" s="9">
        <f>کاتالوگ_محصولات!I261</f>
        <v>9</v>
      </c>
      <c r="H261" s="9">
        <f>کاتالوگ_محصولات!J261</f>
        <v>0</v>
      </c>
      <c r="I261" s="9">
        <f>کاتالوگ_محصولات!K261</f>
        <v>9</v>
      </c>
      <c r="J261" s="9" t="str">
        <f>کاتالوگ_محصولات!L261</f>
        <v>🟢 OK</v>
      </c>
    </row>
    <row r="262" spans="1:10" ht="18" customHeight="1">
      <c r="A262" s="9" t="str">
        <f>کاتالوگ_محصولات!A262</f>
        <v>SKU-0259</v>
      </c>
      <c r="B262" s="15" t="str">
        <f>کاتالوگ_محصولات!C262</f>
        <v>شلوار ساتن ابی 1</v>
      </c>
      <c r="C262" s="15" t="str">
        <f>کاتالوگ_محصولات!D262</f>
        <v>شلوار</v>
      </c>
      <c r="D262" s="15" t="str">
        <f>کاتالوگ_محصولات!E262</f>
        <v>Satin</v>
      </c>
      <c r="E262" s="16">
        <f>کاتالوگ_محصولات!G262</f>
        <v>0</v>
      </c>
      <c r="F262" s="16">
        <f>کاتالوگ_محصولات!H262</f>
        <v>1540000</v>
      </c>
      <c r="G262" s="9">
        <f>کاتالوگ_محصولات!I262</f>
        <v>9</v>
      </c>
      <c r="H262" s="9">
        <f>کاتالوگ_محصولات!J262</f>
        <v>0</v>
      </c>
      <c r="I262" s="9">
        <f>کاتالوگ_محصولات!K262</f>
        <v>9</v>
      </c>
      <c r="J262" s="9" t="str">
        <f>کاتالوگ_محصولات!L262</f>
        <v>🟢 OK</v>
      </c>
    </row>
    <row r="263" spans="1:10" ht="18" customHeight="1">
      <c r="A263" s="9" t="str">
        <f>کاتالوگ_محصولات!A263</f>
        <v>SKU-0260</v>
      </c>
      <c r="B263" s="15" t="str">
        <f>کاتالوگ_محصولات!C263</f>
        <v>شلوار ساتن ابی2</v>
      </c>
      <c r="C263" s="15" t="str">
        <f>کاتالوگ_محصولات!D263</f>
        <v>شلوار</v>
      </c>
      <c r="D263" s="15" t="str">
        <f>کاتالوگ_محصولات!E263</f>
        <v>Satin</v>
      </c>
      <c r="E263" s="16">
        <f>کاتالوگ_محصولات!G263</f>
        <v>0</v>
      </c>
      <c r="F263" s="16">
        <f>کاتالوگ_محصولات!H263</f>
        <v>1540000</v>
      </c>
      <c r="G263" s="9">
        <f>کاتالوگ_محصولات!I263</f>
        <v>9</v>
      </c>
      <c r="H263" s="9">
        <f>کاتالوگ_محصولات!J263</f>
        <v>0</v>
      </c>
      <c r="I263" s="9">
        <f>کاتالوگ_محصولات!K263</f>
        <v>9</v>
      </c>
      <c r="J263" s="9" t="str">
        <f>کاتالوگ_محصولات!L263</f>
        <v>🟢 OK</v>
      </c>
    </row>
    <row r="264" spans="1:10" ht="18" customHeight="1">
      <c r="A264" s="9" t="str">
        <f>کاتالوگ_محصولات!A264</f>
        <v>SKU-0261</v>
      </c>
      <c r="B264" s="15" t="str">
        <f>کاتالوگ_محصولات!C264</f>
        <v>دامن ساتن آبی2</v>
      </c>
      <c r="C264" s="15" t="str">
        <f>کاتالوگ_محصولات!D264</f>
        <v>دامن</v>
      </c>
      <c r="D264" s="15" t="str">
        <f>کاتالوگ_محصولات!E264</f>
        <v>Satin</v>
      </c>
      <c r="E264" s="16">
        <f>کاتالوگ_محصولات!G264</f>
        <v>0</v>
      </c>
      <c r="F264" s="16">
        <f>کاتالوگ_محصولات!H264</f>
        <v>3180000</v>
      </c>
      <c r="G264" s="9">
        <f>کاتالوگ_محصولات!I264</f>
        <v>9</v>
      </c>
      <c r="H264" s="9">
        <f>کاتالوگ_محصولات!J264</f>
        <v>0</v>
      </c>
      <c r="I264" s="9">
        <f>کاتالوگ_محصولات!K264</f>
        <v>9</v>
      </c>
      <c r="J264" s="9" t="str">
        <f>کاتالوگ_محصولات!L264</f>
        <v>🟢 OK</v>
      </c>
    </row>
    <row r="265" spans="1:10" ht="18" customHeight="1">
      <c r="A265" s="9" t="str">
        <f>کاتالوگ_محصولات!A265</f>
        <v>SKU-0262</v>
      </c>
      <c r="B265" s="15" t="str">
        <f>کاتالوگ_محصولات!C265</f>
        <v>دامن ساتن سفید2</v>
      </c>
      <c r="C265" s="15" t="str">
        <f>کاتالوگ_محصولات!D265</f>
        <v>دامن</v>
      </c>
      <c r="D265" s="15" t="str">
        <f>کاتالوگ_محصولات!E265</f>
        <v>Satin</v>
      </c>
      <c r="E265" s="16">
        <f>کاتالوگ_محصولات!G265</f>
        <v>0</v>
      </c>
      <c r="F265" s="16">
        <f>کاتالوگ_محصولات!H265</f>
        <v>3180000</v>
      </c>
      <c r="G265" s="9">
        <f>کاتالوگ_محصولات!I265</f>
        <v>9</v>
      </c>
      <c r="H265" s="9">
        <f>کاتالوگ_محصولات!J265</f>
        <v>0</v>
      </c>
      <c r="I265" s="9">
        <f>کاتالوگ_محصولات!K265</f>
        <v>9</v>
      </c>
      <c r="J265" s="9" t="str">
        <f>کاتالوگ_محصولات!L265</f>
        <v>🟢 OK</v>
      </c>
    </row>
    <row r="266" spans="1:10" ht="18" customHeight="1">
      <c r="A266" s="9" t="str">
        <f>کاتالوگ_محصولات!A266</f>
        <v>SKU-0263</v>
      </c>
      <c r="B266" s="15" t="str">
        <f>کاتالوگ_محصولات!C266</f>
        <v>شومیز ساتن پاریس سفید1</v>
      </c>
      <c r="C266" s="15" t="str">
        <f>کاتالوگ_محصولات!D266</f>
        <v>شومیز</v>
      </c>
      <c r="D266" s="15" t="str">
        <f>کاتالوگ_محصولات!E266</f>
        <v>Satin</v>
      </c>
      <c r="E266" s="16">
        <f>کاتالوگ_محصولات!G266</f>
        <v>0</v>
      </c>
      <c r="F266" s="16">
        <f>کاتالوگ_محصولات!H266</f>
        <v>0</v>
      </c>
      <c r="G266" s="9">
        <f>کاتالوگ_محصولات!I266</f>
        <v>9</v>
      </c>
      <c r="H266" s="9">
        <f>کاتالوگ_محصولات!J266</f>
        <v>0</v>
      </c>
      <c r="I266" s="9">
        <f>کاتالوگ_محصولات!K266</f>
        <v>9</v>
      </c>
      <c r="J266" s="9" t="str">
        <f>کاتالوگ_محصولات!L266</f>
        <v>🟢 OK</v>
      </c>
    </row>
    <row r="267" spans="1:10" ht="18" customHeight="1">
      <c r="A267" s="9" t="str">
        <f>کاتالوگ_محصولات!A267</f>
        <v>SKU-0264</v>
      </c>
      <c r="B267" s="15" t="str">
        <f>کاتالوگ_محصولات!C267</f>
        <v>شومیز ساتن پاریس سفید2</v>
      </c>
      <c r="C267" s="15" t="str">
        <f>کاتالوگ_محصولات!D267</f>
        <v>شومیز</v>
      </c>
      <c r="D267" s="15" t="str">
        <f>کاتالوگ_محصولات!E267</f>
        <v>Satin</v>
      </c>
      <c r="E267" s="16">
        <f>کاتالوگ_محصولات!G267</f>
        <v>0</v>
      </c>
      <c r="F267" s="16">
        <f>کاتالوگ_محصولات!H267</f>
        <v>0</v>
      </c>
      <c r="G267" s="9">
        <f>کاتالوگ_محصولات!I267</f>
        <v>9</v>
      </c>
      <c r="H267" s="9">
        <f>کاتالوگ_محصولات!J267</f>
        <v>0</v>
      </c>
      <c r="I267" s="9">
        <f>کاتالوگ_محصولات!K267</f>
        <v>9</v>
      </c>
      <c r="J267" s="9" t="str">
        <f>کاتالوگ_محصولات!L267</f>
        <v>🟢 OK</v>
      </c>
    </row>
    <row r="268" spans="1:10" ht="18" customHeight="1">
      <c r="A268" s="9" t="str">
        <f>کاتالوگ_محصولات!A268</f>
        <v>SKU-0265</v>
      </c>
      <c r="B268" s="15" t="str">
        <f>کاتالوگ_محصولات!C268</f>
        <v>شومیز ساتن پاریس آبی1</v>
      </c>
      <c r="C268" s="15" t="str">
        <f>کاتالوگ_محصولات!D268</f>
        <v>شومیز</v>
      </c>
      <c r="D268" s="15" t="str">
        <f>کاتالوگ_محصولات!E268</f>
        <v>Satin</v>
      </c>
      <c r="E268" s="16">
        <f>کاتالوگ_محصولات!G268</f>
        <v>0</v>
      </c>
      <c r="F268" s="16">
        <f>کاتالوگ_محصولات!H268</f>
        <v>0</v>
      </c>
      <c r="G268" s="9">
        <f>کاتالوگ_محصولات!I268</f>
        <v>9</v>
      </c>
      <c r="H268" s="9">
        <f>کاتالوگ_محصولات!J268</f>
        <v>0</v>
      </c>
      <c r="I268" s="9">
        <f>کاتالوگ_محصولات!K268</f>
        <v>9</v>
      </c>
      <c r="J268" s="9" t="str">
        <f>کاتالوگ_محصولات!L268</f>
        <v>🟢 OK</v>
      </c>
    </row>
    <row r="269" spans="1:10" ht="18" customHeight="1">
      <c r="A269" s="9" t="str">
        <f>کاتالوگ_محصولات!A269</f>
        <v>SKU-0266</v>
      </c>
      <c r="B269" s="15" t="str">
        <f>کاتالوگ_محصولات!C269</f>
        <v>شومیز ساتن پاریس آبی2</v>
      </c>
      <c r="C269" s="15" t="str">
        <f>کاتالوگ_محصولات!D269</f>
        <v>شومیز</v>
      </c>
      <c r="D269" s="15" t="str">
        <f>کاتالوگ_محصولات!E269</f>
        <v>Satin</v>
      </c>
      <c r="E269" s="16">
        <f>کاتالوگ_محصولات!G269</f>
        <v>0</v>
      </c>
      <c r="F269" s="16">
        <f>کاتالوگ_محصولات!H269</f>
        <v>0</v>
      </c>
      <c r="G269" s="9">
        <f>کاتالوگ_محصولات!I269</f>
        <v>9</v>
      </c>
      <c r="H269" s="9">
        <f>کاتالوگ_محصولات!J269</f>
        <v>0</v>
      </c>
      <c r="I269" s="9">
        <f>کاتالوگ_محصولات!K269</f>
        <v>9</v>
      </c>
      <c r="J269" s="9" t="str">
        <f>کاتالوگ_محصولات!L269</f>
        <v>🟢 OK</v>
      </c>
    </row>
    <row r="270" spans="1:10" ht="18" customHeight="1">
      <c r="A270" s="9" t="str">
        <f>کاتالوگ_محصولات!A270</f>
        <v>SKU-0267</v>
      </c>
      <c r="B270" s="15" t="str">
        <f>کاتالوگ_محصولات!C270</f>
        <v>شومیز ساتن پاریس سرمه ای1</v>
      </c>
      <c r="C270" s="15" t="str">
        <f>کاتالوگ_محصولات!D270</f>
        <v>شومیز</v>
      </c>
      <c r="D270" s="15" t="str">
        <f>کاتالوگ_محصولات!E270</f>
        <v>Satin</v>
      </c>
      <c r="E270" s="16">
        <f>کاتالوگ_محصولات!G270</f>
        <v>0</v>
      </c>
      <c r="F270" s="16">
        <f>کاتالوگ_محصولات!H270</f>
        <v>0</v>
      </c>
      <c r="G270" s="9">
        <f>کاتالوگ_محصولات!I270</f>
        <v>9</v>
      </c>
      <c r="H270" s="9">
        <f>کاتالوگ_محصولات!J270</f>
        <v>0</v>
      </c>
      <c r="I270" s="9">
        <f>کاتالوگ_محصولات!K270</f>
        <v>9</v>
      </c>
      <c r="J270" s="9" t="str">
        <f>کاتالوگ_محصولات!L270</f>
        <v>🟢 OK</v>
      </c>
    </row>
    <row r="271" spans="1:10" ht="18" customHeight="1">
      <c r="A271" s="9" t="str">
        <f>کاتالوگ_محصولات!A271</f>
        <v>SKU-0268</v>
      </c>
      <c r="B271" s="15" t="str">
        <f>کاتالوگ_محصولات!C271</f>
        <v>شومیز ساتن پاریس سرمه ای2</v>
      </c>
      <c r="C271" s="15" t="str">
        <f>کاتالوگ_محصولات!D271</f>
        <v>شومیز</v>
      </c>
      <c r="D271" s="15" t="str">
        <f>کاتالوگ_محصولات!E271</f>
        <v>Satin</v>
      </c>
      <c r="E271" s="16">
        <f>کاتالوگ_محصولات!G271</f>
        <v>0</v>
      </c>
      <c r="F271" s="16">
        <f>کاتالوگ_محصولات!H271</f>
        <v>0</v>
      </c>
      <c r="G271" s="9">
        <f>کاتالوگ_محصولات!I271</f>
        <v>9</v>
      </c>
      <c r="H271" s="9">
        <f>کاتالوگ_محصولات!J271</f>
        <v>0</v>
      </c>
      <c r="I271" s="9">
        <f>کاتالوگ_محصولات!K271</f>
        <v>9</v>
      </c>
      <c r="J271" s="9" t="str">
        <f>کاتالوگ_محصولات!L271</f>
        <v>🟢 OK</v>
      </c>
    </row>
    <row r="272" spans="1:10" ht="18" customHeight="1">
      <c r="A272" s="9" t="str">
        <f>کاتالوگ_محصولات!A272</f>
        <v>SKU-0269</v>
      </c>
      <c r="B272" s="15" t="str">
        <f>کاتالوگ_محصولات!C272</f>
        <v>شومیز آیلا صورتی فری</v>
      </c>
      <c r="C272" s="15" t="str">
        <f>کاتالوگ_محصولات!D272</f>
        <v>شومیز</v>
      </c>
      <c r="D272" s="15" t="str">
        <f>کاتالوگ_محصولات!E272</f>
        <v>Velour</v>
      </c>
      <c r="E272" s="16">
        <f>کاتالوگ_محصولات!G272</f>
        <v>0</v>
      </c>
      <c r="F272" s="16">
        <f>کاتالوگ_محصولات!H272</f>
        <v>1080000</v>
      </c>
      <c r="G272" s="9">
        <f>کاتالوگ_محصولات!I272</f>
        <v>9</v>
      </c>
      <c r="H272" s="9">
        <f>کاتالوگ_محصولات!J272</f>
        <v>0</v>
      </c>
      <c r="I272" s="9">
        <f>کاتالوگ_محصولات!K272</f>
        <v>9</v>
      </c>
      <c r="J272" s="9" t="str">
        <f>کاتالوگ_محصولات!L272</f>
        <v>🟢 OK</v>
      </c>
    </row>
    <row r="273" spans="1:10" ht="18" customHeight="1">
      <c r="A273" s="9" t="str">
        <f>کاتالوگ_محصولات!A273</f>
        <v>SKU-0270</v>
      </c>
      <c r="B273" s="15" t="str">
        <f>کاتالوگ_محصولات!C273</f>
        <v>شومیز حریر سفید 1</v>
      </c>
      <c r="C273" s="15" t="str">
        <f>کاتالوگ_محصولات!D273</f>
        <v>تاپ</v>
      </c>
      <c r="D273" s="15" t="str">
        <f>کاتالوگ_محصولات!E273</f>
        <v>Crepe</v>
      </c>
      <c r="E273" s="16">
        <f>کاتالوگ_محصولات!G273</f>
        <v>0</v>
      </c>
      <c r="F273" s="16">
        <f>کاتالوگ_محصولات!H273</f>
        <v>2580000</v>
      </c>
      <c r="G273" s="9">
        <f>کاتالوگ_محصولات!I273</f>
        <v>9</v>
      </c>
      <c r="H273" s="9">
        <f>کاتالوگ_محصولات!J273</f>
        <v>0</v>
      </c>
      <c r="I273" s="9">
        <f>کاتالوگ_محصولات!K273</f>
        <v>9</v>
      </c>
      <c r="J273" s="9" t="str">
        <f>کاتالوگ_محصولات!L273</f>
        <v>🟢 OK</v>
      </c>
    </row>
    <row r="274" spans="1:10" ht="18" customHeight="1">
      <c r="A274" s="9" t="str">
        <f>کاتالوگ_محصولات!A274</f>
        <v>SKU-0271</v>
      </c>
      <c r="B274" s="15" t="str">
        <f>کاتالوگ_محصولات!C274</f>
        <v>شلوار پلیسه طرحدار</v>
      </c>
      <c r="C274" s="15" t="str">
        <f>کاتالوگ_محصولات!D274</f>
        <v>شلوار</v>
      </c>
      <c r="D274" s="15" t="str">
        <f>کاتالوگ_محصولات!E274</f>
        <v>Satin</v>
      </c>
      <c r="E274" s="16">
        <f>کاتالوگ_محصولات!G274</f>
        <v>0</v>
      </c>
      <c r="F274" s="16">
        <f>کاتالوگ_محصولات!H274</f>
        <v>0</v>
      </c>
      <c r="G274" s="9">
        <f>کاتالوگ_محصولات!I274</f>
        <v>9</v>
      </c>
      <c r="H274" s="9">
        <f>کاتالوگ_محصولات!J274</f>
        <v>0</v>
      </c>
      <c r="I274" s="9">
        <f>کاتالوگ_محصولات!K274</f>
        <v>9</v>
      </c>
      <c r="J274" s="9" t="str">
        <f>کاتالوگ_محصولات!L274</f>
        <v>🟢 OK</v>
      </c>
    </row>
    <row r="275" spans="1:10" ht="18" customHeight="1">
      <c r="A275" s="9" t="str">
        <f>کاتالوگ_محصولات!A275</f>
        <v>SKU-0272</v>
      </c>
      <c r="B275" s="15" t="str">
        <f>کاتالوگ_محصولات!C275</f>
        <v>شومیز ساتن پاریس کرم1</v>
      </c>
      <c r="C275" s="15" t="str">
        <f>کاتالوگ_محصولات!D275</f>
        <v>شومیز</v>
      </c>
      <c r="D275" s="15" t="str">
        <f>کاتالوگ_محصولات!E275</f>
        <v>Satin</v>
      </c>
      <c r="E275" s="16">
        <f>کاتالوگ_محصولات!G275</f>
        <v>0</v>
      </c>
      <c r="F275" s="16">
        <f>کاتالوگ_محصولات!H275</f>
        <v>0</v>
      </c>
      <c r="G275" s="9">
        <f>کاتالوگ_محصولات!I275</f>
        <v>9</v>
      </c>
      <c r="H275" s="9">
        <f>کاتالوگ_محصولات!J275</f>
        <v>0</v>
      </c>
      <c r="I275" s="9">
        <f>کاتالوگ_محصولات!K275</f>
        <v>9</v>
      </c>
      <c r="J275" s="9" t="str">
        <f>کاتالوگ_محصولات!L275</f>
        <v>🟢 OK</v>
      </c>
    </row>
    <row r="276" spans="1:10" ht="18" customHeight="1">
      <c r="A276" s="9" t="str">
        <f>کاتالوگ_محصولات!A276</f>
        <v>SKU-0273</v>
      </c>
      <c r="B276" s="15" t="str">
        <f>کاتالوگ_محصولات!C276</f>
        <v>شومیز ساتن پاریس کرم2</v>
      </c>
      <c r="C276" s="15" t="str">
        <f>کاتالوگ_محصولات!D276</f>
        <v>شومیز</v>
      </c>
      <c r="D276" s="15" t="str">
        <f>کاتالوگ_محصولات!E276</f>
        <v>Satin</v>
      </c>
      <c r="E276" s="16">
        <f>کاتالوگ_محصولات!G276</f>
        <v>0</v>
      </c>
      <c r="F276" s="16">
        <f>کاتالوگ_محصولات!H276</f>
        <v>0</v>
      </c>
      <c r="G276" s="9">
        <f>کاتالوگ_محصولات!I276</f>
        <v>9</v>
      </c>
      <c r="H276" s="9">
        <f>کاتالوگ_محصولات!J276</f>
        <v>0</v>
      </c>
      <c r="I276" s="9">
        <f>کاتالوگ_محصولات!K276</f>
        <v>9</v>
      </c>
      <c r="J276" s="9" t="str">
        <f>کاتالوگ_محصولات!L276</f>
        <v>🟢 OK</v>
      </c>
    </row>
    <row r="277" spans="1:10" ht="18" customHeight="1">
      <c r="A277" s="9" t="str">
        <f>کاتالوگ_محصولات!A277</f>
        <v>SKU-0274</v>
      </c>
      <c r="B277" s="15" t="str">
        <f>کاتالوگ_محصولات!C277</f>
        <v>شلوار پولکی سفید فری</v>
      </c>
      <c r="C277" s="15" t="str">
        <f>کاتالوگ_محصولات!D277</f>
        <v>شومیز</v>
      </c>
      <c r="D277" s="15" t="str">
        <f>کاتالوگ_محصولات!E277</f>
        <v>Linen</v>
      </c>
      <c r="E277" s="16">
        <f>کاتالوگ_محصولات!G277</f>
        <v>0</v>
      </c>
      <c r="F277" s="16">
        <f>کاتالوگ_محصولات!H277</f>
        <v>1320000</v>
      </c>
      <c r="G277" s="9">
        <f>کاتالوگ_محصولات!I277</f>
        <v>9</v>
      </c>
      <c r="H277" s="9">
        <f>کاتالوگ_محصولات!J277</f>
        <v>0</v>
      </c>
      <c r="I277" s="9">
        <f>کاتالوگ_محصولات!K277</f>
        <v>9</v>
      </c>
      <c r="J277" s="9" t="str">
        <f>کاتالوگ_محصولات!L277</f>
        <v>🟢 OK</v>
      </c>
    </row>
    <row r="278" spans="1:10" ht="18" customHeight="1">
      <c r="A278" s="9" t="str">
        <f>کاتالوگ_محصولات!A278</f>
        <v>SKU-0275</v>
      </c>
      <c r="B278" s="15" t="str">
        <f>کاتالوگ_محصولات!C278</f>
        <v>شلوار پولکی کرم فری</v>
      </c>
      <c r="C278" s="15" t="str">
        <f>کاتالوگ_محصولات!D278</f>
        <v>شومیز</v>
      </c>
      <c r="D278" s="15" t="str">
        <f>کاتالوگ_محصولات!E278</f>
        <v>Linen</v>
      </c>
      <c r="E278" s="16">
        <f>کاتالوگ_محصولات!G278</f>
        <v>0</v>
      </c>
      <c r="F278" s="16">
        <f>کاتالوگ_محصولات!H278</f>
        <v>1320000</v>
      </c>
      <c r="G278" s="9">
        <f>کاتالوگ_محصولات!I278</f>
        <v>9</v>
      </c>
      <c r="H278" s="9">
        <f>کاتالوگ_محصولات!J278</f>
        <v>0</v>
      </c>
      <c r="I278" s="9">
        <f>کاتالوگ_محصولات!K278</f>
        <v>9</v>
      </c>
      <c r="J278" s="9" t="str">
        <f>کاتالوگ_محصولات!L278</f>
        <v>🟢 OK</v>
      </c>
    </row>
    <row r="279" spans="1:10" ht="18" customHeight="1">
      <c r="A279" s="9" t="str">
        <f>کاتالوگ_محصولات!A279</f>
        <v>SKU-0276</v>
      </c>
      <c r="B279" s="15" t="str">
        <f>کاتالوگ_محصولات!C279</f>
        <v>شلوار پولکی مشکی فری</v>
      </c>
      <c r="C279" s="15" t="str">
        <f>کاتالوگ_محصولات!D279</f>
        <v>شلوار</v>
      </c>
      <c r="D279" s="15" t="str">
        <f>کاتالوگ_محصولات!E279</f>
        <v>Suede</v>
      </c>
      <c r="E279" s="16">
        <f>کاتالوگ_محصولات!G279</f>
        <v>0</v>
      </c>
      <c r="F279" s="16">
        <f>کاتالوگ_محصولات!H279</f>
        <v>1320000</v>
      </c>
      <c r="G279" s="9">
        <f>کاتالوگ_محصولات!I279</f>
        <v>9</v>
      </c>
      <c r="H279" s="9">
        <f>کاتالوگ_محصولات!J279</f>
        <v>0</v>
      </c>
      <c r="I279" s="9">
        <f>کاتالوگ_محصولات!K279</f>
        <v>9</v>
      </c>
      <c r="J279" s="9" t="str">
        <f>کاتالوگ_محصولات!L279</f>
        <v>🟢 OK</v>
      </c>
    </row>
    <row r="280" spans="1:10" ht="18" customHeight="1">
      <c r="A280" s="9" t="str">
        <f>کاتالوگ_محصولات!A280</f>
        <v>SKU-0277</v>
      </c>
      <c r="B280" s="15" t="str">
        <f>کاتالوگ_محصولات!C280</f>
        <v>کت مشکی دیپلمات سایز 2</v>
      </c>
      <c r="C280" s="15" t="str">
        <f>کاتالوگ_محصولات!D280</f>
        <v>کفش</v>
      </c>
      <c r="D280" s="15" t="str">
        <f>کاتالوگ_محصولات!E280</f>
        <v>Suede</v>
      </c>
      <c r="E280" s="16">
        <f>کاتالوگ_محصولات!G280</f>
        <v>0</v>
      </c>
      <c r="F280" s="16">
        <f>کاتالوگ_محصولات!H280</f>
        <v>2600000</v>
      </c>
      <c r="G280" s="9">
        <f>کاتالوگ_محصولات!I280</f>
        <v>9</v>
      </c>
      <c r="H280" s="9">
        <f>کاتالوگ_محصولات!J280</f>
        <v>0</v>
      </c>
      <c r="I280" s="9">
        <f>کاتالوگ_محصولات!K280</f>
        <v>9</v>
      </c>
      <c r="J280" s="9" t="str">
        <f>کاتالوگ_محصولات!L280</f>
        <v>🟢 OK</v>
      </c>
    </row>
    <row r="281" spans="1:10" ht="18" customHeight="1">
      <c r="A281" s="9" t="str">
        <f>کاتالوگ_محصولات!A281</f>
        <v>SKU-0278</v>
      </c>
      <c r="B281" s="15" t="str">
        <f>کاتالوگ_محصولات!C281</f>
        <v>کیف قهوه ای 4163</v>
      </c>
      <c r="C281" s="15" t="str">
        <f>کاتالوگ_محصولات!D281</f>
        <v>کیف</v>
      </c>
      <c r="D281" s="15" t="str">
        <f>کاتالوگ_محصولات!E281</f>
        <v>Suede</v>
      </c>
      <c r="E281" s="16">
        <f>کاتالوگ_محصولات!G281</f>
        <v>0</v>
      </c>
      <c r="F281" s="16">
        <f>کاتالوگ_محصولات!H281</f>
        <v>1880000</v>
      </c>
      <c r="G281" s="9">
        <f>کاتالوگ_محصولات!I281</f>
        <v>9</v>
      </c>
      <c r="H281" s="9">
        <f>کاتالوگ_محصولات!J281</f>
        <v>0</v>
      </c>
      <c r="I281" s="9">
        <f>کاتالوگ_محصولات!K281</f>
        <v>9</v>
      </c>
      <c r="J281" s="9" t="str">
        <f>کاتالوگ_محصولات!L281</f>
        <v>🟢 OK</v>
      </c>
    </row>
    <row r="282" spans="1:10" ht="18" customHeight="1">
      <c r="A282" s="9" t="str">
        <f>کاتالوگ_محصولات!A282</f>
        <v>SKU-0279</v>
      </c>
      <c r="B282" s="15" t="str">
        <f>کاتالوگ_محصولات!C282</f>
        <v>شلوار بیسیک سفید 1</v>
      </c>
      <c r="C282" s="15" t="str">
        <f>کاتالوگ_محصولات!D282</f>
        <v>کیف</v>
      </c>
      <c r="D282" s="15" t="str">
        <f>کاتالوگ_محصولات!E282</f>
        <v>Suede</v>
      </c>
      <c r="E282" s="16">
        <f>کاتالوگ_محصولات!G282</f>
        <v>0</v>
      </c>
      <c r="F282" s="16">
        <f>کاتالوگ_محصولات!H282</f>
        <v>2380000</v>
      </c>
      <c r="G282" s="9">
        <f>کاتالوگ_محصولات!I282</f>
        <v>9</v>
      </c>
      <c r="H282" s="9">
        <f>کاتالوگ_محصولات!J282</f>
        <v>0</v>
      </c>
      <c r="I282" s="9">
        <f>کاتالوگ_محصولات!K282</f>
        <v>9</v>
      </c>
      <c r="J282" s="9" t="str">
        <f>کاتالوگ_محصولات!L282</f>
        <v>🟢 OK</v>
      </c>
    </row>
    <row r="283" spans="1:10" ht="18" customHeight="1">
      <c r="A283" s="9" t="str">
        <f>کاتالوگ_محصولات!A283</f>
        <v>SKU-0280</v>
      </c>
      <c r="B283" s="15" t="str">
        <f>کاتالوگ_محصولات!C283</f>
        <v>شلوار تافی فری</v>
      </c>
      <c r="C283" s="15" t="str">
        <f>کاتالوگ_محصولات!D283</f>
        <v>کیف</v>
      </c>
      <c r="D283" s="15" t="str">
        <f>کاتالوگ_محصولات!E283</f>
        <v>Suede</v>
      </c>
      <c r="E283" s="16">
        <f>کاتالوگ_محصولات!G283</f>
        <v>0</v>
      </c>
      <c r="F283" s="16">
        <f>کاتالوگ_محصولات!H283</f>
        <v>3580000</v>
      </c>
      <c r="G283" s="9">
        <f>کاتالوگ_محصولات!I283</f>
        <v>9</v>
      </c>
      <c r="H283" s="9">
        <f>کاتالوگ_محصولات!J283</f>
        <v>0</v>
      </c>
      <c r="I283" s="9">
        <f>کاتالوگ_محصولات!K283</f>
        <v>9</v>
      </c>
      <c r="J283" s="9" t="str">
        <f>کاتالوگ_محصولات!L283</f>
        <v>🟢 OK</v>
      </c>
    </row>
    <row r="284" spans="1:10" ht="18" customHeight="1">
      <c r="A284" s="9" t="str">
        <f>کاتالوگ_محصولات!A284</f>
        <v>SKU-0281</v>
      </c>
      <c r="B284" s="15" t="str">
        <f>کاتالوگ_محصولات!C284</f>
        <v>بامبر ژکت سرمه ای</v>
      </c>
      <c r="C284" s="15" t="str">
        <f>کاتالوگ_محصولات!D284</f>
        <v>کفش</v>
      </c>
      <c r="D284" s="15" t="str">
        <f>کاتالوگ_محصولات!E284</f>
        <v>Suede</v>
      </c>
      <c r="E284" s="16">
        <f>کاتالوگ_محصولات!G284</f>
        <v>0</v>
      </c>
      <c r="F284" s="16">
        <f>کاتالوگ_محصولات!H284</f>
        <v>6780000</v>
      </c>
      <c r="G284" s="9">
        <f>کاتالوگ_محصولات!I284</f>
        <v>9</v>
      </c>
      <c r="H284" s="9">
        <f>کاتالوگ_محصولات!J284</f>
        <v>0</v>
      </c>
      <c r="I284" s="9">
        <f>کاتالوگ_محصولات!K284</f>
        <v>9</v>
      </c>
      <c r="J284" s="9" t="str">
        <f>کاتالوگ_محصولات!L284</f>
        <v>🟢 OK</v>
      </c>
    </row>
    <row r="285" spans="1:10" ht="18" customHeight="1">
      <c r="A285" s="9" t="str">
        <f>کاتالوگ_محصولات!A285</f>
        <v>SKU-0282</v>
      </c>
      <c r="B285" s="15" t="str">
        <f>کاتالوگ_محصولات!C285</f>
        <v>کت یقه عروسکی سبز سایز 1</v>
      </c>
      <c r="C285" s="15" t="str">
        <f>کاتالوگ_محصولات!D285</f>
        <v>کفش</v>
      </c>
      <c r="D285" s="15" t="str">
        <f>کاتالوگ_محصولات!E285</f>
        <v>Suede</v>
      </c>
      <c r="E285" s="16">
        <f>کاتالوگ_محصولات!G285</f>
        <v>0</v>
      </c>
      <c r="F285" s="16">
        <f>کاتالوگ_محصولات!H285</f>
        <v>6880000</v>
      </c>
      <c r="G285" s="9">
        <f>کاتالوگ_محصولات!I285</f>
        <v>9</v>
      </c>
      <c r="H285" s="9">
        <f>کاتالوگ_محصولات!J285</f>
        <v>0</v>
      </c>
      <c r="I285" s="9">
        <f>کاتالوگ_محصولات!K285</f>
        <v>9</v>
      </c>
      <c r="J285" s="9" t="str">
        <f>کاتالوگ_محصولات!L285</f>
        <v>🟢 OK</v>
      </c>
    </row>
    <row r="286" spans="1:10" ht="18" customHeight="1">
      <c r="A286" s="9" t="str">
        <f>کاتالوگ_محصولات!A286</f>
        <v>SKU-0283</v>
      </c>
      <c r="B286" s="15" t="str">
        <f>کاتالوگ_محصولات!C286</f>
        <v>شلوار حریر سفید دمپا چاک</v>
      </c>
      <c r="C286" s="15" t="str">
        <f>کاتالوگ_محصولات!D286</f>
        <v>کفش</v>
      </c>
      <c r="D286" s="15" t="str">
        <f>کاتالوگ_محصولات!E286</f>
        <v>Suede</v>
      </c>
      <c r="E286" s="16">
        <f>کاتالوگ_محصولات!G286</f>
        <v>0</v>
      </c>
      <c r="F286" s="16">
        <f>کاتالوگ_محصولات!H286</f>
        <v>1170000</v>
      </c>
      <c r="G286" s="9">
        <f>کاتالوگ_محصولات!I286</f>
        <v>9</v>
      </c>
      <c r="H286" s="9">
        <f>کاتالوگ_محصولات!J286</f>
        <v>0</v>
      </c>
      <c r="I286" s="9">
        <f>کاتالوگ_محصولات!K286</f>
        <v>9</v>
      </c>
      <c r="J286" s="9" t="str">
        <f>کاتالوگ_محصولات!L286</f>
        <v>🟢 OK</v>
      </c>
    </row>
    <row r="287" spans="1:10" ht="18" customHeight="1">
      <c r="A287" s="9" t="str">
        <f>کاتالوگ_محصولات!A287</f>
        <v>SKU-0284</v>
      </c>
      <c r="B287" s="15" t="str">
        <f>کاتالوگ_محصولات!C287</f>
        <v>کت شنل</v>
      </c>
      <c r="C287" s="15" t="str">
        <f>کاتالوگ_محصولات!D287</f>
        <v>شلوار</v>
      </c>
      <c r="D287" s="15" t="str">
        <f>کاتالوگ_محصولات!E287</f>
        <v>Suede</v>
      </c>
      <c r="E287" s="16">
        <f>کاتالوگ_محصولات!G287</f>
        <v>0</v>
      </c>
      <c r="F287" s="16">
        <f>کاتالوگ_محصولات!H287</f>
        <v>4250000</v>
      </c>
      <c r="G287" s="9">
        <f>کاتالوگ_محصولات!I287</f>
        <v>9</v>
      </c>
      <c r="H287" s="9">
        <f>کاتالوگ_محصولات!J287</f>
        <v>0</v>
      </c>
      <c r="I287" s="9">
        <f>کاتالوگ_محصولات!K287</f>
        <v>9</v>
      </c>
      <c r="J287" s="9" t="str">
        <f>کاتالوگ_محصولات!L287</f>
        <v>🟢 OK</v>
      </c>
    </row>
    <row r="288" spans="1:10" ht="18" customHeight="1">
      <c r="A288" s="9" t="str">
        <f>کاتالوگ_محصولات!A288</f>
        <v>SKU-0285</v>
      </c>
      <c r="B288" s="15" t="str">
        <f>کاتالوگ_محصولات!C288</f>
        <v>کت دیپلمات سرمه ای سایز 2</v>
      </c>
      <c r="C288" s="15" t="str">
        <f>کاتالوگ_محصولات!D288</f>
        <v>کت</v>
      </c>
      <c r="D288" s="15" t="str">
        <f>کاتالوگ_محصولات!E288</f>
        <v>Suede</v>
      </c>
      <c r="E288" s="16">
        <f>کاتالوگ_محصولات!G288</f>
        <v>0</v>
      </c>
      <c r="F288" s="16">
        <f>کاتالوگ_محصولات!H288</f>
        <v>2580000</v>
      </c>
      <c r="G288" s="9">
        <f>کاتالوگ_محصولات!I288</f>
        <v>9</v>
      </c>
      <c r="H288" s="9">
        <f>کاتالوگ_محصولات!J288</f>
        <v>0</v>
      </c>
      <c r="I288" s="9">
        <f>کاتالوگ_محصولات!K288</f>
        <v>9</v>
      </c>
      <c r="J288" s="9" t="str">
        <f>کاتالوگ_محصولات!L288</f>
        <v>🟢 OK</v>
      </c>
    </row>
    <row r="289" spans="1:10" ht="18" customHeight="1">
      <c r="A289" s="9" t="str">
        <f>کاتالوگ_محصولات!A289</f>
        <v>SKU-0286</v>
      </c>
      <c r="B289" s="15" t="str">
        <f>کاتالوگ_محصولات!C289</f>
        <v xml:space="preserve">کیف 2669 نسکافه ای </v>
      </c>
      <c r="C289" s="15" t="str">
        <f>کاتالوگ_محصولات!D289</f>
        <v>کفش</v>
      </c>
      <c r="D289" s="15" t="str">
        <f>کاتالوگ_محصولات!E289</f>
        <v>Suede</v>
      </c>
      <c r="E289" s="16">
        <f>کاتالوگ_محصولات!G289</f>
        <v>0</v>
      </c>
      <c r="F289" s="16">
        <f>کاتالوگ_محصولات!H289</f>
        <v>2700000</v>
      </c>
      <c r="G289" s="9">
        <f>کاتالوگ_محصولات!I289</f>
        <v>9</v>
      </c>
      <c r="H289" s="9">
        <f>کاتالوگ_محصولات!J289</f>
        <v>0</v>
      </c>
      <c r="I289" s="9">
        <f>کاتالوگ_محصولات!K289</f>
        <v>9</v>
      </c>
      <c r="J289" s="9" t="str">
        <f>کاتالوگ_محصولات!L289</f>
        <v>🟢 OK</v>
      </c>
    </row>
    <row r="290" spans="1:10" ht="18" customHeight="1">
      <c r="A290" s="9" t="str">
        <f>کاتالوگ_محصولات!A290</f>
        <v>SKU-0287</v>
      </c>
      <c r="B290" s="15" t="str">
        <f>کاتالوگ_محصولات!C290</f>
        <v xml:space="preserve">شومیز ساتن بسیک کرمه </v>
      </c>
      <c r="C290" s="15" t="str">
        <f>کاتالوگ_محصولات!D290</f>
        <v>کفش</v>
      </c>
      <c r="D290" s="15" t="str">
        <f>کاتالوگ_محصولات!E290</f>
        <v>Suede</v>
      </c>
      <c r="E290" s="16">
        <f>کاتالوگ_محصولات!G290</f>
        <v>0</v>
      </c>
      <c r="F290" s="16">
        <f>کاتالوگ_محصولات!H290</f>
        <v>2380000</v>
      </c>
      <c r="G290" s="9">
        <f>کاتالوگ_محصولات!I290</f>
        <v>9</v>
      </c>
      <c r="H290" s="9">
        <f>کاتالوگ_محصولات!J290</f>
        <v>0</v>
      </c>
      <c r="I290" s="9">
        <f>کاتالوگ_محصولات!K290</f>
        <v>9</v>
      </c>
      <c r="J290" s="9" t="str">
        <f>کاتالوگ_محصولات!L290</f>
        <v>🟢 OK</v>
      </c>
    </row>
    <row r="291" spans="1:10" ht="18" customHeight="1">
      <c r="A291" s="9" t="str">
        <f>کاتالوگ_محصولات!A291</f>
        <v>SKU-0288</v>
      </c>
      <c r="B291" s="15" t="str">
        <f>کاتالوگ_محصولات!C291</f>
        <v xml:space="preserve">کیف 4148 رنگ مشکی  </v>
      </c>
      <c r="C291" s="15" t="str">
        <f>کاتالوگ_محصولات!D291</f>
        <v>کفش</v>
      </c>
      <c r="D291" s="15" t="str">
        <f>کاتالوگ_محصولات!E291</f>
        <v>Suede</v>
      </c>
      <c r="E291" s="16">
        <f>کاتالوگ_محصولات!G291</f>
        <v>0</v>
      </c>
      <c r="F291" s="16">
        <f>کاتالوگ_محصولات!H291</f>
        <v>2880000</v>
      </c>
      <c r="G291" s="9">
        <f>کاتالوگ_محصولات!I291</f>
        <v>9</v>
      </c>
      <c r="H291" s="9">
        <f>کاتالوگ_محصولات!J291</f>
        <v>0</v>
      </c>
      <c r="I291" s="9">
        <f>کاتالوگ_محصولات!K291</f>
        <v>9</v>
      </c>
      <c r="J291" s="9" t="str">
        <f>کاتالوگ_محصولات!L291</f>
        <v>🟢 OK</v>
      </c>
    </row>
    <row r="292" spans="1:10" ht="18" customHeight="1">
      <c r="A292" s="9" t="str">
        <f>کاتالوگ_محصولات!A292</f>
        <v>SKU-0289</v>
      </c>
      <c r="B292" s="15" t="str">
        <f>کاتالوگ_محصولات!C292</f>
        <v xml:space="preserve">توت بگ سرمه ای </v>
      </c>
      <c r="C292" s="15" t="str">
        <f>کاتالوگ_محصولات!D292</f>
        <v>کفش</v>
      </c>
      <c r="D292" s="15" t="str">
        <f>کاتالوگ_محصولات!E292</f>
        <v>Suede</v>
      </c>
      <c r="E292" s="16">
        <f>کاتالوگ_محصولات!G292</f>
        <v>0</v>
      </c>
      <c r="F292" s="16">
        <f>کاتالوگ_محصولات!H292</f>
        <v>2980000</v>
      </c>
      <c r="G292" s="9">
        <f>کاتالوگ_محصولات!I292</f>
        <v>9</v>
      </c>
      <c r="H292" s="9">
        <f>کاتالوگ_محصولات!J292</f>
        <v>0</v>
      </c>
      <c r="I292" s="9">
        <f>کاتالوگ_محصولات!K292</f>
        <v>9</v>
      </c>
      <c r="J292" s="9" t="str">
        <f>کاتالوگ_محصولات!L292</f>
        <v>🟢 OK</v>
      </c>
    </row>
    <row r="293" spans="1:10" ht="18" customHeight="1">
      <c r="A293" s="9" t="str">
        <f>کاتالوگ_محصولات!A293</f>
        <v>SKU-0290</v>
      </c>
      <c r="B293" s="15" t="str">
        <f>کاتالوگ_محصولات!C293</f>
        <v xml:space="preserve">بامبر سدری </v>
      </c>
      <c r="C293" s="15" t="str">
        <f>کاتالوگ_محصولات!D293</f>
        <v>کیف</v>
      </c>
      <c r="D293" s="15" t="str">
        <f>کاتالوگ_محصولات!E293</f>
        <v>Suede</v>
      </c>
      <c r="E293" s="16">
        <f>کاتالوگ_محصولات!G293</f>
        <v>0</v>
      </c>
      <c r="F293" s="16">
        <f>کاتالوگ_محصولات!H293</f>
        <v>6780000</v>
      </c>
      <c r="G293" s="9">
        <f>کاتالوگ_محصولات!I293</f>
        <v>9</v>
      </c>
      <c r="H293" s="9">
        <f>کاتالوگ_محصولات!J293</f>
        <v>0</v>
      </c>
      <c r="I293" s="9">
        <f>کاتالوگ_محصولات!K293</f>
        <v>9</v>
      </c>
      <c r="J293" s="9" t="str">
        <f>کاتالوگ_محصولات!L293</f>
        <v>🟢 OK</v>
      </c>
    </row>
    <row r="294" spans="1:10" ht="18" customHeight="1">
      <c r="A294" s="9" t="str">
        <f>کاتالوگ_محصولات!A294</f>
        <v>SKU-0291</v>
      </c>
      <c r="B294" s="15" t="str">
        <f>کاتالوگ_محصولات!C294</f>
        <v>دامن ساتن قرمز1</v>
      </c>
      <c r="C294" s="15" t="str">
        <f>کاتالوگ_محصولات!D294</f>
        <v>کفش</v>
      </c>
      <c r="D294" s="15" t="str">
        <f>کاتالوگ_محصولات!E294</f>
        <v>Suede</v>
      </c>
      <c r="E294" s="16">
        <f>کاتالوگ_محصولات!G294</f>
        <v>0</v>
      </c>
      <c r="F294" s="16">
        <f>کاتالوگ_محصولات!H294</f>
        <v>3180000</v>
      </c>
      <c r="G294" s="9">
        <f>کاتالوگ_محصولات!I294</f>
        <v>9</v>
      </c>
      <c r="H294" s="9">
        <f>کاتالوگ_محصولات!J294</f>
        <v>0</v>
      </c>
      <c r="I294" s="9">
        <f>کاتالوگ_محصولات!K294</f>
        <v>9</v>
      </c>
      <c r="J294" s="9" t="str">
        <f>کاتالوگ_محصولات!L294</f>
        <v>🟢 OK</v>
      </c>
    </row>
    <row r="295" spans="1:10" ht="18" customHeight="1">
      <c r="A295" s="9" t="str">
        <f>کاتالوگ_محصولات!A295</f>
        <v>SKU-0292</v>
      </c>
      <c r="B295" s="15" t="str">
        <f>کاتالوگ_محصولات!C295</f>
        <v>دامن ساتن قرمز2</v>
      </c>
      <c r="C295" s="15" t="str">
        <f>کاتالوگ_محصولات!D295</f>
        <v>کفش</v>
      </c>
      <c r="D295" s="15" t="str">
        <f>کاتالوگ_محصولات!E295</f>
        <v>Suede</v>
      </c>
      <c r="E295" s="16">
        <f>کاتالوگ_محصولات!G295</f>
        <v>0</v>
      </c>
      <c r="F295" s="16">
        <f>کاتالوگ_محصولات!H295</f>
        <v>3180000</v>
      </c>
      <c r="G295" s="9">
        <f>کاتالوگ_محصولات!I295</f>
        <v>9</v>
      </c>
      <c r="H295" s="9">
        <f>کاتالوگ_محصولات!J295</f>
        <v>0</v>
      </c>
      <c r="I295" s="9">
        <f>کاتالوگ_محصولات!K295</f>
        <v>9</v>
      </c>
      <c r="J295" s="9" t="str">
        <f>کاتالوگ_محصولات!L295</f>
        <v>🟢 OK</v>
      </c>
    </row>
    <row r="296" spans="1:10" ht="18" customHeight="1">
      <c r="A296" s="9" t="str">
        <f>کاتالوگ_محصولات!A296</f>
        <v>SKU-0293</v>
      </c>
      <c r="B296" s="15" t="str">
        <f>کاتالوگ_محصولات!C296</f>
        <v>شومیز مانلی قرمز 1</v>
      </c>
      <c r="C296" s="15" t="str">
        <f>کاتالوگ_محصولات!D296</f>
        <v>کفش</v>
      </c>
      <c r="D296" s="15" t="str">
        <f>کاتالوگ_محصولات!E296</f>
        <v>Suede</v>
      </c>
      <c r="E296" s="16">
        <f>کاتالوگ_محصولات!G296</f>
        <v>0</v>
      </c>
      <c r="F296" s="16">
        <f>کاتالوگ_محصولات!H296</f>
        <v>3450000</v>
      </c>
      <c r="G296" s="9">
        <f>کاتالوگ_محصولات!I296</f>
        <v>9</v>
      </c>
      <c r="H296" s="9">
        <f>کاتالوگ_محصولات!J296</f>
        <v>0</v>
      </c>
      <c r="I296" s="9">
        <f>کاتالوگ_محصولات!K296</f>
        <v>9</v>
      </c>
      <c r="J296" s="9" t="str">
        <f>کاتالوگ_محصولات!L296</f>
        <v>🟢 OK</v>
      </c>
    </row>
    <row r="297" spans="1:10" ht="18" customHeight="1">
      <c r="A297" s="9" t="str">
        <f>کاتالوگ_محصولات!A297</f>
        <v>SKU-0294</v>
      </c>
      <c r="B297" s="15" t="str">
        <f>کاتالوگ_محصولات!C297</f>
        <v>بامبر دانتل ابی 2</v>
      </c>
      <c r="C297" s="15" t="str">
        <f>کاتالوگ_محصولات!D297</f>
        <v>صندل</v>
      </c>
      <c r="D297" s="15" t="str">
        <f>کاتالوگ_محصولات!E297</f>
        <v>Suede</v>
      </c>
      <c r="E297" s="16">
        <f>کاتالوگ_محصولات!G297</f>
        <v>0</v>
      </c>
      <c r="F297" s="16">
        <f>کاتالوگ_محصولات!H297</f>
        <v>4180000</v>
      </c>
      <c r="G297" s="9">
        <f>کاتالوگ_محصولات!I297</f>
        <v>9</v>
      </c>
      <c r="H297" s="9">
        <f>کاتالوگ_محصولات!J297</f>
        <v>0</v>
      </c>
      <c r="I297" s="9">
        <f>کاتالوگ_محصولات!K297</f>
        <v>9</v>
      </c>
      <c r="J297" s="9" t="str">
        <f>کاتالوگ_محصولات!L297</f>
        <v>🟢 OK</v>
      </c>
    </row>
    <row r="298" spans="1:10" ht="18" customHeight="1">
      <c r="A298" s="9" t="str">
        <f>کاتالوگ_محصولات!A298</f>
        <v>SKU-0295</v>
      </c>
      <c r="B298" s="15" t="str">
        <f>کاتالوگ_محصولات!C298</f>
        <v>پولو شرت</v>
      </c>
      <c r="C298" s="15" t="str">
        <f>کاتالوگ_محصولات!D298</f>
        <v>بافت</v>
      </c>
      <c r="D298" s="15" t="str">
        <f>کاتالوگ_محصولات!E298</f>
        <v>Suede</v>
      </c>
      <c r="E298" s="16">
        <f>کاتالوگ_محصولات!G298</f>
        <v>0</v>
      </c>
      <c r="F298" s="16">
        <f>کاتالوگ_محصولات!H298</f>
        <v>1580000</v>
      </c>
      <c r="G298" s="9">
        <f>کاتالوگ_محصولات!I298</f>
        <v>9</v>
      </c>
      <c r="H298" s="9">
        <f>کاتالوگ_محصولات!J298</f>
        <v>0</v>
      </c>
      <c r="I298" s="9">
        <f>کاتالوگ_محصولات!K298</f>
        <v>9</v>
      </c>
      <c r="J298" s="9" t="str">
        <f>کاتالوگ_محصولات!L298</f>
        <v>🟢 OK</v>
      </c>
    </row>
    <row r="299" spans="1:10" ht="18" customHeight="1">
      <c r="A299" s="9" t="str">
        <f>کاتالوگ_محصولات!A299</f>
        <v>SKU-0296</v>
      </c>
      <c r="B299" s="15" t="str">
        <f>کاتالوگ_محصولات!C299</f>
        <v>کت ژاکارد صورتی 1</v>
      </c>
      <c r="C299" s="15" t="str">
        <f>کاتالوگ_محصولات!D299</f>
        <v>کت</v>
      </c>
      <c r="D299" s="15" t="str">
        <f>کاتالوگ_محصولات!E299</f>
        <v>Suede</v>
      </c>
      <c r="E299" s="16">
        <f>کاتالوگ_محصولات!G299</f>
        <v>0</v>
      </c>
      <c r="F299" s="16">
        <f>کاتالوگ_محصولات!H299</f>
        <v>3850000</v>
      </c>
      <c r="G299" s="9">
        <f>کاتالوگ_محصولات!I299</f>
        <v>9</v>
      </c>
      <c r="H299" s="9">
        <f>کاتالوگ_محصولات!J299</f>
        <v>0</v>
      </c>
      <c r="I299" s="9">
        <f>کاتالوگ_محصولات!K299</f>
        <v>9</v>
      </c>
      <c r="J299" s="9" t="str">
        <f>کاتالوگ_محصولات!L299</f>
        <v>🟢 OK</v>
      </c>
    </row>
    <row r="300" spans="1:10" ht="18" customHeight="1">
      <c r="A300" s="9" t="str">
        <f>کاتالوگ_محصولات!A300</f>
        <v>SKU-0297</v>
      </c>
      <c r="B300" s="15" t="str">
        <f>کاتالوگ_محصولات!C300</f>
        <v>بافت قهوه ای</v>
      </c>
      <c r="C300" s="15">
        <f>کاتالوگ_محصولات!D300</f>
        <v>0</v>
      </c>
      <c r="D300" s="15" t="str">
        <f>کاتالوگ_محصولات!E300</f>
        <v>Suede</v>
      </c>
      <c r="E300" s="16">
        <f>کاتالوگ_محصولات!G300</f>
        <v>0</v>
      </c>
      <c r="F300" s="16">
        <f>کاتالوگ_محصولات!H300</f>
        <v>2580000</v>
      </c>
      <c r="G300" s="9">
        <f>کاتالوگ_محصولات!I300</f>
        <v>9</v>
      </c>
      <c r="H300" s="9">
        <f>کاتالوگ_محصولات!J300</f>
        <v>0</v>
      </c>
      <c r="I300" s="9">
        <f>کاتالوگ_محصولات!K300</f>
        <v>9</v>
      </c>
      <c r="J300" s="9" t="str">
        <f>کاتالوگ_محصولات!L300</f>
        <v>🟢 OK</v>
      </c>
    </row>
    <row r="301" spans="1:10" ht="18" customHeight="1">
      <c r="A301" s="9" t="str">
        <f>کاتالوگ_محصولات!A301</f>
        <v>SKU-0298</v>
      </c>
      <c r="B301" s="15" t="str">
        <f>کاتالوگ_محصولات!C301</f>
        <v>شومیز بیسکوییتی 1</v>
      </c>
      <c r="C301" s="15">
        <f>کاتالوگ_محصولات!D301</f>
        <v>0</v>
      </c>
      <c r="D301" s="15" t="str">
        <f>کاتالوگ_محصولات!E301</f>
        <v>Suede</v>
      </c>
      <c r="E301" s="16">
        <f>کاتالوگ_محصولات!G301</f>
        <v>0</v>
      </c>
      <c r="F301" s="16">
        <f>کاتالوگ_محصولات!H301</f>
        <v>2800000</v>
      </c>
      <c r="G301" s="9">
        <f>کاتالوگ_محصولات!I301</f>
        <v>9</v>
      </c>
      <c r="H301" s="9">
        <f>کاتالوگ_محصولات!J301</f>
        <v>0</v>
      </c>
      <c r="I301" s="9">
        <f>کاتالوگ_محصولات!K301</f>
        <v>9</v>
      </c>
      <c r="J301" s="9" t="str">
        <f>کاتالوگ_محصولات!L301</f>
        <v>🟢 OK</v>
      </c>
    </row>
    <row r="302" spans="1:10" ht="18" customHeight="1">
      <c r="A302" s="9" t="str">
        <f>کاتالوگ_محصولات!A302</f>
        <v>SKU-0299</v>
      </c>
      <c r="B302" s="15" t="str">
        <f>کاتالوگ_محصولات!C302</f>
        <v>کت سوفی طوسی</v>
      </c>
      <c r="C302" s="15" t="str">
        <f>کاتالوگ_محصولات!D302</f>
        <v>تریکو</v>
      </c>
      <c r="D302" s="15" t="str">
        <f>کاتالوگ_محصولات!E302</f>
        <v>Suede</v>
      </c>
      <c r="E302" s="16">
        <f>کاتالوگ_محصولات!G302</f>
        <v>0</v>
      </c>
      <c r="F302" s="16">
        <f>کاتالوگ_محصولات!H302</f>
        <v>3200000</v>
      </c>
      <c r="G302" s="9">
        <f>کاتالوگ_محصولات!I302</f>
        <v>9</v>
      </c>
      <c r="H302" s="9">
        <f>کاتالوگ_محصولات!J302</f>
        <v>0</v>
      </c>
      <c r="I302" s="9">
        <f>کاتالوگ_محصولات!K302</f>
        <v>9</v>
      </c>
      <c r="J302" s="9" t="str">
        <f>کاتالوگ_محصولات!L302</f>
        <v>🟢 OK</v>
      </c>
    </row>
    <row r="303" spans="1:10" ht="18" customHeight="1">
      <c r="A303" s="9" t="str">
        <f>کاتالوگ_محصولات!A303</f>
        <v>SKU-0300</v>
      </c>
      <c r="B303" s="15" t="str">
        <f>کاتالوگ_محصولات!C303</f>
        <v>پولو شرت</v>
      </c>
      <c r="C303" s="15">
        <f>کاتالوگ_محصولات!D303</f>
        <v>0</v>
      </c>
      <c r="D303" s="15">
        <f>کاتالوگ_محصولات!E303</f>
        <v>0</v>
      </c>
      <c r="E303" s="16">
        <f>کاتالوگ_محصولات!G303</f>
        <v>0</v>
      </c>
      <c r="F303" s="16">
        <f>کاتالوگ_محصولات!H303</f>
        <v>1580000</v>
      </c>
      <c r="G303" s="9">
        <f>کاتالوگ_محصولات!I303</f>
        <v>9</v>
      </c>
      <c r="H303" s="9">
        <f>کاتالوگ_محصولات!J303</f>
        <v>0</v>
      </c>
      <c r="I303" s="9">
        <f>کاتالوگ_محصولات!K303</f>
        <v>9</v>
      </c>
      <c r="J303" s="9" t="str">
        <f>کاتالوگ_محصولات!L303</f>
        <v>🟢 OK</v>
      </c>
    </row>
    <row r="304" spans="1:10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D4AF37"/>
  </sheetPr>
  <dimension ref="A1:L19"/>
  <sheetViews>
    <sheetView rightToLeft="1" topLeftCell="A2" zoomScaleNormal="100" workbookViewId="0">
      <selection activeCell="E19" sqref="E19"/>
    </sheetView>
  </sheetViews>
  <sheetFormatPr defaultColWidth="8.7109375" defaultRowHeight="15"/>
  <cols>
    <col min="1" max="12" width="22.7109375" customWidth="1"/>
  </cols>
  <sheetData>
    <row r="1" spans="1:12" ht="15" hidden="1" customHeight="1"/>
    <row r="2" spans="1:12" s="44" customFormat="1" ht="54.95" customHeight="1">
      <c r="A2" s="328" t="s">
        <v>779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</row>
    <row r="3" spans="1:12" ht="36" customHeight="1">
      <c r="A3" s="324" t="s">
        <v>177</v>
      </c>
      <c r="B3" s="325"/>
      <c r="C3" s="326"/>
      <c r="D3" s="324" t="s">
        <v>178</v>
      </c>
      <c r="E3" s="325"/>
      <c r="F3" s="326"/>
      <c r="G3" s="324" t="s">
        <v>179</v>
      </c>
      <c r="H3" s="325"/>
      <c r="I3" s="326"/>
      <c r="J3" s="324" t="s">
        <v>180</v>
      </c>
      <c r="K3" s="325"/>
      <c r="L3" s="326"/>
    </row>
    <row r="4" spans="1:12" ht="36" customHeight="1">
      <c r="A4" s="327">
        <f>IFERROR(SUM(لاگ_فاکتور!O3:O1622),0)</f>
        <v>397705000</v>
      </c>
      <c r="B4" s="325"/>
      <c r="C4" s="326"/>
      <c r="D4" s="327">
        <f>IFERROR(SUM(لاگ_فاکتور!V3:V1622),0)</f>
        <v>79</v>
      </c>
      <c r="E4" s="325"/>
      <c r="F4" s="326"/>
      <c r="G4" s="327">
        <f>IFERROR(SUM(لاگ_فاکتور!N3:N1622),0)</f>
        <v>7572000</v>
      </c>
      <c r="H4" s="325"/>
      <c r="I4" s="326"/>
      <c r="J4" s="327">
        <f>IFERROR(SUM(لاگ_فاکتور!AD3:AD1622),0)</f>
        <v>397705000</v>
      </c>
      <c r="K4" s="325"/>
      <c r="L4" s="326"/>
    </row>
    <row r="5" spans="1:12" ht="36" customHeight="1">
      <c r="A5" s="323" t="s">
        <v>181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</row>
    <row r="6" spans="1:12" ht="36" customHeight="1">
      <c r="A6" s="2" t="s">
        <v>182</v>
      </c>
      <c r="B6" s="3" t="s">
        <v>183</v>
      </c>
      <c r="C6" s="3" t="s">
        <v>18</v>
      </c>
      <c r="D6" s="2" t="s">
        <v>184</v>
      </c>
      <c r="E6" s="3" t="s">
        <v>185</v>
      </c>
      <c r="F6" s="2" t="s">
        <v>186</v>
      </c>
      <c r="G6" s="3" t="s">
        <v>187</v>
      </c>
      <c r="H6" s="3" t="s">
        <v>188</v>
      </c>
      <c r="I6" s="2" t="s">
        <v>189</v>
      </c>
      <c r="J6" s="3" t="s">
        <v>190</v>
      </c>
      <c r="K6" s="2" t="s">
        <v>191</v>
      </c>
      <c r="L6" s="3" t="s">
        <v>13</v>
      </c>
    </row>
    <row r="7" spans="1:12" ht="36" customHeight="1">
      <c r="A7" s="19" t="s">
        <v>192</v>
      </c>
      <c r="B7" s="4">
        <f>IFERROR(SUMPRODUCT((LEFT(لاگ_فاکتور!$B$3:$B$1622,4)=TEXT(تنظیمات_سیستم!$C$13,"0"))*(MID(لاگ_فاکتور!$B$3:$B$1622,6,2)=TEXT(1,"00")),لاگ_فاکتور!$W$3:$W$1622),0)</f>
        <v>0</v>
      </c>
      <c r="C7" s="4">
        <f>IFERROR(SUMPRODUCT((LEFT(لاگ_فاکتور!$B$3:$B$1622,4)=TEXT(تنظیمات_سیستم!$C$13,"0"))*(MID(لاگ_فاکتور!$B$3:$B$1622,6,2)=TEXT(1,"00")),لاگ_فاکتور!$N$3:$N$1622),0)</f>
        <v>0</v>
      </c>
      <c r="D7" s="5">
        <f>IFERROR(SUMPRODUCT((LEFT(لاگ_فاکتور!$B$3:$B$1622,4)=TEXT(تنظیمات_سیستم!$C$13,"0"))*(MID(لاگ_فاکتور!$B$3:$B$1622,6,2)=TEXT(1,"00")),لاگ_فاکتور!$O$3:$O$1622),0)</f>
        <v>0</v>
      </c>
      <c r="E7" s="9">
        <f>IFERROR(SUMPRODUCT((LEFT(لاگ_فاکتور!$B$3:$B$1622,4)=TEXT(تنظیمات_سیستم!$C$13,"0"))*(MID(لاگ_فاکتور!$B$3:$B$1622,6,2)=TEXT(1,"00")),لاگ_فاکتور!$V$3:$V$1622),0)</f>
        <v>0</v>
      </c>
      <c r="F7" s="16">
        <f t="shared" ref="F7:F18" si="0">IFERROR(D7/E7,0)</f>
        <v>0</v>
      </c>
      <c r="G7" s="7">
        <f>تنظیمات_سیستم!$C$4</f>
        <v>900000000</v>
      </c>
      <c r="H7" s="13">
        <f>IFERROR(D13/G13,0)</f>
        <v>0.44189444444444442</v>
      </c>
      <c r="I7" s="7">
        <f>IFERROR(SUMIFS(اطلاعات_پرسنل!$H$4:$H$59,اطلاعات_پرسنل!$J$4:$J$59,"فعال"),0)</f>
        <v>44500000</v>
      </c>
      <c r="J7" s="20">
        <f>IFERROR(SUMPRODUCT((LEFT(لاگ_فاکتور!$B$3:$B$1622,4)=TEXT(تنظیمات_سیستم!$C$13,"0"))*(MID(لاگ_فاکتور!$B$3:$B$1622,6,2)=TEXT(1,"00")),لاگ_فاکتور!$AD$3:$AD$1622)-I7,0)</f>
        <v>-44500000</v>
      </c>
    </row>
    <row r="8" spans="1:12" ht="36" customHeight="1">
      <c r="A8" s="19" t="s">
        <v>193</v>
      </c>
      <c r="B8" s="4">
        <f>IFERROR(SUMPRODUCT((LEFT(لاگ_فاکتور!$B$3:$B$1622,4)=TEXT(تنظیمات_سیستم!$C$13,"0"))*(MID(لاگ_فاکتور!$B$3:$B$1622,6,2)=TEXT(2,"00")),لاگ_فاکتور!$W$3:$W$1622),0)</f>
        <v>0</v>
      </c>
      <c r="C8" s="4">
        <f>IFERROR(SUMPRODUCT((LEFT(لاگ_فاکتور!$B$3:$B$1622,4)=TEXT(تنظیمات_سیستم!$C$13,"0"))*(MID(لاگ_فاکتور!$B$3:$B$1622,6,2)=TEXT(2,"00")),لاگ_فاکتور!$N$3:$N$1622),0)</f>
        <v>0</v>
      </c>
      <c r="D8" s="5">
        <f>IFERROR(SUMPRODUCT((LEFT(لاگ_فاکتور!$B$3:$B$1622,4)=TEXT(تنظیمات_سیستم!$C$13,"0"))*(MID(لاگ_فاکتور!$B$3:$B$1622,6,2)=TEXT(2,"00")),لاگ_فاکتور!$O$3:$O$1622),0)</f>
        <v>0</v>
      </c>
      <c r="E8" s="9">
        <f>IFERROR(SUMPRODUCT((LEFT(لاگ_فاکتور!$B$3:$B$1622,4)=TEXT(تنظیمات_سیستم!$C$13,"0"))*(MID(لاگ_فاکتور!$B$3:$B$1622,6,2)=TEXT(2,"00")),لاگ_فاکتور!$V$3:$V$1622),0)</f>
        <v>0</v>
      </c>
      <c r="F8" s="18">
        <f t="shared" si="0"/>
        <v>0</v>
      </c>
      <c r="G8" s="7">
        <f>تنظیمات_سیستم!$C$4</f>
        <v>900000000</v>
      </c>
      <c r="H8" s="13" cm="1">
        <f t="array" ref="H8">IFERROR(D8/H13G8,0)</f>
        <v>0</v>
      </c>
      <c r="I8" s="7">
        <f>IFERROR(SUMIFS(اطلاعات_پرسنل!$H$4:$H$59,اطلاعات_پرسنل!$J$4:$J$59,"فعال"),0)</f>
        <v>44500000</v>
      </c>
      <c r="J8" s="20">
        <f>IFERROR(SUMPRODUCT((LEFT(لاگ_فاکتور!$B$3:$B$1622,4)=TEXT(تنظیمات_سیستم!$C$13,"0"))*(MID(لاگ_فاکتور!$B$3:$B$1622,6,2)=TEXT(2,"00")),لاگ_فاکتور!$AD$3:$AD$1622)-I8,0)</f>
        <v>-44500000</v>
      </c>
    </row>
    <row r="9" spans="1:12" ht="36" customHeight="1">
      <c r="A9" s="19" t="s">
        <v>194</v>
      </c>
      <c r="B9" s="4">
        <f>IFERROR(SUMPRODUCT((LEFT(لاگ_فاکتور!$B$3:$B$1622,4)=TEXT(تنظیمات_سیستم!$C$13,"0"))*(MID(لاگ_فاکتور!$B$3:$B$1622,6,2)=TEXT(3,"00")),لاگ_فاکتور!$W$3:$W$1622),0)</f>
        <v>0</v>
      </c>
      <c r="C9" s="4">
        <f>IFERROR(SUMPRODUCT((LEFT(لاگ_فاکتور!$B$3:$B$1622,4)=TEXT(تنظیمات_سیستم!$C$13,"0"))*(MID(لاگ_فاکتور!$B$3:$B$1622,6,2)=TEXT(3,"00")),لاگ_فاکتور!$N$3:$N$1622),0)</f>
        <v>0</v>
      </c>
      <c r="D9" s="5">
        <f>IFERROR(SUMPRODUCT((LEFT(لاگ_فاکتور!$B$3:$B$1622,4)=TEXT(تنظیمات_سیستم!$C$13,"0"))*(MID(لاگ_فاکتور!$B$3:$B$1622,6,2)=TEXT(3,"00")),لاگ_فاکتور!$O$3:$O$1622),0)</f>
        <v>0</v>
      </c>
      <c r="E9" s="9">
        <f>IFERROR(SUMPRODUCT((LEFT(لاگ_فاکتور!$B$3:$B$1622,4)=TEXT(تنظیمات_سیستم!$C$13,"0"))*(MID(لاگ_فاکتور!$B$3:$B$1622,6,2)=TEXT(3,"00")),لاگ_فاکتور!$V$3:$V$1622),0)</f>
        <v>0</v>
      </c>
      <c r="F9" s="16">
        <f t="shared" si="0"/>
        <v>0</v>
      </c>
      <c r="G9" s="7">
        <f>تنظیمات_سیستم!$C$4</f>
        <v>900000000</v>
      </c>
      <c r="H9" s="13">
        <f t="shared" ref="H9:H18" si="1">IFERROR(D9/G9,0)</f>
        <v>0</v>
      </c>
      <c r="I9" s="7">
        <f>IFERROR(SUMIFS(اطلاعات_پرسنل!$H$4:$H$59,اطلاعات_پرسنل!$J$4:$J$59,"فعال"),0)</f>
        <v>44500000</v>
      </c>
      <c r="J9" s="20">
        <f>IFERROR(SUMPRODUCT((LEFT(لاگ_فاکتور!$B$3:$B$1622,4)=TEXT(تنظیمات_سیستم!$C$13,"0"))*(MID(لاگ_فاکتور!$B$3:$B$1622,6,2)=TEXT(3,"00")),لاگ_فاکتور!$AD$3:$AD$1622)-I9,0)</f>
        <v>-44500000</v>
      </c>
    </row>
    <row r="10" spans="1:12" ht="36" customHeight="1">
      <c r="A10" s="19" t="s">
        <v>195</v>
      </c>
      <c r="B10" s="4">
        <f>IFERROR(SUMPRODUCT((LEFT(لاگ_فاکتور!$B$3:$B$1622,4)=TEXT(تنظیمات_سیستم!$C$13,"0"))*(MID(لاگ_فاکتور!$B$3:$B$1622,6,2)=TEXT(4,"00")),لاگ_فاکتور!$W$3:$W$1622),0)</f>
        <v>0</v>
      </c>
      <c r="C10" s="4">
        <f>IFERROR(SUMPRODUCT((LEFT(لاگ_فاکتور!$B$3:$B$1622,4)=TEXT(تنظیمات_سیستم!$C$13,"0"))*(MID(لاگ_فاکتور!$B$3:$B$1622,6,2)=TEXT(4,"00")),لاگ_فاکتور!$N$3:$N$1622),0)</f>
        <v>0</v>
      </c>
      <c r="D10" s="5">
        <f>IFERROR(SUMPRODUCT((LEFT(لاگ_فاکتور!$B$3:$B$1622,4)=TEXT(تنظیمات_سیستم!$C$13,"0"))*(MID(لاگ_فاکتور!$B$3:$B$1622,6,2)=TEXT(4,"00")),لاگ_فاکتور!$O$3:$O$1622),0)</f>
        <v>0</v>
      </c>
      <c r="E10" s="9">
        <f>IFERROR(SUMPRODUCT((LEFT(لاگ_فاکتور!$B$3:$B$1622,4)=TEXT(تنظیمات_سیستم!$C$13,"0"))*(MID(لاگ_فاکتور!$B$3:$B$1622,6,2)=TEXT(4,"00")),لاگ_فاکتور!$V$3:$V$1622),0)</f>
        <v>0</v>
      </c>
      <c r="F10" s="18">
        <f>IFERROR(D10/E10,0)</f>
        <v>0</v>
      </c>
      <c r="G10" s="7">
        <f>تنظیمات_سیستم!$C$4</f>
        <v>900000000</v>
      </c>
      <c r="H10" s="13">
        <f t="shared" si="1"/>
        <v>0</v>
      </c>
      <c r="I10" s="7">
        <f>IFERROR(SUMIFS(اطلاعات_پرسنل!$H$4:$H$59,اطلاعات_پرسنل!$J$4:$J$59,"فعال"),0)</f>
        <v>44500000</v>
      </c>
      <c r="J10" s="20">
        <f>IFERROR(SUMPRODUCT((LEFT(لاگ_فاکتور!$B$3:$B$1622,4)=TEXT(تنظیمات_سیستم!$C$13,"0"))*(MID(لاگ_فاکتور!$B$3:$B$1622,6,2)=TEXT(4,"00")),لاگ_فاکتور!$AD$3:$AD$1622)-I10,0)</f>
        <v>-44500000</v>
      </c>
    </row>
    <row r="11" spans="1:12" ht="36" customHeight="1">
      <c r="A11" s="19" t="s">
        <v>196</v>
      </c>
      <c r="B11" s="4">
        <f>IFERROR(SUMPRODUCT((LEFT(لاگ_فاکتور!$B$3:$B$1622,4)=TEXT(تنظیمات_سیستم!$C$13,"0"))*(MID(لاگ_فاکتور!$B$3:$B$1622,6,2)=TEXT(5,"00")),لاگ_فاکتور!$W$3:$W$1622),0)</f>
        <v>0</v>
      </c>
      <c r="C11" s="4">
        <f>IFERROR(SUMPRODUCT((LEFT(لاگ_فاکتور!$B$3:$B$1622,4)=TEXT(تنظیمات_سیستم!$C$13,"0"))*(MID(لاگ_فاکتور!$B$3:$B$1622,6,2)=TEXT(5,"00")),لاگ_فاکتور!$N$3:$N$1622),0)</f>
        <v>0</v>
      </c>
      <c r="D11" s="5">
        <f>IFERROR(SUMPRODUCT((LEFT(لاگ_فاکتور!$B$3:$B$1622,4)=TEXT(تنظیمات_سیستم!$C$13,"0"))*(MID(لاگ_فاکتور!$B$3:$B$1622,6,2)=TEXT(5,"00")),لاگ_فاکتور!$O$3:$O$1622),0)</f>
        <v>0</v>
      </c>
      <c r="E11" s="9">
        <f>IFERROR(SUMPRODUCT((LEFT(لاگ_فاکتور!$B$3:$B$1622,4)=TEXT(تنظیمات_سیستم!$C$13,"0"))*(MID(لاگ_فاکتور!$B$3:$B$1622,6,2)=TEXT(5,"00")),لاگ_فاکتور!$V$3:$V$1622),0)</f>
        <v>0</v>
      </c>
      <c r="F11" s="16">
        <f t="shared" si="0"/>
        <v>0</v>
      </c>
      <c r="G11" s="7">
        <f>تنظیمات_سیستم!$C$4</f>
        <v>900000000</v>
      </c>
      <c r="H11" s="13">
        <f t="shared" si="1"/>
        <v>0</v>
      </c>
      <c r="I11" s="7">
        <f>IFERROR(SUMIFS(اطلاعات_پرسنل!$H$4:$H$59,اطلاعات_پرسنل!$J$4:$J$59,"فعال"),0)</f>
        <v>44500000</v>
      </c>
      <c r="J11" s="20">
        <f>IFERROR(SUMPRODUCT((LEFT(لاگ_فاکتور!$B$3:$B$1622,4)=TEXT(تنظیمات_سیستم!$C$13,"0"))*(MID(لاگ_فاکتور!$B$3:$B$1622,6,2)=TEXT(5,"00")),لاگ_فاکتور!$AD$3:$AD$1622)-I11,0)</f>
        <v>-44500000</v>
      </c>
    </row>
    <row r="12" spans="1:12" ht="36" customHeight="1">
      <c r="A12" s="19" t="s">
        <v>197</v>
      </c>
      <c r="B12" s="4">
        <f>IFERROR(SUMPRODUCT((LEFT(لاگ_فاکتور!$B$3:$B$1622,4)=TEXT(تنظیمات_سیستم!$C$13,"0"))*(MID(لاگ_فاکتور!$B$3:$B$1622,6,2)=TEXT(6,"00")),لاگ_فاکتور!$W$3:$W$1622),0)</f>
        <v>0</v>
      </c>
      <c r="C12" s="4">
        <f>IFERROR(SUMPRODUCT((LEFT(لاگ_فاکتور!$B$3:$B$1622,4)=TEXT(تنظیمات_سیستم!$C$13,"0"))*(MID(لاگ_فاکتور!$B$3:$B$1622,6,2)=TEXT(6,"00")),لاگ_فاکتور!$N$3:$N$1622),0)</f>
        <v>0</v>
      </c>
      <c r="D12" s="5" cm="1">
        <f t="array" ref="D12">IFERROR(SUMPRODUCT((LEFT(لاگ_فاکتور!$B$3:$B$1622,4)=TEXT(تنظیمات_سیستم!$C$13,"0"))*(MID(لاگ_فاکتور!$B$3:$B$1622,6,2)=TEXT(6,"00")),لاگ_فاکتور!$O$3:$O$1622),0)</f>
        <v>0</v>
      </c>
      <c r="E12" s="9">
        <f>IFERROR(SUMPRODUCT((LEFT(لاگ_فاکتور!$B$3:$B$1622,4)=TEXT(تنظیمات_سیستم!$C$13,"0"))*(MID(لاگ_فاکتور!$B$3:$B$1622,6,2)=TEXT(6,"00")),لاگ_فاکتور!$V$3:$V$1622),0)</f>
        <v>0</v>
      </c>
      <c r="F12" s="18">
        <f t="shared" si="0"/>
        <v>0</v>
      </c>
      <c r="G12" s="7">
        <f>تنظیمات_سیستم!$C$4</f>
        <v>900000000</v>
      </c>
      <c r="H12" s="13">
        <f t="shared" si="1"/>
        <v>0</v>
      </c>
      <c r="I12" s="7">
        <f>IFERROR(SUMIFS(اطلاعات_پرسنل!$H$4:$H$59,اطلاعات_پرسنل!$J$4:$J$59,"فعال"),0)</f>
        <v>44500000</v>
      </c>
      <c r="J12" s="20">
        <f>IFERROR(SUMPRODUCT((LEFT(لاگ_فاکتور!$B$3:$B$1622,4)=TEXT(تنظیمات_سیستم!$C$13,"0"))*(MID(لاگ_فاکتور!$B$3:$B$1622,6,2)=TEXT(6,"00")),لاگ_فاکتور!$AD$3:$AD$1622)-I12,0)</f>
        <v>-44500000</v>
      </c>
    </row>
    <row r="13" spans="1:12" ht="36" customHeight="1">
      <c r="A13" s="19" t="s">
        <v>198</v>
      </c>
      <c r="B13" s="4" cm="1">
        <f t="array" ref="B13">IFERROR(SUMPRODUCT((LEFT(لاگ_فاکتور!$B$3:$B$1622,4)=TEXT(تنظیمات_سیستم!$C$13,"0"))*(MID(لاگ_فاکتور!$B$3:$B$1622,6,2)=TEXT(7,"00")),لاگ_فاکتور!$W$3:$W$1622),0)</f>
        <v>413413000</v>
      </c>
      <c r="C13" s="4" cm="1">
        <f t="array" ref="C13">IFERROR(SUMPRODUCT((LEFT(لاگ_فاکتور!$B$3:$B$1622,4)=TEXT(تنظیمات_سیستم!$C$13,"0"))*(MID(لاگ_فاکتور!$B$3:$B$1622,6,2)=TEXT(7,"00")),لاگ_فاکتور!$N$3:$N$1622),0)</f>
        <v>7572000</v>
      </c>
      <c r="D13" s="5" cm="1">
        <f t="array" ref="D13">IFERROR(SUMPRODUCT((LEFT(لاگ_فاکتور!$B$3:$B$1622,4)=TEXT(تنظیمات_سیستم!$C$13,"0"))*(MID(لاگ_فاکتور!$B$3:$B$1622,6,2)=TEXT(7,"00")),لاگ_فاکتور!$O$3:$O$1622),0)</f>
        <v>397705000</v>
      </c>
      <c r="E13" s="9" cm="1">
        <f t="array" ref="E13">IFERROR(SUMPRODUCT((LEFT(لاگ_فاکتور!$B$3:$B$1622,4)=TEXT(تنظیمات_سیستم!$C$13,"0"))*(MID(لاگ_فاکتور!$B$3:$B$1622,6,2)=TEXT(7,"00")),لاگ_فاکتور!$V$3:$V$1622),0)</f>
        <v>79</v>
      </c>
      <c r="F13" s="16">
        <f>IFERROR(D13/E13,0)</f>
        <v>5034240.5063291136</v>
      </c>
      <c r="G13" s="7">
        <f>تنظیمات_سیستم!$C$4</f>
        <v>900000000</v>
      </c>
      <c r="H13" s="13">
        <f>IFERROR(D13/G13,0)</f>
        <v>0.44189444444444442</v>
      </c>
      <c r="I13" s="7">
        <f>IFERROR(SUMIFS(اطلاعات_پرسنل!$H$4:$H$59,اطلاعات_پرسنل!$J$4:$J$59,"فعال"),0)</f>
        <v>44500000</v>
      </c>
      <c r="J13" s="20" cm="1">
        <f t="array" ref="J13">IFERROR(SUMPRODUCT((LEFT(لاگ_فاکتور!$B$3:$B$1622,4)=TEXT(تنظیمات_سیستم!$C$13,"0"))*(MID(لاگ_فاکتور!$B$3:$B$1622,6,2)=TEXT(7,"00")),لاگ_فاکتور!$AD$3:$AD$1622)-I13,0)</f>
        <v>353205000</v>
      </c>
    </row>
    <row r="14" spans="1:12" ht="36" customHeight="1">
      <c r="A14" s="19" t="s">
        <v>199</v>
      </c>
      <c r="B14" s="4">
        <f>IFERROR(SUMPRODUCT((LEFT(لاگ_فاکتور!$B$3:$B$1622,4)=TEXT(تنظیمات_سیستم!$C$13,"0"))*(MID(لاگ_فاکتور!$B$3:$B$1622,6,2)=TEXT(8,"00")),لاگ_فاکتور!$W$3:$W$1622),0)</f>
        <v>0</v>
      </c>
      <c r="C14" s="4">
        <f>IFERROR(SUMPRODUCT((LEFT(لاگ_فاکتور!$B$3:$B$1622,4)=TEXT(تنظیمات_سیستم!$C$13,"0"))*(MID(لاگ_فاکتور!$B$3:$B$1622,6,2)=TEXT(8,"00")),لاگ_فاکتور!$N$3:$N$1622),0)</f>
        <v>0</v>
      </c>
      <c r="D14" s="5" cm="1">
        <f t="array" ref="D14">IFERROR(SUMPRODUCT((LEFT(لاگ_فاکتور!$B$3:$B$1622,4)=TEXT(تنظیمات_سیستم!$C$13,"0"))*(MID(لاگ_فاکتور!$B$3:$B$1622,6,2)=TEXT(8,"00")),لاگ_فاکتور!$O$3:$O$1622),0)</f>
        <v>0</v>
      </c>
      <c r="E14" s="9">
        <f>IFERROR(SUMPRODUCT((LEFT(لاگ_فاکتور!$B$3:$B$1622,4)=TEXT(تنظیمات_سیستم!$C$13,"0"))*(MID(لاگ_فاکتور!$B$3:$B$1622,6,2)=TEXT(8,"00")),لاگ_فاکتور!$V$3:$V$1622),0)</f>
        <v>0</v>
      </c>
      <c r="F14" s="18">
        <f>IFERROR(D14/E14,0)</f>
        <v>0</v>
      </c>
      <c r="G14" s="7">
        <f>تنظیمات_سیستم!$C$4</f>
        <v>900000000</v>
      </c>
      <c r="H14" s="13">
        <f>IFERROR(D14/G14,0)</f>
        <v>0</v>
      </c>
      <c r="I14" s="7">
        <f>IFERROR(SUMIFS(اطلاعات_پرسنل!$H$4:$H$59,اطلاعات_پرسنل!$J$4:$J$59,"فعال"),0)</f>
        <v>44500000</v>
      </c>
      <c r="J14" s="20">
        <f>IFERROR(SUMPRODUCT((LEFT(لاگ_فاکتور!$B$3:$B$1622,4)=TEXT(تنظیمات_سیستم!$C$13,"0"))*(MID(لاگ_فاکتور!$B$3:$B$1622,6,2)=TEXT(8,"00")),لاگ_فاکتور!$AD$3:$AD$1622)-I14,0)</f>
        <v>-44500000</v>
      </c>
    </row>
    <row r="15" spans="1:12" ht="36" customHeight="1">
      <c r="A15" s="19" t="s">
        <v>200</v>
      </c>
      <c r="B15" s="4">
        <f>IFERROR(SUMPRODUCT((LEFT(لاگ_فاکتور!$B$3:$B$1622,4)=TEXT(تنظیمات_سیستم!$C$13,"0"))*(MID(لاگ_فاکتور!$B$3:$B$1622,6,2)=TEXT(9,"00")),لاگ_فاکتور!$W$3:$W$1622),0)</f>
        <v>0</v>
      </c>
      <c r="C15" s="4">
        <f>IFERROR(SUMPRODUCT((LEFT(لاگ_فاکتور!$B$3:$B$1622,4)=TEXT(تنظیمات_سیستم!$C$13,"0"))*(MID(لاگ_فاکتور!$B$3:$B$1622,6,2)=TEXT(9,"00")),لاگ_فاکتور!$N$3:$N$1622),0)</f>
        <v>0</v>
      </c>
      <c r="D15" s="5">
        <f>IFERROR(SUMPRODUCT((LEFT(لاگ_فاکتور!$B$3:$B$1622,4)=TEXT(تنظیمات_سیستم!$C$13,"0"))*(MID(لاگ_فاکتور!$B$3:$B$1622,6,2)=TEXT(9,"00")),لاگ_فاکتور!$O$3:$O$1622),0)</f>
        <v>0</v>
      </c>
      <c r="E15" s="9">
        <f>IFERROR(SUMPRODUCT((LEFT(لاگ_فاکتور!$B$3:$B$1622,4)=TEXT(تنظیمات_سیستم!$C$13,"0"))*(MID(لاگ_فاکتور!$B$3:$B$1622,6,2)=TEXT(9,"00")),لاگ_فاکتور!$V$3:$V$1622),0)</f>
        <v>0</v>
      </c>
      <c r="F15" s="16">
        <f t="shared" si="0"/>
        <v>0</v>
      </c>
      <c r="G15" s="7">
        <f>تنظیمات_سیستم!$C$4</f>
        <v>900000000</v>
      </c>
      <c r="H15" s="13">
        <f t="shared" si="1"/>
        <v>0</v>
      </c>
      <c r="I15" s="7">
        <f>IFERROR(SUMIFS(اطلاعات_پرسنل!$H$4:$H$59,اطلاعات_پرسنل!$J$4:$J$59,"فعال"),0)</f>
        <v>44500000</v>
      </c>
      <c r="J15" s="20">
        <f>IFERROR(SUMPRODUCT((LEFT(لاگ_فاکتور!$B$3:$B$1622,4)=TEXT(تنظیمات_سیستم!$C$13,"0"))*(MID(لاگ_فاکتور!$B$3:$B$1622,6,2)=TEXT(9,"00")),لاگ_فاکتور!$AD$3:$AD$1622)-I15,0)</f>
        <v>-44500000</v>
      </c>
    </row>
    <row r="16" spans="1:12" ht="36" customHeight="1">
      <c r="A16" s="19" t="s">
        <v>201</v>
      </c>
      <c r="B16" s="4">
        <f>IFERROR(SUMPRODUCT((LEFT(لاگ_فاکتور!$B$3:$B$1622,4)=TEXT(تنظیمات_سیستم!$C$13,"0"))*(MID(لاگ_فاکتور!$B$3:$B$1622,6,2)=TEXT(10,"00")),لاگ_فاکتور!$W$3:$W$1622),0)</f>
        <v>0</v>
      </c>
      <c r="C16" s="4">
        <f>IFERROR(SUMPRODUCT((LEFT(لاگ_فاکتور!$B$3:$B$1622,4)=TEXT(تنظیمات_سیستم!$C$13,"0"))*(MID(لاگ_فاکتور!$B$3:$B$1622,6,2)=TEXT(10,"00")),لاگ_فاکتور!$N$3:$N$1622),0)</f>
        <v>0</v>
      </c>
      <c r="D16" s="5">
        <f>IFERROR(SUMPRODUCT((LEFT(لاگ_فاکتور!$B$3:$B$1622,4)=TEXT(تنظیمات_سیستم!$C$13,"0"))*(MID(لاگ_فاکتور!$B$3:$B$1622,6,2)=TEXT(10,"00")),لاگ_فاکتور!$O$3:$O$1622),0)</f>
        <v>0</v>
      </c>
      <c r="E16" s="9">
        <f>IFERROR(SUMPRODUCT((LEFT(لاگ_فاکتور!$B$3:$B$1622,4)=TEXT(تنظیمات_سیستم!$C$13,"0"))*(MID(لاگ_فاکتور!$B$3:$B$1622,6,2)=TEXT(10,"00")),لاگ_فاکتور!$V$3:$V$1622),0)</f>
        <v>0</v>
      </c>
      <c r="F16" s="18">
        <f t="shared" si="0"/>
        <v>0</v>
      </c>
      <c r="G16" s="7">
        <f>تنظیمات_سیستم!$C$4</f>
        <v>900000000</v>
      </c>
      <c r="H16" s="13">
        <f t="shared" si="1"/>
        <v>0</v>
      </c>
      <c r="I16" s="7">
        <f>IFERROR(SUMIFS(اطلاعات_پرسنل!$H$4:$H$59,اطلاعات_پرسنل!$J$4:$J$59,"فعال"),0)</f>
        <v>44500000</v>
      </c>
      <c r="J16" s="20">
        <f>IFERROR(SUMPRODUCT((LEFT(لاگ_فاکتور!$B$3:$B$1622,4)=TEXT(تنظیمات_سیستم!$C$13,"0"))*(MID(لاگ_فاکتور!$B$3:$B$1622,6,2)=TEXT(10,"00")),لاگ_فاکتور!$AD$3:$AD$1622)-I16,0)</f>
        <v>-44500000</v>
      </c>
    </row>
    <row r="17" spans="1:10" ht="36" customHeight="1">
      <c r="A17" s="19" t="s">
        <v>202</v>
      </c>
      <c r="B17" s="4">
        <f>IFERROR(SUMPRODUCT((LEFT(لاگ_فاکتور!$B$3:$B$1622,4)=TEXT(تنظیمات_سیستم!$C$13,"0"))*(MID(لاگ_فاکتور!$B$3:$B$1622,6,2)=TEXT(11,"00")),لاگ_فاکتور!$W$3:$W$1622),0)</f>
        <v>0</v>
      </c>
      <c r="C17" s="4">
        <f>IFERROR(SUMPRODUCT((LEFT(لاگ_فاکتور!$B$3:$B$1622,4)=TEXT(تنظیمات_سیستم!$C$13,"0"))*(MID(لاگ_فاکتور!$B$3:$B$1622,6,2)=TEXT(11,"00")),لاگ_فاکتور!$N$3:$N$1622),0)</f>
        <v>0</v>
      </c>
      <c r="D17" s="5">
        <f>IFERROR(SUMPRODUCT((LEFT(لاگ_فاکتور!$B$3:$B$1622,4)=TEXT(تنظیمات_سیستم!$C$13,"0"))*(MID(لاگ_فاکتور!$B$3:$B$1622,6,2)=TEXT(11,"00")),لاگ_فاکتور!$O$3:$O$1622),0)</f>
        <v>0</v>
      </c>
      <c r="E17" s="9">
        <f>IFERROR(SUMPRODUCT((LEFT(لاگ_فاکتور!$B$3:$B$1622,4)=TEXT(تنظیمات_سیستم!$C$13,"0"))*(MID(لاگ_فاکتور!$B$3:$B$1622,6,2)=TEXT(11,"00")),لاگ_فاکتور!$V$3:$V$1622),0)</f>
        <v>0</v>
      </c>
      <c r="F17" s="16">
        <f t="shared" si="0"/>
        <v>0</v>
      </c>
      <c r="G17" s="7">
        <f>تنظیمات_سیستم!$C$4</f>
        <v>900000000</v>
      </c>
      <c r="H17" s="13">
        <f t="shared" si="1"/>
        <v>0</v>
      </c>
      <c r="I17" s="7">
        <f>IFERROR(SUMIFS(اطلاعات_پرسنل!$H$4:$H$59,اطلاعات_پرسنل!$J$4:$J$59,"فعال"),0)</f>
        <v>44500000</v>
      </c>
      <c r="J17" s="20">
        <f>IFERROR(SUMPRODUCT((LEFT(لاگ_فاکتور!$B$3:$B$1622,4)=TEXT(تنظیمات_سیستم!$C$13,"0"))*(MID(لاگ_فاکتور!$B$3:$B$1622,6,2)=TEXT(11,"00")),لاگ_فاکتور!$AD$3:$AD$1622)-I17,0)</f>
        <v>-44500000</v>
      </c>
    </row>
    <row r="18" spans="1:10" ht="36" customHeight="1">
      <c r="A18" s="19" t="s">
        <v>203</v>
      </c>
      <c r="B18" s="4">
        <f>IFERROR(SUMPRODUCT((LEFT(لاگ_فاکتور!$B$3:$B$1622,4)=TEXT(تنظیمات_سیستم!$C$13,"0"))*(MID(لاگ_فاکتور!$B$3:$B$1622,6,2)=TEXT(12,"00")),لاگ_فاکتور!$W$3:$W$1622),0)</f>
        <v>0</v>
      </c>
      <c r="C18" s="4">
        <f>IFERROR(SUMPRODUCT((LEFT(لاگ_فاکتور!$B$3:$B$1622,4)=TEXT(تنظیمات_سیستم!$C$13,"0"))*(MID(لاگ_فاکتور!$B$3:$B$1622,6,2)=TEXT(12,"00")),لاگ_فاکتور!$N$3:$N$1622),0)</f>
        <v>0</v>
      </c>
      <c r="D18" s="5">
        <f>IFERROR(SUMPRODUCT((LEFT(لاگ_فاکتور!$B$3:$B$1622,4)=TEXT(تنظیمات_سیستم!$C$13,"0"))*(MID(لاگ_فاکتور!$B$3:$B$1622,6,2)=TEXT(12,"00")),لاگ_فاکتور!$O$3:$O$1622),0)</f>
        <v>0</v>
      </c>
      <c r="E18" s="9">
        <f>IFERROR(SUMPRODUCT((LEFT(لاگ_فاکتور!$B$3:$B$1622,4)=TEXT(تنظیمات_سیستم!$C$13,"0"))*(MID(لاگ_فاکتور!$B$3:$B$1622,6,2)=TEXT(12,"00")),لاگ_فاکتور!$V$3:$V$1622),0)</f>
        <v>0</v>
      </c>
      <c r="F18" s="18">
        <f t="shared" si="0"/>
        <v>0</v>
      </c>
      <c r="G18" s="7">
        <f>تنظیمات_سیستم!$C$4</f>
        <v>900000000</v>
      </c>
      <c r="H18" s="13">
        <f t="shared" si="1"/>
        <v>0</v>
      </c>
      <c r="I18" s="7">
        <f>IFERROR(SUMIFS(اطلاعات_پرسنل!$H$4:$H$59,اطلاعات_پرسنل!$J$4:$J$59,"فعال"),0)</f>
        <v>44500000</v>
      </c>
      <c r="J18" s="20">
        <f>IFERROR(SUMPRODUCT((LEFT(لاگ_فاکتور!$B$3:$B$1622,4)=TEXT(تنظیمات_سیستم!$C$13,"0"))*(MID(لاگ_فاکتور!$B$3:$B$1622,6,2)=TEXT(12,"00")),لاگ_فاکتور!$AD$3:$AD$1622)-I18,0)</f>
        <v>-44500000</v>
      </c>
    </row>
    <row r="19" spans="1:10" ht="36" customHeight="1">
      <c r="A19" s="21" t="s">
        <v>204</v>
      </c>
      <c r="B19" s="22">
        <f>SUM(B7:B18)</f>
        <v>413413000</v>
      </c>
      <c r="C19" s="22">
        <f>SUM(C7:C18)</f>
        <v>7572000</v>
      </c>
      <c r="D19" s="22">
        <f>SUM(D7:D18)</f>
        <v>397705000</v>
      </c>
      <c r="E19" s="22">
        <f>SUM(E7:E18)</f>
        <v>79</v>
      </c>
      <c r="I19" s="22">
        <f>SUM(I7:I18)</f>
        <v>534000000</v>
      </c>
      <c r="J19" s="22">
        <f>SUM(J7:J18)</f>
        <v>-136295000</v>
      </c>
    </row>
  </sheetData>
  <sheetProtection algorithmName="SHA-512" hashValue="T6mOlLfOkwnr5f0K85jcX0w4vg/F//qMdWEL1qEpUXmDxXEsh7R1uKFv95p2PuCFvyWv1N+O9MxHEKmjzjZQPA==" saltValue="OFSZFzFLMfq+VOc7gKN1vg==" spinCount="100000" sheet="1" objects="1" scenarios="1"/>
  <mergeCells count="10">
    <mergeCell ref="A2:L2"/>
    <mergeCell ref="D4:F4"/>
    <mergeCell ref="A4:C4"/>
    <mergeCell ref="G4:I4"/>
    <mergeCell ref="D3:F3"/>
    <mergeCell ref="A5:L5"/>
    <mergeCell ref="G3:I3"/>
    <mergeCell ref="J3:L3"/>
    <mergeCell ref="A3:C3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D4AF37"/>
  </sheetPr>
  <dimension ref="B1:E17"/>
  <sheetViews>
    <sheetView zoomScaleNormal="100" workbookViewId="0">
      <selection activeCell="D7" sqref="D7"/>
    </sheetView>
  </sheetViews>
  <sheetFormatPr defaultColWidth="8.7109375" defaultRowHeight="15"/>
  <cols>
    <col min="1" max="1" width="2" customWidth="1"/>
    <col min="2" max="5" width="65.7109375" customWidth="1"/>
  </cols>
  <sheetData>
    <row r="1" spans="2:5" ht="63.75" customHeight="1">
      <c r="B1" s="330" t="s">
        <v>215</v>
      </c>
      <c r="C1" s="331"/>
      <c r="D1" s="331"/>
      <c r="E1" s="332"/>
    </row>
    <row r="2" spans="2:5" ht="15.75" hidden="1" customHeight="1"/>
    <row r="3" spans="2:5" ht="39.950000000000003" customHeight="1" thickBot="1">
      <c r="B3" s="25" t="s">
        <v>216</v>
      </c>
      <c r="C3" s="25" t="s">
        <v>217</v>
      </c>
      <c r="D3" s="119"/>
      <c r="E3" s="25" t="s">
        <v>218</v>
      </c>
    </row>
    <row r="4" spans="2:5" ht="39.950000000000003" customHeight="1" thickBot="1">
      <c r="B4" s="26" t="s">
        <v>219</v>
      </c>
      <c r="C4" s="27">
        <v>900000000</v>
      </c>
      <c r="D4" s="119"/>
      <c r="E4" s="28" t="s">
        <v>220</v>
      </c>
    </row>
    <row r="5" spans="2:5" ht="39.950000000000003" customHeight="1">
      <c r="B5" s="26" t="s">
        <v>221</v>
      </c>
      <c r="C5" s="29">
        <v>30</v>
      </c>
      <c r="D5" s="119"/>
      <c r="E5" s="30" t="s">
        <v>222</v>
      </c>
    </row>
    <row r="6" spans="2:5" ht="39.950000000000003" customHeight="1">
      <c r="B6" s="26" t="s">
        <v>223</v>
      </c>
      <c r="C6" s="31">
        <v>0.01</v>
      </c>
      <c r="D6" s="119"/>
      <c r="E6" s="28" t="s">
        <v>224</v>
      </c>
    </row>
    <row r="7" spans="2:5" ht="39.950000000000003" customHeight="1">
      <c r="B7" s="26" t="s">
        <v>225</v>
      </c>
      <c r="C7" s="29">
        <v>3</v>
      </c>
      <c r="D7" s="119"/>
      <c r="E7" s="30" t="s">
        <v>226</v>
      </c>
    </row>
    <row r="8" spans="2:5" ht="39.950000000000003" customHeight="1">
      <c r="B8" s="26" t="s">
        <v>227</v>
      </c>
      <c r="C8" s="29" t="s">
        <v>228</v>
      </c>
      <c r="D8" s="119"/>
      <c r="E8" s="28" t="s">
        <v>229</v>
      </c>
    </row>
    <row r="9" spans="2:5" ht="39.950000000000003" customHeight="1">
      <c r="B9" s="26" t="s">
        <v>230</v>
      </c>
      <c r="C9" s="39" t="s">
        <v>773</v>
      </c>
      <c r="D9" s="119"/>
      <c r="E9" s="30" t="s">
        <v>231</v>
      </c>
    </row>
    <row r="10" spans="2:5" ht="39.950000000000003" customHeight="1">
      <c r="B10" s="26" t="s">
        <v>95</v>
      </c>
      <c r="C10" s="29">
        <v>9199189173</v>
      </c>
      <c r="D10" s="119"/>
      <c r="E10" s="28" t="s">
        <v>232</v>
      </c>
    </row>
    <row r="11" spans="2:5" ht="39.950000000000003" customHeight="1">
      <c r="B11" s="26" t="s">
        <v>233</v>
      </c>
      <c r="C11" s="40">
        <f>C4/C5</f>
        <v>30000000</v>
      </c>
      <c r="D11" s="119"/>
      <c r="E11" s="30" t="s">
        <v>234</v>
      </c>
    </row>
    <row r="12" spans="2:5" ht="39.950000000000003" customHeight="1">
      <c r="B12" s="26" t="s">
        <v>235</v>
      </c>
      <c r="C12" s="32" t="s">
        <v>236</v>
      </c>
      <c r="D12" s="119"/>
      <c r="E12" s="28" t="s">
        <v>237</v>
      </c>
    </row>
    <row r="13" spans="2:5" ht="39.950000000000003" customHeight="1">
      <c r="B13" s="26" t="s">
        <v>238</v>
      </c>
      <c r="C13" s="29">
        <v>1405</v>
      </c>
      <c r="D13" s="119"/>
      <c r="E13" s="28" t="s">
        <v>239</v>
      </c>
    </row>
    <row r="14" spans="2:5" ht="39.950000000000003" customHeight="1">
      <c r="B14" s="26" t="s">
        <v>240</v>
      </c>
      <c r="C14" s="27">
        <v>1.8</v>
      </c>
      <c r="D14" s="119"/>
      <c r="E14" s="28" t="s">
        <v>241</v>
      </c>
    </row>
    <row r="15" spans="2:5" ht="39.950000000000003" customHeight="1">
      <c r="B15" s="26" t="s">
        <v>242</v>
      </c>
      <c r="C15" s="27">
        <v>4000000</v>
      </c>
      <c r="D15" s="119"/>
      <c r="E15" s="28" t="s">
        <v>243</v>
      </c>
    </row>
    <row r="16" spans="2:5" ht="39.950000000000003" customHeight="1">
      <c r="B16" s="26" t="s">
        <v>244</v>
      </c>
      <c r="C16" s="27">
        <v>30</v>
      </c>
      <c r="D16" s="119"/>
      <c r="E16" s="28" t="s">
        <v>245</v>
      </c>
    </row>
    <row r="17" spans="2:5" ht="39.950000000000003" customHeight="1">
      <c r="B17" s="26" t="s">
        <v>246</v>
      </c>
      <c r="C17" s="27">
        <v>25</v>
      </c>
      <c r="D17" s="119"/>
      <c r="E17" s="28" t="s">
        <v>247</v>
      </c>
    </row>
  </sheetData>
  <sheetProtection algorithmName="SHA-512" hashValue="X6ver+XEhwydEK2X9BaZfvhO0X55LD45+vrOLdH4R5umPsGgxia2h+uyETfqKZW3ylN9DtEeBnW5EALIBGFP+g==" saltValue="cUdwgKstAdKc/rNnM7wfyQ==" spinCount="100000" sheet="1" formatCells="0" formatColumns="0" formatRows="0" insertColumns="0" insertRows="0" insertHyperlinks="0" deleteColumns="0" deleteRows="0" sort="0" autoFilter="0" pivotTables="0"/>
  <mergeCells count="1">
    <mergeCell ref="B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C0392B"/>
  </sheetPr>
  <dimension ref="A1:H304"/>
  <sheetViews>
    <sheetView rightToLeft="1" topLeftCell="A2" zoomScaleNormal="100" workbookViewId="0">
      <selection activeCell="G6" sqref="G6"/>
    </sheetView>
  </sheetViews>
  <sheetFormatPr defaultColWidth="8.7109375" defaultRowHeight="15"/>
  <cols>
    <col min="1" max="8" width="33.7109375" customWidth="1"/>
  </cols>
  <sheetData>
    <row r="1" spans="1:8" ht="15" hidden="1" customHeight="1"/>
    <row r="2" spans="1:8" s="35" customFormat="1" ht="45.75" customHeight="1">
      <c r="A2" s="334" t="s">
        <v>780</v>
      </c>
      <c r="B2" s="278"/>
      <c r="C2" s="278"/>
      <c r="D2" s="278"/>
      <c r="E2" s="278"/>
      <c r="F2" s="278"/>
      <c r="G2" s="278"/>
      <c r="H2" s="278"/>
    </row>
    <row r="3" spans="1:8" ht="24" customHeight="1">
      <c r="A3" s="333" t="s">
        <v>248</v>
      </c>
      <c r="B3" s="218"/>
      <c r="C3" s="218"/>
      <c r="D3" s="218"/>
      <c r="E3" s="218"/>
      <c r="F3" s="218"/>
      <c r="G3" s="218"/>
      <c r="H3" s="218"/>
    </row>
    <row r="4" spans="1:8" ht="31.5" customHeight="1">
      <c r="A4" s="2" t="s">
        <v>15</v>
      </c>
      <c r="B4" s="2" t="s">
        <v>168</v>
      </c>
      <c r="C4" s="3" t="s">
        <v>169</v>
      </c>
      <c r="D4" s="3" t="s">
        <v>175</v>
      </c>
      <c r="E4" s="2" t="s">
        <v>249</v>
      </c>
      <c r="F4" s="3" t="s">
        <v>172</v>
      </c>
      <c r="G4" s="2" t="s">
        <v>250</v>
      </c>
      <c r="H4" s="3" t="s">
        <v>251</v>
      </c>
    </row>
    <row r="5" spans="1:8" ht="18" customHeight="1">
      <c r="A5" s="9" t="str">
        <f>انبار!A4</f>
        <v>SKU-0001</v>
      </c>
      <c r="B5" s="17" t="str">
        <f>انبار!B4</f>
        <v>شلوار لینن سندبادی کرم سایز1</v>
      </c>
      <c r="C5" s="17" t="str">
        <f>انبار!C4</f>
        <v>شلوار</v>
      </c>
      <c r="D5" s="9">
        <f>انبار!I4</f>
        <v>9</v>
      </c>
      <c r="E5" s="9" t="str">
        <f>انبار!J4</f>
        <v>🟢 OK</v>
      </c>
      <c r="F5" s="18">
        <f>انبار!F4</f>
        <v>3490000</v>
      </c>
      <c r="G5" s="9" t="str">
        <f>IF(انبار!I4&lt;=0,"🔴 سفارش فوری",IF(انبار!I4&lt;=تنظیمات_سیستم!$C$7,"🟠 سفارش مجدد","✅"))</f>
        <v>✅</v>
      </c>
      <c r="H5" s="9" t="str">
        <f>IF(انبار!I4&lt;=تنظیمات_سیستم!$C$7,"سفارش دهید","—")</f>
        <v>—</v>
      </c>
    </row>
    <row r="6" spans="1:8" ht="18" customHeight="1">
      <c r="A6" s="9" t="str">
        <f>انبار!A5</f>
        <v>SKU-0002</v>
      </c>
      <c r="B6" s="17" t="str">
        <f>انبار!B5</f>
        <v>شلوار لینن سندبادی کرم سایز2</v>
      </c>
      <c r="C6" s="17" t="str">
        <f>انبار!C5</f>
        <v>شلوار</v>
      </c>
      <c r="D6" s="9">
        <f>انبار!I5</f>
        <v>9</v>
      </c>
      <c r="E6" s="9" t="str">
        <f>انبار!J5</f>
        <v>🟢 OK</v>
      </c>
      <c r="F6" s="18">
        <f>انبار!F5</f>
        <v>3490000</v>
      </c>
      <c r="G6" s="9" t="str">
        <f>IF(انبار!I5&lt;=0,"🔴 سفارش فوری",IF(انبار!I5&lt;=تنظیمات_سیستم!$C$7,"🟠 سفارش مجدد","✅"))</f>
        <v>✅</v>
      </c>
      <c r="H6" s="9" t="str">
        <f>IF(انبار!I5&lt;=تنظیمات_سیستم!$C$7,"سفارش دهید","—")</f>
        <v>—</v>
      </c>
    </row>
    <row r="7" spans="1:8" ht="18" customHeight="1">
      <c r="A7" s="9" t="str">
        <f>انبار!A6</f>
        <v>SKU-0003</v>
      </c>
      <c r="B7" s="17" t="str">
        <f>انبار!B6</f>
        <v>شلوار لینن سندبادی مشکی سایز1</v>
      </c>
      <c r="C7" s="17" t="str">
        <f>انبار!C6</f>
        <v>شلوار</v>
      </c>
      <c r="D7" s="9">
        <f>انبار!I6</f>
        <v>9</v>
      </c>
      <c r="E7" s="9" t="str">
        <f>انبار!J6</f>
        <v>🟢 OK</v>
      </c>
      <c r="F7" s="18">
        <f>انبار!F6</f>
        <v>3490000</v>
      </c>
      <c r="G7" s="9" t="str">
        <f>IF(انبار!I6&lt;=0,"🔴 سفارش فوری",IF(انبار!I6&lt;=تنظیمات_سیستم!$C$7,"🟠 سفارش مجدد","✅"))</f>
        <v>✅</v>
      </c>
      <c r="H7" s="9" t="str">
        <f>IF(انبار!I6&lt;=تنظیمات_سیستم!$C$7,"سفارش دهید","—")</f>
        <v>—</v>
      </c>
    </row>
    <row r="8" spans="1:8" ht="18" customHeight="1">
      <c r="A8" s="9" t="str">
        <f>انبار!A7</f>
        <v>SKU-0004</v>
      </c>
      <c r="B8" s="17" t="str">
        <f>انبار!B7</f>
        <v>شلوار لینن سندبادی مشکی سایز2</v>
      </c>
      <c r="C8" s="17" t="str">
        <f>انبار!C7</f>
        <v>شلوار</v>
      </c>
      <c r="D8" s="9">
        <f>انبار!I7</f>
        <v>9</v>
      </c>
      <c r="E8" s="9" t="str">
        <f>انبار!J7</f>
        <v>🟢 OK</v>
      </c>
      <c r="F8" s="18">
        <f>انبار!F7</f>
        <v>3490000</v>
      </c>
      <c r="G8" s="9" t="str">
        <f>IF(انبار!I7&lt;=0,"🔴 سفارش فوری",IF(انبار!I7&lt;=تنظیمات_سیستم!$C$7,"🟠 سفارش مجدد","✅"))</f>
        <v>✅</v>
      </c>
      <c r="H8" s="9" t="str">
        <f>IF(انبار!I7&lt;=تنظیمات_سیستم!$C$7,"سفارش دهید","—")</f>
        <v>—</v>
      </c>
    </row>
    <row r="9" spans="1:8" ht="18" customHeight="1">
      <c r="A9" s="9" t="str">
        <f>انبار!A8</f>
        <v>SKU-0005</v>
      </c>
      <c r="B9" s="17" t="str">
        <f>انبار!B8</f>
        <v>شلوار لینن سندبادی قهوه ای سایز1</v>
      </c>
      <c r="C9" s="17" t="str">
        <f>انبار!C8</f>
        <v>شلوار</v>
      </c>
      <c r="D9" s="9">
        <f>انبار!I8</f>
        <v>9</v>
      </c>
      <c r="E9" s="9" t="str">
        <f>انبار!J8</f>
        <v>🟢 OK</v>
      </c>
      <c r="F9" s="18">
        <f>انبار!F8</f>
        <v>3490000</v>
      </c>
      <c r="G9" s="9" t="str">
        <f>IF(انبار!I8&lt;=0,"🔴 سفارش فوری",IF(انبار!I8&lt;=تنظیمات_سیستم!$C$7,"🟠 سفارش مجدد","✅"))</f>
        <v>✅</v>
      </c>
      <c r="H9" s="9" t="str">
        <f>IF(انبار!I8&lt;=تنظیمات_سیستم!$C$7,"سفارش دهید","—")</f>
        <v>—</v>
      </c>
    </row>
    <row r="10" spans="1:8" ht="18" customHeight="1">
      <c r="A10" s="9" t="str">
        <f>انبار!A9</f>
        <v>SKU-0006</v>
      </c>
      <c r="B10" s="17" t="str">
        <f>انبار!B9</f>
        <v>شلوار لینن سندبادی قهوه ای سایز2</v>
      </c>
      <c r="C10" s="17" t="str">
        <f>انبار!C9</f>
        <v>شلوار</v>
      </c>
      <c r="D10" s="9">
        <f>انبار!I9</f>
        <v>9</v>
      </c>
      <c r="E10" s="9" t="str">
        <f>انبار!J9</f>
        <v>🟢 OK</v>
      </c>
      <c r="F10" s="18">
        <f>انبار!F9</f>
        <v>3490000</v>
      </c>
      <c r="G10" s="9" t="str">
        <f>IF(انبار!I9&lt;=0,"🔴 سفارش فوری",IF(انبار!I9&lt;=تنظیمات_سیستم!$C$7,"🟠 سفارش مجدد","✅"))</f>
        <v>✅</v>
      </c>
      <c r="H10" s="9" t="str">
        <f>IF(انبار!I9&lt;=تنظیمات_سیستم!$C$7,"سفارش دهید","—")</f>
        <v>—</v>
      </c>
    </row>
    <row r="11" spans="1:8" ht="18" customHeight="1">
      <c r="A11" s="9" t="str">
        <f>انبار!A10</f>
        <v>SKU-0007</v>
      </c>
      <c r="B11" s="17" t="str">
        <f>انبار!B10</f>
        <v>شلوار لینن سندبادی سرمه ای سایز1</v>
      </c>
      <c r="C11" s="17" t="str">
        <f>انبار!C10</f>
        <v>شلوار</v>
      </c>
      <c r="D11" s="9">
        <f>انبار!I10</f>
        <v>9</v>
      </c>
      <c r="E11" s="9" t="str">
        <f>انبار!J10</f>
        <v>🟢 OK</v>
      </c>
      <c r="F11" s="18">
        <f>انبار!F10</f>
        <v>3490000</v>
      </c>
      <c r="G11" s="9" t="str">
        <f>IF(انبار!I10&lt;=0,"🔴 سفارش فوری",IF(انبار!I10&lt;=تنظیمات_سیستم!$C$7,"🟠 سفارش مجدد","✅"))</f>
        <v>✅</v>
      </c>
      <c r="H11" s="9" t="str">
        <f>IF(انبار!I10&lt;=تنظیمات_سیستم!$C$7,"سفارش دهید","—")</f>
        <v>—</v>
      </c>
    </row>
    <row r="12" spans="1:8" ht="18" customHeight="1">
      <c r="A12" s="9" t="str">
        <f>انبار!A11</f>
        <v>SKU-0008</v>
      </c>
      <c r="B12" s="17" t="str">
        <f>انبار!B11</f>
        <v>شلوار لینن سندبادی سرمه ای سایز2</v>
      </c>
      <c r="C12" s="17" t="str">
        <f>انبار!C11</f>
        <v>شلوار</v>
      </c>
      <c r="D12" s="9">
        <f>انبار!I11</f>
        <v>9</v>
      </c>
      <c r="E12" s="9" t="str">
        <f>انبار!J11</f>
        <v>🟢 OK</v>
      </c>
      <c r="F12" s="18">
        <f>انبار!F11</f>
        <v>3490000</v>
      </c>
      <c r="G12" s="9" t="str">
        <f>IF(انبار!I11&lt;=0,"🔴 سفارش فوری",IF(انبار!I11&lt;=تنظیمات_سیستم!$C$7,"🟠 سفارش مجدد","✅"))</f>
        <v>✅</v>
      </c>
      <c r="H12" s="9" t="str">
        <f>IF(انبار!I11&lt;=تنظیمات_سیستم!$C$7,"سفارش دهید","—")</f>
        <v>—</v>
      </c>
    </row>
    <row r="13" spans="1:8" ht="18" customHeight="1">
      <c r="A13" s="9" t="str">
        <f>انبار!A12</f>
        <v>SKU-0009</v>
      </c>
      <c r="B13" s="17" t="str">
        <f>انبار!B12</f>
        <v>شومیز سایه سفید سایز1</v>
      </c>
      <c r="C13" s="17" t="str">
        <f>انبار!C12</f>
        <v>شومیز</v>
      </c>
      <c r="D13" s="9">
        <f>انبار!I12</f>
        <v>9</v>
      </c>
      <c r="E13" s="9" t="str">
        <f>انبار!J12</f>
        <v>🟢 OK</v>
      </c>
      <c r="F13" s="18">
        <f>انبار!F12</f>
        <v>2480000</v>
      </c>
      <c r="G13" s="9" t="str">
        <f>IF(انبار!I12&lt;=0,"🔴 سفارش فوری",IF(انبار!I12&lt;=تنظیمات_سیستم!$C$7,"🟠 سفارش مجدد","✅"))</f>
        <v>✅</v>
      </c>
      <c r="H13" s="9" t="str">
        <f>IF(انبار!I12&lt;=تنظیمات_سیستم!$C$7,"سفارش دهید","—")</f>
        <v>—</v>
      </c>
    </row>
    <row r="14" spans="1:8" ht="18" customHeight="1">
      <c r="A14" s="9" t="str">
        <f>انبار!A13</f>
        <v>SKU-0010</v>
      </c>
      <c r="B14" s="17" t="str">
        <f>انبار!B13</f>
        <v>شومیز سایه سفید سایز2</v>
      </c>
      <c r="C14" s="17" t="str">
        <f>انبار!C13</f>
        <v>شومیز</v>
      </c>
      <c r="D14" s="9">
        <f>انبار!I13</f>
        <v>9</v>
      </c>
      <c r="E14" s="9" t="str">
        <f>انبار!J13</f>
        <v>🟢 OK</v>
      </c>
      <c r="F14" s="18">
        <f>انبار!F13</f>
        <v>2480000</v>
      </c>
      <c r="G14" s="9" t="str">
        <f>IF(انبار!I13&lt;=0,"🔴 سفارش فوری",IF(انبار!I13&lt;=تنظیمات_سیستم!$C$7,"🟠 سفارش مجدد","✅"))</f>
        <v>✅</v>
      </c>
      <c r="H14" s="9" t="str">
        <f>IF(انبار!I13&lt;=تنظیمات_سیستم!$C$7,"سفارش دهید","—")</f>
        <v>—</v>
      </c>
    </row>
    <row r="15" spans="1:8" ht="18" customHeight="1">
      <c r="A15" s="9" t="str">
        <f>انبار!A14</f>
        <v>SKU-0011</v>
      </c>
      <c r="B15" s="17" t="str">
        <f>انبار!B14</f>
        <v>شومیز سایه مشکی سایز1</v>
      </c>
      <c r="C15" s="17" t="str">
        <f>انبار!C14</f>
        <v>شومیز</v>
      </c>
      <c r="D15" s="9">
        <f>انبار!I14</f>
        <v>9</v>
      </c>
      <c r="E15" s="9" t="str">
        <f>انبار!J14</f>
        <v>🟢 OK</v>
      </c>
      <c r="F15" s="18">
        <f>انبار!F14</f>
        <v>2480000</v>
      </c>
      <c r="G15" s="9" t="str">
        <f>IF(انبار!I14&lt;=0,"🔴 سفارش فوری",IF(انبار!I14&lt;=تنظیمات_سیستم!$C$7,"🟠 سفارش مجدد","✅"))</f>
        <v>✅</v>
      </c>
      <c r="H15" s="9" t="str">
        <f>IF(انبار!I14&lt;=تنظیمات_سیستم!$C$7,"سفارش دهید","—")</f>
        <v>—</v>
      </c>
    </row>
    <row r="16" spans="1:8" ht="18" customHeight="1">
      <c r="A16" s="9" t="str">
        <f>انبار!A15</f>
        <v>SKU-0012</v>
      </c>
      <c r="B16" s="17" t="str">
        <f>انبار!B15</f>
        <v>شومیز سایه مشکی سایز2</v>
      </c>
      <c r="C16" s="17" t="str">
        <f>انبار!C15</f>
        <v>شومیز</v>
      </c>
      <c r="D16" s="9">
        <f>انبار!I15</f>
        <v>9</v>
      </c>
      <c r="E16" s="9" t="str">
        <f>انبار!J15</f>
        <v>🟢 OK</v>
      </c>
      <c r="F16" s="18">
        <f>انبار!F15</f>
        <v>2480000</v>
      </c>
      <c r="G16" s="9" t="str">
        <f>IF(انبار!I15&lt;=0,"🔴 سفارش فوری",IF(انبار!I15&lt;=تنظیمات_سیستم!$C$7,"🟠 سفارش مجدد","✅"))</f>
        <v>✅</v>
      </c>
      <c r="H16" s="9" t="str">
        <f>IF(انبار!I15&lt;=تنظیمات_سیستم!$C$7,"سفارش دهید","—")</f>
        <v>—</v>
      </c>
    </row>
    <row r="17" spans="1:8" ht="18" customHeight="1">
      <c r="A17" s="9" t="str">
        <f>انبار!A16</f>
        <v>SKU-0013</v>
      </c>
      <c r="B17" s="17" t="str">
        <f>انبار!B16</f>
        <v>شومیز سایه طوسی سایز1</v>
      </c>
      <c r="C17" s="17" t="str">
        <f>انبار!C16</f>
        <v>شومیز</v>
      </c>
      <c r="D17" s="9">
        <f>انبار!I16</f>
        <v>9</v>
      </c>
      <c r="E17" s="9" t="str">
        <f>انبار!J16</f>
        <v>🟢 OK</v>
      </c>
      <c r="F17" s="18">
        <f>انبار!F16</f>
        <v>2480000</v>
      </c>
      <c r="G17" s="9" t="str">
        <f>IF(انبار!I16&lt;=0,"🔴 سفارش فوری",IF(انبار!I16&lt;=تنظیمات_سیستم!$C$7,"🟠 سفارش مجدد","✅"))</f>
        <v>✅</v>
      </c>
      <c r="H17" s="9" t="str">
        <f>IF(انبار!I16&lt;=تنظیمات_سیستم!$C$7,"سفارش دهید","—")</f>
        <v>—</v>
      </c>
    </row>
    <row r="18" spans="1:8" ht="18" customHeight="1">
      <c r="A18" s="9" t="str">
        <f>انبار!A17</f>
        <v>SKU-0014</v>
      </c>
      <c r="B18" s="17" t="str">
        <f>انبار!B17</f>
        <v>شومیز سایه طوسی سایز2</v>
      </c>
      <c r="C18" s="17" t="str">
        <f>انبار!C17</f>
        <v>شومیز</v>
      </c>
      <c r="D18" s="9">
        <f>انبار!I17</f>
        <v>9</v>
      </c>
      <c r="E18" s="9" t="str">
        <f>انبار!J17</f>
        <v>🟢 OK</v>
      </c>
      <c r="F18" s="18">
        <f>انبار!F17</f>
        <v>2480000</v>
      </c>
      <c r="G18" s="9" t="str">
        <f>IF(انبار!I17&lt;=0,"🔴 سفارش فوری",IF(انبار!I17&lt;=تنظیمات_سیستم!$C$7,"🟠 سفارش مجدد","✅"))</f>
        <v>✅</v>
      </c>
      <c r="H18" s="9" t="str">
        <f>IF(انبار!I17&lt;=تنظیمات_سیستم!$C$7,"سفارش دهید","—")</f>
        <v>—</v>
      </c>
    </row>
    <row r="19" spans="1:8" ht="18" customHeight="1">
      <c r="A19" s="9" t="str">
        <f>انبار!A18</f>
        <v>SKU-0015</v>
      </c>
      <c r="B19" s="17" t="str">
        <f>انبار!B18</f>
        <v>شومیز سایه زرد سایز1</v>
      </c>
      <c r="C19" s="17" t="str">
        <f>انبار!C18</f>
        <v>شومیز</v>
      </c>
      <c r="D19" s="9">
        <f>انبار!I18</f>
        <v>9</v>
      </c>
      <c r="E19" s="9" t="str">
        <f>انبار!J18</f>
        <v>🟢 OK</v>
      </c>
      <c r="F19" s="18">
        <f>انبار!F18</f>
        <v>2480000</v>
      </c>
      <c r="G19" s="9" t="str">
        <f>IF(انبار!I18&lt;=0,"🔴 سفارش فوری",IF(انبار!I18&lt;=تنظیمات_سیستم!$C$7,"🟠 سفارش مجدد","✅"))</f>
        <v>✅</v>
      </c>
      <c r="H19" s="9" t="str">
        <f>IF(انبار!I18&lt;=تنظیمات_سیستم!$C$7,"سفارش دهید","—")</f>
        <v>—</v>
      </c>
    </row>
    <row r="20" spans="1:8" ht="18" customHeight="1">
      <c r="A20" s="9" t="str">
        <f>انبار!A19</f>
        <v>SKU-0016</v>
      </c>
      <c r="B20" s="17" t="str">
        <f>انبار!B19</f>
        <v>شومیز سایه زرد سایز2</v>
      </c>
      <c r="C20" s="17" t="str">
        <f>انبار!C19</f>
        <v>شومیز</v>
      </c>
      <c r="D20" s="9">
        <f>انبار!I19</f>
        <v>9</v>
      </c>
      <c r="E20" s="9" t="str">
        <f>انبار!J19</f>
        <v>🟢 OK</v>
      </c>
      <c r="F20" s="18">
        <f>انبار!F19</f>
        <v>900000</v>
      </c>
      <c r="G20" s="9" t="str">
        <f>IF(انبار!I19&lt;=0,"🔴 سفارش فوری",IF(انبار!I19&lt;=تنظیمات_سیستم!$C$7,"🟠 سفارش مجدد","✅"))</f>
        <v>✅</v>
      </c>
      <c r="H20" s="9" t="str">
        <f>IF(انبار!I19&lt;=تنظیمات_سیستم!$C$7,"سفارش دهید","—")</f>
        <v>—</v>
      </c>
    </row>
    <row r="21" spans="1:8" ht="18" customHeight="1">
      <c r="A21" s="9" t="str">
        <f>انبار!A20</f>
        <v>SKU-0017</v>
      </c>
      <c r="B21" s="17" t="str">
        <f>انبار!B20</f>
        <v>شومیز سایه خالدار سفیدزرد سایز1</v>
      </c>
      <c r="C21" s="17" t="str">
        <f>انبار!C20</f>
        <v>شومیز</v>
      </c>
      <c r="D21" s="9">
        <f>انبار!I20</f>
        <v>9</v>
      </c>
      <c r="E21" s="9" t="str">
        <f>انبار!J20</f>
        <v>🟢 OK</v>
      </c>
      <c r="F21" s="18">
        <f>انبار!F20</f>
        <v>900000</v>
      </c>
      <c r="G21" s="9" t="str">
        <f>IF(انبار!I20&lt;=0,"🔴 سفارش فوری",IF(انبار!I20&lt;=تنظیمات_سیستم!$C$7,"🟠 سفارش مجدد","✅"))</f>
        <v>✅</v>
      </c>
      <c r="H21" s="9" t="str">
        <f>IF(انبار!I20&lt;=تنظیمات_سیستم!$C$7,"سفارش دهید","—")</f>
        <v>—</v>
      </c>
    </row>
    <row r="22" spans="1:8" ht="18" customHeight="1">
      <c r="A22" s="9" t="str">
        <f>انبار!A21</f>
        <v>SKU-0018</v>
      </c>
      <c r="B22" s="17" t="str">
        <f>انبار!B21</f>
        <v>شومیز سایه خالدار سفیدزرد سایز2</v>
      </c>
      <c r="C22" s="17" t="str">
        <f>انبار!C21</f>
        <v>شومیز</v>
      </c>
      <c r="D22" s="9">
        <f>انبار!I21</f>
        <v>9</v>
      </c>
      <c r="E22" s="9" t="str">
        <f>انبار!J21</f>
        <v>🟢 OK</v>
      </c>
      <c r="F22" s="18">
        <f>انبار!F21</f>
        <v>900000</v>
      </c>
      <c r="G22" s="9" t="str">
        <f>IF(انبار!I21&lt;=0,"🔴 سفارش فوری",IF(انبار!I21&lt;=تنظیمات_سیستم!$C$7,"🟠 سفارش مجدد","✅"))</f>
        <v>✅</v>
      </c>
      <c r="H22" s="9" t="str">
        <f>IF(انبار!I21&lt;=تنظیمات_سیستم!$C$7,"سفارش دهید","—")</f>
        <v>—</v>
      </c>
    </row>
    <row r="23" spans="1:8" ht="18" customHeight="1">
      <c r="A23" s="9" t="str">
        <f>انبار!A22</f>
        <v>SKU-0019</v>
      </c>
      <c r="B23" s="17" t="str">
        <f>انبار!B22</f>
        <v>شومیز گیپور زرد فری</v>
      </c>
      <c r="C23" s="17" t="str">
        <f>انبار!C22</f>
        <v>شومیز</v>
      </c>
      <c r="D23" s="9">
        <f>انبار!I22</f>
        <v>9</v>
      </c>
      <c r="E23" s="9" t="str">
        <f>انبار!J22</f>
        <v>🟢 OK</v>
      </c>
      <c r="F23" s="18">
        <f>انبار!F22</f>
        <v>1080000</v>
      </c>
      <c r="G23" s="9" t="str">
        <f>IF(انبار!I22&lt;=0,"🔴 سفارش فوری",IF(انبار!I22&lt;=تنظیمات_سیستم!$C$7,"🟠 سفارش مجدد","✅"))</f>
        <v>✅</v>
      </c>
      <c r="H23" s="9" t="str">
        <f>IF(انبار!I22&lt;=تنظیمات_سیستم!$C$7,"سفارش دهید","—")</f>
        <v>—</v>
      </c>
    </row>
    <row r="24" spans="1:8" ht="18" customHeight="1">
      <c r="A24" s="9" t="str">
        <f>انبار!A23</f>
        <v>SKU-0020</v>
      </c>
      <c r="B24" s="17" t="str">
        <f>انبار!B23</f>
        <v>شومیز گیپور طوسی فری</v>
      </c>
      <c r="C24" s="17" t="str">
        <f>انبار!C23</f>
        <v>شومیز</v>
      </c>
      <c r="D24" s="9">
        <f>انبار!I23</f>
        <v>9</v>
      </c>
      <c r="E24" s="9" t="str">
        <f>انبار!J23</f>
        <v>🟢 OK</v>
      </c>
      <c r="F24" s="18">
        <f>انبار!F23</f>
        <v>1080000</v>
      </c>
      <c r="G24" s="9" t="str">
        <f>IF(انبار!I23&lt;=0,"🔴 سفارش فوری",IF(انبار!I23&lt;=تنظیمات_سیستم!$C$7,"🟠 سفارش مجدد","✅"))</f>
        <v>✅</v>
      </c>
      <c r="H24" s="9" t="str">
        <f>IF(انبار!I23&lt;=تنظیمات_سیستم!$C$7,"سفارش دهید","—")</f>
        <v>—</v>
      </c>
    </row>
    <row r="25" spans="1:8" ht="18" customHeight="1">
      <c r="A25" s="9" t="str">
        <f>انبار!A24</f>
        <v>SKU-0021</v>
      </c>
      <c r="B25" s="17" t="str">
        <f>انبار!B24</f>
        <v>شومیز گیپور آبی فری</v>
      </c>
      <c r="C25" s="17" t="str">
        <f>انبار!C24</f>
        <v>شومیز</v>
      </c>
      <c r="D25" s="9">
        <f>انبار!I24</f>
        <v>9</v>
      </c>
      <c r="E25" s="9" t="str">
        <f>انبار!J24</f>
        <v>🟢 OK</v>
      </c>
      <c r="F25" s="18">
        <f>انبار!F24</f>
        <v>1080000</v>
      </c>
      <c r="G25" s="9" t="str">
        <f>IF(انبار!I24&lt;=0,"🔴 سفارش فوری",IF(انبار!I24&lt;=تنظیمات_سیستم!$C$7,"🟠 سفارش مجدد","✅"))</f>
        <v>✅</v>
      </c>
      <c r="H25" s="9" t="str">
        <f>IF(انبار!I24&lt;=تنظیمات_سیستم!$C$7,"سفارش دهید","—")</f>
        <v>—</v>
      </c>
    </row>
    <row r="26" spans="1:8" ht="18" customHeight="1">
      <c r="A26" s="9" t="str">
        <f>انبار!A25</f>
        <v>SKU-0022</v>
      </c>
      <c r="B26" s="17" t="str">
        <f>انبار!B25</f>
        <v>شومیز گیپور صورتی فری</v>
      </c>
      <c r="C26" s="17" t="str">
        <f>انبار!C25</f>
        <v>شومیز</v>
      </c>
      <c r="D26" s="9">
        <f>انبار!I25</f>
        <v>9</v>
      </c>
      <c r="E26" s="9" t="str">
        <f>انبار!J25</f>
        <v>🟢 OK</v>
      </c>
      <c r="F26" s="18">
        <f>انبار!F25</f>
        <v>1080000</v>
      </c>
      <c r="G26" s="9" t="str">
        <f>IF(انبار!I25&lt;=0,"🔴 سفارش فوری",IF(انبار!I25&lt;=تنظیمات_سیستم!$C$7,"🟠 سفارش مجدد","✅"))</f>
        <v>✅</v>
      </c>
      <c r="H26" s="9" t="str">
        <f>IF(انبار!I25&lt;=تنظیمات_سیستم!$C$7,"سفارش دهید","—")</f>
        <v>—</v>
      </c>
    </row>
    <row r="27" spans="1:8" ht="18" customHeight="1">
      <c r="A27" s="9" t="str">
        <f>انبار!A26</f>
        <v>SKU-0023</v>
      </c>
      <c r="B27" s="17" t="str">
        <f>انبار!B26</f>
        <v>کت لینن مشکی فری</v>
      </c>
      <c r="C27" s="17" t="str">
        <f>انبار!C26</f>
        <v>کت</v>
      </c>
      <c r="D27" s="9">
        <f>انبار!I26</f>
        <v>9</v>
      </c>
      <c r="E27" s="9" t="str">
        <f>انبار!J26</f>
        <v>🟢 OK</v>
      </c>
      <c r="F27" s="18">
        <f>انبار!F26</f>
        <v>2800000</v>
      </c>
      <c r="G27" s="9" t="str">
        <f>IF(انبار!I26&lt;=0,"🔴 سفارش فوری",IF(انبار!I26&lt;=تنظیمات_سیستم!$C$7,"🟠 سفارش مجدد","✅"))</f>
        <v>✅</v>
      </c>
      <c r="H27" s="9" t="str">
        <f>IF(انبار!I26&lt;=تنظیمات_سیستم!$C$7,"سفارش دهید","—")</f>
        <v>—</v>
      </c>
    </row>
    <row r="28" spans="1:8" ht="18" customHeight="1">
      <c r="A28" s="9" t="str">
        <f>انبار!A27</f>
        <v>SKU-0024</v>
      </c>
      <c r="B28" s="17" t="str">
        <f>انبار!B27</f>
        <v>شلوار نیکول مشکی سایز1</v>
      </c>
      <c r="C28" s="17" t="str">
        <f>انبار!C27</f>
        <v>شلوار</v>
      </c>
      <c r="D28" s="9">
        <f>انبار!I27</f>
        <v>9</v>
      </c>
      <c r="E28" s="9" t="str">
        <f>انبار!J27</f>
        <v>🟢 OK</v>
      </c>
      <c r="F28" s="18">
        <f>انبار!F27</f>
        <v>2580000</v>
      </c>
      <c r="G28" s="9" t="str">
        <f>IF(انبار!I27&lt;=0,"🔴 سفارش فوری",IF(انبار!I27&lt;=تنظیمات_سیستم!$C$7,"🟠 سفارش مجدد","✅"))</f>
        <v>✅</v>
      </c>
      <c r="H28" s="9" t="str">
        <f>IF(انبار!I27&lt;=تنظیمات_سیستم!$C$7,"سفارش دهید","—")</f>
        <v>—</v>
      </c>
    </row>
    <row r="29" spans="1:8" ht="18" customHeight="1">
      <c r="A29" s="9" t="str">
        <f>انبار!A28</f>
        <v>SKU-0025</v>
      </c>
      <c r="B29" s="17" t="str">
        <f>انبار!B28</f>
        <v>شلوار نیکول مشکی سایز2</v>
      </c>
      <c r="C29" s="17" t="str">
        <f>انبار!C28</f>
        <v>شلوار</v>
      </c>
      <c r="D29" s="9">
        <f>انبار!I28</f>
        <v>9</v>
      </c>
      <c r="E29" s="9" t="str">
        <f>انبار!J28</f>
        <v>🟢 OK</v>
      </c>
      <c r="F29" s="18">
        <f>انبار!F28</f>
        <v>2580000</v>
      </c>
      <c r="G29" s="9" t="str">
        <f>IF(انبار!I28&lt;=0,"🔴 سفارش فوری",IF(انبار!I28&lt;=تنظیمات_سیستم!$C$7,"🟠 سفارش مجدد","✅"))</f>
        <v>✅</v>
      </c>
      <c r="H29" s="9" t="str">
        <f>IF(انبار!I28&lt;=تنظیمات_سیستم!$C$7,"سفارش دهید","—")</f>
        <v>—</v>
      </c>
    </row>
    <row r="30" spans="1:8" ht="18" customHeight="1">
      <c r="A30" s="9" t="str">
        <f>انبار!A29</f>
        <v>SKU-0026</v>
      </c>
      <c r="B30" s="17" t="str">
        <f>انبار!B29</f>
        <v>شلوار لی لی مشکی سایز1</v>
      </c>
      <c r="C30" s="17" t="str">
        <f>انبار!C29</f>
        <v>شلوار</v>
      </c>
      <c r="D30" s="9">
        <f>انبار!I29</f>
        <v>9</v>
      </c>
      <c r="E30" s="9" t="str">
        <f>انبار!J29</f>
        <v>🟢 OK</v>
      </c>
      <c r="F30" s="18">
        <f>انبار!F29</f>
        <v>1170000</v>
      </c>
      <c r="G30" s="9" t="str">
        <f>IF(انبار!I29&lt;=0,"🔴 سفارش فوری",IF(انبار!I29&lt;=تنظیمات_سیستم!$C$7,"🟠 سفارش مجدد","✅"))</f>
        <v>✅</v>
      </c>
      <c r="H30" s="9" t="str">
        <f>IF(انبار!I29&lt;=تنظیمات_سیستم!$C$7,"سفارش دهید","—")</f>
        <v>—</v>
      </c>
    </row>
    <row r="31" spans="1:8" ht="18" customHeight="1">
      <c r="A31" s="9" t="str">
        <f>انبار!A30</f>
        <v>SKU-0027</v>
      </c>
      <c r="B31" s="17" t="str">
        <f>انبار!B30</f>
        <v>شلوار لی لی مشکی سایز2</v>
      </c>
      <c r="C31" s="17" t="str">
        <f>انبار!C30</f>
        <v>شلوار</v>
      </c>
      <c r="D31" s="9">
        <f>انبار!I30</f>
        <v>9</v>
      </c>
      <c r="E31" s="9" t="str">
        <f>انبار!J30</f>
        <v>🟢 OK</v>
      </c>
      <c r="F31" s="18">
        <f>انبار!F30</f>
        <v>1170000</v>
      </c>
      <c r="G31" s="9" t="str">
        <f>IF(انبار!I30&lt;=0,"🔴 سفارش فوری",IF(انبار!I30&lt;=تنظیمات_سیستم!$C$7,"🟠 سفارش مجدد","✅"))</f>
        <v>✅</v>
      </c>
      <c r="H31" s="9" t="str">
        <f>IF(انبار!I30&lt;=تنظیمات_سیستم!$C$7,"سفارش دهید","—")</f>
        <v>—</v>
      </c>
    </row>
    <row r="32" spans="1:8" ht="18" customHeight="1">
      <c r="A32" s="9" t="str">
        <f>انبار!A31</f>
        <v>SKU-0028</v>
      </c>
      <c r="B32" s="17" t="str">
        <f>انبار!B31</f>
        <v>شلوار لی لی سفید سایز1</v>
      </c>
      <c r="C32" s="17" t="str">
        <f>انبار!C31</f>
        <v>شلوار</v>
      </c>
      <c r="D32" s="9">
        <f>انبار!I31</f>
        <v>9</v>
      </c>
      <c r="E32" s="9" t="str">
        <f>انبار!J31</f>
        <v>🟢 OK</v>
      </c>
      <c r="F32" s="18">
        <f>انبار!F31</f>
        <v>1170000</v>
      </c>
      <c r="G32" s="9" t="str">
        <f>IF(انبار!I31&lt;=0,"🔴 سفارش فوری",IF(انبار!I31&lt;=تنظیمات_سیستم!$C$7,"🟠 سفارش مجدد","✅"))</f>
        <v>✅</v>
      </c>
      <c r="H32" s="9" t="str">
        <f>IF(انبار!I31&lt;=تنظیمات_سیستم!$C$7,"سفارش دهید","—")</f>
        <v>—</v>
      </c>
    </row>
    <row r="33" spans="1:8" ht="18" customHeight="1">
      <c r="A33" s="9" t="str">
        <f>انبار!A32</f>
        <v>SKU-0029</v>
      </c>
      <c r="B33" s="17" t="str">
        <f>انبار!B32</f>
        <v>شلوار لی لی سفید سایز2</v>
      </c>
      <c r="C33" s="17" t="str">
        <f>انبار!C32</f>
        <v>شلوار</v>
      </c>
      <c r="D33" s="9">
        <f>انبار!I32</f>
        <v>9</v>
      </c>
      <c r="E33" s="9" t="str">
        <f>انبار!J32</f>
        <v>🟢 OK</v>
      </c>
      <c r="F33" s="18">
        <f>انبار!F32</f>
        <v>1170000</v>
      </c>
      <c r="G33" s="9" t="str">
        <f>IF(انبار!I32&lt;=0,"🔴 سفارش فوری",IF(انبار!I32&lt;=تنظیمات_سیستم!$C$7,"🟠 سفارش مجدد","✅"))</f>
        <v>✅</v>
      </c>
      <c r="H33" s="9" t="str">
        <f>IF(انبار!I32&lt;=تنظیمات_سیستم!$C$7,"سفارش دهید","—")</f>
        <v>—</v>
      </c>
    </row>
    <row r="34" spans="1:8" ht="18" customHeight="1">
      <c r="A34" s="9" t="str">
        <f>انبار!A33</f>
        <v>SKU-0030</v>
      </c>
      <c r="B34" s="17" t="str">
        <f>انبار!B33</f>
        <v>شلوار لی لی آبی سایز1</v>
      </c>
      <c r="C34" s="17" t="str">
        <f>انبار!C33</f>
        <v>شلوار</v>
      </c>
      <c r="D34" s="9">
        <f>انبار!I33</f>
        <v>9</v>
      </c>
      <c r="E34" s="9" t="str">
        <f>انبار!J33</f>
        <v>🟢 OK</v>
      </c>
      <c r="F34" s="18">
        <f>انبار!F33</f>
        <v>1170000</v>
      </c>
      <c r="G34" s="9" t="str">
        <f>IF(انبار!I33&lt;=0,"🔴 سفارش فوری",IF(انبار!I33&lt;=تنظیمات_سیستم!$C$7,"🟠 سفارش مجدد","✅"))</f>
        <v>✅</v>
      </c>
      <c r="H34" s="9" t="str">
        <f>IF(انبار!I33&lt;=تنظیمات_سیستم!$C$7,"سفارش دهید","—")</f>
        <v>—</v>
      </c>
    </row>
    <row r="35" spans="1:8" ht="18" customHeight="1">
      <c r="A35" s="9" t="str">
        <f>انبار!A34</f>
        <v>SKU-0031</v>
      </c>
      <c r="B35" s="17" t="str">
        <f>انبار!B34</f>
        <v>شلوار لی لی آبی سایز2</v>
      </c>
      <c r="C35" s="17" t="str">
        <f>انبار!C34</f>
        <v>شلوار</v>
      </c>
      <c r="D35" s="9">
        <f>انبار!I34</f>
        <v>9</v>
      </c>
      <c r="E35" s="9" t="str">
        <f>انبار!J34</f>
        <v>🟢 OK</v>
      </c>
      <c r="F35" s="18">
        <f>انبار!F34</f>
        <v>1170000</v>
      </c>
      <c r="G35" s="9" t="str">
        <f>IF(انبار!I34&lt;=0,"🔴 سفارش فوری",IF(انبار!I34&lt;=تنظیمات_سیستم!$C$7,"🟠 سفارش مجدد","✅"))</f>
        <v>✅</v>
      </c>
      <c r="H35" s="9" t="str">
        <f>IF(انبار!I34&lt;=تنظیمات_سیستم!$C$7,"سفارش دهید","—")</f>
        <v>—</v>
      </c>
    </row>
    <row r="36" spans="1:8" ht="18" customHeight="1">
      <c r="A36" s="9" t="str">
        <f>انبار!A35</f>
        <v>SKU-0032</v>
      </c>
      <c r="B36" s="17" t="str">
        <f>انبار!B35</f>
        <v>شومیز ستیا زرد گلدار سایز1</v>
      </c>
      <c r="C36" s="17" t="str">
        <f>انبار!C35</f>
        <v>شومیز</v>
      </c>
      <c r="D36" s="9">
        <f>انبار!I35</f>
        <v>9</v>
      </c>
      <c r="E36" s="9" t="str">
        <f>انبار!J35</f>
        <v>🟢 OK</v>
      </c>
      <c r="F36" s="18">
        <f>انبار!F35</f>
        <v>1580000</v>
      </c>
      <c r="G36" s="9" t="str">
        <f>IF(انبار!I35&lt;=0,"🔴 سفارش فوری",IF(انبار!I35&lt;=تنظیمات_سیستم!$C$7,"🟠 سفارش مجدد","✅"))</f>
        <v>✅</v>
      </c>
      <c r="H36" s="9" t="str">
        <f>IF(انبار!I35&lt;=تنظیمات_سیستم!$C$7,"سفارش دهید","—")</f>
        <v>—</v>
      </c>
    </row>
    <row r="37" spans="1:8" ht="18" customHeight="1">
      <c r="A37" s="9" t="str">
        <f>انبار!A36</f>
        <v>SKU-0033</v>
      </c>
      <c r="B37" s="17" t="str">
        <f>انبار!B36</f>
        <v>شومیز ستیا زرد گلدار سایز2</v>
      </c>
      <c r="C37" s="17" t="str">
        <f>انبار!C36</f>
        <v>شومیز</v>
      </c>
      <c r="D37" s="9">
        <f>انبار!I36</f>
        <v>9</v>
      </c>
      <c r="E37" s="9" t="str">
        <f>انبار!J36</f>
        <v>🟢 OK</v>
      </c>
      <c r="F37" s="18">
        <f>انبار!F36</f>
        <v>1580000</v>
      </c>
      <c r="G37" s="9" t="str">
        <f>IF(انبار!I36&lt;=0,"🔴 سفارش فوری",IF(انبار!I36&lt;=تنظیمات_سیستم!$C$7,"🟠 سفارش مجدد","✅"))</f>
        <v>✅</v>
      </c>
      <c r="H37" s="9" t="str">
        <f>IF(انبار!I36&lt;=تنظیمات_سیستم!$C$7,"سفارش دهید","—")</f>
        <v>—</v>
      </c>
    </row>
    <row r="38" spans="1:8" ht="18" customHeight="1">
      <c r="A38" s="9" t="str">
        <f>انبار!A37</f>
        <v>SKU-0034</v>
      </c>
      <c r="B38" s="17" t="str">
        <f>انبار!B37</f>
        <v>شومیز غزال مشکی سایز1</v>
      </c>
      <c r="C38" s="17" t="str">
        <f>انبار!C37</f>
        <v>شومیز</v>
      </c>
      <c r="D38" s="9">
        <f>انبار!I37</f>
        <v>9</v>
      </c>
      <c r="E38" s="9" t="str">
        <f>انبار!J37</f>
        <v>🟢 OK</v>
      </c>
      <c r="F38" s="18">
        <f>انبار!F37</f>
        <v>2580000</v>
      </c>
      <c r="G38" s="9" t="str">
        <f>IF(انبار!I37&lt;=0,"🔴 سفارش فوری",IF(انبار!I37&lt;=تنظیمات_سیستم!$C$7,"🟠 سفارش مجدد","✅"))</f>
        <v>✅</v>
      </c>
      <c r="H38" s="9" t="str">
        <f>IF(انبار!I37&lt;=تنظیمات_سیستم!$C$7,"سفارش دهید","—")</f>
        <v>—</v>
      </c>
    </row>
    <row r="39" spans="1:8" ht="18" customHeight="1">
      <c r="A39" s="9" t="str">
        <f>انبار!A38</f>
        <v>SKU-0035</v>
      </c>
      <c r="B39" s="17" t="str">
        <f>انبار!B38</f>
        <v>شومیز غزال مشکی سایز2</v>
      </c>
      <c r="C39" s="17" t="str">
        <f>انبار!C38</f>
        <v>شومیز</v>
      </c>
      <c r="D39" s="9">
        <f>انبار!I38</f>
        <v>9</v>
      </c>
      <c r="E39" s="9" t="str">
        <f>انبار!J38</f>
        <v>🟢 OK</v>
      </c>
      <c r="F39" s="18">
        <f>انبار!F38</f>
        <v>2580000</v>
      </c>
      <c r="G39" s="9" t="str">
        <f>IF(انبار!I38&lt;=0,"🔴 سفارش فوری",IF(انبار!I38&lt;=تنظیمات_سیستم!$C$7,"🟠 سفارش مجدد","✅"))</f>
        <v>✅</v>
      </c>
      <c r="H39" s="9" t="str">
        <f>IF(انبار!I38&lt;=تنظیمات_سیستم!$C$7,"سفارش دهید","—")</f>
        <v>—</v>
      </c>
    </row>
    <row r="40" spans="1:8" ht="18" customHeight="1">
      <c r="A40" s="9" t="str">
        <f>انبار!A39</f>
        <v>SKU-0036</v>
      </c>
      <c r="B40" s="17" t="str">
        <f>انبار!B39</f>
        <v>شومیز غزال سفید سایز1</v>
      </c>
      <c r="C40" s="17" t="str">
        <f>انبار!C39</f>
        <v>شومیز</v>
      </c>
      <c r="D40" s="9">
        <f>انبار!I39</f>
        <v>9</v>
      </c>
      <c r="E40" s="9" t="str">
        <f>انبار!J39</f>
        <v>🟢 OK</v>
      </c>
      <c r="F40" s="18">
        <f>انبار!F39</f>
        <v>2580000</v>
      </c>
      <c r="G40" s="9" t="str">
        <f>IF(انبار!I39&lt;=0,"🔴 سفارش فوری",IF(انبار!I39&lt;=تنظیمات_سیستم!$C$7,"🟠 سفارش مجدد","✅"))</f>
        <v>✅</v>
      </c>
      <c r="H40" s="9" t="str">
        <f>IF(انبار!I39&lt;=تنظیمات_سیستم!$C$7,"سفارش دهید","—")</f>
        <v>—</v>
      </c>
    </row>
    <row r="41" spans="1:8" ht="18" customHeight="1">
      <c r="A41" s="9" t="str">
        <f>انبار!A40</f>
        <v>SKU-0037</v>
      </c>
      <c r="B41" s="17" t="str">
        <f>انبار!B40</f>
        <v>شومیز غزال سفید سایز2</v>
      </c>
      <c r="C41" s="17" t="str">
        <f>انبار!C40</f>
        <v>شومیز</v>
      </c>
      <c r="D41" s="9">
        <f>انبار!I40</f>
        <v>9</v>
      </c>
      <c r="E41" s="9" t="str">
        <f>انبار!J40</f>
        <v>🟢 OK</v>
      </c>
      <c r="F41" s="18">
        <f>انبار!F40</f>
        <v>2580000</v>
      </c>
      <c r="G41" s="9" t="str">
        <f>IF(انبار!I40&lt;=0,"🔴 سفارش فوری",IF(انبار!I40&lt;=تنظیمات_سیستم!$C$7,"🟠 سفارش مجدد","✅"))</f>
        <v>✅</v>
      </c>
      <c r="H41" s="9" t="str">
        <f>IF(انبار!I40&lt;=تنظیمات_سیستم!$C$7,"سفارش دهید","—")</f>
        <v>—</v>
      </c>
    </row>
    <row r="42" spans="1:8" ht="18" customHeight="1">
      <c r="A42" s="9" t="str">
        <f>انبار!A41</f>
        <v>SKU-0038</v>
      </c>
      <c r="B42" s="17" t="str">
        <f>انبار!B41</f>
        <v>شومیز غزال آبی سایز1</v>
      </c>
      <c r="C42" s="17" t="str">
        <f>انبار!C41</f>
        <v>شومیز</v>
      </c>
      <c r="D42" s="9">
        <f>انبار!I41</f>
        <v>9</v>
      </c>
      <c r="E42" s="9" t="str">
        <f>انبار!J41</f>
        <v>🟢 OK</v>
      </c>
      <c r="F42" s="18">
        <f>انبار!F41</f>
        <v>2580000</v>
      </c>
      <c r="G42" s="9" t="str">
        <f>IF(انبار!I41&lt;=0,"🔴 سفارش فوری",IF(انبار!I41&lt;=تنظیمات_سیستم!$C$7,"🟠 سفارش مجدد","✅"))</f>
        <v>✅</v>
      </c>
      <c r="H42" s="9" t="str">
        <f>IF(انبار!I41&lt;=تنظیمات_سیستم!$C$7,"سفارش دهید","—")</f>
        <v>—</v>
      </c>
    </row>
    <row r="43" spans="1:8" ht="18" customHeight="1">
      <c r="A43" s="9" t="str">
        <f>انبار!A42</f>
        <v>SKU-0039</v>
      </c>
      <c r="B43" s="17" t="str">
        <f>انبار!B42</f>
        <v>شومیز غزال آبی سایز2</v>
      </c>
      <c r="C43" s="17" t="str">
        <f>انبار!C42</f>
        <v>شومیز</v>
      </c>
      <c r="D43" s="9">
        <f>انبار!I42</f>
        <v>9</v>
      </c>
      <c r="E43" s="9" t="str">
        <f>انبار!J42</f>
        <v>🟢 OK</v>
      </c>
      <c r="F43" s="18">
        <f>انبار!F42</f>
        <v>2580000</v>
      </c>
      <c r="G43" s="9" t="str">
        <f>IF(انبار!I42&lt;=0,"🔴 سفارش فوری",IF(انبار!I42&lt;=تنظیمات_سیستم!$C$7,"🟠 سفارش مجدد","✅"))</f>
        <v>✅</v>
      </c>
      <c r="H43" s="9" t="str">
        <f>IF(انبار!I42&lt;=تنظیمات_سیستم!$C$7,"سفارش دهید","—")</f>
        <v>—</v>
      </c>
    </row>
    <row r="44" spans="1:8" ht="18" customHeight="1">
      <c r="A44" s="9" t="str">
        <f>انبار!A43</f>
        <v>SKU-0040</v>
      </c>
      <c r="B44" s="17" t="str">
        <f>انبار!B43</f>
        <v>شومیز غزال بنفش سایز1</v>
      </c>
      <c r="C44" s="17" t="str">
        <f>انبار!C43</f>
        <v>شومیز</v>
      </c>
      <c r="D44" s="9">
        <f>انبار!I43</f>
        <v>9</v>
      </c>
      <c r="E44" s="9" t="str">
        <f>انبار!J43</f>
        <v>🟢 OK</v>
      </c>
      <c r="F44" s="18">
        <f>انبار!F43</f>
        <v>2580000</v>
      </c>
      <c r="G44" s="9" t="str">
        <f>IF(انبار!I43&lt;=0,"🔴 سفارش فوری",IF(انبار!I43&lt;=تنظیمات_سیستم!$C$7,"🟠 سفارش مجدد","✅"))</f>
        <v>✅</v>
      </c>
      <c r="H44" s="9" t="str">
        <f>IF(انبار!I43&lt;=تنظیمات_سیستم!$C$7,"سفارش دهید","—")</f>
        <v>—</v>
      </c>
    </row>
    <row r="45" spans="1:8" ht="18" customHeight="1">
      <c r="A45" s="9" t="str">
        <f>انبار!A44</f>
        <v>SKU-0041</v>
      </c>
      <c r="B45" s="17" t="str">
        <f>انبار!B44</f>
        <v>شومیز غزال بنفش سایز2</v>
      </c>
      <c r="C45" s="17" t="str">
        <f>انبار!C44</f>
        <v>شومیز</v>
      </c>
      <c r="D45" s="9">
        <f>انبار!I44</f>
        <v>9</v>
      </c>
      <c r="E45" s="9" t="str">
        <f>انبار!J44</f>
        <v>🟢 OK</v>
      </c>
      <c r="F45" s="18">
        <f>انبار!F44</f>
        <v>2580000</v>
      </c>
      <c r="G45" s="9" t="str">
        <f>IF(انبار!I44&lt;=0,"🔴 سفارش فوری",IF(انبار!I44&lt;=تنظیمات_سیستم!$C$7,"🟠 سفارش مجدد","✅"))</f>
        <v>✅</v>
      </c>
      <c r="H45" s="9" t="str">
        <f>IF(انبار!I44&lt;=تنظیمات_سیستم!$C$7,"سفارش دهید","—")</f>
        <v>—</v>
      </c>
    </row>
    <row r="46" spans="1:8" ht="18" customHeight="1">
      <c r="A46" s="9" t="str">
        <f>انبار!A45</f>
        <v>SKU-0042</v>
      </c>
      <c r="B46" s="17" t="str">
        <f>انبار!B45</f>
        <v>شومیز جانا مشکی سایز1</v>
      </c>
      <c r="C46" s="17" t="str">
        <f>انبار!C45</f>
        <v>شومیز</v>
      </c>
      <c r="D46" s="9">
        <f>انبار!I45</f>
        <v>9</v>
      </c>
      <c r="E46" s="9" t="str">
        <f>انبار!J45</f>
        <v>🟢 OK</v>
      </c>
      <c r="F46" s="18">
        <f>انبار!F45</f>
        <v>2580000</v>
      </c>
      <c r="G46" s="9" t="str">
        <f>IF(انبار!I45&lt;=0,"🔴 سفارش فوری",IF(انبار!I45&lt;=تنظیمات_سیستم!$C$7,"🟠 سفارش مجدد","✅"))</f>
        <v>✅</v>
      </c>
      <c r="H46" s="9" t="str">
        <f>IF(انبار!I45&lt;=تنظیمات_سیستم!$C$7,"سفارش دهید","—")</f>
        <v>—</v>
      </c>
    </row>
    <row r="47" spans="1:8" ht="18" customHeight="1">
      <c r="A47" s="9" t="str">
        <f>انبار!A46</f>
        <v>SKU-0043</v>
      </c>
      <c r="B47" s="17" t="str">
        <f>انبار!B46</f>
        <v>شومیز جانا مشکی سایز2</v>
      </c>
      <c r="C47" s="17" t="str">
        <f>انبار!C46</f>
        <v>شومیز</v>
      </c>
      <c r="D47" s="9">
        <f>انبار!I46</f>
        <v>9</v>
      </c>
      <c r="E47" s="9" t="str">
        <f>انبار!J46</f>
        <v>🟢 OK</v>
      </c>
      <c r="F47" s="18">
        <f>انبار!F46</f>
        <v>2580000</v>
      </c>
      <c r="G47" s="9" t="str">
        <f>IF(انبار!I46&lt;=0,"🔴 سفارش فوری",IF(انبار!I46&lt;=تنظیمات_سیستم!$C$7,"🟠 سفارش مجدد","✅"))</f>
        <v>✅</v>
      </c>
      <c r="H47" s="9" t="str">
        <f>IF(انبار!I46&lt;=تنظیمات_سیستم!$C$7,"سفارش دهید","—")</f>
        <v>—</v>
      </c>
    </row>
    <row r="48" spans="1:8" ht="18" customHeight="1">
      <c r="A48" s="9" t="str">
        <f>انبار!A47</f>
        <v>SKU-0044</v>
      </c>
      <c r="B48" s="17" t="str">
        <f>انبار!B47</f>
        <v>شومیز جانا صورتی سایز1</v>
      </c>
      <c r="C48" s="17" t="str">
        <f>انبار!C47</f>
        <v>شومیز</v>
      </c>
      <c r="D48" s="9">
        <f>انبار!I47</f>
        <v>9</v>
      </c>
      <c r="E48" s="9" t="str">
        <f>انبار!J47</f>
        <v>🟢 OK</v>
      </c>
      <c r="F48" s="18">
        <f>انبار!F47</f>
        <v>2580000</v>
      </c>
      <c r="G48" s="9" t="str">
        <f>IF(انبار!I47&lt;=0,"🔴 سفارش فوری",IF(انبار!I47&lt;=تنظیمات_سیستم!$C$7,"🟠 سفارش مجدد","✅"))</f>
        <v>✅</v>
      </c>
      <c r="H48" s="9" t="str">
        <f>IF(انبار!I47&lt;=تنظیمات_سیستم!$C$7,"سفارش دهید","—")</f>
        <v>—</v>
      </c>
    </row>
    <row r="49" spans="1:8" ht="18" customHeight="1">
      <c r="A49" s="9" t="str">
        <f>انبار!A48</f>
        <v>SKU-0045</v>
      </c>
      <c r="B49" s="17" t="str">
        <f>انبار!B48</f>
        <v>شومیز جانا صورتی سایز2</v>
      </c>
      <c r="C49" s="17" t="str">
        <f>انبار!C48</f>
        <v>شومیز</v>
      </c>
      <c r="D49" s="9">
        <f>انبار!I48</f>
        <v>9</v>
      </c>
      <c r="E49" s="9" t="str">
        <f>انبار!J48</f>
        <v>🟢 OK</v>
      </c>
      <c r="F49" s="18">
        <f>انبار!F48</f>
        <v>2580000</v>
      </c>
      <c r="G49" s="9" t="str">
        <f>IF(انبار!I48&lt;=0,"🔴 سفارش فوری",IF(انبار!I48&lt;=تنظیمات_سیستم!$C$7,"🟠 سفارش مجدد","✅"))</f>
        <v>✅</v>
      </c>
      <c r="H49" s="9" t="str">
        <f>IF(انبار!I48&lt;=تنظیمات_سیستم!$C$7,"سفارش دهید","—")</f>
        <v>—</v>
      </c>
    </row>
    <row r="50" spans="1:8" ht="18" customHeight="1">
      <c r="A50" s="9" t="str">
        <f>انبار!A49</f>
        <v>SKU-0046</v>
      </c>
      <c r="B50" s="17" t="str">
        <f>انبار!B49</f>
        <v>شومیز جانا کرم سایز1</v>
      </c>
      <c r="C50" s="17" t="str">
        <f>انبار!C49</f>
        <v>شومیز</v>
      </c>
      <c r="D50" s="9">
        <f>انبار!I49</f>
        <v>9</v>
      </c>
      <c r="E50" s="9" t="str">
        <f>انبار!J49</f>
        <v>🟢 OK</v>
      </c>
      <c r="F50" s="18">
        <f>انبار!F49</f>
        <v>2580000</v>
      </c>
      <c r="G50" s="9" t="str">
        <f>IF(انبار!I49&lt;=0,"🔴 سفارش فوری",IF(انبار!I49&lt;=تنظیمات_سیستم!$C$7,"🟠 سفارش مجدد","✅"))</f>
        <v>✅</v>
      </c>
      <c r="H50" s="9" t="str">
        <f>IF(انبار!I49&lt;=تنظیمات_سیستم!$C$7,"سفارش دهید","—")</f>
        <v>—</v>
      </c>
    </row>
    <row r="51" spans="1:8" ht="18" customHeight="1">
      <c r="A51" s="9" t="str">
        <f>انبار!A50</f>
        <v>SKU-0047</v>
      </c>
      <c r="B51" s="17" t="str">
        <f>انبار!B50</f>
        <v>شومیز جانا کرم سایز2</v>
      </c>
      <c r="C51" s="17" t="str">
        <f>انبار!C50</f>
        <v>شومیز</v>
      </c>
      <c r="D51" s="9">
        <f>انبار!I50</f>
        <v>9</v>
      </c>
      <c r="E51" s="9" t="str">
        <f>انبار!J50</f>
        <v>🟢 OK</v>
      </c>
      <c r="F51" s="18">
        <f>انبار!F50</f>
        <v>2580000</v>
      </c>
      <c r="G51" s="9" t="str">
        <f>IF(انبار!I50&lt;=0,"🔴 سفارش فوری",IF(انبار!I50&lt;=تنظیمات_سیستم!$C$7,"🟠 سفارش مجدد","✅"))</f>
        <v>✅</v>
      </c>
      <c r="H51" s="9" t="str">
        <f>IF(انبار!I50&lt;=تنظیمات_سیستم!$C$7,"سفارش دهید","—")</f>
        <v>—</v>
      </c>
    </row>
    <row r="52" spans="1:8" ht="18" customHeight="1">
      <c r="A52" s="9" t="str">
        <f>انبار!A51</f>
        <v>SKU-0048</v>
      </c>
      <c r="B52" s="17" t="str">
        <f>انبار!B51</f>
        <v>شومیز جانا  کاربنی سایز1</v>
      </c>
      <c r="C52" s="17" t="str">
        <f>انبار!C51</f>
        <v>شومیز</v>
      </c>
      <c r="D52" s="9">
        <f>انبار!I51</f>
        <v>9</v>
      </c>
      <c r="E52" s="9" t="str">
        <f>انبار!J51</f>
        <v>🟢 OK</v>
      </c>
      <c r="F52" s="18">
        <f>انبار!F51</f>
        <v>2580000</v>
      </c>
      <c r="G52" s="9" t="str">
        <f>IF(انبار!I51&lt;=0,"🔴 سفارش فوری",IF(انبار!I51&lt;=تنظیمات_سیستم!$C$7,"🟠 سفارش مجدد","✅"))</f>
        <v>✅</v>
      </c>
      <c r="H52" s="9" t="str">
        <f>IF(انبار!I51&lt;=تنظیمات_سیستم!$C$7,"سفارش دهید","—")</f>
        <v>—</v>
      </c>
    </row>
    <row r="53" spans="1:8" ht="18" customHeight="1">
      <c r="A53" s="9" t="str">
        <f>انبار!A52</f>
        <v>SKU-0049</v>
      </c>
      <c r="B53" s="17" t="str">
        <f>انبار!B52</f>
        <v>شومیز جانا کاربنی سایز2</v>
      </c>
      <c r="C53" s="17" t="str">
        <f>انبار!C52</f>
        <v>شومیز</v>
      </c>
      <c r="D53" s="9">
        <f>انبار!I52</f>
        <v>9</v>
      </c>
      <c r="E53" s="9" t="str">
        <f>انبار!J52</f>
        <v>🟢 OK</v>
      </c>
      <c r="F53" s="18">
        <f>انبار!F52</f>
        <v>2580000</v>
      </c>
      <c r="G53" s="9" t="str">
        <f>IF(انبار!I52&lt;=0,"🔴 سفارش فوری",IF(انبار!I52&lt;=تنظیمات_سیستم!$C$7,"🟠 سفارش مجدد","✅"))</f>
        <v>✅</v>
      </c>
      <c r="H53" s="9" t="str">
        <f>IF(انبار!I52&lt;=تنظیمات_سیستم!$C$7,"سفارش دهید","—")</f>
        <v>—</v>
      </c>
    </row>
    <row r="54" spans="1:8" ht="18" customHeight="1">
      <c r="A54" s="9" t="str">
        <f>انبار!A53</f>
        <v>SKU-0050</v>
      </c>
      <c r="B54" s="17" t="str">
        <f>انبار!B53</f>
        <v>شومیز ویولا مشکی سایز1</v>
      </c>
      <c r="C54" s="17" t="str">
        <f>انبار!C53</f>
        <v>شومیز</v>
      </c>
      <c r="D54" s="9">
        <f>انبار!I53</f>
        <v>9</v>
      </c>
      <c r="E54" s="9" t="str">
        <f>انبار!J53</f>
        <v>🟢 OK</v>
      </c>
      <c r="F54" s="18">
        <f>انبار!F53</f>
        <v>2480000</v>
      </c>
      <c r="G54" s="9" t="str">
        <f>IF(انبار!I53&lt;=0,"🔴 سفارش فوری",IF(انبار!I53&lt;=تنظیمات_سیستم!$C$7,"🟠 سفارش مجدد","✅"))</f>
        <v>✅</v>
      </c>
      <c r="H54" s="9" t="str">
        <f>IF(انبار!I53&lt;=تنظیمات_سیستم!$C$7,"سفارش دهید","—")</f>
        <v>—</v>
      </c>
    </row>
    <row r="55" spans="1:8" ht="18" customHeight="1">
      <c r="A55" s="9" t="str">
        <f>انبار!A54</f>
        <v>SKU-0051</v>
      </c>
      <c r="B55" s="17" t="str">
        <f>انبار!B54</f>
        <v>شومیز ویولا مشکی سایز2</v>
      </c>
      <c r="C55" s="17" t="str">
        <f>انبار!C54</f>
        <v>شومیز</v>
      </c>
      <c r="D55" s="9">
        <f>انبار!I54</f>
        <v>9</v>
      </c>
      <c r="E55" s="9" t="str">
        <f>انبار!J54</f>
        <v>🟢 OK</v>
      </c>
      <c r="F55" s="18">
        <f>انبار!F54</f>
        <v>2480000</v>
      </c>
      <c r="G55" s="9" t="str">
        <f>IF(انبار!I54&lt;=0,"🔴 سفارش فوری",IF(انبار!I54&lt;=تنظیمات_سیستم!$C$7,"🟠 سفارش مجدد","✅"))</f>
        <v>✅</v>
      </c>
      <c r="H55" s="9" t="str">
        <f>IF(انبار!I54&lt;=تنظیمات_سیستم!$C$7,"سفارش دهید","—")</f>
        <v>—</v>
      </c>
    </row>
    <row r="56" spans="1:8" ht="18" customHeight="1">
      <c r="A56" s="9" t="str">
        <f>انبار!A55</f>
        <v>SKU-0052</v>
      </c>
      <c r="B56" s="17" t="str">
        <f>انبار!B55</f>
        <v>شومیز ویولا صورتی سایز1</v>
      </c>
      <c r="C56" s="17" t="str">
        <f>انبار!C55</f>
        <v>شومیز</v>
      </c>
      <c r="D56" s="9">
        <f>انبار!I55</f>
        <v>9</v>
      </c>
      <c r="E56" s="9" t="str">
        <f>انبار!J55</f>
        <v>🟢 OK</v>
      </c>
      <c r="F56" s="18">
        <f>انبار!F55</f>
        <v>2480000</v>
      </c>
      <c r="G56" s="9" t="str">
        <f>IF(انبار!I55&lt;=0,"🔴 سفارش فوری",IF(انبار!I55&lt;=تنظیمات_سیستم!$C$7,"🟠 سفارش مجدد","✅"))</f>
        <v>✅</v>
      </c>
      <c r="H56" s="9" t="str">
        <f>IF(انبار!I55&lt;=تنظیمات_سیستم!$C$7,"سفارش دهید","—")</f>
        <v>—</v>
      </c>
    </row>
    <row r="57" spans="1:8" ht="18" customHeight="1">
      <c r="A57" s="9" t="str">
        <f>انبار!A56</f>
        <v>SKU-0053</v>
      </c>
      <c r="B57" s="17" t="str">
        <f>انبار!B56</f>
        <v>شومیز ویولا صورتی سایز2</v>
      </c>
      <c r="C57" s="17" t="str">
        <f>انبار!C56</f>
        <v>شومیز</v>
      </c>
      <c r="D57" s="9">
        <f>انبار!I56</f>
        <v>9</v>
      </c>
      <c r="E57" s="9" t="str">
        <f>انبار!J56</f>
        <v>🟢 OK</v>
      </c>
      <c r="F57" s="18">
        <f>انبار!F56</f>
        <v>2480000</v>
      </c>
      <c r="G57" s="9" t="str">
        <f>IF(انبار!I56&lt;=0,"🔴 سفارش فوری",IF(انبار!I56&lt;=تنظیمات_سیستم!$C$7,"🟠 سفارش مجدد","✅"))</f>
        <v>✅</v>
      </c>
      <c r="H57" s="9" t="str">
        <f>IF(انبار!I56&lt;=تنظیمات_سیستم!$C$7,"سفارش دهید","—")</f>
        <v>—</v>
      </c>
    </row>
    <row r="58" spans="1:8" ht="18" customHeight="1">
      <c r="A58" s="9" t="str">
        <f>انبار!A57</f>
        <v>SKU-0054</v>
      </c>
      <c r="B58" s="17" t="str">
        <f>انبار!B57</f>
        <v>شومیز ویولا سرخابی سایز1</v>
      </c>
      <c r="C58" s="17" t="str">
        <f>انبار!C57</f>
        <v>شومیز</v>
      </c>
      <c r="D58" s="9">
        <f>انبار!I57</f>
        <v>9</v>
      </c>
      <c r="E58" s="9" t="str">
        <f>انبار!J57</f>
        <v>🟢 OK</v>
      </c>
      <c r="F58" s="18">
        <f>انبار!F57</f>
        <v>2480000</v>
      </c>
      <c r="G58" s="9" t="str">
        <f>IF(انبار!I57&lt;=0,"🔴 سفارش فوری",IF(انبار!I57&lt;=تنظیمات_سیستم!$C$7,"🟠 سفارش مجدد","✅"))</f>
        <v>✅</v>
      </c>
      <c r="H58" s="9" t="str">
        <f>IF(انبار!I57&lt;=تنظیمات_سیستم!$C$7,"سفارش دهید","—")</f>
        <v>—</v>
      </c>
    </row>
    <row r="59" spans="1:8" ht="18" customHeight="1">
      <c r="A59" s="9" t="str">
        <f>انبار!A58</f>
        <v>SKU-0055</v>
      </c>
      <c r="B59" s="17" t="str">
        <f>انبار!B58</f>
        <v>شومیز ویولا سرخابی سایز2</v>
      </c>
      <c r="C59" s="17" t="str">
        <f>انبار!C58</f>
        <v>شومیز</v>
      </c>
      <c r="D59" s="9">
        <f>انبار!I58</f>
        <v>9</v>
      </c>
      <c r="E59" s="9" t="str">
        <f>انبار!J58</f>
        <v>🟢 OK</v>
      </c>
      <c r="F59" s="18">
        <f>انبار!F58</f>
        <v>2480000</v>
      </c>
      <c r="G59" s="9" t="str">
        <f>IF(انبار!I58&lt;=0,"🔴 سفارش فوری",IF(انبار!I58&lt;=تنظیمات_سیستم!$C$7,"🟠 سفارش مجدد","✅"))</f>
        <v>✅</v>
      </c>
      <c r="H59" s="9" t="str">
        <f>IF(انبار!I58&lt;=تنظیمات_سیستم!$C$7,"سفارش دهید","—")</f>
        <v>—</v>
      </c>
    </row>
    <row r="60" spans="1:8" ht="18" customHeight="1">
      <c r="A60" s="9" t="str">
        <f>انبار!A59</f>
        <v>SKU-0056</v>
      </c>
      <c r="B60" s="17" t="str">
        <f>انبار!B59</f>
        <v>شومیز ویولا کرم سایز1</v>
      </c>
      <c r="C60" s="17" t="str">
        <f>انبار!C59</f>
        <v>شومیز</v>
      </c>
      <c r="D60" s="9">
        <f>انبار!I59</f>
        <v>9</v>
      </c>
      <c r="E60" s="9" t="str">
        <f>انبار!J59</f>
        <v>🟢 OK</v>
      </c>
      <c r="F60" s="18">
        <f>انبار!F59</f>
        <v>2480000</v>
      </c>
      <c r="G60" s="9" t="str">
        <f>IF(انبار!I59&lt;=0,"🔴 سفارش فوری",IF(انبار!I59&lt;=تنظیمات_سیستم!$C$7,"🟠 سفارش مجدد","✅"))</f>
        <v>✅</v>
      </c>
      <c r="H60" s="9" t="str">
        <f>IF(انبار!I59&lt;=تنظیمات_سیستم!$C$7,"سفارش دهید","—")</f>
        <v>—</v>
      </c>
    </row>
    <row r="61" spans="1:8" ht="18" customHeight="1">
      <c r="A61" s="9" t="str">
        <f>انبار!A60</f>
        <v>SKU-0057</v>
      </c>
      <c r="B61" s="17" t="str">
        <f>انبار!B60</f>
        <v>شومیز ویولا کرم سایز2</v>
      </c>
      <c r="C61" s="17" t="str">
        <f>انبار!C60</f>
        <v>شومیز</v>
      </c>
      <c r="D61" s="9">
        <f>انبار!I60</f>
        <v>9</v>
      </c>
      <c r="E61" s="9" t="str">
        <f>انبار!J60</f>
        <v>🟢 OK</v>
      </c>
      <c r="F61" s="18">
        <f>انبار!F60</f>
        <v>2480000</v>
      </c>
      <c r="G61" s="9" t="str">
        <f>IF(انبار!I60&lt;=0,"🔴 سفارش فوری",IF(انبار!I60&lt;=تنظیمات_سیستم!$C$7,"🟠 سفارش مجدد","✅"))</f>
        <v>✅</v>
      </c>
      <c r="H61" s="9" t="str">
        <f>IF(انبار!I60&lt;=تنظیمات_سیستم!$C$7,"سفارش دهید","—")</f>
        <v>—</v>
      </c>
    </row>
    <row r="62" spans="1:8" ht="18" customHeight="1">
      <c r="A62" s="9" t="str">
        <f>انبار!A61</f>
        <v>SKU-0058</v>
      </c>
      <c r="B62" s="17" t="str">
        <f>انبار!B61</f>
        <v>شومیز دریا صورتی سایز1</v>
      </c>
      <c r="C62" s="17" t="str">
        <f>انبار!C61</f>
        <v>شومیز</v>
      </c>
      <c r="D62" s="9">
        <f>انبار!I61</f>
        <v>9</v>
      </c>
      <c r="E62" s="9" t="str">
        <f>انبار!J61</f>
        <v>🟢 OK</v>
      </c>
      <c r="F62" s="18">
        <f>انبار!F61</f>
        <v>2580000</v>
      </c>
      <c r="G62" s="9" t="str">
        <f>IF(انبار!I61&lt;=0,"🔴 سفارش فوری",IF(انبار!I61&lt;=تنظیمات_سیستم!$C$7,"🟠 سفارش مجدد","✅"))</f>
        <v>✅</v>
      </c>
      <c r="H62" s="9" t="str">
        <f>IF(انبار!I61&lt;=تنظیمات_سیستم!$C$7,"سفارش دهید","—")</f>
        <v>—</v>
      </c>
    </row>
    <row r="63" spans="1:8" ht="18" customHeight="1">
      <c r="A63" s="9" t="str">
        <f>انبار!A62</f>
        <v>SKU-0059</v>
      </c>
      <c r="B63" s="17" t="str">
        <f>انبار!B62</f>
        <v>شومیز دریا صورتی سایز2</v>
      </c>
      <c r="C63" s="17" t="str">
        <f>انبار!C62</f>
        <v>شومیز</v>
      </c>
      <c r="D63" s="9">
        <f>انبار!I62</f>
        <v>9</v>
      </c>
      <c r="E63" s="9" t="str">
        <f>انبار!J62</f>
        <v>🟢 OK</v>
      </c>
      <c r="F63" s="18">
        <f>انبار!F62</f>
        <v>2580000</v>
      </c>
      <c r="G63" s="9" t="str">
        <f>IF(انبار!I62&lt;=0,"🔴 سفارش فوری",IF(انبار!I62&lt;=تنظیمات_سیستم!$C$7,"🟠 سفارش مجدد","✅"))</f>
        <v>✅</v>
      </c>
      <c r="H63" s="9" t="str">
        <f>IF(انبار!I62&lt;=تنظیمات_سیستم!$C$7,"سفارش دهید","—")</f>
        <v>—</v>
      </c>
    </row>
    <row r="64" spans="1:8" ht="18" customHeight="1">
      <c r="A64" s="9" t="str">
        <f>انبار!A63</f>
        <v>SKU-0060</v>
      </c>
      <c r="B64" s="17" t="str">
        <f>انبار!B63</f>
        <v>شومیز دریا مشکی سایز1</v>
      </c>
      <c r="C64" s="17" t="str">
        <f>انبار!C63</f>
        <v>شومیز</v>
      </c>
      <c r="D64" s="9">
        <f>انبار!I63</f>
        <v>9</v>
      </c>
      <c r="E64" s="9" t="str">
        <f>انبار!J63</f>
        <v>🟢 OK</v>
      </c>
      <c r="F64" s="18">
        <f>انبار!F63</f>
        <v>2580000</v>
      </c>
      <c r="G64" s="9" t="str">
        <f>IF(انبار!I63&lt;=0,"🔴 سفارش فوری",IF(انبار!I63&lt;=تنظیمات_سیستم!$C$7,"🟠 سفارش مجدد","✅"))</f>
        <v>✅</v>
      </c>
      <c r="H64" s="9" t="str">
        <f>IF(انبار!I63&lt;=تنظیمات_سیستم!$C$7,"سفارش دهید","—")</f>
        <v>—</v>
      </c>
    </row>
    <row r="65" spans="1:8" ht="18" customHeight="1">
      <c r="A65" s="9" t="str">
        <f>انبار!A64</f>
        <v>SKU-0061</v>
      </c>
      <c r="B65" s="17" t="str">
        <f>انبار!B64</f>
        <v>شومیز دریا مشکی سایز2</v>
      </c>
      <c r="C65" s="17" t="str">
        <f>انبار!C64</f>
        <v>شومیز</v>
      </c>
      <c r="D65" s="9">
        <f>انبار!I64</f>
        <v>9</v>
      </c>
      <c r="E65" s="9" t="str">
        <f>انبار!J64</f>
        <v>🟢 OK</v>
      </c>
      <c r="F65" s="18">
        <f>انبار!F64</f>
        <v>2580000</v>
      </c>
      <c r="G65" s="9" t="str">
        <f>IF(انبار!I64&lt;=0,"🔴 سفارش فوری",IF(انبار!I64&lt;=تنظیمات_سیستم!$C$7,"🟠 سفارش مجدد","✅"))</f>
        <v>✅</v>
      </c>
      <c r="H65" s="9" t="str">
        <f>IF(انبار!I64&lt;=تنظیمات_سیستم!$C$7,"سفارش دهید","—")</f>
        <v>—</v>
      </c>
    </row>
    <row r="66" spans="1:8" ht="18" customHeight="1">
      <c r="A66" s="9" t="str">
        <f>انبار!A65</f>
        <v>SKU-0062</v>
      </c>
      <c r="B66" s="17" t="str">
        <f>انبار!B65</f>
        <v>شومیز دریا کرم سایز1</v>
      </c>
      <c r="C66" s="17" t="str">
        <f>انبار!C65</f>
        <v>شومیز</v>
      </c>
      <c r="D66" s="9">
        <f>انبار!I65</f>
        <v>9</v>
      </c>
      <c r="E66" s="9" t="str">
        <f>انبار!J65</f>
        <v>🟢 OK</v>
      </c>
      <c r="F66" s="18">
        <f>انبار!F65</f>
        <v>2580000</v>
      </c>
      <c r="G66" s="9" t="str">
        <f>IF(انبار!I65&lt;=0,"🔴 سفارش فوری",IF(انبار!I65&lt;=تنظیمات_سیستم!$C$7,"🟠 سفارش مجدد","✅"))</f>
        <v>✅</v>
      </c>
      <c r="H66" s="9" t="str">
        <f>IF(انبار!I65&lt;=تنظیمات_سیستم!$C$7,"سفارش دهید","—")</f>
        <v>—</v>
      </c>
    </row>
    <row r="67" spans="1:8" ht="18" customHeight="1">
      <c r="A67" s="9" t="str">
        <f>انبار!A66</f>
        <v>SKU-0063</v>
      </c>
      <c r="B67" s="17" t="str">
        <f>انبار!B66</f>
        <v>شومیز دریا کرم سایز2</v>
      </c>
      <c r="C67" s="17" t="str">
        <f>انبار!C66</f>
        <v>شومیز</v>
      </c>
      <c r="D67" s="9">
        <f>انبار!I66</f>
        <v>9</v>
      </c>
      <c r="E67" s="9" t="str">
        <f>انبار!J66</f>
        <v>🟢 OK</v>
      </c>
      <c r="F67" s="18">
        <f>انبار!F66</f>
        <v>2580000</v>
      </c>
      <c r="G67" s="9" t="str">
        <f>IF(انبار!I66&lt;=0,"🔴 سفارش فوری",IF(انبار!I66&lt;=تنظیمات_سیستم!$C$7,"🟠 سفارش مجدد","✅"))</f>
        <v>✅</v>
      </c>
      <c r="H67" s="9" t="str">
        <f>IF(انبار!I66&lt;=تنظیمات_سیستم!$C$7,"سفارش دهید","—")</f>
        <v>—</v>
      </c>
    </row>
    <row r="68" spans="1:8" ht="18" customHeight="1">
      <c r="A68" s="9" t="str">
        <f>انبار!A67</f>
        <v>SKU-0064</v>
      </c>
      <c r="B68" s="17" t="str">
        <f>انبار!B67</f>
        <v>شومیز دریا کاربنی سایز1</v>
      </c>
      <c r="C68" s="17" t="str">
        <f>انبار!C67</f>
        <v>شومیز</v>
      </c>
      <c r="D68" s="9">
        <f>انبار!I67</f>
        <v>9</v>
      </c>
      <c r="E68" s="9" t="str">
        <f>انبار!J67</f>
        <v>🟢 OK</v>
      </c>
      <c r="F68" s="18">
        <f>انبار!F67</f>
        <v>2580000</v>
      </c>
      <c r="G68" s="9" t="str">
        <f>IF(انبار!I67&lt;=0,"🔴 سفارش فوری",IF(انبار!I67&lt;=تنظیمات_سیستم!$C$7,"🟠 سفارش مجدد","✅"))</f>
        <v>✅</v>
      </c>
      <c r="H68" s="9" t="str">
        <f>IF(انبار!I67&lt;=تنظیمات_سیستم!$C$7,"سفارش دهید","—")</f>
        <v>—</v>
      </c>
    </row>
    <row r="69" spans="1:8" ht="18" customHeight="1">
      <c r="A69" s="9" t="str">
        <f>انبار!A68</f>
        <v>SKU-0065</v>
      </c>
      <c r="B69" s="17" t="str">
        <f>انبار!B68</f>
        <v>شومیز دریا کاربنی سایز2</v>
      </c>
      <c r="C69" s="17" t="str">
        <f>انبار!C68</f>
        <v>شومیز</v>
      </c>
      <c r="D69" s="9">
        <f>انبار!I68</f>
        <v>9</v>
      </c>
      <c r="E69" s="9" t="str">
        <f>انبار!J68</f>
        <v>🟢 OK</v>
      </c>
      <c r="F69" s="18">
        <f>انبار!F68</f>
        <v>2580000</v>
      </c>
      <c r="G69" s="9" t="str">
        <f>IF(انبار!I68&lt;=0,"🔴 سفارش فوری",IF(انبار!I68&lt;=تنظیمات_سیستم!$C$7,"🟠 سفارش مجدد","✅"))</f>
        <v>✅</v>
      </c>
      <c r="H69" s="9" t="str">
        <f>IF(انبار!I68&lt;=تنظیمات_سیستم!$C$7,"سفارش دهید","—")</f>
        <v>—</v>
      </c>
    </row>
    <row r="70" spans="1:8" ht="18" customHeight="1">
      <c r="A70" s="9" t="str">
        <f>انبار!A69</f>
        <v>SKU-0066</v>
      </c>
      <c r="B70" s="17" t="str">
        <f>انبار!B69</f>
        <v>شومیز لیو نباتی سایز1</v>
      </c>
      <c r="C70" s="17" t="str">
        <f>انبار!C69</f>
        <v>شومیز</v>
      </c>
      <c r="D70" s="9">
        <f>انبار!I69</f>
        <v>9</v>
      </c>
      <c r="E70" s="9" t="str">
        <f>انبار!J69</f>
        <v>🟢 OK</v>
      </c>
      <c r="F70" s="18">
        <f>انبار!F69</f>
        <v>3580000</v>
      </c>
      <c r="G70" s="9" t="str">
        <f>IF(انبار!I69&lt;=0,"🔴 سفارش فوری",IF(انبار!I69&lt;=تنظیمات_سیستم!$C$7,"🟠 سفارش مجدد","✅"))</f>
        <v>✅</v>
      </c>
      <c r="H70" s="9" t="str">
        <f>IF(انبار!I69&lt;=تنظیمات_سیستم!$C$7,"سفارش دهید","—")</f>
        <v>—</v>
      </c>
    </row>
    <row r="71" spans="1:8" ht="18" customHeight="1">
      <c r="A71" s="9" t="str">
        <f>انبار!A70</f>
        <v>SKU-0067</v>
      </c>
      <c r="B71" s="17" t="str">
        <f>انبار!B70</f>
        <v>شومیز لیو نباتی سایز2</v>
      </c>
      <c r="C71" s="17" t="str">
        <f>انبار!C70</f>
        <v>شومیز</v>
      </c>
      <c r="D71" s="9">
        <f>انبار!I70</f>
        <v>9</v>
      </c>
      <c r="E71" s="9" t="str">
        <f>انبار!J70</f>
        <v>🟢 OK</v>
      </c>
      <c r="F71" s="18">
        <f>انبار!F70</f>
        <v>3580000</v>
      </c>
      <c r="G71" s="9" t="str">
        <f>IF(انبار!I70&lt;=0,"🔴 سفارش فوری",IF(انبار!I70&lt;=تنظیمات_سیستم!$C$7,"🟠 سفارش مجدد","✅"))</f>
        <v>✅</v>
      </c>
      <c r="H71" s="9" t="str">
        <f>IF(انبار!I70&lt;=تنظیمات_سیستم!$C$7,"سفارش دهید","—")</f>
        <v>—</v>
      </c>
    </row>
    <row r="72" spans="1:8" ht="18" customHeight="1">
      <c r="A72" s="9" t="str">
        <f>انبار!A71</f>
        <v>SKU-0068</v>
      </c>
      <c r="B72" s="17" t="str">
        <f>انبار!B71</f>
        <v>شومیز لیو یاسی سایز1</v>
      </c>
      <c r="C72" s="17" t="str">
        <f>انبار!C71</f>
        <v>شومیز</v>
      </c>
      <c r="D72" s="9">
        <f>انبار!I71</f>
        <v>9</v>
      </c>
      <c r="E72" s="9" t="str">
        <f>انبار!J71</f>
        <v>🟢 OK</v>
      </c>
      <c r="F72" s="18">
        <f>انبار!F71</f>
        <v>3580000</v>
      </c>
      <c r="G72" s="9" t="str">
        <f>IF(انبار!I71&lt;=0,"🔴 سفارش فوری",IF(انبار!I71&lt;=تنظیمات_سیستم!$C$7,"🟠 سفارش مجدد","✅"))</f>
        <v>✅</v>
      </c>
      <c r="H72" s="9" t="str">
        <f>IF(انبار!I71&lt;=تنظیمات_سیستم!$C$7,"سفارش دهید","—")</f>
        <v>—</v>
      </c>
    </row>
    <row r="73" spans="1:8" ht="18" customHeight="1">
      <c r="A73" s="9" t="str">
        <f>انبار!A72</f>
        <v>SKU-0069</v>
      </c>
      <c r="B73" s="17" t="str">
        <f>انبار!B72</f>
        <v>شومیز لیو یاسی سایز2</v>
      </c>
      <c r="C73" s="17" t="str">
        <f>انبار!C72</f>
        <v>شومیز</v>
      </c>
      <c r="D73" s="9">
        <f>انبار!I72</f>
        <v>9</v>
      </c>
      <c r="E73" s="9" t="str">
        <f>انبار!J72</f>
        <v>🟢 OK</v>
      </c>
      <c r="F73" s="18">
        <f>انبار!F72</f>
        <v>3580000</v>
      </c>
      <c r="G73" s="9" t="str">
        <f>IF(انبار!I72&lt;=0,"🔴 سفارش فوری",IF(انبار!I72&lt;=تنظیمات_سیستم!$C$7,"🟠 سفارش مجدد","✅"))</f>
        <v>✅</v>
      </c>
      <c r="H73" s="9" t="str">
        <f>IF(انبار!I72&lt;=تنظیمات_سیستم!$C$7,"سفارش دهید","—")</f>
        <v>—</v>
      </c>
    </row>
    <row r="74" spans="1:8" ht="18" customHeight="1">
      <c r="A74" s="9" t="str">
        <f>انبار!A73</f>
        <v>SKU-0070</v>
      </c>
      <c r="B74" s="17" t="str">
        <f>انبار!B73</f>
        <v>شومیز لیو سفید سایز1</v>
      </c>
      <c r="C74" s="17" t="str">
        <f>انبار!C73</f>
        <v>شومیز</v>
      </c>
      <c r="D74" s="9">
        <f>انبار!I73</f>
        <v>9</v>
      </c>
      <c r="E74" s="9" t="str">
        <f>انبار!J73</f>
        <v>🟢 OK</v>
      </c>
      <c r="F74" s="18">
        <f>انبار!F73</f>
        <v>3580000</v>
      </c>
      <c r="G74" s="9" t="str">
        <f>IF(انبار!I73&lt;=0,"🔴 سفارش فوری",IF(انبار!I73&lt;=تنظیمات_سیستم!$C$7,"🟠 سفارش مجدد","✅"))</f>
        <v>✅</v>
      </c>
      <c r="H74" s="9" t="str">
        <f>IF(انبار!I73&lt;=تنظیمات_سیستم!$C$7,"سفارش دهید","—")</f>
        <v>—</v>
      </c>
    </row>
    <row r="75" spans="1:8" ht="18" customHeight="1">
      <c r="A75" s="9" t="str">
        <f>انبار!A74</f>
        <v>SKU-0071</v>
      </c>
      <c r="B75" s="17" t="str">
        <f>انبار!B74</f>
        <v>کت ژاکارد ابی سایز 1</v>
      </c>
      <c r="C75" s="17" t="str">
        <f>انبار!C74</f>
        <v>شومیز</v>
      </c>
      <c r="D75" s="9">
        <f>انبار!I74</f>
        <v>9</v>
      </c>
      <c r="E75" s="9" t="str">
        <f>انبار!J74</f>
        <v>🟢 OK</v>
      </c>
      <c r="F75" s="18">
        <f>انبار!F74</f>
        <v>3850000</v>
      </c>
      <c r="G75" s="9" t="str">
        <f>IF(انبار!I74&lt;=0,"🔴 سفارش فوری",IF(انبار!I74&lt;=تنظیمات_سیستم!$C$7,"🟠 سفارش مجدد","✅"))</f>
        <v>✅</v>
      </c>
      <c r="H75" s="9" t="str">
        <f>IF(انبار!I74&lt;=تنظیمات_سیستم!$C$7,"سفارش دهید","—")</f>
        <v>—</v>
      </c>
    </row>
    <row r="76" spans="1:8" ht="18" customHeight="1">
      <c r="A76" s="9" t="str">
        <f>انبار!A75</f>
        <v>SKU-0072</v>
      </c>
      <c r="B76" s="17" t="str">
        <f>انبار!B75</f>
        <v>شلوار کاترین مشکی 1</v>
      </c>
      <c r="C76" s="17" t="str">
        <f>انبار!C75</f>
        <v>شلوار</v>
      </c>
      <c r="D76" s="9">
        <f>انبار!I75</f>
        <v>9</v>
      </c>
      <c r="E76" s="9" t="str">
        <f>انبار!J75</f>
        <v>🟢 OK</v>
      </c>
      <c r="F76" s="18">
        <f>انبار!F75</f>
        <v>4580000</v>
      </c>
      <c r="G76" s="9" t="str">
        <f>IF(انبار!I75&lt;=0,"🔴 سفارش فوری",IF(انبار!I75&lt;=تنظیمات_سیستم!$C$7,"🟠 سفارش مجدد","✅"))</f>
        <v>✅</v>
      </c>
      <c r="H76" s="9" t="str">
        <f>IF(انبار!I75&lt;=تنظیمات_سیستم!$C$7,"سفارش دهید","—")</f>
        <v>—</v>
      </c>
    </row>
    <row r="77" spans="1:8" ht="18" customHeight="1">
      <c r="A77" s="9" t="str">
        <f>انبار!A76</f>
        <v>SKU-0073</v>
      </c>
      <c r="B77" s="17" t="str">
        <f>انبار!B76</f>
        <v>شلوار کاترین مشکی 2</v>
      </c>
      <c r="C77" s="17" t="str">
        <f>انبار!C76</f>
        <v>شلوار</v>
      </c>
      <c r="D77" s="9">
        <f>انبار!I76</f>
        <v>9</v>
      </c>
      <c r="E77" s="9" t="str">
        <f>انبار!J76</f>
        <v>🟢 OK</v>
      </c>
      <c r="F77" s="18">
        <f>انبار!F76</f>
        <v>4580000</v>
      </c>
      <c r="G77" s="9" t="str">
        <f>IF(انبار!I76&lt;=0,"🔴 سفارش فوری",IF(انبار!I76&lt;=تنظیمات_سیستم!$C$7,"🟠 سفارش مجدد","✅"))</f>
        <v>✅</v>
      </c>
      <c r="H77" s="9" t="str">
        <f>IF(انبار!I76&lt;=تنظیمات_سیستم!$C$7,"سفارش دهید","—")</f>
        <v>—</v>
      </c>
    </row>
    <row r="78" spans="1:8" ht="18" customHeight="1">
      <c r="A78" s="9" t="str">
        <f>انبار!A77</f>
        <v>SKU-0074</v>
      </c>
      <c r="B78" s="17" t="str">
        <f>انبار!B77</f>
        <v>شلوار کاترین مشکی 3</v>
      </c>
      <c r="C78" s="17" t="str">
        <f>انبار!C77</f>
        <v>شلوار</v>
      </c>
      <c r="D78" s="9">
        <f>انبار!I77</f>
        <v>9</v>
      </c>
      <c r="E78" s="9" t="str">
        <f>انبار!J77</f>
        <v>🟢 OK</v>
      </c>
      <c r="F78" s="18">
        <f>انبار!F77</f>
        <v>4580000</v>
      </c>
      <c r="G78" s="9" t="str">
        <f>IF(انبار!I77&lt;=0,"🔴 سفارش فوری",IF(انبار!I77&lt;=تنظیمات_سیستم!$C$7,"🟠 سفارش مجدد","✅"))</f>
        <v>✅</v>
      </c>
      <c r="H78" s="9" t="str">
        <f>IF(انبار!I77&lt;=تنظیمات_سیستم!$C$7,"سفارش دهید","—")</f>
        <v>—</v>
      </c>
    </row>
    <row r="79" spans="1:8" ht="18" customHeight="1">
      <c r="A79" s="9" t="str">
        <f>انبار!A78</f>
        <v>SKU-0075</v>
      </c>
      <c r="B79" s="17" t="str">
        <f>انبار!B78</f>
        <v>شلوار کاترین سرمه ای1</v>
      </c>
      <c r="C79" s="17" t="str">
        <f>انبار!C78</f>
        <v>شلوار</v>
      </c>
      <c r="D79" s="9">
        <f>انبار!I78</f>
        <v>9</v>
      </c>
      <c r="E79" s="9" t="str">
        <f>انبار!J78</f>
        <v>🟢 OK</v>
      </c>
      <c r="F79" s="18">
        <f>انبار!F78</f>
        <v>4580000</v>
      </c>
      <c r="G79" s="9" t="str">
        <f>IF(انبار!I78&lt;=0,"🔴 سفارش فوری",IF(انبار!I78&lt;=تنظیمات_سیستم!$C$7,"🟠 سفارش مجدد","✅"))</f>
        <v>✅</v>
      </c>
      <c r="H79" s="9" t="str">
        <f>IF(انبار!I78&lt;=تنظیمات_سیستم!$C$7,"سفارش دهید","—")</f>
        <v>—</v>
      </c>
    </row>
    <row r="80" spans="1:8" ht="18" customHeight="1">
      <c r="A80" s="9" t="str">
        <f>انبار!A79</f>
        <v>SKU-0076</v>
      </c>
      <c r="B80" s="17" t="str">
        <f>انبار!B79</f>
        <v>شلوار کاترین سرمه ای 2</v>
      </c>
      <c r="C80" s="17" t="str">
        <f>انبار!C79</f>
        <v>شلوار</v>
      </c>
      <c r="D80" s="9">
        <f>انبار!I79</f>
        <v>9</v>
      </c>
      <c r="E80" s="9" t="str">
        <f>انبار!J79</f>
        <v>🟢 OK</v>
      </c>
      <c r="F80" s="18">
        <f>انبار!F79</f>
        <v>4580000</v>
      </c>
      <c r="G80" s="9" t="str">
        <f>IF(انبار!I79&lt;=0,"🔴 سفارش فوری",IF(انبار!I79&lt;=تنظیمات_سیستم!$C$7,"🟠 سفارش مجدد","✅"))</f>
        <v>✅</v>
      </c>
      <c r="H80" s="9" t="str">
        <f>IF(انبار!I79&lt;=تنظیمات_سیستم!$C$7,"سفارش دهید","—")</f>
        <v>—</v>
      </c>
    </row>
    <row r="81" spans="1:8" ht="18" customHeight="1">
      <c r="A81" s="9" t="str">
        <f>انبار!A80</f>
        <v>SKU-0077</v>
      </c>
      <c r="B81" s="17" t="str">
        <f>انبار!B80</f>
        <v>شلوار کاترین سرمه ای 3</v>
      </c>
      <c r="C81" s="17" t="str">
        <f>انبار!C80</f>
        <v>شلوار</v>
      </c>
      <c r="D81" s="9">
        <f>انبار!I80</f>
        <v>9</v>
      </c>
      <c r="E81" s="9" t="str">
        <f>انبار!J80</f>
        <v>🟢 OK</v>
      </c>
      <c r="F81" s="18">
        <f>انبار!F80</f>
        <v>4580000</v>
      </c>
      <c r="G81" s="9" t="str">
        <f>IF(انبار!I80&lt;=0,"🔴 سفارش فوری",IF(انبار!I80&lt;=تنظیمات_سیستم!$C$7,"🟠 سفارش مجدد","✅"))</f>
        <v>✅</v>
      </c>
      <c r="H81" s="9" t="str">
        <f>IF(انبار!I80&lt;=تنظیمات_سیستم!$C$7,"سفارش دهید","—")</f>
        <v>—</v>
      </c>
    </row>
    <row r="82" spans="1:8" ht="18" customHeight="1">
      <c r="A82" s="9" t="str">
        <f>انبار!A81</f>
        <v>SKU-0078</v>
      </c>
      <c r="B82" s="17" t="str">
        <f>انبار!B81</f>
        <v>شلوار کاترین قهوه ای1</v>
      </c>
      <c r="C82" s="17" t="str">
        <f>انبار!C81</f>
        <v>شلوار</v>
      </c>
      <c r="D82" s="9">
        <f>انبار!I81</f>
        <v>9</v>
      </c>
      <c r="E82" s="9" t="str">
        <f>انبار!J81</f>
        <v>🟢 OK</v>
      </c>
      <c r="F82" s="18">
        <f>انبار!F81</f>
        <v>4580000</v>
      </c>
      <c r="G82" s="9" t="str">
        <f>IF(انبار!I81&lt;=0,"🔴 سفارش فوری",IF(انبار!I81&lt;=تنظیمات_سیستم!$C$7,"🟠 سفارش مجدد","✅"))</f>
        <v>✅</v>
      </c>
      <c r="H82" s="9" t="str">
        <f>IF(انبار!I81&lt;=تنظیمات_سیستم!$C$7,"سفارش دهید","—")</f>
        <v>—</v>
      </c>
    </row>
    <row r="83" spans="1:8" ht="18" customHeight="1">
      <c r="A83" s="9" t="str">
        <f>انبار!A82</f>
        <v>SKU-0079</v>
      </c>
      <c r="B83" s="17" t="str">
        <f>انبار!B82</f>
        <v>شلوار کاترین قهوه ای2</v>
      </c>
      <c r="C83" s="17" t="str">
        <f>انبار!C82</f>
        <v>شلوار</v>
      </c>
      <c r="D83" s="9">
        <f>انبار!I82</f>
        <v>9</v>
      </c>
      <c r="E83" s="9" t="str">
        <f>انبار!J82</f>
        <v>🟢 OK</v>
      </c>
      <c r="F83" s="18">
        <f>انبار!F82</f>
        <v>4580000</v>
      </c>
      <c r="G83" s="9" t="str">
        <f>IF(انبار!I82&lt;=0,"🔴 سفارش فوری",IF(انبار!I82&lt;=تنظیمات_سیستم!$C$7,"🟠 سفارش مجدد","✅"))</f>
        <v>✅</v>
      </c>
      <c r="H83" s="9" t="str">
        <f>IF(انبار!I82&lt;=تنظیمات_سیستم!$C$7,"سفارش دهید","—")</f>
        <v>—</v>
      </c>
    </row>
    <row r="84" spans="1:8" ht="18" customHeight="1">
      <c r="A84" s="9" t="str">
        <f>انبار!A83</f>
        <v>SKU-0080</v>
      </c>
      <c r="B84" s="17" t="str">
        <f>انبار!B83</f>
        <v>شلوار کاترین قهوه ای 3</v>
      </c>
      <c r="C84" s="17" t="str">
        <f>انبار!C83</f>
        <v>شلوار</v>
      </c>
      <c r="D84" s="9">
        <f>انبار!I83</f>
        <v>9</v>
      </c>
      <c r="E84" s="9" t="str">
        <f>انبار!J83</f>
        <v>🟢 OK</v>
      </c>
      <c r="F84" s="18">
        <f>انبار!F83</f>
        <v>4580000</v>
      </c>
      <c r="G84" s="9" t="str">
        <f>IF(انبار!I83&lt;=0,"🔴 سفارش فوری",IF(انبار!I83&lt;=تنظیمات_سیستم!$C$7,"🟠 سفارش مجدد","✅"))</f>
        <v>✅</v>
      </c>
      <c r="H84" s="9" t="str">
        <f>IF(انبار!I83&lt;=تنظیمات_سیستم!$C$7,"سفارش دهید","—")</f>
        <v>—</v>
      </c>
    </row>
    <row r="85" spans="1:8" ht="18" customHeight="1">
      <c r="A85" s="9" t="str">
        <f>انبار!A84</f>
        <v>SKU-0081</v>
      </c>
      <c r="B85" s="17" t="str">
        <f>انبار!B84</f>
        <v>شلوار کاترین نسکافه ای1</v>
      </c>
      <c r="C85" s="17" t="str">
        <f>انبار!C84</f>
        <v>شلوار</v>
      </c>
      <c r="D85" s="9">
        <f>انبار!I84</f>
        <v>9</v>
      </c>
      <c r="E85" s="9" t="str">
        <f>انبار!J84</f>
        <v>🟢 OK</v>
      </c>
      <c r="F85" s="18">
        <f>انبار!F84</f>
        <v>4580000</v>
      </c>
      <c r="G85" s="9" t="str">
        <f>IF(انبار!I84&lt;=0,"🔴 سفارش فوری",IF(انبار!I84&lt;=تنظیمات_سیستم!$C$7,"🟠 سفارش مجدد","✅"))</f>
        <v>✅</v>
      </c>
      <c r="H85" s="9" t="str">
        <f>IF(انبار!I84&lt;=تنظیمات_سیستم!$C$7,"سفارش دهید","—")</f>
        <v>—</v>
      </c>
    </row>
    <row r="86" spans="1:8" ht="18" customHeight="1">
      <c r="A86" s="9" t="str">
        <f>انبار!A85</f>
        <v>SKU-0082</v>
      </c>
      <c r="B86" s="17" t="str">
        <f>انبار!B85</f>
        <v>شلوار کاترین نسکافه ای2</v>
      </c>
      <c r="C86" s="17" t="str">
        <f>انبار!C85</f>
        <v>شلوار</v>
      </c>
      <c r="D86" s="9">
        <f>انبار!I85</f>
        <v>9</v>
      </c>
      <c r="E86" s="9" t="str">
        <f>انبار!J85</f>
        <v>🟢 OK</v>
      </c>
      <c r="F86" s="18">
        <f>انبار!F85</f>
        <v>4580000</v>
      </c>
      <c r="G86" s="9" t="str">
        <f>IF(انبار!I85&lt;=0,"🔴 سفارش فوری",IF(انبار!I85&lt;=تنظیمات_سیستم!$C$7,"🟠 سفارش مجدد","✅"))</f>
        <v>✅</v>
      </c>
      <c r="H86" s="9" t="str">
        <f>IF(انبار!I85&lt;=تنظیمات_سیستم!$C$7,"سفارش دهید","—")</f>
        <v>—</v>
      </c>
    </row>
    <row r="87" spans="1:8" ht="18" customHeight="1">
      <c r="A87" s="9" t="str">
        <f>انبار!A86</f>
        <v>SKU-0083</v>
      </c>
      <c r="B87" s="17" t="str">
        <f>انبار!B86</f>
        <v>شلوار کاترین نسکافه ای3</v>
      </c>
      <c r="C87" s="17" t="str">
        <f>انبار!C86</f>
        <v>شلوار</v>
      </c>
      <c r="D87" s="9">
        <f>انبار!I86</f>
        <v>9</v>
      </c>
      <c r="E87" s="9" t="str">
        <f>انبار!J86</f>
        <v>🟢 OK</v>
      </c>
      <c r="F87" s="18">
        <f>انبار!F86</f>
        <v>4580000</v>
      </c>
      <c r="G87" s="9" t="str">
        <f>IF(انبار!I86&lt;=0,"🔴 سفارش فوری",IF(انبار!I86&lt;=تنظیمات_سیستم!$C$7,"🟠 سفارش مجدد","✅"))</f>
        <v>✅</v>
      </c>
      <c r="H87" s="9" t="str">
        <f>IF(انبار!I86&lt;=تنظیمات_سیستم!$C$7,"سفارش دهید","—")</f>
        <v>—</v>
      </c>
    </row>
    <row r="88" spans="1:8" ht="18" customHeight="1">
      <c r="A88" s="9" t="str">
        <f>انبار!A87</f>
        <v>SKU-0084</v>
      </c>
      <c r="B88" s="17" t="str">
        <f>انبار!B87</f>
        <v>شلوار کاترین نوک مدادی 1</v>
      </c>
      <c r="C88" s="17" t="str">
        <f>انبار!C87</f>
        <v>شلوار</v>
      </c>
      <c r="D88" s="9">
        <f>انبار!I87</f>
        <v>9</v>
      </c>
      <c r="E88" s="9" t="str">
        <f>انبار!J87</f>
        <v>🟢 OK</v>
      </c>
      <c r="F88" s="18">
        <f>انبار!F87</f>
        <v>4580000</v>
      </c>
      <c r="G88" s="9" t="str">
        <f>IF(انبار!I87&lt;=0,"🔴 سفارش فوری",IF(انبار!I87&lt;=تنظیمات_سیستم!$C$7,"🟠 سفارش مجدد","✅"))</f>
        <v>✅</v>
      </c>
      <c r="H88" s="9" t="str">
        <f>IF(انبار!I87&lt;=تنظیمات_سیستم!$C$7,"سفارش دهید","—")</f>
        <v>—</v>
      </c>
    </row>
    <row r="89" spans="1:8" ht="18" customHeight="1">
      <c r="A89" s="9" t="str">
        <f>انبار!A88</f>
        <v>SKU-0085</v>
      </c>
      <c r="B89" s="17" t="str">
        <f>انبار!B88</f>
        <v>شلوار کاترین نوک مدادی 2</v>
      </c>
      <c r="C89" s="17" t="str">
        <f>انبار!C88</f>
        <v>شلوار</v>
      </c>
      <c r="D89" s="9">
        <f>انبار!I88</f>
        <v>9</v>
      </c>
      <c r="E89" s="9" t="str">
        <f>انبار!J88</f>
        <v>🟢 OK</v>
      </c>
      <c r="F89" s="18">
        <f>انبار!F88</f>
        <v>4580000</v>
      </c>
      <c r="G89" s="9" t="str">
        <f>IF(انبار!I88&lt;=0,"🔴 سفارش فوری",IF(انبار!I88&lt;=تنظیمات_سیستم!$C$7,"🟠 سفارش مجدد","✅"))</f>
        <v>✅</v>
      </c>
      <c r="H89" s="9" t="str">
        <f>IF(انبار!I88&lt;=تنظیمات_سیستم!$C$7,"سفارش دهید","—")</f>
        <v>—</v>
      </c>
    </row>
    <row r="90" spans="1:8" ht="18" customHeight="1">
      <c r="A90" s="9" t="str">
        <f>انبار!A89</f>
        <v>SKU-0086</v>
      </c>
      <c r="B90" s="17" t="str">
        <f>انبار!B89</f>
        <v>شلوار کاترین نوک مدادی3</v>
      </c>
      <c r="C90" s="17" t="str">
        <f>انبار!C89</f>
        <v>شلوار</v>
      </c>
      <c r="D90" s="9">
        <f>انبار!I89</f>
        <v>9</v>
      </c>
      <c r="E90" s="9" t="str">
        <f>انبار!J89</f>
        <v>🟢 OK</v>
      </c>
      <c r="F90" s="18">
        <f>انبار!F89</f>
        <v>4580000</v>
      </c>
      <c r="G90" s="9" t="str">
        <f>IF(انبار!I89&lt;=0,"🔴 سفارش فوری",IF(انبار!I89&lt;=تنظیمات_سیستم!$C$7,"🟠 سفارش مجدد","✅"))</f>
        <v>✅</v>
      </c>
      <c r="H90" s="9" t="str">
        <f>IF(انبار!I89&lt;=تنظیمات_سیستم!$C$7,"سفارش دهید","—")</f>
        <v>—</v>
      </c>
    </row>
    <row r="91" spans="1:8" ht="18" customHeight="1">
      <c r="A91" s="9" t="str">
        <f>انبار!A90</f>
        <v>SKU-0087</v>
      </c>
      <c r="B91" s="17" t="str">
        <f>انبار!B90</f>
        <v>شلوار کاترین استخوانی 1</v>
      </c>
      <c r="C91" s="17" t="str">
        <f>انبار!C90</f>
        <v>شلوار</v>
      </c>
      <c r="D91" s="9">
        <f>انبار!I90</f>
        <v>9</v>
      </c>
      <c r="E91" s="9" t="str">
        <f>انبار!J90</f>
        <v>🟢 OK</v>
      </c>
      <c r="F91" s="18">
        <f>انبار!F90</f>
        <v>4580000</v>
      </c>
      <c r="G91" s="9" t="str">
        <f>IF(انبار!I90&lt;=0,"🔴 سفارش فوری",IF(انبار!I90&lt;=تنظیمات_سیستم!$C$7,"🟠 سفارش مجدد","✅"))</f>
        <v>✅</v>
      </c>
      <c r="H91" s="9" t="str">
        <f>IF(انبار!I90&lt;=تنظیمات_سیستم!$C$7,"سفارش دهید","—")</f>
        <v>—</v>
      </c>
    </row>
    <row r="92" spans="1:8" ht="18" customHeight="1">
      <c r="A92" s="9" t="str">
        <f>انبار!A91</f>
        <v>SKU-0088</v>
      </c>
      <c r="B92" s="17" t="str">
        <f>انبار!B91</f>
        <v>شلوار کاترین استخوانی2</v>
      </c>
      <c r="C92" s="17" t="str">
        <f>انبار!C91</f>
        <v>شلوار</v>
      </c>
      <c r="D92" s="9">
        <f>انبار!I91</f>
        <v>9</v>
      </c>
      <c r="E92" s="9" t="str">
        <f>انبار!J91</f>
        <v>🟢 OK</v>
      </c>
      <c r="F92" s="18">
        <f>انبار!F91</f>
        <v>4580000</v>
      </c>
      <c r="G92" s="9" t="str">
        <f>IF(انبار!I91&lt;=0,"🔴 سفارش فوری",IF(انبار!I91&lt;=تنظیمات_سیستم!$C$7,"🟠 سفارش مجدد","✅"))</f>
        <v>✅</v>
      </c>
      <c r="H92" s="9" t="str">
        <f>IF(انبار!I91&lt;=تنظیمات_سیستم!$C$7,"سفارش دهید","—")</f>
        <v>—</v>
      </c>
    </row>
    <row r="93" spans="1:8" ht="18" customHeight="1">
      <c r="A93" s="9" t="str">
        <f>انبار!A92</f>
        <v>SKU-0089</v>
      </c>
      <c r="B93" s="17" t="str">
        <f>انبار!B92</f>
        <v>شلوار کاترین استخوانی3</v>
      </c>
      <c r="C93" s="17" t="str">
        <f>انبار!C92</f>
        <v>شلوار</v>
      </c>
      <c r="D93" s="9">
        <f>انبار!I92</f>
        <v>9</v>
      </c>
      <c r="E93" s="9" t="str">
        <f>انبار!J92</f>
        <v>🟢 OK</v>
      </c>
      <c r="F93" s="18">
        <f>انبار!F92</f>
        <v>4580000</v>
      </c>
      <c r="G93" s="9" t="str">
        <f>IF(انبار!I92&lt;=0,"🔴 سفارش فوری",IF(انبار!I92&lt;=تنظیمات_سیستم!$C$7,"🟠 سفارش مجدد","✅"))</f>
        <v>✅</v>
      </c>
      <c r="H93" s="9" t="str">
        <f>IF(انبار!I92&lt;=تنظیمات_سیستم!$C$7,"سفارش دهید","—")</f>
        <v>—</v>
      </c>
    </row>
    <row r="94" spans="1:8" ht="18" customHeight="1">
      <c r="A94" s="9" t="str">
        <f>انبار!A93</f>
        <v>SKU-0090</v>
      </c>
      <c r="B94" s="17" t="str">
        <f>انبار!B93</f>
        <v>شومیز تایملس سبز فری</v>
      </c>
      <c r="C94" s="17" t="str">
        <f>انبار!C93</f>
        <v>شومیز</v>
      </c>
      <c r="D94" s="9">
        <f>انبار!I93</f>
        <v>9</v>
      </c>
      <c r="E94" s="9" t="str">
        <f>انبار!J93</f>
        <v>🟢 OK</v>
      </c>
      <c r="F94" s="18">
        <f>انبار!F93</f>
        <v>2680000</v>
      </c>
      <c r="G94" s="9" t="str">
        <f>IF(انبار!I93&lt;=0,"🔴 سفارش فوری",IF(انبار!I93&lt;=تنظیمات_سیستم!$C$7,"🟠 سفارش مجدد","✅"))</f>
        <v>✅</v>
      </c>
      <c r="H94" s="9" t="str">
        <f>IF(انبار!I93&lt;=تنظیمات_سیستم!$C$7,"سفارش دهید","—")</f>
        <v>—</v>
      </c>
    </row>
    <row r="95" spans="1:8" ht="18" customHeight="1">
      <c r="A95" s="9" t="str">
        <f>انبار!A94</f>
        <v>SKU-0091</v>
      </c>
      <c r="B95" s="17" t="str">
        <f>انبار!B94</f>
        <v>شومیز تایملس مشکی فری</v>
      </c>
      <c r="C95" s="17" t="str">
        <f>انبار!C94</f>
        <v>شومیز</v>
      </c>
      <c r="D95" s="9">
        <f>انبار!I94</f>
        <v>9</v>
      </c>
      <c r="E95" s="9" t="str">
        <f>انبار!J94</f>
        <v>🟢 OK</v>
      </c>
      <c r="F95" s="18">
        <f>انبار!F94</f>
        <v>2680000</v>
      </c>
      <c r="G95" s="9" t="str">
        <f>IF(انبار!I94&lt;=0,"🔴 سفارش فوری",IF(انبار!I94&lt;=تنظیمات_سیستم!$C$7,"🟠 سفارش مجدد","✅"))</f>
        <v>✅</v>
      </c>
      <c r="H95" s="9" t="str">
        <f>IF(انبار!I94&lt;=تنظیمات_سیستم!$C$7,"سفارش دهید","—")</f>
        <v>—</v>
      </c>
    </row>
    <row r="96" spans="1:8" ht="18" customHeight="1">
      <c r="A96" s="9" t="str">
        <f>انبار!A95</f>
        <v>SKU-0092</v>
      </c>
      <c r="B96" s="17" t="str">
        <f>انبار!B95</f>
        <v>شومیز لینن سونای سفید1</v>
      </c>
      <c r="C96" s="17" t="str">
        <f>انبار!C95</f>
        <v>شومیز</v>
      </c>
      <c r="D96" s="9">
        <f>انبار!I95</f>
        <v>9</v>
      </c>
      <c r="E96" s="9" t="str">
        <f>انبار!J95</f>
        <v>🟢 OK</v>
      </c>
      <c r="F96" s="18">
        <f>انبار!F95</f>
        <v>3780000</v>
      </c>
      <c r="G96" s="9" t="str">
        <f>IF(انبار!I95&lt;=0,"🔴 سفارش فوری",IF(انبار!I95&lt;=تنظیمات_سیستم!$C$7,"🟠 سفارش مجدد","✅"))</f>
        <v>✅</v>
      </c>
      <c r="H96" s="9" t="str">
        <f>IF(انبار!I95&lt;=تنظیمات_سیستم!$C$7,"سفارش دهید","—")</f>
        <v>—</v>
      </c>
    </row>
    <row r="97" spans="1:8" ht="18" customHeight="1">
      <c r="A97" s="9" t="str">
        <f>انبار!A96</f>
        <v>SKU-0093</v>
      </c>
      <c r="B97" s="17" t="str">
        <f>انبار!B96</f>
        <v>شومیز لینن سونای سفید2</v>
      </c>
      <c r="C97" s="17" t="str">
        <f>انبار!C96</f>
        <v>شومیز</v>
      </c>
      <c r="D97" s="9">
        <f>انبار!I96</f>
        <v>9</v>
      </c>
      <c r="E97" s="9" t="str">
        <f>انبار!J96</f>
        <v>🟢 OK</v>
      </c>
      <c r="F97" s="18">
        <f>انبار!F96</f>
        <v>3780000</v>
      </c>
      <c r="G97" s="9" t="str">
        <f>IF(انبار!I96&lt;=0,"🔴 سفارش فوری",IF(انبار!I96&lt;=تنظیمات_سیستم!$C$7,"🟠 سفارش مجدد","✅"))</f>
        <v>✅</v>
      </c>
      <c r="H97" s="9" t="str">
        <f>IF(انبار!I96&lt;=تنظیمات_سیستم!$C$7,"سفارش دهید","—")</f>
        <v>—</v>
      </c>
    </row>
    <row r="98" spans="1:8" ht="18" customHeight="1">
      <c r="A98" s="9" t="str">
        <f>انبار!A97</f>
        <v>SKU-0094</v>
      </c>
      <c r="B98" s="17" t="str">
        <f>انبار!B97</f>
        <v>شومیز لینن سونای مشکی 1</v>
      </c>
      <c r="C98" s="17" t="str">
        <f>انبار!C97</f>
        <v>شومیز</v>
      </c>
      <c r="D98" s="9">
        <f>انبار!I97</f>
        <v>9</v>
      </c>
      <c r="E98" s="9" t="str">
        <f>انبار!J97</f>
        <v>🟢 OK</v>
      </c>
      <c r="F98" s="18">
        <f>انبار!F97</f>
        <v>3780000</v>
      </c>
      <c r="G98" s="9" t="str">
        <f>IF(انبار!I97&lt;=0,"🔴 سفارش فوری",IF(انبار!I97&lt;=تنظیمات_سیستم!$C$7,"🟠 سفارش مجدد","✅"))</f>
        <v>✅</v>
      </c>
      <c r="H98" s="9" t="str">
        <f>IF(انبار!I97&lt;=تنظیمات_سیستم!$C$7,"سفارش دهید","—")</f>
        <v>—</v>
      </c>
    </row>
    <row r="99" spans="1:8" ht="18" customHeight="1">
      <c r="A99" s="9" t="str">
        <f>انبار!A98</f>
        <v>SKU-0095</v>
      </c>
      <c r="B99" s="17" t="str">
        <f>انبار!B98</f>
        <v>شومیز لینن سونای مشکی2</v>
      </c>
      <c r="C99" s="17" t="str">
        <f>انبار!C98</f>
        <v>شومیز</v>
      </c>
      <c r="D99" s="9">
        <f>انبار!I98</f>
        <v>9</v>
      </c>
      <c r="E99" s="9" t="str">
        <f>انبار!J98</f>
        <v>🟢 OK</v>
      </c>
      <c r="F99" s="18">
        <f>انبار!F98</f>
        <v>3780000</v>
      </c>
      <c r="G99" s="9" t="str">
        <f>IF(انبار!I98&lt;=0,"🔴 سفارش فوری",IF(انبار!I98&lt;=تنظیمات_سیستم!$C$7,"🟠 سفارش مجدد","✅"))</f>
        <v>✅</v>
      </c>
      <c r="H99" s="9" t="str">
        <f>IF(انبار!I98&lt;=تنظیمات_سیستم!$C$7,"سفارش دهید","—")</f>
        <v>—</v>
      </c>
    </row>
    <row r="100" spans="1:8" ht="18" customHeight="1">
      <c r="A100" s="9" t="str">
        <f>انبار!A99</f>
        <v>SKU-0096</v>
      </c>
      <c r="B100" s="17" t="str">
        <f>انبار!B99</f>
        <v>شومیز لینن سونای سرمه ای 1</v>
      </c>
      <c r="C100" s="17" t="str">
        <f>انبار!C99</f>
        <v>شومیز</v>
      </c>
      <c r="D100" s="9">
        <f>انبار!I99</f>
        <v>9</v>
      </c>
      <c r="E100" s="9" t="str">
        <f>انبار!J99</f>
        <v>🟢 OK</v>
      </c>
      <c r="F100" s="18">
        <f>انبار!F99</f>
        <v>3780000</v>
      </c>
      <c r="G100" s="9" t="str">
        <f>IF(انبار!I99&lt;=0,"🔴 سفارش فوری",IF(انبار!I99&lt;=تنظیمات_سیستم!$C$7,"🟠 سفارش مجدد","✅"))</f>
        <v>✅</v>
      </c>
      <c r="H100" s="9" t="str">
        <f>IF(انبار!I99&lt;=تنظیمات_سیستم!$C$7,"سفارش دهید","—")</f>
        <v>—</v>
      </c>
    </row>
    <row r="101" spans="1:8" ht="18" customHeight="1">
      <c r="A101" s="9" t="str">
        <f>انبار!A100</f>
        <v>SKU-0097</v>
      </c>
      <c r="B101" s="17" t="str">
        <f>انبار!B100</f>
        <v>شومیز لینن سونای سرمه ای 2</v>
      </c>
      <c r="C101" s="17" t="str">
        <f>انبار!C100</f>
        <v>شومیز</v>
      </c>
      <c r="D101" s="9">
        <f>انبار!I100</f>
        <v>9</v>
      </c>
      <c r="E101" s="9" t="str">
        <f>انبار!J100</f>
        <v>🟢 OK</v>
      </c>
      <c r="F101" s="18">
        <f>انبار!F100</f>
        <v>3780000</v>
      </c>
      <c r="G101" s="9" t="str">
        <f>IF(انبار!I100&lt;=0,"🔴 سفارش فوری",IF(انبار!I100&lt;=تنظیمات_سیستم!$C$7,"🟠 سفارش مجدد","✅"))</f>
        <v>✅</v>
      </c>
      <c r="H101" s="9" t="str">
        <f>IF(انبار!I100&lt;=تنظیمات_سیستم!$C$7,"سفارش دهید","—")</f>
        <v>—</v>
      </c>
    </row>
    <row r="102" spans="1:8" ht="18" customHeight="1">
      <c r="A102" s="9" t="str">
        <f>انبار!A101</f>
        <v>SKU-0098</v>
      </c>
      <c r="B102" s="17" t="str">
        <f>انبار!B101</f>
        <v>شومیز لینن سونای قهوه ای 1</v>
      </c>
      <c r="C102" s="17" t="str">
        <f>انبار!C101</f>
        <v>شومیز</v>
      </c>
      <c r="D102" s="9">
        <f>انبار!I101</f>
        <v>9</v>
      </c>
      <c r="E102" s="9" t="str">
        <f>انبار!J101</f>
        <v>🟢 OK</v>
      </c>
      <c r="F102" s="18">
        <f>انبار!F101</f>
        <v>3780000</v>
      </c>
      <c r="G102" s="9" t="str">
        <f>IF(انبار!I101&lt;=0,"🔴 سفارش فوری",IF(انبار!I101&lt;=تنظیمات_سیستم!$C$7,"🟠 سفارش مجدد","✅"))</f>
        <v>✅</v>
      </c>
      <c r="H102" s="9" t="str">
        <f>IF(انبار!I101&lt;=تنظیمات_سیستم!$C$7,"سفارش دهید","—")</f>
        <v>—</v>
      </c>
    </row>
    <row r="103" spans="1:8" ht="18" customHeight="1">
      <c r="A103" s="9" t="str">
        <f>انبار!A102</f>
        <v>SKU-0099</v>
      </c>
      <c r="B103" s="17" t="str">
        <f>انبار!B102</f>
        <v>شومیز لینن سونای قهوه ای 2</v>
      </c>
      <c r="C103" s="17" t="str">
        <f>انبار!C102</f>
        <v>شومیز</v>
      </c>
      <c r="D103" s="9">
        <f>انبار!I102</f>
        <v>9</v>
      </c>
      <c r="E103" s="9" t="str">
        <f>انبار!J102</f>
        <v>🟢 OK</v>
      </c>
      <c r="F103" s="18">
        <f>انبار!F102</f>
        <v>3780000</v>
      </c>
      <c r="G103" s="9" t="str">
        <f>IF(انبار!I102&lt;=0,"🔴 سفارش فوری",IF(انبار!I102&lt;=تنظیمات_سیستم!$C$7,"🟠 سفارش مجدد","✅"))</f>
        <v>✅</v>
      </c>
      <c r="H103" s="9" t="str">
        <f>IF(انبار!I102&lt;=تنظیمات_سیستم!$C$7,"سفارش دهید","—")</f>
        <v>—</v>
      </c>
    </row>
    <row r="104" spans="1:8" ht="18" customHeight="1">
      <c r="A104" s="9" t="str">
        <f>انبار!A103</f>
        <v>SKU-0100</v>
      </c>
      <c r="B104" s="17" t="str">
        <f>انبار!B103</f>
        <v>شومیز لینن سونای کرم 1</v>
      </c>
      <c r="C104" s="17" t="str">
        <f>انبار!C103</f>
        <v>شومیز</v>
      </c>
      <c r="D104" s="9">
        <f>انبار!I103</f>
        <v>9</v>
      </c>
      <c r="E104" s="9" t="str">
        <f>انبار!J103</f>
        <v>🟢 OK</v>
      </c>
      <c r="F104" s="18">
        <f>انبار!F103</f>
        <v>3780000</v>
      </c>
      <c r="G104" s="9" t="str">
        <f>IF(انبار!I103&lt;=0,"🔴 سفارش فوری",IF(انبار!I103&lt;=تنظیمات_سیستم!$C$7,"🟠 سفارش مجدد","✅"))</f>
        <v>✅</v>
      </c>
      <c r="H104" s="9" t="str">
        <f>IF(انبار!I103&lt;=تنظیمات_سیستم!$C$7,"سفارش دهید","—")</f>
        <v>—</v>
      </c>
    </row>
    <row r="105" spans="1:8">
      <c r="A105" s="9" t="str">
        <f>انبار!A104</f>
        <v>SKU-0101</v>
      </c>
      <c r="B105" s="17" t="str">
        <f>انبار!B104</f>
        <v>شومیز لینن سونای کرم 2</v>
      </c>
      <c r="C105" s="17" t="str">
        <f>انبار!C104</f>
        <v>شومیز</v>
      </c>
      <c r="D105" s="9">
        <f>انبار!I104</f>
        <v>9</v>
      </c>
      <c r="E105" s="9" t="str">
        <f>انبار!J104</f>
        <v>🟢 OK</v>
      </c>
      <c r="F105" s="18">
        <f>انبار!F104</f>
        <v>3780000</v>
      </c>
      <c r="G105" s="9" t="str">
        <f>IF(انبار!I104&lt;=0,"🔴 سفارش فوری",IF(انبار!I104&lt;=تنظیمات_سیستم!$C$7,"🟠 سفارش مجدد","✅"))</f>
        <v>✅</v>
      </c>
      <c r="H105" s="9" t="str">
        <f>IF(انبار!I104&lt;=تنظیمات_سیستم!$C$7,"سفارش دهید","—")</f>
        <v>—</v>
      </c>
    </row>
    <row r="106" spans="1:8">
      <c r="A106" s="9" t="str">
        <f>انبار!A105</f>
        <v>SKU-0102</v>
      </c>
      <c r="B106" s="17" t="str">
        <f>انبار!B105</f>
        <v>دامن لیدی مشکی فری</v>
      </c>
      <c r="C106" s="17" t="str">
        <f>انبار!C105</f>
        <v>دامن</v>
      </c>
      <c r="D106" s="9">
        <f>انبار!I105</f>
        <v>9</v>
      </c>
      <c r="E106" s="9" t="str">
        <f>انبار!J105</f>
        <v>🟢 OK</v>
      </c>
      <c r="F106" s="18">
        <f>انبار!F105</f>
        <v>2950000</v>
      </c>
      <c r="G106" s="9" t="str">
        <f>IF(انبار!I105&lt;=0,"🔴 سفارش فوری",IF(انبار!I105&lt;=تنظیمات_سیستم!$C$7,"🟠 سفارش مجدد","✅"))</f>
        <v>✅</v>
      </c>
      <c r="H106" s="9" t="str">
        <f>IF(انبار!I105&lt;=تنظیمات_سیستم!$C$7,"سفارش دهید","—")</f>
        <v>—</v>
      </c>
    </row>
    <row r="107" spans="1:8">
      <c r="A107" s="9" t="str">
        <f>انبار!A106</f>
        <v>SKU-0103</v>
      </c>
      <c r="B107" s="17" t="str">
        <f>انبار!B106</f>
        <v>دامن لیدی زیتونی فری</v>
      </c>
      <c r="C107" s="17" t="str">
        <f>انبار!C106</f>
        <v>دامن</v>
      </c>
      <c r="D107" s="9">
        <f>انبار!I106</f>
        <v>9</v>
      </c>
      <c r="E107" s="9" t="str">
        <f>انبار!J106</f>
        <v>🟢 OK</v>
      </c>
      <c r="F107" s="18">
        <f>انبار!F106</f>
        <v>2950000</v>
      </c>
      <c r="G107" s="9" t="str">
        <f>IF(انبار!I106&lt;=0,"🔴 سفارش فوری",IF(انبار!I106&lt;=تنظیمات_سیستم!$C$7,"🟠 سفارش مجدد","✅"))</f>
        <v>✅</v>
      </c>
      <c r="H107" s="9" t="str">
        <f>IF(انبار!I106&lt;=تنظیمات_سیستم!$C$7,"سفارش دهید","—")</f>
        <v>—</v>
      </c>
    </row>
    <row r="108" spans="1:8">
      <c r="A108" s="9" t="str">
        <f>انبار!A107</f>
        <v>SKU-0104</v>
      </c>
      <c r="B108" s="17" t="str">
        <f>انبار!B107</f>
        <v>دامن لیدی کرم فری</v>
      </c>
      <c r="C108" s="17" t="str">
        <f>انبار!C107</f>
        <v>دامن</v>
      </c>
      <c r="D108" s="9">
        <f>انبار!I107</f>
        <v>9</v>
      </c>
      <c r="E108" s="9" t="str">
        <f>انبار!J107</f>
        <v>🟢 OK</v>
      </c>
      <c r="F108" s="18">
        <f>انبار!F107</f>
        <v>2950000</v>
      </c>
      <c r="G108" s="9" t="str">
        <f>IF(انبار!I107&lt;=0,"🔴 سفارش فوری",IF(انبار!I107&lt;=تنظیمات_سیستم!$C$7,"🟠 سفارش مجدد","✅"))</f>
        <v>✅</v>
      </c>
      <c r="H108" s="9" t="str">
        <f>IF(انبار!I107&lt;=تنظیمات_سیستم!$C$7,"سفارش دهید","—")</f>
        <v>—</v>
      </c>
    </row>
    <row r="109" spans="1:8">
      <c r="A109" s="9" t="str">
        <f>انبار!A108</f>
        <v>SKU-0105</v>
      </c>
      <c r="B109" s="17" t="str">
        <f>انبار!B108</f>
        <v>شلوار پنتر 1</v>
      </c>
      <c r="C109" s="17" t="str">
        <f>انبار!C108</f>
        <v>شلوار</v>
      </c>
      <c r="D109" s="9">
        <f>انبار!I108</f>
        <v>9</v>
      </c>
      <c r="E109" s="9" t="str">
        <f>انبار!J108</f>
        <v>🟢 OK</v>
      </c>
      <c r="F109" s="18">
        <f>انبار!F108</f>
        <v>1680000</v>
      </c>
      <c r="G109" s="9" t="str">
        <f>IF(انبار!I108&lt;=0,"🔴 سفارش فوری",IF(انبار!I108&lt;=تنظیمات_سیستم!$C$7,"🟠 سفارش مجدد","✅"))</f>
        <v>✅</v>
      </c>
      <c r="H109" s="9" t="str">
        <f>IF(انبار!I108&lt;=تنظیمات_سیستم!$C$7,"سفارش دهید","—")</f>
        <v>—</v>
      </c>
    </row>
    <row r="110" spans="1:8">
      <c r="A110" s="9" t="str">
        <f>انبار!A109</f>
        <v>SKU-0106</v>
      </c>
      <c r="B110" s="17" t="str">
        <f>انبار!B109</f>
        <v>شلوار پنتر 2</v>
      </c>
      <c r="C110" s="17" t="str">
        <f>انبار!C109</f>
        <v>شلوار</v>
      </c>
      <c r="D110" s="9">
        <f>انبار!I109</f>
        <v>9</v>
      </c>
      <c r="E110" s="9" t="str">
        <f>انبار!J109</f>
        <v>🟢 OK</v>
      </c>
      <c r="F110" s="18">
        <f>انبار!F109</f>
        <v>1680000</v>
      </c>
      <c r="G110" s="9" t="str">
        <f>IF(انبار!I109&lt;=0,"🔴 سفارش فوری",IF(انبار!I109&lt;=تنظیمات_سیستم!$C$7,"🟠 سفارش مجدد","✅"))</f>
        <v>✅</v>
      </c>
      <c r="H110" s="9" t="str">
        <f>IF(انبار!I109&lt;=تنظیمات_سیستم!$C$7,"سفارش دهید","—")</f>
        <v>—</v>
      </c>
    </row>
    <row r="111" spans="1:8">
      <c r="A111" s="9" t="str">
        <f>انبار!A110</f>
        <v>SKU-0107</v>
      </c>
      <c r="B111" s="17" t="str">
        <f>انبار!B110</f>
        <v>شلوار مانا کله غازی1</v>
      </c>
      <c r="C111" s="17" t="str">
        <f>انبار!C110</f>
        <v>شلوار</v>
      </c>
      <c r="D111" s="9">
        <f>انبار!I110</f>
        <v>9</v>
      </c>
      <c r="E111" s="9" t="str">
        <f>انبار!J110</f>
        <v>🟢 OK</v>
      </c>
      <c r="F111" s="18">
        <f>انبار!F110</f>
        <v>0</v>
      </c>
      <c r="G111" s="9" t="str">
        <f>IF(انبار!I110&lt;=0,"🔴 سفارش فوری",IF(انبار!I110&lt;=تنظیمات_سیستم!$C$7,"🟠 سفارش مجدد","✅"))</f>
        <v>✅</v>
      </c>
      <c r="H111" s="9" t="str">
        <f>IF(انبار!I110&lt;=تنظیمات_سیستم!$C$7,"سفارش دهید","—")</f>
        <v>—</v>
      </c>
    </row>
    <row r="112" spans="1:8">
      <c r="A112" s="9" t="str">
        <f>انبار!A111</f>
        <v>SKU-0108</v>
      </c>
      <c r="B112" s="17" t="str">
        <f>انبار!B111</f>
        <v>شلوار مانا کله غازی2</v>
      </c>
      <c r="C112" s="17" t="str">
        <f>انبار!C111</f>
        <v>شلوار</v>
      </c>
      <c r="D112" s="9">
        <f>انبار!I111</f>
        <v>9</v>
      </c>
      <c r="E112" s="9" t="str">
        <f>انبار!J111</f>
        <v>🟢 OK</v>
      </c>
      <c r="F112" s="18">
        <f>انبار!F111</f>
        <v>1680000</v>
      </c>
      <c r="G112" s="9" t="str">
        <f>IF(انبار!I111&lt;=0,"🔴 سفارش فوری",IF(انبار!I111&lt;=تنظیمات_سیستم!$C$7,"🟠 سفارش مجدد","✅"))</f>
        <v>✅</v>
      </c>
      <c r="H112" s="9" t="str">
        <f>IF(انبار!I111&lt;=تنظیمات_سیستم!$C$7,"سفارش دهید","—")</f>
        <v>—</v>
      </c>
    </row>
    <row r="113" spans="1:8">
      <c r="A113" s="9" t="str">
        <f>انبار!A112</f>
        <v>SKU-0109</v>
      </c>
      <c r="B113" s="17" t="str">
        <f>انبار!B112</f>
        <v>شلوار مانا زیتونی 1</v>
      </c>
      <c r="C113" s="17" t="str">
        <f>انبار!C112</f>
        <v>شلوار</v>
      </c>
      <c r="D113" s="9">
        <f>انبار!I112</f>
        <v>9</v>
      </c>
      <c r="E113" s="9" t="str">
        <f>انبار!J112</f>
        <v>🟢 OK</v>
      </c>
      <c r="F113" s="18">
        <f>انبار!F112</f>
        <v>0</v>
      </c>
      <c r="G113" s="9" t="str">
        <f>IF(انبار!I112&lt;=0,"🔴 سفارش فوری",IF(انبار!I112&lt;=تنظیمات_سیستم!$C$7,"🟠 سفارش مجدد","✅"))</f>
        <v>✅</v>
      </c>
      <c r="H113" s="9" t="str">
        <f>IF(انبار!I112&lt;=تنظیمات_سیستم!$C$7,"سفارش دهید","—")</f>
        <v>—</v>
      </c>
    </row>
    <row r="114" spans="1:8">
      <c r="A114" s="9" t="str">
        <f>انبار!A113</f>
        <v>SKU-0110</v>
      </c>
      <c r="B114" s="17" t="str">
        <f>انبار!B113</f>
        <v>شلوار مانا زیتونی2</v>
      </c>
      <c r="C114" s="17" t="str">
        <f>انبار!C113</f>
        <v>شلوار</v>
      </c>
      <c r="D114" s="9">
        <f>انبار!I113</f>
        <v>9</v>
      </c>
      <c r="E114" s="9" t="str">
        <f>انبار!J113</f>
        <v>🟢 OK</v>
      </c>
      <c r="F114" s="18">
        <f>انبار!F113</f>
        <v>0</v>
      </c>
      <c r="G114" s="9" t="str">
        <f>IF(انبار!I113&lt;=0,"🔴 سفارش فوری",IF(انبار!I113&lt;=تنظیمات_سیستم!$C$7,"🟠 سفارش مجدد","✅"))</f>
        <v>✅</v>
      </c>
      <c r="H114" s="9" t="str">
        <f>IF(انبار!I113&lt;=تنظیمات_سیستم!$C$7,"سفارش دهید","—")</f>
        <v>—</v>
      </c>
    </row>
    <row r="115" spans="1:8">
      <c r="A115" s="9" t="str">
        <f>انبار!A114</f>
        <v>SKU-0111</v>
      </c>
      <c r="B115" s="17" t="str">
        <f>انبار!B114</f>
        <v>شلوار بیسیک سفید1</v>
      </c>
      <c r="C115" s="17" t="str">
        <f>انبار!C114</f>
        <v>شلوار</v>
      </c>
      <c r="D115" s="9">
        <f>انبار!I114</f>
        <v>9</v>
      </c>
      <c r="E115" s="9" t="str">
        <f>انبار!J114</f>
        <v>🟢 OK</v>
      </c>
      <c r="F115" s="18">
        <f>انبار!F114</f>
        <v>2380000</v>
      </c>
      <c r="G115" s="9" t="str">
        <f>IF(انبار!I114&lt;=0,"🔴 سفارش فوری",IF(انبار!I114&lt;=تنظیمات_سیستم!$C$7,"🟠 سفارش مجدد","✅"))</f>
        <v>✅</v>
      </c>
      <c r="H115" s="9" t="str">
        <f>IF(انبار!I114&lt;=تنظیمات_سیستم!$C$7,"سفارش دهید","—")</f>
        <v>—</v>
      </c>
    </row>
    <row r="116" spans="1:8">
      <c r="A116" s="9" t="str">
        <f>انبار!A115</f>
        <v>SKU-0112</v>
      </c>
      <c r="B116" s="17" t="str">
        <f>انبار!B115</f>
        <v>شلوار بیسیک سفید2</v>
      </c>
      <c r="C116" s="17" t="str">
        <f>انبار!C115</f>
        <v>شلوار</v>
      </c>
      <c r="D116" s="9">
        <f>انبار!I115</f>
        <v>9</v>
      </c>
      <c r="E116" s="9" t="str">
        <f>انبار!J115</f>
        <v>🟢 OK</v>
      </c>
      <c r="F116" s="18">
        <f>انبار!F115</f>
        <v>1440000</v>
      </c>
      <c r="G116" s="9" t="str">
        <f>IF(انبار!I115&lt;=0,"🔴 سفارش فوری",IF(انبار!I115&lt;=تنظیمات_سیستم!$C$7,"🟠 سفارش مجدد","✅"))</f>
        <v>✅</v>
      </c>
      <c r="H116" s="9" t="str">
        <f>IF(انبار!I115&lt;=تنظیمات_سیستم!$C$7,"سفارش دهید","—")</f>
        <v>—</v>
      </c>
    </row>
    <row r="117" spans="1:8">
      <c r="A117" s="9" t="str">
        <f>انبار!A116</f>
        <v>SKU-0113</v>
      </c>
      <c r="B117" s="17" t="str">
        <f>انبار!B116</f>
        <v>شلوار بیسیک مشکی1</v>
      </c>
      <c r="C117" s="17" t="str">
        <f>انبار!C116</f>
        <v>شلوار</v>
      </c>
      <c r="D117" s="9">
        <f>انبار!I116</f>
        <v>9</v>
      </c>
      <c r="E117" s="9" t="str">
        <f>انبار!J116</f>
        <v>🟢 OK</v>
      </c>
      <c r="F117" s="18">
        <f>انبار!F116</f>
        <v>1440000</v>
      </c>
      <c r="G117" s="9" t="str">
        <f>IF(انبار!I116&lt;=0,"🔴 سفارش فوری",IF(انبار!I116&lt;=تنظیمات_سیستم!$C$7,"🟠 سفارش مجدد","✅"))</f>
        <v>✅</v>
      </c>
      <c r="H117" s="9" t="str">
        <f>IF(انبار!I116&lt;=تنظیمات_سیستم!$C$7,"سفارش دهید","—")</f>
        <v>—</v>
      </c>
    </row>
    <row r="118" spans="1:8">
      <c r="A118" s="9" t="str">
        <f>انبار!A117</f>
        <v>SKU-0114</v>
      </c>
      <c r="B118" s="17" t="str">
        <f>انبار!B117</f>
        <v>شلوار بیسیک مشکی2</v>
      </c>
      <c r="C118" s="17" t="str">
        <f>انبار!C117</f>
        <v>شلوار</v>
      </c>
      <c r="D118" s="9">
        <f>انبار!I117</f>
        <v>9</v>
      </c>
      <c r="E118" s="9" t="str">
        <f>انبار!J117</f>
        <v>🟢 OK</v>
      </c>
      <c r="F118" s="18">
        <f>انبار!F117</f>
        <v>1440000</v>
      </c>
      <c r="G118" s="9" t="str">
        <f>IF(انبار!I117&lt;=0,"🔴 سفارش فوری",IF(انبار!I117&lt;=تنظیمات_سیستم!$C$7,"🟠 سفارش مجدد","✅"))</f>
        <v>✅</v>
      </c>
      <c r="H118" s="9" t="str">
        <f>IF(انبار!I117&lt;=تنظیمات_سیستم!$C$7,"سفارش دهید","—")</f>
        <v>—</v>
      </c>
    </row>
    <row r="119" spans="1:8">
      <c r="A119" s="9" t="str">
        <f>انبار!A118</f>
        <v>SKU-0115</v>
      </c>
      <c r="B119" s="17" t="str">
        <f>انبار!B118</f>
        <v>وست دیپلمات مشکی فری</v>
      </c>
      <c r="C119" s="17" t="str">
        <f>انبار!C118</f>
        <v>وست</v>
      </c>
      <c r="D119" s="9">
        <f>انبار!I118</f>
        <v>9</v>
      </c>
      <c r="E119" s="9" t="str">
        <f>انبار!J118</f>
        <v>🟢 OK</v>
      </c>
      <c r="F119" s="18">
        <f>انبار!F118</f>
        <v>3980000</v>
      </c>
      <c r="G119" s="9" t="str">
        <f>IF(انبار!I118&lt;=0,"🔴 سفارش فوری",IF(انبار!I118&lt;=تنظیمات_سیستم!$C$7,"🟠 سفارش مجدد","✅"))</f>
        <v>✅</v>
      </c>
      <c r="H119" s="9" t="str">
        <f>IF(انبار!I118&lt;=تنظیمات_سیستم!$C$7,"سفارش دهید","—")</f>
        <v>—</v>
      </c>
    </row>
    <row r="120" spans="1:8">
      <c r="A120" s="9" t="str">
        <f>انبار!A119</f>
        <v>SKU-0116</v>
      </c>
      <c r="B120" s="17" t="str">
        <f>انبار!B119</f>
        <v>وست دیپلمات طوسی فری</v>
      </c>
      <c r="C120" s="17" t="str">
        <f>انبار!C119</f>
        <v>وست</v>
      </c>
      <c r="D120" s="9">
        <f>انبار!I119</f>
        <v>9</v>
      </c>
      <c r="E120" s="9" t="str">
        <f>انبار!J119</f>
        <v>🟢 OK</v>
      </c>
      <c r="F120" s="18">
        <f>انبار!F119</f>
        <v>3980000</v>
      </c>
      <c r="G120" s="9" t="str">
        <f>IF(انبار!I119&lt;=0,"🔴 سفارش فوری",IF(انبار!I119&lt;=تنظیمات_سیستم!$C$7,"🟠 سفارش مجدد","✅"))</f>
        <v>✅</v>
      </c>
      <c r="H120" s="9" t="str">
        <f>IF(انبار!I119&lt;=تنظیمات_سیستم!$C$7,"سفارش دهید","—")</f>
        <v>—</v>
      </c>
    </row>
    <row r="121" spans="1:8">
      <c r="A121" s="9" t="str">
        <f>انبار!A120</f>
        <v>SKU-0117</v>
      </c>
      <c r="B121" s="17" t="str">
        <f>انبار!B120</f>
        <v>تاپ اولدمانی کرم1</v>
      </c>
      <c r="C121" s="17" t="str">
        <f>انبار!C120</f>
        <v>تاپ</v>
      </c>
      <c r="D121" s="9">
        <f>انبار!I120</f>
        <v>9</v>
      </c>
      <c r="E121" s="9" t="str">
        <f>انبار!J120</f>
        <v>🟢 OK</v>
      </c>
      <c r="F121" s="18">
        <f>انبار!F120</f>
        <v>2380000</v>
      </c>
      <c r="G121" s="9" t="str">
        <f>IF(انبار!I120&lt;=0,"🔴 سفارش فوری",IF(انبار!I120&lt;=تنظیمات_سیستم!$C$7,"🟠 سفارش مجدد","✅"))</f>
        <v>✅</v>
      </c>
      <c r="H121" s="9" t="str">
        <f>IF(انبار!I120&lt;=تنظیمات_سیستم!$C$7,"سفارش دهید","—")</f>
        <v>—</v>
      </c>
    </row>
    <row r="122" spans="1:8">
      <c r="A122" s="9" t="str">
        <f>انبار!A121</f>
        <v>SKU-0118</v>
      </c>
      <c r="B122" s="17" t="str">
        <f>انبار!B121</f>
        <v>تاپ اولدمانی کرم2</v>
      </c>
      <c r="C122" s="17" t="str">
        <f>انبار!C121</f>
        <v>تاپ</v>
      </c>
      <c r="D122" s="9">
        <f>انبار!I121</f>
        <v>9</v>
      </c>
      <c r="E122" s="9" t="str">
        <f>انبار!J121</f>
        <v>🟢 OK</v>
      </c>
      <c r="F122" s="18">
        <f>انبار!F121</f>
        <v>2380000</v>
      </c>
      <c r="G122" s="9" t="str">
        <f>IF(انبار!I121&lt;=0,"🔴 سفارش فوری",IF(انبار!I121&lt;=تنظیمات_سیستم!$C$7,"🟠 سفارش مجدد","✅"))</f>
        <v>✅</v>
      </c>
      <c r="H122" s="9" t="str">
        <f>IF(انبار!I121&lt;=تنظیمات_سیستم!$C$7,"سفارش دهید","—")</f>
        <v>—</v>
      </c>
    </row>
    <row r="123" spans="1:8">
      <c r="A123" s="9" t="str">
        <f>انبار!A122</f>
        <v>SKU-0119</v>
      </c>
      <c r="B123" s="17" t="str">
        <f>انبار!B122</f>
        <v>تاپ اولدمانی کرم3</v>
      </c>
      <c r="C123" s="17" t="str">
        <f>انبار!C122</f>
        <v>تاپ</v>
      </c>
      <c r="D123" s="9">
        <f>انبار!I122</f>
        <v>9</v>
      </c>
      <c r="E123" s="9" t="str">
        <f>انبار!J122</f>
        <v>🟢 OK</v>
      </c>
      <c r="F123" s="18">
        <f>انبار!F122</f>
        <v>2380000</v>
      </c>
      <c r="G123" s="9" t="str">
        <f>IF(انبار!I122&lt;=0,"🔴 سفارش فوری",IF(انبار!I122&lt;=تنظیمات_سیستم!$C$7,"🟠 سفارش مجدد","✅"))</f>
        <v>✅</v>
      </c>
      <c r="H123" s="9" t="str">
        <f>IF(انبار!I122&lt;=تنظیمات_سیستم!$C$7,"سفارش دهید","—")</f>
        <v>—</v>
      </c>
    </row>
    <row r="124" spans="1:8">
      <c r="A124" s="9" t="str">
        <f>انبار!A123</f>
        <v>SKU-0120</v>
      </c>
      <c r="B124" s="17" t="str">
        <f>انبار!B123</f>
        <v>تاپ اولدمانی مشکی 1</v>
      </c>
      <c r="C124" s="17" t="str">
        <f>انبار!C123</f>
        <v>تاپ</v>
      </c>
      <c r="D124" s="9">
        <f>انبار!I123</f>
        <v>9</v>
      </c>
      <c r="E124" s="9" t="str">
        <f>انبار!J123</f>
        <v>🟢 OK</v>
      </c>
      <c r="F124" s="18">
        <f>انبار!F123</f>
        <v>2380000</v>
      </c>
      <c r="G124" s="9" t="str">
        <f>IF(انبار!I123&lt;=0,"🔴 سفارش فوری",IF(انبار!I123&lt;=تنظیمات_سیستم!$C$7,"🟠 سفارش مجدد","✅"))</f>
        <v>✅</v>
      </c>
      <c r="H124" s="9" t="str">
        <f>IF(انبار!I123&lt;=تنظیمات_سیستم!$C$7,"سفارش دهید","—")</f>
        <v>—</v>
      </c>
    </row>
    <row r="125" spans="1:8">
      <c r="A125" s="9" t="str">
        <f>انبار!A124</f>
        <v>SKU-0121</v>
      </c>
      <c r="B125" s="17" t="str">
        <f>انبار!B124</f>
        <v>تاپ اولدمانی مشکی2</v>
      </c>
      <c r="C125" s="17" t="str">
        <f>انبار!C124</f>
        <v>تاپ</v>
      </c>
      <c r="D125" s="9">
        <f>انبار!I124</f>
        <v>9</v>
      </c>
      <c r="E125" s="9" t="str">
        <f>انبار!J124</f>
        <v>🟢 OK</v>
      </c>
      <c r="F125" s="18">
        <f>انبار!F124</f>
        <v>2380000</v>
      </c>
      <c r="G125" s="9" t="str">
        <f>IF(انبار!I124&lt;=0,"🔴 سفارش فوری",IF(انبار!I124&lt;=تنظیمات_سیستم!$C$7,"🟠 سفارش مجدد","✅"))</f>
        <v>✅</v>
      </c>
      <c r="H125" s="9" t="str">
        <f>IF(انبار!I124&lt;=تنظیمات_سیستم!$C$7,"سفارش دهید","—")</f>
        <v>—</v>
      </c>
    </row>
    <row r="126" spans="1:8">
      <c r="A126" s="9" t="str">
        <f>انبار!A125</f>
        <v>SKU-0122</v>
      </c>
      <c r="B126" s="17" t="str">
        <f>انبار!B125</f>
        <v>تاپ اولدمانی مشکی3</v>
      </c>
      <c r="C126" s="17" t="str">
        <f>انبار!C125</f>
        <v>تاپ</v>
      </c>
      <c r="D126" s="9">
        <f>انبار!I125</f>
        <v>9</v>
      </c>
      <c r="E126" s="9" t="str">
        <f>انبار!J125</f>
        <v>🟢 OK</v>
      </c>
      <c r="F126" s="18">
        <f>انبار!F125</f>
        <v>2380000</v>
      </c>
      <c r="G126" s="9" t="str">
        <f>IF(انبار!I125&lt;=0,"🔴 سفارش فوری",IF(انبار!I125&lt;=تنظیمات_سیستم!$C$7,"🟠 سفارش مجدد","✅"))</f>
        <v>✅</v>
      </c>
      <c r="H126" s="9" t="str">
        <f>IF(انبار!I125&lt;=تنظیمات_سیستم!$C$7,"سفارش دهید","—")</f>
        <v>—</v>
      </c>
    </row>
    <row r="127" spans="1:8">
      <c r="A127" s="9" t="str">
        <f>انبار!A126</f>
        <v>SKU-0123</v>
      </c>
      <c r="B127" s="17" t="str">
        <f>انبار!B126</f>
        <v>تاپ اولدمانی استخوانی 1</v>
      </c>
      <c r="C127" s="17" t="str">
        <f>انبار!C126</f>
        <v>تاپ</v>
      </c>
      <c r="D127" s="9">
        <f>انبار!I126</f>
        <v>9</v>
      </c>
      <c r="E127" s="9" t="str">
        <f>انبار!J126</f>
        <v>🟢 OK</v>
      </c>
      <c r="F127" s="18">
        <f>انبار!F126</f>
        <v>2380000</v>
      </c>
      <c r="G127" s="9" t="str">
        <f>IF(انبار!I126&lt;=0,"🔴 سفارش فوری",IF(انبار!I126&lt;=تنظیمات_سیستم!$C$7,"🟠 سفارش مجدد","✅"))</f>
        <v>✅</v>
      </c>
      <c r="H127" s="9" t="str">
        <f>IF(انبار!I126&lt;=تنظیمات_سیستم!$C$7,"سفارش دهید","—")</f>
        <v>—</v>
      </c>
    </row>
    <row r="128" spans="1:8">
      <c r="A128" s="9" t="str">
        <f>انبار!A127</f>
        <v>SKU-0124</v>
      </c>
      <c r="B128" s="17" t="str">
        <f>انبار!B127</f>
        <v>تاپ اولدمانی استخوانی 2</v>
      </c>
      <c r="C128" s="17" t="str">
        <f>انبار!C127</f>
        <v>تاپ</v>
      </c>
      <c r="D128" s="9">
        <f>انبار!I127</f>
        <v>9</v>
      </c>
      <c r="E128" s="9" t="str">
        <f>انبار!J127</f>
        <v>🟢 OK</v>
      </c>
      <c r="F128" s="18">
        <f>انبار!F127</f>
        <v>2380000</v>
      </c>
      <c r="G128" s="9" t="str">
        <f>IF(انبار!I127&lt;=0,"🔴 سفارش فوری",IF(انبار!I127&lt;=تنظیمات_سیستم!$C$7,"🟠 سفارش مجدد","✅"))</f>
        <v>✅</v>
      </c>
      <c r="H128" s="9" t="str">
        <f>IF(انبار!I127&lt;=تنظیمات_سیستم!$C$7,"سفارش دهید","—")</f>
        <v>—</v>
      </c>
    </row>
    <row r="129" spans="1:8">
      <c r="A129" s="9" t="str">
        <f>انبار!A128</f>
        <v>SKU-0125</v>
      </c>
      <c r="B129" s="17" t="str">
        <f>انبار!B128</f>
        <v>تاپ اولدمانی استخوانی 3</v>
      </c>
      <c r="C129" s="17" t="str">
        <f>انبار!C128</f>
        <v>تاپ</v>
      </c>
      <c r="D129" s="9">
        <f>انبار!I128</f>
        <v>9</v>
      </c>
      <c r="E129" s="9" t="str">
        <f>انبار!J128</f>
        <v>🟢 OK</v>
      </c>
      <c r="F129" s="18">
        <f>انبار!F128</f>
        <v>2380000</v>
      </c>
      <c r="G129" s="9" t="str">
        <f>IF(انبار!I128&lt;=0,"🔴 سفارش فوری",IF(انبار!I128&lt;=تنظیمات_سیستم!$C$7,"🟠 سفارش مجدد","✅"))</f>
        <v>✅</v>
      </c>
      <c r="H129" s="9" t="str">
        <f>IF(انبار!I128&lt;=تنظیمات_سیستم!$C$7,"سفارش دهید","—")</f>
        <v>—</v>
      </c>
    </row>
    <row r="130" spans="1:8">
      <c r="A130" s="9" t="str">
        <f>انبار!A129</f>
        <v>SKU-0126</v>
      </c>
      <c r="B130" s="17" t="str">
        <f>انبار!B129</f>
        <v>شلوار اولدمانی کرم1</v>
      </c>
      <c r="C130" s="17" t="str">
        <f>انبار!C129</f>
        <v>شلوار</v>
      </c>
      <c r="D130" s="9">
        <f>انبار!I129</f>
        <v>9</v>
      </c>
      <c r="E130" s="9" t="str">
        <f>انبار!J129</f>
        <v>🟢 OK</v>
      </c>
      <c r="F130" s="18">
        <f>انبار!F129</f>
        <v>3680000</v>
      </c>
      <c r="G130" s="9" t="str">
        <f>IF(انبار!I129&lt;=0,"🔴 سفارش فوری",IF(انبار!I129&lt;=تنظیمات_سیستم!$C$7,"🟠 سفارش مجدد","✅"))</f>
        <v>✅</v>
      </c>
      <c r="H130" s="9" t="str">
        <f>IF(انبار!I129&lt;=تنظیمات_سیستم!$C$7,"سفارش دهید","—")</f>
        <v>—</v>
      </c>
    </row>
    <row r="131" spans="1:8">
      <c r="A131" s="9" t="str">
        <f>انبار!A130</f>
        <v>SKU-0127</v>
      </c>
      <c r="B131" s="17" t="str">
        <f>انبار!B130</f>
        <v>شلوار اولدمانی کرم2</v>
      </c>
      <c r="C131" s="17" t="str">
        <f>انبار!C130</f>
        <v>شلوار</v>
      </c>
      <c r="D131" s="9">
        <f>انبار!I130</f>
        <v>9</v>
      </c>
      <c r="E131" s="9" t="str">
        <f>انبار!J130</f>
        <v>🟢 OK</v>
      </c>
      <c r="F131" s="18">
        <f>انبار!F130</f>
        <v>3680000</v>
      </c>
      <c r="G131" s="9" t="str">
        <f>IF(انبار!I130&lt;=0,"🔴 سفارش فوری",IF(انبار!I130&lt;=تنظیمات_سیستم!$C$7,"🟠 سفارش مجدد","✅"))</f>
        <v>✅</v>
      </c>
      <c r="H131" s="9" t="str">
        <f>IF(انبار!I130&lt;=تنظیمات_سیستم!$C$7,"سفارش دهید","—")</f>
        <v>—</v>
      </c>
    </row>
    <row r="132" spans="1:8">
      <c r="A132" s="9" t="str">
        <f>انبار!A131</f>
        <v>SKU-0128</v>
      </c>
      <c r="B132" s="17" t="str">
        <f>انبار!B131</f>
        <v>شلوار اولدمانی کرم3</v>
      </c>
      <c r="C132" s="17" t="str">
        <f>انبار!C131</f>
        <v>شلوار</v>
      </c>
      <c r="D132" s="9">
        <f>انبار!I131</f>
        <v>9</v>
      </c>
      <c r="E132" s="9" t="str">
        <f>انبار!J131</f>
        <v>🟢 OK</v>
      </c>
      <c r="F132" s="18">
        <f>انبار!F131</f>
        <v>3680000</v>
      </c>
      <c r="G132" s="9" t="str">
        <f>IF(انبار!I131&lt;=0,"🔴 سفارش فوری",IF(انبار!I131&lt;=تنظیمات_سیستم!$C$7,"🟠 سفارش مجدد","✅"))</f>
        <v>✅</v>
      </c>
      <c r="H132" s="9" t="str">
        <f>IF(انبار!I131&lt;=تنظیمات_سیستم!$C$7,"سفارش دهید","—")</f>
        <v>—</v>
      </c>
    </row>
    <row r="133" spans="1:8">
      <c r="A133" s="9" t="str">
        <f>انبار!A132</f>
        <v>SKU-0129</v>
      </c>
      <c r="B133" s="17" t="str">
        <f>انبار!B132</f>
        <v>شلوار اولدمانی مشکی1</v>
      </c>
      <c r="C133" s="17" t="str">
        <f>انبار!C132</f>
        <v>شلوار</v>
      </c>
      <c r="D133" s="9">
        <f>انبار!I132</f>
        <v>9</v>
      </c>
      <c r="E133" s="9" t="str">
        <f>انبار!J132</f>
        <v>🟢 OK</v>
      </c>
      <c r="F133" s="18">
        <f>انبار!F132</f>
        <v>3680000</v>
      </c>
      <c r="G133" s="9" t="str">
        <f>IF(انبار!I132&lt;=0,"🔴 سفارش فوری",IF(انبار!I132&lt;=تنظیمات_سیستم!$C$7,"🟠 سفارش مجدد","✅"))</f>
        <v>✅</v>
      </c>
      <c r="H133" s="9" t="str">
        <f>IF(انبار!I132&lt;=تنظیمات_سیستم!$C$7,"سفارش دهید","—")</f>
        <v>—</v>
      </c>
    </row>
    <row r="134" spans="1:8">
      <c r="A134" s="9" t="str">
        <f>انبار!A133</f>
        <v>SKU-0130</v>
      </c>
      <c r="B134" s="17" t="str">
        <f>انبار!B133</f>
        <v>شلوار اولدمانی مشکی2</v>
      </c>
      <c r="C134" s="17" t="str">
        <f>انبار!C133</f>
        <v>شلوار</v>
      </c>
      <c r="D134" s="9">
        <f>انبار!I133</f>
        <v>9</v>
      </c>
      <c r="E134" s="9" t="str">
        <f>انبار!J133</f>
        <v>🟢 OK</v>
      </c>
      <c r="F134" s="18">
        <f>انبار!F133</f>
        <v>3680000</v>
      </c>
      <c r="G134" s="9" t="str">
        <f>IF(انبار!I133&lt;=0,"🔴 سفارش فوری",IF(انبار!I133&lt;=تنظیمات_سیستم!$C$7,"🟠 سفارش مجدد","✅"))</f>
        <v>✅</v>
      </c>
      <c r="H134" s="9" t="str">
        <f>IF(انبار!I133&lt;=تنظیمات_سیستم!$C$7,"سفارش دهید","—")</f>
        <v>—</v>
      </c>
    </row>
    <row r="135" spans="1:8">
      <c r="A135" s="9" t="str">
        <f>انبار!A134</f>
        <v>SKU-0131</v>
      </c>
      <c r="B135" s="17" t="str">
        <f>انبار!B134</f>
        <v>شلوار اولدمانی مشکی3</v>
      </c>
      <c r="C135" s="17" t="str">
        <f>انبار!C134</f>
        <v>شلوار</v>
      </c>
      <c r="D135" s="9">
        <f>انبار!I134</f>
        <v>9</v>
      </c>
      <c r="E135" s="9" t="str">
        <f>انبار!J134</f>
        <v>🟢 OK</v>
      </c>
      <c r="F135" s="18">
        <f>انبار!F134</f>
        <v>3680000</v>
      </c>
      <c r="G135" s="9" t="str">
        <f>IF(انبار!I134&lt;=0,"🔴 سفارش فوری",IF(انبار!I134&lt;=تنظیمات_سیستم!$C$7,"🟠 سفارش مجدد","✅"))</f>
        <v>✅</v>
      </c>
      <c r="H135" s="9" t="str">
        <f>IF(انبار!I134&lt;=تنظیمات_سیستم!$C$7,"سفارش دهید","—")</f>
        <v>—</v>
      </c>
    </row>
    <row r="136" spans="1:8">
      <c r="A136" s="9" t="str">
        <f>انبار!A135</f>
        <v>SKU-0132</v>
      </c>
      <c r="B136" s="17" t="str">
        <f>انبار!B135</f>
        <v>شلوار اولدمانی استخوانی1</v>
      </c>
      <c r="C136" s="17" t="str">
        <f>انبار!C135</f>
        <v>شلوار</v>
      </c>
      <c r="D136" s="9">
        <f>انبار!I135</f>
        <v>9</v>
      </c>
      <c r="E136" s="9" t="str">
        <f>انبار!J135</f>
        <v>🟢 OK</v>
      </c>
      <c r="F136" s="18">
        <f>انبار!F135</f>
        <v>3680000</v>
      </c>
      <c r="G136" s="9" t="str">
        <f>IF(انبار!I135&lt;=0,"🔴 سفارش فوری",IF(انبار!I135&lt;=تنظیمات_سیستم!$C$7,"🟠 سفارش مجدد","✅"))</f>
        <v>✅</v>
      </c>
      <c r="H136" s="9" t="str">
        <f>IF(انبار!I135&lt;=تنظیمات_سیستم!$C$7,"سفارش دهید","—")</f>
        <v>—</v>
      </c>
    </row>
    <row r="137" spans="1:8">
      <c r="A137" s="9" t="str">
        <f>انبار!A136</f>
        <v>SKU-0133</v>
      </c>
      <c r="B137" s="17" t="str">
        <f>انبار!B136</f>
        <v>شلوار اولدمانی استخوانی2</v>
      </c>
      <c r="C137" s="17" t="str">
        <f>انبار!C136</f>
        <v>شلوار</v>
      </c>
      <c r="D137" s="9">
        <f>انبار!I136</f>
        <v>9</v>
      </c>
      <c r="E137" s="9" t="str">
        <f>انبار!J136</f>
        <v>🟢 OK</v>
      </c>
      <c r="F137" s="18">
        <f>انبار!F136</f>
        <v>3680000</v>
      </c>
      <c r="G137" s="9" t="str">
        <f>IF(انبار!I136&lt;=0,"🔴 سفارش فوری",IF(انبار!I136&lt;=تنظیمات_سیستم!$C$7,"🟠 سفارش مجدد","✅"))</f>
        <v>✅</v>
      </c>
      <c r="H137" s="9" t="str">
        <f>IF(انبار!I136&lt;=تنظیمات_سیستم!$C$7,"سفارش دهید","—")</f>
        <v>—</v>
      </c>
    </row>
    <row r="138" spans="1:8">
      <c r="A138" s="9" t="str">
        <f>انبار!A137</f>
        <v>SKU-0134</v>
      </c>
      <c r="B138" s="17" t="str">
        <f>انبار!B137</f>
        <v>شلوار اولدمانی استخوانی3</v>
      </c>
      <c r="C138" s="17" t="str">
        <f>انبار!C137</f>
        <v>شلوار</v>
      </c>
      <c r="D138" s="9">
        <f>انبار!I137</f>
        <v>9</v>
      </c>
      <c r="E138" s="9" t="str">
        <f>انبار!J137</f>
        <v>🟢 OK</v>
      </c>
      <c r="F138" s="18">
        <f>انبار!F137</f>
        <v>3680000</v>
      </c>
      <c r="G138" s="9" t="str">
        <f>IF(انبار!I137&lt;=0,"🔴 سفارش فوری",IF(انبار!I137&lt;=تنظیمات_سیستم!$C$7,"🟠 سفارش مجدد","✅"))</f>
        <v>✅</v>
      </c>
      <c r="H138" s="9" t="str">
        <f>IF(انبار!I137&lt;=تنظیمات_سیستم!$C$7,"سفارش دهید","—")</f>
        <v>—</v>
      </c>
    </row>
    <row r="139" spans="1:8">
      <c r="A139" s="9" t="str">
        <f>انبار!A138</f>
        <v>SKU-0135</v>
      </c>
      <c r="B139" s="17" t="str">
        <f>انبار!B138</f>
        <v>شومیز پارلا سرمه ای1</v>
      </c>
      <c r="C139" s="17" t="str">
        <f>انبار!C138</f>
        <v>شومیز</v>
      </c>
      <c r="D139" s="9">
        <f>انبار!I138</f>
        <v>9</v>
      </c>
      <c r="E139" s="9" t="str">
        <f>انبار!J138</f>
        <v>🟢 OK</v>
      </c>
      <c r="F139" s="18">
        <f>انبار!F138</f>
        <v>3780000</v>
      </c>
      <c r="G139" s="9" t="str">
        <f>IF(انبار!I138&lt;=0,"🔴 سفارش فوری",IF(انبار!I138&lt;=تنظیمات_سیستم!$C$7,"🟠 سفارش مجدد","✅"))</f>
        <v>✅</v>
      </c>
      <c r="H139" s="9" t="str">
        <f>IF(انبار!I138&lt;=تنظیمات_سیستم!$C$7,"سفارش دهید","—")</f>
        <v>—</v>
      </c>
    </row>
    <row r="140" spans="1:8">
      <c r="A140" s="9" t="str">
        <f>انبار!A139</f>
        <v>SKU-0136</v>
      </c>
      <c r="B140" s="17" t="str">
        <f>انبار!B139</f>
        <v>شومیز پارلا سرمه ای2</v>
      </c>
      <c r="C140" s="17" t="str">
        <f>انبار!C139</f>
        <v>شومیز</v>
      </c>
      <c r="D140" s="9">
        <f>انبار!I139</f>
        <v>9</v>
      </c>
      <c r="E140" s="9" t="str">
        <f>انبار!J139</f>
        <v>🟢 OK</v>
      </c>
      <c r="F140" s="18">
        <f>انبار!F139</f>
        <v>3780000</v>
      </c>
      <c r="G140" s="9" t="str">
        <f>IF(انبار!I139&lt;=0,"🔴 سفارش فوری",IF(انبار!I139&lt;=تنظیمات_سیستم!$C$7,"🟠 سفارش مجدد","✅"))</f>
        <v>✅</v>
      </c>
      <c r="H140" s="9" t="str">
        <f>IF(انبار!I139&lt;=تنظیمات_سیستم!$C$7,"سفارش دهید","—")</f>
        <v>—</v>
      </c>
    </row>
    <row r="141" spans="1:8">
      <c r="A141" s="9" t="str">
        <f>انبار!A140</f>
        <v>SKU-0137</v>
      </c>
      <c r="B141" s="17" t="str">
        <f>انبار!B140</f>
        <v>شومیز پارلا مشکی1</v>
      </c>
      <c r="C141" s="17" t="str">
        <f>انبار!C140</f>
        <v>شومیز</v>
      </c>
      <c r="D141" s="9">
        <f>انبار!I140</f>
        <v>9</v>
      </c>
      <c r="E141" s="9" t="str">
        <f>انبار!J140</f>
        <v>🟢 OK</v>
      </c>
      <c r="F141" s="18">
        <f>انبار!F140</f>
        <v>3780000</v>
      </c>
      <c r="G141" s="9" t="str">
        <f>IF(انبار!I140&lt;=0,"🔴 سفارش فوری",IF(انبار!I140&lt;=تنظیمات_سیستم!$C$7,"🟠 سفارش مجدد","✅"))</f>
        <v>✅</v>
      </c>
      <c r="H141" s="9" t="str">
        <f>IF(انبار!I140&lt;=تنظیمات_سیستم!$C$7,"سفارش دهید","—")</f>
        <v>—</v>
      </c>
    </row>
    <row r="142" spans="1:8">
      <c r="A142" s="9" t="str">
        <f>انبار!A141</f>
        <v>SKU-0138</v>
      </c>
      <c r="B142" s="17" t="str">
        <f>انبار!B141</f>
        <v>شومیز پارلا مشکی2</v>
      </c>
      <c r="C142" s="17" t="str">
        <f>انبار!C141</f>
        <v>شومیز</v>
      </c>
      <c r="D142" s="9">
        <f>انبار!I141</f>
        <v>9</v>
      </c>
      <c r="E142" s="9" t="str">
        <f>انبار!J141</f>
        <v>🟢 OK</v>
      </c>
      <c r="F142" s="18">
        <f>انبار!F141</f>
        <v>3780000</v>
      </c>
      <c r="G142" s="9" t="str">
        <f>IF(انبار!I141&lt;=0,"🔴 سفارش فوری",IF(انبار!I141&lt;=تنظیمات_سیستم!$C$7,"🟠 سفارش مجدد","✅"))</f>
        <v>✅</v>
      </c>
      <c r="H142" s="9" t="str">
        <f>IF(انبار!I141&lt;=تنظیمات_سیستم!$C$7,"سفارش دهید","—")</f>
        <v>—</v>
      </c>
    </row>
    <row r="143" spans="1:8">
      <c r="A143" s="9" t="str">
        <f>انبار!A142</f>
        <v>SKU-0139</v>
      </c>
      <c r="B143" s="17" t="str">
        <f>انبار!B142</f>
        <v>شومیز پارلاسفید1</v>
      </c>
      <c r="C143" s="17" t="str">
        <f>انبار!C142</f>
        <v>شومیز</v>
      </c>
      <c r="D143" s="9">
        <f>انبار!I142</f>
        <v>9</v>
      </c>
      <c r="E143" s="9" t="str">
        <f>انبار!J142</f>
        <v>🟢 OK</v>
      </c>
      <c r="F143" s="18">
        <f>انبار!F142</f>
        <v>3780000</v>
      </c>
      <c r="G143" s="9" t="str">
        <f>IF(انبار!I142&lt;=0,"🔴 سفارش فوری",IF(انبار!I142&lt;=تنظیمات_سیستم!$C$7,"🟠 سفارش مجدد","✅"))</f>
        <v>✅</v>
      </c>
      <c r="H143" s="9" t="str">
        <f>IF(انبار!I142&lt;=تنظیمات_سیستم!$C$7,"سفارش دهید","—")</f>
        <v>—</v>
      </c>
    </row>
    <row r="144" spans="1:8">
      <c r="A144" s="9" t="str">
        <f>انبار!A143</f>
        <v>SKU-0140</v>
      </c>
      <c r="B144" s="17" t="str">
        <f>انبار!B143</f>
        <v>شومیز پارلا سفید2</v>
      </c>
      <c r="C144" s="17" t="str">
        <f>انبار!C143</f>
        <v>شومیز</v>
      </c>
      <c r="D144" s="9">
        <f>انبار!I143</f>
        <v>9</v>
      </c>
      <c r="E144" s="9" t="str">
        <f>انبار!J143</f>
        <v>🟢 OK</v>
      </c>
      <c r="F144" s="18">
        <f>انبار!F143</f>
        <v>3780000</v>
      </c>
      <c r="G144" s="9" t="str">
        <f>IF(انبار!I143&lt;=0,"🔴 سفارش فوری",IF(انبار!I143&lt;=تنظیمات_سیستم!$C$7,"🟠 سفارش مجدد","✅"))</f>
        <v>✅</v>
      </c>
      <c r="H144" s="9" t="str">
        <f>IF(انبار!I143&lt;=تنظیمات_سیستم!$C$7,"سفارش دهید","—")</f>
        <v>—</v>
      </c>
    </row>
    <row r="145" spans="1:8">
      <c r="A145" s="9" t="str">
        <f>انبار!A144</f>
        <v>SKU-0141</v>
      </c>
      <c r="B145" s="17" t="str">
        <f>انبار!B144</f>
        <v>شومیز پارلا کرم1</v>
      </c>
      <c r="C145" s="17" t="str">
        <f>انبار!C144</f>
        <v>شومیز</v>
      </c>
      <c r="D145" s="9">
        <f>انبار!I144</f>
        <v>9</v>
      </c>
      <c r="E145" s="9" t="str">
        <f>انبار!J144</f>
        <v>🟢 OK</v>
      </c>
      <c r="F145" s="18">
        <f>انبار!F144</f>
        <v>3780000</v>
      </c>
      <c r="G145" s="9" t="str">
        <f>IF(انبار!I144&lt;=0,"🔴 سفارش فوری",IF(انبار!I144&lt;=تنظیمات_سیستم!$C$7,"🟠 سفارش مجدد","✅"))</f>
        <v>✅</v>
      </c>
      <c r="H145" s="9" t="str">
        <f>IF(انبار!I144&lt;=تنظیمات_سیستم!$C$7,"سفارش دهید","—")</f>
        <v>—</v>
      </c>
    </row>
    <row r="146" spans="1:8">
      <c r="A146" s="9" t="str">
        <f>انبار!A145</f>
        <v>SKU-0142</v>
      </c>
      <c r="B146" s="17" t="str">
        <f>انبار!B145</f>
        <v>شومیز پارلا کرم2</v>
      </c>
      <c r="C146" s="17" t="str">
        <f>انبار!C145</f>
        <v>شومیز</v>
      </c>
      <c r="D146" s="9">
        <f>انبار!I145</f>
        <v>9</v>
      </c>
      <c r="E146" s="9" t="str">
        <f>انبار!J145</f>
        <v>🟢 OK</v>
      </c>
      <c r="F146" s="18">
        <f>انبار!F145</f>
        <v>3780000</v>
      </c>
      <c r="G146" s="9" t="str">
        <f>IF(انبار!I145&lt;=0,"🔴 سفارش فوری",IF(انبار!I145&lt;=تنظیمات_سیستم!$C$7,"🟠 سفارش مجدد","✅"))</f>
        <v>✅</v>
      </c>
      <c r="H146" s="9" t="str">
        <f>IF(انبار!I145&lt;=تنظیمات_سیستم!$C$7,"سفارش دهید","—")</f>
        <v>—</v>
      </c>
    </row>
    <row r="147" spans="1:8">
      <c r="A147" s="9" t="str">
        <f>انبار!A146</f>
        <v>SKU-0143</v>
      </c>
      <c r="B147" s="17" t="str">
        <f>انبار!B146</f>
        <v>شومیز پارلا سبز زیتونی 1</v>
      </c>
      <c r="C147" s="17" t="str">
        <f>انبار!C146</f>
        <v>شومیز</v>
      </c>
      <c r="D147" s="9">
        <f>انبار!I146</f>
        <v>9</v>
      </c>
      <c r="E147" s="9" t="str">
        <f>انبار!J146</f>
        <v>🟢 OK</v>
      </c>
      <c r="F147" s="18">
        <f>انبار!F146</f>
        <v>3780000</v>
      </c>
      <c r="G147" s="9" t="str">
        <f>IF(انبار!I146&lt;=0,"🔴 سفارش فوری",IF(انبار!I146&lt;=تنظیمات_سیستم!$C$7,"🟠 سفارش مجدد","✅"))</f>
        <v>✅</v>
      </c>
      <c r="H147" s="9" t="str">
        <f>IF(انبار!I146&lt;=تنظیمات_سیستم!$C$7,"سفارش دهید","—")</f>
        <v>—</v>
      </c>
    </row>
    <row r="148" spans="1:8">
      <c r="A148" s="9" t="str">
        <f>انبار!A147</f>
        <v>SKU-0144</v>
      </c>
      <c r="B148" s="17" t="str">
        <f>انبار!B147</f>
        <v>شومیز پارلا سبز زیتونی2</v>
      </c>
      <c r="C148" s="17" t="str">
        <f>انبار!C147</f>
        <v>شومیز</v>
      </c>
      <c r="D148" s="9">
        <f>انبار!I147</f>
        <v>9</v>
      </c>
      <c r="E148" s="9" t="str">
        <f>انبار!J147</f>
        <v>🟢 OK</v>
      </c>
      <c r="F148" s="18">
        <f>انبار!F147</f>
        <v>3780000</v>
      </c>
      <c r="G148" s="9" t="str">
        <f>IF(انبار!I147&lt;=0,"🔴 سفارش فوری",IF(انبار!I147&lt;=تنظیمات_سیستم!$C$7,"🟠 سفارش مجدد","✅"))</f>
        <v>✅</v>
      </c>
      <c r="H148" s="9" t="str">
        <f>IF(انبار!I147&lt;=تنظیمات_سیستم!$C$7,"سفارش دهید","—")</f>
        <v>—</v>
      </c>
    </row>
    <row r="149" spans="1:8">
      <c r="A149" s="9" t="str">
        <f>انبار!A148</f>
        <v>SKU-0145</v>
      </c>
      <c r="B149" s="17" t="str">
        <f>انبار!B148</f>
        <v>شومیز پارلا آبی1</v>
      </c>
      <c r="C149" s="17" t="str">
        <f>انبار!C148</f>
        <v>شومیز</v>
      </c>
      <c r="D149" s="9">
        <f>انبار!I148</f>
        <v>9</v>
      </c>
      <c r="E149" s="9" t="str">
        <f>انبار!J148</f>
        <v>🟢 OK</v>
      </c>
      <c r="F149" s="18">
        <f>انبار!F148</f>
        <v>3780000</v>
      </c>
      <c r="G149" s="9" t="str">
        <f>IF(انبار!I148&lt;=0,"🔴 سفارش فوری",IF(انبار!I148&lt;=تنظیمات_سیستم!$C$7,"🟠 سفارش مجدد","✅"))</f>
        <v>✅</v>
      </c>
      <c r="H149" s="9" t="str">
        <f>IF(انبار!I148&lt;=تنظیمات_سیستم!$C$7,"سفارش دهید","—")</f>
        <v>—</v>
      </c>
    </row>
    <row r="150" spans="1:8">
      <c r="A150" s="9" t="str">
        <f>انبار!A149</f>
        <v>SKU-0146</v>
      </c>
      <c r="B150" s="17" t="str">
        <f>انبار!B149</f>
        <v>شومیز پارلا آبی2</v>
      </c>
      <c r="C150" s="17" t="str">
        <f>انبار!C149</f>
        <v>شومیز</v>
      </c>
      <c r="D150" s="9">
        <f>انبار!I149</f>
        <v>9</v>
      </c>
      <c r="E150" s="9" t="str">
        <f>انبار!J149</f>
        <v>🟢 OK</v>
      </c>
      <c r="F150" s="18">
        <f>انبار!F149</f>
        <v>3780000</v>
      </c>
      <c r="G150" s="9" t="str">
        <f>IF(انبار!I149&lt;=0,"🔴 سفارش فوری",IF(انبار!I149&lt;=تنظیمات_سیستم!$C$7,"🟠 سفارش مجدد","✅"))</f>
        <v>✅</v>
      </c>
      <c r="H150" s="9" t="str">
        <f>IF(انبار!I149&lt;=تنظیمات_سیستم!$C$7,"سفارش دهید","—")</f>
        <v>—</v>
      </c>
    </row>
    <row r="151" spans="1:8">
      <c r="A151" s="9" t="str">
        <f>انبار!A150</f>
        <v>SKU-0147</v>
      </c>
      <c r="B151" s="17" t="str">
        <f>انبار!B150</f>
        <v>شومیز مانلی سفید1</v>
      </c>
      <c r="C151" s="17" t="str">
        <f>انبار!C150</f>
        <v>شومیز</v>
      </c>
      <c r="D151" s="9">
        <f>انبار!I150</f>
        <v>9</v>
      </c>
      <c r="E151" s="9" t="str">
        <f>انبار!J150</f>
        <v>🟢 OK</v>
      </c>
      <c r="F151" s="18">
        <f>انبار!F150</f>
        <v>3450000</v>
      </c>
      <c r="G151" s="9" t="str">
        <f>IF(انبار!I150&lt;=0,"🔴 سفارش فوری",IF(انبار!I150&lt;=تنظیمات_سیستم!$C$7,"🟠 سفارش مجدد","✅"))</f>
        <v>✅</v>
      </c>
      <c r="H151" s="9" t="str">
        <f>IF(انبار!I150&lt;=تنظیمات_سیستم!$C$7,"سفارش دهید","—")</f>
        <v>—</v>
      </c>
    </row>
    <row r="152" spans="1:8">
      <c r="A152" s="9" t="str">
        <f>انبار!A151</f>
        <v>SKU-0148</v>
      </c>
      <c r="B152" s="17" t="str">
        <f>انبار!B151</f>
        <v>شومیز مانلی سفید2</v>
      </c>
      <c r="C152" s="17" t="str">
        <f>انبار!C151</f>
        <v>شومیز</v>
      </c>
      <c r="D152" s="9">
        <f>انبار!I151</f>
        <v>9</v>
      </c>
      <c r="E152" s="9" t="str">
        <f>انبار!J151</f>
        <v>🟢 OK</v>
      </c>
      <c r="F152" s="18">
        <f>انبار!F151</f>
        <v>3450000</v>
      </c>
      <c r="G152" s="9" t="str">
        <f>IF(انبار!I151&lt;=0,"🔴 سفارش فوری",IF(انبار!I151&lt;=تنظیمات_سیستم!$C$7,"🟠 سفارش مجدد","✅"))</f>
        <v>✅</v>
      </c>
      <c r="H152" s="9" t="str">
        <f>IF(انبار!I151&lt;=تنظیمات_سیستم!$C$7,"سفارش دهید","—")</f>
        <v>—</v>
      </c>
    </row>
    <row r="153" spans="1:8">
      <c r="A153" s="9" t="str">
        <f>انبار!A152</f>
        <v>SKU-0149</v>
      </c>
      <c r="B153" s="17" t="str">
        <f>انبار!B152</f>
        <v>شومیز مانلی مشکی1</v>
      </c>
      <c r="C153" s="17" t="str">
        <f>انبار!C152</f>
        <v>شومیز</v>
      </c>
      <c r="D153" s="9">
        <f>انبار!I152</f>
        <v>9</v>
      </c>
      <c r="E153" s="9" t="str">
        <f>انبار!J152</f>
        <v>🟢 OK</v>
      </c>
      <c r="F153" s="18">
        <f>انبار!F152</f>
        <v>3450000</v>
      </c>
      <c r="G153" s="9" t="str">
        <f>IF(انبار!I152&lt;=0,"🔴 سفارش فوری",IF(انبار!I152&lt;=تنظیمات_سیستم!$C$7,"🟠 سفارش مجدد","✅"))</f>
        <v>✅</v>
      </c>
      <c r="H153" s="9" t="str">
        <f>IF(انبار!I152&lt;=تنظیمات_سیستم!$C$7,"سفارش دهید","—")</f>
        <v>—</v>
      </c>
    </row>
    <row r="154" spans="1:8">
      <c r="A154" s="9" t="str">
        <f>انبار!A153</f>
        <v>SKU-0150</v>
      </c>
      <c r="B154" s="17" t="str">
        <f>انبار!B153</f>
        <v>شومیز مانلی مشکی2</v>
      </c>
      <c r="C154" s="17" t="str">
        <f>انبار!C153</f>
        <v>شومیز</v>
      </c>
      <c r="D154" s="9">
        <f>انبار!I153</f>
        <v>9</v>
      </c>
      <c r="E154" s="9" t="str">
        <f>انبار!J153</f>
        <v>🟢 OK</v>
      </c>
      <c r="F154" s="18">
        <f>انبار!F153</f>
        <v>3450000</v>
      </c>
      <c r="G154" s="9" t="str">
        <f>IF(انبار!I153&lt;=0,"🔴 سفارش فوری",IF(انبار!I153&lt;=تنظیمات_سیستم!$C$7,"🟠 سفارش مجدد","✅"))</f>
        <v>✅</v>
      </c>
      <c r="H154" s="9" t="str">
        <f>IF(انبار!I153&lt;=تنظیمات_سیستم!$C$7,"سفارش دهید","—")</f>
        <v>—</v>
      </c>
    </row>
    <row r="155" spans="1:8">
      <c r="A155" s="9" t="str">
        <f>انبار!A154</f>
        <v>SKU-0151</v>
      </c>
      <c r="B155" s="17" t="str">
        <f>انبار!B154</f>
        <v>شومیز مانلی کرم1</v>
      </c>
      <c r="C155" s="17" t="str">
        <f>انبار!C154</f>
        <v>شومیز</v>
      </c>
      <c r="D155" s="9">
        <f>انبار!I154</f>
        <v>9</v>
      </c>
      <c r="E155" s="9" t="str">
        <f>انبار!J154</f>
        <v>🟢 OK</v>
      </c>
      <c r="F155" s="18">
        <f>انبار!F154</f>
        <v>3450000</v>
      </c>
      <c r="G155" s="9" t="str">
        <f>IF(انبار!I154&lt;=0,"🔴 سفارش فوری",IF(انبار!I154&lt;=تنظیمات_سیستم!$C$7,"🟠 سفارش مجدد","✅"))</f>
        <v>✅</v>
      </c>
      <c r="H155" s="9" t="str">
        <f>IF(انبار!I154&lt;=تنظیمات_سیستم!$C$7,"سفارش دهید","—")</f>
        <v>—</v>
      </c>
    </row>
    <row r="156" spans="1:8">
      <c r="A156" s="9" t="str">
        <f>انبار!A155</f>
        <v>SKU-0152</v>
      </c>
      <c r="B156" s="17" t="str">
        <f>انبار!B155</f>
        <v>شومیز مانلی کرم2</v>
      </c>
      <c r="C156" s="17" t="str">
        <f>انبار!C155</f>
        <v>شومیز</v>
      </c>
      <c r="D156" s="9">
        <f>انبار!I155</f>
        <v>9</v>
      </c>
      <c r="E156" s="9" t="str">
        <f>انبار!J155</f>
        <v>🟢 OK</v>
      </c>
      <c r="F156" s="18">
        <f>انبار!F155</f>
        <v>3450000</v>
      </c>
      <c r="G156" s="9" t="str">
        <f>IF(انبار!I155&lt;=0,"🔴 سفارش فوری",IF(انبار!I155&lt;=تنظیمات_سیستم!$C$7,"🟠 سفارش مجدد","✅"))</f>
        <v>✅</v>
      </c>
      <c r="H156" s="9" t="str">
        <f>IF(انبار!I155&lt;=تنظیمات_سیستم!$C$7,"سفارش دهید","—")</f>
        <v>—</v>
      </c>
    </row>
    <row r="157" spans="1:8">
      <c r="A157" s="9" t="str">
        <f>انبار!A156</f>
        <v>SKU-0153</v>
      </c>
      <c r="B157" s="17" t="str">
        <f>انبار!B156</f>
        <v>شومیز مانلی آبی1</v>
      </c>
      <c r="C157" s="17" t="str">
        <f>انبار!C156</f>
        <v>شومیز</v>
      </c>
      <c r="D157" s="9">
        <f>انبار!I156</f>
        <v>9</v>
      </c>
      <c r="E157" s="9" t="str">
        <f>انبار!J156</f>
        <v>🟢 OK</v>
      </c>
      <c r="F157" s="18">
        <f>انبار!F156</f>
        <v>3450000</v>
      </c>
      <c r="G157" s="9" t="str">
        <f>IF(انبار!I156&lt;=0,"🔴 سفارش فوری",IF(انبار!I156&lt;=تنظیمات_سیستم!$C$7,"🟠 سفارش مجدد","✅"))</f>
        <v>✅</v>
      </c>
      <c r="H157" s="9" t="str">
        <f>IF(انبار!I156&lt;=تنظیمات_سیستم!$C$7,"سفارش دهید","—")</f>
        <v>—</v>
      </c>
    </row>
    <row r="158" spans="1:8">
      <c r="A158" s="9" t="str">
        <f>انبار!A157</f>
        <v>SKU-0154</v>
      </c>
      <c r="B158" s="17" t="str">
        <f>انبار!B157</f>
        <v>شومیز مانلی آبی2</v>
      </c>
      <c r="C158" s="17" t="str">
        <f>انبار!C157</f>
        <v>شومیز</v>
      </c>
      <c r="D158" s="9">
        <f>انبار!I157</f>
        <v>9</v>
      </c>
      <c r="E158" s="9" t="str">
        <f>انبار!J157</f>
        <v>🟢 OK</v>
      </c>
      <c r="F158" s="18">
        <f>انبار!F157</f>
        <v>3450000</v>
      </c>
      <c r="G158" s="9" t="str">
        <f>IF(انبار!I157&lt;=0,"🔴 سفارش فوری",IF(انبار!I157&lt;=تنظیمات_سیستم!$C$7,"🟠 سفارش مجدد","✅"))</f>
        <v>✅</v>
      </c>
      <c r="H158" s="9" t="str">
        <f>IF(انبار!I157&lt;=تنظیمات_سیستم!$C$7,"سفارش دهید","—")</f>
        <v>—</v>
      </c>
    </row>
    <row r="159" spans="1:8">
      <c r="A159" s="9" t="str">
        <f>انبار!A158</f>
        <v>SKU-0155</v>
      </c>
      <c r="B159" s="17" t="str">
        <f>انبار!B158</f>
        <v>شومیز مانلی سرمه ای1</v>
      </c>
      <c r="C159" s="17" t="str">
        <f>انبار!C158</f>
        <v>شومیز</v>
      </c>
      <c r="D159" s="9">
        <f>انبار!I158</f>
        <v>9</v>
      </c>
      <c r="E159" s="9" t="str">
        <f>انبار!J158</f>
        <v>🟢 OK</v>
      </c>
      <c r="F159" s="18">
        <f>انبار!F158</f>
        <v>3450000</v>
      </c>
      <c r="G159" s="9" t="str">
        <f>IF(انبار!I158&lt;=0,"🔴 سفارش فوری",IF(انبار!I158&lt;=تنظیمات_سیستم!$C$7,"🟠 سفارش مجدد","✅"))</f>
        <v>✅</v>
      </c>
      <c r="H159" s="9" t="str">
        <f>IF(انبار!I158&lt;=تنظیمات_سیستم!$C$7,"سفارش دهید","—")</f>
        <v>—</v>
      </c>
    </row>
    <row r="160" spans="1:8">
      <c r="A160" s="9" t="str">
        <f>انبار!A159</f>
        <v>SKU-0156</v>
      </c>
      <c r="B160" s="17" t="str">
        <f>انبار!B159</f>
        <v>شومیز مانلی سرمه ای2</v>
      </c>
      <c r="C160" s="17" t="str">
        <f>انبار!C159</f>
        <v>شومیز</v>
      </c>
      <c r="D160" s="9">
        <f>انبار!I159</f>
        <v>9</v>
      </c>
      <c r="E160" s="9" t="str">
        <f>انبار!J159</f>
        <v>🟢 OK</v>
      </c>
      <c r="F160" s="18">
        <f>انبار!F159</f>
        <v>3450000</v>
      </c>
      <c r="G160" s="9" t="str">
        <f>IF(انبار!I159&lt;=0,"🔴 سفارش فوری",IF(انبار!I159&lt;=تنظیمات_سیستم!$C$7,"🟠 سفارش مجدد","✅"))</f>
        <v>✅</v>
      </c>
      <c r="H160" s="9" t="str">
        <f>IF(انبار!I159&lt;=تنظیمات_سیستم!$C$7,"سفارش دهید","—")</f>
        <v>—</v>
      </c>
    </row>
    <row r="161" spans="1:8">
      <c r="A161" s="9" t="str">
        <f>انبار!A160</f>
        <v>SKU-0157</v>
      </c>
      <c r="B161" s="17" t="str">
        <f>انبار!B160</f>
        <v>شومیز مانلی سبززیتونی1</v>
      </c>
      <c r="C161" s="17" t="str">
        <f>انبار!C160</f>
        <v>شومیز</v>
      </c>
      <c r="D161" s="9">
        <f>انبار!I160</f>
        <v>9</v>
      </c>
      <c r="E161" s="9" t="str">
        <f>انبار!J160</f>
        <v>🟢 OK</v>
      </c>
      <c r="F161" s="18">
        <f>انبار!F160</f>
        <v>3450000</v>
      </c>
      <c r="G161" s="9" t="str">
        <f>IF(انبار!I160&lt;=0,"🔴 سفارش فوری",IF(انبار!I160&lt;=تنظیمات_سیستم!$C$7,"🟠 سفارش مجدد","✅"))</f>
        <v>✅</v>
      </c>
      <c r="H161" s="9" t="str">
        <f>IF(انبار!I160&lt;=تنظیمات_سیستم!$C$7,"سفارش دهید","—")</f>
        <v>—</v>
      </c>
    </row>
    <row r="162" spans="1:8">
      <c r="A162" s="9" t="str">
        <f>انبار!A161</f>
        <v>SKU-0158</v>
      </c>
      <c r="B162" s="17" t="str">
        <f>انبار!B161</f>
        <v>شومیز مانلی سبز زیتونی 2</v>
      </c>
      <c r="C162" s="17" t="str">
        <f>انبار!C161</f>
        <v>شومیز</v>
      </c>
      <c r="D162" s="9">
        <f>انبار!I161</f>
        <v>9</v>
      </c>
      <c r="E162" s="9" t="str">
        <f>انبار!J161</f>
        <v>🟢 OK</v>
      </c>
      <c r="F162" s="18">
        <f>انبار!F161</f>
        <v>3450000</v>
      </c>
      <c r="G162" s="9" t="str">
        <f>IF(انبار!I161&lt;=0,"🔴 سفارش فوری",IF(انبار!I161&lt;=تنظیمات_سیستم!$C$7,"🟠 سفارش مجدد","✅"))</f>
        <v>✅</v>
      </c>
      <c r="H162" s="9" t="str">
        <f>IF(انبار!I161&lt;=تنظیمات_سیستم!$C$7,"سفارش دهید","—")</f>
        <v>—</v>
      </c>
    </row>
    <row r="163" spans="1:8">
      <c r="A163" s="9" t="str">
        <f>انبار!A162</f>
        <v>SKU-0159</v>
      </c>
      <c r="B163" s="17" t="str">
        <f>انبار!B162</f>
        <v>شومیز ساتن بیسیک سفید فری</v>
      </c>
      <c r="C163" s="17" t="str">
        <f>انبار!C162</f>
        <v>شومیز</v>
      </c>
      <c r="D163" s="9">
        <f>انبار!I162</f>
        <v>9</v>
      </c>
      <c r="E163" s="9" t="str">
        <f>انبار!J162</f>
        <v>🟢 OK</v>
      </c>
      <c r="F163" s="18">
        <f>انبار!F162</f>
        <v>2380000</v>
      </c>
      <c r="G163" s="9" t="str">
        <f>IF(انبار!I162&lt;=0,"🔴 سفارش فوری",IF(انبار!I162&lt;=تنظیمات_سیستم!$C$7,"🟠 سفارش مجدد","✅"))</f>
        <v>✅</v>
      </c>
      <c r="H163" s="9" t="str">
        <f>IF(انبار!I162&lt;=تنظیمات_سیستم!$C$7,"سفارش دهید","—")</f>
        <v>—</v>
      </c>
    </row>
    <row r="164" spans="1:8">
      <c r="A164" s="9" t="str">
        <f>انبار!A163</f>
        <v>SKU-0160</v>
      </c>
      <c r="B164" s="17" t="str">
        <f>انبار!B163</f>
        <v>شومیز ساتن بیسیک کرم فری</v>
      </c>
      <c r="C164" s="17" t="str">
        <f>انبار!C163</f>
        <v>شومیز</v>
      </c>
      <c r="D164" s="9">
        <f>انبار!I163</f>
        <v>9</v>
      </c>
      <c r="E164" s="9" t="str">
        <f>انبار!J163</f>
        <v>🟢 OK</v>
      </c>
      <c r="F164" s="18">
        <f>انبار!F163</f>
        <v>2380000</v>
      </c>
      <c r="G164" s="9" t="str">
        <f>IF(انبار!I163&lt;=0,"🔴 سفارش فوری",IF(انبار!I163&lt;=تنظیمات_سیستم!$C$7,"🟠 سفارش مجدد","✅"))</f>
        <v>✅</v>
      </c>
      <c r="H164" s="9" t="str">
        <f>IF(انبار!I163&lt;=تنظیمات_سیستم!$C$7,"سفارش دهید","—")</f>
        <v>—</v>
      </c>
    </row>
    <row r="165" spans="1:8">
      <c r="A165" s="9" t="str">
        <f>انبار!A164</f>
        <v>SKU-0161</v>
      </c>
      <c r="B165" s="17" t="str">
        <f>انبار!B164</f>
        <v>شومیز ساتن بیسیک آبی فری</v>
      </c>
      <c r="C165" s="17" t="str">
        <f>انبار!C164</f>
        <v>شومیز</v>
      </c>
      <c r="D165" s="9">
        <f>انبار!I164</f>
        <v>9</v>
      </c>
      <c r="E165" s="9" t="str">
        <f>انبار!J164</f>
        <v>🟢 OK</v>
      </c>
      <c r="F165" s="18">
        <f>انبار!F164</f>
        <v>2380000</v>
      </c>
      <c r="G165" s="9" t="str">
        <f>IF(انبار!I164&lt;=0,"🔴 سفارش فوری",IF(انبار!I164&lt;=تنظیمات_سیستم!$C$7,"🟠 سفارش مجدد","✅"))</f>
        <v>✅</v>
      </c>
      <c r="H165" s="9" t="str">
        <f>IF(انبار!I164&lt;=تنظیمات_سیستم!$C$7,"سفارش دهید","—")</f>
        <v>—</v>
      </c>
    </row>
    <row r="166" spans="1:8">
      <c r="A166" s="9" t="str">
        <f>انبار!A165</f>
        <v>SKU-0162</v>
      </c>
      <c r="B166" s="17" t="str">
        <f>انبار!B165</f>
        <v>شومیز ساتن بیسیک قرمز فری</v>
      </c>
      <c r="C166" s="17" t="str">
        <f>انبار!C165</f>
        <v>شومیز</v>
      </c>
      <c r="D166" s="9">
        <f>انبار!I165</f>
        <v>9</v>
      </c>
      <c r="E166" s="9" t="str">
        <f>انبار!J165</f>
        <v>🟢 OK</v>
      </c>
      <c r="F166" s="18">
        <f>انبار!F165</f>
        <v>2380000</v>
      </c>
      <c r="G166" s="9" t="str">
        <f>IF(انبار!I165&lt;=0,"🔴 سفارش فوری",IF(انبار!I165&lt;=تنظیمات_سیستم!$C$7,"🟠 سفارش مجدد","✅"))</f>
        <v>✅</v>
      </c>
      <c r="H166" s="9" t="str">
        <f>IF(انبار!I165&lt;=تنظیمات_سیستم!$C$7,"سفارش دهید","—")</f>
        <v>—</v>
      </c>
    </row>
    <row r="167" spans="1:8">
      <c r="A167" s="9" t="str">
        <f>انبار!A166</f>
        <v>SKU-0163</v>
      </c>
      <c r="B167" s="17" t="str">
        <f>انبار!B166</f>
        <v>شومیز ساتن بیسیک طوسی فری</v>
      </c>
      <c r="C167" s="17" t="str">
        <f>انبار!C166</f>
        <v>شومیز</v>
      </c>
      <c r="D167" s="9">
        <f>انبار!I166</f>
        <v>9</v>
      </c>
      <c r="E167" s="9" t="str">
        <f>انبار!J166</f>
        <v>🟢 OK</v>
      </c>
      <c r="F167" s="18">
        <f>انبار!F166</f>
        <v>2380000</v>
      </c>
      <c r="G167" s="9" t="str">
        <f>IF(انبار!I166&lt;=0,"🔴 سفارش فوری",IF(انبار!I166&lt;=تنظیمات_سیستم!$C$7,"🟠 سفارش مجدد","✅"))</f>
        <v>✅</v>
      </c>
      <c r="H167" s="9" t="str">
        <f>IF(انبار!I166&lt;=تنظیمات_سیستم!$C$7,"سفارش دهید","—")</f>
        <v>—</v>
      </c>
    </row>
    <row r="168" spans="1:8">
      <c r="A168" s="9" t="str">
        <f>انبار!A167</f>
        <v>SKU-0164</v>
      </c>
      <c r="B168" s="17" t="str">
        <f>انبار!B167</f>
        <v>شلوار دیسکو سفید فری</v>
      </c>
      <c r="C168" s="17" t="str">
        <f>انبار!C167</f>
        <v>شلوار</v>
      </c>
      <c r="D168" s="9">
        <f>انبار!I167</f>
        <v>9</v>
      </c>
      <c r="E168" s="9" t="str">
        <f>انبار!J167</f>
        <v>🟢 OK</v>
      </c>
      <c r="F168" s="18">
        <f>انبار!F167</f>
        <v>1320000</v>
      </c>
      <c r="G168" s="9" t="str">
        <f>IF(انبار!I167&lt;=0,"🔴 سفارش فوری",IF(انبار!I167&lt;=تنظیمات_سیستم!$C$7,"🟠 سفارش مجدد","✅"))</f>
        <v>✅</v>
      </c>
      <c r="H168" s="9" t="str">
        <f>IF(انبار!I167&lt;=تنظیمات_سیستم!$C$7,"سفارش دهید","—")</f>
        <v>—</v>
      </c>
    </row>
    <row r="169" spans="1:8">
      <c r="A169" s="9" t="str">
        <f>انبار!A168</f>
        <v>SKU-0165</v>
      </c>
      <c r="B169" s="17" t="str">
        <f>انبار!B168</f>
        <v>شلوار دیسکو بژ فری</v>
      </c>
      <c r="C169" s="17" t="str">
        <f>انبار!C168</f>
        <v>شلوار</v>
      </c>
      <c r="D169" s="9">
        <f>انبار!I168</f>
        <v>9</v>
      </c>
      <c r="E169" s="9" t="str">
        <f>انبار!J168</f>
        <v>🟢 OK</v>
      </c>
      <c r="F169" s="18">
        <f>انبار!F168</f>
        <v>1320000</v>
      </c>
      <c r="G169" s="9" t="str">
        <f>IF(انبار!I168&lt;=0,"🔴 سفارش فوری",IF(انبار!I168&lt;=تنظیمات_سیستم!$C$7,"🟠 سفارش مجدد","✅"))</f>
        <v>✅</v>
      </c>
      <c r="H169" s="9" t="str">
        <f>IF(انبار!I168&lt;=تنظیمات_سیستم!$C$7,"سفارش دهید","—")</f>
        <v>—</v>
      </c>
    </row>
    <row r="170" spans="1:8">
      <c r="A170" s="9" t="str">
        <f>انبار!A169</f>
        <v>SKU-0166</v>
      </c>
      <c r="B170" s="17" t="str">
        <f>انبار!B169</f>
        <v>شلوار دیسکو مشکی فری</v>
      </c>
      <c r="C170" s="17" t="str">
        <f>انبار!C169</f>
        <v>شلوار</v>
      </c>
      <c r="D170" s="9">
        <f>انبار!I169</f>
        <v>9</v>
      </c>
      <c r="E170" s="9" t="str">
        <f>انبار!J169</f>
        <v>🟢 OK</v>
      </c>
      <c r="F170" s="18">
        <f>انبار!F169</f>
        <v>1320000</v>
      </c>
      <c r="G170" s="9" t="str">
        <f>IF(انبار!I169&lt;=0,"🔴 سفارش فوری",IF(انبار!I169&lt;=تنظیمات_سیستم!$C$7,"🟠 سفارش مجدد","✅"))</f>
        <v>✅</v>
      </c>
      <c r="H170" s="9" t="str">
        <f>IF(انبار!I169&lt;=تنظیمات_سیستم!$C$7,"سفارش دهید","—")</f>
        <v>—</v>
      </c>
    </row>
    <row r="171" spans="1:8">
      <c r="A171" s="9" t="str">
        <f>انبار!A170</f>
        <v>SKU-0167</v>
      </c>
      <c r="B171" s="17" t="str">
        <f>انبار!B170</f>
        <v>شلوار تافته مشکی 1</v>
      </c>
      <c r="C171" s="17" t="str">
        <f>انبار!C170</f>
        <v>شلوار</v>
      </c>
      <c r="D171" s="9">
        <f>انبار!I170</f>
        <v>4</v>
      </c>
      <c r="E171" s="9" t="str">
        <f>انبار!J170</f>
        <v>🟢 OK</v>
      </c>
      <c r="F171" s="18">
        <f>انبار!F170</f>
        <v>2580000</v>
      </c>
      <c r="G171" s="9" t="str">
        <f>IF(انبار!I170&lt;=0,"🔴 سفارش فوری",IF(انبار!I170&lt;=تنظیمات_سیستم!$C$7,"🟠 سفارش مجدد","✅"))</f>
        <v>✅</v>
      </c>
      <c r="H171" s="9" t="str">
        <f>IF(انبار!I170&lt;=تنظیمات_سیستم!$C$7,"سفارش دهید","—")</f>
        <v>—</v>
      </c>
    </row>
    <row r="172" spans="1:8">
      <c r="A172" s="9" t="str">
        <f>انبار!A171</f>
        <v>SKU-0168</v>
      </c>
      <c r="B172" s="17" t="str">
        <f>انبار!B171</f>
        <v>شلوار تافته مشکی 2</v>
      </c>
      <c r="C172" s="17" t="str">
        <f>انبار!C171</f>
        <v>شلوار</v>
      </c>
      <c r="D172" s="9">
        <f>انبار!I171</f>
        <v>9</v>
      </c>
      <c r="E172" s="9" t="str">
        <f>انبار!J171</f>
        <v>🟢 OK</v>
      </c>
      <c r="F172" s="18">
        <f>انبار!F171</f>
        <v>2580000</v>
      </c>
      <c r="G172" s="9" t="str">
        <f>IF(انبار!I171&lt;=0,"🔴 سفارش فوری",IF(انبار!I171&lt;=تنظیمات_سیستم!$C$7,"🟠 سفارش مجدد","✅"))</f>
        <v>✅</v>
      </c>
      <c r="H172" s="9" t="str">
        <f>IF(انبار!I171&lt;=تنظیمات_سیستم!$C$7,"سفارش دهید","—")</f>
        <v>—</v>
      </c>
    </row>
    <row r="173" spans="1:8">
      <c r="A173" s="9" t="str">
        <f>انبار!A172</f>
        <v>SKU-0169</v>
      </c>
      <c r="B173" s="17" t="str">
        <f>انبار!B172</f>
        <v>شلوارک مانا کرم1</v>
      </c>
      <c r="C173" s="17" t="str">
        <f>انبار!C172</f>
        <v>شلوارک</v>
      </c>
      <c r="D173" s="9">
        <f>انبار!I172</f>
        <v>9</v>
      </c>
      <c r="E173" s="9" t="str">
        <f>انبار!J172</f>
        <v>🟢 OK</v>
      </c>
      <c r="F173" s="18">
        <f>انبار!F172</f>
        <v>1280000</v>
      </c>
      <c r="G173" s="9" t="str">
        <f>IF(انبار!I172&lt;=0,"🔴 سفارش فوری",IF(انبار!I172&lt;=تنظیمات_سیستم!$C$7,"🟠 سفارش مجدد","✅"))</f>
        <v>✅</v>
      </c>
      <c r="H173" s="9" t="str">
        <f>IF(انبار!I172&lt;=تنظیمات_سیستم!$C$7,"سفارش دهید","—")</f>
        <v>—</v>
      </c>
    </row>
    <row r="174" spans="1:8">
      <c r="A174" s="9" t="str">
        <f>انبار!A173</f>
        <v>SKU-0170</v>
      </c>
      <c r="B174" s="17" t="str">
        <f>انبار!B173</f>
        <v>شلوارک مانا کرم2</v>
      </c>
      <c r="C174" s="17" t="str">
        <f>انبار!C173</f>
        <v>شلوارک</v>
      </c>
      <c r="D174" s="9">
        <f>انبار!I173</f>
        <v>9</v>
      </c>
      <c r="E174" s="9" t="str">
        <f>انبار!J173</f>
        <v>🟢 OK</v>
      </c>
      <c r="F174" s="18">
        <f>انبار!F173</f>
        <v>1280000</v>
      </c>
      <c r="G174" s="9" t="str">
        <f>IF(انبار!I173&lt;=0,"🔴 سفارش فوری",IF(انبار!I173&lt;=تنظیمات_سیستم!$C$7,"🟠 سفارش مجدد","✅"))</f>
        <v>✅</v>
      </c>
      <c r="H174" s="9" t="str">
        <f>IF(انبار!I173&lt;=تنظیمات_سیستم!$C$7,"سفارش دهید","—")</f>
        <v>—</v>
      </c>
    </row>
    <row r="175" spans="1:8">
      <c r="A175" s="9" t="str">
        <f>انبار!A174</f>
        <v>SKU-0171</v>
      </c>
      <c r="B175" s="17" t="str">
        <f>انبار!B174</f>
        <v>شلوارک مانا سفید1</v>
      </c>
      <c r="C175" s="17" t="str">
        <f>انبار!C174</f>
        <v>شلوارک</v>
      </c>
      <c r="D175" s="9">
        <f>انبار!I174</f>
        <v>9</v>
      </c>
      <c r="E175" s="9" t="str">
        <f>انبار!J174</f>
        <v>🟢 OK</v>
      </c>
      <c r="F175" s="18">
        <f>انبار!F174</f>
        <v>1280000</v>
      </c>
      <c r="G175" s="9" t="str">
        <f>IF(انبار!I174&lt;=0,"🔴 سفارش فوری",IF(انبار!I174&lt;=تنظیمات_سیستم!$C$7,"🟠 سفارش مجدد","✅"))</f>
        <v>✅</v>
      </c>
      <c r="H175" s="9" t="str">
        <f>IF(انبار!I174&lt;=تنظیمات_سیستم!$C$7,"سفارش دهید","—")</f>
        <v>—</v>
      </c>
    </row>
    <row r="176" spans="1:8">
      <c r="A176" s="9" t="str">
        <f>انبار!A175</f>
        <v>SKU-0172</v>
      </c>
      <c r="B176" s="17" t="str">
        <f>انبار!B175</f>
        <v>شلوارک مانا سفید2</v>
      </c>
      <c r="C176" s="17" t="str">
        <f>انبار!C175</f>
        <v>شلوارک</v>
      </c>
      <c r="D176" s="9">
        <f>انبار!I175</f>
        <v>9</v>
      </c>
      <c r="E176" s="9" t="str">
        <f>انبار!J175</f>
        <v>🟢 OK</v>
      </c>
      <c r="F176" s="18">
        <f>انبار!F175</f>
        <v>1280000</v>
      </c>
      <c r="G176" s="9" t="str">
        <f>IF(انبار!I175&lt;=0,"🔴 سفارش فوری",IF(انبار!I175&lt;=تنظیمات_سیستم!$C$7,"🟠 سفارش مجدد","✅"))</f>
        <v>✅</v>
      </c>
      <c r="H176" s="9" t="str">
        <f>IF(انبار!I175&lt;=تنظیمات_سیستم!$C$7,"سفارش دهید","—")</f>
        <v>—</v>
      </c>
    </row>
    <row r="177" spans="1:8">
      <c r="A177" s="9" t="str">
        <f>انبار!A176</f>
        <v>SKU-0173</v>
      </c>
      <c r="B177" s="17" t="str">
        <f>انبار!B176</f>
        <v>شلوارک مانا سرخابی1</v>
      </c>
      <c r="C177" s="17" t="str">
        <f>انبار!C176</f>
        <v>شلوارک</v>
      </c>
      <c r="D177" s="9">
        <f>انبار!I176</f>
        <v>9</v>
      </c>
      <c r="E177" s="9" t="str">
        <f>انبار!J176</f>
        <v>🟢 OK</v>
      </c>
      <c r="F177" s="18">
        <f>انبار!F176</f>
        <v>1280000</v>
      </c>
      <c r="G177" s="9" t="str">
        <f>IF(انبار!I176&lt;=0,"🔴 سفارش فوری",IF(انبار!I176&lt;=تنظیمات_سیستم!$C$7,"🟠 سفارش مجدد","✅"))</f>
        <v>✅</v>
      </c>
      <c r="H177" s="9" t="str">
        <f>IF(انبار!I176&lt;=تنظیمات_سیستم!$C$7,"سفارش دهید","—")</f>
        <v>—</v>
      </c>
    </row>
    <row r="178" spans="1:8">
      <c r="A178" s="9" t="str">
        <f>انبار!A177</f>
        <v>SKU-0174</v>
      </c>
      <c r="B178" s="17" t="str">
        <f>انبار!B177</f>
        <v>شلوارک مانا سرخابی2</v>
      </c>
      <c r="C178" s="17" t="str">
        <f>انبار!C177</f>
        <v>شلوارک</v>
      </c>
      <c r="D178" s="9">
        <f>انبار!I177</f>
        <v>9</v>
      </c>
      <c r="E178" s="9" t="str">
        <f>انبار!J177</f>
        <v>🟢 OK</v>
      </c>
      <c r="F178" s="18">
        <f>انبار!F177</f>
        <v>1280000</v>
      </c>
      <c r="G178" s="9" t="str">
        <f>IF(انبار!I177&lt;=0,"🔴 سفارش فوری",IF(انبار!I177&lt;=تنظیمات_سیستم!$C$7,"🟠 سفارش مجدد","✅"))</f>
        <v>✅</v>
      </c>
      <c r="H178" s="9" t="str">
        <f>IF(انبار!I177&lt;=تنظیمات_سیستم!$C$7,"سفارش دهید","—")</f>
        <v>—</v>
      </c>
    </row>
    <row r="179" spans="1:8">
      <c r="A179" s="9" t="str">
        <f>انبار!A178</f>
        <v>SKU-0175</v>
      </c>
      <c r="B179" s="17" t="str">
        <f>انبار!B178</f>
        <v>شلوارک مانا زیتونی1</v>
      </c>
      <c r="C179" s="17" t="str">
        <f>انبار!C178</f>
        <v>شلوارک</v>
      </c>
      <c r="D179" s="9">
        <f>انبار!I178</f>
        <v>9</v>
      </c>
      <c r="E179" s="9" t="str">
        <f>انبار!J178</f>
        <v>🟢 OK</v>
      </c>
      <c r="F179" s="18">
        <f>انبار!F178</f>
        <v>1280000</v>
      </c>
      <c r="G179" s="9" t="str">
        <f>IF(انبار!I178&lt;=0,"🔴 سفارش فوری",IF(انبار!I178&lt;=تنظیمات_سیستم!$C$7,"🟠 سفارش مجدد","✅"))</f>
        <v>✅</v>
      </c>
      <c r="H179" s="9" t="str">
        <f>IF(انبار!I178&lt;=تنظیمات_سیستم!$C$7,"سفارش دهید","—")</f>
        <v>—</v>
      </c>
    </row>
    <row r="180" spans="1:8">
      <c r="A180" s="9" t="str">
        <f>انبار!A179</f>
        <v>SKU-0176</v>
      </c>
      <c r="B180" s="17" t="str">
        <f>انبار!B179</f>
        <v>شلوارک مانا زیتونی2</v>
      </c>
      <c r="C180" s="17" t="str">
        <f>انبار!C179</f>
        <v>شلوارک</v>
      </c>
      <c r="D180" s="9">
        <f>انبار!I179</f>
        <v>9</v>
      </c>
      <c r="E180" s="9" t="str">
        <f>انبار!J179</f>
        <v>🟢 OK</v>
      </c>
      <c r="F180" s="18">
        <f>انبار!F179</f>
        <v>1280000</v>
      </c>
      <c r="G180" s="9" t="str">
        <f>IF(انبار!I179&lt;=0,"🔴 سفارش فوری",IF(انبار!I179&lt;=تنظیمات_سیستم!$C$7,"🟠 سفارش مجدد","✅"))</f>
        <v>✅</v>
      </c>
      <c r="H180" s="9" t="str">
        <f>IF(انبار!I179&lt;=تنظیمات_سیستم!$C$7,"سفارش دهید","—")</f>
        <v>—</v>
      </c>
    </row>
    <row r="181" spans="1:8">
      <c r="A181" s="9" t="str">
        <f>انبار!A180</f>
        <v>SKU-0177</v>
      </c>
      <c r="B181" s="17" t="str">
        <f>انبار!B180</f>
        <v>تاپ مایا طوسی1</v>
      </c>
      <c r="C181" s="17" t="str">
        <f>انبار!C180</f>
        <v>تاپ</v>
      </c>
      <c r="D181" s="9">
        <f>انبار!I180</f>
        <v>9</v>
      </c>
      <c r="E181" s="9" t="str">
        <f>انبار!J180</f>
        <v>🟢 OK</v>
      </c>
      <c r="F181" s="18">
        <f>انبار!F180</f>
        <v>1180000</v>
      </c>
      <c r="G181" s="9" t="str">
        <f>IF(انبار!I180&lt;=0,"🔴 سفارش فوری",IF(انبار!I180&lt;=تنظیمات_سیستم!$C$7,"🟠 سفارش مجدد","✅"))</f>
        <v>✅</v>
      </c>
      <c r="H181" s="9" t="str">
        <f>IF(انبار!I180&lt;=تنظیمات_سیستم!$C$7,"سفارش دهید","—")</f>
        <v>—</v>
      </c>
    </row>
    <row r="182" spans="1:8">
      <c r="A182" s="9" t="str">
        <f>انبار!A181</f>
        <v>SKU-0178</v>
      </c>
      <c r="B182" s="17" t="str">
        <f>انبار!B181</f>
        <v>تاپ مایا طوسی2</v>
      </c>
      <c r="C182" s="17" t="str">
        <f>انبار!C181</f>
        <v>تاپ</v>
      </c>
      <c r="D182" s="9">
        <f>انبار!I181</f>
        <v>9</v>
      </c>
      <c r="E182" s="9" t="str">
        <f>انبار!J181</f>
        <v>🟢 OK</v>
      </c>
      <c r="F182" s="18">
        <f>انبار!F181</f>
        <v>1180000</v>
      </c>
      <c r="G182" s="9" t="str">
        <f>IF(انبار!I181&lt;=0,"🔴 سفارش فوری",IF(انبار!I181&lt;=تنظیمات_سیستم!$C$7,"🟠 سفارش مجدد","✅"))</f>
        <v>✅</v>
      </c>
      <c r="H182" s="9" t="str">
        <f>IF(انبار!I181&lt;=تنظیمات_سیستم!$C$7,"سفارش دهید","—")</f>
        <v>—</v>
      </c>
    </row>
    <row r="183" spans="1:8">
      <c r="A183" s="9" t="str">
        <f>انبار!A182</f>
        <v>SKU-0179</v>
      </c>
      <c r="B183" s="17" t="str">
        <f>انبار!B182</f>
        <v>دامن سورمه ای 1</v>
      </c>
      <c r="C183" s="17" t="str">
        <f>انبار!C182</f>
        <v>تاپ</v>
      </c>
      <c r="D183" s="9">
        <f>انبار!I182</f>
        <v>9</v>
      </c>
      <c r="E183" s="9" t="str">
        <f>انبار!J182</f>
        <v>🟢 OK</v>
      </c>
      <c r="F183" s="18">
        <f>انبار!F182</f>
        <v>3180000</v>
      </c>
      <c r="G183" s="9" t="str">
        <f>IF(انبار!I182&lt;=0,"🔴 سفارش فوری",IF(انبار!I182&lt;=تنظیمات_سیستم!$C$7,"🟠 سفارش مجدد","✅"))</f>
        <v>✅</v>
      </c>
      <c r="H183" s="9" t="str">
        <f>IF(انبار!I182&lt;=تنظیمات_سیستم!$C$7,"سفارش دهید","—")</f>
        <v>—</v>
      </c>
    </row>
    <row r="184" spans="1:8">
      <c r="A184" s="9" t="str">
        <f>انبار!A183</f>
        <v>SKU-0180</v>
      </c>
      <c r="B184" s="17" t="str">
        <f>انبار!B183</f>
        <v>تاپ ماکارون زرشکی</v>
      </c>
      <c r="C184" s="17" t="str">
        <f>انبار!C183</f>
        <v>تاپ</v>
      </c>
      <c r="D184" s="9">
        <f>انبار!I183</f>
        <v>9</v>
      </c>
      <c r="E184" s="9" t="str">
        <f>انبار!J183</f>
        <v>🟢 OK</v>
      </c>
      <c r="F184" s="18">
        <f>انبار!F183</f>
        <v>928000</v>
      </c>
      <c r="G184" s="9" t="str">
        <f>IF(انبار!I183&lt;=0,"🔴 سفارش فوری",IF(انبار!I183&lt;=تنظیمات_سیستم!$C$7,"🟠 سفارش مجدد","✅"))</f>
        <v>✅</v>
      </c>
      <c r="H184" s="9" t="str">
        <f>IF(انبار!I183&lt;=تنظیمات_سیستم!$C$7,"سفارش دهید","—")</f>
        <v>—</v>
      </c>
    </row>
    <row r="185" spans="1:8">
      <c r="A185" s="9" t="str">
        <f>انبار!A184</f>
        <v>SKU-0181</v>
      </c>
      <c r="B185" s="17" t="str">
        <f>انبار!B184</f>
        <v>تاپ مایا آبی 1</v>
      </c>
      <c r="C185" s="17" t="str">
        <f>انبار!C184</f>
        <v>تاپ</v>
      </c>
      <c r="D185" s="9">
        <f>انبار!I184</f>
        <v>9</v>
      </c>
      <c r="E185" s="9" t="str">
        <f>انبار!J184</f>
        <v>🟢 OK</v>
      </c>
      <c r="F185" s="18">
        <f>انبار!F184</f>
        <v>1180000</v>
      </c>
      <c r="G185" s="9" t="str">
        <f>IF(انبار!I184&lt;=0,"🔴 سفارش فوری",IF(انبار!I184&lt;=تنظیمات_سیستم!$C$7,"🟠 سفارش مجدد","✅"))</f>
        <v>✅</v>
      </c>
      <c r="H185" s="9" t="str">
        <f>IF(انبار!I184&lt;=تنظیمات_سیستم!$C$7,"سفارش دهید","—")</f>
        <v>—</v>
      </c>
    </row>
    <row r="186" spans="1:8">
      <c r="A186" s="9" t="str">
        <f>انبار!A185</f>
        <v>SKU-0182</v>
      </c>
      <c r="B186" s="17" t="str">
        <f>انبار!B185</f>
        <v>تاپ مایا آبی 2</v>
      </c>
      <c r="C186" s="17" t="str">
        <f>انبار!C185</f>
        <v>تاپ</v>
      </c>
      <c r="D186" s="9">
        <f>انبار!I185</f>
        <v>9</v>
      </c>
      <c r="E186" s="9" t="str">
        <f>انبار!J185</f>
        <v>🟢 OK</v>
      </c>
      <c r="F186" s="18">
        <f>انبار!F185</f>
        <v>1180000</v>
      </c>
      <c r="G186" s="9" t="str">
        <f>IF(انبار!I185&lt;=0,"🔴 سفارش فوری",IF(انبار!I185&lt;=تنظیمات_سیستم!$C$7,"🟠 سفارش مجدد","✅"))</f>
        <v>✅</v>
      </c>
      <c r="H186" s="9" t="str">
        <f>IF(انبار!I185&lt;=تنظیمات_سیستم!$C$7,"سفارش دهید","—")</f>
        <v>—</v>
      </c>
    </row>
    <row r="187" spans="1:8">
      <c r="A187" s="9" t="str">
        <f>انبار!A186</f>
        <v>SKU-0183</v>
      </c>
      <c r="B187" s="17" t="str">
        <f>انبار!B186</f>
        <v>وست بیژو طوسی روشن فری</v>
      </c>
      <c r="C187" s="17" t="str">
        <f>انبار!C186</f>
        <v>وست</v>
      </c>
      <c r="D187" s="9">
        <f>انبار!I186</f>
        <v>9</v>
      </c>
      <c r="E187" s="9" t="str">
        <f>انبار!J186</f>
        <v>🟢 OK</v>
      </c>
      <c r="F187" s="18">
        <f>انبار!F186</f>
        <v>3200000</v>
      </c>
      <c r="G187" s="9" t="str">
        <f>IF(انبار!I186&lt;=0,"🔴 سفارش فوری",IF(انبار!I186&lt;=تنظیمات_سیستم!$C$7,"🟠 سفارش مجدد","✅"))</f>
        <v>✅</v>
      </c>
      <c r="H187" s="9" t="str">
        <f>IF(انبار!I186&lt;=تنظیمات_سیستم!$C$7,"سفارش دهید","—")</f>
        <v>—</v>
      </c>
    </row>
    <row r="188" spans="1:8">
      <c r="A188" s="9" t="str">
        <f>انبار!A187</f>
        <v>SKU-0184</v>
      </c>
      <c r="B188" s="17" t="str">
        <f>انبار!B187</f>
        <v>وست بیژو مشکی فری</v>
      </c>
      <c r="C188" s="17" t="str">
        <f>انبار!C187</f>
        <v>وست</v>
      </c>
      <c r="D188" s="9">
        <f>انبار!I187</f>
        <v>9</v>
      </c>
      <c r="E188" s="9" t="str">
        <f>انبار!J187</f>
        <v>🟢 OK</v>
      </c>
      <c r="F188" s="18">
        <f>انبار!F187</f>
        <v>3200000</v>
      </c>
      <c r="G188" s="9" t="str">
        <f>IF(انبار!I187&lt;=0,"🔴 سفارش فوری",IF(انبار!I187&lt;=تنظیمات_سیستم!$C$7,"🟠 سفارش مجدد","✅"))</f>
        <v>✅</v>
      </c>
      <c r="H188" s="9" t="str">
        <f>IF(انبار!I187&lt;=تنظیمات_سیستم!$C$7,"سفارش دهید","—")</f>
        <v>—</v>
      </c>
    </row>
    <row r="189" spans="1:8">
      <c r="A189" s="9" t="str">
        <f>انبار!A188</f>
        <v>SKU-0185</v>
      </c>
      <c r="B189" s="17" t="str">
        <f>انبار!B188</f>
        <v>وست بیژو آبی نفتی فری</v>
      </c>
      <c r="C189" s="17" t="str">
        <f>انبار!C188</f>
        <v>وست</v>
      </c>
      <c r="D189" s="9">
        <f>انبار!I188</f>
        <v>9</v>
      </c>
      <c r="E189" s="9" t="str">
        <f>انبار!J188</f>
        <v>🟢 OK</v>
      </c>
      <c r="F189" s="18">
        <f>انبار!F188</f>
        <v>0</v>
      </c>
      <c r="G189" s="9" t="str">
        <f>IF(انبار!I188&lt;=0,"🔴 سفارش فوری",IF(انبار!I188&lt;=تنظیمات_سیستم!$C$7,"🟠 سفارش مجدد","✅"))</f>
        <v>✅</v>
      </c>
      <c r="H189" s="9" t="str">
        <f>IF(انبار!I188&lt;=تنظیمات_سیستم!$C$7,"سفارش دهید","—")</f>
        <v>—</v>
      </c>
    </row>
    <row r="190" spans="1:8">
      <c r="A190" s="9" t="str">
        <f>انبار!A189</f>
        <v>SKU-0186</v>
      </c>
      <c r="B190" s="17" t="str">
        <f>انبار!B189</f>
        <v>وست بیژو فیلی فری</v>
      </c>
      <c r="C190" s="17" t="str">
        <f>انبار!C189</f>
        <v>وست</v>
      </c>
      <c r="D190" s="9">
        <f>انبار!I189</f>
        <v>9</v>
      </c>
      <c r="E190" s="9" t="str">
        <f>انبار!J189</f>
        <v>🟢 OK</v>
      </c>
      <c r="F190" s="18">
        <f>انبار!F189</f>
        <v>2600000</v>
      </c>
      <c r="G190" s="9" t="str">
        <f>IF(انبار!I189&lt;=0,"🔴 سفارش فوری",IF(انبار!I189&lt;=تنظیمات_سیستم!$C$7,"🟠 سفارش مجدد","✅"))</f>
        <v>✅</v>
      </c>
      <c r="H190" s="9" t="str">
        <f>IF(انبار!I189&lt;=تنظیمات_سیستم!$C$7,"سفارش دهید","—")</f>
        <v>—</v>
      </c>
    </row>
    <row r="191" spans="1:8">
      <c r="A191" s="9" t="str">
        <f>انبار!A190</f>
        <v>SKU-0187</v>
      </c>
      <c r="B191" s="17" t="str">
        <f>انبار!B190</f>
        <v>شلوار بیژو مشکی فری</v>
      </c>
      <c r="C191" s="17" t="str">
        <f>انبار!C190</f>
        <v>شلوار</v>
      </c>
      <c r="D191" s="9">
        <f>انبار!I190</f>
        <v>9</v>
      </c>
      <c r="E191" s="9" t="str">
        <f>انبار!J190</f>
        <v>🟢 OK</v>
      </c>
      <c r="F191" s="18">
        <f>انبار!F190</f>
        <v>1100000</v>
      </c>
      <c r="G191" s="9" t="str">
        <f>IF(انبار!I190&lt;=0,"🔴 سفارش فوری",IF(انبار!I190&lt;=تنظیمات_سیستم!$C$7,"🟠 سفارش مجدد","✅"))</f>
        <v>✅</v>
      </c>
      <c r="H191" s="9" t="str">
        <f>IF(انبار!I190&lt;=تنظیمات_سیستم!$C$7,"سفارش دهید","—")</f>
        <v>—</v>
      </c>
    </row>
    <row r="192" spans="1:8">
      <c r="A192" s="9" t="str">
        <f>انبار!A191</f>
        <v>SKU-0188</v>
      </c>
      <c r="B192" s="17" t="str">
        <f>انبار!B191</f>
        <v>شلوار بیژو آبی نفتی فری</v>
      </c>
      <c r="C192" s="17" t="str">
        <f>انبار!C191</f>
        <v>شلوار</v>
      </c>
      <c r="D192" s="9">
        <f>انبار!I191</f>
        <v>9</v>
      </c>
      <c r="E192" s="9" t="str">
        <f>انبار!J191</f>
        <v>🟢 OK</v>
      </c>
      <c r="F192" s="18">
        <f>انبار!F191</f>
        <v>1180000</v>
      </c>
      <c r="G192" s="9" t="str">
        <f>IF(انبار!I191&lt;=0,"🔴 سفارش فوری",IF(انبار!I191&lt;=تنظیمات_سیستم!$C$7,"🟠 سفارش مجدد","✅"))</f>
        <v>✅</v>
      </c>
      <c r="H192" s="9" t="str">
        <f>IF(انبار!I191&lt;=تنظیمات_سیستم!$C$7,"سفارش دهید","—")</f>
        <v>—</v>
      </c>
    </row>
    <row r="193" spans="1:8">
      <c r="A193" s="9" t="str">
        <f>انبار!A192</f>
        <v>SKU-0189</v>
      </c>
      <c r="B193" s="17" t="str">
        <f>انبار!B192</f>
        <v>شلوار بیژو فیلی فری</v>
      </c>
      <c r="C193" s="17" t="str">
        <f>انبار!C192</f>
        <v>شلوار</v>
      </c>
      <c r="D193" s="9">
        <f>انبار!I192</f>
        <v>9</v>
      </c>
      <c r="E193" s="9" t="str">
        <f>انبار!J192</f>
        <v>🟢 OK</v>
      </c>
      <c r="F193" s="18">
        <f>انبار!F192</f>
        <v>1100000</v>
      </c>
      <c r="G193" s="9" t="str">
        <f>IF(انبار!I192&lt;=0,"🔴 سفارش فوری",IF(انبار!I192&lt;=تنظیمات_سیستم!$C$7,"🟠 سفارش مجدد","✅"))</f>
        <v>✅</v>
      </c>
      <c r="H193" s="9" t="str">
        <f>IF(انبار!I192&lt;=تنظیمات_سیستم!$C$7,"سفارش دهید","—")</f>
        <v>—</v>
      </c>
    </row>
    <row r="194" spans="1:8">
      <c r="A194" s="9" t="str">
        <f>انبار!A193</f>
        <v>SKU-0190</v>
      </c>
      <c r="B194" s="17" t="str">
        <f>انبار!B193</f>
        <v>کت بیژو مشکی فری</v>
      </c>
      <c r="C194" s="17" t="str">
        <f>انبار!C193</f>
        <v>کت</v>
      </c>
      <c r="D194" s="9">
        <f>انبار!I193</f>
        <v>9</v>
      </c>
      <c r="E194" s="9" t="str">
        <f>انبار!J193</f>
        <v>🟢 OK</v>
      </c>
      <c r="F194" s="18">
        <f>انبار!F193</f>
        <v>2650000</v>
      </c>
      <c r="G194" s="9" t="str">
        <f>IF(انبار!I193&lt;=0,"🔴 سفارش فوری",IF(انبار!I193&lt;=تنظیمات_سیستم!$C$7,"🟠 سفارش مجدد","✅"))</f>
        <v>✅</v>
      </c>
      <c r="H194" s="9" t="str">
        <f>IF(انبار!I193&lt;=تنظیمات_سیستم!$C$7,"سفارش دهید","—")</f>
        <v>—</v>
      </c>
    </row>
    <row r="195" spans="1:8">
      <c r="A195" s="9" t="str">
        <f>انبار!A194</f>
        <v>SKU-0191</v>
      </c>
      <c r="B195" s="17" t="str">
        <f>انبار!B194</f>
        <v>کت بیژو فیلی فیری</v>
      </c>
      <c r="C195" s="17" t="str">
        <f>انبار!C194</f>
        <v>کت</v>
      </c>
      <c r="D195" s="9">
        <f>انبار!I194</f>
        <v>9</v>
      </c>
      <c r="E195" s="9" t="str">
        <f>انبار!J194</f>
        <v>🟢 OK</v>
      </c>
      <c r="F195" s="18">
        <f>انبار!F194</f>
        <v>2650000</v>
      </c>
      <c r="G195" s="9" t="str">
        <f>IF(انبار!I194&lt;=0,"🔴 سفارش فوری",IF(انبار!I194&lt;=تنظیمات_سیستم!$C$7,"🟠 سفارش مجدد","✅"))</f>
        <v>✅</v>
      </c>
      <c r="H195" s="9" t="str">
        <f>IF(انبار!I194&lt;=تنظیمات_سیستم!$C$7,"سفارش دهید","—")</f>
        <v>—</v>
      </c>
    </row>
    <row r="196" spans="1:8">
      <c r="A196" s="9" t="str">
        <f>انبار!A195</f>
        <v>SKU-0192</v>
      </c>
      <c r="B196" s="17" t="str">
        <f>انبار!B195</f>
        <v>کت بیژو آبی نفتی فری</v>
      </c>
      <c r="C196" s="17" t="str">
        <f>انبار!C195</f>
        <v>کت</v>
      </c>
      <c r="D196" s="9">
        <f>انبار!I195</f>
        <v>9</v>
      </c>
      <c r="E196" s="9" t="str">
        <f>انبار!J195</f>
        <v>🟢 OK</v>
      </c>
      <c r="F196" s="18">
        <f>انبار!F195</f>
        <v>2650000</v>
      </c>
      <c r="G196" s="9" t="str">
        <f>IF(انبار!I195&lt;=0,"🔴 سفارش فوری",IF(انبار!I195&lt;=تنظیمات_سیستم!$C$7,"🟠 سفارش مجدد","✅"))</f>
        <v>✅</v>
      </c>
      <c r="H196" s="9" t="str">
        <f>IF(انبار!I195&lt;=تنظیمات_سیستم!$C$7,"سفارش دهید","—")</f>
        <v>—</v>
      </c>
    </row>
    <row r="197" spans="1:8">
      <c r="A197" s="9" t="str">
        <f>انبار!A196</f>
        <v>SKU-0193</v>
      </c>
      <c r="B197" s="17" t="str">
        <f>انبار!B196</f>
        <v>کت بیژو کرم فری</v>
      </c>
      <c r="C197" s="17" t="str">
        <f>انبار!C196</f>
        <v>کت</v>
      </c>
      <c r="D197" s="9">
        <f>انبار!I196</f>
        <v>9</v>
      </c>
      <c r="E197" s="9" t="str">
        <f>انبار!J196</f>
        <v>🟢 OK</v>
      </c>
      <c r="F197" s="18">
        <f>انبار!F196</f>
        <v>2650000</v>
      </c>
      <c r="G197" s="9" t="str">
        <f>IF(انبار!I196&lt;=0,"🔴 سفارش فوری",IF(انبار!I196&lt;=تنظیمات_سیستم!$C$7,"🟠 سفارش مجدد","✅"))</f>
        <v>✅</v>
      </c>
      <c r="H197" s="9" t="str">
        <f>IF(انبار!I196&lt;=تنظیمات_سیستم!$C$7,"سفارش دهید","—")</f>
        <v>—</v>
      </c>
    </row>
    <row r="198" spans="1:8">
      <c r="A198" s="9" t="str">
        <f>انبار!A197</f>
        <v>SKU-0194</v>
      </c>
      <c r="B198" s="17" t="str">
        <f>انبار!B197</f>
        <v>کت مازراتی سبز</v>
      </c>
      <c r="C198" s="17" t="str">
        <f>انبار!C197</f>
        <v>کت</v>
      </c>
      <c r="D198" s="9">
        <f>انبار!I197</f>
        <v>9</v>
      </c>
      <c r="E198" s="9" t="str">
        <f>انبار!J197</f>
        <v>🟢 OK</v>
      </c>
      <c r="F198" s="18">
        <f>انبار!F197</f>
        <v>1800000</v>
      </c>
      <c r="G198" s="9" t="str">
        <f>IF(انبار!I197&lt;=0,"🔴 سفارش فوری",IF(انبار!I197&lt;=تنظیمات_سیستم!$C$7,"🟠 سفارش مجدد","✅"))</f>
        <v>✅</v>
      </c>
      <c r="H198" s="9" t="str">
        <f>IF(انبار!I197&lt;=تنظیمات_سیستم!$C$7,"سفارش دهید","—")</f>
        <v>—</v>
      </c>
    </row>
    <row r="199" spans="1:8">
      <c r="A199" s="9" t="str">
        <f>انبار!A198</f>
        <v>SKU-0195</v>
      </c>
      <c r="B199" s="17" t="str">
        <f>انبار!B198</f>
        <v>کت مازراتی کرم</v>
      </c>
      <c r="C199" s="17" t="str">
        <f>انبار!C198</f>
        <v>کت</v>
      </c>
      <c r="D199" s="9">
        <f>انبار!I198</f>
        <v>9</v>
      </c>
      <c r="E199" s="9" t="str">
        <f>انبار!J198</f>
        <v>🟢 OK</v>
      </c>
      <c r="F199" s="18">
        <f>انبار!F198</f>
        <v>1800000</v>
      </c>
      <c r="G199" s="9" t="str">
        <f>IF(انبار!I198&lt;=0,"🔴 سفارش فوری",IF(انبار!I198&lt;=تنظیمات_سیستم!$C$7,"🟠 سفارش مجدد","✅"))</f>
        <v>✅</v>
      </c>
      <c r="H199" s="9" t="str">
        <f>IF(انبار!I198&lt;=تنظیمات_سیستم!$C$7,"سفارش دهید","—")</f>
        <v>—</v>
      </c>
    </row>
    <row r="200" spans="1:8">
      <c r="A200" s="9" t="str">
        <f>انبار!A199</f>
        <v>SKU-0196</v>
      </c>
      <c r="B200" s="17" t="str">
        <f>انبار!B199</f>
        <v>کراپ تافته شیری 1</v>
      </c>
      <c r="C200" s="17" t="str">
        <f>انبار!C199</f>
        <v>تاپ</v>
      </c>
      <c r="D200" s="9">
        <f>انبار!I199</f>
        <v>9</v>
      </c>
      <c r="E200" s="9" t="str">
        <f>انبار!J199</f>
        <v>🟢 OK</v>
      </c>
      <c r="F200" s="18">
        <f>انبار!F199</f>
        <v>1200000</v>
      </c>
      <c r="G200" s="9" t="str">
        <f>IF(انبار!I199&lt;=0,"🔴 سفارش فوری",IF(انبار!I199&lt;=تنظیمات_سیستم!$C$7,"🟠 سفارش مجدد","✅"))</f>
        <v>✅</v>
      </c>
      <c r="H200" s="9" t="str">
        <f>IF(انبار!I199&lt;=تنظیمات_سیستم!$C$7,"سفارش دهید","—")</f>
        <v>—</v>
      </c>
    </row>
    <row r="201" spans="1:8">
      <c r="A201" s="9" t="str">
        <f>انبار!A200</f>
        <v>SKU-0197</v>
      </c>
      <c r="B201" s="17" t="str">
        <f>انبار!B200</f>
        <v>کراپ تافته شیری2</v>
      </c>
      <c r="C201" s="17" t="str">
        <f>انبار!C200</f>
        <v>تاپ</v>
      </c>
      <c r="D201" s="9">
        <f>انبار!I200</f>
        <v>9</v>
      </c>
      <c r="E201" s="9" t="str">
        <f>انبار!J200</f>
        <v>🟢 OK</v>
      </c>
      <c r="F201" s="18">
        <f>انبار!F200</f>
        <v>1200000</v>
      </c>
      <c r="G201" s="9" t="str">
        <f>IF(انبار!I200&lt;=0,"🔴 سفارش فوری",IF(انبار!I200&lt;=تنظیمات_سیستم!$C$7,"🟠 سفارش مجدد","✅"))</f>
        <v>✅</v>
      </c>
      <c r="H201" s="9" t="str">
        <f>IF(انبار!I200&lt;=تنظیمات_سیستم!$C$7,"سفارش دهید","—")</f>
        <v>—</v>
      </c>
    </row>
    <row r="202" spans="1:8">
      <c r="A202" s="9" t="str">
        <f>انبار!A201</f>
        <v>SKU-0198</v>
      </c>
      <c r="B202" s="17" t="str">
        <f>انبار!B201</f>
        <v>کراپ تافته نارنجی1</v>
      </c>
      <c r="C202" s="17" t="str">
        <f>انبار!C201</f>
        <v>تاپ</v>
      </c>
      <c r="D202" s="9">
        <f>انبار!I201</f>
        <v>9</v>
      </c>
      <c r="E202" s="9" t="str">
        <f>انبار!J201</f>
        <v>🟢 OK</v>
      </c>
      <c r="F202" s="18">
        <f>انبار!F201</f>
        <v>1200000</v>
      </c>
      <c r="G202" s="9" t="str">
        <f>IF(انبار!I201&lt;=0,"🔴 سفارش فوری",IF(انبار!I201&lt;=تنظیمات_سیستم!$C$7,"🟠 سفارش مجدد","✅"))</f>
        <v>✅</v>
      </c>
      <c r="H202" s="9" t="str">
        <f>IF(انبار!I201&lt;=تنظیمات_سیستم!$C$7,"سفارش دهید","—")</f>
        <v>—</v>
      </c>
    </row>
    <row r="203" spans="1:8">
      <c r="A203" s="9" t="str">
        <f>انبار!A202</f>
        <v>SKU-0199</v>
      </c>
      <c r="B203" s="17" t="str">
        <f>انبار!B202</f>
        <v>کراپ تافته نارنجی2</v>
      </c>
      <c r="C203" s="17" t="str">
        <f>انبار!C202</f>
        <v>تاپ</v>
      </c>
      <c r="D203" s="9">
        <f>انبار!I202</f>
        <v>9</v>
      </c>
      <c r="E203" s="9" t="str">
        <f>انبار!J202</f>
        <v>🟢 OK</v>
      </c>
      <c r="F203" s="18">
        <f>انبار!F202</f>
        <v>1200000</v>
      </c>
      <c r="G203" s="9" t="str">
        <f>IF(انبار!I202&lt;=0,"🔴 سفارش فوری",IF(انبار!I202&lt;=تنظیمات_سیستم!$C$7,"🟠 سفارش مجدد","✅"))</f>
        <v>✅</v>
      </c>
      <c r="H203" s="9" t="str">
        <f>IF(انبار!I202&lt;=تنظیمات_سیستم!$C$7,"سفارش دهید","—")</f>
        <v>—</v>
      </c>
    </row>
    <row r="204" spans="1:8">
      <c r="A204" s="9" t="str">
        <f>انبار!A203</f>
        <v>SKU-0200</v>
      </c>
      <c r="B204" s="17" t="str">
        <f>انبار!B203</f>
        <v>کراپ تافته مشکی1</v>
      </c>
      <c r="C204" s="17" t="str">
        <f>انبار!C203</f>
        <v>تاپ</v>
      </c>
      <c r="D204" s="9">
        <f>انبار!I203</f>
        <v>9</v>
      </c>
      <c r="E204" s="9" t="str">
        <f>انبار!J203</f>
        <v>🟢 OK</v>
      </c>
      <c r="F204" s="18">
        <f>انبار!F203</f>
        <v>1200000</v>
      </c>
      <c r="G204" s="9" t="str">
        <f>IF(انبار!I203&lt;=0,"🔴 سفارش فوری",IF(انبار!I203&lt;=تنظیمات_سیستم!$C$7,"🟠 سفارش مجدد","✅"))</f>
        <v>✅</v>
      </c>
      <c r="H204" s="9" t="str">
        <f>IF(انبار!I203&lt;=تنظیمات_سیستم!$C$7,"سفارش دهید","—")</f>
        <v>—</v>
      </c>
    </row>
    <row r="205" spans="1:8">
      <c r="A205" s="9" t="str">
        <f>انبار!A204</f>
        <v>SKU-0201</v>
      </c>
      <c r="B205" s="17" t="str">
        <f>انبار!B204</f>
        <v>کراپ تافته مشکی2</v>
      </c>
      <c r="C205" s="17" t="str">
        <f>انبار!C204</f>
        <v>تاپ</v>
      </c>
      <c r="D205" s="9">
        <f>انبار!I204</f>
        <v>9</v>
      </c>
      <c r="E205" s="9" t="str">
        <f>انبار!J204</f>
        <v>🟢 OK</v>
      </c>
      <c r="F205" s="18">
        <f>انبار!F204</f>
        <v>1200000</v>
      </c>
      <c r="G205" s="9" t="str">
        <f>IF(انبار!I204&lt;=0,"🔴 سفارش فوری",IF(انبار!I204&lt;=تنظیمات_سیستم!$C$7,"🟠 سفارش مجدد","✅"))</f>
        <v>✅</v>
      </c>
      <c r="H205" s="9" t="str">
        <f>IF(انبار!I204&lt;=تنظیمات_سیستم!$C$7,"سفارش دهید","—")</f>
        <v>—</v>
      </c>
    </row>
    <row r="206" spans="1:8">
      <c r="A206" s="9" t="str">
        <f>انبار!A205</f>
        <v>SKU-0202</v>
      </c>
      <c r="B206" s="17" t="str">
        <f>انبار!B205</f>
        <v>شومیز زبرا1</v>
      </c>
      <c r="C206" s="17" t="str">
        <f>انبار!C205</f>
        <v>شومیز</v>
      </c>
      <c r="D206" s="9">
        <f>انبار!I205</f>
        <v>9</v>
      </c>
      <c r="E206" s="9" t="str">
        <f>انبار!J205</f>
        <v>🟢 OK</v>
      </c>
      <c r="F206" s="18">
        <f>انبار!F205</f>
        <v>1680000</v>
      </c>
      <c r="G206" s="9" t="str">
        <f>IF(انبار!I205&lt;=0,"🔴 سفارش فوری",IF(انبار!I205&lt;=تنظیمات_سیستم!$C$7,"🟠 سفارش مجدد","✅"))</f>
        <v>✅</v>
      </c>
      <c r="H206" s="9" t="str">
        <f>IF(انبار!I205&lt;=تنظیمات_سیستم!$C$7,"سفارش دهید","—")</f>
        <v>—</v>
      </c>
    </row>
    <row r="207" spans="1:8">
      <c r="A207" s="9" t="str">
        <f>انبار!A206</f>
        <v>SKU-0203</v>
      </c>
      <c r="B207" s="17" t="str">
        <f>انبار!B206</f>
        <v>شومیز زبرا2</v>
      </c>
      <c r="C207" s="17" t="str">
        <f>انبار!C206</f>
        <v>شومیز</v>
      </c>
      <c r="D207" s="9">
        <f>انبار!I206</f>
        <v>9</v>
      </c>
      <c r="E207" s="9" t="str">
        <f>انبار!J206</f>
        <v>🟢 OK</v>
      </c>
      <c r="F207" s="18">
        <f>انبار!F206</f>
        <v>1680000</v>
      </c>
      <c r="G207" s="9" t="str">
        <f>IF(انبار!I206&lt;=0,"🔴 سفارش فوری",IF(انبار!I206&lt;=تنظیمات_سیستم!$C$7,"🟠 سفارش مجدد","✅"))</f>
        <v>✅</v>
      </c>
      <c r="H207" s="9" t="str">
        <f>IF(انبار!I206&lt;=تنظیمات_سیستم!$C$7,"سفارش دهید","—")</f>
        <v>—</v>
      </c>
    </row>
    <row r="208" spans="1:8">
      <c r="A208" s="9" t="str">
        <f>انبار!A207</f>
        <v>SKU-0204</v>
      </c>
      <c r="B208" s="17" t="str">
        <f>انبار!B207</f>
        <v>شلوار ثمین مشکی1</v>
      </c>
      <c r="C208" s="17" t="str">
        <f>انبار!C207</f>
        <v>شلوار</v>
      </c>
      <c r="D208" s="9">
        <f>انبار!I207</f>
        <v>9</v>
      </c>
      <c r="E208" s="9" t="str">
        <f>انبار!J207</f>
        <v>🟢 OK</v>
      </c>
      <c r="F208" s="18">
        <f>انبار!F207</f>
        <v>1980000</v>
      </c>
      <c r="G208" s="9" t="str">
        <f>IF(انبار!I207&lt;=0,"🔴 سفارش فوری",IF(انبار!I207&lt;=تنظیمات_سیستم!$C$7,"🟠 سفارش مجدد","✅"))</f>
        <v>✅</v>
      </c>
      <c r="H208" s="9" t="str">
        <f>IF(انبار!I207&lt;=تنظیمات_سیستم!$C$7,"سفارش دهید","—")</f>
        <v>—</v>
      </c>
    </row>
    <row r="209" spans="1:8">
      <c r="A209" s="9" t="str">
        <f>انبار!A208</f>
        <v>SKU-0205</v>
      </c>
      <c r="B209" s="17" t="str">
        <f>انبار!B208</f>
        <v>شلوار ثمین مشکی 2</v>
      </c>
      <c r="C209" s="17" t="str">
        <f>انبار!C208</f>
        <v>شلوار</v>
      </c>
      <c r="D209" s="9">
        <f>انبار!I208</f>
        <v>9</v>
      </c>
      <c r="E209" s="9" t="str">
        <f>انبار!J208</f>
        <v>🟢 OK</v>
      </c>
      <c r="F209" s="18">
        <f>انبار!F208</f>
        <v>0</v>
      </c>
      <c r="G209" s="9" t="str">
        <f>IF(انبار!I208&lt;=0,"🔴 سفارش فوری",IF(انبار!I208&lt;=تنظیمات_سیستم!$C$7,"🟠 سفارش مجدد","✅"))</f>
        <v>✅</v>
      </c>
      <c r="H209" s="9" t="str">
        <f>IF(انبار!I208&lt;=تنظیمات_سیستم!$C$7,"سفارش دهید","—")</f>
        <v>—</v>
      </c>
    </row>
    <row r="210" spans="1:8">
      <c r="A210" s="9" t="str">
        <f>انبار!A209</f>
        <v>SKU-0206</v>
      </c>
      <c r="B210" s="17" t="str">
        <f>انبار!B209</f>
        <v>شلوار ثمین سبز1</v>
      </c>
      <c r="C210" s="17" t="str">
        <f>انبار!C209</f>
        <v>شلوار</v>
      </c>
      <c r="D210" s="9">
        <f>انبار!I209</f>
        <v>9</v>
      </c>
      <c r="E210" s="9" t="str">
        <f>انبار!J209</f>
        <v>🟢 OK</v>
      </c>
      <c r="F210" s="18">
        <f>انبار!F209</f>
        <v>0</v>
      </c>
      <c r="G210" s="9" t="str">
        <f>IF(انبار!I209&lt;=0,"🔴 سفارش فوری",IF(انبار!I209&lt;=تنظیمات_سیستم!$C$7,"🟠 سفارش مجدد","✅"))</f>
        <v>✅</v>
      </c>
      <c r="H210" s="9" t="str">
        <f>IF(انبار!I209&lt;=تنظیمات_سیستم!$C$7,"سفارش دهید","—")</f>
        <v>—</v>
      </c>
    </row>
    <row r="211" spans="1:8">
      <c r="A211" s="9" t="str">
        <f>انبار!A210</f>
        <v>SKU-0207</v>
      </c>
      <c r="B211" s="17" t="str">
        <f>انبار!B210</f>
        <v>شلوار ثمین سبز2</v>
      </c>
      <c r="C211" s="17" t="str">
        <f>انبار!C210</f>
        <v>شلوار</v>
      </c>
      <c r="D211" s="9">
        <f>انبار!I210</f>
        <v>9</v>
      </c>
      <c r="E211" s="9" t="str">
        <f>انبار!J210</f>
        <v>🟢 OK</v>
      </c>
      <c r="F211" s="18">
        <f>انبار!F210</f>
        <v>0</v>
      </c>
      <c r="G211" s="9" t="str">
        <f>IF(انبار!I210&lt;=0,"🔴 سفارش فوری",IF(انبار!I210&lt;=تنظیمات_سیستم!$C$7,"🟠 سفارش مجدد","✅"))</f>
        <v>✅</v>
      </c>
      <c r="H211" s="9" t="str">
        <f>IF(انبار!I210&lt;=تنظیمات_سیستم!$C$7,"سفارش دهید","—")</f>
        <v>—</v>
      </c>
    </row>
    <row r="212" spans="1:8">
      <c r="A212" s="9" t="str">
        <f>انبار!A211</f>
        <v>SKU-0208</v>
      </c>
      <c r="B212" s="17" t="str">
        <f>انبار!B211</f>
        <v>شلوار ثمین آبی 1</v>
      </c>
      <c r="C212" s="17" t="str">
        <f>انبار!C211</f>
        <v>شلوار</v>
      </c>
      <c r="D212" s="9">
        <f>انبار!I211</f>
        <v>9</v>
      </c>
      <c r="E212" s="9" t="str">
        <f>انبار!J211</f>
        <v>🟢 OK</v>
      </c>
      <c r="F212" s="18">
        <f>انبار!F211</f>
        <v>0</v>
      </c>
      <c r="G212" s="9" t="str">
        <f>IF(انبار!I211&lt;=0,"🔴 سفارش فوری",IF(انبار!I211&lt;=تنظیمات_سیستم!$C$7,"🟠 سفارش مجدد","✅"))</f>
        <v>✅</v>
      </c>
      <c r="H212" s="9" t="str">
        <f>IF(انبار!I211&lt;=تنظیمات_سیستم!$C$7,"سفارش دهید","—")</f>
        <v>—</v>
      </c>
    </row>
    <row r="213" spans="1:8">
      <c r="A213" s="9" t="str">
        <f>انبار!A212</f>
        <v>SKU-0209</v>
      </c>
      <c r="B213" s="17" t="str">
        <f>انبار!B212</f>
        <v>شلوار ثمین آبی2</v>
      </c>
      <c r="C213" s="17" t="str">
        <f>انبار!C212</f>
        <v>شلوار</v>
      </c>
      <c r="D213" s="9">
        <f>انبار!I212</f>
        <v>9</v>
      </c>
      <c r="E213" s="9" t="str">
        <f>انبار!J212</f>
        <v>🟢 OK</v>
      </c>
      <c r="F213" s="18">
        <f>انبار!F212</f>
        <v>0</v>
      </c>
      <c r="G213" s="9" t="str">
        <f>IF(انبار!I212&lt;=0,"🔴 سفارش فوری",IF(انبار!I212&lt;=تنظیمات_سیستم!$C$7,"🟠 سفارش مجدد","✅"))</f>
        <v>✅</v>
      </c>
      <c r="H213" s="9" t="str">
        <f>IF(انبار!I212&lt;=تنظیمات_سیستم!$C$7,"سفارش دهید","—")</f>
        <v>—</v>
      </c>
    </row>
    <row r="214" spans="1:8">
      <c r="A214" s="9" t="str">
        <f>انبار!A213</f>
        <v>SKU-0210</v>
      </c>
      <c r="B214" s="17" t="str">
        <f>انبار!B213</f>
        <v>کت ژاکارد صورتی 1</v>
      </c>
      <c r="C214" s="17" t="str">
        <f>انبار!C213</f>
        <v>کت</v>
      </c>
      <c r="D214" s="9">
        <f>انبار!I213</f>
        <v>9</v>
      </c>
      <c r="E214" s="9" t="str">
        <f>انبار!J213</f>
        <v>🟢 OK</v>
      </c>
      <c r="F214" s="18">
        <f>انبار!F213</f>
        <v>3850000</v>
      </c>
      <c r="G214" s="9" t="str">
        <f>IF(انبار!I213&lt;=0,"🔴 سفارش فوری",IF(انبار!I213&lt;=تنظیمات_سیستم!$C$7,"🟠 سفارش مجدد","✅"))</f>
        <v>✅</v>
      </c>
      <c r="H214" s="9" t="str">
        <f>IF(انبار!I213&lt;=تنظیمات_سیستم!$C$7,"سفارش دهید","—")</f>
        <v>—</v>
      </c>
    </row>
    <row r="215" spans="1:8">
      <c r="A215" s="9" t="str">
        <f>انبار!A214</f>
        <v>SKU-0211</v>
      </c>
      <c r="B215" s="17" t="str">
        <f>انبار!B214</f>
        <v>ست اسمارت کرم فری</v>
      </c>
      <c r="C215" s="17" t="str">
        <f>انبار!C214</f>
        <v>ست</v>
      </c>
      <c r="D215" s="9">
        <f>انبار!I214</f>
        <v>9</v>
      </c>
      <c r="E215" s="9" t="str">
        <f>انبار!J214</f>
        <v>🟢 OK</v>
      </c>
      <c r="F215" s="18">
        <f>انبار!F214</f>
        <v>0</v>
      </c>
      <c r="G215" s="9" t="str">
        <f>IF(انبار!I214&lt;=0,"🔴 سفارش فوری",IF(انبار!I214&lt;=تنظیمات_سیستم!$C$7,"🟠 سفارش مجدد","✅"))</f>
        <v>✅</v>
      </c>
      <c r="H215" s="9" t="str">
        <f>IF(انبار!I214&lt;=تنظیمات_سیستم!$C$7,"سفارش دهید","—")</f>
        <v>—</v>
      </c>
    </row>
    <row r="216" spans="1:8">
      <c r="A216" s="9" t="str">
        <f>انبار!A215</f>
        <v>SKU-0212</v>
      </c>
      <c r="B216" s="17" t="str">
        <f>انبار!B215</f>
        <v>ست سامر آجری 1</v>
      </c>
      <c r="C216" s="17" t="str">
        <f>انبار!C215</f>
        <v>ست</v>
      </c>
      <c r="D216" s="9">
        <f>انبار!I215</f>
        <v>9</v>
      </c>
      <c r="E216" s="9" t="str">
        <f>انبار!J215</f>
        <v>🟢 OK</v>
      </c>
      <c r="F216" s="18">
        <f>انبار!F215</f>
        <v>0</v>
      </c>
      <c r="G216" s="9" t="str">
        <f>IF(انبار!I215&lt;=0,"🔴 سفارش فوری",IF(انبار!I215&lt;=تنظیمات_سیستم!$C$7,"🟠 سفارش مجدد","✅"))</f>
        <v>✅</v>
      </c>
      <c r="H216" s="9" t="str">
        <f>IF(انبار!I215&lt;=تنظیمات_سیستم!$C$7,"سفارش دهید","—")</f>
        <v>—</v>
      </c>
    </row>
    <row r="217" spans="1:8">
      <c r="A217" s="9" t="str">
        <f>انبار!A216</f>
        <v>SKU-0213</v>
      </c>
      <c r="B217" s="17" t="str">
        <f>انبار!B216</f>
        <v>ست سامر آجری 2</v>
      </c>
      <c r="C217" s="17" t="str">
        <f>انبار!C216</f>
        <v>ست</v>
      </c>
      <c r="D217" s="9">
        <f>انبار!I216</f>
        <v>9</v>
      </c>
      <c r="E217" s="9" t="str">
        <f>انبار!J216</f>
        <v>🟢 OK</v>
      </c>
      <c r="F217" s="18">
        <f>انبار!F216</f>
        <v>4200000</v>
      </c>
      <c r="G217" s="9" t="str">
        <f>IF(انبار!I216&lt;=0,"🔴 سفارش فوری",IF(انبار!I216&lt;=تنظیمات_سیستم!$C$7,"🟠 سفارش مجدد","✅"))</f>
        <v>✅</v>
      </c>
      <c r="H217" s="9" t="str">
        <f>IF(انبار!I216&lt;=تنظیمات_سیستم!$C$7,"سفارش دهید","—")</f>
        <v>—</v>
      </c>
    </row>
    <row r="218" spans="1:8">
      <c r="A218" s="9" t="str">
        <f>انبار!A217</f>
        <v>SKU-0214</v>
      </c>
      <c r="B218" s="17" t="str">
        <f>انبار!B217</f>
        <v>شومیز ستیا زرشکی 1</v>
      </c>
      <c r="C218" s="17" t="str">
        <f>انبار!C217</f>
        <v>شومیز</v>
      </c>
      <c r="D218" s="9">
        <f>انبار!I217</f>
        <v>9</v>
      </c>
      <c r="E218" s="9" t="str">
        <f>انبار!J217</f>
        <v>🟢 OK</v>
      </c>
      <c r="F218" s="18">
        <f>انبار!F217</f>
        <v>0</v>
      </c>
      <c r="G218" s="9" t="str">
        <f>IF(انبار!I217&lt;=0,"🔴 سفارش فوری",IF(انبار!I217&lt;=تنظیمات_سیستم!$C$7,"🟠 سفارش مجدد","✅"))</f>
        <v>✅</v>
      </c>
      <c r="H218" s="9" t="str">
        <f>IF(انبار!I217&lt;=تنظیمات_سیستم!$C$7,"سفارش دهید","—")</f>
        <v>—</v>
      </c>
    </row>
    <row r="219" spans="1:8">
      <c r="A219" s="9" t="str">
        <f>انبار!A218</f>
        <v>SKU-0215</v>
      </c>
      <c r="B219" s="17" t="str">
        <f>انبار!B218</f>
        <v>شومیز ستیا زرد 2</v>
      </c>
      <c r="C219" s="17" t="str">
        <f>انبار!C218</f>
        <v>شومیز</v>
      </c>
      <c r="D219" s="9">
        <f>انبار!I218</f>
        <v>9</v>
      </c>
      <c r="E219" s="9" t="str">
        <f>انبار!J218</f>
        <v>🟢 OK</v>
      </c>
      <c r="F219" s="18">
        <f>انبار!F218</f>
        <v>2680000</v>
      </c>
      <c r="G219" s="9" t="str">
        <f>IF(انبار!I218&lt;=0,"🔴 سفارش فوری",IF(انبار!I218&lt;=تنظیمات_سیستم!$C$7,"🟠 سفارش مجدد","✅"))</f>
        <v>✅</v>
      </c>
      <c r="H219" s="9" t="str">
        <f>IF(انبار!I218&lt;=تنظیمات_سیستم!$C$7,"سفارش دهید","—")</f>
        <v>—</v>
      </c>
    </row>
    <row r="220" spans="1:8">
      <c r="A220" s="9" t="str">
        <f>انبار!A219</f>
        <v>SKU-0216</v>
      </c>
      <c r="B220" s="17" t="str">
        <f>انبار!B219</f>
        <v>شلوار</v>
      </c>
      <c r="C220" s="17" t="str">
        <f>انبار!C219</f>
        <v>شومیز</v>
      </c>
      <c r="D220" s="9">
        <f>انبار!I219</f>
        <v>9</v>
      </c>
      <c r="E220" s="9" t="str">
        <f>انبار!J219</f>
        <v>🟢 OK</v>
      </c>
      <c r="F220" s="18">
        <f>انبار!F219</f>
        <v>2200000</v>
      </c>
      <c r="G220" s="9" t="str">
        <f>IF(انبار!I219&lt;=0,"🔴 سفارش فوری",IF(انبار!I219&lt;=تنظیمات_سیستم!$C$7,"🟠 سفارش مجدد","✅"))</f>
        <v>✅</v>
      </c>
      <c r="H220" s="9" t="str">
        <f>IF(انبار!I219&lt;=تنظیمات_سیستم!$C$7,"سفارش دهید","—")</f>
        <v>—</v>
      </c>
    </row>
    <row r="221" spans="1:8">
      <c r="A221" s="9" t="str">
        <f>انبار!A220</f>
        <v>SKU-0217</v>
      </c>
      <c r="B221" s="17" t="str">
        <f>انبار!B220</f>
        <v>شومیز ستیا پلنگی 2</v>
      </c>
      <c r="C221" s="17" t="str">
        <f>انبار!C220</f>
        <v>شومیز</v>
      </c>
      <c r="D221" s="9">
        <f>انبار!I220</f>
        <v>9</v>
      </c>
      <c r="E221" s="9" t="str">
        <f>انبار!J220</f>
        <v>🟢 OK</v>
      </c>
      <c r="F221" s="18">
        <f>انبار!F220</f>
        <v>0</v>
      </c>
      <c r="G221" s="9" t="str">
        <f>IF(انبار!I220&lt;=0,"🔴 سفارش فوری",IF(انبار!I220&lt;=تنظیمات_سیستم!$C$7,"🟠 سفارش مجدد","✅"))</f>
        <v>✅</v>
      </c>
      <c r="H221" s="9" t="str">
        <f>IF(انبار!I220&lt;=تنظیمات_سیستم!$C$7,"سفارش دهید","—")</f>
        <v>—</v>
      </c>
    </row>
    <row r="222" spans="1:8">
      <c r="A222" s="9" t="str">
        <f>انبار!A221</f>
        <v>SKU-0218</v>
      </c>
      <c r="B222" s="17" t="str">
        <f>انبار!B221</f>
        <v>کت باربی قهوه ای1</v>
      </c>
      <c r="C222" s="17" t="str">
        <f>انبار!C221</f>
        <v>کت</v>
      </c>
      <c r="D222" s="9">
        <f>انبار!I221</f>
        <v>9</v>
      </c>
      <c r="E222" s="9" t="str">
        <f>انبار!J221</f>
        <v>🟢 OK</v>
      </c>
      <c r="F222" s="18">
        <f>انبار!F221</f>
        <v>4180000</v>
      </c>
      <c r="G222" s="9" t="str">
        <f>IF(انبار!I221&lt;=0,"🔴 سفارش فوری",IF(انبار!I221&lt;=تنظیمات_سیستم!$C$7,"🟠 سفارش مجدد","✅"))</f>
        <v>✅</v>
      </c>
      <c r="H222" s="9" t="str">
        <f>IF(انبار!I221&lt;=تنظیمات_سیستم!$C$7,"سفارش دهید","—")</f>
        <v>—</v>
      </c>
    </row>
    <row r="223" spans="1:8">
      <c r="A223" s="9" t="str">
        <f>انبار!A222</f>
        <v>SKU-0219</v>
      </c>
      <c r="B223" s="17" t="str">
        <f>انبار!B222</f>
        <v>کت باربی قهوه ای2</v>
      </c>
      <c r="C223" s="17" t="str">
        <f>انبار!C222</f>
        <v>کت</v>
      </c>
      <c r="D223" s="9">
        <f>انبار!I222</f>
        <v>9</v>
      </c>
      <c r="E223" s="9" t="str">
        <f>انبار!J222</f>
        <v>🟢 OK</v>
      </c>
      <c r="F223" s="18">
        <f>انبار!F222</f>
        <v>4180000</v>
      </c>
      <c r="G223" s="9" t="str">
        <f>IF(انبار!I222&lt;=0,"🔴 سفارش فوری",IF(انبار!I222&lt;=تنظیمات_سیستم!$C$7,"🟠 سفارش مجدد","✅"))</f>
        <v>✅</v>
      </c>
      <c r="H223" s="9" t="str">
        <f>IF(انبار!I222&lt;=تنظیمات_سیستم!$C$7,"سفارش دهید","—")</f>
        <v>—</v>
      </c>
    </row>
    <row r="224" spans="1:8">
      <c r="A224" s="9" t="str">
        <f>انبار!A223</f>
        <v>SKU-0220</v>
      </c>
      <c r="B224" s="17" t="str">
        <f>انبار!B223</f>
        <v>کت باربی آبی 1</v>
      </c>
      <c r="C224" s="17" t="str">
        <f>انبار!C223</f>
        <v>کت</v>
      </c>
      <c r="D224" s="9">
        <f>انبار!I223</f>
        <v>9</v>
      </c>
      <c r="E224" s="9" t="str">
        <f>انبار!J223</f>
        <v>🟢 OK</v>
      </c>
      <c r="F224" s="18">
        <f>انبار!F223</f>
        <v>4180000</v>
      </c>
      <c r="G224" s="9" t="str">
        <f>IF(انبار!I223&lt;=0,"🔴 سفارش فوری",IF(انبار!I223&lt;=تنظیمات_سیستم!$C$7,"🟠 سفارش مجدد","✅"))</f>
        <v>✅</v>
      </c>
      <c r="H224" s="9" t="str">
        <f>IF(انبار!I223&lt;=تنظیمات_سیستم!$C$7,"سفارش دهید","—")</f>
        <v>—</v>
      </c>
    </row>
    <row r="225" spans="1:8">
      <c r="A225" s="9" t="str">
        <f>انبار!A224</f>
        <v>SKU-0221</v>
      </c>
      <c r="B225" s="17" t="str">
        <f>انبار!B224</f>
        <v>کت باربی آبی 2</v>
      </c>
      <c r="C225" s="17" t="str">
        <f>انبار!C224</f>
        <v>کت</v>
      </c>
      <c r="D225" s="9">
        <f>انبار!I224</f>
        <v>9</v>
      </c>
      <c r="E225" s="9" t="str">
        <f>انبار!J224</f>
        <v>🟢 OK</v>
      </c>
      <c r="F225" s="18">
        <f>انبار!F224</f>
        <v>4180000</v>
      </c>
      <c r="G225" s="9" t="str">
        <f>IF(انبار!I224&lt;=0,"🔴 سفارش فوری",IF(انبار!I224&lt;=تنظیمات_سیستم!$C$7,"🟠 سفارش مجدد","✅"))</f>
        <v>✅</v>
      </c>
      <c r="H225" s="9" t="str">
        <f>IF(انبار!I224&lt;=تنظیمات_سیستم!$C$7,"سفارش دهید","—")</f>
        <v>—</v>
      </c>
    </row>
    <row r="226" spans="1:8">
      <c r="A226" s="9" t="str">
        <f>انبار!A225</f>
        <v>SKU-0222</v>
      </c>
      <c r="B226" s="17" t="str">
        <f>انبار!B225</f>
        <v>کت باربی مشکی1</v>
      </c>
      <c r="C226" s="17" t="str">
        <f>انبار!C225</f>
        <v>کت</v>
      </c>
      <c r="D226" s="9">
        <f>انبار!I225</f>
        <v>9</v>
      </c>
      <c r="E226" s="9" t="str">
        <f>انبار!J225</f>
        <v>🟢 OK</v>
      </c>
      <c r="F226" s="18">
        <f>انبار!F225</f>
        <v>4180000</v>
      </c>
      <c r="G226" s="9" t="str">
        <f>IF(انبار!I225&lt;=0,"🔴 سفارش فوری",IF(انبار!I225&lt;=تنظیمات_سیستم!$C$7,"🟠 سفارش مجدد","✅"))</f>
        <v>✅</v>
      </c>
      <c r="H226" s="9" t="str">
        <f>IF(انبار!I225&lt;=تنظیمات_سیستم!$C$7,"سفارش دهید","—")</f>
        <v>—</v>
      </c>
    </row>
    <row r="227" spans="1:8">
      <c r="A227" s="9" t="str">
        <f>انبار!A226</f>
        <v>SKU-0223</v>
      </c>
      <c r="B227" s="17" t="str">
        <f>انبار!B226</f>
        <v>کت باربی مشکی2</v>
      </c>
      <c r="C227" s="17" t="str">
        <f>انبار!C226</f>
        <v>کت</v>
      </c>
      <c r="D227" s="9">
        <f>انبار!I226</f>
        <v>9</v>
      </c>
      <c r="E227" s="9" t="str">
        <f>انبار!J226</f>
        <v>🟢 OK</v>
      </c>
      <c r="F227" s="18">
        <f>انبار!F226</f>
        <v>4180000</v>
      </c>
      <c r="G227" s="9" t="str">
        <f>IF(انبار!I226&lt;=0,"🔴 سفارش فوری",IF(انبار!I226&lt;=تنظیمات_سیستم!$C$7,"🟠 سفارش مجدد","✅"))</f>
        <v>✅</v>
      </c>
      <c r="H227" s="9" t="str">
        <f>IF(انبار!I226&lt;=تنظیمات_سیستم!$C$7,"سفارش دهید","—")</f>
        <v>—</v>
      </c>
    </row>
    <row r="228" spans="1:8">
      <c r="A228" s="9" t="str">
        <f>انبار!A227</f>
        <v>SKU-0224</v>
      </c>
      <c r="B228" s="17" t="str">
        <f>انبار!B227</f>
        <v>شلوارک کرپ مشکی1</v>
      </c>
      <c r="C228" s="17" t="str">
        <f>انبار!C227</f>
        <v>شلوارک</v>
      </c>
      <c r="D228" s="9">
        <f>انبار!I227</f>
        <v>9</v>
      </c>
      <c r="E228" s="9" t="str">
        <f>انبار!J227</f>
        <v>🟢 OK</v>
      </c>
      <c r="F228" s="18">
        <f>انبار!F227</f>
        <v>1280000</v>
      </c>
      <c r="G228" s="9" t="str">
        <f>IF(انبار!I227&lt;=0,"🔴 سفارش فوری",IF(انبار!I227&lt;=تنظیمات_سیستم!$C$7,"🟠 سفارش مجدد","✅"))</f>
        <v>✅</v>
      </c>
      <c r="H228" s="9" t="str">
        <f>IF(انبار!I227&lt;=تنظیمات_سیستم!$C$7,"سفارش دهید","—")</f>
        <v>—</v>
      </c>
    </row>
    <row r="229" spans="1:8">
      <c r="A229" s="9" t="str">
        <f>انبار!A228</f>
        <v>SKU-0225</v>
      </c>
      <c r="B229" s="17" t="str">
        <f>انبار!B228</f>
        <v>شلوارک کرپ مشکی2</v>
      </c>
      <c r="C229" s="17" t="str">
        <f>انبار!C228</f>
        <v>شلوارک</v>
      </c>
      <c r="D229" s="9">
        <f>انبار!I228</f>
        <v>9</v>
      </c>
      <c r="E229" s="9" t="str">
        <f>انبار!J228</f>
        <v>🟢 OK</v>
      </c>
      <c r="F229" s="18">
        <f>انبار!F228</f>
        <v>1280000</v>
      </c>
      <c r="G229" s="9" t="str">
        <f>IF(انبار!I228&lt;=0,"🔴 سفارش فوری",IF(انبار!I228&lt;=تنظیمات_سیستم!$C$7,"🟠 سفارش مجدد","✅"))</f>
        <v>✅</v>
      </c>
      <c r="H229" s="9" t="str">
        <f>IF(انبار!I228&lt;=تنظیمات_سیستم!$C$7,"سفارش دهید","—")</f>
        <v>—</v>
      </c>
    </row>
    <row r="230" spans="1:8">
      <c r="A230" s="9" t="str">
        <f>انبار!A229</f>
        <v>SKU-0226</v>
      </c>
      <c r="B230" s="17" t="str">
        <f>انبار!B229</f>
        <v>شومیز آلیس صورتی1</v>
      </c>
      <c r="C230" s="17" t="str">
        <f>انبار!C229</f>
        <v>شومیز</v>
      </c>
      <c r="D230" s="9">
        <f>انبار!I229</f>
        <v>9</v>
      </c>
      <c r="E230" s="9" t="str">
        <f>انبار!J229</f>
        <v>🟢 OK</v>
      </c>
      <c r="F230" s="18">
        <f>انبار!F229</f>
        <v>0</v>
      </c>
      <c r="G230" s="9" t="str">
        <f>IF(انبار!I229&lt;=0,"🔴 سفارش فوری",IF(انبار!I229&lt;=تنظیمات_سیستم!$C$7,"🟠 سفارش مجدد","✅"))</f>
        <v>✅</v>
      </c>
      <c r="H230" s="9" t="str">
        <f>IF(انبار!I229&lt;=تنظیمات_سیستم!$C$7,"سفارش دهید","—")</f>
        <v>—</v>
      </c>
    </row>
    <row r="231" spans="1:8">
      <c r="A231" s="9" t="str">
        <f>انبار!A230</f>
        <v>SKU-0227</v>
      </c>
      <c r="B231" s="17" t="str">
        <f>انبار!B230</f>
        <v>شومیز آلیس صورتی2</v>
      </c>
      <c r="C231" s="17" t="str">
        <f>انبار!C230</f>
        <v>شومیز</v>
      </c>
      <c r="D231" s="9">
        <f>انبار!I230</f>
        <v>9</v>
      </c>
      <c r="E231" s="9" t="str">
        <f>انبار!J230</f>
        <v>🟢 OK</v>
      </c>
      <c r="F231" s="18">
        <f>انبار!F230</f>
        <v>0</v>
      </c>
      <c r="G231" s="9" t="str">
        <f>IF(انبار!I230&lt;=0,"🔴 سفارش فوری",IF(انبار!I230&lt;=تنظیمات_سیستم!$C$7,"🟠 سفارش مجدد","✅"))</f>
        <v>✅</v>
      </c>
      <c r="H231" s="9" t="str">
        <f>IF(انبار!I230&lt;=تنظیمات_سیستم!$C$7,"سفارش دهید","—")</f>
        <v>—</v>
      </c>
    </row>
    <row r="232" spans="1:8">
      <c r="A232" s="9" t="str">
        <f>انبار!A231</f>
        <v>SKU-0228</v>
      </c>
      <c r="B232" s="17" t="str">
        <f>انبار!B231</f>
        <v>شومیز آلیس صورتی3</v>
      </c>
      <c r="C232" s="17" t="str">
        <f>انبار!C231</f>
        <v>شومیز</v>
      </c>
      <c r="D232" s="9">
        <f>انبار!I231</f>
        <v>9</v>
      </c>
      <c r="E232" s="9" t="str">
        <f>انبار!J231</f>
        <v>🟢 OK</v>
      </c>
      <c r="F232" s="18">
        <f>انبار!F231</f>
        <v>0</v>
      </c>
      <c r="G232" s="9" t="str">
        <f>IF(انبار!I231&lt;=0,"🔴 سفارش فوری",IF(انبار!I231&lt;=تنظیمات_سیستم!$C$7,"🟠 سفارش مجدد","✅"))</f>
        <v>✅</v>
      </c>
      <c r="H232" s="9" t="str">
        <f>IF(انبار!I231&lt;=تنظیمات_سیستم!$C$7,"سفارش دهید","—")</f>
        <v>—</v>
      </c>
    </row>
    <row r="233" spans="1:8">
      <c r="A233" s="9" t="str">
        <f>انبار!A232</f>
        <v>SKU-0229</v>
      </c>
      <c r="B233" s="17" t="str">
        <f>انبار!B232</f>
        <v>ست دنیزکرم1</v>
      </c>
      <c r="C233" s="17" t="str">
        <f>انبار!C232</f>
        <v>ست</v>
      </c>
      <c r="D233" s="9">
        <f>انبار!I232</f>
        <v>9</v>
      </c>
      <c r="E233" s="9" t="str">
        <f>انبار!J232</f>
        <v>🟢 OK</v>
      </c>
      <c r="F233" s="18">
        <f>انبار!F232</f>
        <v>2980000</v>
      </c>
      <c r="G233" s="9" t="str">
        <f>IF(انبار!I232&lt;=0,"🔴 سفارش فوری",IF(انبار!I232&lt;=تنظیمات_سیستم!$C$7,"🟠 سفارش مجدد","✅"))</f>
        <v>✅</v>
      </c>
      <c r="H233" s="9" t="str">
        <f>IF(انبار!I232&lt;=تنظیمات_سیستم!$C$7,"سفارش دهید","—")</f>
        <v>—</v>
      </c>
    </row>
    <row r="234" spans="1:8">
      <c r="A234" s="9" t="str">
        <f>انبار!A233</f>
        <v>SKU-0230</v>
      </c>
      <c r="B234" s="17" t="str">
        <f>انبار!B233</f>
        <v>ست دنیز کرم2</v>
      </c>
      <c r="C234" s="17" t="str">
        <f>انبار!C233</f>
        <v>ست</v>
      </c>
      <c r="D234" s="9">
        <f>انبار!I233</f>
        <v>9</v>
      </c>
      <c r="E234" s="9" t="str">
        <f>انبار!J233</f>
        <v>🟢 OK</v>
      </c>
      <c r="F234" s="18">
        <f>انبار!F233</f>
        <v>2980000</v>
      </c>
      <c r="G234" s="9" t="str">
        <f>IF(انبار!I233&lt;=0,"🔴 سفارش فوری",IF(انبار!I233&lt;=تنظیمات_سیستم!$C$7,"🟠 سفارش مجدد","✅"))</f>
        <v>✅</v>
      </c>
      <c r="H234" s="9" t="str">
        <f>IF(انبار!I233&lt;=تنظیمات_سیستم!$C$7,"سفارش دهید","—")</f>
        <v>—</v>
      </c>
    </row>
    <row r="235" spans="1:8">
      <c r="A235" s="9" t="str">
        <f>انبار!A234</f>
        <v>SKU-0231</v>
      </c>
      <c r="B235" s="17" t="str">
        <f>انبار!B234</f>
        <v>ست دنیز سبز1</v>
      </c>
      <c r="C235" s="17" t="str">
        <f>انبار!C234</f>
        <v>ست</v>
      </c>
      <c r="D235" s="9">
        <f>انبار!I234</f>
        <v>9</v>
      </c>
      <c r="E235" s="9" t="str">
        <f>انبار!J234</f>
        <v>🟢 OK</v>
      </c>
      <c r="F235" s="18">
        <f>انبار!F234</f>
        <v>2980000</v>
      </c>
      <c r="G235" s="9" t="str">
        <f>IF(انبار!I234&lt;=0,"🔴 سفارش فوری",IF(انبار!I234&lt;=تنظیمات_سیستم!$C$7,"🟠 سفارش مجدد","✅"))</f>
        <v>✅</v>
      </c>
      <c r="H235" s="9" t="str">
        <f>IF(انبار!I234&lt;=تنظیمات_سیستم!$C$7,"سفارش دهید","—")</f>
        <v>—</v>
      </c>
    </row>
    <row r="236" spans="1:8">
      <c r="A236" s="9" t="str">
        <f>انبار!A235</f>
        <v>SKU-0232</v>
      </c>
      <c r="B236" s="17" t="str">
        <f>انبار!B235</f>
        <v>ست دنیز سبز2</v>
      </c>
      <c r="C236" s="17" t="str">
        <f>انبار!C235</f>
        <v>ست</v>
      </c>
      <c r="D236" s="9">
        <f>انبار!I235</f>
        <v>9</v>
      </c>
      <c r="E236" s="9" t="str">
        <f>انبار!J235</f>
        <v>🟢 OK</v>
      </c>
      <c r="F236" s="18">
        <f>انبار!F235</f>
        <v>2980000</v>
      </c>
      <c r="G236" s="9" t="str">
        <f>IF(انبار!I235&lt;=0,"🔴 سفارش فوری",IF(انبار!I235&lt;=تنظیمات_سیستم!$C$7,"🟠 سفارش مجدد","✅"))</f>
        <v>✅</v>
      </c>
      <c r="H236" s="9" t="str">
        <f>IF(انبار!I235&lt;=تنظیمات_سیستم!$C$7,"سفارش دهید","—")</f>
        <v>—</v>
      </c>
    </row>
    <row r="237" spans="1:8">
      <c r="A237" s="9" t="str">
        <f>انبار!A236</f>
        <v>SKU-0233</v>
      </c>
      <c r="B237" s="17" t="str">
        <f>انبار!B236</f>
        <v>دامن بانو کرم فری</v>
      </c>
      <c r="C237" s="17" t="str">
        <f>انبار!C236</f>
        <v>دامن</v>
      </c>
      <c r="D237" s="9">
        <f>انبار!I236</f>
        <v>9</v>
      </c>
      <c r="E237" s="9" t="str">
        <f>انبار!J236</f>
        <v>🟢 OK</v>
      </c>
      <c r="F237" s="18">
        <f>انبار!F236</f>
        <v>720000</v>
      </c>
      <c r="G237" s="9" t="str">
        <f>IF(انبار!I236&lt;=0,"🔴 سفارش فوری",IF(انبار!I236&lt;=تنظیمات_سیستم!$C$7,"🟠 سفارش مجدد","✅"))</f>
        <v>✅</v>
      </c>
      <c r="H237" s="9" t="str">
        <f>IF(انبار!I236&lt;=تنظیمات_سیستم!$C$7,"سفارش دهید","—")</f>
        <v>—</v>
      </c>
    </row>
    <row r="238" spans="1:8">
      <c r="A238" s="9" t="str">
        <f>انبار!A237</f>
        <v>SKU-0234</v>
      </c>
      <c r="B238" s="17" t="str">
        <f>انبار!B237</f>
        <v>دامن بانو سفید فری</v>
      </c>
      <c r="C238" s="17" t="str">
        <f>انبار!C237</f>
        <v>دامن</v>
      </c>
      <c r="D238" s="9">
        <f>انبار!I237</f>
        <v>9</v>
      </c>
      <c r="E238" s="9" t="str">
        <f>انبار!J237</f>
        <v>🟢 OK</v>
      </c>
      <c r="F238" s="18">
        <f>انبار!F237</f>
        <v>720000</v>
      </c>
      <c r="G238" s="9" t="str">
        <f>IF(انبار!I237&lt;=0,"🔴 سفارش فوری",IF(انبار!I237&lt;=تنظیمات_سیستم!$C$7,"🟠 سفارش مجدد","✅"))</f>
        <v>✅</v>
      </c>
      <c r="H238" s="9" t="str">
        <f>IF(انبار!I237&lt;=تنظیمات_سیستم!$C$7,"سفارش دهید","—")</f>
        <v>—</v>
      </c>
    </row>
    <row r="239" spans="1:8">
      <c r="A239" s="9" t="str">
        <f>انبار!A238</f>
        <v>SKU-0235</v>
      </c>
      <c r="B239" s="17" t="str">
        <f>انبار!B238</f>
        <v>دامن بانو مشکی فری</v>
      </c>
      <c r="C239" s="17" t="str">
        <f>انبار!C238</f>
        <v>دامن</v>
      </c>
      <c r="D239" s="9">
        <f>انبار!I238</f>
        <v>9</v>
      </c>
      <c r="E239" s="9" t="str">
        <f>انبار!J238</f>
        <v>🟢 OK</v>
      </c>
      <c r="F239" s="18">
        <f>انبار!F238</f>
        <v>720000</v>
      </c>
      <c r="G239" s="9" t="str">
        <f>IF(انبار!I238&lt;=0,"🔴 سفارش فوری",IF(انبار!I238&lt;=تنظیمات_سیستم!$C$7,"🟠 سفارش مجدد","✅"))</f>
        <v>✅</v>
      </c>
      <c r="H239" s="9" t="str">
        <f>IF(انبار!I238&lt;=تنظیمات_سیستم!$C$7,"سفارش دهید","—")</f>
        <v>—</v>
      </c>
    </row>
    <row r="240" spans="1:8">
      <c r="A240" s="9" t="str">
        <f>انبار!A239</f>
        <v>SKU-0236</v>
      </c>
      <c r="B240" s="17" t="str">
        <f>انبار!B239</f>
        <v>شومیز بانو کرم فری</v>
      </c>
      <c r="C240" s="17" t="str">
        <f>انبار!C239</f>
        <v>شومیز</v>
      </c>
      <c r="D240" s="9">
        <f>انبار!I239</f>
        <v>9</v>
      </c>
      <c r="E240" s="9" t="str">
        <f>انبار!J239</f>
        <v>🟢 OK</v>
      </c>
      <c r="F240" s="18">
        <f>انبار!F239</f>
        <v>720000</v>
      </c>
      <c r="G240" s="9" t="str">
        <f>IF(انبار!I239&lt;=0,"🔴 سفارش فوری",IF(انبار!I239&lt;=تنظیمات_سیستم!$C$7,"🟠 سفارش مجدد","✅"))</f>
        <v>✅</v>
      </c>
      <c r="H240" s="9" t="str">
        <f>IF(انبار!I239&lt;=تنظیمات_سیستم!$C$7,"سفارش دهید","—")</f>
        <v>—</v>
      </c>
    </row>
    <row r="241" spans="1:8">
      <c r="A241" s="9" t="str">
        <f>انبار!A240</f>
        <v>SKU-0237</v>
      </c>
      <c r="B241" s="17" t="str">
        <f>انبار!B240</f>
        <v>شومیز بانو سفید فری</v>
      </c>
      <c r="C241" s="17" t="str">
        <f>انبار!C240</f>
        <v>شومیز</v>
      </c>
      <c r="D241" s="9">
        <f>انبار!I240</f>
        <v>9</v>
      </c>
      <c r="E241" s="9" t="str">
        <f>انبار!J240</f>
        <v>🟢 OK</v>
      </c>
      <c r="F241" s="18">
        <f>انبار!F240</f>
        <v>720000</v>
      </c>
      <c r="G241" s="9" t="str">
        <f>IF(انبار!I240&lt;=0,"🔴 سفارش فوری",IF(انبار!I240&lt;=تنظیمات_سیستم!$C$7,"🟠 سفارش مجدد","✅"))</f>
        <v>✅</v>
      </c>
      <c r="H241" s="9" t="str">
        <f>IF(انبار!I240&lt;=تنظیمات_سیستم!$C$7,"سفارش دهید","—")</f>
        <v>—</v>
      </c>
    </row>
    <row r="242" spans="1:8">
      <c r="A242" s="9" t="str">
        <f>انبار!A241</f>
        <v>SKU-0238</v>
      </c>
      <c r="B242" s="17" t="str">
        <f>انبار!B241</f>
        <v>شوومیز حراجی  780</v>
      </c>
      <c r="C242" s="17" t="str">
        <f>انبار!C241</f>
        <v>شومیز</v>
      </c>
      <c r="D242" s="9">
        <f>انبار!I241</f>
        <v>9</v>
      </c>
      <c r="E242" s="9" t="str">
        <f>انبار!J241</f>
        <v>🟢 OK</v>
      </c>
      <c r="F242" s="18">
        <f>انبار!F241</f>
        <v>780000</v>
      </c>
      <c r="G242" s="9" t="str">
        <f>IF(انبار!I241&lt;=0,"🔴 سفارش فوری",IF(انبار!I241&lt;=تنظیمات_سیستم!$C$7,"🟠 سفارش مجدد","✅"))</f>
        <v>✅</v>
      </c>
      <c r="H242" s="9" t="str">
        <f>IF(انبار!I241&lt;=تنظیمات_سیستم!$C$7,"سفارش دهید","—")</f>
        <v>—</v>
      </c>
    </row>
    <row r="243" spans="1:8">
      <c r="A243" s="9" t="str">
        <f>انبار!A242</f>
        <v>SKU-0239</v>
      </c>
      <c r="B243" s="17" t="str">
        <f>انبار!B242</f>
        <v>شومیز حراجی 980</v>
      </c>
      <c r="C243" s="17" t="str">
        <f>انبار!C242</f>
        <v>شومیز</v>
      </c>
      <c r="D243" s="9">
        <f>انبار!I242</f>
        <v>9</v>
      </c>
      <c r="E243" s="9" t="str">
        <f>انبار!J242</f>
        <v>🟢 OK</v>
      </c>
      <c r="F243" s="18">
        <f>انبار!F242</f>
        <v>980000</v>
      </c>
      <c r="G243" s="9" t="str">
        <f>IF(انبار!I242&lt;=0,"🔴 سفارش فوری",IF(انبار!I242&lt;=تنظیمات_سیستم!$C$7,"🟠 سفارش مجدد","✅"))</f>
        <v>✅</v>
      </c>
      <c r="H243" s="9" t="str">
        <f>IF(انبار!I242&lt;=تنظیمات_سیستم!$C$7,"سفارش دهید","—")</f>
        <v>—</v>
      </c>
    </row>
    <row r="244" spans="1:8">
      <c r="A244" s="9" t="str">
        <f>انبار!A243</f>
        <v>SKU-0240</v>
      </c>
      <c r="B244" s="17" t="str">
        <f>انبار!B243</f>
        <v>شلوار پولکی دورا مشکی 1</v>
      </c>
      <c r="C244" s="17" t="str">
        <f>انبار!C243</f>
        <v>شلوار</v>
      </c>
      <c r="D244" s="9">
        <f>انبار!I243</f>
        <v>9</v>
      </c>
      <c r="E244" s="9" t="str">
        <f>انبار!J243</f>
        <v>🟢 OK</v>
      </c>
      <c r="F244" s="18">
        <f>انبار!F243</f>
        <v>1240000</v>
      </c>
      <c r="G244" s="9" t="str">
        <f>IF(انبار!I243&lt;=0,"🔴 سفارش فوری",IF(انبار!I243&lt;=تنظیمات_سیستم!$C$7,"🟠 سفارش مجدد","✅"))</f>
        <v>✅</v>
      </c>
      <c r="H244" s="9" t="str">
        <f>IF(انبار!I243&lt;=تنظیمات_سیستم!$C$7,"سفارش دهید","—")</f>
        <v>—</v>
      </c>
    </row>
    <row r="245" spans="1:8">
      <c r="A245" s="9" t="str">
        <f>انبار!A244</f>
        <v>SKU-0241</v>
      </c>
      <c r="B245" s="17" t="str">
        <f>انبار!B244</f>
        <v>پیراهن گیپور مشکی</v>
      </c>
      <c r="C245" s="17" t="str">
        <f>انبار!C244</f>
        <v>پیراهن</v>
      </c>
      <c r="D245" s="9">
        <f>انبار!I244</f>
        <v>9</v>
      </c>
      <c r="E245" s="9" t="str">
        <f>انبار!J244</f>
        <v>🟢 OK</v>
      </c>
      <c r="F245" s="18">
        <f>انبار!F244</f>
        <v>1320000</v>
      </c>
      <c r="G245" s="9" t="str">
        <f>IF(انبار!I244&lt;=0,"🔴 سفارش فوری",IF(انبار!I244&lt;=تنظیمات_سیستم!$C$7,"🟠 سفارش مجدد","✅"))</f>
        <v>✅</v>
      </c>
      <c r="H245" s="9" t="str">
        <f>IF(انبار!I244&lt;=تنظیمات_سیستم!$C$7,"سفارش دهید","—")</f>
        <v>—</v>
      </c>
    </row>
    <row r="246" spans="1:8">
      <c r="A246" s="9" t="str">
        <f>انبار!A245</f>
        <v>SKU-0242</v>
      </c>
      <c r="B246" s="17" t="str">
        <f>انبار!B245</f>
        <v>شلوار کاپری سرمه ای1</v>
      </c>
      <c r="C246" s="17" t="str">
        <f>انبار!C245</f>
        <v>شلوار</v>
      </c>
      <c r="D246" s="9">
        <f>انبار!I245</f>
        <v>9</v>
      </c>
      <c r="E246" s="9" t="str">
        <f>انبار!J245</f>
        <v>🟢 OK</v>
      </c>
      <c r="F246" s="18">
        <f>انبار!F245</f>
        <v>2880000</v>
      </c>
      <c r="G246" s="9" t="str">
        <f>IF(انبار!I245&lt;=0,"🔴 سفارش فوری",IF(انبار!I245&lt;=تنظیمات_سیستم!$C$7,"🟠 سفارش مجدد","✅"))</f>
        <v>✅</v>
      </c>
      <c r="H246" s="9" t="str">
        <f>IF(انبار!I245&lt;=تنظیمات_سیستم!$C$7,"سفارش دهید","—")</f>
        <v>—</v>
      </c>
    </row>
    <row r="247" spans="1:8">
      <c r="A247" s="9" t="str">
        <f>انبار!A246</f>
        <v>SKU-0243</v>
      </c>
      <c r="B247" s="17" t="str">
        <f>انبار!B246</f>
        <v>شلوار کاپری سرمه ای2</v>
      </c>
      <c r="C247" s="17" t="str">
        <f>انبار!C246</f>
        <v>شلوار</v>
      </c>
      <c r="D247" s="9">
        <f>انبار!I246</f>
        <v>9</v>
      </c>
      <c r="E247" s="9" t="str">
        <f>انبار!J246</f>
        <v>🟢 OK</v>
      </c>
      <c r="F247" s="18">
        <f>انبار!F246</f>
        <v>2880000</v>
      </c>
      <c r="G247" s="9" t="str">
        <f>IF(انبار!I246&lt;=0,"🔴 سفارش فوری",IF(انبار!I246&lt;=تنظیمات_سیستم!$C$7,"🟠 سفارش مجدد","✅"))</f>
        <v>✅</v>
      </c>
      <c r="H247" s="9" t="str">
        <f>IF(انبار!I246&lt;=تنظیمات_سیستم!$C$7,"سفارش دهید","—")</f>
        <v>—</v>
      </c>
    </row>
    <row r="248" spans="1:8">
      <c r="A248" s="9" t="str">
        <f>انبار!A247</f>
        <v>SKU-0244</v>
      </c>
      <c r="B248" s="17" t="str">
        <f>انبار!B247</f>
        <v>شلوار کاپری سرمه ای3</v>
      </c>
      <c r="C248" s="17" t="str">
        <f>انبار!C247</f>
        <v>شلوار</v>
      </c>
      <c r="D248" s="9">
        <f>انبار!I247</f>
        <v>9</v>
      </c>
      <c r="E248" s="9" t="str">
        <f>انبار!J247</f>
        <v>🟢 OK</v>
      </c>
      <c r="F248" s="18">
        <f>انبار!F247</f>
        <v>2880000</v>
      </c>
      <c r="G248" s="9" t="str">
        <f>IF(انبار!I247&lt;=0,"🔴 سفارش فوری",IF(انبار!I247&lt;=تنظیمات_سیستم!$C$7,"🟠 سفارش مجدد","✅"))</f>
        <v>✅</v>
      </c>
      <c r="H248" s="9" t="str">
        <f>IF(انبار!I247&lt;=تنظیمات_سیستم!$C$7,"سفارش دهید","—")</f>
        <v>—</v>
      </c>
    </row>
    <row r="249" spans="1:8">
      <c r="A249" s="9" t="str">
        <f>انبار!A248</f>
        <v>SKU-0245</v>
      </c>
      <c r="B249" s="17" t="str">
        <f>انبار!B248</f>
        <v>شلوار کاپری سفید1</v>
      </c>
      <c r="C249" s="17" t="str">
        <f>انبار!C248</f>
        <v>شلوار</v>
      </c>
      <c r="D249" s="9">
        <f>انبار!I248</f>
        <v>9</v>
      </c>
      <c r="E249" s="9" t="str">
        <f>انبار!J248</f>
        <v>🟢 OK</v>
      </c>
      <c r="F249" s="18">
        <f>انبار!F248</f>
        <v>2880000</v>
      </c>
      <c r="G249" s="9" t="str">
        <f>IF(انبار!I248&lt;=0,"🔴 سفارش فوری",IF(انبار!I248&lt;=تنظیمات_سیستم!$C$7,"🟠 سفارش مجدد","✅"))</f>
        <v>✅</v>
      </c>
      <c r="H249" s="9" t="str">
        <f>IF(انبار!I248&lt;=تنظیمات_سیستم!$C$7,"سفارش دهید","—")</f>
        <v>—</v>
      </c>
    </row>
    <row r="250" spans="1:8">
      <c r="A250" s="9" t="str">
        <f>انبار!A249</f>
        <v>SKU-0246</v>
      </c>
      <c r="B250" s="17" t="str">
        <f>انبار!B249</f>
        <v>شلوار کاپری سفید2</v>
      </c>
      <c r="C250" s="17" t="str">
        <f>انبار!C249</f>
        <v>شلوار</v>
      </c>
      <c r="D250" s="9">
        <f>انبار!I249</f>
        <v>9</v>
      </c>
      <c r="E250" s="9" t="str">
        <f>انبار!J249</f>
        <v>🟢 OK</v>
      </c>
      <c r="F250" s="18">
        <f>انبار!F249</f>
        <v>2880000</v>
      </c>
      <c r="G250" s="9" t="str">
        <f>IF(انبار!I249&lt;=0,"🔴 سفارش فوری",IF(انبار!I249&lt;=تنظیمات_سیستم!$C$7,"🟠 سفارش مجدد","✅"))</f>
        <v>✅</v>
      </c>
      <c r="H250" s="9" t="str">
        <f>IF(انبار!I249&lt;=تنظیمات_سیستم!$C$7,"سفارش دهید","—")</f>
        <v>—</v>
      </c>
    </row>
    <row r="251" spans="1:8">
      <c r="A251" s="9" t="str">
        <f>انبار!A250</f>
        <v>SKU-0247</v>
      </c>
      <c r="B251" s="17" t="str">
        <f>انبار!B250</f>
        <v>شلوار کاپری سفید3</v>
      </c>
      <c r="C251" s="17" t="str">
        <f>انبار!C250</f>
        <v>شلوار</v>
      </c>
      <c r="D251" s="9">
        <f>انبار!I250</f>
        <v>9</v>
      </c>
      <c r="E251" s="9" t="str">
        <f>انبار!J250</f>
        <v>🟢 OK</v>
      </c>
      <c r="F251" s="18">
        <f>انبار!F250</f>
        <v>2880000</v>
      </c>
      <c r="G251" s="9" t="str">
        <f>IF(انبار!I250&lt;=0,"🔴 سفارش فوری",IF(انبار!I250&lt;=تنظیمات_سیستم!$C$7,"🟠 سفارش مجدد","✅"))</f>
        <v>✅</v>
      </c>
      <c r="H251" s="9" t="str">
        <f>IF(انبار!I250&lt;=تنظیمات_سیستم!$C$7,"سفارش دهید","—")</f>
        <v>—</v>
      </c>
    </row>
    <row r="252" spans="1:8">
      <c r="A252" s="9" t="str">
        <f>انبار!A251</f>
        <v>SKU-0248</v>
      </c>
      <c r="B252" s="17" t="str">
        <f>انبار!B251</f>
        <v>شلوار کاپری مشکیM</v>
      </c>
      <c r="C252" s="17" t="str">
        <f>انبار!C251</f>
        <v>شلوار</v>
      </c>
      <c r="D252" s="9">
        <f>انبار!I251</f>
        <v>9</v>
      </c>
      <c r="E252" s="9" t="str">
        <f>انبار!J251</f>
        <v>🟢 OK</v>
      </c>
      <c r="F252" s="18">
        <f>انبار!F251</f>
        <v>2580000</v>
      </c>
      <c r="G252" s="9" t="str">
        <f>IF(انبار!I251&lt;=0,"🔴 سفارش فوری",IF(انبار!I251&lt;=تنظیمات_سیستم!$C$7,"🟠 سفارش مجدد","✅"))</f>
        <v>✅</v>
      </c>
      <c r="H252" s="9" t="str">
        <f>IF(انبار!I251&lt;=تنظیمات_سیستم!$C$7,"سفارش دهید","—")</f>
        <v>—</v>
      </c>
    </row>
    <row r="253" spans="1:8">
      <c r="A253" s="9" t="str">
        <f>انبار!A252</f>
        <v>SKU-0249</v>
      </c>
      <c r="B253" s="17" t="str">
        <f>انبار!B252</f>
        <v>شلوار کاپری مشکی2</v>
      </c>
      <c r="C253" s="17" t="str">
        <f>انبار!C252</f>
        <v>شلوار</v>
      </c>
      <c r="D253" s="9">
        <f>انبار!I252</f>
        <v>9</v>
      </c>
      <c r="E253" s="9" t="str">
        <f>انبار!J252</f>
        <v>🟢 OK</v>
      </c>
      <c r="F253" s="18">
        <f>انبار!F252</f>
        <v>2880000</v>
      </c>
      <c r="G253" s="9" t="str">
        <f>IF(انبار!I252&lt;=0,"🔴 سفارش فوری",IF(انبار!I252&lt;=تنظیمات_سیستم!$C$7,"🟠 سفارش مجدد","✅"))</f>
        <v>✅</v>
      </c>
      <c r="H253" s="9" t="str">
        <f>IF(انبار!I252&lt;=تنظیمات_سیستم!$C$7,"سفارش دهید","—")</f>
        <v>—</v>
      </c>
    </row>
    <row r="254" spans="1:8">
      <c r="A254" s="9" t="str">
        <f>انبار!A253</f>
        <v>SKU-0250</v>
      </c>
      <c r="B254" s="17" t="str">
        <f>انبار!B253</f>
        <v>شلوار کاپری مشکی3</v>
      </c>
      <c r="C254" s="17" t="str">
        <f>انبار!C253</f>
        <v>شلوار</v>
      </c>
      <c r="D254" s="9">
        <f>انبار!I253</f>
        <v>9</v>
      </c>
      <c r="E254" s="9" t="str">
        <f>انبار!J253</f>
        <v>🟢 OK</v>
      </c>
      <c r="F254" s="18">
        <f>انبار!F253</f>
        <v>2880000</v>
      </c>
      <c r="G254" s="9" t="str">
        <f>IF(انبار!I253&lt;=0,"🔴 سفارش فوری",IF(انبار!I253&lt;=تنظیمات_سیستم!$C$7,"🟠 سفارش مجدد","✅"))</f>
        <v>✅</v>
      </c>
      <c r="H254" s="9" t="str">
        <f>IF(انبار!I253&lt;=تنظیمات_سیستم!$C$7,"سفارش دهید","—")</f>
        <v>—</v>
      </c>
    </row>
    <row r="255" spans="1:8">
      <c r="A255" s="9" t="str">
        <f>انبار!A254</f>
        <v>SKU-0251</v>
      </c>
      <c r="B255" s="17" t="str">
        <f>انبار!B254</f>
        <v>شلوار مازراتی دمپا مشکی</v>
      </c>
      <c r="C255" s="17" t="str">
        <f>انبار!C254</f>
        <v>شلوار</v>
      </c>
      <c r="D255" s="9">
        <f>انبار!I254</f>
        <v>9</v>
      </c>
      <c r="E255" s="9" t="str">
        <f>انبار!J254</f>
        <v>🟢 OK</v>
      </c>
      <c r="F255" s="18">
        <f>انبار!F254</f>
        <v>0</v>
      </c>
      <c r="G255" s="9" t="str">
        <f>IF(انبار!I254&lt;=0,"🔴 سفارش فوری",IF(انبار!I254&lt;=تنظیمات_سیستم!$C$7,"🟠 سفارش مجدد","✅"))</f>
        <v>✅</v>
      </c>
      <c r="H255" s="9" t="str">
        <f>IF(انبار!I254&lt;=تنظیمات_سیستم!$C$7,"سفارش دهید","—")</f>
        <v>—</v>
      </c>
    </row>
    <row r="256" spans="1:8">
      <c r="A256" s="9" t="str">
        <f>انبار!A255</f>
        <v>SKU-0252</v>
      </c>
      <c r="B256" s="17" t="str">
        <f>انبار!B255</f>
        <v>شلوار مازراتی دمپا سرمه ای</v>
      </c>
      <c r="C256" s="17" t="str">
        <f>انبار!C255</f>
        <v>شلوار</v>
      </c>
      <c r="D256" s="9">
        <f>انبار!I255</f>
        <v>9</v>
      </c>
      <c r="E256" s="9" t="str">
        <f>انبار!J255</f>
        <v>🟢 OK</v>
      </c>
      <c r="F256" s="18">
        <f>انبار!F255</f>
        <v>0</v>
      </c>
      <c r="G256" s="9" t="str">
        <f>IF(انبار!I255&lt;=0,"🔴 سفارش فوری",IF(انبار!I255&lt;=تنظیمات_سیستم!$C$7,"🟠 سفارش مجدد","✅"))</f>
        <v>✅</v>
      </c>
      <c r="H256" s="9" t="str">
        <f>IF(انبار!I255&lt;=تنظیمات_سیستم!$C$7,"سفارش دهید","—")</f>
        <v>—</v>
      </c>
    </row>
    <row r="257" spans="1:8">
      <c r="A257" s="9" t="str">
        <f>انبار!A256</f>
        <v>SKU-0253</v>
      </c>
      <c r="B257" s="17" t="str">
        <f>انبار!B256</f>
        <v>شلوار مازراتی دمپا کرم</v>
      </c>
      <c r="C257" s="17" t="str">
        <f>انبار!C256</f>
        <v>شلوار</v>
      </c>
      <c r="D257" s="9">
        <f>انبار!I256</f>
        <v>9</v>
      </c>
      <c r="E257" s="9" t="str">
        <f>انبار!J256</f>
        <v>🟢 OK</v>
      </c>
      <c r="F257" s="18">
        <f>انبار!F256</f>
        <v>0</v>
      </c>
      <c r="G257" s="9" t="str">
        <f>IF(انبار!I256&lt;=0,"🔴 سفارش فوری",IF(انبار!I256&lt;=تنظیمات_سیستم!$C$7,"🟠 سفارش مجدد","✅"))</f>
        <v>✅</v>
      </c>
      <c r="H257" s="9" t="str">
        <f>IF(انبار!I256&lt;=تنظیمات_سیستم!$C$7,"سفارش دهید","—")</f>
        <v>—</v>
      </c>
    </row>
    <row r="258" spans="1:8">
      <c r="A258" s="9" t="str">
        <f>انبار!A257</f>
        <v>SKU-0254</v>
      </c>
      <c r="B258" s="17" t="str">
        <f>انبار!B257</f>
        <v>شلوار مازراتی راسته سرمه ای</v>
      </c>
      <c r="C258" s="17" t="str">
        <f>انبار!C257</f>
        <v>شلوار</v>
      </c>
      <c r="D258" s="9">
        <f>انبار!I257</f>
        <v>9</v>
      </c>
      <c r="E258" s="9" t="str">
        <f>انبار!J257</f>
        <v>🟢 OK</v>
      </c>
      <c r="F258" s="18">
        <f>انبار!F257</f>
        <v>2380000</v>
      </c>
      <c r="G258" s="9" t="str">
        <f>IF(انبار!I257&lt;=0,"🔴 سفارش فوری",IF(انبار!I257&lt;=تنظیمات_سیستم!$C$7,"🟠 سفارش مجدد","✅"))</f>
        <v>✅</v>
      </c>
      <c r="H258" s="9" t="str">
        <f>IF(انبار!I257&lt;=تنظیمات_سیستم!$C$7,"سفارش دهید","—")</f>
        <v>—</v>
      </c>
    </row>
    <row r="259" spans="1:8">
      <c r="A259" s="9" t="str">
        <f>انبار!A258</f>
        <v>SKU-0255</v>
      </c>
      <c r="B259" s="17" t="str">
        <f>انبار!B258</f>
        <v>شلوار ساتن سبز1</v>
      </c>
      <c r="C259" s="17" t="str">
        <f>انبار!C258</f>
        <v>شلوار</v>
      </c>
      <c r="D259" s="9">
        <f>انبار!I258</f>
        <v>9</v>
      </c>
      <c r="E259" s="9" t="str">
        <f>انبار!J258</f>
        <v>🟢 OK</v>
      </c>
      <c r="F259" s="18">
        <f>انبار!F258</f>
        <v>1540000</v>
      </c>
      <c r="G259" s="9" t="str">
        <f>IF(انبار!I258&lt;=0,"🔴 سفارش فوری",IF(انبار!I258&lt;=تنظیمات_سیستم!$C$7,"🟠 سفارش مجدد","✅"))</f>
        <v>✅</v>
      </c>
      <c r="H259" s="9" t="str">
        <f>IF(انبار!I258&lt;=تنظیمات_سیستم!$C$7,"سفارش دهید","—")</f>
        <v>—</v>
      </c>
    </row>
    <row r="260" spans="1:8">
      <c r="A260" s="9" t="str">
        <f>انبار!A259</f>
        <v>SKU-0256</v>
      </c>
      <c r="B260" s="17" t="str">
        <f>انبار!B259</f>
        <v>شلوار ساتن سبز2</v>
      </c>
      <c r="C260" s="17" t="str">
        <f>انبار!C259</f>
        <v>شلوار</v>
      </c>
      <c r="D260" s="9">
        <f>انبار!I259</f>
        <v>9</v>
      </c>
      <c r="E260" s="9" t="str">
        <f>انبار!J259</f>
        <v>🟢 OK</v>
      </c>
      <c r="F260" s="18">
        <f>انبار!F259</f>
        <v>1540000</v>
      </c>
      <c r="G260" s="9" t="str">
        <f>IF(انبار!I259&lt;=0,"🔴 سفارش فوری",IF(انبار!I259&lt;=تنظیمات_سیستم!$C$7,"🟠 سفارش مجدد","✅"))</f>
        <v>✅</v>
      </c>
      <c r="H260" s="9" t="str">
        <f>IF(انبار!I259&lt;=تنظیمات_سیستم!$C$7,"سفارش دهید","—")</f>
        <v>—</v>
      </c>
    </row>
    <row r="261" spans="1:8">
      <c r="A261" s="9" t="str">
        <f>انبار!A260</f>
        <v>SKU-0257</v>
      </c>
      <c r="B261" s="17" t="str">
        <f>انبار!B260</f>
        <v>شلوار ساتن سفید1</v>
      </c>
      <c r="C261" s="17" t="str">
        <f>انبار!C260</f>
        <v>شلوار</v>
      </c>
      <c r="D261" s="9">
        <f>انبار!I260</f>
        <v>9</v>
      </c>
      <c r="E261" s="9" t="str">
        <f>انبار!J260</f>
        <v>🟢 OK</v>
      </c>
      <c r="F261" s="18">
        <f>انبار!F260</f>
        <v>1540000</v>
      </c>
      <c r="G261" s="9" t="str">
        <f>IF(انبار!I260&lt;=0,"🔴 سفارش فوری",IF(انبار!I260&lt;=تنظیمات_سیستم!$C$7,"🟠 سفارش مجدد","✅"))</f>
        <v>✅</v>
      </c>
      <c r="H261" s="9" t="str">
        <f>IF(انبار!I260&lt;=تنظیمات_سیستم!$C$7,"سفارش دهید","—")</f>
        <v>—</v>
      </c>
    </row>
    <row r="262" spans="1:8">
      <c r="A262" s="9" t="str">
        <f>انبار!A261</f>
        <v>SKU-0258</v>
      </c>
      <c r="B262" s="17" t="str">
        <f>انبار!B261</f>
        <v>شلوار ساتن سفید2</v>
      </c>
      <c r="C262" s="17" t="str">
        <f>انبار!C261</f>
        <v>شلوار</v>
      </c>
      <c r="D262" s="9">
        <f>انبار!I261</f>
        <v>9</v>
      </c>
      <c r="E262" s="9" t="str">
        <f>انبار!J261</f>
        <v>🟢 OK</v>
      </c>
      <c r="F262" s="18">
        <f>انبار!F261</f>
        <v>1540000</v>
      </c>
      <c r="G262" s="9" t="str">
        <f>IF(انبار!I261&lt;=0,"🔴 سفارش فوری",IF(انبار!I261&lt;=تنظیمات_سیستم!$C$7,"🟠 سفارش مجدد","✅"))</f>
        <v>✅</v>
      </c>
      <c r="H262" s="9" t="str">
        <f>IF(انبار!I261&lt;=تنظیمات_سیستم!$C$7,"سفارش دهید","—")</f>
        <v>—</v>
      </c>
    </row>
    <row r="263" spans="1:8">
      <c r="A263" s="9" t="str">
        <f>انبار!A262</f>
        <v>SKU-0259</v>
      </c>
      <c r="B263" s="17" t="str">
        <f>انبار!B262</f>
        <v>شلوار ساتن ابی 1</v>
      </c>
      <c r="C263" s="17" t="str">
        <f>انبار!C262</f>
        <v>شلوار</v>
      </c>
      <c r="D263" s="9">
        <f>انبار!I262</f>
        <v>9</v>
      </c>
      <c r="E263" s="9" t="str">
        <f>انبار!J262</f>
        <v>🟢 OK</v>
      </c>
      <c r="F263" s="18">
        <f>انبار!F262</f>
        <v>1540000</v>
      </c>
      <c r="G263" s="9" t="str">
        <f>IF(انبار!I262&lt;=0,"🔴 سفارش فوری",IF(انبار!I262&lt;=تنظیمات_سیستم!$C$7,"🟠 سفارش مجدد","✅"))</f>
        <v>✅</v>
      </c>
      <c r="H263" s="9" t="str">
        <f>IF(انبار!I262&lt;=تنظیمات_سیستم!$C$7,"سفارش دهید","—")</f>
        <v>—</v>
      </c>
    </row>
    <row r="264" spans="1:8">
      <c r="A264" s="9" t="str">
        <f>انبار!A263</f>
        <v>SKU-0260</v>
      </c>
      <c r="B264" s="17" t="str">
        <f>انبار!B263</f>
        <v>شلوار ساتن ابی2</v>
      </c>
      <c r="C264" s="17" t="str">
        <f>انبار!C263</f>
        <v>شلوار</v>
      </c>
      <c r="D264" s="9">
        <f>انبار!I263</f>
        <v>9</v>
      </c>
      <c r="E264" s="9" t="str">
        <f>انبار!J263</f>
        <v>🟢 OK</v>
      </c>
      <c r="F264" s="18">
        <f>انبار!F263</f>
        <v>1540000</v>
      </c>
      <c r="G264" s="9" t="str">
        <f>IF(انبار!I263&lt;=0,"🔴 سفارش فوری",IF(انبار!I263&lt;=تنظیمات_سیستم!$C$7,"🟠 سفارش مجدد","✅"))</f>
        <v>✅</v>
      </c>
      <c r="H264" s="9" t="str">
        <f>IF(انبار!I263&lt;=تنظیمات_سیستم!$C$7,"سفارش دهید","—")</f>
        <v>—</v>
      </c>
    </row>
    <row r="265" spans="1:8">
      <c r="A265" s="9" t="str">
        <f>انبار!A264</f>
        <v>SKU-0261</v>
      </c>
      <c r="B265" s="17" t="str">
        <f>انبار!B264</f>
        <v>دامن ساتن آبی2</v>
      </c>
      <c r="C265" s="17" t="str">
        <f>انبار!C264</f>
        <v>دامن</v>
      </c>
      <c r="D265" s="9">
        <f>انبار!I264</f>
        <v>9</v>
      </c>
      <c r="E265" s="9" t="str">
        <f>انبار!J264</f>
        <v>🟢 OK</v>
      </c>
      <c r="F265" s="18">
        <f>انبار!F264</f>
        <v>3180000</v>
      </c>
      <c r="G265" s="9" t="str">
        <f>IF(انبار!I264&lt;=0,"🔴 سفارش فوری",IF(انبار!I264&lt;=تنظیمات_سیستم!$C$7,"🟠 سفارش مجدد","✅"))</f>
        <v>✅</v>
      </c>
      <c r="H265" s="9" t="str">
        <f>IF(انبار!I264&lt;=تنظیمات_سیستم!$C$7,"سفارش دهید","—")</f>
        <v>—</v>
      </c>
    </row>
    <row r="266" spans="1:8">
      <c r="A266" s="9" t="str">
        <f>انبار!A265</f>
        <v>SKU-0262</v>
      </c>
      <c r="B266" s="17" t="str">
        <f>انبار!B265</f>
        <v>دامن ساتن سفید2</v>
      </c>
      <c r="C266" s="17" t="str">
        <f>انبار!C265</f>
        <v>دامن</v>
      </c>
      <c r="D266" s="9">
        <f>انبار!I265</f>
        <v>9</v>
      </c>
      <c r="E266" s="9" t="str">
        <f>انبار!J265</f>
        <v>🟢 OK</v>
      </c>
      <c r="F266" s="18">
        <f>انبار!F265</f>
        <v>3180000</v>
      </c>
      <c r="G266" s="9" t="str">
        <f>IF(انبار!I265&lt;=0,"🔴 سفارش فوری",IF(انبار!I265&lt;=تنظیمات_سیستم!$C$7,"🟠 سفارش مجدد","✅"))</f>
        <v>✅</v>
      </c>
      <c r="H266" s="9" t="str">
        <f>IF(انبار!I265&lt;=تنظیمات_سیستم!$C$7,"سفارش دهید","—")</f>
        <v>—</v>
      </c>
    </row>
    <row r="267" spans="1:8">
      <c r="A267" s="9" t="str">
        <f>انبار!A266</f>
        <v>SKU-0263</v>
      </c>
      <c r="B267" s="17" t="str">
        <f>انبار!B266</f>
        <v>شومیز ساتن پاریس سفید1</v>
      </c>
      <c r="C267" s="17" t="str">
        <f>انبار!C266</f>
        <v>شومیز</v>
      </c>
      <c r="D267" s="9">
        <f>انبار!I266</f>
        <v>9</v>
      </c>
      <c r="E267" s="9" t="str">
        <f>انبار!J266</f>
        <v>🟢 OK</v>
      </c>
      <c r="F267" s="18">
        <f>انبار!F266</f>
        <v>0</v>
      </c>
      <c r="G267" s="9" t="str">
        <f>IF(انبار!I266&lt;=0,"🔴 سفارش فوری",IF(انبار!I266&lt;=تنظیمات_سیستم!$C$7,"🟠 سفارش مجدد","✅"))</f>
        <v>✅</v>
      </c>
      <c r="H267" s="9" t="str">
        <f>IF(انبار!I266&lt;=تنظیمات_سیستم!$C$7,"سفارش دهید","—")</f>
        <v>—</v>
      </c>
    </row>
    <row r="268" spans="1:8">
      <c r="A268" s="9" t="str">
        <f>انبار!A267</f>
        <v>SKU-0264</v>
      </c>
      <c r="B268" s="17" t="str">
        <f>انبار!B267</f>
        <v>شومیز ساتن پاریس سفید2</v>
      </c>
      <c r="C268" s="17" t="str">
        <f>انبار!C267</f>
        <v>شومیز</v>
      </c>
      <c r="D268" s="9">
        <f>انبار!I267</f>
        <v>9</v>
      </c>
      <c r="E268" s="9" t="str">
        <f>انبار!J267</f>
        <v>🟢 OK</v>
      </c>
      <c r="F268" s="18">
        <f>انبار!F267</f>
        <v>0</v>
      </c>
      <c r="G268" s="9" t="str">
        <f>IF(انبار!I267&lt;=0,"🔴 سفارش فوری",IF(انبار!I267&lt;=تنظیمات_سیستم!$C$7,"🟠 سفارش مجدد","✅"))</f>
        <v>✅</v>
      </c>
      <c r="H268" s="9" t="str">
        <f>IF(انبار!I267&lt;=تنظیمات_سیستم!$C$7,"سفارش دهید","—")</f>
        <v>—</v>
      </c>
    </row>
    <row r="269" spans="1:8">
      <c r="A269" s="9" t="str">
        <f>انبار!A268</f>
        <v>SKU-0265</v>
      </c>
      <c r="B269" s="17" t="str">
        <f>انبار!B268</f>
        <v>شومیز ساتن پاریس آبی1</v>
      </c>
      <c r="C269" s="17" t="str">
        <f>انبار!C268</f>
        <v>شومیز</v>
      </c>
      <c r="D269" s="9">
        <f>انبار!I268</f>
        <v>9</v>
      </c>
      <c r="E269" s="9" t="str">
        <f>انبار!J268</f>
        <v>🟢 OK</v>
      </c>
      <c r="F269" s="18">
        <f>انبار!F268</f>
        <v>0</v>
      </c>
      <c r="G269" s="9" t="str">
        <f>IF(انبار!I268&lt;=0,"🔴 سفارش فوری",IF(انبار!I268&lt;=تنظیمات_سیستم!$C$7,"🟠 سفارش مجدد","✅"))</f>
        <v>✅</v>
      </c>
      <c r="H269" s="9" t="str">
        <f>IF(انبار!I268&lt;=تنظیمات_سیستم!$C$7,"سفارش دهید","—")</f>
        <v>—</v>
      </c>
    </row>
    <row r="270" spans="1:8">
      <c r="A270" s="9" t="str">
        <f>انبار!A269</f>
        <v>SKU-0266</v>
      </c>
      <c r="B270" s="17" t="str">
        <f>انبار!B269</f>
        <v>شومیز ساتن پاریس آبی2</v>
      </c>
      <c r="C270" s="17" t="str">
        <f>انبار!C269</f>
        <v>شومیز</v>
      </c>
      <c r="D270" s="9">
        <f>انبار!I269</f>
        <v>9</v>
      </c>
      <c r="E270" s="9" t="str">
        <f>انبار!J269</f>
        <v>🟢 OK</v>
      </c>
      <c r="F270" s="18">
        <f>انبار!F269</f>
        <v>0</v>
      </c>
      <c r="G270" s="9" t="str">
        <f>IF(انبار!I269&lt;=0,"🔴 سفارش فوری",IF(انبار!I269&lt;=تنظیمات_سیستم!$C$7,"🟠 سفارش مجدد","✅"))</f>
        <v>✅</v>
      </c>
      <c r="H270" s="9" t="str">
        <f>IF(انبار!I269&lt;=تنظیمات_سیستم!$C$7,"سفارش دهید","—")</f>
        <v>—</v>
      </c>
    </row>
    <row r="271" spans="1:8">
      <c r="A271" s="9" t="str">
        <f>انبار!A270</f>
        <v>SKU-0267</v>
      </c>
      <c r="B271" s="17" t="str">
        <f>انبار!B270</f>
        <v>شومیز ساتن پاریس سرمه ای1</v>
      </c>
      <c r="C271" s="17" t="str">
        <f>انبار!C270</f>
        <v>شومیز</v>
      </c>
      <c r="D271" s="9">
        <f>انبار!I270</f>
        <v>9</v>
      </c>
      <c r="E271" s="9" t="str">
        <f>انبار!J270</f>
        <v>🟢 OK</v>
      </c>
      <c r="F271" s="18">
        <f>انبار!F270</f>
        <v>0</v>
      </c>
      <c r="G271" s="9" t="str">
        <f>IF(انبار!I270&lt;=0,"🔴 سفارش فوری",IF(انبار!I270&lt;=تنظیمات_سیستم!$C$7,"🟠 سفارش مجدد","✅"))</f>
        <v>✅</v>
      </c>
      <c r="H271" s="9" t="str">
        <f>IF(انبار!I270&lt;=تنظیمات_سیستم!$C$7,"سفارش دهید","—")</f>
        <v>—</v>
      </c>
    </row>
    <row r="272" spans="1:8">
      <c r="A272" s="9" t="str">
        <f>انبار!A271</f>
        <v>SKU-0268</v>
      </c>
      <c r="B272" s="17" t="str">
        <f>انبار!B271</f>
        <v>شومیز ساتن پاریس سرمه ای2</v>
      </c>
      <c r="C272" s="17" t="str">
        <f>انبار!C271</f>
        <v>شومیز</v>
      </c>
      <c r="D272" s="9">
        <f>انبار!I271</f>
        <v>9</v>
      </c>
      <c r="E272" s="9" t="str">
        <f>انبار!J271</f>
        <v>🟢 OK</v>
      </c>
      <c r="F272" s="18">
        <f>انبار!F271</f>
        <v>0</v>
      </c>
      <c r="G272" s="9" t="str">
        <f>IF(انبار!I271&lt;=0,"🔴 سفارش فوری",IF(انبار!I271&lt;=تنظیمات_سیستم!$C$7,"🟠 سفارش مجدد","✅"))</f>
        <v>✅</v>
      </c>
      <c r="H272" s="9" t="str">
        <f>IF(انبار!I271&lt;=تنظیمات_سیستم!$C$7,"سفارش دهید","—")</f>
        <v>—</v>
      </c>
    </row>
    <row r="273" spans="1:8">
      <c r="A273" s="9" t="str">
        <f>انبار!A272</f>
        <v>SKU-0269</v>
      </c>
      <c r="B273" s="17" t="str">
        <f>انبار!B272</f>
        <v>شومیز آیلا صورتی فری</v>
      </c>
      <c r="C273" s="17" t="str">
        <f>انبار!C272</f>
        <v>شومیز</v>
      </c>
      <c r="D273" s="9">
        <f>انبار!I272</f>
        <v>9</v>
      </c>
      <c r="E273" s="9" t="str">
        <f>انبار!J272</f>
        <v>🟢 OK</v>
      </c>
      <c r="F273" s="18">
        <f>انبار!F272</f>
        <v>1080000</v>
      </c>
      <c r="G273" s="9" t="str">
        <f>IF(انبار!I272&lt;=0,"🔴 سفارش فوری",IF(انبار!I272&lt;=تنظیمات_سیستم!$C$7,"🟠 سفارش مجدد","✅"))</f>
        <v>✅</v>
      </c>
      <c r="H273" s="9" t="str">
        <f>IF(انبار!I272&lt;=تنظیمات_سیستم!$C$7,"سفارش دهید","—")</f>
        <v>—</v>
      </c>
    </row>
    <row r="274" spans="1:8">
      <c r="A274" s="9" t="str">
        <f>انبار!A273</f>
        <v>SKU-0270</v>
      </c>
      <c r="B274" s="17" t="str">
        <f>انبار!B273</f>
        <v>شومیز حریر سفید 1</v>
      </c>
      <c r="C274" s="17" t="str">
        <f>انبار!C273</f>
        <v>تاپ</v>
      </c>
      <c r="D274" s="9">
        <f>انبار!I273</f>
        <v>9</v>
      </c>
      <c r="E274" s="9" t="str">
        <f>انبار!J273</f>
        <v>🟢 OK</v>
      </c>
      <c r="F274" s="18">
        <f>انبار!F273</f>
        <v>2580000</v>
      </c>
      <c r="G274" s="9" t="str">
        <f>IF(انبار!I273&lt;=0,"🔴 سفارش فوری",IF(انبار!I273&lt;=تنظیمات_سیستم!$C$7,"🟠 سفارش مجدد","✅"))</f>
        <v>✅</v>
      </c>
      <c r="H274" s="9" t="str">
        <f>IF(انبار!I273&lt;=تنظیمات_سیستم!$C$7,"سفارش دهید","—")</f>
        <v>—</v>
      </c>
    </row>
    <row r="275" spans="1:8">
      <c r="A275" s="9" t="str">
        <f>انبار!A274</f>
        <v>SKU-0271</v>
      </c>
      <c r="B275" s="17" t="str">
        <f>انبار!B274</f>
        <v>شلوار پلیسه طرحدار</v>
      </c>
      <c r="C275" s="17" t="str">
        <f>انبار!C274</f>
        <v>شلوار</v>
      </c>
      <c r="D275" s="9">
        <f>انبار!I274</f>
        <v>9</v>
      </c>
      <c r="E275" s="9" t="str">
        <f>انبار!J274</f>
        <v>🟢 OK</v>
      </c>
      <c r="F275" s="18">
        <f>انبار!F274</f>
        <v>0</v>
      </c>
      <c r="G275" s="9" t="str">
        <f>IF(انبار!I274&lt;=0,"🔴 سفارش فوری",IF(انبار!I274&lt;=تنظیمات_سیستم!$C$7,"🟠 سفارش مجدد","✅"))</f>
        <v>✅</v>
      </c>
      <c r="H275" s="9" t="str">
        <f>IF(انبار!I274&lt;=تنظیمات_سیستم!$C$7,"سفارش دهید","—")</f>
        <v>—</v>
      </c>
    </row>
    <row r="276" spans="1:8">
      <c r="A276" s="9" t="str">
        <f>انبار!A275</f>
        <v>SKU-0272</v>
      </c>
      <c r="B276" s="17" t="str">
        <f>انبار!B275</f>
        <v>شومیز ساتن پاریس کرم1</v>
      </c>
      <c r="C276" s="17" t="str">
        <f>انبار!C275</f>
        <v>شومیز</v>
      </c>
      <c r="D276" s="9">
        <f>انبار!I275</f>
        <v>9</v>
      </c>
      <c r="E276" s="9" t="str">
        <f>انبار!J275</f>
        <v>🟢 OK</v>
      </c>
      <c r="F276" s="18">
        <f>انبار!F275</f>
        <v>0</v>
      </c>
      <c r="G276" s="9" t="str">
        <f>IF(انبار!I275&lt;=0,"🔴 سفارش فوری",IF(انبار!I275&lt;=تنظیمات_سیستم!$C$7,"🟠 سفارش مجدد","✅"))</f>
        <v>✅</v>
      </c>
      <c r="H276" s="9" t="str">
        <f>IF(انبار!I275&lt;=تنظیمات_سیستم!$C$7,"سفارش دهید","—")</f>
        <v>—</v>
      </c>
    </row>
    <row r="277" spans="1:8">
      <c r="A277" s="9" t="str">
        <f>انبار!A276</f>
        <v>SKU-0273</v>
      </c>
      <c r="B277" s="17" t="str">
        <f>انبار!B276</f>
        <v>شومیز ساتن پاریس کرم2</v>
      </c>
      <c r="C277" s="17" t="str">
        <f>انبار!C276</f>
        <v>شومیز</v>
      </c>
      <c r="D277" s="9">
        <f>انبار!I276</f>
        <v>9</v>
      </c>
      <c r="E277" s="9" t="str">
        <f>انبار!J276</f>
        <v>🟢 OK</v>
      </c>
      <c r="F277" s="18">
        <f>انبار!F276</f>
        <v>0</v>
      </c>
      <c r="G277" s="9" t="str">
        <f>IF(انبار!I276&lt;=0,"🔴 سفارش فوری",IF(انبار!I276&lt;=تنظیمات_سیستم!$C$7,"🟠 سفارش مجدد","✅"))</f>
        <v>✅</v>
      </c>
      <c r="H277" s="9" t="str">
        <f>IF(انبار!I276&lt;=تنظیمات_سیستم!$C$7,"سفارش دهید","—")</f>
        <v>—</v>
      </c>
    </row>
    <row r="278" spans="1:8">
      <c r="A278" s="9" t="str">
        <f>انبار!A277</f>
        <v>SKU-0274</v>
      </c>
      <c r="B278" s="17" t="str">
        <f>انبار!B277</f>
        <v>شلوار پولکی سفید فری</v>
      </c>
      <c r="C278" s="17" t="str">
        <f>انبار!C277</f>
        <v>شومیز</v>
      </c>
      <c r="D278" s="9">
        <f>انبار!I277</f>
        <v>9</v>
      </c>
      <c r="E278" s="9" t="str">
        <f>انبار!J277</f>
        <v>🟢 OK</v>
      </c>
      <c r="F278" s="18">
        <f>انبار!F277</f>
        <v>1320000</v>
      </c>
      <c r="G278" s="9" t="str">
        <f>IF(انبار!I277&lt;=0,"🔴 سفارش فوری",IF(انبار!I277&lt;=تنظیمات_سیستم!$C$7,"🟠 سفارش مجدد","✅"))</f>
        <v>✅</v>
      </c>
      <c r="H278" s="9" t="str">
        <f>IF(انبار!I277&lt;=تنظیمات_سیستم!$C$7,"سفارش دهید","—")</f>
        <v>—</v>
      </c>
    </row>
    <row r="279" spans="1:8">
      <c r="A279" s="9" t="str">
        <f>انبار!A278</f>
        <v>SKU-0275</v>
      </c>
      <c r="B279" s="17" t="str">
        <f>انبار!B278</f>
        <v>شلوار پولکی کرم فری</v>
      </c>
      <c r="C279" s="17" t="str">
        <f>انبار!C278</f>
        <v>شومیز</v>
      </c>
      <c r="D279" s="9">
        <f>انبار!I278</f>
        <v>9</v>
      </c>
      <c r="E279" s="9" t="str">
        <f>انبار!J278</f>
        <v>🟢 OK</v>
      </c>
      <c r="F279" s="18">
        <f>انبار!F278</f>
        <v>1320000</v>
      </c>
      <c r="G279" s="9" t="str">
        <f>IF(انبار!I278&lt;=0,"🔴 سفارش فوری",IF(انبار!I278&lt;=تنظیمات_سیستم!$C$7,"🟠 سفارش مجدد","✅"))</f>
        <v>✅</v>
      </c>
      <c r="H279" s="9" t="str">
        <f>IF(انبار!I278&lt;=تنظیمات_سیستم!$C$7,"سفارش دهید","—")</f>
        <v>—</v>
      </c>
    </row>
    <row r="280" spans="1:8">
      <c r="A280" s="9" t="str">
        <f>انبار!A279</f>
        <v>SKU-0276</v>
      </c>
      <c r="B280" s="17" t="str">
        <f>انبار!B279</f>
        <v>شلوار پولکی مشکی فری</v>
      </c>
      <c r="C280" s="17" t="str">
        <f>انبار!C279</f>
        <v>شلوار</v>
      </c>
      <c r="D280" s="9">
        <f>انبار!I279</f>
        <v>9</v>
      </c>
      <c r="E280" s="9" t="str">
        <f>انبار!J279</f>
        <v>🟢 OK</v>
      </c>
      <c r="F280" s="18">
        <f>انبار!F279</f>
        <v>1320000</v>
      </c>
      <c r="G280" s="9" t="str">
        <f>IF(انبار!I279&lt;=0,"🔴 سفارش فوری",IF(انبار!I279&lt;=تنظیمات_سیستم!$C$7,"🟠 سفارش مجدد","✅"))</f>
        <v>✅</v>
      </c>
      <c r="H280" s="9" t="str">
        <f>IF(انبار!I279&lt;=تنظیمات_سیستم!$C$7,"سفارش دهید","—")</f>
        <v>—</v>
      </c>
    </row>
    <row r="281" spans="1:8">
      <c r="A281" s="9" t="str">
        <f>انبار!A280</f>
        <v>SKU-0277</v>
      </c>
      <c r="B281" s="17" t="str">
        <f>انبار!B280</f>
        <v>کت مشکی دیپلمات سایز 2</v>
      </c>
      <c r="C281" s="17" t="str">
        <f>انبار!C280</f>
        <v>کفش</v>
      </c>
      <c r="D281" s="9">
        <f>انبار!I280</f>
        <v>9</v>
      </c>
      <c r="E281" s="9" t="str">
        <f>انبار!J280</f>
        <v>🟢 OK</v>
      </c>
      <c r="F281" s="18">
        <f>انبار!F280</f>
        <v>2600000</v>
      </c>
      <c r="G281" s="9" t="str">
        <f>IF(انبار!I280&lt;=0,"🔴 سفارش فوری",IF(انبار!I280&lt;=تنظیمات_سیستم!$C$7,"🟠 سفارش مجدد","✅"))</f>
        <v>✅</v>
      </c>
      <c r="H281" s="9" t="str">
        <f>IF(انبار!I280&lt;=تنظیمات_سیستم!$C$7,"سفارش دهید","—")</f>
        <v>—</v>
      </c>
    </row>
    <row r="282" spans="1:8">
      <c r="A282" s="9" t="str">
        <f>انبار!A281</f>
        <v>SKU-0278</v>
      </c>
      <c r="B282" s="17" t="str">
        <f>انبار!B281</f>
        <v>کیف قهوه ای 4163</v>
      </c>
      <c r="C282" s="17" t="str">
        <f>انبار!C281</f>
        <v>کیف</v>
      </c>
      <c r="D282" s="9">
        <f>انبار!I281</f>
        <v>9</v>
      </c>
      <c r="E282" s="9" t="str">
        <f>انبار!J281</f>
        <v>🟢 OK</v>
      </c>
      <c r="F282" s="18">
        <f>انبار!F281</f>
        <v>1880000</v>
      </c>
      <c r="G282" s="9" t="str">
        <f>IF(انبار!I281&lt;=0,"🔴 سفارش فوری",IF(انبار!I281&lt;=تنظیمات_سیستم!$C$7,"🟠 سفارش مجدد","✅"))</f>
        <v>✅</v>
      </c>
      <c r="H282" s="9" t="str">
        <f>IF(انبار!I281&lt;=تنظیمات_سیستم!$C$7,"سفارش دهید","—")</f>
        <v>—</v>
      </c>
    </row>
    <row r="283" spans="1:8">
      <c r="A283" s="9" t="str">
        <f>انبار!A282</f>
        <v>SKU-0279</v>
      </c>
      <c r="B283" s="17" t="str">
        <f>انبار!B282</f>
        <v>شلوار بیسیک سفید 1</v>
      </c>
      <c r="C283" s="17" t="str">
        <f>انبار!C282</f>
        <v>کیف</v>
      </c>
      <c r="D283" s="9">
        <f>انبار!I282</f>
        <v>9</v>
      </c>
      <c r="E283" s="9" t="str">
        <f>انبار!J282</f>
        <v>🟢 OK</v>
      </c>
      <c r="F283" s="18">
        <f>انبار!F282</f>
        <v>2380000</v>
      </c>
      <c r="G283" s="9" t="str">
        <f>IF(انبار!I282&lt;=0,"🔴 سفارش فوری",IF(انبار!I282&lt;=تنظیمات_سیستم!$C$7,"🟠 سفارش مجدد","✅"))</f>
        <v>✅</v>
      </c>
      <c r="H283" s="9" t="str">
        <f>IF(انبار!I282&lt;=تنظیمات_سیستم!$C$7,"سفارش دهید","—")</f>
        <v>—</v>
      </c>
    </row>
    <row r="284" spans="1:8">
      <c r="A284" s="9" t="str">
        <f>انبار!A283</f>
        <v>SKU-0280</v>
      </c>
      <c r="B284" s="17" t="str">
        <f>انبار!B283</f>
        <v>شلوار تافی فری</v>
      </c>
      <c r="C284" s="17" t="str">
        <f>انبار!C283</f>
        <v>کیف</v>
      </c>
      <c r="D284" s="9">
        <f>انبار!I283</f>
        <v>9</v>
      </c>
      <c r="E284" s="9" t="str">
        <f>انبار!J283</f>
        <v>🟢 OK</v>
      </c>
      <c r="F284" s="18">
        <f>انبار!F283</f>
        <v>3580000</v>
      </c>
      <c r="G284" s="9" t="str">
        <f>IF(انبار!I283&lt;=0,"🔴 سفارش فوری",IF(انبار!I283&lt;=تنظیمات_سیستم!$C$7,"🟠 سفارش مجدد","✅"))</f>
        <v>✅</v>
      </c>
      <c r="H284" s="9" t="str">
        <f>IF(انبار!I283&lt;=تنظیمات_سیستم!$C$7,"سفارش دهید","—")</f>
        <v>—</v>
      </c>
    </row>
    <row r="285" spans="1:8">
      <c r="A285" s="9" t="str">
        <f>انبار!A284</f>
        <v>SKU-0281</v>
      </c>
      <c r="B285" s="17" t="str">
        <f>انبار!B284</f>
        <v>بامبر ژکت سرمه ای</v>
      </c>
      <c r="C285" s="17" t="str">
        <f>انبار!C284</f>
        <v>کفش</v>
      </c>
      <c r="D285" s="9">
        <f>انبار!I284</f>
        <v>9</v>
      </c>
      <c r="E285" s="9" t="str">
        <f>انبار!J284</f>
        <v>🟢 OK</v>
      </c>
      <c r="F285" s="18">
        <f>انبار!F284</f>
        <v>6780000</v>
      </c>
      <c r="G285" s="9" t="str">
        <f>IF(انبار!I284&lt;=0,"🔴 سفارش فوری",IF(انبار!I284&lt;=تنظیمات_سیستم!$C$7,"🟠 سفارش مجدد","✅"))</f>
        <v>✅</v>
      </c>
      <c r="H285" s="9" t="str">
        <f>IF(انبار!I284&lt;=تنظیمات_سیستم!$C$7,"سفارش دهید","—")</f>
        <v>—</v>
      </c>
    </row>
    <row r="286" spans="1:8">
      <c r="A286" s="9" t="str">
        <f>انبار!A285</f>
        <v>SKU-0282</v>
      </c>
      <c r="B286" s="17" t="str">
        <f>انبار!B285</f>
        <v>کت یقه عروسکی سبز سایز 1</v>
      </c>
      <c r="C286" s="17" t="str">
        <f>انبار!C285</f>
        <v>کفش</v>
      </c>
      <c r="D286" s="9">
        <f>انبار!I285</f>
        <v>9</v>
      </c>
      <c r="E286" s="9" t="str">
        <f>انبار!J285</f>
        <v>🟢 OK</v>
      </c>
      <c r="F286" s="18">
        <f>انبار!F285</f>
        <v>6880000</v>
      </c>
      <c r="G286" s="9" t="str">
        <f>IF(انبار!I285&lt;=0,"🔴 سفارش فوری",IF(انبار!I285&lt;=تنظیمات_سیستم!$C$7,"🟠 سفارش مجدد","✅"))</f>
        <v>✅</v>
      </c>
      <c r="H286" s="9" t="str">
        <f>IF(انبار!I285&lt;=تنظیمات_سیستم!$C$7,"سفارش دهید","—")</f>
        <v>—</v>
      </c>
    </row>
    <row r="287" spans="1:8">
      <c r="A287" s="9" t="str">
        <f>انبار!A286</f>
        <v>SKU-0283</v>
      </c>
      <c r="B287" s="17" t="str">
        <f>انبار!B286</f>
        <v>شلوار حریر سفید دمپا چاک</v>
      </c>
      <c r="C287" s="17" t="str">
        <f>انبار!C286</f>
        <v>کفش</v>
      </c>
      <c r="D287" s="9">
        <f>انبار!I286</f>
        <v>9</v>
      </c>
      <c r="E287" s="9" t="str">
        <f>انبار!J286</f>
        <v>🟢 OK</v>
      </c>
      <c r="F287" s="18">
        <f>انبار!F286</f>
        <v>1170000</v>
      </c>
      <c r="G287" s="9" t="str">
        <f>IF(انبار!I286&lt;=0,"🔴 سفارش فوری",IF(انبار!I286&lt;=تنظیمات_سیستم!$C$7,"🟠 سفارش مجدد","✅"))</f>
        <v>✅</v>
      </c>
      <c r="H287" s="9" t="str">
        <f>IF(انبار!I286&lt;=تنظیمات_سیستم!$C$7,"سفارش دهید","—")</f>
        <v>—</v>
      </c>
    </row>
    <row r="288" spans="1:8">
      <c r="A288" s="9" t="str">
        <f>انبار!A287</f>
        <v>SKU-0284</v>
      </c>
      <c r="B288" s="17" t="str">
        <f>انبار!B287</f>
        <v>کت شنل</v>
      </c>
      <c r="C288" s="17" t="str">
        <f>انبار!C287</f>
        <v>شلوار</v>
      </c>
      <c r="D288" s="9">
        <f>انبار!I287</f>
        <v>9</v>
      </c>
      <c r="E288" s="9" t="str">
        <f>انبار!J287</f>
        <v>🟢 OK</v>
      </c>
      <c r="F288" s="18">
        <f>انبار!F287</f>
        <v>4250000</v>
      </c>
      <c r="G288" s="9" t="str">
        <f>IF(انبار!I287&lt;=0,"🔴 سفارش فوری",IF(انبار!I287&lt;=تنظیمات_سیستم!$C$7,"🟠 سفارش مجدد","✅"))</f>
        <v>✅</v>
      </c>
      <c r="H288" s="9" t="str">
        <f>IF(انبار!I287&lt;=تنظیمات_سیستم!$C$7,"سفارش دهید","—")</f>
        <v>—</v>
      </c>
    </row>
    <row r="289" spans="1:8">
      <c r="A289" s="9" t="str">
        <f>انبار!A288</f>
        <v>SKU-0285</v>
      </c>
      <c r="B289" s="17" t="str">
        <f>انبار!B288</f>
        <v>کت دیپلمات سرمه ای سایز 2</v>
      </c>
      <c r="C289" s="17" t="str">
        <f>انبار!C288</f>
        <v>کت</v>
      </c>
      <c r="D289" s="9">
        <f>انبار!I288</f>
        <v>9</v>
      </c>
      <c r="E289" s="9" t="str">
        <f>انبار!J288</f>
        <v>🟢 OK</v>
      </c>
      <c r="F289" s="18">
        <f>انبار!F288</f>
        <v>2580000</v>
      </c>
      <c r="G289" s="9" t="str">
        <f>IF(انبار!I288&lt;=0,"🔴 سفارش فوری",IF(انبار!I288&lt;=تنظیمات_سیستم!$C$7,"🟠 سفارش مجدد","✅"))</f>
        <v>✅</v>
      </c>
      <c r="H289" s="9" t="str">
        <f>IF(انبار!I288&lt;=تنظیمات_سیستم!$C$7,"سفارش دهید","—")</f>
        <v>—</v>
      </c>
    </row>
    <row r="290" spans="1:8">
      <c r="A290" s="9" t="str">
        <f>انبار!A289</f>
        <v>SKU-0286</v>
      </c>
      <c r="B290" s="17" t="str">
        <f>انبار!B289</f>
        <v xml:space="preserve">کیف 2669 نسکافه ای </v>
      </c>
      <c r="C290" s="17" t="str">
        <f>انبار!C289</f>
        <v>کفش</v>
      </c>
      <c r="D290" s="9">
        <f>انبار!I289</f>
        <v>9</v>
      </c>
      <c r="E290" s="9" t="str">
        <f>انبار!J289</f>
        <v>🟢 OK</v>
      </c>
      <c r="F290" s="18">
        <f>انبار!F289</f>
        <v>2700000</v>
      </c>
      <c r="G290" s="9" t="str">
        <f>IF(انبار!I289&lt;=0,"🔴 سفارش فوری",IF(انبار!I289&lt;=تنظیمات_سیستم!$C$7,"🟠 سفارش مجدد","✅"))</f>
        <v>✅</v>
      </c>
      <c r="H290" s="9" t="str">
        <f>IF(انبار!I289&lt;=تنظیمات_سیستم!$C$7,"سفارش دهید","—")</f>
        <v>—</v>
      </c>
    </row>
    <row r="291" spans="1:8">
      <c r="A291" s="9" t="str">
        <f>انبار!A290</f>
        <v>SKU-0287</v>
      </c>
      <c r="B291" s="17" t="str">
        <f>انبار!B290</f>
        <v xml:space="preserve">شومیز ساتن بسیک کرمه </v>
      </c>
      <c r="C291" s="17" t="str">
        <f>انبار!C290</f>
        <v>کفش</v>
      </c>
      <c r="D291" s="9">
        <f>انبار!I290</f>
        <v>9</v>
      </c>
      <c r="E291" s="9" t="str">
        <f>انبار!J290</f>
        <v>🟢 OK</v>
      </c>
      <c r="F291" s="18">
        <f>انبار!F290</f>
        <v>2380000</v>
      </c>
      <c r="G291" s="9" t="str">
        <f>IF(انبار!I290&lt;=0,"🔴 سفارش فوری",IF(انبار!I290&lt;=تنظیمات_سیستم!$C$7,"🟠 سفارش مجدد","✅"))</f>
        <v>✅</v>
      </c>
      <c r="H291" s="9" t="str">
        <f>IF(انبار!I290&lt;=تنظیمات_سیستم!$C$7,"سفارش دهید","—")</f>
        <v>—</v>
      </c>
    </row>
    <row r="292" spans="1:8">
      <c r="A292" s="9" t="str">
        <f>انبار!A291</f>
        <v>SKU-0288</v>
      </c>
      <c r="B292" s="17" t="str">
        <f>انبار!B291</f>
        <v xml:space="preserve">کیف 4148 رنگ مشکی  </v>
      </c>
      <c r="C292" s="17" t="str">
        <f>انبار!C291</f>
        <v>کفش</v>
      </c>
      <c r="D292" s="9">
        <f>انبار!I291</f>
        <v>9</v>
      </c>
      <c r="E292" s="9" t="str">
        <f>انبار!J291</f>
        <v>🟢 OK</v>
      </c>
      <c r="F292" s="18">
        <f>انبار!F291</f>
        <v>2880000</v>
      </c>
      <c r="G292" s="9" t="str">
        <f>IF(انبار!I291&lt;=0,"🔴 سفارش فوری",IF(انبار!I291&lt;=تنظیمات_سیستم!$C$7,"🟠 سفارش مجدد","✅"))</f>
        <v>✅</v>
      </c>
      <c r="H292" s="9" t="str">
        <f>IF(انبار!I291&lt;=تنظیمات_سیستم!$C$7,"سفارش دهید","—")</f>
        <v>—</v>
      </c>
    </row>
    <row r="293" spans="1:8">
      <c r="A293" s="9" t="str">
        <f>انبار!A292</f>
        <v>SKU-0289</v>
      </c>
      <c r="B293" s="17" t="str">
        <f>انبار!B292</f>
        <v xml:space="preserve">توت بگ سرمه ای </v>
      </c>
      <c r="C293" s="17" t="str">
        <f>انبار!C292</f>
        <v>کفش</v>
      </c>
      <c r="D293" s="9">
        <f>انبار!I292</f>
        <v>9</v>
      </c>
      <c r="E293" s="9" t="str">
        <f>انبار!J292</f>
        <v>🟢 OK</v>
      </c>
      <c r="F293" s="18">
        <f>انبار!F292</f>
        <v>2980000</v>
      </c>
      <c r="G293" s="9" t="str">
        <f>IF(انبار!I292&lt;=0,"🔴 سفارش فوری",IF(انبار!I292&lt;=تنظیمات_سیستم!$C$7,"🟠 سفارش مجدد","✅"))</f>
        <v>✅</v>
      </c>
      <c r="H293" s="9" t="str">
        <f>IF(انبار!I292&lt;=تنظیمات_سیستم!$C$7,"سفارش دهید","—")</f>
        <v>—</v>
      </c>
    </row>
    <row r="294" spans="1:8">
      <c r="A294" s="9" t="str">
        <f>انبار!A293</f>
        <v>SKU-0290</v>
      </c>
      <c r="B294" s="17" t="str">
        <f>انبار!B293</f>
        <v xml:space="preserve">بامبر سدری </v>
      </c>
      <c r="C294" s="17" t="str">
        <f>انبار!C293</f>
        <v>کیف</v>
      </c>
      <c r="D294" s="9">
        <f>انبار!I293</f>
        <v>9</v>
      </c>
      <c r="E294" s="9" t="str">
        <f>انبار!J293</f>
        <v>🟢 OK</v>
      </c>
      <c r="F294" s="18">
        <f>انبار!F293</f>
        <v>6780000</v>
      </c>
      <c r="G294" s="9" t="str">
        <f>IF(انبار!I293&lt;=0,"🔴 سفارش فوری",IF(انبار!I293&lt;=تنظیمات_سیستم!$C$7,"🟠 سفارش مجدد","✅"))</f>
        <v>✅</v>
      </c>
      <c r="H294" s="9" t="str">
        <f>IF(انبار!I293&lt;=تنظیمات_سیستم!$C$7,"سفارش دهید","—")</f>
        <v>—</v>
      </c>
    </row>
    <row r="295" spans="1:8">
      <c r="A295" s="9" t="str">
        <f>انبار!A294</f>
        <v>SKU-0291</v>
      </c>
      <c r="B295" s="17" t="str">
        <f>انبار!B294</f>
        <v>دامن ساتن قرمز1</v>
      </c>
      <c r="C295" s="17" t="str">
        <f>انبار!C294</f>
        <v>کفش</v>
      </c>
      <c r="D295" s="9">
        <f>انبار!I294</f>
        <v>9</v>
      </c>
      <c r="E295" s="9" t="str">
        <f>انبار!J294</f>
        <v>🟢 OK</v>
      </c>
      <c r="F295" s="18">
        <f>انبار!F294</f>
        <v>3180000</v>
      </c>
      <c r="G295" s="9" t="str">
        <f>IF(انبار!I294&lt;=0,"🔴 سفارش فوری",IF(انبار!I294&lt;=تنظیمات_سیستم!$C$7,"🟠 سفارش مجدد","✅"))</f>
        <v>✅</v>
      </c>
      <c r="H295" s="9" t="str">
        <f>IF(انبار!I294&lt;=تنظیمات_سیستم!$C$7,"سفارش دهید","—")</f>
        <v>—</v>
      </c>
    </row>
    <row r="296" spans="1:8">
      <c r="A296" s="9" t="str">
        <f>انبار!A295</f>
        <v>SKU-0292</v>
      </c>
      <c r="B296" s="17" t="str">
        <f>انبار!B295</f>
        <v>دامن ساتن قرمز2</v>
      </c>
      <c r="C296" s="17" t="str">
        <f>انبار!C295</f>
        <v>کفش</v>
      </c>
      <c r="D296" s="9">
        <f>انبار!I295</f>
        <v>9</v>
      </c>
      <c r="E296" s="9" t="str">
        <f>انبار!J295</f>
        <v>🟢 OK</v>
      </c>
      <c r="F296" s="18">
        <f>انبار!F295</f>
        <v>3180000</v>
      </c>
      <c r="G296" s="9" t="str">
        <f>IF(انبار!I295&lt;=0,"🔴 سفارش فوری",IF(انبار!I295&lt;=تنظیمات_سیستم!$C$7,"🟠 سفارش مجدد","✅"))</f>
        <v>✅</v>
      </c>
      <c r="H296" s="9" t="str">
        <f>IF(انبار!I295&lt;=تنظیمات_سیستم!$C$7,"سفارش دهید","—")</f>
        <v>—</v>
      </c>
    </row>
    <row r="297" spans="1:8">
      <c r="A297" s="9" t="str">
        <f>انبار!A296</f>
        <v>SKU-0293</v>
      </c>
      <c r="B297" s="17" t="str">
        <f>انبار!B296</f>
        <v>شومیز مانلی قرمز 1</v>
      </c>
      <c r="C297" s="17" t="str">
        <f>انبار!C296</f>
        <v>کفش</v>
      </c>
      <c r="D297" s="9">
        <f>انبار!I296</f>
        <v>9</v>
      </c>
      <c r="E297" s="9" t="str">
        <f>انبار!J296</f>
        <v>🟢 OK</v>
      </c>
      <c r="F297" s="18">
        <f>انبار!F296</f>
        <v>3450000</v>
      </c>
      <c r="G297" s="9" t="str">
        <f>IF(انبار!I296&lt;=0,"🔴 سفارش فوری",IF(انبار!I296&lt;=تنظیمات_سیستم!$C$7,"🟠 سفارش مجدد","✅"))</f>
        <v>✅</v>
      </c>
      <c r="H297" s="9" t="str">
        <f>IF(انبار!I296&lt;=تنظیمات_سیستم!$C$7,"سفارش دهید","—")</f>
        <v>—</v>
      </c>
    </row>
    <row r="298" spans="1:8">
      <c r="A298" s="9" t="str">
        <f>انبار!A297</f>
        <v>SKU-0294</v>
      </c>
      <c r="B298" s="17" t="str">
        <f>انبار!B297</f>
        <v>بامبر دانتل ابی 2</v>
      </c>
      <c r="C298" s="17" t="str">
        <f>انبار!C297</f>
        <v>صندل</v>
      </c>
      <c r="D298" s="9">
        <f>انبار!I297</f>
        <v>9</v>
      </c>
      <c r="E298" s="9" t="str">
        <f>انبار!J297</f>
        <v>🟢 OK</v>
      </c>
      <c r="F298" s="18">
        <f>انبار!F297</f>
        <v>4180000</v>
      </c>
      <c r="G298" s="9" t="str">
        <f>IF(انبار!I297&lt;=0,"🔴 سفارش فوری",IF(انبار!I297&lt;=تنظیمات_سیستم!$C$7,"🟠 سفارش مجدد","✅"))</f>
        <v>✅</v>
      </c>
      <c r="H298" s="9" t="str">
        <f>IF(انبار!I297&lt;=تنظیمات_سیستم!$C$7,"سفارش دهید","—")</f>
        <v>—</v>
      </c>
    </row>
    <row r="299" spans="1:8">
      <c r="A299" s="9" t="str">
        <f>انبار!A298</f>
        <v>SKU-0295</v>
      </c>
      <c r="B299" s="17" t="str">
        <f>انبار!B298</f>
        <v>پولو شرت</v>
      </c>
      <c r="C299" s="17" t="str">
        <f>انبار!C298</f>
        <v>بافت</v>
      </c>
      <c r="D299" s="9">
        <f>انبار!I298</f>
        <v>9</v>
      </c>
      <c r="E299" s="9" t="str">
        <f>انبار!J298</f>
        <v>🟢 OK</v>
      </c>
      <c r="F299" s="18">
        <f>انبار!F298</f>
        <v>1580000</v>
      </c>
      <c r="G299" s="9" t="str">
        <f>IF(انبار!I298&lt;=0,"🔴 سفارش فوری",IF(انبار!I298&lt;=تنظیمات_سیستم!$C$7,"🟠 سفارش مجدد","✅"))</f>
        <v>✅</v>
      </c>
      <c r="H299" s="9" t="str">
        <f>IF(انبار!I298&lt;=تنظیمات_سیستم!$C$7,"سفارش دهید","—")</f>
        <v>—</v>
      </c>
    </row>
    <row r="300" spans="1:8">
      <c r="A300" s="9" t="str">
        <f>انبار!A299</f>
        <v>SKU-0296</v>
      </c>
      <c r="B300" s="17" t="str">
        <f>انبار!B299</f>
        <v>کت ژاکارد صورتی 1</v>
      </c>
      <c r="C300" s="17" t="str">
        <f>انبار!C299</f>
        <v>کت</v>
      </c>
      <c r="D300" s="9">
        <f>انبار!I299</f>
        <v>9</v>
      </c>
      <c r="E300" s="9" t="str">
        <f>انبار!J299</f>
        <v>🟢 OK</v>
      </c>
      <c r="F300" s="18">
        <f>انبار!F299</f>
        <v>3850000</v>
      </c>
      <c r="G300" s="9" t="str">
        <f>IF(انبار!I299&lt;=0,"🔴 سفارش فوری",IF(انبار!I299&lt;=تنظیمات_سیستم!$C$7,"🟠 سفارش مجدد","✅"))</f>
        <v>✅</v>
      </c>
      <c r="H300" s="9" t="str">
        <f>IF(انبار!I299&lt;=تنظیمات_سیستم!$C$7,"سفارش دهید","—")</f>
        <v>—</v>
      </c>
    </row>
    <row r="301" spans="1:8">
      <c r="A301" s="9" t="str">
        <f>انبار!A300</f>
        <v>SKU-0297</v>
      </c>
      <c r="B301" s="17" t="str">
        <f>انبار!B300</f>
        <v>بافت قهوه ای</v>
      </c>
      <c r="C301" s="17">
        <f>انبار!C300</f>
        <v>0</v>
      </c>
      <c r="D301" s="9">
        <f>انبار!I300</f>
        <v>9</v>
      </c>
      <c r="E301" s="9" t="str">
        <f>انبار!J300</f>
        <v>🟢 OK</v>
      </c>
      <c r="F301" s="18">
        <f>انبار!F300</f>
        <v>2580000</v>
      </c>
      <c r="G301" s="9" t="str">
        <f>IF(انبار!I300&lt;=0,"🔴 سفارش فوری",IF(انبار!I300&lt;=تنظیمات_سیستم!$C$7,"🟠 سفارش مجدد","✅"))</f>
        <v>✅</v>
      </c>
      <c r="H301" s="9" t="str">
        <f>IF(انبار!I300&lt;=تنظیمات_سیستم!$C$7,"سفارش دهید","—")</f>
        <v>—</v>
      </c>
    </row>
    <row r="302" spans="1:8">
      <c r="A302" s="9" t="str">
        <f>انبار!A301</f>
        <v>SKU-0298</v>
      </c>
      <c r="B302" s="17" t="str">
        <f>انبار!B301</f>
        <v>شومیز بیسکوییتی 1</v>
      </c>
      <c r="C302" s="17">
        <f>انبار!C301</f>
        <v>0</v>
      </c>
      <c r="D302" s="9">
        <f>انبار!I301</f>
        <v>9</v>
      </c>
      <c r="E302" s="9" t="str">
        <f>انبار!J301</f>
        <v>🟢 OK</v>
      </c>
      <c r="F302" s="18">
        <f>انبار!F301</f>
        <v>2800000</v>
      </c>
      <c r="G302" s="9" t="str">
        <f>IF(انبار!I301&lt;=0,"🔴 سفارش فوری",IF(انبار!I301&lt;=تنظیمات_سیستم!$C$7,"🟠 سفارش مجدد","✅"))</f>
        <v>✅</v>
      </c>
      <c r="H302" s="9" t="str">
        <f>IF(انبار!I301&lt;=تنظیمات_سیستم!$C$7,"سفارش دهید","—")</f>
        <v>—</v>
      </c>
    </row>
    <row r="303" spans="1:8">
      <c r="A303" s="9" t="str">
        <f>انبار!A302</f>
        <v>SKU-0299</v>
      </c>
      <c r="B303" s="17" t="str">
        <f>انبار!B302</f>
        <v>کت سوفی طوسی</v>
      </c>
      <c r="C303" s="17" t="str">
        <f>انبار!C302</f>
        <v>تریکو</v>
      </c>
      <c r="D303" s="9">
        <f>انبار!I302</f>
        <v>9</v>
      </c>
      <c r="E303" s="9" t="str">
        <f>انبار!J302</f>
        <v>🟢 OK</v>
      </c>
      <c r="F303" s="18">
        <f>انبار!F302</f>
        <v>3200000</v>
      </c>
      <c r="G303" s="9" t="str">
        <f>IF(انبار!I302&lt;=0,"🔴 سفارش فوری",IF(انبار!I302&lt;=تنظیمات_سیستم!$C$7,"🟠 سفارش مجدد","✅"))</f>
        <v>✅</v>
      </c>
      <c r="H303" s="9" t="str">
        <f>IF(انبار!I302&lt;=تنظیمات_سیستم!$C$7,"سفارش دهید","—")</f>
        <v>—</v>
      </c>
    </row>
    <row r="304" spans="1:8">
      <c r="A304" s="9" t="str">
        <f>انبار!A303</f>
        <v>SKU-0300</v>
      </c>
      <c r="B304" s="17" t="str">
        <f>انبار!B303</f>
        <v>پولو شرت</v>
      </c>
      <c r="C304" s="17">
        <f>انبار!C303</f>
        <v>0</v>
      </c>
      <c r="D304" s="9">
        <f>انبار!I303</f>
        <v>9</v>
      </c>
      <c r="E304" s="9" t="str">
        <f>انبار!J303</f>
        <v>🟢 OK</v>
      </c>
      <c r="F304" s="18">
        <f>انبار!F303</f>
        <v>1580000</v>
      </c>
      <c r="G304" s="9" t="str">
        <f>IF(انبار!I303&lt;=0,"🔴 سفارش فوری",IF(انبار!I303&lt;=تنظیمات_سیستم!$C$7,"🟠 سفارش مجدد","✅"))</f>
        <v>✅</v>
      </c>
      <c r="H304" s="9" t="str">
        <f>IF(انبار!I303&lt;=تنظیمات_سیستم!$C$7,"سفارش دهید","—")</f>
        <v>—</v>
      </c>
    </row>
  </sheetData>
  <mergeCells count="2">
    <mergeCell ref="A3:H3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D4AF37"/>
  </sheetPr>
  <dimension ref="A1:K59"/>
  <sheetViews>
    <sheetView rightToLeft="1" zoomScaleNormal="100" workbookViewId="0">
      <pane ySplit="3" topLeftCell="A4" activePane="bottomLeft" state="frozen"/>
      <selection pane="bottomLeft" activeCell="E6" sqref="E6"/>
    </sheetView>
  </sheetViews>
  <sheetFormatPr defaultColWidth="8.7109375" defaultRowHeight="15"/>
  <cols>
    <col min="1" max="11" width="24.7109375" customWidth="1"/>
  </cols>
  <sheetData>
    <row r="1" spans="1:11" ht="3.75" hidden="1" customHeight="1"/>
    <row r="2" spans="1:11" ht="42" customHeight="1">
      <c r="A2" s="335" t="s">
        <v>776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</row>
    <row r="3" spans="1:11" ht="31.5" customHeight="1">
      <c r="A3" s="3" t="s">
        <v>87</v>
      </c>
      <c r="B3" s="2" t="s">
        <v>88</v>
      </c>
      <c r="C3" s="2" t="s">
        <v>89</v>
      </c>
      <c r="D3" s="3" t="s">
        <v>90</v>
      </c>
      <c r="E3" s="2" t="s">
        <v>91</v>
      </c>
      <c r="F3" s="2" t="s">
        <v>26</v>
      </c>
      <c r="G3" s="3" t="s">
        <v>92</v>
      </c>
      <c r="H3" s="2" t="s">
        <v>93</v>
      </c>
      <c r="I3" s="3" t="s">
        <v>94</v>
      </c>
      <c r="J3" s="2" t="s">
        <v>63</v>
      </c>
      <c r="K3" s="3" t="s">
        <v>95</v>
      </c>
    </row>
    <row r="4" spans="1:11" ht="21.75" customHeight="1">
      <c r="A4" s="34">
        <v>0</v>
      </c>
      <c r="B4" s="38" t="s">
        <v>766</v>
      </c>
      <c r="C4" s="38"/>
      <c r="D4" s="9" t="str">
        <f t="shared" ref="D4:D35" si="0">IF(B4="","",B4&amp;" "&amp;C4)</f>
        <v xml:space="preserve">فروشگاه </v>
      </c>
      <c r="E4" s="33" t="s">
        <v>772</v>
      </c>
      <c r="F4" s="33" t="s">
        <v>771</v>
      </c>
      <c r="G4" s="33" t="s">
        <v>770</v>
      </c>
      <c r="H4" s="7"/>
      <c r="I4" s="12"/>
      <c r="J4" s="8" t="s">
        <v>98</v>
      </c>
      <c r="K4" s="8">
        <v>9199189173</v>
      </c>
    </row>
    <row r="5" spans="1:11" ht="21.75" customHeight="1">
      <c r="A5" s="34">
        <v>1</v>
      </c>
      <c r="B5" s="38" t="s">
        <v>739</v>
      </c>
      <c r="C5" s="38" t="s">
        <v>99</v>
      </c>
      <c r="D5" s="9" t="str">
        <f t="shared" si="0"/>
        <v>دریا کریمی</v>
      </c>
      <c r="E5" s="8" t="s">
        <v>96</v>
      </c>
      <c r="F5" s="33" t="s">
        <v>97</v>
      </c>
      <c r="G5" s="33" t="s">
        <v>740</v>
      </c>
      <c r="H5" s="7">
        <v>22000000</v>
      </c>
      <c r="I5" s="12">
        <v>0.01</v>
      </c>
      <c r="J5" s="8" t="s">
        <v>98</v>
      </c>
      <c r="K5" s="8">
        <v>9392717665</v>
      </c>
    </row>
    <row r="6" spans="1:11" ht="21.75" customHeight="1">
      <c r="A6" s="11">
        <v>2</v>
      </c>
      <c r="B6" s="11" t="s">
        <v>1006</v>
      </c>
      <c r="C6" s="38" t="s">
        <v>767</v>
      </c>
      <c r="D6" s="9" t="str">
        <f>IF(B6="","",B6&amp;" "&amp;C6)</f>
        <v>ماحی حمیدپور</v>
      </c>
      <c r="E6" s="33" t="s">
        <v>768</v>
      </c>
      <c r="F6" s="33" t="s">
        <v>97</v>
      </c>
      <c r="G6" s="33" t="s">
        <v>769</v>
      </c>
      <c r="H6" s="7">
        <v>22500000</v>
      </c>
      <c r="I6" s="12">
        <v>0.01</v>
      </c>
      <c r="J6" s="33" t="s">
        <v>98</v>
      </c>
      <c r="K6" s="8"/>
    </row>
    <row r="7" spans="1:11" ht="21.75" customHeight="1">
      <c r="A7" s="11" t="s">
        <v>100</v>
      </c>
      <c r="B7" s="11"/>
      <c r="C7" s="11"/>
      <c r="D7" s="9" t="str">
        <f t="shared" si="0"/>
        <v/>
      </c>
      <c r="E7" s="8"/>
      <c r="F7" s="8"/>
      <c r="G7" s="8"/>
      <c r="H7" s="7"/>
      <c r="I7" s="12"/>
      <c r="J7" s="8"/>
      <c r="K7" s="8"/>
    </row>
    <row r="8" spans="1:11" ht="21.75" customHeight="1">
      <c r="A8" s="11" t="s">
        <v>101</v>
      </c>
      <c r="B8" s="11"/>
      <c r="C8" s="11"/>
      <c r="D8" s="9" t="str">
        <f t="shared" si="0"/>
        <v/>
      </c>
      <c r="E8" s="8"/>
      <c r="F8" s="8"/>
      <c r="G8" s="8"/>
      <c r="H8" s="7"/>
      <c r="I8" s="12"/>
      <c r="J8" s="8"/>
      <c r="K8" s="8"/>
    </row>
    <row r="9" spans="1:11" ht="19.5" customHeight="1">
      <c r="A9" s="11" t="s">
        <v>102</v>
      </c>
      <c r="D9" s="9" t="str">
        <f t="shared" si="0"/>
        <v/>
      </c>
    </row>
    <row r="10" spans="1:11" ht="19.5" customHeight="1">
      <c r="A10" s="11" t="s">
        <v>103</v>
      </c>
      <c r="D10" s="9" t="str">
        <f t="shared" si="0"/>
        <v/>
      </c>
    </row>
    <row r="11" spans="1:11" ht="19.5" customHeight="1">
      <c r="A11" s="11" t="s">
        <v>104</v>
      </c>
      <c r="D11" s="9" t="str">
        <f t="shared" si="0"/>
        <v/>
      </c>
    </row>
    <row r="12" spans="1:11" ht="19.5" customHeight="1">
      <c r="A12" s="11" t="s">
        <v>105</v>
      </c>
      <c r="D12" s="9" t="str">
        <f t="shared" si="0"/>
        <v/>
      </c>
    </row>
    <row r="13" spans="1:11" ht="19.5" customHeight="1">
      <c r="A13" s="11" t="s">
        <v>106</v>
      </c>
      <c r="D13" s="9" t="str">
        <f t="shared" si="0"/>
        <v/>
      </c>
    </row>
    <row r="14" spans="1:11" ht="19.5" customHeight="1">
      <c r="A14" s="11" t="s">
        <v>107</v>
      </c>
      <c r="D14" s="9" t="str">
        <f t="shared" si="0"/>
        <v/>
      </c>
    </row>
    <row r="15" spans="1:11" ht="19.5" customHeight="1">
      <c r="A15" s="11" t="s">
        <v>108</v>
      </c>
      <c r="D15" s="9" t="str">
        <f t="shared" si="0"/>
        <v/>
      </c>
    </row>
    <row r="16" spans="1:11" ht="19.5" customHeight="1">
      <c r="A16" s="11" t="s">
        <v>109</v>
      </c>
      <c r="D16" s="9" t="str">
        <f t="shared" si="0"/>
        <v/>
      </c>
    </row>
    <row r="17" spans="1:4" ht="19.5" customHeight="1">
      <c r="A17" s="11" t="s">
        <v>110</v>
      </c>
      <c r="D17" s="9" t="str">
        <f t="shared" si="0"/>
        <v/>
      </c>
    </row>
    <row r="18" spans="1:4" ht="19.5" customHeight="1">
      <c r="A18" s="11" t="s">
        <v>111</v>
      </c>
      <c r="D18" s="9" t="str">
        <f t="shared" si="0"/>
        <v/>
      </c>
    </row>
    <row r="19" spans="1:4" ht="19.5" customHeight="1">
      <c r="A19" s="11" t="s">
        <v>112</v>
      </c>
      <c r="D19" s="9" t="str">
        <f t="shared" si="0"/>
        <v/>
      </c>
    </row>
    <row r="20" spans="1:4" ht="19.5" customHeight="1">
      <c r="A20" s="11" t="s">
        <v>113</v>
      </c>
      <c r="D20" s="9" t="str">
        <f t="shared" si="0"/>
        <v/>
      </c>
    </row>
    <row r="21" spans="1:4" ht="19.5" customHeight="1">
      <c r="A21" s="11" t="s">
        <v>114</v>
      </c>
      <c r="D21" s="9" t="str">
        <f t="shared" si="0"/>
        <v/>
      </c>
    </row>
    <row r="22" spans="1:4" ht="19.5" customHeight="1">
      <c r="A22" s="11" t="s">
        <v>115</v>
      </c>
      <c r="D22" s="9" t="str">
        <f t="shared" si="0"/>
        <v/>
      </c>
    </row>
    <row r="23" spans="1:4" ht="19.5" customHeight="1">
      <c r="A23" s="11" t="s">
        <v>116</v>
      </c>
      <c r="D23" s="9" t="str">
        <f t="shared" si="0"/>
        <v/>
      </c>
    </row>
    <row r="24" spans="1:4" ht="19.5" customHeight="1">
      <c r="A24" s="11" t="s">
        <v>117</v>
      </c>
      <c r="D24" s="9" t="str">
        <f t="shared" si="0"/>
        <v/>
      </c>
    </row>
    <row r="25" spans="1:4" ht="19.5" customHeight="1">
      <c r="A25" s="11" t="s">
        <v>118</v>
      </c>
      <c r="D25" s="9" t="str">
        <f t="shared" si="0"/>
        <v/>
      </c>
    </row>
    <row r="26" spans="1:4" ht="19.5" customHeight="1">
      <c r="A26" s="11" t="s">
        <v>119</v>
      </c>
      <c r="D26" s="9" t="str">
        <f t="shared" si="0"/>
        <v/>
      </c>
    </row>
    <row r="27" spans="1:4" ht="19.5" customHeight="1">
      <c r="A27" s="11" t="s">
        <v>120</v>
      </c>
      <c r="D27" s="9" t="str">
        <f t="shared" si="0"/>
        <v/>
      </c>
    </row>
    <row r="28" spans="1:4" ht="19.5" customHeight="1">
      <c r="A28" s="11" t="s">
        <v>121</v>
      </c>
      <c r="D28" s="9" t="str">
        <f t="shared" si="0"/>
        <v/>
      </c>
    </row>
    <row r="29" spans="1:4" ht="19.5" customHeight="1">
      <c r="A29" s="11" t="s">
        <v>122</v>
      </c>
      <c r="D29" s="9" t="str">
        <f t="shared" si="0"/>
        <v/>
      </c>
    </row>
    <row r="30" spans="1:4" ht="19.5" customHeight="1">
      <c r="A30" s="11" t="s">
        <v>123</v>
      </c>
      <c r="D30" s="9" t="str">
        <f t="shared" si="0"/>
        <v/>
      </c>
    </row>
    <row r="31" spans="1:4" ht="19.5" customHeight="1">
      <c r="A31" s="11" t="s">
        <v>124</v>
      </c>
      <c r="D31" s="9" t="str">
        <f t="shared" si="0"/>
        <v/>
      </c>
    </row>
    <row r="32" spans="1:4" ht="19.5" customHeight="1">
      <c r="A32" s="11" t="s">
        <v>125</v>
      </c>
      <c r="D32" s="9" t="str">
        <f t="shared" si="0"/>
        <v/>
      </c>
    </row>
    <row r="33" spans="1:4" ht="19.5" customHeight="1">
      <c r="A33" s="11" t="s">
        <v>126</v>
      </c>
      <c r="D33" s="9" t="str">
        <f t="shared" si="0"/>
        <v/>
      </c>
    </row>
    <row r="34" spans="1:4" ht="19.5" customHeight="1">
      <c r="A34" s="11" t="s">
        <v>127</v>
      </c>
      <c r="D34" s="9" t="str">
        <f t="shared" si="0"/>
        <v/>
      </c>
    </row>
    <row r="35" spans="1:4" ht="19.5" customHeight="1">
      <c r="A35" s="11" t="s">
        <v>128</v>
      </c>
      <c r="D35" s="9" t="str">
        <f t="shared" si="0"/>
        <v/>
      </c>
    </row>
    <row r="36" spans="1:4" ht="19.5" customHeight="1">
      <c r="A36" s="11" t="s">
        <v>129</v>
      </c>
      <c r="D36" s="9" t="str">
        <f t="shared" ref="D36:D59" si="1">IF(B36="","",B36&amp;" "&amp;C36)</f>
        <v/>
      </c>
    </row>
    <row r="37" spans="1:4" ht="19.5" customHeight="1">
      <c r="A37" s="11" t="s">
        <v>130</v>
      </c>
      <c r="D37" s="9" t="str">
        <f t="shared" si="1"/>
        <v/>
      </c>
    </row>
    <row r="38" spans="1:4" ht="19.5" customHeight="1">
      <c r="A38" s="11" t="s">
        <v>131</v>
      </c>
      <c r="D38" s="9" t="str">
        <f t="shared" si="1"/>
        <v/>
      </c>
    </row>
    <row r="39" spans="1:4" ht="19.5" customHeight="1">
      <c r="A39" s="11" t="s">
        <v>132</v>
      </c>
      <c r="D39" s="9" t="str">
        <f t="shared" si="1"/>
        <v/>
      </c>
    </row>
    <row r="40" spans="1:4" ht="19.5" customHeight="1">
      <c r="A40" s="11" t="s">
        <v>133</v>
      </c>
      <c r="D40" s="9" t="str">
        <f t="shared" si="1"/>
        <v/>
      </c>
    </row>
    <row r="41" spans="1:4" ht="19.5" customHeight="1">
      <c r="A41" s="11" t="s">
        <v>134</v>
      </c>
      <c r="D41" s="9" t="str">
        <f t="shared" si="1"/>
        <v/>
      </c>
    </row>
    <row r="42" spans="1:4" ht="19.5" customHeight="1">
      <c r="A42" s="11" t="s">
        <v>135</v>
      </c>
      <c r="D42" s="9" t="str">
        <f t="shared" si="1"/>
        <v/>
      </c>
    </row>
    <row r="43" spans="1:4" ht="19.5" customHeight="1">
      <c r="A43" s="11" t="s">
        <v>136</v>
      </c>
      <c r="D43" s="9" t="str">
        <f t="shared" si="1"/>
        <v/>
      </c>
    </row>
    <row r="44" spans="1:4" ht="19.5" customHeight="1">
      <c r="A44" s="11" t="s">
        <v>137</v>
      </c>
      <c r="D44" s="9" t="str">
        <f t="shared" si="1"/>
        <v/>
      </c>
    </row>
    <row r="45" spans="1:4" ht="19.5" customHeight="1">
      <c r="A45" s="11" t="s">
        <v>138</v>
      </c>
      <c r="D45" s="9" t="str">
        <f t="shared" si="1"/>
        <v/>
      </c>
    </row>
    <row r="46" spans="1:4" ht="19.5" customHeight="1">
      <c r="A46" s="11" t="s">
        <v>139</v>
      </c>
      <c r="D46" s="9" t="str">
        <f t="shared" si="1"/>
        <v/>
      </c>
    </row>
    <row r="47" spans="1:4" ht="19.5" customHeight="1">
      <c r="A47" s="11" t="s">
        <v>140</v>
      </c>
      <c r="D47" s="9" t="str">
        <f t="shared" si="1"/>
        <v/>
      </c>
    </row>
    <row r="48" spans="1:4" ht="19.5" customHeight="1">
      <c r="A48" s="11" t="s">
        <v>141</v>
      </c>
      <c r="D48" s="9" t="str">
        <f t="shared" si="1"/>
        <v/>
      </c>
    </row>
    <row r="49" spans="1:4" ht="19.5" customHeight="1">
      <c r="A49" s="11" t="s">
        <v>142</v>
      </c>
      <c r="D49" s="9" t="str">
        <f t="shared" si="1"/>
        <v/>
      </c>
    </row>
    <row r="50" spans="1:4" ht="19.5" customHeight="1">
      <c r="A50" s="11" t="s">
        <v>143</v>
      </c>
      <c r="D50" s="9" t="str">
        <f t="shared" si="1"/>
        <v/>
      </c>
    </row>
    <row r="51" spans="1:4" ht="19.5" customHeight="1">
      <c r="A51" s="11" t="s">
        <v>144</v>
      </c>
      <c r="D51" s="9" t="str">
        <f t="shared" si="1"/>
        <v/>
      </c>
    </row>
    <row r="52" spans="1:4" ht="19.5" customHeight="1">
      <c r="A52" s="11" t="s">
        <v>145</v>
      </c>
      <c r="D52" s="9" t="str">
        <f t="shared" si="1"/>
        <v/>
      </c>
    </row>
    <row r="53" spans="1:4" ht="19.5" customHeight="1">
      <c r="A53" s="11" t="s">
        <v>146</v>
      </c>
      <c r="D53" s="9" t="str">
        <f t="shared" si="1"/>
        <v/>
      </c>
    </row>
    <row r="54" spans="1:4" ht="19.5" customHeight="1">
      <c r="A54" s="11" t="s">
        <v>147</v>
      </c>
      <c r="D54" s="9" t="str">
        <f t="shared" si="1"/>
        <v/>
      </c>
    </row>
    <row r="55" spans="1:4" ht="19.5" customHeight="1">
      <c r="A55" s="11" t="s">
        <v>148</v>
      </c>
      <c r="D55" s="9" t="str">
        <f t="shared" si="1"/>
        <v/>
      </c>
    </row>
    <row r="56" spans="1:4" ht="19.5" customHeight="1">
      <c r="A56" s="11" t="s">
        <v>149</v>
      </c>
      <c r="D56" s="9" t="str">
        <f t="shared" si="1"/>
        <v/>
      </c>
    </row>
    <row r="57" spans="1:4" ht="19.5" customHeight="1">
      <c r="A57" s="11" t="s">
        <v>150</v>
      </c>
      <c r="D57" s="9" t="str">
        <f t="shared" si="1"/>
        <v/>
      </c>
    </row>
    <row r="58" spans="1:4" ht="19.5" customHeight="1">
      <c r="A58" s="11" t="s">
        <v>151</v>
      </c>
      <c r="D58" s="9" t="str">
        <f t="shared" si="1"/>
        <v/>
      </c>
    </row>
    <row r="59" spans="1:4" ht="19.5" customHeight="1">
      <c r="A59" s="11" t="s">
        <v>152</v>
      </c>
      <c r="D59" s="9" t="str">
        <f t="shared" si="1"/>
        <v/>
      </c>
    </row>
  </sheetData>
  <sheetProtection algorithmName="SHA-512" hashValue="cDkXXuIMtwpw9Vh4HyVa3J77ZEBJvl0pg4fmfhg6kzFe449iN/ge7v2EQec25s5AxLqsZR1tdI6CpCN3oM95vw==" saltValue="HwpYItiug0bwsWgQ8P/56A==" spinCount="100000" sheet="1" formatCells="0" formatColumns="0" formatRows="0" insertColumns="0" insertRows="0" insertHyperlinks="0" deleteColumns="0" deleteRows="0" sort="0" autoFilter="0" pivotTables="0"/>
  <mergeCells count="1"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47D94A"/>
  </sheetPr>
  <dimension ref="A1:E9"/>
  <sheetViews>
    <sheetView rightToLeft="1" workbookViewId="0">
      <pane ySplit="2" topLeftCell="A3" activePane="bottomLeft" state="frozen"/>
      <selection pane="bottomLeft" activeCell="B7" sqref="B7"/>
    </sheetView>
  </sheetViews>
  <sheetFormatPr defaultRowHeight="15"/>
  <cols>
    <col min="1" max="5" width="55.7109375" customWidth="1"/>
  </cols>
  <sheetData>
    <row r="1" spans="1:5" ht="64.5" customHeight="1">
      <c r="A1" s="337" t="s">
        <v>430</v>
      </c>
      <c r="B1" s="338"/>
      <c r="C1" s="338"/>
      <c r="D1" s="338"/>
      <c r="E1" s="338"/>
    </row>
    <row r="2" spans="1:5" ht="75" customHeight="1">
      <c r="A2" s="49" t="s">
        <v>431</v>
      </c>
      <c r="B2" s="49" t="s">
        <v>432</v>
      </c>
      <c r="C2" s="49" t="s">
        <v>433</v>
      </c>
      <c r="D2" s="49" t="s">
        <v>249</v>
      </c>
      <c r="E2" s="49" t="s">
        <v>251</v>
      </c>
    </row>
    <row r="3" spans="1:5" ht="75" customHeight="1">
      <c r="A3" s="50" t="s">
        <v>184</v>
      </c>
      <c r="B3" s="51">
        <f>IFERROR(INDEX(حسابداری!$D$7:$D$18,VALUE(MID(POS_فاکتور!E4,6,2))),0)</f>
        <v>397705000</v>
      </c>
      <c r="C3" s="51">
        <f>تنظیمات_سیستم!C4</f>
        <v>900000000</v>
      </c>
      <c r="D3" s="50" t="str">
        <f t="shared" ref="D3:D9" si="0">IF(OR(C3=0,B3&gt;=C3),"✅ مطلوب","⚠ نیاز به اقدام")</f>
        <v>⚠ نیاز به اقدام</v>
      </c>
      <c r="E3" s="50" t="s">
        <v>434</v>
      </c>
    </row>
    <row r="4" spans="1:5" ht="75" customHeight="1">
      <c r="A4" s="50" t="s">
        <v>185</v>
      </c>
      <c r="B4" s="51">
        <f>IFERROR(INDEX(حسابداری!$E$7:$E$18,VALUE(MID(POS_فاکتور!E4,6,2))),0)</f>
        <v>79</v>
      </c>
      <c r="C4" s="51">
        <v>450</v>
      </c>
      <c r="D4" s="50" t="str">
        <f t="shared" si="0"/>
        <v>⚠ نیاز به اقدام</v>
      </c>
      <c r="E4" s="50" t="s">
        <v>435</v>
      </c>
    </row>
    <row r="5" spans="1:5" ht="75" customHeight="1">
      <c r="A5" s="50" t="s">
        <v>186</v>
      </c>
      <c r="B5" s="51">
        <f>IFERROR(B3/B4,0)</f>
        <v>5034240.5063291136</v>
      </c>
      <c r="C5" s="51">
        <f>تنظیمات_سیستم!C15</f>
        <v>4000000</v>
      </c>
      <c r="D5" s="50" t="str">
        <f t="shared" si="0"/>
        <v>✅ مطلوب</v>
      </c>
      <c r="E5" s="50" t="s">
        <v>436</v>
      </c>
    </row>
    <row r="6" spans="1:5" ht="75" customHeight="1">
      <c r="A6" s="50" t="s">
        <v>437</v>
      </c>
      <c r="B6" s="51">
        <f>IFERROR(SUMPRODUCT((LEFT(لاگ_فاکتور!$B$3:$B$1622,7)=LEFT(POS_فاکتور!E4,7))*لاگ_فاکتور!$L$3:$L$1622)/B4,0)</f>
        <v>1.6835443037974684</v>
      </c>
      <c r="C6" s="51">
        <f>تنظیمات_سیستم!C14</f>
        <v>1.8</v>
      </c>
      <c r="D6" s="50" t="str">
        <f t="shared" si="0"/>
        <v>⚠ نیاز به اقدام</v>
      </c>
      <c r="E6" s="50" t="s">
        <v>438</v>
      </c>
    </row>
    <row r="7" spans="1:5" ht="75" customHeight="1">
      <c r="A7" s="50" t="s">
        <v>439</v>
      </c>
      <c r="B7" s="51">
        <f>IFERROR(SUMIF(KPI_روزانه!A5:A104,LEFT(POS_فاکتور!E4,7)&amp;"*",KPI_روزانه!F5:F104)/SUMIF(KPI_روزانه!A5:A104,LEFT(POS_فاکتور!E4,7)&amp;"*",KPI_روزانه!D5:D104),0)</f>
        <v>0.19128329297820823</v>
      </c>
      <c r="C7" s="51">
        <f>تنظیمات_سیستم!C17</f>
        <v>25</v>
      </c>
      <c r="D7" s="50" t="str">
        <f t="shared" si="0"/>
        <v>⚠ نیاز به اقدام</v>
      </c>
      <c r="E7" s="50" t="s">
        <v>440</v>
      </c>
    </row>
    <row r="8" spans="1:5" ht="75" customHeight="1">
      <c r="A8" s="50" t="s">
        <v>441</v>
      </c>
      <c r="B8" s="51">
        <f>IFERROR(SUMPRODUCT((LEFT(لاگ_فاکتور!$B$3:$B$1622,7)=LEFT(POS_فاکتور!E4,7))*لاگ_فاکتور!$Z$3:$Z$1622)/B4,0)</f>
        <v>1.2658227848101266E-2</v>
      </c>
      <c r="C8" s="51">
        <f>تنظیمات_سیستم!C16</f>
        <v>30</v>
      </c>
      <c r="D8" s="50" t="str">
        <f t="shared" si="0"/>
        <v>⚠ نیاز به اقدام</v>
      </c>
      <c r="E8" s="50" t="s">
        <v>442</v>
      </c>
    </row>
    <row r="9" spans="1:5" ht="75" customHeight="1">
      <c r="A9" s="50" t="s">
        <v>50</v>
      </c>
      <c r="B9" s="51">
        <f>IFERROR(SUMPRODUCT((LEFT(لاگ_فاکتور!$B$3:$B$1622,7)=LEFT(POS_فاکتور!E4,7))*لاگ_فاکتور!$AD$3:$AD$1622)/B3,0)</f>
        <v>1</v>
      </c>
      <c r="C9" s="51">
        <f>0.45</f>
        <v>0.45</v>
      </c>
      <c r="D9" s="50" t="str">
        <f t="shared" si="0"/>
        <v>✅ مطلوب</v>
      </c>
      <c r="E9" s="50" t="s">
        <v>443</v>
      </c>
    </row>
  </sheetData>
  <sheetProtection algorithmName="SHA-512" hashValue="mBQaFVS4ou5eWBhDn5ZLdkv88LtDOivIq7BTX1uOFueDVHJdsC30FA+hO4E3F1DLrh5RIQJV5kBvsslzYqljDw==" saltValue="Xi+PoCk4h1HM+KkL+bn1TA==" spinCount="100000" sheet="1" formatCells="0" formatColumns="0" formatRows="0" insertColumns="0" insertRows="0" insertHyperlinks="0" deleteColumns="0" deleteRows="0" sort="0" autoFilter="0" pivotTables="0"/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47D94A"/>
  </sheetPr>
  <dimension ref="A1:D8"/>
  <sheetViews>
    <sheetView rightToLeft="1" workbookViewId="0">
      <pane ySplit="2" topLeftCell="A3" activePane="bottomLeft" state="frozen"/>
      <selection pane="bottomLeft" activeCell="A6" sqref="A6"/>
    </sheetView>
  </sheetViews>
  <sheetFormatPr defaultRowHeight="15"/>
  <cols>
    <col min="1" max="4" width="70.7109375" customWidth="1"/>
  </cols>
  <sheetData>
    <row r="1" spans="1:4" s="42" customFormat="1" ht="69.95" customHeight="1">
      <c r="A1" s="337" t="s">
        <v>444</v>
      </c>
      <c r="B1" s="338"/>
      <c r="C1" s="338"/>
      <c r="D1" s="338"/>
    </row>
    <row r="2" spans="1:4" ht="84.95" customHeight="1">
      <c r="A2" s="46" t="s">
        <v>445</v>
      </c>
      <c r="B2" s="46" t="s">
        <v>446</v>
      </c>
      <c r="C2" s="46" t="s">
        <v>249</v>
      </c>
      <c r="D2" s="46" t="s">
        <v>447</v>
      </c>
    </row>
    <row r="3" spans="1:4" ht="84.95" customHeight="1">
      <c r="A3" s="47" t="s">
        <v>448</v>
      </c>
      <c r="B3" s="48">
        <f>IF(POS_فاکتور!E25=MAX(0,POS_فاکتور!E23-POS_فاکتور!E24),1,0)</f>
        <v>1</v>
      </c>
      <c r="C3" s="47" t="str">
        <f t="shared" ref="C3:C8" si="0">IF(B3=1,"✅ PASS","❌ FAIL")</f>
        <v>✅ PASS</v>
      </c>
      <c r="D3" s="47" t="s">
        <v>449</v>
      </c>
    </row>
    <row r="4" spans="1:4" ht="84.95" customHeight="1">
      <c r="A4" s="47" t="s">
        <v>450</v>
      </c>
      <c r="B4" s="48">
        <f>IF(POS_فاکتور!E26=SUM(POS_فاکتور!E12:E21),1,0)</f>
        <v>1</v>
      </c>
      <c r="C4" s="47" t="str">
        <f t="shared" si="0"/>
        <v>✅ PASS</v>
      </c>
      <c r="D4" s="47" t="s">
        <v>451</v>
      </c>
    </row>
    <row r="5" spans="1:4" ht="84.95" customHeight="1">
      <c r="A5" s="47" t="s">
        <v>452</v>
      </c>
      <c r="B5" s="48">
        <f>IF(حسابداری!A4=SUM(لاگ_فاکتور!O3:O1622),1,0)</f>
        <v>1</v>
      </c>
      <c r="C5" s="47" t="str">
        <f t="shared" si="0"/>
        <v>✅ PASS</v>
      </c>
      <c r="D5" s="47" t="s">
        <v>453</v>
      </c>
    </row>
    <row r="6" spans="1:4" ht="84.95" customHeight="1">
      <c r="A6" s="47" t="s">
        <v>454</v>
      </c>
      <c r="B6" s="48">
        <f>IF(SUM(لاگ_فاکتور!V3:V1622)&lt;=COUNTA(لاگ_فاکتور!A3:A1622),1,0)</f>
        <v>1</v>
      </c>
      <c r="C6" s="47" t="str">
        <f t="shared" si="0"/>
        <v>✅ PASS</v>
      </c>
      <c r="D6" s="47" t="s">
        <v>455</v>
      </c>
    </row>
    <row r="7" spans="1:4" ht="84.95" customHeight="1">
      <c r="A7" s="47" t="s">
        <v>456</v>
      </c>
      <c r="B7" s="48">
        <f>IF(MIN(کاتالوگ_محصولات!K4:K303)&gt;=0,1,0)</f>
        <v>1</v>
      </c>
      <c r="C7" s="47" t="str">
        <f t="shared" si="0"/>
        <v>✅ PASS</v>
      </c>
      <c r="D7" s="47" t="s">
        <v>457</v>
      </c>
    </row>
    <row r="8" spans="1:4" ht="84.95" customHeight="1">
      <c r="A8" s="47" t="s">
        <v>458</v>
      </c>
      <c r="B8" s="48">
        <f>IF(ABS(تنظیمات_سیستم!C11-(تنظیمات_سیستم!C4/تنظیمات_سیستم!C5))&lt;1,1,0)</f>
        <v>1</v>
      </c>
      <c r="C8" s="47" t="str">
        <f t="shared" si="0"/>
        <v>✅ PASS</v>
      </c>
      <c r="D8" s="47" t="s">
        <v>459</v>
      </c>
    </row>
  </sheetData>
  <sheetProtection algorithmName="SHA-512" hashValue="BTKZjNQ879t3d94C2+eueyysO8x4svpF0R0vJuQYKlFWQGT1eaM8TmRbCwKMgiavqAnXrBoGpuvDePvfPOcQTA==" saltValue="8KuZTPQMCUCrKsBNls/MXw==" spinCount="100000" sheet="1" formatCells="0" formatColumns="0" formatRows="0" insertColumns="0" insertRows="0" insertHyperlinks="0" deleteColumns="0" deleteRows="0" sort="0" autoFilter="0" pivotTables="0"/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J13"/>
  <sheetViews>
    <sheetView zoomScaleNormal="100" workbookViewId="0">
      <selection activeCell="M2" sqref="M2"/>
    </sheetView>
  </sheetViews>
  <sheetFormatPr defaultColWidth="8.7109375" defaultRowHeight="15"/>
  <cols>
    <col min="1" max="1" width="18" customWidth="1"/>
  </cols>
  <sheetData>
    <row r="1" spans="1:10" ht="39.950000000000003" customHeight="1">
      <c r="A1" s="52" t="s">
        <v>252</v>
      </c>
      <c r="B1" s="52" t="s">
        <v>170</v>
      </c>
      <c r="C1" s="52" t="s">
        <v>253</v>
      </c>
      <c r="D1" s="56" t="s">
        <v>4</v>
      </c>
      <c r="E1" s="56" t="s">
        <v>6</v>
      </c>
      <c r="F1" s="52" t="s">
        <v>254</v>
      </c>
      <c r="G1" s="52" t="s">
        <v>2</v>
      </c>
      <c r="H1" s="52" t="s">
        <v>255</v>
      </c>
      <c r="I1" s="56" t="s">
        <v>256</v>
      </c>
      <c r="J1" s="52" t="s">
        <v>12</v>
      </c>
    </row>
    <row r="2" spans="1:10" ht="39.950000000000003" customHeight="1">
      <c r="A2" s="53" t="s">
        <v>64</v>
      </c>
      <c r="B2" s="53" t="s">
        <v>65</v>
      </c>
      <c r="C2" s="53" t="s">
        <v>66</v>
      </c>
      <c r="D2" s="53" t="s">
        <v>257</v>
      </c>
      <c r="E2" s="53" t="s">
        <v>258</v>
      </c>
      <c r="F2" s="53" t="s">
        <v>8</v>
      </c>
      <c r="G2" s="53" t="s">
        <v>259</v>
      </c>
      <c r="H2" s="53" t="s">
        <v>260</v>
      </c>
      <c r="I2" s="53" t="s">
        <v>98</v>
      </c>
      <c r="J2" s="53" t="s">
        <v>192</v>
      </c>
    </row>
    <row r="3" spans="1:10" ht="39.950000000000003" customHeight="1">
      <c r="A3" s="54" t="s">
        <v>67</v>
      </c>
      <c r="B3" s="54" t="s">
        <v>68</v>
      </c>
      <c r="C3" s="54" t="s">
        <v>69</v>
      </c>
      <c r="D3" s="54" t="s">
        <v>5</v>
      </c>
      <c r="E3" s="54" t="s">
        <v>261</v>
      </c>
      <c r="F3" s="54" t="s">
        <v>262</v>
      </c>
      <c r="G3" s="54" t="s">
        <v>263</v>
      </c>
      <c r="H3" s="54" t="s">
        <v>264</v>
      </c>
      <c r="I3" s="54" t="s">
        <v>265</v>
      </c>
      <c r="J3" s="54" t="s">
        <v>193</v>
      </c>
    </row>
    <row r="4" spans="1:10" ht="39.950000000000003" customHeight="1">
      <c r="A4" s="53" t="s">
        <v>70</v>
      </c>
      <c r="B4" s="53" t="s">
        <v>71</v>
      </c>
      <c r="C4" s="53" t="s">
        <v>72</v>
      </c>
      <c r="D4" s="53" t="s">
        <v>266</v>
      </c>
      <c r="E4" s="53" t="s">
        <v>267</v>
      </c>
      <c r="F4" s="53" t="s">
        <v>268</v>
      </c>
      <c r="G4" s="53" t="s">
        <v>269</v>
      </c>
      <c r="H4" s="55"/>
      <c r="I4" s="53" t="s">
        <v>270</v>
      </c>
      <c r="J4" s="53" t="s">
        <v>194</v>
      </c>
    </row>
    <row r="5" spans="1:10" ht="39.950000000000003" customHeight="1">
      <c r="A5" s="54" t="s">
        <v>73</v>
      </c>
      <c r="B5" s="54" t="s">
        <v>74</v>
      </c>
      <c r="C5" s="54" t="s">
        <v>271</v>
      </c>
      <c r="D5" s="54" t="s">
        <v>272</v>
      </c>
      <c r="E5" s="54" t="s">
        <v>273</v>
      </c>
      <c r="F5" s="54" t="s">
        <v>274</v>
      </c>
      <c r="G5" s="55"/>
      <c r="H5" s="55"/>
      <c r="I5" s="55"/>
      <c r="J5" s="54" t="s">
        <v>195</v>
      </c>
    </row>
    <row r="6" spans="1:10" ht="39.950000000000003" customHeight="1">
      <c r="A6" s="53" t="s">
        <v>75</v>
      </c>
      <c r="B6" s="53" t="s">
        <v>76</v>
      </c>
      <c r="C6" s="55"/>
      <c r="D6" s="53" t="s">
        <v>275</v>
      </c>
      <c r="E6" s="55"/>
      <c r="F6" s="53" t="s">
        <v>276</v>
      </c>
      <c r="G6" s="55"/>
      <c r="H6" s="55"/>
      <c r="I6" s="55"/>
      <c r="J6" s="53" t="s">
        <v>196</v>
      </c>
    </row>
    <row r="7" spans="1:10" ht="39.950000000000003" customHeight="1">
      <c r="A7" s="54" t="s">
        <v>77</v>
      </c>
      <c r="B7" s="54" t="s">
        <v>78</v>
      </c>
      <c r="C7" s="55"/>
      <c r="D7" s="54" t="s">
        <v>277</v>
      </c>
      <c r="E7" s="55"/>
      <c r="F7" s="55"/>
      <c r="G7" s="55"/>
      <c r="H7" s="55"/>
      <c r="I7" s="55"/>
      <c r="J7" s="54" t="s">
        <v>197</v>
      </c>
    </row>
    <row r="8" spans="1:10" ht="39.950000000000003" customHeight="1">
      <c r="A8" s="53" t="s">
        <v>79</v>
      </c>
      <c r="B8" s="53" t="s">
        <v>80</v>
      </c>
      <c r="C8" s="55"/>
      <c r="D8" s="55"/>
      <c r="E8" s="55"/>
      <c r="F8" s="55"/>
      <c r="G8" s="55"/>
      <c r="H8" s="55"/>
      <c r="I8" s="55"/>
      <c r="J8" s="53" t="s">
        <v>198</v>
      </c>
    </row>
    <row r="9" spans="1:10" ht="39.950000000000003" customHeight="1">
      <c r="A9" s="54" t="s">
        <v>81</v>
      </c>
      <c r="B9" s="54" t="s">
        <v>82</v>
      </c>
      <c r="C9" s="55"/>
      <c r="D9" s="55"/>
      <c r="E9" s="55"/>
      <c r="F9" s="55"/>
      <c r="G9" s="55"/>
      <c r="H9" s="55"/>
      <c r="I9" s="55"/>
      <c r="J9" s="54" t="s">
        <v>199</v>
      </c>
    </row>
    <row r="10" spans="1:10" ht="39.950000000000003" customHeight="1">
      <c r="A10" s="53" t="s">
        <v>83</v>
      </c>
      <c r="B10" s="53" t="s">
        <v>84</v>
      </c>
      <c r="C10" s="55"/>
      <c r="D10" s="55"/>
      <c r="E10" s="55"/>
      <c r="F10" s="55"/>
      <c r="G10" s="55"/>
      <c r="H10" s="55"/>
      <c r="I10" s="55"/>
      <c r="J10" s="53" t="s">
        <v>200</v>
      </c>
    </row>
    <row r="11" spans="1:10" ht="39.950000000000003" customHeight="1">
      <c r="A11" s="54" t="s">
        <v>85</v>
      </c>
      <c r="B11" s="54" t="s">
        <v>86</v>
      </c>
      <c r="C11" s="55"/>
      <c r="D11" s="55"/>
      <c r="E11" s="55"/>
      <c r="F11" s="55"/>
      <c r="G11" s="55"/>
      <c r="H11" s="55"/>
      <c r="I11" s="55"/>
      <c r="J11" s="54" t="s">
        <v>201</v>
      </c>
    </row>
    <row r="12" spans="1:10" ht="39.950000000000003" customHeight="1">
      <c r="A12" s="53" t="s">
        <v>278</v>
      </c>
      <c r="B12" s="53" t="s">
        <v>279</v>
      </c>
      <c r="C12" s="55"/>
      <c r="D12" s="55"/>
      <c r="E12" s="55"/>
      <c r="F12" s="55"/>
      <c r="G12" s="55"/>
      <c r="H12" s="55"/>
      <c r="I12" s="55"/>
      <c r="J12" s="53" t="s">
        <v>202</v>
      </c>
    </row>
    <row r="13" spans="1:10" ht="39.950000000000003" customHeight="1">
      <c r="A13" s="55"/>
      <c r="B13" s="55"/>
      <c r="C13" s="55"/>
      <c r="D13" s="55"/>
      <c r="E13" s="55"/>
      <c r="F13" s="55"/>
      <c r="G13" s="55"/>
      <c r="H13" s="55"/>
      <c r="I13" s="55"/>
      <c r="J13" s="54" t="s">
        <v>203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D4AF37"/>
  </sheetPr>
  <dimension ref="A1:B227"/>
  <sheetViews>
    <sheetView rightToLeft="1" zoomScaleNormal="100" workbookViewId="0">
      <selection activeCell="A5" sqref="A5:B227"/>
    </sheetView>
  </sheetViews>
  <sheetFormatPr defaultColWidth="8.7109375" defaultRowHeight="15"/>
  <cols>
    <col min="1" max="1" width="4" customWidth="1"/>
    <col min="2" max="2" width="100" customWidth="1"/>
  </cols>
  <sheetData>
    <row r="1" spans="1:2" ht="15" customHeight="1"/>
    <row r="2" spans="1:2" ht="30" customHeight="1">
      <c r="A2" s="340" t="s">
        <v>280</v>
      </c>
      <c r="B2" s="218"/>
    </row>
    <row r="3" spans="1:2" ht="9.75" customHeight="1"/>
    <row r="4" spans="1:2" ht="13.5" customHeight="1">
      <c r="A4" s="218"/>
      <c r="B4" s="218"/>
    </row>
    <row r="5" spans="1:2">
      <c r="A5" s="339" t="s">
        <v>281</v>
      </c>
      <c r="B5" s="339"/>
    </row>
    <row r="6" spans="1:2">
      <c r="A6" s="339" t="s">
        <v>282</v>
      </c>
      <c r="B6" s="339"/>
    </row>
    <row r="7" spans="1:2">
      <c r="A7" s="339" t="s">
        <v>283</v>
      </c>
      <c r="B7" s="339"/>
    </row>
    <row r="8" spans="1:2">
      <c r="A8" s="339" t="s">
        <v>284</v>
      </c>
      <c r="B8" s="339"/>
    </row>
    <row r="9" spans="1:2">
      <c r="A9" s="339" t="s">
        <v>285</v>
      </c>
      <c r="B9" s="339"/>
    </row>
    <row r="10" spans="1:2">
      <c r="A10" s="339" t="s">
        <v>286</v>
      </c>
      <c r="B10" s="339"/>
    </row>
    <row r="11" spans="1:2">
      <c r="A11" s="339" t="s">
        <v>287</v>
      </c>
      <c r="B11" s="339"/>
    </row>
    <row r="12" spans="1:2">
      <c r="A12" s="339" t="s">
        <v>288</v>
      </c>
      <c r="B12" s="339"/>
    </row>
    <row r="13" spans="1:2">
      <c r="A13" s="339" t="s">
        <v>289</v>
      </c>
      <c r="B13" s="339"/>
    </row>
    <row r="14" spans="1:2">
      <c r="A14" s="339" t="s">
        <v>290</v>
      </c>
      <c r="B14" s="339"/>
    </row>
    <row r="15" spans="1:2">
      <c r="A15" s="339" t="s">
        <v>291</v>
      </c>
      <c r="B15" s="339"/>
    </row>
    <row r="16" spans="1:2">
      <c r="A16" s="339" t="s">
        <v>292</v>
      </c>
      <c r="B16" s="339"/>
    </row>
    <row r="17" spans="1:2">
      <c r="A17" s="339" t="s">
        <v>293</v>
      </c>
      <c r="B17" s="339"/>
    </row>
    <row r="18" spans="1:2">
      <c r="A18" s="339" t="s">
        <v>294</v>
      </c>
      <c r="B18" s="339"/>
    </row>
    <row r="19" spans="1:2">
      <c r="A19" s="339" t="s">
        <v>295</v>
      </c>
      <c r="B19" s="339"/>
    </row>
    <row r="20" spans="1:2">
      <c r="A20" s="339" t="s">
        <v>296</v>
      </c>
      <c r="B20" s="339"/>
    </row>
    <row r="21" spans="1:2">
      <c r="A21" s="339" t="s">
        <v>297</v>
      </c>
      <c r="B21" s="339"/>
    </row>
    <row r="22" spans="1:2">
      <c r="A22" s="339" t="s">
        <v>298</v>
      </c>
      <c r="B22" s="339"/>
    </row>
    <row r="23" spans="1:2">
      <c r="A23" s="339" t="s">
        <v>299</v>
      </c>
      <c r="B23" s="339"/>
    </row>
    <row r="24" spans="1:2">
      <c r="A24" s="339" t="s">
        <v>300</v>
      </c>
      <c r="B24" s="339"/>
    </row>
    <row r="25" spans="1:2">
      <c r="A25" s="218"/>
      <c r="B25" s="218"/>
    </row>
    <row r="26" spans="1:2">
      <c r="A26" s="339" t="s">
        <v>301</v>
      </c>
      <c r="B26" s="339"/>
    </row>
    <row r="27" spans="1:2">
      <c r="A27" s="339" t="s">
        <v>302</v>
      </c>
      <c r="B27" s="339"/>
    </row>
    <row r="28" spans="1:2">
      <c r="A28" s="218"/>
      <c r="B28" s="218"/>
    </row>
    <row r="29" spans="1:2">
      <c r="A29" s="339" t="s">
        <v>303</v>
      </c>
      <c r="B29" s="339"/>
    </row>
    <row r="30" spans="1:2">
      <c r="A30" s="339" t="s">
        <v>304</v>
      </c>
      <c r="B30" s="339"/>
    </row>
    <row r="31" spans="1:2">
      <c r="A31" s="218"/>
      <c r="B31" s="218"/>
    </row>
    <row r="32" spans="1:2">
      <c r="A32" s="339" t="s">
        <v>305</v>
      </c>
      <c r="B32" s="339"/>
    </row>
    <row r="33" spans="1:2">
      <c r="A33" s="339" t="s">
        <v>306</v>
      </c>
      <c r="B33" s="339"/>
    </row>
    <row r="34" spans="1:2">
      <c r="A34" s="339" t="s">
        <v>307</v>
      </c>
      <c r="B34" s="339"/>
    </row>
    <row r="35" spans="1:2">
      <c r="A35" s="339" t="s">
        <v>308</v>
      </c>
      <c r="B35" s="339"/>
    </row>
    <row r="36" spans="1:2">
      <c r="A36" s="339" t="s">
        <v>309</v>
      </c>
      <c r="B36" s="339"/>
    </row>
    <row r="37" spans="1:2">
      <c r="A37" s="339" t="s">
        <v>310</v>
      </c>
      <c r="B37" s="339"/>
    </row>
    <row r="38" spans="1:2">
      <c r="A38" s="339" t="s">
        <v>311</v>
      </c>
      <c r="B38" s="339"/>
    </row>
    <row r="39" spans="1:2">
      <c r="A39" s="339" t="s">
        <v>312</v>
      </c>
      <c r="B39" s="339"/>
    </row>
    <row r="40" spans="1:2">
      <c r="A40" s="339" t="s">
        <v>313</v>
      </c>
      <c r="B40" s="339"/>
    </row>
    <row r="41" spans="1:2">
      <c r="A41" s="339" t="s">
        <v>314</v>
      </c>
      <c r="B41" s="339"/>
    </row>
    <row r="42" spans="1:2">
      <c r="A42" s="339" t="s">
        <v>315</v>
      </c>
      <c r="B42" s="339"/>
    </row>
    <row r="43" spans="1:2">
      <c r="A43" s="339" t="s">
        <v>316</v>
      </c>
      <c r="B43" s="339"/>
    </row>
    <row r="44" spans="1:2">
      <c r="A44" s="339" t="s">
        <v>317</v>
      </c>
      <c r="B44" s="339"/>
    </row>
    <row r="45" spans="1:2">
      <c r="A45" s="339" t="s">
        <v>318</v>
      </c>
      <c r="B45" s="339"/>
    </row>
    <row r="46" spans="1:2">
      <c r="A46" s="339" t="s">
        <v>319</v>
      </c>
      <c r="B46" s="339"/>
    </row>
    <row r="47" spans="1:2">
      <c r="A47" s="218"/>
      <c r="B47" s="218"/>
    </row>
    <row r="48" spans="1:2">
      <c r="A48" s="339" t="s">
        <v>320</v>
      </c>
      <c r="B48" s="339"/>
    </row>
    <row r="49" spans="1:2">
      <c r="A49" s="339" t="s">
        <v>321</v>
      </c>
      <c r="B49" s="339"/>
    </row>
    <row r="50" spans="1:2">
      <c r="A50" s="339" t="s">
        <v>322</v>
      </c>
      <c r="B50" s="339"/>
    </row>
    <row r="51" spans="1:2">
      <c r="A51" s="339" t="s">
        <v>323</v>
      </c>
      <c r="B51" s="339"/>
    </row>
    <row r="52" spans="1:2">
      <c r="A52" s="339" t="s">
        <v>324</v>
      </c>
      <c r="B52" s="339"/>
    </row>
    <row r="53" spans="1:2">
      <c r="A53" s="339" t="s">
        <v>325</v>
      </c>
      <c r="B53" s="339"/>
    </row>
    <row r="54" spans="1:2">
      <c r="A54" s="339" t="s">
        <v>326</v>
      </c>
      <c r="B54" s="339"/>
    </row>
    <row r="55" spans="1:2">
      <c r="A55" s="339" t="s">
        <v>323</v>
      </c>
      <c r="B55" s="339"/>
    </row>
    <row r="56" spans="1:2">
      <c r="A56" s="339" t="s">
        <v>324</v>
      </c>
      <c r="B56" s="339"/>
    </row>
    <row r="57" spans="1:2">
      <c r="A57" s="339" t="s">
        <v>327</v>
      </c>
      <c r="B57" s="339"/>
    </row>
    <row r="58" spans="1:2">
      <c r="A58" s="339" t="s">
        <v>328</v>
      </c>
      <c r="B58" s="339"/>
    </row>
    <row r="59" spans="1:2">
      <c r="A59" s="339" t="s">
        <v>323</v>
      </c>
      <c r="B59" s="339"/>
    </row>
    <row r="60" spans="1:2">
      <c r="A60" s="339" t="s">
        <v>324</v>
      </c>
      <c r="B60" s="339"/>
    </row>
    <row r="61" spans="1:2">
      <c r="A61" s="218"/>
      <c r="B61" s="218"/>
    </row>
    <row r="62" spans="1:2">
      <c r="A62" s="339" t="s">
        <v>329</v>
      </c>
      <c r="B62" s="339"/>
    </row>
    <row r="63" spans="1:2">
      <c r="A63" s="339" t="s">
        <v>330</v>
      </c>
      <c r="B63" s="339"/>
    </row>
    <row r="64" spans="1:2">
      <c r="A64" s="339" t="s">
        <v>331</v>
      </c>
      <c r="B64" s="339"/>
    </row>
    <row r="65" spans="1:2">
      <c r="A65" s="339" t="s">
        <v>332</v>
      </c>
      <c r="B65" s="339"/>
    </row>
    <row r="66" spans="1:2">
      <c r="A66" s="339" t="s">
        <v>333</v>
      </c>
      <c r="B66" s="339"/>
    </row>
    <row r="67" spans="1:2">
      <c r="A67" s="339" t="s">
        <v>334</v>
      </c>
      <c r="B67" s="339"/>
    </row>
    <row r="68" spans="1:2">
      <c r="A68" s="339" t="s">
        <v>335</v>
      </c>
      <c r="B68" s="339"/>
    </row>
    <row r="69" spans="1:2">
      <c r="A69" s="339" t="s">
        <v>336</v>
      </c>
      <c r="B69" s="339"/>
    </row>
    <row r="70" spans="1:2">
      <c r="A70" s="218"/>
      <c r="B70" s="218"/>
    </row>
    <row r="71" spans="1:2">
      <c r="A71" s="339" t="s">
        <v>337</v>
      </c>
      <c r="B71" s="339"/>
    </row>
    <row r="72" spans="1:2">
      <c r="A72" s="339" t="s">
        <v>338</v>
      </c>
      <c r="B72" s="339"/>
    </row>
    <row r="73" spans="1:2">
      <c r="A73" s="339" t="s">
        <v>323</v>
      </c>
      <c r="B73" s="339"/>
    </row>
    <row r="74" spans="1:2">
      <c r="A74" s="339" t="s">
        <v>324</v>
      </c>
      <c r="B74" s="339"/>
    </row>
    <row r="75" spans="1:2">
      <c r="A75" s="218"/>
      <c r="B75" s="218"/>
    </row>
    <row r="76" spans="1:2">
      <c r="A76" s="339" t="s">
        <v>339</v>
      </c>
      <c r="B76" s="339"/>
    </row>
    <row r="77" spans="1:2">
      <c r="A77" s="339" t="s">
        <v>340</v>
      </c>
      <c r="B77" s="339"/>
    </row>
    <row r="78" spans="1:2">
      <c r="A78" s="339" t="s">
        <v>341</v>
      </c>
      <c r="B78" s="339"/>
    </row>
    <row r="79" spans="1:2">
      <c r="A79" s="218"/>
      <c r="B79" s="218"/>
    </row>
    <row r="80" spans="1:2">
      <c r="A80" s="339" t="s">
        <v>331</v>
      </c>
      <c r="B80" s="339"/>
    </row>
    <row r="81" spans="1:2">
      <c r="A81" s="339" t="s">
        <v>342</v>
      </c>
      <c r="B81" s="339"/>
    </row>
    <row r="82" spans="1:2">
      <c r="A82" s="339" t="s">
        <v>343</v>
      </c>
      <c r="B82" s="339"/>
    </row>
    <row r="83" spans="1:2">
      <c r="A83" s="339" t="s">
        <v>344</v>
      </c>
      <c r="B83" s="339"/>
    </row>
    <row r="84" spans="1:2">
      <c r="A84" s="339" t="s">
        <v>345</v>
      </c>
      <c r="B84" s="339"/>
    </row>
    <row r="85" spans="1:2">
      <c r="A85" s="339" t="s">
        <v>346</v>
      </c>
      <c r="B85" s="339"/>
    </row>
    <row r="86" spans="1:2">
      <c r="A86" s="339" t="s">
        <v>347</v>
      </c>
      <c r="B86" s="339"/>
    </row>
    <row r="87" spans="1:2">
      <c r="A87" s="339" t="s">
        <v>348</v>
      </c>
      <c r="B87" s="339"/>
    </row>
    <row r="88" spans="1:2">
      <c r="A88" s="218"/>
      <c r="B88" s="218"/>
    </row>
    <row r="89" spans="1:2">
      <c r="A89" s="339" t="s">
        <v>349</v>
      </c>
      <c r="B89" s="339"/>
    </row>
    <row r="90" spans="1:2">
      <c r="A90" s="339" t="s">
        <v>350</v>
      </c>
      <c r="B90" s="339"/>
    </row>
    <row r="91" spans="1:2">
      <c r="A91" s="339" t="s">
        <v>351</v>
      </c>
      <c r="B91" s="339"/>
    </row>
    <row r="92" spans="1:2">
      <c r="A92" s="218"/>
      <c r="B92" s="218"/>
    </row>
    <row r="93" spans="1:2">
      <c r="A93" s="339" t="s">
        <v>352</v>
      </c>
      <c r="B93" s="339"/>
    </row>
    <row r="94" spans="1:2">
      <c r="A94" s="339" t="s">
        <v>353</v>
      </c>
      <c r="B94" s="339"/>
    </row>
    <row r="95" spans="1:2">
      <c r="A95" s="339" t="s">
        <v>354</v>
      </c>
      <c r="B95" s="339"/>
    </row>
    <row r="96" spans="1:2">
      <c r="A96" s="339" t="s">
        <v>355</v>
      </c>
      <c r="B96" s="339"/>
    </row>
    <row r="97" spans="1:2">
      <c r="A97" s="339" t="s">
        <v>356</v>
      </c>
      <c r="B97" s="339"/>
    </row>
    <row r="98" spans="1:2">
      <c r="A98" s="218"/>
      <c r="B98" s="218"/>
    </row>
    <row r="99" spans="1:2">
      <c r="A99" s="339" t="s">
        <v>357</v>
      </c>
      <c r="B99" s="339"/>
    </row>
    <row r="100" spans="1:2">
      <c r="A100" s="339" t="s">
        <v>358</v>
      </c>
      <c r="B100" s="339"/>
    </row>
    <row r="101" spans="1:2">
      <c r="A101" s="339" t="s">
        <v>359</v>
      </c>
      <c r="B101" s="339"/>
    </row>
    <row r="102" spans="1:2">
      <c r="A102" s="339" t="s">
        <v>360</v>
      </c>
      <c r="B102" s="339"/>
    </row>
    <row r="103" spans="1:2">
      <c r="A103" s="339" t="s">
        <v>361</v>
      </c>
      <c r="B103" s="339"/>
    </row>
    <row r="104" spans="1:2">
      <c r="A104" s="339" t="s">
        <v>362</v>
      </c>
      <c r="B104" s="339"/>
    </row>
    <row r="105" spans="1:2">
      <c r="A105" s="339" t="s">
        <v>363</v>
      </c>
      <c r="B105" s="339"/>
    </row>
    <row r="106" spans="1:2">
      <c r="A106" s="339" t="s">
        <v>364</v>
      </c>
      <c r="B106" s="339"/>
    </row>
    <row r="107" spans="1:2">
      <c r="A107" s="339" t="s">
        <v>365</v>
      </c>
      <c r="B107" s="339"/>
    </row>
    <row r="108" spans="1:2">
      <c r="A108" s="339" t="s">
        <v>366</v>
      </c>
      <c r="B108" s="339"/>
    </row>
    <row r="109" spans="1:2">
      <c r="A109" s="339" t="s">
        <v>367</v>
      </c>
      <c r="B109" s="339"/>
    </row>
    <row r="110" spans="1:2">
      <c r="A110" s="339" t="s">
        <v>368</v>
      </c>
      <c r="B110" s="339"/>
    </row>
    <row r="111" spans="1:2">
      <c r="A111" s="339" t="s">
        <v>369</v>
      </c>
      <c r="B111" s="339"/>
    </row>
    <row r="112" spans="1:2">
      <c r="A112" s="339" t="s">
        <v>370</v>
      </c>
      <c r="B112" s="339"/>
    </row>
    <row r="113" spans="1:2">
      <c r="A113" s="339" t="s">
        <v>371</v>
      </c>
      <c r="B113" s="339"/>
    </row>
    <row r="114" spans="1:2">
      <c r="A114" s="339" t="s">
        <v>372</v>
      </c>
      <c r="B114" s="339"/>
    </row>
    <row r="115" spans="1:2">
      <c r="A115" s="339" t="s">
        <v>373</v>
      </c>
      <c r="B115" s="339"/>
    </row>
    <row r="116" spans="1:2">
      <c r="A116" s="339" t="s">
        <v>374</v>
      </c>
      <c r="B116" s="339"/>
    </row>
    <row r="117" spans="1:2">
      <c r="A117" s="339" t="s">
        <v>375</v>
      </c>
      <c r="B117" s="339"/>
    </row>
    <row r="118" spans="1:2">
      <c r="A118" s="339" t="s">
        <v>376</v>
      </c>
      <c r="B118" s="339"/>
    </row>
    <row r="119" spans="1:2">
      <c r="A119" s="339" t="s">
        <v>377</v>
      </c>
      <c r="B119" s="339"/>
    </row>
    <row r="120" spans="1:2">
      <c r="A120" s="218"/>
      <c r="B120" s="218"/>
    </row>
    <row r="121" spans="1:2">
      <c r="A121" s="339" t="s">
        <v>378</v>
      </c>
      <c r="B121" s="339"/>
    </row>
    <row r="122" spans="1:2">
      <c r="A122" s="339" t="s">
        <v>335</v>
      </c>
      <c r="B122" s="339"/>
    </row>
    <row r="123" spans="1:2">
      <c r="A123" s="339" t="s">
        <v>336</v>
      </c>
      <c r="B123" s="339"/>
    </row>
    <row r="124" spans="1:2">
      <c r="A124" s="218"/>
      <c r="B124" s="218"/>
    </row>
    <row r="125" spans="1:2">
      <c r="A125" s="339" t="s">
        <v>379</v>
      </c>
      <c r="B125" s="339"/>
    </row>
    <row r="126" spans="1:2">
      <c r="A126" s="339" t="s">
        <v>380</v>
      </c>
      <c r="B126" s="339"/>
    </row>
    <row r="127" spans="1:2">
      <c r="A127" s="218"/>
      <c r="B127" s="218"/>
    </row>
    <row r="128" spans="1:2">
      <c r="A128" s="339" t="s">
        <v>381</v>
      </c>
      <c r="B128" s="339"/>
    </row>
    <row r="129" spans="1:2">
      <c r="A129" s="339" t="s">
        <v>382</v>
      </c>
      <c r="B129" s="339"/>
    </row>
    <row r="130" spans="1:2">
      <c r="A130" s="218"/>
      <c r="B130" s="218"/>
    </row>
    <row r="131" spans="1:2">
      <c r="A131" s="339" t="s">
        <v>383</v>
      </c>
      <c r="B131" s="339"/>
    </row>
    <row r="132" spans="1:2">
      <c r="A132" s="339" t="s">
        <v>384</v>
      </c>
      <c r="B132" s="339"/>
    </row>
    <row r="133" spans="1:2">
      <c r="A133" s="339" t="s">
        <v>385</v>
      </c>
      <c r="B133" s="339"/>
    </row>
    <row r="134" spans="1:2">
      <c r="A134" s="339" t="s">
        <v>386</v>
      </c>
      <c r="B134" s="339"/>
    </row>
    <row r="135" spans="1:2">
      <c r="A135" s="218"/>
      <c r="B135" s="218"/>
    </row>
    <row r="136" spans="1:2">
      <c r="A136" s="339" t="s">
        <v>395</v>
      </c>
      <c r="B136" s="339"/>
    </row>
    <row r="137" spans="1:2">
      <c r="A137" s="339" t="s">
        <v>396</v>
      </c>
      <c r="B137" s="339"/>
    </row>
    <row r="138" spans="1:2">
      <c r="A138" s="339" t="s">
        <v>397</v>
      </c>
      <c r="B138" s="339"/>
    </row>
    <row r="139" spans="1:2">
      <c r="A139" s="339" t="s">
        <v>398</v>
      </c>
      <c r="B139" s="339"/>
    </row>
    <row r="140" spans="1:2">
      <c r="A140" s="339" t="s">
        <v>399</v>
      </c>
      <c r="B140" s="339"/>
    </row>
    <row r="141" spans="1:2">
      <c r="A141" s="339" t="s">
        <v>400</v>
      </c>
      <c r="B141" s="339"/>
    </row>
    <row r="142" spans="1:2">
      <c r="A142" s="339" t="s">
        <v>401</v>
      </c>
      <c r="B142" s="339"/>
    </row>
    <row r="143" spans="1:2">
      <c r="A143" s="339" t="s">
        <v>402</v>
      </c>
      <c r="B143" s="339"/>
    </row>
    <row r="144" spans="1:2">
      <c r="A144" s="339" t="s">
        <v>403</v>
      </c>
      <c r="B144" s="339"/>
    </row>
    <row r="145" spans="1:2">
      <c r="A145" s="339" t="s">
        <v>404</v>
      </c>
      <c r="B145" s="339"/>
    </row>
    <row r="146" spans="1:2">
      <c r="A146" s="339" t="s">
        <v>405</v>
      </c>
      <c r="B146" s="339"/>
    </row>
    <row r="147" spans="1:2">
      <c r="A147" s="339" t="s">
        <v>406</v>
      </c>
      <c r="B147" s="339"/>
    </row>
    <row r="148" spans="1:2">
      <c r="A148" s="339" t="s">
        <v>407</v>
      </c>
      <c r="B148" s="339"/>
    </row>
    <row r="149" spans="1:2">
      <c r="A149" s="339" t="s">
        <v>408</v>
      </c>
      <c r="B149" s="339"/>
    </row>
    <row r="150" spans="1:2">
      <c r="A150" s="339" t="s">
        <v>386</v>
      </c>
      <c r="B150" s="339"/>
    </row>
    <row r="151" spans="1:2">
      <c r="A151" s="339" t="s">
        <v>395</v>
      </c>
      <c r="B151" s="339"/>
    </row>
    <row r="152" spans="1:2">
      <c r="A152" s="339" t="s">
        <v>409</v>
      </c>
      <c r="B152" s="339"/>
    </row>
    <row r="153" spans="1:2">
      <c r="A153" s="339" t="s">
        <v>397</v>
      </c>
      <c r="B153" s="339"/>
    </row>
    <row r="154" spans="1:2">
      <c r="A154" s="339" t="s">
        <v>410</v>
      </c>
      <c r="B154" s="339"/>
    </row>
    <row r="155" spans="1:2">
      <c r="A155" s="339" t="s">
        <v>411</v>
      </c>
      <c r="B155" s="339"/>
    </row>
    <row r="156" spans="1:2">
      <c r="A156" s="339" t="s">
        <v>399</v>
      </c>
      <c r="B156" s="339"/>
    </row>
    <row r="157" spans="1:2">
      <c r="A157" s="339" t="s">
        <v>401</v>
      </c>
      <c r="B157" s="339"/>
    </row>
    <row r="158" spans="1:2">
      <c r="A158" s="339" t="s">
        <v>412</v>
      </c>
      <c r="B158" s="339"/>
    </row>
    <row r="159" spans="1:2">
      <c r="A159" s="339" t="s">
        <v>413</v>
      </c>
      <c r="B159" s="339"/>
    </row>
    <row r="160" spans="1:2">
      <c r="A160" s="339" t="s">
        <v>414</v>
      </c>
      <c r="B160" s="339"/>
    </row>
    <row r="161" spans="1:2">
      <c r="A161" s="339" t="s">
        <v>407</v>
      </c>
      <c r="B161" s="339"/>
    </row>
    <row r="162" spans="1:2">
      <c r="A162" s="339" t="s">
        <v>408</v>
      </c>
      <c r="B162" s="339"/>
    </row>
    <row r="163" spans="1:2">
      <c r="A163" s="339" t="s">
        <v>386</v>
      </c>
      <c r="B163" s="339"/>
    </row>
    <row r="164" spans="1:2">
      <c r="A164" s="218"/>
      <c r="B164" s="218"/>
    </row>
    <row r="165" spans="1:2">
      <c r="A165" s="339" t="s">
        <v>387</v>
      </c>
      <c r="B165" s="339"/>
    </row>
    <row r="166" spans="1:2">
      <c r="A166" s="339" t="s">
        <v>415</v>
      </c>
      <c r="B166" s="339"/>
    </row>
    <row r="167" spans="1:2">
      <c r="A167" s="339" t="s">
        <v>416</v>
      </c>
      <c r="B167" s="339"/>
    </row>
    <row r="168" spans="1:2">
      <c r="A168" s="339" t="s">
        <v>417</v>
      </c>
      <c r="B168" s="339"/>
    </row>
    <row r="169" spans="1:2">
      <c r="A169" s="339" t="s">
        <v>418</v>
      </c>
      <c r="B169" s="339"/>
    </row>
    <row r="170" spans="1:2">
      <c r="A170" s="339" t="s">
        <v>419</v>
      </c>
      <c r="B170" s="339"/>
    </row>
    <row r="171" spans="1:2">
      <c r="A171" s="218"/>
      <c r="B171" s="218"/>
    </row>
    <row r="172" spans="1:2">
      <c r="A172" s="339" t="s">
        <v>420</v>
      </c>
      <c r="B172" s="339"/>
    </row>
    <row r="173" spans="1:2">
      <c r="A173" s="339" t="s">
        <v>421</v>
      </c>
      <c r="B173" s="339"/>
    </row>
    <row r="174" spans="1:2">
      <c r="A174" s="339" t="s">
        <v>422</v>
      </c>
      <c r="B174" s="339"/>
    </row>
    <row r="175" spans="1:2">
      <c r="A175" s="339" t="s">
        <v>423</v>
      </c>
      <c r="B175" s="339"/>
    </row>
    <row r="176" spans="1:2">
      <c r="A176" s="339" t="s">
        <v>424</v>
      </c>
      <c r="B176" s="339"/>
    </row>
    <row r="177" spans="1:2">
      <c r="A177" s="339" t="s">
        <v>425</v>
      </c>
      <c r="B177" s="339"/>
    </row>
    <row r="178" spans="1:2">
      <c r="A178" s="339" t="s">
        <v>426</v>
      </c>
      <c r="B178" s="339"/>
    </row>
    <row r="179" spans="1:2">
      <c r="A179" s="339" t="s">
        <v>427</v>
      </c>
      <c r="B179" s="339"/>
    </row>
    <row r="180" spans="1:2">
      <c r="A180" s="339" t="s">
        <v>428</v>
      </c>
      <c r="B180" s="339"/>
    </row>
    <row r="181" spans="1:2">
      <c r="A181" s="339" t="s">
        <v>429</v>
      </c>
      <c r="B181" s="339"/>
    </row>
    <row r="182" spans="1:2">
      <c r="A182" s="339" t="s">
        <v>419</v>
      </c>
      <c r="B182" s="339"/>
    </row>
    <row r="183" spans="1:2">
      <c r="A183" s="218"/>
      <c r="B183" s="218"/>
    </row>
    <row r="184" spans="1:2">
      <c r="B184" t="s">
        <v>388</v>
      </c>
    </row>
    <row r="185" spans="1:2">
      <c r="B185" t="s">
        <v>389</v>
      </c>
    </row>
    <row r="186" spans="1:2">
      <c r="B186" t="s">
        <v>390</v>
      </c>
    </row>
    <row r="187" spans="1:2">
      <c r="B187" t="s">
        <v>742</v>
      </c>
    </row>
    <row r="188" spans="1:2">
      <c r="B188" t="s">
        <v>743</v>
      </c>
    </row>
    <row r="189" spans="1:2">
      <c r="B189" t="s">
        <v>742</v>
      </c>
    </row>
    <row r="190" spans="1:2">
      <c r="B190" t="s">
        <v>744</v>
      </c>
    </row>
    <row r="191" spans="1:2">
      <c r="B191" t="s">
        <v>391</v>
      </c>
    </row>
    <row r="192" spans="1:2">
      <c r="B192" t="s">
        <v>392</v>
      </c>
    </row>
    <row r="193" spans="2:2">
      <c r="B193" t="s">
        <v>393</v>
      </c>
    </row>
    <row r="194" spans="2:2">
      <c r="B194" t="s">
        <v>394</v>
      </c>
    </row>
    <row r="195" spans="2:2">
      <c r="B195" t="s">
        <v>324</v>
      </c>
    </row>
    <row r="196" spans="2:2">
      <c r="B196" t="s">
        <v>742</v>
      </c>
    </row>
    <row r="197" spans="2:2">
      <c r="B197" t="s">
        <v>745</v>
      </c>
    </row>
    <row r="198" spans="2:2">
      <c r="B198" t="s">
        <v>1073</v>
      </c>
    </row>
    <row r="199" spans="2:2">
      <c r="B199" t="s">
        <v>746</v>
      </c>
    </row>
    <row r="200" spans="2:2">
      <c r="B200" t="s">
        <v>747</v>
      </c>
    </row>
    <row r="201" spans="2:2">
      <c r="B201" t="s">
        <v>748</v>
      </c>
    </row>
    <row r="202" spans="2:2">
      <c r="B202" t="s">
        <v>749</v>
      </c>
    </row>
    <row r="203" spans="2:2">
      <c r="B203" t="s">
        <v>750</v>
      </c>
    </row>
    <row r="204" spans="2:2">
      <c r="B204" t="s">
        <v>1071</v>
      </c>
    </row>
    <row r="205" spans="2:2">
      <c r="B205" t="s">
        <v>742</v>
      </c>
    </row>
    <row r="206" spans="2:2">
      <c r="B206" t="s">
        <v>751</v>
      </c>
    </row>
    <row r="207" spans="2:2">
      <c r="B207" t="s">
        <v>752</v>
      </c>
    </row>
    <row r="208" spans="2:2">
      <c r="B208" t="s">
        <v>753</v>
      </c>
    </row>
    <row r="209" spans="2:2">
      <c r="B209" t="s">
        <v>754</v>
      </c>
    </row>
    <row r="210" spans="2:2">
      <c r="B210" t="s">
        <v>755</v>
      </c>
    </row>
    <row r="211" spans="2:2">
      <c r="B211" t="s">
        <v>756</v>
      </c>
    </row>
    <row r="212" spans="2:2">
      <c r="B212" t="s">
        <v>757</v>
      </c>
    </row>
    <row r="213" spans="2:2">
      <c r="B213" t="s">
        <v>742</v>
      </c>
    </row>
    <row r="214" spans="2:2">
      <c r="B214" t="s">
        <v>758</v>
      </c>
    </row>
    <row r="215" spans="2:2">
      <c r="B215" t="s">
        <v>299</v>
      </c>
    </row>
    <row r="216" spans="2:2">
      <c r="B216" t="s">
        <v>331</v>
      </c>
    </row>
    <row r="217" spans="2:2">
      <c r="B217" t="s">
        <v>759</v>
      </c>
    </row>
    <row r="218" spans="2:2">
      <c r="B218" t="s">
        <v>760</v>
      </c>
    </row>
    <row r="219" spans="2:2">
      <c r="B219" t="s">
        <v>761</v>
      </c>
    </row>
    <row r="220" spans="2:2">
      <c r="B220" t="s">
        <v>762</v>
      </c>
    </row>
    <row r="221" spans="2:2">
      <c r="B221" t="s">
        <v>336</v>
      </c>
    </row>
    <row r="222" spans="2:2">
      <c r="B222" t="s">
        <v>742</v>
      </c>
    </row>
    <row r="223" spans="2:2">
      <c r="B223" t="s">
        <v>763</v>
      </c>
    </row>
    <row r="224" spans="2:2">
      <c r="B224" t="s">
        <v>742</v>
      </c>
    </row>
    <row r="225" spans="2:2">
      <c r="B225" t="s">
        <v>764</v>
      </c>
    </row>
    <row r="226" spans="2:2">
      <c r="B226" t="s">
        <v>765</v>
      </c>
    </row>
    <row r="227" spans="2:2">
      <c r="B227" t="s">
        <v>386</v>
      </c>
    </row>
  </sheetData>
  <mergeCells count="181">
    <mergeCell ref="A20:B20"/>
    <mergeCell ref="A22:B22"/>
    <mergeCell ref="A51:B51"/>
    <mergeCell ref="A178:B178"/>
    <mergeCell ref="A180:B180"/>
    <mergeCell ref="A5:B5"/>
    <mergeCell ref="A13:B13"/>
    <mergeCell ref="A16:B16"/>
    <mergeCell ref="A30:B30"/>
    <mergeCell ref="A39:B39"/>
    <mergeCell ref="A52:B52"/>
    <mergeCell ref="A59:B59"/>
    <mergeCell ref="A74:B74"/>
    <mergeCell ref="A78:B78"/>
    <mergeCell ref="A87:B87"/>
    <mergeCell ref="A88:B88"/>
    <mergeCell ref="A89:B89"/>
    <mergeCell ref="A96:B96"/>
    <mergeCell ref="A114:B114"/>
    <mergeCell ref="A115:B115"/>
    <mergeCell ref="A122:B122"/>
    <mergeCell ref="A133:B133"/>
    <mergeCell ref="A41:B41"/>
    <mergeCell ref="A99:B99"/>
    <mergeCell ref="A26:B26"/>
    <mergeCell ref="A75:B75"/>
    <mergeCell ref="A125:B125"/>
    <mergeCell ref="A66:B66"/>
    <mergeCell ref="A48:B48"/>
    <mergeCell ref="A72:B72"/>
    <mergeCell ref="A112:B112"/>
    <mergeCell ref="A35:B35"/>
    <mergeCell ref="A32:B32"/>
    <mergeCell ref="A42:B42"/>
    <mergeCell ref="A61:B61"/>
    <mergeCell ref="A57:B57"/>
    <mergeCell ref="A49:B49"/>
    <mergeCell ref="A105:B105"/>
    <mergeCell ref="A58:B58"/>
    <mergeCell ref="A93:B93"/>
    <mergeCell ref="A94:B94"/>
    <mergeCell ref="A55:B55"/>
    <mergeCell ref="A47:B47"/>
    <mergeCell ref="A67:B67"/>
    <mergeCell ref="A91:B91"/>
    <mergeCell ref="A46:B46"/>
    <mergeCell ref="A108:B108"/>
    <mergeCell ref="A34:B34"/>
    <mergeCell ref="A155:B155"/>
    <mergeCell ref="A118:B118"/>
    <mergeCell ref="A132:B132"/>
    <mergeCell ref="A45:B45"/>
    <mergeCell ref="A27:B27"/>
    <mergeCell ref="A101:B101"/>
    <mergeCell ref="A54:B54"/>
    <mergeCell ref="A60:B60"/>
    <mergeCell ref="A109:B109"/>
    <mergeCell ref="A103:B103"/>
    <mergeCell ref="A31:B31"/>
    <mergeCell ref="A40:B40"/>
    <mergeCell ref="A123:B123"/>
    <mergeCell ref="A92:B92"/>
    <mergeCell ref="A140:B140"/>
    <mergeCell ref="A80:B80"/>
    <mergeCell ref="A134:B134"/>
    <mergeCell ref="A149:B149"/>
    <mergeCell ref="A138:B138"/>
    <mergeCell ref="A145:B145"/>
    <mergeCell ref="A151:B151"/>
    <mergeCell ref="A107:B107"/>
    <mergeCell ref="A85:B85"/>
    <mergeCell ref="A44:B44"/>
    <mergeCell ref="A25:B25"/>
    <mergeCell ref="A77:B77"/>
    <mergeCell ref="A183:B183"/>
    <mergeCell ref="A136:B136"/>
    <mergeCell ref="A71:B71"/>
    <mergeCell ref="A53:B53"/>
    <mergeCell ref="A79:B79"/>
    <mergeCell ref="A120:B120"/>
    <mergeCell ref="A129:B129"/>
    <mergeCell ref="A144:B144"/>
    <mergeCell ref="A81:B81"/>
    <mergeCell ref="A175:B175"/>
    <mergeCell ref="A128:B128"/>
    <mergeCell ref="A159:B159"/>
    <mergeCell ref="A97:B97"/>
    <mergeCell ref="A131:B131"/>
    <mergeCell ref="A177:B177"/>
    <mergeCell ref="A146:B146"/>
    <mergeCell ref="A63:B63"/>
    <mergeCell ref="A181:B181"/>
    <mergeCell ref="A110:B110"/>
    <mergeCell ref="A162:B162"/>
    <mergeCell ref="A179:B179"/>
    <mergeCell ref="A141:B141"/>
    <mergeCell ref="A6:B6"/>
    <mergeCell ref="A15:B15"/>
    <mergeCell ref="A98:B98"/>
    <mergeCell ref="A7:B7"/>
    <mergeCell ref="A56:B56"/>
    <mergeCell ref="A24:B24"/>
    <mergeCell ref="A43:B43"/>
    <mergeCell ref="A8:B8"/>
    <mergeCell ref="A10:B10"/>
    <mergeCell ref="A17:B17"/>
    <mergeCell ref="A28:B28"/>
    <mergeCell ref="A29:B29"/>
    <mergeCell ref="A38:B38"/>
    <mergeCell ref="A33:B33"/>
    <mergeCell ref="A82:B82"/>
    <mergeCell ref="A37:B37"/>
    <mergeCell ref="A18:B18"/>
    <mergeCell ref="A19:B19"/>
    <mergeCell ref="A9:B9"/>
    <mergeCell ref="A14:B14"/>
    <mergeCell ref="A90:B90"/>
    <mergeCell ref="A65:B65"/>
    <mergeCell ref="A68:B68"/>
    <mergeCell ref="A11:B11"/>
    <mergeCell ref="A83:B83"/>
    <mergeCell ref="A135:B135"/>
    <mergeCell ref="A84:B84"/>
    <mergeCell ref="A127:B127"/>
    <mergeCell ref="A104:B104"/>
    <mergeCell ref="A106:B106"/>
    <mergeCell ref="A113:B113"/>
    <mergeCell ref="A116:B116"/>
    <mergeCell ref="A117:B117"/>
    <mergeCell ref="A119:B119"/>
    <mergeCell ref="A124:B124"/>
    <mergeCell ref="A126:B126"/>
    <mergeCell ref="A130:B130"/>
    <mergeCell ref="A2:B2"/>
    <mergeCell ref="A4:B4"/>
    <mergeCell ref="A176:B176"/>
    <mergeCell ref="A137:B137"/>
    <mergeCell ref="A169:B169"/>
    <mergeCell ref="A156:B156"/>
    <mergeCell ref="A165:B165"/>
    <mergeCell ref="A158:B158"/>
    <mergeCell ref="A147:B147"/>
    <mergeCell ref="A148:B148"/>
    <mergeCell ref="A154:B154"/>
    <mergeCell ref="A163:B163"/>
    <mergeCell ref="A174:B174"/>
    <mergeCell ref="A172:B172"/>
    <mergeCell ref="A150:B150"/>
    <mergeCell ref="A170:B170"/>
    <mergeCell ref="A173:B173"/>
    <mergeCell ref="A160:B160"/>
    <mergeCell ref="A152:B152"/>
    <mergeCell ref="A142:B142"/>
    <mergeCell ref="A171:B171"/>
    <mergeCell ref="A157:B157"/>
    <mergeCell ref="A168:B168"/>
    <mergeCell ref="A167:B167"/>
    <mergeCell ref="A143:B143"/>
    <mergeCell ref="A164:B164"/>
    <mergeCell ref="A166:B166"/>
    <mergeCell ref="A182:B182"/>
    <mergeCell ref="A12:B12"/>
    <mergeCell ref="A21:B21"/>
    <mergeCell ref="A23:B23"/>
    <mergeCell ref="A36:B36"/>
    <mergeCell ref="A50:B50"/>
    <mergeCell ref="A62:B62"/>
    <mergeCell ref="A64:B64"/>
    <mergeCell ref="A73:B73"/>
    <mergeCell ref="A102:B102"/>
    <mergeCell ref="A153:B153"/>
    <mergeCell ref="A161:B161"/>
    <mergeCell ref="A100:B100"/>
    <mergeCell ref="A69:B69"/>
    <mergeCell ref="A139:B139"/>
    <mergeCell ref="A111:B111"/>
    <mergeCell ref="A86:B86"/>
    <mergeCell ref="A70:B70"/>
    <mergeCell ref="A76:B76"/>
    <mergeCell ref="A95:B95"/>
    <mergeCell ref="A121:B1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POS_فاکتور</vt:lpstr>
      <vt:lpstr>لاگ_فاکتور</vt:lpstr>
      <vt:lpstr>کاتالوگ_محصولات</vt:lpstr>
      <vt:lpstr>KPI_روزانه</vt:lpstr>
      <vt:lpstr>داشبورد_مدیریتی</vt:lpstr>
      <vt:lpstr>انبار</vt:lpstr>
      <vt:lpstr>حسابداری</vt:lpstr>
      <vt:lpstr>تنظیمات_سیستم</vt:lpstr>
      <vt:lpstr>مرکز_هشدار</vt:lpstr>
      <vt:lpstr>اطلاعات_پرسنل</vt:lpstr>
      <vt:lpstr>سیستم_رشد</vt:lpstr>
      <vt:lpstr>کنترل_سیستم</vt:lpstr>
      <vt:lpstr>Lists_DropDowns</vt:lpstr>
      <vt:lpstr>راهنما_VBA</vt:lpstr>
      <vt:lpstr>POS_فاکتور!Print_Area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cp:revision>0</cp:revision>
  <cp:lastPrinted>2026-10-11T08:51:29Z</cp:lastPrinted>
  <dcterms:created xsi:type="dcterms:W3CDTF">2026-08-19T07:29:37Z</dcterms:created>
  <dcterms:modified xsi:type="dcterms:W3CDTF">2026-10-11T18:58:32Z</dcterms:modified>
  <dc:language>en-US</dc:language>
</cp:coreProperties>
</file>